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Laporan_Piutang" sheetId="2" state="visible" r:id="rId4"/>
    <sheet name="Laporan_Faktur" sheetId="3" state="visible" r:id="rId5"/>
    <sheet name="Cetak_Faktur" sheetId="4" state="visible" r:id="rId6"/>
    <sheet name="Jadwal_Tagih" sheetId="5" state="visible" r:id="rId7"/>
    <sheet name="Tukar_Faktur" sheetId="6" state="visible" r:id="rId8"/>
    <sheet name="Log_Penagihan" sheetId="7" state="visible" r:id="rId9"/>
    <sheet name="Piutang" sheetId="8" state="visible" r:id="rId10"/>
    <sheet name="Aging_Customer" sheetId="9" state="visible" r:id="rId11"/>
    <sheet name="Master_Customer" sheetId="10" state="visible" r:id="rId12"/>
    <sheet name="Data_Penjualan" sheetId="11" state="visible" r:id="rId13"/>
    <sheet name="Catatan" sheetId="12" state="visible" r:id="rId14"/>
  </sheets>
  <definedNames>
    <definedName function="false" hidden="false" localSheetId="8" name="_xlnm.Print_Titles" vbProcedure="false">Aging_Customer!$1:$1</definedName>
    <definedName function="false" hidden="true" localSheetId="8" name="_xlnm._FilterDatabase" vbProcedure="false">Aging_Customer!$A$1:$K$126</definedName>
    <definedName function="false" hidden="false" localSheetId="3" name="_xlnm.Print_Area" vbProcedure="false">Cetak_Faktur!$A$1:$E$44</definedName>
    <definedName function="false" hidden="false" localSheetId="10" name="_xlnm.Print_Titles" vbProcedure="false">Data_Penjualan!$1:$1</definedName>
    <definedName function="false" hidden="true" localSheetId="10" name="_xlnm._FilterDatabase" vbProcedure="false">Data_Penjualan!$A$1:$G$5998</definedName>
    <definedName function="false" hidden="false" localSheetId="4" name="_xlnm.Print_Titles" vbProcedure="false">Jadwal_Tagih!$5:$5</definedName>
    <definedName function="false" hidden="false" localSheetId="2" name="_xlnm.Print_Area" vbProcedure="false">Laporan_Faktur!$A$1:$G$42</definedName>
    <definedName function="false" hidden="false" localSheetId="1" name="_xlnm.Print_Area" vbProcedure="false">Laporan_Piutang!$A$1:$J$59</definedName>
    <definedName function="false" hidden="false" localSheetId="6" name="_xlnm.Print_Titles" vbProcedure="false">Log_Penagihan!$4:$4</definedName>
    <definedName function="false" hidden="false" localSheetId="9" name="_xlnm.Print_Titles" vbProcedure="false">Master_Customer!$1:$1</definedName>
    <definedName function="false" hidden="false" localSheetId="7" name="_xlnm.Print_Titles" vbProcedure="false">Piutang!$1:$1</definedName>
    <definedName function="false" hidden="true" localSheetId="7" name="_xlnm._FilterDatabase" vbProcedure="false">Piutang!$A$1:$T$1751</definedName>
    <definedName function="false" hidden="false" localSheetId="5" name="_xlnm.Print_Titles" vbProcedure="false">Tukar_Faktur!$5:$5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<sst xmlns="http://schemas.openxmlformats.org/spreadsheetml/2006/main" count="29979" uniqueCount="2208">
  <si>
    <t xml:space="preserve">DASHBOARD MONITORING PIUTANG</t>
  </si>
  <si>
    <t xml:space="preserve">Indikator</t>
  </si>
  <si>
    <t xml:space="preserve">Nilai</t>
  </si>
  <si>
    <t xml:space="preserve">Kategori Aging</t>
  </si>
  <si>
    <t xml:space="preserve">Sisa Piutang (Rp)</t>
  </si>
  <si>
    <t xml:space="preserve">% dari Total</t>
  </si>
  <si>
    <t xml:space="preserve">Jumlah Faktur</t>
  </si>
  <si>
    <t xml:space="preserve">Total Penjualan (Rp)</t>
  </si>
  <si>
    <t xml:space="preserve">Belum Jatuh Tempo</t>
  </si>
  <si>
    <t xml:space="preserve">Total Piutang Outstanding (Rp)</t>
  </si>
  <si>
    <t xml:space="preserve">1-30 hari</t>
  </si>
  <si>
    <t xml:space="preserve">Piutang Overdue (Rp)</t>
  </si>
  <si>
    <t xml:space="preserve">31-60 hari</t>
  </si>
  <si>
    <t xml:space="preserve">% Overdue terhadap Piutang</t>
  </si>
  <si>
    <t xml:space="preserve">61-90 hari</t>
  </si>
  <si>
    <t xml:space="preserve">Piutang 90+ hari (Rp)</t>
  </si>
  <si>
    <t xml:space="preserve">90+ hari</t>
  </si>
  <si>
    <t xml:space="preserve">Jumlah Faktur Belum Lunas</t>
  </si>
  <si>
    <t xml:space="preserve">TOTAL</t>
  </si>
  <si>
    <t xml:space="preserve">Perkiraan DSO (hari)</t>
  </si>
  <si>
    <t xml:space="preserve">Faktur Belum Ditukar</t>
  </si>
  <si>
    <t xml:space="preserve">PIUTANG PER SALESMAN</t>
  </si>
  <si>
    <t xml:space="preserve">PENJUALAN VS SISA PIUTANG PER BULAN FAKTUR</t>
  </si>
  <si>
    <t xml:space="preserve">Salesman</t>
  </si>
  <si>
    <t xml:space="preserve">Overdue (Rp)</t>
  </si>
  <si>
    <t xml:space="preserve">% Overdue</t>
  </si>
  <si>
    <t xml:space="preserve">Bulan</t>
  </si>
  <si>
    <t xml:space="preserve">Penjualan (Rp)</t>
  </si>
  <si>
    <t xml:space="preserve">SALES A</t>
  </si>
  <si>
    <t xml:space="preserve">SALES B</t>
  </si>
  <si>
    <t xml:space="preserve">SALES C</t>
  </si>
  <si>
    <t xml:space="preserve">SALES D</t>
  </si>
  <si>
    <t xml:space="preserve">KANTOR</t>
  </si>
  <si>
    <t xml:space="preserve">TOP 10 CUSTOMER DENGAN PIUTANG OVERDUE TERBESAR</t>
  </si>
  <si>
    <t xml:space="preserve">Peringkat</t>
  </si>
  <si>
    <t xml:space="preserve">Nama Customer</t>
  </si>
  <si>
    <t xml:space="preserve">Total Piutang (Rp)</t>
  </si>
  <si>
    <t xml:space="preserve">90+ hari (Rp)</t>
  </si>
  <si>
    <t xml:space="preserve">LAPORAN PIUTANG USAHA</t>
  </si>
  <si>
    <t xml:space="preserve">Disusun dari data penjualan sintetis (fiktif) Jan-Des 2025 untuk keperluan portofolio.</t>
  </si>
  <si>
    <t xml:space="preserve">A. RINGKASAN PIUTANG</t>
  </si>
  <si>
    <t xml:space="preserve">Total penjualan periode Jan-Des 2025 (Rp)</t>
  </si>
  <si>
    <t xml:space="preserve">Total piutang outstanding (Rp)</t>
  </si>
  <si>
    <t xml:space="preserve">Piutang sudah jatuh tempo / overdue (Rp)</t>
  </si>
  <si>
    <t xml:space="preserve">Persentase overdue terhadap piutang</t>
  </si>
  <si>
    <t xml:space="preserve">Piutang lebih dari 90 hari (Rp)</t>
  </si>
  <si>
    <t xml:space="preserve">Jumlah faktur belum lunas</t>
  </si>
  <si>
    <t xml:space="preserve">Jumlah customer berpiutang</t>
  </si>
  <si>
    <t xml:space="preserve">B. UMUR PIUTANG (AGING)</t>
  </si>
  <si>
    <t xml:space="preserve">Kategori</t>
  </si>
  <si>
    <t xml:space="preserve">C. RINCIAN PIUTANG 25 CUSTOMER TERBESAR</t>
  </si>
  <si>
    <t xml:space="preserve">No</t>
  </si>
  <si>
    <t xml:space="preserve">Termin (hari)</t>
  </si>
  <si>
    <t xml:space="preserve">helper</t>
  </si>
  <si>
    <t xml:space="preserve">Customer lainnya</t>
  </si>
  <si>
    <t xml:space="preserve">TOTAL PIUTANG</t>
  </si>
  <si>
    <t xml:space="preserve">D. CATATAN ANALISIS &amp; REKOMENDASI TINDAK LANJUT</t>
  </si>
  <si>
    <t xml:space="preserve">5. Pantau janji bayar di sheet Log_Penagihan dan lakukan tindak lanjut pada janji yang terlewat.</t>
  </si>
  <si>
    <t xml:space="preserve">LAPORAN FAKTUR PENJUALAN</t>
  </si>
  <si>
    <t xml:space="preserve">Rekap faktur berdasarkan status pembayaran, status tukar faktur, bulan faktur, dan jadwal jatuh tempo.</t>
  </si>
  <si>
    <t xml:space="preserve">A. STATUS PEMBAYARAN FAKTUR</t>
  </si>
  <si>
    <t xml:space="preserve">Status</t>
  </si>
  <si>
    <t xml:space="preserve">Nominal Faktur (Rp)</t>
  </si>
  <si>
    <t xml:space="preserve">Dibayar (Rp)</t>
  </si>
  <si>
    <t xml:space="preserve">% Faktur</t>
  </si>
  <si>
    <t xml:space="preserve">Lunas</t>
  </si>
  <si>
    <t xml:space="preserve">Sebagian</t>
  </si>
  <si>
    <t xml:space="preserve">Belum Bayar</t>
  </si>
  <si>
    <t xml:space="preserve">B. STATUS TUKAR FAKTUR</t>
  </si>
  <si>
    <t xml:space="preserve">Tunai</t>
  </si>
  <si>
    <t xml:space="preserve">Sudah ditukar</t>
  </si>
  <si>
    <t xml:space="preserve">Belum ditukar</t>
  </si>
  <si>
    <t xml:space="preserve">C. REKAP FAKTUR PER BULAN</t>
  </si>
  <si>
    <t xml:space="preserve">% Terbayar</t>
  </si>
  <si>
    <t xml:space="preserve">D. JADWAL JATUH TEMPO FAKTUR BELUM LUNAS (KE DEPAN)</t>
  </si>
  <si>
    <t xml:space="preserve">Jatuh tempo dalam</t>
  </si>
  <si>
    <t xml:space="preserve">0-7 hari</t>
  </si>
  <si>
    <t xml:space="preserve">8-14 hari</t>
  </si>
  <si>
    <t xml:space="preserve">15-30 hari</t>
  </si>
  <si>
    <t xml:space="preserve">Lebih dari 30 hari</t>
  </si>
  <si>
    <t xml:space="preserve">Faktur yang sudah lewat jatuh tempo ada di Laporan_Piutang (aging).</t>
  </si>
  <si>
    <t xml:space="preserve">PT CONTOH DISTRIBUSI PELUMAS (DUMMY)</t>
  </si>
  <si>
    <t xml:space="preserve">FAKTUR PENJUALAN</t>
  </si>
  <si>
    <t xml:space="preserve">Alamat perusahaan contoh - Tangerang Selatan</t>
  </si>
  <si>
    <t xml:space="preserve">Pilih No. Faktur pada sel kuning; seluruh isi faktur terisi otomatis dari Data_Penjualan dan Piutang.</t>
  </si>
  <si>
    <t xml:space="preserve">No. Faktur</t>
  </si>
  <si>
    <t xml:space="preserve">INV-1568</t>
  </si>
  <si>
    <t xml:space="preserve">Tanggal Faktur</t>
  </si>
  <si>
    <t xml:space="preserve">Customer</t>
  </si>
  <si>
    <t xml:space="preserve">Jatuh Tempo</t>
  </si>
  <si>
    <t xml:space="preserve">Nama Item</t>
  </si>
  <si>
    <t xml:space="preserve">Qty</t>
  </si>
  <si>
    <t xml:space="preserve">Unit</t>
  </si>
  <si>
    <t xml:space="preserve">Jumlah (Rp)</t>
  </si>
  <si>
    <t xml:space="preserve">Total Faktur</t>
  </si>
  <si>
    <t xml:space="preserve">Sudah Dibayar</t>
  </si>
  <si>
    <t xml:space="preserve">Sisa Tagihan</t>
  </si>
  <si>
    <t xml:space="preserve">Diterima oleh,</t>
  </si>
  <si>
    <t xml:space="preserve">Hormat kami,</t>
  </si>
  <si>
    <t xml:space="preserve">(............................)</t>
  </si>
  <si>
    <t xml:space="preserve">JADWAL PENAGIHAN HARIAN</t>
  </si>
  <si>
    <t xml:space="preserve">Tanggal kerja</t>
  </si>
  <si>
    <t xml:space="preserve">Daftar 25 faktur overdue paling mendesak (urut hari terlambat terbesar). Kolom K-L diisi saat di lapangan; hasil resmi dicatat di sheet Log_Penagihan.</t>
  </si>
  <si>
    <t xml:space="preserve">No. Invoice</t>
  </si>
  <si>
    <t xml:space="preserve">Hari Terlambat</t>
  </si>
  <si>
    <t xml:space="preserve">Prioritas</t>
  </si>
  <si>
    <t xml:space="preserve">Status Tukar Faktur</t>
  </si>
  <si>
    <t xml:space="preserve">Catatan Terakhir</t>
  </si>
  <si>
    <t xml:space="preserve">Hasil Kunjungan</t>
  </si>
  <si>
    <t xml:space="preserve">Tgl Janji Bayar</t>
  </si>
  <si>
    <t xml:space="preserve">Baris (helper)</t>
  </si>
  <si>
    <t xml:space="preserve">TRACKER TUKAR FAKTUR</t>
  </si>
  <si>
    <t xml:space="preserve">Faktur yang belum ditukar:</t>
  </si>
  <si>
    <t xml:space="preserve">Tampil maks. 20 faktur terlama. Isi kolom H (rencana tukar), lalu update Tgl Tukar Faktur di sheet Piutang kalau sudah ditukar.</t>
  </si>
  <si>
    <t xml:space="preserve">Tgl Faktur</t>
  </si>
  <si>
    <t xml:space="preserve">Nominal (Rp)</t>
  </si>
  <si>
    <t xml:space="preserve">Umur Faktur (hari)</t>
  </si>
  <si>
    <t xml:space="preserve">Rencana Tukar</t>
  </si>
  <si>
    <t xml:space="preserve">LOG PENAGIHAN</t>
  </si>
  <si>
    <t xml:space="preserve">Isi kolom BIRU saja (tanggal, no. invoice dari dropdown, hasil, janji bayar). Kolom hitam terisi otomatis. Contoh 14 baris pertama adalah data simulasi.</t>
  </si>
  <si>
    <t xml:space="preserve">Tgl Kunjungan</t>
  </si>
  <si>
    <t xml:space="preserve">Nilai Janji (Rp)</t>
  </si>
  <si>
    <t xml:space="preserve">Status Janji</t>
  </si>
  <si>
    <t xml:space="preserve">Catatan</t>
  </si>
  <si>
    <t xml:space="preserve">RINGKASAN</t>
  </si>
  <si>
    <t xml:space="preserve">INV-0113</t>
  </si>
  <si>
    <t xml:space="preserve">Janji Bayar</t>
  </si>
  <si>
    <t xml:space="preserve">Menunggu giro cair</t>
  </si>
  <si>
    <t xml:space="preserve">Total kunjungan</t>
  </si>
  <si>
    <t xml:space="preserve">INV-0568</t>
  </si>
  <si>
    <t xml:space="preserve">Tidak Ketemu</t>
  </si>
  <si>
    <t xml:space="preserve">Pemilik sedang keluar kota</t>
  </si>
  <si>
    <t xml:space="preserve">Janji bayar aktif</t>
  </si>
  <si>
    <t xml:space="preserve">INV-0701</t>
  </si>
  <si>
    <t xml:space="preserve">Janji dikonfirmasi via WA</t>
  </si>
  <si>
    <t xml:space="preserve">Janji terlewat</t>
  </si>
  <si>
    <t xml:space="preserve">INV-0627</t>
  </si>
  <si>
    <t xml:space="preserve">Pemilik minta tunggu akhir bulan</t>
  </si>
  <si>
    <t xml:space="preserve">Nilai janji (Rp)</t>
  </si>
  <si>
    <t xml:space="preserve">INV-0828</t>
  </si>
  <si>
    <t xml:space="preserve">Tidak ketemu</t>
  </si>
  <si>
    <t xml:space="preserve">INV-0915</t>
  </si>
  <si>
    <t xml:space="preserve">Bayar Sebagian</t>
  </si>
  <si>
    <t xml:space="preserve">Bayar tunai sebagian di tempat</t>
  </si>
  <si>
    <t xml:space="preserve">INV-1202</t>
  </si>
  <si>
    <t xml:space="preserve">INV-1306</t>
  </si>
  <si>
    <t xml:space="preserve">INV-1406</t>
  </si>
  <si>
    <t xml:space="preserve">Tukar Faktur</t>
  </si>
  <si>
    <t xml:space="preserve">Tukar faktur dengan bagian keuangan outlet</t>
  </si>
  <si>
    <t xml:space="preserve">INV-1684</t>
  </si>
  <si>
    <t xml:space="preserve">INV-1613</t>
  </si>
  <si>
    <t xml:space="preserve">INV-1544</t>
  </si>
  <si>
    <t xml:space="preserve">Minta Keringanan</t>
  </si>
  <si>
    <t xml:space="preserve">Komplain selisih barang, sedang dicek</t>
  </si>
  <si>
    <t xml:space="preserve">INV-1539</t>
  </si>
  <si>
    <t xml:space="preserve">INV-1483</t>
  </si>
  <si>
    <t xml:space="preserve">ID Customer</t>
  </si>
  <si>
    <t xml:space="preserve">Tgl Tukar Faktur</t>
  </si>
  <si>
    <t xml:space="preserve">Jumlah Dibayar (Rp)</t>
  </si>
  <si>
    <t xml:space="preserve">Tgl Bayar Terakhir</t>
  </si>
  <si>
    <t xml:space="preserve">Status Bayar</t>
  </si>
  <si>
    <t xml:space="preserve">Catatan Penagihan</t>
  </si>
  <si>
    <t xml:space="preserve">Prioritas Tagih</t>
  </si>
  <si>
    <t xml:space="preserve">Kunci Urut Tagih (helper)</t>
  </si>
  <si>
    <t xml:space="preserve">Baris Belum Ditukar (helper)</t>
  </si>
  <si>
    <t xml:space="preserve">INV-0001</t>
  </si>
  <si>
    <t xml:space="preserve">C049</t>
  </si>
  <si>
    <t xml:space="preserve">INV-0002</t>
  </si>
  <si>
    <t xml:space="preserve">C128</t>
  </si>
  <si>
    <t xml:space="preserve">INV-0003</t>
  </si>
  <si>
    <t xml:space="preserve">C070</t>
  </si>
  <si>
    <t xml:space="preserve">INV-0004</t>
  </si>
  <si>
    <t xml:space="preserve">C109</t>
  </si>
  <si>
    <t xml:space="preserve">INV-0005</t>
  </si>
  <si>
    <t xml:space="preserve">C050</t>
  </si>
  <si>
    <t xml:space="preserve">INV-0006</t>
  </si>
  <si>
    <t xml:space="preserve">INV-0007</t>
  </si>
  <si>
    <t xml:space="preserve">C116</t>
  </si>
  <si>
    <t xml:space="preserve">INV-0008</t>
  </si>
  <si>
    <t xml:space="preserve">C026</t>
  </si>
  <si>
    <t xml:space="preserve">INV-0009</t>
  </si>
  <si>
    <t xml:space="preserve">C067</t>
  </si>
  <si>
    <t xml:space="preserve">INV-0010</t>
  </si>
  <si>
    <t xml:space="preserve">INV-0011</t>
  </si>
  <si>
    <t xml:space="preserve">INV-0012</t>
  </si>
  <si>
    <t xml:space="preserve">INV-0013</t>
  </si>
  <si>
    <t xml:space="preserve">C019</t>
  </si>
  <si>
    <t xml:space="preserve">INV-0014</t>
  </si>
  <si>
    <t xml:space="preserve">C096</t>
  </si>
  <si>
    <t xml:space="preserve">INV-0015</t>
  </si>
  <si>
    <t xml:space="preserve">INV-0016</t>
  </si>
  <si>
    <t xml:space="preserve">C004</t>
  </si>
  <si>
    <t xml:space="preserve">INV-0017</t>
  </si>
  <si>
    <t xml:space="preserve">C125</t>
  </si>
  <si>
    <t xml:space="preserve">INV-0018</t>
  </si>
  <si>
    <t xml:space="preserve">C121</t>
  </si>
  <si>
    <t xml:space="preserve">INV-0019</t>
  </si>
  <si>
    <t xml:space="preserve">C079</t>
  </si>
  <si>
    <t xml:space="preserve">INV-0020</t>
  </si>
  <si>
    <t xml:space="preserve">C047</t>
  </si>
  <si>
    <t xml:space="preserve">INV-0021</t>
  </si>
  <si>
    <t xml:space="preserve">INV-0022</t>
  </si>
  <si>
    <t xml:space="preserve">INV-0023</t>
  </si>
  <si>
    <t xml:space="preserve">C036</t>
  </si>
  <si>
    <t xml:space="preserve">INV-0024</t>
  </si>
  <si>
    <t xml:space="preserve">C073</t>
  </si>
  <si>
    <t xml:space="preserve">INV-0025</t>
  </si>
  <si>
    <t xml:space="preserve">C059</t>
  </si>
  <si>
    <t xml:space="preserve">INV-0026</t>
  </si>
  <si>
    <t xml:space="preserve">C041</t>
  </si>
  <si>
    <t xml:space="preserve">INV-0027</t>
  </si>
  <si>
    <t xml:space="preserve">C126</t>
  </si>
  <si>
    <t xml:space="preserve">INV-0028</t>
  </si>
  <si>
    <t xml:space="preserve">C120</t>
  </si>
  <si>
    <t xml:space="preserve">INV-0029</t>
  </si>
  <si>
    <t xml:space="preserve">INV-0030</t>
  </si>
  <si>
    <t xml:space="preserve">C032</t>
  </si>
  <si>
    <t xml:space="preserve">INV-0031</t>
  </si>
  <si>
    <t xml:space="preserve">C113</t>
  </si>
  <si>
    <t xml:space="preserve">INV-0032</t>
  </si>
  <si>
    <t xml:space="preserve">INV-0033</t>
  </si>
  <si>
    <t xml:space="preserve">C017</t>
  </si>
  <si>
    <t xml:space="preserve">INV-0034</t>
  </si>
  <si>
    <t xml:space="preserve">C044</t>
  </si>
  <si>
    <t xml:space="preserve">INV-0035</t>
  </si>
  <si>
    <t xml:space="preserve">C107</t>
  </si>
  <si>
    <t xml:space="preserve">INV-0036</t>
  </si>
  <si>
    <t xml:space="preserve">INV-0037</t>
  </si>
  <si>
    <t xml:space="preserve">C124</t>
  </si>
  <si>
    <t xml:space="preserve">INV-0038</t>
  </si>
  <si>
    <t xml:space="preserve">C082</t>
  </si>
  <si>
    <t xml:space="preserve">INV-0039</t>
  </si>
  <si>
    <t xml:space="preserve">C122</t>
  </si>
  <si>
    <t xml:space="preserve">INV-0040</t>
  </si>
  <si>
    <t xml:space="preserve">C033</t>
  </si>
  <si>
    <t xml:space="preserve">Sudah dihubungi via WA, janji bayar minggu depan</t>
  </si>
  <si>
    <t xml:space="preserve">INV-0041</t>
  </si>
  <si>
    <t xml:space="preserve">C002</t>
  </si>
  <si>
    <t xml:space="preserve">INV-0042</t>
  </si>
  <si>
    <t xml:space="preserve">C077</t>
  </si>
  <si>
    <t xml:space="preserve">INV-0043</t>
  </si>
  <si>
    <t xml:space="preserve">C034</t>
  </si>
  <si>
    <t xml:space="preserve">INV-0044</t>
  </si>
  <si>
    <t xml:space="preserve">C105</t>
  </si>
  <si>
    <t xml:space="preserve">INV-0045</t>
  </si>
  <si>
    <t xml:space="preserve">INV-0046</t>
  </si>
  <si>
    <t xml:space="preserve">INV-0047</t>
  </si>
  <si>
    <t xml:space="preserve">C052</t>
  </si>
  <si>
    <t xml:space="preserve">INV-0048</t>
  </si>
  <si>
    <t xml:space="preserve">C030</t>
  </si>
  <si>
    <t xml:space="preserve">INV-0049</t>
  </si>
  <si>
    <t xml:space="preserve">C091</t>
  </si>
  <si>
    <t xml:space="preserve">INV-0050</t>
  </si>
  <si>
    <t xml:space="preserve">INV-0051</t>
  </si>
  <si>
    <t xml:space="preserve">INV-0052</t>
  </si>
  <si>
    <t xml:space="preserve">INV-0053</t>
  </si>
  <si>
    <t xml:space="preserve">C012</t>
  </si>
  <si>
    <t xml:space="preserve">INV-0054</t>
  </si>
  <si>
    <t xml:space="preserve">INV-0055</t>
  </si>
  <si>
    <t xml:space="preserve">C038</t>
  </si>
  <si>
    <t xml:space="preserve">INV-0056</t>
  </si>
  <si>
    <t xml:space="preserve">C045</t>
  </si>
  <si>
    <t xml:space="preserve">INV-0057</t>
  </si>
  <si>
    <t xml:space="preserve">INV-0058</t>
  </si>
  <si>
    <t xml:space="preserve">INV-0059</t>
  </si>
  <si>
    <t xml:space="preserve">INV-0060</t>
  </si>
  <si>
    <t xml:space="preserve">C042</t>
  </si>
  <si>
    <t xml:space="preserve">INV-0061</t>
  </si>
  <si>
    <t xml:space="preserve">INV-0062</t>
  </si>
  <si>
    <t xml:space="preserve">C053</t>
  </si>
  <si>
    <t xml:space="preserve">INV-0063</t>
  </si>
  <si>
    <t xml:space="preserve">C040</t>
  </si>
  <si>
    <t xml:space="preserve">INV-0064</t>
  </si>
  <si>
    <t xml:space="preserve">INV-0065</t>
  </si>
  <si>
    <t xml:space="preserve">INV-0066</t>
  </si>
  <si>
    <t xml:space="preserve">INV-0067</t>
  </si>
  <si>
    <t xml:space="preserve">INV-0068</t>
  </si>
  <si>
    <t xml:space="preserve">INV-0069</t>
  </si>
  <si>
    <t xml:space="preserve">C005</t>
  </si>
  <si>
    <t xml:space="preserve">INV-0070</t>
  </si>
  <si>
    <t xml:space="preserve">C129</t>
  </si>
  <si>
    <t xml:space="preserve">INV-0071</t>
  </si>
  <si>
    <t xml:space="preserve">INV-0072</t>
  </si>
  <si>
    <t xml:space="preserve">INV-0073</t>
  </si>
  <si>
    <t xml:space="preserve">C056</t>
  </si>
  <si>
    <t xml:space="preserve">INV-0074</t>
  </si>
  <si>
    <t xml:space="preserve">C028</t>
  </si>
  <si>
    <t xml:space="preserve">INV-0075</t>
  </si>
  <si>
    <t xml:space="preserve">INV-0076</t>
  </si>
  <si>
    <t xml:space="preserve">C066</t>
  </si>
  <si>
    <t xml:space="preserve">INV-0077</t>
  </si>
  <si>
    <t xml:space="preserve">INV-0078</t>
  </si>
  <si>
    <t xml:space="preserve">INV-0079</t>
  </si>
  <si>
    <t xml:space="preserve">C022</t>
  </si>
  <si>
    <t xml:space="preserve">INV-0080</t>
  </si>
  <si>
    <t xml:space="preserve">INV-0081</t>
  </si>
  <si>
    <t xml:space="preserve">C046</t>
  </si>
  <si>
    <t xml:space="preserve">INV-0082</t>
  </si>
  <si>
    <t xml:space="preserve">C110</t>
  </si>
  <si>
    <t xml:space="preserve">INV-0083</t>
  </si>
  <si>
    <t xml:space="preserve">INV-0084</t>
  </si>
  <si>
    <t xml:space="preserve">INV-0085</t>
  </si>
  <si>
    <t xml:space="preserve">INV-0086</t>
  </si>
  <si>
    <t xml:space="preserve">INV-0087</t>
  </si>
  <si>
    <t xml:space="preserve">INV-0088</t>
  </si>
  <si>
    <t xml:space="preserve">INV-0089</t>
  </si>
  <si>
    <t xml:space="preserve">INV-0090</t>
  </si>
  <si>
    <t xml:space="preserve">INV-0091</t>
  </si>
  <si>
    <t xml:space="preserve">C010</t>
  </si>
  <si>
    <t xml:space="preserve">INV-0092</t>
  </si>
  <si>
    <t xml:space="preserve">C097</t>
  </si>
  <si>
    <t xml:space="preserve">INV-0093</t>
  </si>
  <si>
    <t xml:space="preserve">INV-0094</t>
  </si>
  <si>
    <t xml:space="preserve">INV-0095</t>
  </si>
  <si>
    <t xml:space="preserve">INV-0096</t>
  </si>
  <si>
    <t xml:space="preserve">C108</t>
  </si>
  <si>
    <t xml:space="preserve">INV-0097</t>
  </si>
  <si>
    <t xml:space="preserve">C021</t>
  </si>
  <si>
    <t xml:space="preserve">INV-0098</t>
  </si>
  <si>
    <t xml:space="preserve">INV-0099</t>
  </si>
  <si>
    <t xml:space="preserve">C084</t>
  </si>
  <si>
    <t xml:space="preserve">INV-0100</t>
  </si>
  <si>
    <t xml:space="preserve">INV-0101</t>
  </si>
  <si>
    <t xml:space="preserve">INV-0102</t>
  </si>
  <si>
    <t xml:space="preserve">INV-0103</t>
  </si>
  <si>
    <t xml:space="preserve">C023</t>
  </si>
  <si>
    <t xml:space="preserve">INV-0104</t>
  </si>
  <si>
    <t xml:space="preserve">C112</t>
  </si>
  <si>
    <t xml:space="preserve">INV-0105</t>
  </si>
  <si>
    <t xml:space="preserve">C090</t>
  </si>
  <si>
    <t xml:space="preserve">INV-0106</t>
  </si>
  <si>
    <t xml:space="preserve">INV-0107</t>
  </si>
  <si>
    <t xml:space="preserve">INV-0108</t>
  </si>
  <si>
    <t xml:space="preserve">INV-0109</t>
  </si>
  <si>
    <t xml:space="preserve">Janji bayar tanggal 10 Jan 2026</t>
  </si>
  <si>
    <t xml:space="preserve">INV-0110</t>
  </si>
  <si>
    <t xml:space="preserve">INV-0111</t>
  </si>
  <si>
    <t xml:space="preserve">INV-0112</t>
  </si>
  <si>
    <t xml:space="preserve">Outlet menunda bayar, perlu kunjungan ulang</t>
  </si>
  <si>
    <t xml:space="preserve">INV-0114</t>
  </si>
  <si>
    <t xml:space="preserve">INV-0115</t>
  </si>
  <si>
    <t xml:space="preserve">INV-0116</t>
  </si>
  <si>
    <t xml:space="preserve">INV-0117</t>
  </si>
  <si>
    <t xml:space="preserve">INV-0118</t>
  </si>
  <si>
    <t xml:space="preserve">INV-0119</t>
  </si>
  <si>
    <t xml:space="preserve">INV-0120</t>
  </si>
  <si>
    <t xml:space="preserve">INV-0121</t>
  </si>
  <si>
    <t xml:space="preserve">INV-0122</t>
  </si>
  <si>
    <t xml:space="preserve">INV-0123</t>
  </si>
  <si>
    <t xml:space="preserve">C009</t>
  </si>
  <si>
    <t xml:space="preserve">INV-0124</t>
  </si>
  <si>
    <t xml:space="preserve">INV-0125</t>
  </si>
  <si>
    <t xml:space="preserve">INV-0126</t>
  </si>
  <si>
    <t xml:space="preserve">INV-0127</t>
  </si>
  <si>
    <t xml:space="preserve">C048</t>
  </si>
  <si>
    <t xml:space="preserve">INV-0128</t>
  </si>
  <si>
    <t xml:space="preserve">INV-0129</t>
  </si>
  <si>
    <t xml:space="preserve">INV-0130</t>
  </si>
  <si>
    <t xml:space="preserve">C051</t>
  </si>
  <si>
    <t xml:space="preserve">INV-0131</t>
  </si>
  <si>
    <t xml:space="preserve">INV-0132</t>
  </si>
  <si>
    <t xml:space="preserve">INV-0133</t>
  </si>
  <si>
    <t xml:space="preserve">INV-0134</t>
  </si>
  <si>
    <t xml:space="preserve">INV-0135</t>
  </si>
  <si>
    <t xml:space="preserve">INV-0136</t>
  </si>
  <si>
    <t xml:space="preserve">C061</t>
  </si>
  <si>
    <t xml:space="preserve">INV-0137</t>
  </si>
  <si>
    <t xml:space="preserve">C060</t>
  </si>
  <si>
    <t xml:space="preserve">INV-0138</t>
  </si>
  <si>
    <t xml:space="preserve">C018</t>
  </si>
  <si>
    <t xml:space="preserve">INV-0139</t>
  </si>
  <si>
    <t xml:space="preserve">INV-0140</t>
  </si>
  <si>
    <t xml:space="preserve">INV-0141</t>
  </si>
  <si>
    <t xml:space="preserve">C001</t>
  </si>
  <si>
    <t xml:space="preserve">INV-0142</t>
  </si>
  <si>
    <t xml:space="preserve">INV-0143</t>
  </si>
  <si>
    <t xml:space="preserve">C015</t>
  </si>
  <si>
    <t xml:space="preserve">INV-0144</t>
  </si>
  <si>
    <t xml:space="preserve">INV-0145</t>
  </si>
  <si>
    <t xml:space="preserve">INV-0146</t>
  </si>
  <si>
    <t xml:space="preserve">INV-0147</t>
  </si>
  <si>
    <t xml:space="preserve">INV-0148</t>
  </si>
  <si>
    <t xml:space="preserve">C103</t>
  </si>
  <si>
    <t xml:space="preserve">INV-0149</t>
  </si>
  <si>
    <t xml:space="preserve">INV-0150</t>
  </si>
  <si>
    <t xml:space="preserve">INV-0151</t>
  </si>
  <si>
    <t xml:space="preserve">INV-0152</t>
  </si>
  <si>
    <t xml:space="preserve">INV-0153</t>
  </si>
  <si>
    <t xml:space="preserve">INV-0154</t>
  </si>
  <si>
    <t xml:space="preserve">INV-0155</t>
  </si>
  <si>
    <t xml:space="preserve">INV-0156</t>
  </si>
  <si>
    <t xml:space="preserve">INV-0157</t>
  </si>
  <si>
    <t xml:space="preserve">INV-0158</t>
  </si>
  <si>
    <t xml:space="preserve">INV-0159</t>
  </si>
  <si>
    <t xml:space="preserve">INV-0160</t>
  </si>
  <si>
    <t xml:space="preserve">C024</t>
  </si>
  <si>
    <t xml:space="preserve">INV-0161</t>
  </si>
  <si>
    <t xml:space="preserve">Kunjungan tagih dijadwalkan</t>
  </si>
  <si>
    <t xml:space="preserve">INV-0162</t>
  </si>
  <si>
    <t xml:space="preserve">INV-0163</t>
  </si>
  <si>
    <t xml:space="preserve">INV-0164</t>
  </si>
  <si>
    <t xml:space="preserve">INV-0165</t>
  </si>
  <si>
    <t xml:space="preserve">INV-0166</t>
  </si>
  <si>
    <t xml:space="preserve">C013</t>
  </si>
  <si>
    <t xml:space="preserve">INV-0167</t>
  </si>
  <si>
    <t xml:space="preserve">C043</t>
  </si>
  <si>
    <t xml:space="preserve">INV-0168</t>
  </si>
  <si>
    <t xml:space="preserve">INV-0169</t>
  </si>
  <si>
    <t xml:space="preserve">C104</t>
  </si>
  <si>
    <t xml:space="preserve">INV-0170</t>
  </si>
  <si>
    <t xml:space="preserve">C088</t>
  </si>
  <si>
    <t xml:space="preserve">INV-0171</t>
  </si>
  <si>
    <t xml:space="preserve">INV-0172</t>
  </si>
  <si>
    <t xml:space="preserve">INV-0173</t>
  </si>
  <si>
    <t xml:space="preserve">INV-0174</t>
  </si>
  <si>
    <t xml:space="preserve">INV-0175</t>
  </si>
  <si>
    <t xml:space="preserve">C006</t>
  </si>
  <si>
    <t xml:space="preserve">INV-0176</t>
  </si>
  <si>
    <t xml:space="preserve">INV-0177</t>
  </si>
  <si>
    <t xml:space="preserve">C081</t>
  </si>
  <si>
    <t xml:space="preserve">INV-0178</t>
  </si>
  <si>
    <t xml:space="preserve">C078</t>
  </si>
  <si>
    <t xml:space="preserve">Surat peringatan (SP) 1 dikirim</t>
  </si>
  <si>
    <t xml:space="preserve">INV-0179</t>
  </si>
  <si>
    <t xml:space="preserve">INV-0180</t>
  </si>
  <si>
    <t xml:space="preserve">INV-0181</t>
  </si>
  <si>
    <t xml:space="preserve">INV-0182</t>
  </si>
  <si>
    <t xml:space="preserve">INV-0183</t>
  </si>
  <si>
    <t xml:space="preserve">INV-0184</t>
  </si>
  <si>
    <t xml:space="preserve">INV-0185</t>
  </si>
  <si>
    <t xml:space="preserve">C119</t>
  </si>
  <si>
    <t xml:space="preserve">INV-0186</t>
  </si>
  <si>
    <t xml:space="preserve">C069</t>
  </si>
  <si>
    <t xml:space="preserve">INV-0187</t>
  </si>
  <si>
    <t xml:space="preserve">INV-0188</t>
  </si>
  <si>
    <t xml:space="preserve">INV-0189</t>
  </si>
  <si>
    <t xml:space="preserve">C027</t>
  </si>
  <si>
    <t xml:space="preserve">INV-0190</t>
  </si>
  <si>
    <t xml:space="preserve">INV-0191</t>
  </si>
  <si>
    <t xml:space="preserve">INV-0192</t>
  </si>
  <si>
    <t xml:space="preserve">INV-0193</t>
  </si>
  <si>
    <t xml:space="preserve">INV-0194</t>
  </si>
  <si>
    <t xml:space="preserve">INV-0195</t>
  </si>
  <si>
    <t xml:space="preserve">INV-0196</t>
  </si>
  <si>
    <t xml:space="preserve">INV-0197</t>
  </si>
  <si>
    <t xml:space="preserve">INV-0198</t>
  </si>
  <si>
    <t xml:space="preserve">INV-0199</t>
  </si>
  <si>
    <t xml:space="preserve">C025</t>
  </si>
  <si>
    <t xml:space="preserve">INV-0200</t>
  </si>
  <si>
    <t xml:space="preserve">INV-0201</t>
  </si>
  <si>
    <t xml:space="preserve">INV-0202</t>
  </si>
  <si>
    <t xml:space="preserve">INV-0203</t>
  </si>
  <si>
    <t xml:space="preserve">INV-0204</t>
  </si>
  <si>
    <t xml:space="preserve">INV-0205</t>
  </si>
  <si>
    <t xml:space="preserve">INV-0206</t>
  </si>
  <si>
    <t xml:space="preserve">INV-0207</t>
  </si>
  <si>
    <t xml:space="preserve">INV-0208</t>
  </si>
  <si>
    <t xml:space="preserve">INV-0209</t>
  </si>
  <si>
    <t xml:space="preserve">INV-0210</t>
  </si>
  <si>
    <t xml:space="preserve">INV-0211</t>
  </si>
  <si>
    <t xml:space="preserve">INV-0212</t>
  </si>
  <si>
    <t xml:space="preserve">INV-0213</t>
  </si>
  <si>
    <t xml:space="preserve">INV-0214</t>
  </si>
  <si>
    <t xml:space="preserve">C111</t>
  </si>
  <si>
    <t xml:space="preserve">INV-0215</t>
  </si>
  <si>
    <t xml:space="preserve">C007</t>
  </si>
  <si>
    <t xml:space="preserve">INV-0216</t>
  </si>
  <si>
    <t xml:space="preserve">C011</t>
  </si>
  <si>
    <t xml:space="preserve">INV-0217</t>
  </si>
  <si>
    <t xml:space="preserve">C102</t>
  </si>
  <si>
    <t xml:space="preserve">INV-0218</t>
  </si>
  <si>
    <t xml:space="preserve">INV-0219</t>
  </si>
  <si>
    <t xml:space="preserve">INV-0220</t>
  </si>
  <si>
    <t xml:space="preserve">INV-0221</t>
  </si>
  <si>
    <t xml:space="preserve">INV-0222</t>
  </si>
  <si>
    <t xml:space="preserve">C085</t>
  </si>
  <si>
    <t xml:space="preserve">INV-0223</t>
  </si>
  <si>
    <t xml:space="preserve">INV-0224</t>
  </si>
  <si>
    <t xml:space="preserve">INV-0225</t>
  </si>
  <si>
    <t xml:space="preserve">C127</t>
  </si>
  <si>
    <t xml:space="preserve">INV-0226</t>
  </si>
  <si>
    <t xml:space="preserve">C080</t>
  </si>
  <si>
    <t xml:space="preserve">INV-0227</t>
  </si>
  <si>
    <t xml:space="preserve">INV-0228</t>
  </si>
  <si>
    <t xml:space="preserve">INV-0229</t>
  </si>
  <si>
    <t xml:space="preserve">INV-0230</t>
  </si>
  <si>
    <t xml:space="preserve">INV-0231</t>
  </si>
  <si>
    <t xml:space="preserve">INV-0232</t>
  </si>
  <si>
    <t xml:space="preserve">INV-0233</t>
  </si>
  <si>
    <t xml:space="preserve">INV-0234</t>
  </si>
  <si>
    <t xml:space="preserve">INV-0235</t>
  </si>
  <si>
    <t xml:space="preserve">C118</t>
  </si>
  <si>
    <t xml:space="preserve">INV-0236</t>
  </si>
  <si>
    <t xml:space="preserve">INV-0237</t>
  </si>
  <si>
    <t xml:space="preserve">INV-0238</t>
  </si>
  <si>
    <t xml:space="preserve">INV-0239</t>
  </si>
  <si>
    <t xml:space="preserve">INV-0240</t>
  </si>
  <si>
    <t xml:space="preserve">Eskalasi ke supervisor</t>
  </si>
  <si>
    <t xml:space="preserve">INV-0241</t>
  </si>
  <si>
    <t xml:space="preserve">INV-0242</t>
  </si>
  <si>
    <t xml:space="preserve">INV-0243</t>
  </si>
  <si>
    <t xml:space="preserve">INV-0244</t>
  </si>
  <si>
    <t xml:space="preserve">INV-0245</t>
  </si>
  <si>
    <t xml:space="preserve">INV-0246</t>
  </si>
  <si>
    <t xml:space="preserve">INV-0247</t>
  </si>
  <si>
    <t xml:space="preserve">C075</t>
  </si>
  <si>
    <t xml:space="preserve">INV-0248</t>
  </si>
  <si>
    <t xml:space="preserve">INV-0249</t>
  </si>
  <si>
    <t xml:space="preserve">INV-0250</t>
  </si>
  <si>
    <t xml:space="preserve">INV-0251</t>
  </si>
  <si>
    <t xml:space="preserve">INV-0252</t>
  </si>
  <si>
    <t xml:space="preserve">INV-0253</t>
  </si>
  <si>
    <t xml:space="preserve">INV-0254</t>
  </si>
  <si>
    <t xml:space="preserve">INV-0255</t>
  </si>
  <si>
    <t xml:space="preserve">INV-0256</t>
  </si>
  <si>
    <t xml:space="preserve">INV-0257</t>
  </si>
  <si>
    <t xml:space="preserve">INV-0258</t>
  </si>
  <si>
    <t xml:space="preserve">INV-0259</t>
  </si>
  <si>
    <t xml:space="preserve">INV-0260</t>
  </si>
  <si>
    <t xml:space="preserve">INV-0261</t>
  </si>
  <si>
    <t xml:space="preserve">INV-0262</t>
  </si>
  <si>
    <t xml:space="preserve">INV-0263</t>
  </si>
  <si>
    <t xml:space="preserve">INV-0264</t>
  </si>
  <si>
    <t xml:space="preserve">C062</t>
  </si>
  <si>
    <t xml:space="preserve">INV-0265</t>
  </si>
  <si>
    <t xml:space="preserve">INV-0266</t>
  </si>
  <si>
    <t xml:space="preserve">INV-0267</t>
  </si>
  <si>
    <t xml:space="preserve">C106</t>
  </si>
  <si>
    <t xml:space="preserve">INV-0268</t>
  </si>
  <si>
    <t xml:space="preserve">INV-0269</t>
  </si>
  <si>
    <t xml:space="preserve">INV-0270</t>
  </si>
  <si>
    <t xml:space="preserve">INV-0271</t>
  </si>
  <si>
    <t xml:space="preserve">INV-0272</t>
  </si>
  <si>
    <t xml:space="preserve">INV-0273</t>
  </si>
  <si>
    <t xml:space="preserve">INV-0274</t>
  </si>
  <si>
    <t xml:space="preserve">INV-0275</t>
  </si>
  <si>
    <t xml:space="preserve">INV-0276</t>
  </si>
  <si>
    <t xml:space="preserve">INV-0277</t>
  </si>
  <si>
    <t xml:space="preserve">INV-0278</t>
  </si>
  <si>
    <t xml:space="preserve">INV-0279</t>
  </si>
  <si>
    <t xml:space="preserve">C054</t>
  </si>
  <si>
    <t xml:space="preserve">INV-0280</t>
  </si>
  <si>
    <t xml:space="preserve">INV-0281</t>
  </si>
  <si>
    <t xml:space="preserve">INV-0282</t>
  </si>
  <si>
    <t xml:space="preserve">INV-0283</t>
  </si>
  <si>
    <t xml:space="preserve">INV-0284</t>
  </si>
  <si>
    <t xml:space="preserve">INV-0285</t>
  </si>
  <si>
    <t xml:space="preserve">INV-0286</t>
  </si>
  <si>
    <t xml:space="preserve">INV-0287</t>
  </si>
  <si>
    <t xml:space="preserve">INV-0288</t>
  </si>
  <si>
    <t xml:space="preserve">INV-0289</t>
  </si>
  <si>
    <t xml:space="preserve">INV-0290</t>
  </si>
  <si>
    <t xml:space="preserve">INV-0291</t>
  </si>
  <si>
    <t xml:space="preserve">INV-0292</t>
  </si>
  <si>
    <t xml:space="preserve">INV-0293</t>
  </si>
  <si>
    <t xml:space="preserve">INV-0294</t>
  </si>
  <si>
    <t xml:space="preserve">INV-0295</t>
  </si>
  <si>
    <t xml:space="preserve">INV-0296</t>
  </si>
  <si>
    <t xml:space="preserve">INV-0297</t>
  </si>
  <si>
    <t xml:space="preserve">INV-0298</t>
  </si>
  <si>
    <t xml:space="preserve">C117</t>
  </si>
  <si>
    <t xml:space="preserve">INV-0299</t>
  </si>
  <si>
    <t xml:space="preserve">C039</t>
  </si>
  <si>
    <t xml:space="preserve">INV-0300</t>
  </si>
  <si>
    <t xml:space="preserve">INV-0301</t>
  </si>
  <si>
    <t xml:space="preserve">INV-0302</t>
  </si>
  <si>
    <t xml:space="preserve">C098</t>
  </si>
  <si>
    <t xml:space="preserve">INV-0303</t>
  </si>
  <si>
    <t xml:space="preserve">INV-0304</t>
  </si>
  <si>
    <t xml:space="preserve">INV-0305</t>
  </si>
  <si>
    <t xml:space="preserve">INV-0306</t>
  </si>
  <si>
    <t xml:space="preserve">C087</t>
  </si>
  <si>
    <t xml:space="preserve">INV-0307</t>
  </si>
  <si>
    <t xml:space="preserve">INV-0308</t>
  </si>
  <si>
    <t xml:space="preserve">C076</t>
  </si>
  <si>
    <t xml:space="preserve">INV-0309</t>
  </si>
  <si>
    <t xml:space="preserve">INV-0310</t>
  </si>
  <si>
    <t xml:space="preserve">INV-0311</t>
  </si>
  <si>
    <t xml:space="preserve">INV-0312</t>
  </si>
  <si>
    <t xml:space="preserve">INV-0313</t>
  </si>
  <si>
    <t xml:space="preserve">INV-0314</t>
  </si>
  <si>
    <t xml:space="preserve">INV-0315</t>
  </si>
  <si>
    <t xml:space="preserve">INV-0316</t>
  </si>
  <si>
    <t xml:space="preserve">INV-0317</t>
  </si>
  <si>
    <t xml:space="preserve">INV-0318</t>
  </si>
  <si>
    <t xml:space="preserve">INV-0319</t>
  </si>
  <si>
    <t xml:space="preserve">INV-0320</t>
  </si>
  <si>
    <t xml:space="preserve">INV-0321</t>
  </si>
  <si>
    <t xml:space="preserve">INV-0322</t>
  </si>
  <si>
    <t xml:space="preserve">INV-0323</t>
  </si>
  <si>
    <t xml:space="preserve">C099</t>
  </si>
  <si>
    <t xml:space="preserve">INV-0324</t>
  </si>
  <si>
    <t xml:space="preserve">INV-0325</t>
  </si>
  <si>
    <t xml:space="preserve">INV-0326</t>
  </si>
  <si>
    <t xml:space="preserve">INV-0327</t>
  </si>
  <si>
    <t xml:space="preserve">INV-0328</t>
  </si>
  <si>
    <t xml:space="preserve">INV-0329</t>
  </si>
  <si>
    <t xml:space="preserve">INV-0330</t>
  </si>
  <si>
    <t xml:space="preserve">INV-0331</t>
  </si>
  <si>
    <t xml:space="preserve">INV-0332</t>
  </si>
  <si>
    <t xml:space="preserve">INV-0333</t>
  </si>
  <si>
    <t xml:space="preserve">INV-0334</t>
  </si>
  <si>
    <t xml:space="preserve">INV-0335</t>
  </si>
  <si>
    <t xml:space="preserve">INV-0336</t>
  </si>
  <si>
    <t xml:space="preserve">INV-0337</t>
  </si>
  <si>
    <t xml:space="preserve">INV-0338</t>
  </si>
  <si>
    <t xml:space="preserve">INV-0339</t>
  </si>
  <si>
    <t xml:space="preserve">INV-0340</t>
  </si>
  <si>
    <t xml:space="preserve">INV-0341</t>
  </si>
  <si>
    <t xml:space="preserve">INV-0342</t>
  </si>
  <si>
    <t xml:space="preserve">INV-0343</t>
  </si>
  <si>
    <t xml:space="preserve">C095</t>
  </si>
  <si>
    <t xml:space="preserve">INV-0344</t>
  </si>
  <si>
    <t xml:space="preserve">INV-0345</t>
  </si>
  <si>
    <t xml:space="preserve">INV-0346</t>
  </si>
  <si>
    <t xml:space="preserve">INV-0347</t>
  </si>
  <si>
    <t xml:space="preserve">INV-0348</t>
  </si>
  <si>
    <t xml:space="preserve">INV-0349</t>
  </si>
  <si>
    <t xml:space="preserve">INV-0350</t>
  </si>
  <si>
    <t xml:space="preserve">INV-0351</t>
  </si>
  <si>
    <t xml:space="preserve">INV-0352</t>
  </si>
  <si>
    <t xml:space="preserve">INV-0353</t>
  </si>
  <si>
    <t xml:space="preserve">INV-0354</t>
  </si>
  <si>
    <t xml:space="preserve">INV-0355</t>
  </si>
  <si>
    <t xml:space="preserve">INV-0356</t>
  </si>
  <si>
    <t xml:space="preserve">INV-0357</t>
  </si>
  <si>
    <t xml:space="preserve">INV-0358</t>
  </si>
  <si>
    <t xml:space="preserve">INV-0359</t>
  </si>
  <si>
    <t xml:space="preserve">INV-0360</t>
  </si>
  <si>
    <t xml:space="preserve">INV-0361</t>
  </si>
  <si>
    <t xml:space="preserve">INV-0362</t>
  </si>
  <si>
    <t xml:space="preserve">INV-0363</t>
  </si>
  <si>
    <t xml:space="preserve">INV-0364</t>
  </si>
  <si>
    <t xml:space="preserve">INV-0365</t>
  </si>
  <si>
    <t xml:space="preserve">C035</t>
  </si>
  <si>
    <t xml:space="preserve">INV-0366</t>
  </si>
  <si>
    <t xml:space="preserve">INV-0367</t>
  </si>
  <si>
    <t xml:space="preserve">INV-0368</t>
  </si>
  <si>
    <t xml:space="preserve">INV-0369</t>
  </si>
  <si>
    <t xml:space="preserve">INV-0370</t>
  </si>
  <si>
    <t xml:space="preserve">C071</t>
  </si>
  <si>
    <t xml:space="preserve">INV-0371</t>
  </si>
  <si>
    <t xml:space="preserve">INV-0372</t>
  </si>
  <si>
    <t xml:space="preserve">INV-0373</t>
  </si>
  <si>
    <t xml:space="preserve">INV-0374</t>
  </si>
  <si>
    <t xml:space="preserve">INV-0375</t>
  </si>
  <si>
    <t xml:space="preserve">INV-0376</t>
  </si>
  <si>
    <t xml:space="preserve">INV-0377</t>
  </si>
  <si>
    <t xml:space="preserve">INV-0378</t>
  </si>
  <si>
    <t xml:space="preserve">INV-0379</t>
  </si>
  <si>
    <t xml:space="preserve">INV-0380</t>
  </si>
  <si>
    <t xml:space="preserve">INV-0381</t>
  </si>
  <si>
    <t xml:space="preserve">INV-0382</t>
  </si>
  <si>
    <t xml:space="preserve">INV-0383</t>
  </si>
  <si>
    <t xml:space="preserve">INV-0384</t>
  </si>
  <si>
    <t xml:space="preserve">INV-0385</t>
  </si>
  <si>
    <t xml:space="preserve">INV-0386</t>
  </si>
  <si>
    <t xml:space="preserve">INV-0387</t>
  </si>
  <si>
    <t xml:space="preserve">INV-0388</t>
  </si>
  <si>
    <t xml:space="preserve">INV-0389</t>
  </si>
  <si>
    <t xml:space="preserve">INV-0390</t>
  </si>
  <si>
    <t xml:space="preserve">INV-0391</t>
  </si>
  <si>
    <t xml:space="preserve">INV-0392</t>
  </si>
  <si>
    <t xml:space="preserve">INV-0393</t>
  </si>
  <si>
    <t xml:space="preserve">INV-0394</t>
  </si>
  <si>
    <t xml:space="preserve">INV-0395</t>
  </si>
  <si>
    <t xml:space="preserve">C055</t>
  </si>
  <si>
    <t xml:space="preserve">INV-0396</t>
  </si>
  <si>
    <t xml:space="preserve">INV-0397</t>
  </si>
  <si>
    <t xml:space="preserve">INV-0398</t>
  </si>
  <si>
    <t xml:space="preserve">INV-0399</t>
  </si>
  <si>
    <t xml:space="preserve">INV-0400</t>
  </si>
  <si>
    <t xml:space="preserve">INV-0401</t>
  </si>
  <si>
    <t xml:space="preserve">INV-0402</t>
  </si>
  <si>
    <t xml:space="preserve">INV-0403</t>
  </si>
  <si>
    <t xml:space="preserve">INV-0404</t>
  </si>
  <si>
    <t xml:space="preserve">INV-0405</t>
  </si>
  <si>
    <t xml:space="preserve">INV-0406</t>
  </si>
  <si>
    <t xml:space="preserve">INV-0407</t>
  </si>
  <si>
    <t xml:space="preserve">INV-0408</t>
  </si>
  <si>
    <t xml:space="preserve">INV-0409</t>
  </si>
  <si>
    <t xml:space="preserve">C058</t>
  </si>
  <si>
    <t xml:space="preserve">INV-0410</t>
  </si>
  <si>
    <t xml:space="preserve">INV-0411</t>
  </si>
  <si>
    <t xml:space="preserve">INV-0412</t>
  </si>
  <si>
    <t xml:space="preserve">INV-0413</t>
  </si>
  <si>
    <t xml:space="preserve">INV-0414</t>
  </si>
  <si>
    <t xml:space="preserve">INV-0415</t>
  </si>
  <si>
    <t xml:space="preserve">INV-0416</t>
  </si>
  <si>
    <t xml:space="preserve">INV-0417</t>
  </si>
  <si>
    <t xml:space="preserve">INV-0418</t>
  </si>
  <si>
    <t xml:space="preserve">INV-0419</t>
  </si>
  <si>
    <t xml:space="preserve">INV-0420</t>
  </si>
  <si>
    <t xml:space="preserve">C037</t>
  </si>
  <si>
    <t xml:space="preserve">INV-0421</t>
  </si>
  <si>
    <t xml:space="preserve">INV-0422</t>
  </si>
  <si>
    <t xml:space="preserve">INV-0423</t>
  </si>
  <si>
    <t xml:space="preserve">INV-0424</t>
  </si>
  <si>
    <t xml:space="preserve">INV-0425</t>
  </si>
  <si>
    <t xml:space="preserve">INV-0426</t>
  </si>
  <si>
    <t xml:space="preserve">INV-0427</t>
  </si>
  <si>
    <t xml:space="preserve">INV-0428</t>
  </si>
  <si>
    <t xml:space="preserve">INV-0429</t>
  </si>
  <si>
    <t xml:space="preserve">INV-0430</t>
  </si>
  <si>
    <t xml:space="preserve">INV-0431</t>
  </si>
  <si>
    <t xml:space="preserve">INV-0432</t>
  </si>
  <si>
    <t xml:space="preserve">INV-0433</t>
  </si>
  <si>
    <t xml:space="preserve">INV-0434</t>
  </si>
  <si>
    <t xml:space="preserve">INV-0435</t>
  </si>
  <si>
    <t xml:space="preserve">INV-0436</t>
  </si>
  <si>
    <t xml:space="preserve">INV-0437</t>
  </si>
  <si>
    <t xml:space="preserve">INV-0438</t>
  </si>
  <si>
    <t xml:space="preserve">Menunggu pencairan giro</t>
  </si>
  <si>
    <t xml:space="preserve">INV-0439</t>
  </si>
  <si>
    <t xml:space="preserve">C086</t>
  </si>
  <si>
    <t xml:space="preserve">INV-0440</t>
  </si>
  <si>
    <t xml:space="preserve">INV-0441</t>
  </si>
  <si>
    <t xml:space="preserve">INV-0442</t>
  </si>
  <si>
    <t xml:space="preserve">INV-0443</t>
  </si>
  <si>
    <t xml:space="preserve">INV-0444</t>
  </si>
  <si>
    <t xml:space="preserve">INV-0445</t>
  </si>
  <si>
    <t xml:space="preserve">INV-0446</t>
  </si>
  <si>
    <t xml:space="preserve">INV-0447</t>
  </si>
  <si>
    <t xml:space="preserve">INV-0448</t>
  </si>
  <si>
    <t xml:space="preserve">INV-0449</t>
  </si>
  <si>
    <t xml:space="preserve">INV-0450</t>
  </si>
  <si>
    <t xml:space="preserve">INV-0451</t>
  </si>
  <si>
    <t xml:space="preserve">INV-0452</t>
  </si>
  <si>
    <t xml:space="preserve">INV-0453</t>
  </si>
  <si>
    <t xml:space="preserve">INV-0454</t>
  </si>
  <si>
    <t xml:space="preserve">INV-0455</t>
  </si>
  <si>
    <t xml:space="preserve">INV-0456</t>
  </si>
  <si>
    <t xml:space="preserve">INV-0457</t>
  </si>
  <si>
    <t xml:space="preserve">INV-0458</t>
  </si>
  <si>
    <t xml:space="preserve">INV-0459</t>
  </si>
  <si>
    <t xml:space="preserve">INV-0460</t>
  </si>
  <si>
    <t xml:space="preserve">INV-0461</t>
  </si>
  <si>
    <t xml:space="preserve">C014</t>
  </si>
  <si>
    <t xml:space="preserve">INV-0462</t>
  </si>
  <si>
    <t xml:space="preserve">INV-0463</t>
  </si>
  <si>
    <t xml:space="preserve">INV-0464</t>
  </si>
  <si>
    <t xml:space="preserve">INV-0465</t>
  </si>
  <si>
    <t xml:space="preserve">INV-0466</t>
  </si>
  <si>
    <t xml:space="preserve">INV-0467</t>
  </si>
  <si>
    <t xml:space="preserve">INV-0468</t>
  </si>
  <si>
    <t xml:space="preserve">INV-0469</t>
  </si>
  <si>
    <t xml:space="preserve">INV-0470</t>
  </si>
  <si>
    <t xml:space="preserve">INV-0471</t>
  </si>
  <si>
    <t xml:space="preserve">INV-0472</t>
  </si>
  <si>
    <t xml:space="preserve">INV-0473</t>
  </si>
  <si>
    <t xml:space="preserve">INV-0474</t>
  </si>
  <si>
    <t xml:space="preserve">INV-0475</t>
  </si>
  <si>
    <t xml:space="preserve">INV-0476</t>
  </si>
  <si>
    <t xml:space="preserve">INV-0477</t>
  </si>
  <si>
    <t xml:space="preserve">INV-0478</t>
  </si>
  <si>
    <t xml:space="preserve">INV-0479</t>
  </si>
  <si>
    <t xml:space="preserve">INV-0480</t>
  </si>
  <si>
    <t xml:space="preserve">INV-0481</t>
  </si>
  <si>
    <t xml:space="preserve">INV-0482</t>
  </si>
  <si>
    <t xml:space="preserve">INV-0483</t>
  </si>
  <si>
    <t xml:space="preserve">INV-0484</t>
  </si>
  <si>
    <t xml:space="preserve">INV-0485</t>
  </si>
  <si>
    <t xml:space="preserve">INV-0486</t>
  </si>
  <si>
    <t xml:space="preserve">INV-0487</t>
  </si>
  <si>
    <t xml:space="preserve">INV-0488</t>
  </si>
  <si>
    <t xml:space="preserve">INV-0489</t>
  </si>
  <si>
    <t xml:space="preserve">C115</t>
  </si>
  <si>
    <t xml:space="preserve">INV-0490</t>
  </si>
  <si>
    <t xml:space="preserve">INV-0491</t>
  </si>
  <si>
    <t xml:space="preserve">INV-0492</t>
  </si>
  <si>
    <t xml:space="preserve">INV-0493</t>
  </si>
  <si>
    <t xml:space="preserve">INV-0494</t>
  </si>
  <si>
    <t xml:space="preserve">INV-0495</t>
  </si>
  <si>
    <t xml:space="preserve">INV-0496</t>
  </si>
  <si>
    <t xml:space="preserve">INV-0497</t>
  </si>
  <si>
    <t xml:space="preserve">INV-0498</t>
  </si>
  <si>
    <t xml:space="preserve">INV-0499</t>
  </si>
  <si>
    <t xml:space="preserve">INV-0500</t>
  </si>
  <si>
    <t xml:space="preserve">C130</t>
  </si>
  <si>
    <t xml:space="preserve">INV-0501</t>
  </si>
  <si>
    <t xml:space="preserve">INV-0502</t>
  </si>
  <si>
    <t xml:space="preserve">INV-0503</t>
  </si>
  <si>
    <t xml:space="preserve">INV-0504</t>
  </si>
  <si>
    <t xml:space="preserve">INV-0505</t>
  </si>
  <si>
    <t xml:space="preserve">INV-0506</t>
  </si>
  <si>
    <t xml:space="preserve">INV-0507</t>
  </si>
  <si>
    <t xml:space="preserve">INV-0508</t>
  </si>
  <si>
    <t xml:space="preserve">INV-0509</t>
  </si>
  <si>
    <t xml:space="preserve">INV-0510</t>
  </si>
  <si>
    <t xml:space="preserve">INV-0511</t>
  </si>
  <si>
    <t xml:space="preserve">INV-0512</t>
  </si>
  <si>
    <t xml:space="preserve">INV-0513</t>
  </si>
  <si>
    <t xml:space="preserve">INV-0514</t>
  </si>
  <si>
    <t xml:space="preserve">INV-0515</t>
  </si>
  <si>
    <t xml:space="preserve">INV-0516</t>
  </si>
  <si>
    <t xml:space="preserve">INV-0517</t>
  </si>
  <si>
    <t xml:space="preserve">INV-0518</t>
  </si>
  <si>
    <t xml:space="preserve">INV-0519</t>
  </si>
  <si>
    <t xml:space="preserve">C016</t>
  </si>
  <si>
    <t xml:space="preserve">INV-0520</t>
  </si>
  <si>
    <t xml:space="preserve">INV-0521</t>
  </si>
  <si>
    <t xml:space="preserve">INV-0522</t>
  </si>
  <si>
    <t xml:space="preserve">INV-0523</t>
  </si>
  <si>
    <t xml:space="preserve">INV-0524</t>
  </si>
  <si>
    <t xml:space="preserve">INV-0525</t>
  </si>
  <si>
    <t xml:space="preserve">INV-0526</t>
  </si>
  <si>
    <t xml:space="preserve">INV-0527</t>
  </si>
  <si>
    <t xml:space="preserve">INV-0528</t>
  </si>
  <si>
    <t xml:space="preserve">INV-0529</t>
  </si>
  <si>
    <t xml:space="preserve">INV-0530</t>
  </si>
  <si>
    <t xml:space="preserve">INV-0531</t>
  </si>
  <si>
    <t xml:space="preserve">INV-0532</t>
  </si>
  <si>
    <t xml:space="preserve">INV-0533</t>
  </si>
  <si>
    <t xml:space="preserve">INV-0534</t>
  </si>
  <si>
    <t xml:space="preserve">C089</t>
  </si>
  <si>
    <t xml:space="preserve">INV-0535</t>
  </si>
  <si>
    <t xml:space="preserve">INV-0536</t>
  </si>
  <si>
    <t xml:space="preserve">INV-0537</t>
  </si>
  <si>
    <t xml:space="preserve">INV-0538</t>
  </si>
  <si>
    <t xml:space="preserve">INV-0539</t>
  </si>
  <si>
    <t xml:space="preserve">INV-0540</t>
  </si>
  <si>
    <t xml:space="preserve">INV-0541</t>
  </si>
  <si>
    <t xml:space="preserve">INV-0542</t>
  </si>
  <si>
    <t xml:space="preserve">INV-0543</t>
  </si>
  <si>
    <t xml:space="preserve">INV-0544</t>
  </si>
  <si>
    <t xml:space="preserve">C100</t>
  </si>
  <si>
    <t xml:space="preserve">INV-0545</t>
  </si>
  <si>
    <t xml:space="preserve">INV-0546</t>
  </si>
  <si>
    <t xml:space="preserve">INV-0547</t>
  </si>
  <si>
    <t xml:space="preserve">INV-0548</t>
  </si>
  <si>
    <t xml:space="preserve">INV-0549</t>
  </si>
  <si>
    <t xml:space="preserve">INV-0550</t>
  </si>
  <si>
    <t xml:space="preserve">INV-0551</t>
  </si>
  <si>
    <t xml:space="preserve">INV-0552</t>
  </si>
  <si>
    <t xml:space="preserve">INV-0553</t>
  </si>
  <si>
    <t xml:space="preserve">INV-0554</t>
  </si>
  <si>
    <t xml:space="preserve">INV-0555</t>
  </si>
  <si>
    <t xml:space="preserve">INV-0556</t>
  </si>
  <si>
    <t xml:space="preserve">C068</t>
  </si>
  <si>
    <t xml:space="preserve">INV-0557</t>
  </si>
  <si>
    <t xml:space="preserve">INV-0558</t>
  </si>
  <si>
    <t xml:space="preserve">INV-0559</t>
  </si>
  <si>
    <t xml:space="preserve">INV-0560</t>
  </si>
  <si>
    <t xml:space="preserve">INV-0561</t>
  </si>
  <si>
    <t xml:space="preserve">INV-0562</t>
  </si>
  <si>
    <t xml:space="preserve">INV-0563</t>
  </si>
  <si>
    <t xml:space="preserve">C072</t>
  </si>
  <si>
    <t xml:space="preserve">INV-0564</t>
  </si>
  <si>
    <t xml:space="preserve">INV-0565</t>
  </si>
  <si>
    <t xml:space="preserve">INV-0566</t>
  </si>
  <si>
    <t xml:space="preserve">INV-0567</t>
  </si>
  <si>
    <t xml:space="preserve">INV-0569</t>
  </si>
  <si>
    <t xml:space="preserve">INV-0570</t>
  </si>
  <si>
    <t xml:space="preserve">INV-0571</t>
  </si>
  <si>
    <t xml:space="preserve">INV-0572</t>
  </si>
  <si>
    <t xml:space="preserve">INV-0573</t>
  </si>
  <si>
    <t xml:space="preserve">INV-0574</t>
  </si>
  <si>
    <t xml:space="preserve">INV-0575</t>
  </si>
  <si>
    <t xml:space="preserve">INV-0576</t>
  </si>
  <si>
    <t xml:space="preserve">INV-0577</t>
  </si>
  <si>
    <t xml:space="preserve">INV-0578</t>
  </si>
  <si>
    <t xml:space="preserve">INV-0579</t>
  </si>
  <si>
    <t xml:space="preserve">INV-0580</t>
  </si>
  <si>
    <t xml:space="preserve">INV-0581</t>
  </si>
  <si>
    <t xml:space="preserve">INV-0582</t>
  </si>
  <si>
    <t xml:space="preserve">INV-0583</t>
  </si>
  <si>
    <t xml:space="preserve">INV-0584</t>
  </si>
  <si>
    <t xml:space="preserve">INV-0585</t>
  </si>
  <si>
    <t xml:space="preserve">INV-0586</t>
  </si>
  <si>
    <t xml:space="preserve">INV-0587</t>
  </si>
  <si>
    <t xml:space="preserve">INV-0588</t>
  </si>
  <si>
    <t xml:space="preserve">INV-0589</t>
  </si>
  <si>
    <t xml:space="preserve">INV-0590</t>
  </si>
  <si>
    <t xml:space="preserve">INV-0591</t>
  </si>
  <si>
    <t xml:space="preserve">INV-0592</t>
  </si>
  <si>
    <t xml:space="preserve">INV-0593</t>
  </si>
  <si>
    <t xml:space="preserve">INV-0594</t>
  </si>
  <si>
    <t xml:space="preserve">INV-0595</t>
  </si>
  <si>
    <t xml:space="preserve">INV-0596</t>
  </si>
  <si>
    <t xml:space="preserve">INV-0597</t>
  </si>
  <si>
    <t xml:space="preserve">INV-0598</t>
  </si>
  <si>
    <t xml:space="preserve">INV-0599</t>
  </si>
  <si>
    <t xml:space="preserve">INV-0600</t>
  </si>
  <si>
    <t xml:space="preserve">INV-0601</t>
  </si>
  <si>
    <t xml:space="preserve">INV-0602</t>
  </si>
  <si>
    <t xml:space="preserve">INV-0603</t>
  </si>
  <si>
    <t xml:space="preserve">INV-0604</t>
  </si>
  <si>
    <t xml:space="preserve">INV-0605</t>
  </si>
  <si>
    <t xml:space="preserve">INV-0606</t>
  </si>
  <si>
    <t xml:space="preserve">INV-0607</t>
  </si>
  <si>
    <t xml:space="preserve">INV-0608</t>
  </si>
  <si>
    <t xml:space="preserve">INV-0609</t>
  </si>
  <si>
    <t xml:space="preserve">INV-0610</t>
  </si>
  <si>
    <t xml:space="preserve">INV-0611</t>
  </si>
  <si>
    <t xml:space="preserve">INV-0612</t>
  </si>
  <si>
    <t xml:space="preserve">INV-0613</t>
  </si>
  <si>
    <t xml:space="preserve">INV-0614</t>
  </si>
  <si>
    <t xml:space="preserve">INV-0615</t>
  </si>
  <si>
    <t xml:space="preserve">INV-0616</t>
  </si>
  <si>
    <t xml:space="preserve">INV-0617</t>
  </si>
  <si>
    <t xml:space="preserve">INV-0618</t>
  </si>
  <si>
    <t xml:space="preserve">INV-0619</t>
  </si>
  <si>
    <t xml:space="preserve">INV-0620</t>
  </si>
  <si>
    <t xml:space="preserve">INV-0621</t>
  </si>
  <si>
    <t xml:space="preserve">INV-0622</t>
  </si>
  <si>
    <t xml:space="preserve">INV-0623</t>
  </si>
  <si>
    <t xml:space="preserve">INV-0624</t>
  </si>
  <si>
    <t xml:space="preserve">INV-0625</t>
  </si>
  <si>
    <t xml:space="preserve">INV-0626</t>
  </si>
  <si>
    <t xml:space="preserve">INV-0628</t>
  </si>
  <si>
    <t xml:space="preserve">INV-0629</t>
  </si>
  <si>
    <t xml:space="preserve">INV-0630</t>
  </si>
  <si>
    <t xml:space="preserve">INV-0631</t>
  </si>
  <si>
    <t xml:space="preserve">INV-0632</t>
  </si>
  <si>
    <t xml:space="preserve">INV-0633</t>
  </si>
  <si>
    <t xml:space="preserve">INV-0634</t>
  </si>
  <si>
    <t xml:space="preserve">INV-0635</t>
  </si>
  <si>
    <t xml:space="preserve">INV-0636</t>
  </si>
  <si>
    <t xml:space="preserve">INV-0637</t>
  </si>
  <si>
    <t xml:space="preserve">INV-0638</t>
  </si>
  <si>
    <t xml:space="preserve">INV-0639</t>
  </si>
  <si>
    <t xml:space="preserve">INV-0640</t>
  </si>
  <si>
    <t xml:space="preserve">INV-0641</t>
  </si>
  <si>
    <t xml:space="preserve">INV-0642</t>
  </si>
  <si>
    <t xml:space="preserve">INV-0643</t>
  </si>
  <si>
    <t xml:space="preserve">INV-0644</t>
  </si>
  <si>
    <t xml:space="preserve">INV-0645</t>
  </si>
  <si>
    <t xml:space="preserve">INV-0646</t>
  </si>
  <si>
    <t xml:space="preserve">INV-0647</t>
  </si>
  <si>
    <t xml:space="preserve">INV-0648</t>
  </si>
  <si>
    <t xml:space="preserve">INV-0649</t>
  </si>
  <si>
    <t xml:space="preserve">INV-0650</t>
  </si>
  <si>
    <t xml:space="preserve">INV-0651</t>
  </si>
  <si>
    <t xml:space="preserve">INV-0652</t>
  </si>
  <si>
    <t xml:space="preserve">INV-0653</t>
  </si>
  <si>
    <t xml:space="preserve">INV-0654</t>
  </si>
  <si>
    <t xml:space="preserve">INV-0655</t>
  </si>
  <si>
    <t xml:space="preserve">INV-0656</t>
  </si>
  <si>
    <t xml:space="preserve">INV-0657</t>
  </si>
  <si>
    <t xml:space="preserve">INV-0658</t>
  </si>
  <si>
    <t xml:space="preserve">INV-0659</t>
  </si>
  <si>
    <t xml:space="preserve">INV-0660</t>
  </si>
  <si>
    <t xml:space="preserve">INV-0661</t>
  </si>
  <si>
    <t xml:space="preserve">INV-0662</t>
  </si>
  <si>
    <t xml:space="preserve">INV-0663</t>
  </si>
  <si>
    <t xml:space="preserve">INV-0664</t>
  </si>
  <si>
    <t xml:space="preserve">INV-0665</t>
  </si>
  <si>
    <t xml:space="preserve">INV-0666</t>
  </si>
  <si>
    <t xml:space="preserve">INV-0667</t>
  </si>
  <si>
    <t xml:space="preserve">INV-0668</t>
  </si>
  <si>
    <t xml:space="preserve">INV-0669</t>
  </si>
  <si>
    <t xml:space="preserve">INV-0670</t>
  </si>
  <si>
    <t xml:space="preserve">INV-0671</t>
  </si>
  <si>
    <t xml:space="preserve">INV-0672</t>
  </si>
  <si>
    <t xml:space="preserve">INV-0673</t>
  </si>
  <si>
    <t xml:space="preserve">C094</t>
  </si>
  <si>
    <t xml:space="preserve">INV-0674</t>
  </si>
  <si>
    <t xml:space="preserve">INV-0675</t>
  </si>
  <si>
    <t xml:space="preserve">INV-0676</t>
  </si>
  <si>
    <t xml:space="preserve">INV-0677</t>
  </si>
  <si>
    <t xml:space="preserve">INV-0678</t>
  </si>
  <si>
    <t xml:space="preserve">INV-0679</t>
  </si>
  <si>
    <t xml:space="preserve">C101</t>
  </si>
  <si>
    <t xml:space="preserve">INV-0680</t>
  </si>
  <si>
    <t xml:space="preserve">INV-0681</t>
  </si>
  <si>
    <t xml:space="preserve">INV-0682</t>
  </si>
  <si>
    <t xml:space="preserve">INV-0683</t>
  </si>
  <si>
    <t xml:space="preserve">C057</t>
  </si>
  <si>
    <t xml:space="preserve">INV-0684</t>
  </si>
  <si>
    <t xml:space="preserve">INV-0685</t>
  </si>
  <si>
    <t xml:space="preserve">INV-0686</t>
  </si>
  <si>
    <t xml:space="preserve">INV-0687</t>
  </si>
  <si>
    <t xml:space="preserve">INV-0688</t>
  </si>
  <si>
    <t xml:space="preserve">INV-0689</t>
  </si>
  <si>
    <t xml:space="preserve">INV-0690</t>
  </si>
  <si>
    <t xml:space="preserve">INV-0691</t>
  </si>
  <si>
    <t xml:space="preserve">INV-0692</t>
  </si>
  <si>
    <t xml:space="preserve">INV-0693</t>
  </si>
  <si>
    <t xml:space="preserve">INV-0694</t>
  </si>
  <si>
    <t xml:space="preserve">INV-0695</t>
  </si>
  <si>
    <t xml:space="preserve">INV-0696</t>
  </si>
  <si>
    <t xml:space="preserve">INV-0697</t>
  </si>
  <si>
    <t xml:space="preserve">INV-0698</t>
  </si>
  <si>
    <t xml:space="preserve">INV-0699</t>
  </si>
  <si>
    <t xml:space="preserve">INV-0700</t>
  </si>
  <si>
    <t xml:space="preserve">INV-0702</t>
  </si>
  <si>
    <t xml:space="preserve">INV-0703</t>
  </si>
  <si>
    <t xml:space="preserve">INV-0704</t>
  </si>
  <si>
    <t xml:space="preserve">INV-0705</t>
  </si>
  <si>
    <t xml:space="preserve">INV-0706</t>
  </si>
  <si>
    <t xml:space="preserve">INV-0707</t>
  </si>
  <si>
    <t xml:space="preserve">INV-0708</t>
  </si>
  <si>
    <t xml:space="preserve">INV-0709</t>
  </si>
  <si>
    <t xml:space="preserve">INV-0710</t>
  </si>
  <si>
    <t xml:space="preserve">INV-0711</t>
  </si>
  <si>
    <t xml:space="preserve">INV-0712</t>
  </si>
  <si>
    <t xml:space="preserve">INV-0713</t>
  </si>
  <si>
    <t xml:space="preserve">INV-0714</t>
  </si>
  <si>
    <t xml:space="preserve">INV-0715</t>
  </si>
  <si>
    <t xml:space="preserve">INV-0716</t>
  </si>
  <si>
    <t xml:space="preserve">INV-0717</t>
  </si>
  <si>
    <t xml:space="preserve">INV-0718</t>
  </si>
  <si>
    <t xml:space="preserve">INV-0719</t>
  </si>
  <si>
    <t xml:space="preserve">INV-0720</t>
  </si>
  <si>
    <t xml:space="preserve">INV-0721</t>
  </si>
  <si>
    <t xml:space="preserve">INV-0722</t>
  </si>
  <si>
    <t xml:space="preserve">INV-0723</t>
  </si>
  <si>
    <t xml:space="preserve">INV-0724</t>
  </si>
  <si>
    <t xml:space="preserve">INV-0725</t>
  </si>
  <si>
    <t xml:space="preserve">INV-0726</t>
  </si>
  <si>
    <t xml:space="preserve">INV-0727</t>
  </si>
  <si>
    <t xml:space="preserve">INV-0728</t>
  </si>
  <si>
    <t xml:space="preserve">INV-0729</t>
  </si>
  <si>
    <t xml:space="preserve">INV-0730</t>
  </si>
  <si>
    <t xml:space="preserve">INV-0731</t>
  </si>
  <si>
    <t xml:space="preserve">INV-0732</t>
  </si>
  <si>
    <t xml:space="preserve">INV-0733</t>
  </si>
  <si>
    <t xml:space="preserve">INV-0734</t>
  </si>
  <si>
    <t xml:space="preserve">INV-0735</t>
  </si>
  <si>
    <t xml:space="preserve">INV-0736</t>
  </si>
  <si>
    <t xml:space="preserve">INV-0737</t>
  </si>
  <si>
    <t xml:space="preserve">INV-0738</t>
  </si>
  <si>
    <t xml:space="preserve">INV-0739</t>
  </si>
  <si>
    <t xml:space="preserve">INV-0740</t>
  </si>
  <si>
    <t xml:space="preserve">INV-0741</t>
  </si>
  <si>
    <t xml:space="preserve">INV-0742</t>
  </si>
  <si>
    <t xml:space="preserve">INV-0743</t>
  </si>
  <si>
    <t xml:space="preserve">INV-0744</t>
  </si>
  <si>
    <t xml:space="preserve">INV-0745</t>
  </si>
  <si>
    <t xml:space="preserve">INV-0746</t>
  </si>
  <si>
    <t xml:space="preserve">INV-0747</t>
  </si>
  <si>
    <t xml:space="preserve">INV-0748</t>
  </si>
  <si>
    <t xml:space="preserve">INV-0749</t>
  </si>
  <si>
    <t xml:space="preserve">INV-0750</t>
  </si>
  <si>
    <t xml:space="preserve">INV-0751</t>
  </si>
  <si>
    <t xml:space="preserve">INV-0752</t>
  </si>
  <si>
    <t xml:space="preserve">INV-0753</t>
  </si>
  <si>
    <t xml:space="preserve">INV-0754</t>
  </si>
  <si>
    <t xml:space="preserve">INV-0755</t>
  </si>
  <si>
    <t xml:space="preserve">INV-0756</t>
  </si>
  <si>
    <t xml:space="preserve">INV-0757</t>
  </si>
  <si>
    <t xml:space="preserve">INV-0758</t>
  </si>
  <si>
    <t xml:space="preserve">INV-0759</t>
  </si>
  <si>
    <t xml:space="preserve">INV-0760</t>
  </si>
  <si>
    <t xml:space="preserve">INV-0761</t>
  </si>
  <si>
    <t xml:space="preserve">INV-0762</t>
  </si>
  <si>
    <t xml:space="preserve">INV-0763</t>
  </si>
  <si>
    <t xml:space="preserve">INV-0764</t>
  </si>
  <si>
    <t xml:space="preserve">C083</t>
  </si>
  <si>
    <t xml:space="preserve">INV-0765</t>
  </si>
  <si>
    <t xml:space="preserve">INV-0766</t>
  </si>
  <si>
    <t xml:space="preserve">INV-0767</t>
  </si>
  <si>
    <t xml:space="preserve">INV-0768</t>
  </si>
  <si>
    <t xml:space="preserve">INV-0769</t>
  </si>
  <si>
    <t xml:space="preserve">INV-0770</t>
  </si>
  <si>
    <t xml:space="preserve">INV-0771</t>
  </si>
  <si>
    <t xml:space="preserve">INV-0772</t>
  </si>
  <si>
    <t xml:space="preserve">INV-0773</t>
  </si>
  <si>
    <t xml:space="preserve">INV-0774</t>
  </si>
  <si>
    <t xml:space="preserve">INV-0775</t>
  </si>
  <si>
    <t xml:space="preserve">INV-0776</t>
  </si>
  <si>
    <t xml:space="preserve">INV-0777</t>
  </si>
  <si>
    <t xml:space="preserve">INV-0778</t>
  </si>
  <si>
    <t xml:space="preserve">INV-0779</t>
  </si>
  <si>
    <t xml:space="preserve">INV-0780</t>
  </si>
  <si>
    <t xml:space="preserve">INV-0781</t>
  </si>
  <si>
    <t xml:space="preserve">INV-0782</t>
  </si>
  <si>
    <t xml:space="preserve">INV-0783</t>
  </si>
  <si>
    <t xml:space="preserve">INV-0784</t>
  </si>
  <si>
    <t xml:space="preserve">INV-0785</t>
  </si>
  <si>
    <t xml:space="preserve">INV-0786</t>
  </si>
  <si>
    <t xml:space="preserve">INV-0787</t>
  </si>
  <si>
    <t xml:space="preserve">INV-0788</t>
  </si>
  <si>
    <t xml:space="preserve">INV-0789</t>
  </si>
  <si>
    <t xml:space="preserve">INV-0790</t>
  </si>
  <si>
    <t xml:space="preserve">INV-0791</t>
  </si>
  <si>
    <t xml:space="preserve">INV-0792</t>
  </si>
  <si>
    <t xml:space="preserve">INV-0793</t>
  </si>
  <si>
    <t xml:space="preserve">INV-0794</t>
  </si>
  <si>
    <t xml:space="preserve">INV-0795</t>
  </si>
  <si>
    <t xml:space="preserve">INV-0796</t>
  </si>
  <si>
    <t xml:space="preserve">INV-0797</t>
  </si>
  <si>
    <t xml:space="preserve">INV-0798</t>
  </si>
  <si>
    <t xml:space="preserve">INV-0799</t>
  </si>
  <si>
    <t xml:space="preserve">INV-0800</t>
  </si>
  <si>
    <t xml:space="preserve">INV-0801</t>
  </si>
  <si>
    <t xml:space="preserve">INV-0802</t>
  </si>
  <si>
    <t xml:space="preserve">INV-0803</t>
  </si>
  <si>
    <t xml:space="preserve">INV-0804</t>
  </si>
  <si>
    <t xml:space="preserve">INV-0805</t>
  </si>
  <si>
    <t xml:space="preserve">INV-0806</t>
  </si>
  <si>
    <t xml:space="preserve">INV-0807</t>
  </si>
  <si>
    <t xml:space="preserve">INV-0808</t>
  </si>
  <si>
    <t xml:space="preserve">INV-0809</t>
  </si>
  <si>
    <t xml:space="preserve">INV-0810</t>
  </si>
  <si>
    <t xml:space="preserve">INV-0811</t>
  </si>
  <si>
    <t xml:space="preserve">INV-0812</t>
  </si>
  <si>
    <t xml:space="preserve">INV-0813</t>
  </si>
  <si>
    <t xml:space="preserve">INV-0814</t>
  </si>
  <si>
    <t xml:space="preserve">C008</t>
  </si>
  <si>
    <t xml:space="preserve">INV-0815</t>
  </si>
  <si>
    <t xml:space="preserve">INV-0816</t>
  </si>
  <si>
    <t xml:space="preserve">INV-0817</t>
  </si>
  <si>
    <t xml:space="preserve">INV-0818</t>
  </si>
  <si>
    <t xml:space="preserve">INV-0819</t>
  </si>
  <si>
    <t xml:space="preserve">INV-0820</t>
  </si>
  <si>
    <t xml:space="preserve">INV-0821</t>
  </si>
  <si>
    <t xml:space="preserve">INV-0822</t>
  </si>
  <si>
    <t xml:space="preserve">INV-0823</t>
  </si>
  <si>
    <t xml:space="preserve">INV-0824</t>
  </si>
  <si>
    <t xml:space="preserve">INV-0825</t>
  </si>
  <si>
    <t xml:space="preserve">INV-0826</t>
  </si>
  <si>
    <t xml:space="preserve">INV-0827</t>
  </si>
  <si>
    <t xml:space="preserve">INV-0829</t>
  </si>
  <si>
    <t xml:space="preserve">INV-0830</t>
  </si>
  <si>
    <t xml:space="preserve">INV-0831</t>
  </si>
  <si>
    <t xml:space="preserve">INV-0832</t>
  </si>
  <si>
    <t xml:space="preserve">INV-0833</t>
  </si>
  <si>
    <t xml:space="preserve">INV-0834</t>
  </si>
  <si>
    <t xml:space="preserve">INV-0835</t>
  </si>
  <si>
    <t xml:space="preserve">INV-0836</t>
  </si>
  <si>
    <t xml:space="preserve">INV-0837</t>
  </si>
  <si>
    <t xml:space="preserve">INV-0838</t>
  </si>
  <si>
    <t xml:space="preserve">INV-0839</t>
  </si>
  <si>
    <t xml:space="preserve">INV-0840</t>
  </si>
  <si>
    <t xml:space="preserve">INV-0841</t>
  </si>
  <si>
    <t xml:space="preserve">INV-0842</t>
  </si>
  <si>
    <t xml:space="preserve">INV-0843</t>
  </si>
  <si>
    <t xml:space="preserve">INV-0844</t>
  </si>
  <si>
    <t xml:space="preserve">INV-0845</t>
  </si>
  <si>
    <t xml:space="preserve">INV-0846</t>
  </si>
  <si>
    <t xml:space="preserve">INV-0847</t>
  </si>
  <si>
    <t xml:space="preserve">INV-0848</t>
  </si>
  <si>
    <t xml:space="preserve">INV-0849</t>
  </si>
  <si>
    <t xml:space="preserve">INV-0850</t>
  </si>
  <si>
    <t xml:space="preserve">INV-0851</t>
  </si>
  <si>
    <t xml:space="preserve">INV-0852</t>
  </si>
  <si>
    <t xml:space="preserve">INV-0853</t>
  </si>
  <si>
    <t xml:space="preserve">INV-0854</t>
  </si>
  <si>
    <t xml:space="preserve">INV-0855</t>
  </si>
  <si>
    <t xml:space="preserve">INV-0856</t>
  </si>
  <si>
    <t xml:space="preserve">INV-0857</t>
  </si>
  <si>
    <t xml:space="preserve">INV-0858</t>
  </si>
  <si>
    <t xml:space="preserve">INV-0859</t>
  </si>
  <si>
    <t xml:space="preserve">INV-0860</t>
  </si>
  <si>
    <t xml:space="preserve">INV-0861</t>
  </si>
  <si>
    <t xml:space="preserve">INV-0862</t>
  </si>
  <si>
    <t xml:space="preserve">C123</t>
  </si>
  <si>
    <t xml:space="preserve">INV-0863</t>
  </si>
  <si>
    <t xml:space="preserve">INV-0864</t>
  </si>
  <si>
    <t xml:space="preserve">INV-0865</t>
  </si>
  <si>
    <t xml:space="preserve">INV-0866</t>
  </si>
  <si>
    <t xml:space="preserve">INV-0867</t>
  </si>
  <si>
    <t xml:space="preserve">INV-0868</t>
  </si>
  <si>
    <t xml:space="preserve">INV-0869</t>
  </si>
  <si>
    <t xml:space="preserve">INV-0870</t>
  </si>
  <si>
    <t xml:space="preserve">INV-0871</t>
  </si>
  <si>
    <t xml:space="preserve">INV-0872</t>
  </si>
  <si>
    <t xml:space="preserve">INV-0873</t>
  </si>
  <si>
    <t xml:space="preserve">INV-0874</t>
  </si>
  <si>
    <t xml:space="preserve">INV-0875</t>
  </si>
  <si>
    <t xml:space="preserve">INV-0876</t>
  </si>
  <si>
    <t xml:space="preserve">INV-0877</t>
  </si>
  <si>
    <t xml:space="preserve">INV-0878</t>
  </si>
  <si>
    <t xml:space="preserve">INV-0879</t>
  </si>
  <si>
    <t xml:space="preserve">INV-0880</t>
  </si>
  <si>
    <t xml:space="preserve">INV-0881</t>
  </si>
  <si>
    <t xml:space="preserve">INV-0882</t>
  </si>
  <si>
    <t xml:space="preserve">INV-0883</t>
  </si>
  <si>
    <t xml:space="preserve">INV-0884</t>
  </si>
  <si>
    <t xml:space="preserve">C020</t>
  </si>
  <si>
    <t xml:space="preserve">INV-0885</t>
  </si>
  <si>
    <t xml:space="preserve">INV-0886</t>
  </si>
  <si>
    <t xml:space="preserve">INV-0887</t>
  </si>
  <si>
    <t xml:space="preserve">INV-0888</t>
  </si>
  <si>
    <t xml:space="preserve">INV-0889</t>
  </si>
  <si>
    <t xml:space="preserve">INV-0890</t>
  </si>
  <si>
    <t xml:space="preserve">INV-0891</t>
  </si>
  <si>
    <t xml:space="preserve">INV-0892</t>
  </si>
  <si>
    <t xml:space="preserve">INV-0893</t>
  </si>
  <si>
    <t xml:space="preserve">INV-0894</t>
  </si>
  <si>
    <t xml:space="preserve">INV-0895</t>
  </si>
  <si>
    <t xml:space="preserve">INV-0896</t>
  </si>
  <si>
    <t xml:space="preserve">INV-0897</t>
  </si>
  <si>
    <t xml:space="preserve">INV-0898</t>
  </si>
  <si>
    <t xml:space="preserve">INV-0899</t>
  </si>
  <si>
    <t xml:space="preserve">INV-0900</t>
  </si>
  <si>
    <t xml:space="preserve">INV-0901</t>
  </si>
  <si>
    <t xml:space="preserve">INV-0902</t>
  </si>
  <si>
    <t xml:space="preserve">INV-0903</t>
  </si>
  <si>
    <t xml:space="preserve">INV-0904</t>
  </si>
  <si>
    <t xml:space="preserve">INV-0905</t>
  </si>
  <si>
    <t xml:space="preserve">INV-0906</t>
  </si>
  <si>
    <t xml:space="preserve">INV-0907</t>
  </si>
  <si>
    <t xml:space="preserve">INV-0908</t>
  </si>
  <si>
    <t xml:space="preserve">INV-0909</t>
  </si>
  <si>
    <t xml:space="preserve">INV-0910</t>
  </si>
  <si>
    <t xml:space="preserve">INV-0911</t>
  </si>
  <si>
    <t xml:space="preserve">INV-0912</t>
  </si>
  <si>
    <t xml:space="preserve">INV-0913</t>
  </si>
  <si>
    <t xml:space="preserve">C074</t>
  </si>
  <si>
    <t xml:space="preserve">INV-0914</t>
  </si>
  <si>
    <t xml:space="preserve">INV-0916</t>
  </si>
  <si>
    <t xml:space="preserve">INV-0917</t>
  </si>
  <si>
    <t xml:space="preserve">INV-0918</t>
  </si>
  <si>
    <t xml:space="preserve">INV-0919</t>
  </si>
  <si>
    <t xml:space="preserve">INV-0920</t>
  </si>
  <si>
    <t xml:space="preserve">INV-0921</t>
  </si>
  <si>
    <t xml:space="preserve">INV-0922</t>
  </si>
  <si>
    <t xml:space="preserve">INV-0923</t>
  </si>
  <si>
    <t xml:space="preserve">INV-0924</t>
  </si>
  <si>
    <t xml:space="preserve">INV-0925</t>
  </si>
  <si>
    <t xml:space="preserve">INV-0926</t>
  </si>
  <si>
    <t xml:space="preserve">INV-0927</t>
  </si>
  <si>
    <t xml:space="preserve">INV-0928</t>
  </si>
  <si>
    <t xml:space="preserve">INV-0929</t>
  </si>
  <si>
    <t xml:space="preserve">INV-0930</t>
  </si>
  <si>
    <t xml:space="preserve">INV-0931</t>
  </si>
  <si>
    <t xml:space="preserve">INV-0932</t>
  </si>
  <si>
    <t xml:space="preserve">INV-0933</t>
  </si>
  <si>
    <t xml:space="preserve">INV-0934</t>
  </si>
  <si>
    <t xml:space="preserve">INV-0935</t>
  </si>
  <si>
    <t xml:space="preserve">INV-0936</t>
  </si>
  <si>
    <t xml:space="preserve">INV-0937</t>
  </si>
  <si>
    <t xml:space="preserve">INV-0938</t>
  </si>
  <si>
    <t xml:space="preserve">INV-0939</t>
  </si>
  <si>
    <t xml:space="preserve">INV-0940</t>
  </si>
  <si>
    <t xml:space="preserve">INV-0941</t>
  </si>
  <si>
    <t xml:space="preserve">INV-0942</t>
  </si>
  <si>
    <t xml:space="preserve">INV-0943</t>
  </si>
  <si>
    <t xml:space="preserve">INV-0944</t>
  </si>
  <si>
    <t xml:space="preserve">INV-0945</t>
  </si>
  <si>
    <t xml:space="preserve">INV-0946</t>
  </si>
  <si>
    <t xml:space="preserve">INV-0947</t>
  </si>
  <si>
    <t xml:space="preserve">INV-0948</t>
  </si>
  <si>
    <t xml:space="preserve">INV-0949</t>
  </si>
  <si>
    <t xml:space="preserve">INV-0950</t>
  </si>
  <si>
    <t xml:space="preserve">INV-0951</t>
  </si>
  <si>
    <t xml:space="preserve">INV-0952</t>
  </si>
  <si>
    <t xml:space="preserve">INV-0953</t>
  </si>
  <si>
    <t xml:space="preserve">INV-0954</t>
  </si>
  <si>
    <t xml:space="preserve">INV-0955</t>
  </si>
  <si>
    <t xml:space="preserve">INV-0956</t>
  </si>
  <si>
    <t xml:space="preserve">INV-0957</t>
  </si>
  <si>
    <t xml:space="preserve">INV-0958</t>
  </si>
  <si>
    <t xml:space="preserve">INV-0959</t>
  </si>
  <si>
    <t xml:space="preserve">INV-0960</t>
  </si>
  <si>
    <t xml:space="preserve">INV-0961</t>
  </si>
  <si>
    <t xml:space="preserve">INV-0962</t>
  </si>
  <si>
    <t xml:space="preserve">INV-0963</t>
  </si>
  <si>
    <t xml:space="preserve">INV-0964</t>
  </si>
  <si>
    <t xml:space="preserve">INV-0965</t>
  </si>
  <si>
    <t xml:space="preserve">INV-0966</t>
  </si>
  <si>
    <t xml:space="preserve">INV-0967</t>
  </si>
  <si>
    <t xml:space="preserve">INV-0968</t>
  </si>
  <si>
    <t xml:space="preserve">INV-0969</t>
  </si>
  <si>
    <t xml:space="preserve">INV-0970</t>
  </si>
  <si>
    <t xml:space="preserve">INV-0971</t>
  </si>
  <si>
    <t xml:space="preserve">INV-0972</t>
  </si>
  <si>
    <t xml:space="preserve">INV-0973</t>
  </si>
  <si>
    <t xml:space="preserve">INV-0974</t>
  </si>
  <si>
    <t xml:space="preserve">INV-0975</t>
  </si>
  <si>
    <t xml:space="preserve">INV-0976</t>
  </si>
  <si>
    <t xml:space="preserve">INV-0977</t>
  </si>
  <si>
    <t xml:space="preserve">INV-0978</t>
  </si>
  <si>
    <t xml:space="preserve">INV-0979</t>
  </si>
  <si>
    <t xml:space="preserve">INV-0980</t>
  </si>
  <si>
    <t xml:space="preserve">INV-0981</t>
  </si>
  <si>
    <t xml:space="preserve">INV-0982</t>
  </si>
  <si>
    <t xml:space="preserve">INV-0983</t>
  </si>
  <si>
    <t xml:space="preserve">INV-0984</t>
  </si>
  <si>
    <t xml:space="preserve">INV-0985</t>
  </si>
  <si>
    <t xml:space="preserve">INV-0986</t>
  </si>
  <si>
    <t xml:space="preserve">INV-0987</t>
  </si>
  <si>
    <t xml:space="preserve">INV-0988</t>
  </si>
  <si>
    <t xml:space="preserve">INV-0989</t>
  </si>
  <si>
    <t xml:space="preserve">INV-0990</t>
  </si>
  <si>
    <t xml:space="preserve">INV-0991</t>
  </si>
  <si>
    <t xml:space="preserve">INV-0992</t>
  </si>
  <si>
    <t xml:space="preserve">INV-0993</t>
  </si>
  <si>
    <t xml:space="preserve">INV-0994</t>
  </si>
  <si>
    <t xml:space="preserve">INV-0995</t>
  </si>
  <si>
    <t xml:space="preserve">INV-0996</t>
  </si>
  <si>
    <t xml:space="preserve">INV-0997</t>
  </si>
  <si>
    <t xml:space="preserve">INV-0998</t>
  </si>
  <si>
    <t xml:space="preserve">INV-0999</t>
  </si>
  <si>
    <t xml:space="preserve">INV-1000</t>
  </si>
  <si>
    <t xml:space="preserve">INV-1001</t>
  </si>
  <si>
    <t xml:space="preserve">INV-1002</t>
  </si>
  <si>
    <t xml:space="preserve">INV-1003</t>
  </si>
  <si>
    <t xml:space="preserve">INV-1004</t>
  </si>
  <si>
    <t xml:space="preserve">INV-1005</t>
  </si>
  <si>
    <t xml:space="preserve">INV-1006</t>
  </si>
  <si>
    <t xml:space="preserve">INV-1007</t>
  </si>
  <si>
    <t xml:space="preserve">INV-1008</t>
  </si>
  <si>
    <t xml:space="preserve">INV-1009</t>
  </si>
  <si>
    <t xml:space="preserve">INV-1010</t>
  </si>
  <si>
    <t xml:space="preserve">INV-1011</t>
  </si>
  <si>
    <t xml:space="preserve">INV-1012</t>
  </si>
  <si>
    <t xml:space="preserve">INV-1013</t>
  </si>
  <si>
    <t xml:space="preserve">INV-1014</t>
  </si>
  <si>
    <t xml:space="preserve">INV-1015</t>
  </si>
  <si>
    <t xml:space="preserve">INV-1016</t>
  </si>
  <si>
    <t xml:space="preserve">INV-1017</t>
  </si>
  <si>
    <t xml:space="preserve">INV-1018</t>
  </si>
  <si>
    <t xml:space="preserve">INV-1019</t>
  </si>
  <si>
    <t xml:space="preserve">INV-1020</t>
  </si>
  <si>
    <t xml:space="preserve">C063</t>
  </si>
  <si>
    <t xml:space="preserve">INV-1021</t>
  </si>
  <si>
    <t xml:space="preserve">INV-1022</t>
  </si>
  <si>
    <t xml:space="preserve">INV-1023</t>
  </si>
  <si>
    <t xml:space="preserve">INV-1024</t>
  </si>
  <si>
    <t xml:space="preserve">INV-1025</t>
  </si>
  <si>
    <t xml:space="preserve">INV-1026</t>
  </si>
  <si>
    <t xml:space="preserve">INV-1027</t>
  </si>
  <si>
    <t xml:space="preserve">INV-1028</t>
  </si>
  <si>
    <t xml:space="preserve">INV-1029</t>
  </si>
  <si>
    <t xml:space="preserve">INV-1030</t>
  </si>
  <si>
    <t xml:space="preserve">INV-1031</t>
  </si>
  <si>
    <t xml:space="preserve">INV-1032</t>
  </si>
  <si>
    <t xml:space="preserve">INV-1033</t>
  </si>
  <si>
    <t xml:space="preserve">INV-1034</t>
  </si>
  <si>
    <t xml:space="preserve">INV-1035</t>
  </si>
  <si>
    <t xml:space="preserve">INV-1036</t>
  </si>
  <si>
    <t xml:space="preserve">INV-1037</t>
  </si>
  <si>
    <t xml:space="preserve">INV-1038</t>
  </si>
  <si>
    <t xml:space="preserve">INV-1039</t>
  </si>
  <si>
    <t xml:space="preserve">INV-1040</t>
  </si>
  <si>
    <t xml:space="preserve">INV-1041</t>
  </si>
  <si>
    <t xml:space="preserve">INV-1042</t>
  </si>
  <si>
    <t xml:space="preserve">INV-1043</t>
  </si>
  <si>
    <t xml:space="preserve">INV-1044</t>
  </si>
  <si>
    <t xml:space="preserve">INV-1045</t>
  </si>
  <si>
    <t xml:space="preserve">INV-1046</t>
  </si>
  <si>
    <t xml:space="preserve">INV-1047</t>
  </si>
  <si>
    <t xml:space="preserve">INV-1048</t>
  </si>
  <si>
    <t xml:space="preserve">INV-1049</t>
  </si>
  <si>
    <t xml:space="preserve">INV-1050</t>
  </si>
  <si>
    <t xml:space="preserve">INV-1051</t>
  </si>
  <si>
    <t xml:space="preserve">INV-1052</t>
  </si>
  <si>
    <t xml:space="preserve">INV-1053</t>
  </si>
  <si>
    <t xml:space="preserve">INV-1054</t>
  </si>
  <si>
    <t xml:space="preserve">INV-1055</t>
  </si>
  <si>
    <t xml:space="preserve">INV-1056</t>
  </si>
  <si>
    <t xml:space="preserve">INV-1057</t>
  </si>
  <si>
    <t xml:space="preserve">INV-1058</t>
  </si>
  <si>
    <t xml:space="preserve">INV-1059</t>
  </si>
  <si>
    <t xml:space="preserve">INV-1060</t>
  </si>
  <si>
    <t xml:space="preserve">INV-1061</t>
  </si>
  <si>
    <t xml:space="preserve">INV-1062</t>
  </si>
  <si>
    <t xml:space="preserve">INV-1063</t>
  </si>
  <si>
    <t xml:space="preserve">INV-1064</t>
  </si>
  <si>
    <t xml:space="preserve">INV-1065</t>
  </si>
  <si>
    <t xml:space="preserve">INV-1066</t>
  </si>
  <si>
    <t xml:space="preserve">INV-1067</t>
  </si>
  <si>
    <t xml:space="preserve">INV-1068</t>
  </si>
  <si>
    <t xml:space="preserve">INV-1069</t>
  </si>
  <si>
    <t xml:space="preserve">INV-1070</t>
  </si>
  <si>
    <t xml:space="preserve">INV-1071</t>
  </si>
  <si>
    <t xml:space="preserve">INV-1072</t>
  </si>
  <si>
    <t xml:space="preserve">INV-1073</t>
  </si>
  <si>
    <t xml:space="preserve">INV-1074</t>
  </si>
  <si>
    <t xml:space="preserve">INV-1075</t>
  </si>
  <si>
    <t xml:space="preserve">INV-1076</t>
  </si>
  <si>
    <t xml:space="preserve">INV-1077</t>
  </si>
  <si>
    <t xml:space="preserve">INV-1078</t>
  </si>
  <si>
    <t xml:space="preserve">INV-1079</t>
  </si>
  <si>
    <t xml:space="preserve">INV-1080</t>
  </si>
  <si>
    <t xml:space="preserve">INV-1081</t>
  </si>
  <si>
    <t xml:space="preserve">INV-1082</t>
  </si>
  <si>
    <t xml:space="preserve">INV-1083</t>
  </si>
  <si>
    <t xml:space="preserve">INV-1084</t>
  </si>
  <si>
    <t xml:space="preserve">INV-1085</t>
  </si>
  <si>
    <t xml:space="preserve">INV-1086</t>
  </si>
  <si>
    <t xml:space="preserve">INV-1087</t>
  </si>
  <si>
    <t xml:space="preserve">INV-1088</t>
  </si>
  <si>
    <t xml:space="preserve">INV-1089</t>
  </si>
  <si>
    <t xml:space="preserve">INV-1090</t>
  </si>
  <si>
    <t xml:space="preserve">INV-1091</t>
  </si>
  <si>
    <t xml:space="preserve">INV-1092</t>
  </si>
  <si>
    <t xml:space="preserve">INV-1093</t>
  </si>
  <si>
    <t xml:space="preserve">INV-1094</t>
  </si>
  <si>
    <t xml:space="preserve">INV-1095</t>
  </si>
  <si>
    <t xml:space="preserve">INV-1096</t>
  </si>
  <si>
    <t xml:space="preserve">INV-1097</t>
  </si>
  <si>
    <t xml:space="preserve">INV-1098</t>
  </si>
  <si>
    <t xml:space="preserve">INV-1099</t>
  </si>
  <si>
    <t xml:space="preserve">INV-1100</t>
  </si>
  <si>
    <t xml:space="preserve">INV-1101</t>
  </si>
  <si>
    <t xml:space="preserve">INV-1102</t>
  </si>
  <si>
    <t xml:space="preserve">INV-1103</t>
  </si>
  <si>
    <t xml:space="preserve">INV-1104</t>
  </si>
  <si>
    <t xml:space="preserve">INV-1105</t>
  </si>
  <si>
    <t xml:space="preserve">INV-1106</t>
  </si>
  <si>
    <t xml:space="preserve">INV-1107</t>
  </si>
  <si>
    <t xml:space="preserve">INV-1108</t>
  </si>
  <si>
    <t xml:space="preserve">INV-1109</t>
  </si>
  <si>
    <t xml:space="preserve">INV-1110</t>
  </si>
  <si>
    <t xml:space="preserve">INV-1111</t>
  </si>
  <si>
    <t xml:space="preserve">C031</t>
  </si>
  <si>
    <t xml:space="preserve">INV-1112</t>
  </si>
  <si>
    <t xml:space="preserve">INV-1113</t>
  </si>
  <si>
    <t xml:space="preserve">INV-1114</t>
  </si>
  <si>
    <t xml:space="preserve">INV-1115</t>
  </si>
  <si>
    <t xml:space="preserve">INV-1116</t>
  </si>
  <si>
    <t xml:space="preserve">INV-1117</t>
  </si>
  <si>
    <t xml:space="preserve">INV-1118</t>
  </si>
  <si>
    <t xml:space="preserve">INV-1119</t>
  </si>
  <si>
    <t xml:space="preserve">INV-1120</t>
  </si>
  <si>
    <t xml:space="preserve">INV-1121</t>
  </si>
  <si>
    <t xml:space="preserve">INV-1122</t>
  </si>
  <si>
    <t xml:space="preserve">INV-1123</t>
  </si>
  <si>
    <t xml:space="preserve">INV-1124</t>
  </si>
  <si>
    <t xml:space="preserve">INV-1125</t>
  </si>
  <si>
    <t xml:space="preserve">INV-1126</t>
  </si>
  <si>
    <t xml:space="preserve">INV-1127</t>
  </si>
  <si>
    <t xml:space="preserve">INV-1128</t>
  </si>
  <si>
    <t xml:space="preserve">INV-1129</t>
  </si>
  <si>
    <t xml:space="preserve">INV-1130</t>
  </si>
  <si>
    <t xml:space="preserve">INV-1131</t>
  </si>
  <si>
    <t xml:space="preserve">INV-1132</t>
  </si>
  <si>
    <t xml:space="preserve">INV-1133</t>
  </si>
  <si>
    <t xml:space="preserve">INV-1134</t>
  </si>
  <si>
    <t xml:space="preserve">INV-1135</t>
  </si>
  <si>
    <t xml:space="preserve">INV-1136</t>
  </si>
  <si>
    <t xml:space="preserve">INV-1137</t>
  </si>
  <si>
    <t xml:space="preserve">Sudah 2x dihubungi, belum ada kepastian</t>
  </si>
  <si>
    <t xml:space="preserve">INV-1138</t>
  </si>
  <si>
    <t xml:space="preserve">INV-1139</t>
  </si>
  <si>
    <t xml:space="preserve">INV-1140</t>
  </si>
  <si>
    <t xml:space="preserve">INV-1141</t>
  </si>
  <si>
    <t xml:space="preserve">INV-1142</t>
  </si>
  <si>
    <t xml:space="preserve">INV-1143</t>
  </si>
  <si>
    <t xml:space="preserve">INV-1144</t>
  </si>
  <si>
    <t xml:space="preserve">INV-1145</t>
  </si>
  <si>
    <t xml:space="preserve">INV-1146</t>
  </si>
  <si>
    <t xml:space="preserve">INV-1147</t>
  </si>
  <si>
    <t xml:space="preserve">INV-1148</t>
  </si>
  <si>
    <t xml:space="preserve">INV-1149</t>
  </si>
  <si>
    <t xml:space="preserve">INV-1150</t>
  </si>
  <si>
    <t xml:space="preserve">INV-1151</t>
  </si>
  <si>
    <t xml:space="preserve">INV-1152</t>
  </si>
  <si>
    <t xml:space="preserve">INV-1153</t>
  </si>
  <si>
    <t xml:space="preserve">INV-1154</t>
  </si>
  <si>
    <t xml:space="preserve">INV-1155</t>
  </si>
  <si>
    <t xml:space="preserve">INV-1156</t>
  </si>
  <si>
    <t xml:space="preserve">INV-1157</t>
  </si>
  <si>
    <t xml:space="preserve">INV-1158</t>
  </si>
  <si>
    <t xml:space="preserve">INV-1159</t>
  </si>
  <si>
    <t xml:space="preserve">INV-1160</t>
  </si>
  <si>
    <t xml:space="preserve">INV-1161</t>
  </si>
  <si>
    <t xml:space="preserve">INV-1162</t>
  </si>
  <si>
    <t xml:space="preserve">INV-1163</t>
  </si>
  <si>
    <t xml:space="preserve">INV-1164</t>
  </si>
  <si>
    <t xml:space="preserve">INV-1165</t>
  </si>
  <si>
    <t xml:space="preserve">INV-1166</t>
  </si>
  <si>
    <t xml:space="preserve">INV-1167</t>
  </si>
  <si>
    <t xml:space="preserve">INV-1168</t>
  </si>
  <si>
    <t xml:space="preserve">INV-1169</t>
  </si>
  <si>
    <t xml:space="preserve">INV-1170</t>
  </si>
  <si>
    <t xml:space="preserve">INV-1171</t>
  </si>
  <si>
    <t xml:space="preserve">INV-1172</t>
  </si>
  <si>
    <t xml:space="preserve">INV-1173</t>
  </si>
  <si>
    <t xml:space="preserve">INV-1174</t>
  </si>
  <si>
    <t xml:space="preserve">INV-1175</t>
  </si>
  <si>
    <t xml:space="preserve">INV-1176</t>
  </si>
  <si>
    <t xml:space="preserve">INV-1177</t>
  </si>
  <si>
    <t xml:space="preserve">INV-1178</t>
  </si>
  <si>
    <t xml:space="preserve">INV-1179</t>
  </si>
  <si>
    <t xml:space="preserve">INV-1180</t>
  </si>
  <si>
    <t xml:space="preserve">INV-1181</t>
  </si>
  <si>
    <t xml:space="preserve">INV-1182</t>
  </si>
  <si>
    <t xml:space="preserve">INV-1183</t>
  </si>
  <si>
    <t xml:space="preserve">INV-1184</t>
  </si>
  <si>
    <t xml:space="preserve">INV-1185</t>
  </si>
  <si>
    <t xml:space="preserve">INV-1186</t>
  </si>
  <si>
    <t xml:space="preserve">INV-1187</t>
  </si>
  <si>
    <t xml:space="preserve">INV-1188</t>
  </si>
  <si>
    <t xml:space="preserve">INV-1189</t>
  </si>
  <si>
    <t xml:space="preserve">INV-1190</t>
  </si>
  <si>
    <t xml:space="preserve">INV-1191</t>
  </si>
  <si>
    <t xml:space="preserve">INV-1192</t>
  </si>
  <si>
    <t xml:space="preserve">INV-1193</t>
  </si>
  <si>
    <t xml:space="preserve">INV-1194</t>
  </si>
  <si>
    <t xml:space="preserve">INV-1195</t>
  </si>
  <si>
    <t xml:space="preserve">INV-1196</t>
  </si>
  <si>
    <t xml:space="preserve">INV-1197</t>
  </si>
  <si>
    <t xml:space="preserve">C114</t>
  </si>
  <si>
    <t xml:space="preserve">INV-1198</t>
  </si>
  <si>
    <t xml:space="preserve">INV-1199</t>
  </si>
  <si>
    <t xml:space="preserve">INV-1200</t>
  </si>
  <si>
    <t xml:space="preserve">INV-1201</t>
  </si>
  <si>
    <t xml:space="preserve">INV-1203</t>
  </si>
  <si>
    <t xml:space="preserve">INV-1204</t>
  </si>
  <si>
    <t xml:space="preserve">INV-1205</t>
  </si>
  <si>
    <t xml:space="preserve">INV-1206</t>
  </si>
  <si>
    <t xml:space="preserve">INV-1207</t>
  </si>
  <si>
    <t xml:space="preserve">INV-1208</t>
  </si>
  <si>
    <t xml:space="preserve">INV-1209</t>
  </si>
  <si>
    <t xml:space="preserve">INV-1210</t>
  </si>
  <si>
    <t xml:space="preserve">INV-1211</t>
  </si>
  <si>
    <t xml:space="preserve">INV-1212</t>
  </si>
  <si>
    <t xml:space="preserve">INV-1213</t>
  </si>
  <si>
    <t xml:space="preserve">INV-1214</t>
  </si>
  <si>
    <t xml:space="preserve">INV-1215</t>
  </si>
  <si>
    <t xml:space="preserve">INV-1216</t>
  </si>
  <si>
    <t xml:space="preserve">INV-1217</t>
  </si>
  <si>
    <t xml:space="preserve">INV-1218</t>
  </si>
  <si>
    <t xml:space="preserve">INV-1219</t>
  </si>
  <si>
    <t xml:space="preserve">INV-1220</t>
  </si>
  <si>
    <t xml:space="preserve">INV-1221</t>
  </si>
  <si>
    <t xml:space="preserve">INV-1222</t>
  </si>
  <si>
    <t xml:space="preserve">INV-1223</t>
  </si>
  <si>
    <t xml:space="preserve">INV-1224</t>
  </si>
  <si>
    <t xml:space="preserve">INV-1225</t>
  </si>
  <si>
    <t xml:space="preserve">INV-1226</t>
  </si>
  <si>
    <t xml:space="preserve">INV-1227</t>
  </si>
  <si>
    <t xml:space="preserve">INV-1228</t>
  </si>
  <si>
    <t xml:space="preserve">INV-1229</t>
  </si>
  <si>
    <t xml:space="preserve">INV-1230</t>
  </si>
  <si>
    <t xml:space="preserve">INV-1231</t>
  </si>
  <si>
    <t xml:space="preserve">INV-1232</t>
  </si>
  <si>
    <t xml:space="preserve">INV-1233</t>
  </si>
  <si>
    <t xml:space="preserve">INV-1234</t>
  </si>
  <si>
    <t xml:space="preserve">INV-1235</t>
  </si>
  <si>
    <t xml:space="preserve">INV-1236</t>
  </si>
  <si>
    <t xml:space="preserve">INV-1237</t>
  </si>
  <si>
    <t xml:space="preserve">INV-1238</t>
  </si>
  <si>
    <t xml:space="preserve">INV-1239</t>
  </si>
  <si>
    <t xml:space="preserve">INV-1240</t>
  </si>
  <si>
    <t xml:space="preserve">INV-1241</t>
  </si>
  <si>
    <t xml:space="preserve">INV-1242</t>
  </si>
  <si>
    <t xml:space="preserve">INV-1243</t>
  </si>
  <si>
    <t xml:space="preserve">INV-1244</t>
  </si>
  <si>
    <t xml:space="preserve">INV-1245</t>
  </si>
  <si>
    <t xml:space="preserve">INV-1246</t>
  </si>
  <si>
    <t xml:space="preserve">INV-1247</t>
  </si>
  <si>
    <t xml:space="preserve">INV-1248</t>
  </si>
  <si>
    <t xml:space="preserve">INV-1249</t>
  </si>
  <si>
    <t xml:space="preserve">INV-1250</t>
  </si>
  <si>
    <t xml:space="preserve">INV-1251</t>
  </si>
  <si>
    <t xml:space="preserve">INV-1252</t>
  </si>
  <si>
    <t xml:space="preserve">INV-1253</t>
  </si>
  <si>
    <t xml:space="preserve">INV-1254</t>
  </si>
  <si>
    <t xml:space="preserve">INV-1255</t>
  </si>
  <si>
    <t xml:space="preserve">INV-1256</t>
  </si>
  <si>
    <t xml:space="preserve">INV-1257</t>
  </si>
  <si>
    <t xml:space="preserve">INV-1258</t>
  </si>
  <si>
    <t xml:space="preserve">INV-1259</t>
  </si>
  <si>
    <t xml:space="preserve">INV-1260</t>
  </si>
  <si>
    <t xml:space="preserve">INV-1261</t>
  </si>
  <si>
    <t xml:space="preserve">INV-1262</t>
  </si>
  <si>
    <t xml:space="preserve">INV-1263</t>
  </si>
  <si>
    <t xml:space="preserve">INV-1264</t>
  </si>
  <si>
    <t xml:space="preserve">INV-1265</t>
  </si>
  <si>
    <t xml:space="preserve">INV-1266</t>
  </si>
  <si>
    <t xml:space="preserve">INV-1267</t>
  </si>
  <si>
    <t xml:space="preserve">INV-1268</t>
  </si>
  <si>
    <t xml:space="preserve">INV-1269</t>
  </si>
  <si>
    <t xml:space="preserve">INV-1270</t>
  </si>
  <si>
    <t xml:space="preserve">INV-1271</t>
  </si>
  <si>
    <t xml:space="preserve">INV-1272</t>
  </si>
  <si>
    <t xml:space="preserve">INV-1273</t>
  </si>
  <si>
    <t xml:space="preserve">INV-1274</t>
  </si>
  <si>
    <t xml:space="preserve">INV-1275</t>
  </si>
  <si>
    <t xml:space="preserve">INV-1276</t>
  </si>
  <si>
    <t xml:space="preserve">INV-1277</t>
  </si>
  <si>
    <t xml:space="preserve">INV-1278</t>
  </si>
  <si>
    <t xml:space="preserve">INV-1279</t>
  </si>
  <si>
    <t xml:space="preserve">INV-1280</t>
  </si>
  <si>
    <t xml:space="preserve">INV-1281</t>
  </si>
  <si>
    <t xml:space="preserve">INV-1282</t>
  </si>
  <si>
    <t xml:space="preserve">INV-1283</t>
  </si>
  <si>
    <t xml:space="preserve">INV-1284</t>
  </si>
  <si>
    <t xml:space="preserve">INV-1285</t>
  </si>
  <si>
    <t xml:space="preserve">INV-1286</t>
  </si>
  <si>
    <t xml:space="preserve">INV-1287</t>
  </si>
  <si>
    <t xml:space="preserve">INV-1288</t>
  </si>
  <si>
    <t xml:space="preserve">INV-1289</t>
  </si>
  <si>
    <t xml:space="preserve">INV-1290</t>
  </si>
  <si>
    <t xml:space="preserve">INV-1291</t>
  </si>
  <si>
    <t xml:space="preserve">INV-1292</t>
  </si>
  <si>
    <t xml:space="preserve">INV-1293</t>
  </si>
  <si>
    <t xml:space="preserve">INV-1294</t>
  </si>
  <si>
    <t xml:space="preserve">INV-1295</t>
  </si>
  <si>
    <t xml:space="preserve">INV-1296</t>
  </si>
  <si>
    <t xml:space="preserve">INV-1297</t>
  </si>
  <si>
    <t xml:space="preserve">INV-1298</t>
  </si>
  <si>
    <t xml:space="preserve">INV-1299</t>
  </si>
  <si>
    <t xml:space="preserve">INV-1300</t>
  </si>
  <si>
    <t xml:space="preserve">INV-1301</t>
  </si>
  <si>
    <t xml:space="preserve">INV-1302</t>
  </si>
  <si>
    <t xml:space="preserve">INV-1303</t>
  </si>
  <si>
    <t xml:space="preserve">INV-1304</t>
  </si>
  <si>
    <t xml:space="preserve">INV-1305</t>
  </si>
  <si>
    <t xml:space="preserve">INV-1307</t>
  </si>
  <si>
    <t xml:space="preserve">INV-1308</t>
  </si>
  <si>
    <t xml:space="preserve">INV-1309</t>
  </si>
  <si>
    <t xml:space="preserve">INV-1310</t>
  </si>
  <si>
    <t xml:space="preserve">INV-1311</t>
  </si>
  <si>
    <t xml:space="preserve">INV-1312</t>
  </si>
  <si>
    <t xml:space="preserve">INV-1313</t>
  </si>
  <si>
    <t xml:space="preserve">INV-1314</t>
  </si>
  <si>
    <t xml:space="preserve">INV-1315</t>
  </si>
  <si>
    <t xml:space="preserve">INV-1316</t>
  </si>
  <si>
    <t xml:space="preserve">INV-1317</t>
  </si>
  <si>
    <t xml:space="preserve">INV-1318</t>
  </si>
  <si>
    <t xml:space="preserve">INV-1319</t>
  </si>
  <si>
    <t xml:space="preserve">INV-1320</t>
  </si>
  <si>
    <t xml:space="preserve">INV-1321</t>
  </si>
  <si>
    <t xml:space="preserve">INV-1322</t>
  </si>
  <si>
    <t xml:space="preserve">INV-1323</t>
  </si>
  <si>
    <t xml:space="preserve">INV-1324</t>
  </si>
  <si>
    <t xml:space="preserve">INV-1325</t>
  </si>
  <si>
    <t xml:space="preserve">INV-1326</t>
  </si>
  <si>
    <t xml:space="preserve">INV-1327</t>
  </si>
  <si>
    <t xml:space="preserve">INV-1328</t>
  </si>
  <si>
    <t xml:space="preserve">INV-1329</t>
  </si>
  <si>
    <t xml:space="preserve">INV-1330</t>
  </si>
  <si>
    <t xml:space="preserve">INV-1331</t>
  </si>
  <si>
    <t xml:space="preserve">INV-1332</t>
  </si>
  <si>
    <t xml:space="preserve">INV-1333</t>
  </si>
  <si>
    <t xml:space="preserve">INV-1334</t>
  </si>
  <si>
    <t xml:space="preserve">INV-1335</t>
  </si>
  <si>
    <t xml:space="preserve">INV-1336</t>
  </si>
  <si>
    <t xml:space="preserve">INV-1337</t>
  </si>
  <si>
    <t xml:space="preserve">INV-1338</t>
  </si>
  <si>
    <t xml:space="preserve">INV-1339</t>
  </si>
  <si>
    <t xml:space="preserve">INV-1340</t>
  </si>
  <si>
    <t xml:space="preserve">INV-1341</t>
  </si>
  <si>
    <t xml:space="preserve">INV-1342</t>
  </si>
  <si>
    <t xml:space="preserve">INV-1343</t>
  </si>
  <si>
    <t xml:space="preserve">INV-1344</t>
  </si>
  <si>
    <t xml:space="preserve">INV-1345</t>
  </si>
  <si>
    <t xml:space="preserve">INV-1346</t>
  </si>
  <si>
    <t xml:space="preserve">INV-1347</t>
  </si>
  <si>
    <t xml:space="preserve">INV-1348</t>
  </si>
  <si>
    <t xml:space="preserve">INV-1349</t>
  </si>
  <si>
    <t xml:space="preserve">INV-1350</t>
  </si>
  <si>
    <t xml:space="preserve">INV-1351</t>
  </si>
  <si>
    <t xml:space="preserve">INV-1352</t>
  </si>
  <si>
    <t xml:space="preserve">INV-1353</t>
  </si>
  <si>
    <t xml:space="preserve">INV-1354</t>
  </si>
  <si>
    <t xml:space="preserve">INV-1355</t>
  </si>
  <si>
    <t xml:space="preserve">INV-1356</t>
  </si>
  <si>
    <t xml:space="preserve">INV-1357</t>
  </si>
  <si>
    <t xml:space="preserve">INV-1358</t>
  </si>
  <si>
    <t xml:space="preserve">INV-1359</t>
  </si>
  <si>
    <t xml:space="preserve">INV-1360</t>
  </si>
  <si>
    <t xml:space="preserve">INV-1361</t>
  </si>
  <si>
    <t xml:space="preserve">INV-1362</t>
  </si>
  <si>
    <t xml:space="preserve">INV-1363</t>
  </si>
  <si>
    <t xml:space="preserve">INV-1364</t>
  </si>
  <si>
    <t xml:space="preserve">INV-1365</t>
  </si>
  <si>
    <t xml:space="preserve">INV-1366</t>
  </si>
  <si>
    <t xml:space="preserve">INV-1367</t>
  </si>
  <si>
    <t xml:space="preserve">INV-1368</t>
  </si>
  <si>
    <t xml:space="preserve">INV-1369</t>
  </si>
  <si>
    <t xml:space="preserve">INV-1370</t>
  </si>
  <si>
    <t xml:space="preserve">INV-1371</t>
  </si>
  <si>
    <t xml:space="preserve">INV-1372</t>
  </si>
  <si>
    <t xml:space="preserve">INV-1373</t>
  </si>
  <si>
    <t xml:space="preserve">INV-1374</t>
  </si>
  <si>
    <t xml:space="preserve">INV-1375</t>
  </si>
  <si>
    <t xml:space="preserve">INV-1376</t>
  </si>
  <si>
    <t xml:space="preserve">INV-1377</t>
  </si>
  <si>
    <t xml:space="preserve">INV-1378</t>
  </si>
  <si>
    <t xml:space="preserve">INV-1379</t>
  </si>
  <si>
    <t xml:space="preserve">INV-1380</t>
  </si>
  <si>
    <t xml:space="preserve">INV-1381</t>
  </si>
  <si>
    <t xml:space="preserve">INV-1382</t>
  </si>
  <si>
    <t xml:space="preserve">INV-1383</t>
  </si>
  <si>
    <t xml:space="preserve">INV-1384</t>
  </si>
  <si>
    <t xml:space="preserve">INV-1385</t>
  </si>
  <si>
    <t xml:space="preserve">INV-1386</t>
  </si>
  <si>
    <t xml:space="preserve">INV-1387</t>
  </si>
  <si>
    <t xml:space="preserve">INV-1388</t>
  </si>
  <si>
    <t xml:space="preserve">INV-1389</t>
  </si>
  <si>
    <t xml:space="preserve">INV-1390</t>
  </si>
  <si>
    <t xml:space="preserve">INV-1391</t>
  </si>
  <si>
    <t xml:space="preserve">INV-1392</t>
  </si>
  <si>
    <t xml:space="preserve">INV-1393</t>
  </si>
  <si>
    <t xml:space="preserve">INV-1394</t>
  </si>
  <si>
    <t xml:space="preserve">INV-1395</t>
  </si>
  <si>
    <t xml:space="preserve">INV-1396</t>
  </si>
  <si>
    <t xml:space="preserve">INV-1397</t>
  </si>
  <si>
    <t xml:space="preserve">INV-1398</t>
  </si>
  <si>
    <t xml:space="preserve">INV-1399</t>
  </si>
  <si>
    <t xml:space="preserve">INV-1400</t>
  </si>
  <si>
    <t xml:space="preserve">INV-1401</t>
  </si>
  <si>
    <t xml:space="preserve">INV-1402</t>
  </si>
  <si>
    <t xml:space="preserve">INV-1403</t>
  </si>
  <si>
    <t xml:space="preserve">INV-1404</t>
  </si>
  <si>
    <t xml:space="preserve">INV-1405</t>
  </si>
  <si>
    <t xml:space="preserve">INV-1407</t>
  </si>
  <si>
    <t xml:space="preserve">INV-1408</t>
  </si>
  <si>
    <t xml:space="preserve">INV-1409</t>
  </si>
  <si>
    <t xml:space="preserve">INV-1410</t>
  </si>
  <si>
    <t xml:space="preserve">INV-1411</t>
  </si>
  <si>
    <t xml:space="preserve">INV-1412</t>
  </si>
  <si>
    <t xml:space="preserve">INV-1413</t>
  </si>
  <si>
    <t xml:space="preserve">INV-1414</t>
  </si>
  <si>
    <t xml:space="preserve">INV-1415</t>
  </si>
  <si>
    <t xml:space="preserve">INV-1416</t>
  </si>
  <si>
    <t xml:space="preserve">INV-1417</t>
  </si>
  <si>
    <t xml:space="preserve">Negosiasi cicilan 2x</t>
  </si>
  <si>
    <t xml:space="preserve">INV-1418</t>
  </si>
  <si>
    <t xml:space="preserve">INV-1419</t>
  </si>
  <si>
    <t xml:space="preserve">INV-1420</t>
  </si>
  <si>
    <t xml:space="preserve">INV-1421</t>
  </si>
  <si>
    <t xml:space="preserve">INV-1422</t>
  </si>
  <si>
    <t xml:space="preserve">INV-1423</t>
  </si>
  <si>
    <t xml:space="preserve">INV-1424</t>
  </si>
  <si>
    <t xml:space="preserve">INV-1425</t>
  </si>
  <si>
    <t xml:space="preserve">INV-1426</t>
  </si>
  <si>
    <t xml:space="preserve">INV-1427</t>
  </si>
  <si>
    <t xml:space="preserve">INV-1428</t>
  </si>
  <si>
    <t xml:space="preserve">INV-1429</t>
  </si>
  <si>
    <t xml:space="preserve">INV-1430</t>
  </si>
  <si>
    <t xml:space="preserve">INV-1431</t>
  </si>
  <si>
    <t xml:space="preserve">INV-1432</t>
  </si>
  <si>
    <t xml:space="preserve">INV-1433</t>
  </si>
  <si>
    <t xml:space="preserve">INV-1434</t>
  </si>
  <si>
    <t xml:space="preserve">INV-1435</t>
  </si>
  <si>
    <t xml:space="preserve">INV-1436</t>
  </si>
  <si>
    <t xml:space="preserve">INV-1437</t>
  </si>
  <si>
    <t xml:space="preserve">INV-1438</t>
  </si>
  <si>
    <t xml:space="preserve">INV-1439</t>
  </si>
  <si>
    <t xml:space="preserve">INV-1440</t>
  </si>
  <si>
    <t xml:space="preserve">INV-1441</t>
  </si>
  <si>
    <t xml:space="preserve">INV-1442</t>
  </si>
  <si>
    <t xml:space="preserve">INV-1443</t>
  </si>
  <si>
    <t xml:space="preserve">INV-1444</t>
  </si>
  <si>
    <t xml:space="preserve">INV-1445</t>
  </si>
  <si>
    <t xml:space="preserve">INV-1446</t>
  </si>
  <si>
    <t xml:space="preserve">INV-1447</t>
  </si>
  <si>
    <t xml:space="preserve">INV-1448</t>
  </si>
  <si>
    <t xml:space="preserve">INV-1449</t>
  </si>
  <si>
    <t xml:space="preserve">C029</t>
  </si>
  <si>
    <t xml:space="preserve">INV-1450</t>
  </si>
  <si>
    <t xml:space="preserve">INV-1451</t>
  </si>
  <si>
    <t xml:space="preserve">INV-1452</t>
  </si>
  <si>
    <t xml:space="preserve">INV-1453</t>
  </si>
  <si>
    <t xml:space="preserve">INV-1454</t>
  </si>
  <si>
    <t xml:space="preserve">INV-1455</t>
  </si>
  <si>
    <t xml:space="preserve">INV-1456</t>
  </si>
  <si>
    <t xml:space="preserve">INV-1457</t>
  </si>
  <si>
    <t xml:space="preserve">INV-1458</t>
  </si>
  <si>
    <t xml:space="preserve">INV-1459</t>
  </si>
  <si>
    <t xml:space="preserve">INV-1460</t>
  </si>
  <si>
    <t xml:space="preserve">INV-1461</t>
  </si>
  <si>
    <t xml:space="preserve">INV-1462</t>
  </si>
  <si>
    <t xml:space="preserve">INV-1463</t>
  </si>
  <si>
    <t xml:space="preserve">INV-1464</t>
  </si>
  <si>
    <t xml:space="preserve">INV-1465</t>
  </si>
  <si>
    <t xml:space="preserve">INV-1466</t>
  </si>
  <si>
    <t xml:space="preserve">INV-1467</t>
  </si>
  <si>
    <t xml:space="preserve">INV-1468</t>
  </si>
  <si>
    <t xml:space="preserve">INV-1469</t>
  </si>
  <si>
    <t xml:space="preserve">INV-1470</t>
  </si>
  <si>
    <t xml:space="preserve">INV-1471</t>
  </si>
  <si>
    <t xml:space="preserve">INV-1472</t>
  </si>
  <si>
    <t xml:space="preserve">INV-1473</t>
  </si>
  <si>
    <t xml:space="preserve">INV-1474</t>
  </si>
  <si>
    <t xml:space="preserve">INV-1475</t>
  </si>
  <si>
    <t xml:space="preserve">INV-1476</t>
  </si>
  <si>
    <t xml:space="preserve">INV-1477</t>
  </si>
  <si>
    <t xml:space="preserve">INV-1478</t>
  </si>
  <si>
    <t xml:space="preserve">INV-1479</t>
  </si>
  <si>
    <t xml:space="preserve">INV-1480</t>
  </si>
  <si>
    <t xml:space="preserve">INV-1481</t>
  </si>
  <si>
    <t xml:space="preserve">INV-1482</t>
  </si>
  <si>
    <t xml:space="preserve">INV-1484</t>
  </si>
  <si>
    <t xml:space="preserve">INV-1485</t>
  </si>
  <si>
    <t xml:space="preserve">INV-1486</t>
  </si>
  <si>
    <t xml:space="preserve">INV-1487</t>
  </si>
  <si>
    <t xml:space="preserve">INV-1488</t>
  </si>
  <si>
    <t xml:space="preserve">INV-1489</t>
  </si>
  <si>
    <t xml:space="preserve">INV-1490</t>
  </si>
  <si>
    <t xml:space="preserve">INV-1491</t>
  </si>
  <si>
    <t xml:space="preserve">INV-1492</t>
  </si>
  <si>
    <t xml:space="preserve">INV-1493</t>
  </si>
  <si>
    <t xml:space="preserve">INV-1494</t>
  </si>
  <si>
    <t xml:space="preserve">INV-1495</t>
  </si>
  <si>
    <t xml:space="preserve">INV-1496</t>
  </si>
  <si>
    <t xml:space="preserve">INV-1497</t>
  </si>
  <si>
    <t xml:space="preserve">INV-1498</t>
  </si>
  <si>
    <t xml:space="preserve">INV-1499</t>
  </si>
  <si>
    <t xml:space="preserve">INV-1500</t>
  </si>
  <si>
    <t xml:space="preserve">INV-1501</t>
  </si>
  <si>
    <t xml:space="preserve">INV-1502</t>
  </si>
  <si>
    <t xml:space="preserve">INV-1503</t>
  </si>
  <si>
    <t xml:space="preserve">INV-1504</t>
  </si>
  <si>
    <t xml:space="preserve">INV-1505</t>
  </si>
  <si>
    <t xml:space="preserve">INV-1506</t>
  </si>
  <si>
    <t xml:space="preserve">INV-1507</t>
  </si>
  <si>
    <t xml:space="preserve">INV-1508</t>
  </si>
  <si>
    <t xml:space="preserve">Eskalasi ke manajemen, pertimbangkan stop supply</t>
  </si>
  <si>
    <t xml:space="preserve">INV-1509</t>
  </si>
  <si>
    <t xml:space="preserve">INV-1510</t>
  </si>
  <si>
    <t xml:space="preserve">INV-1511</t>
  </si>
  <si>
    <t xml:space="preserve">Outlet sulit dihubungi, kunjungan langsung</t>
  </si>
  <si>
    <t xml:space="preserve">INV-1512</t>
  </si>
  <si>
    <t xml:space="preserve">INV-1513</t>
  </si>
  <si>
    <t xml:space="preserve">INV-1514</t>
  </si>
  <si>
    <t xml:space="preserve">INV-1515</t>
  </si>
  <si>
    <t xml:space="preserve">INV-1516</t>
  </si>
  <si>
    <t xml:space="preserve">INV-1517</t>
  </si>
  <si>
    <t xml:space="preserve">INV-1518</t>
  </si>
  <si>
    <t xml:space="preserve">INV-1519</t>
  </si>
  <si>
    <t xml:space="preserve">INV-1520</t>
  </si>
  <si>
    <t xml:space="preserve">INV-1521</t>
  </si>
  <si>
    <t xml:space="preserve">INV-1522</t>
  </si>
  <si>
    <t xml:space="preserve">INV-1523</t>
  </si>
  <si>
    <t xml:space="preserve">INV-1524</t>
  </si>
  <si>
    <t xml:space="preserve">INV-1525</t>
  </si>
  <si>
    <t xml:space="preserve">INV-1526</t>
  </si>
  <si>
    <t xml:space="preserve">INV-1527</t>
  </si>
  <si>
    <t xml:space="preserve">INV-1528</t>
  </si>
  <si>
    <t xml:space="preserve">INV-1529</t>
  </si>
  <si>
    <t xml:space="preserve">INV-1530</t>
  </si>
  <si>
    <t xml:space="preserve">INV-1531</t>
  </si>
  <si>
    <t xml:space="preserve">INV-1532</t>
  </si>
  <si>
    <t xml:space="preserve">INV-1533</t>
  </si>
  <si>
    <t xml:space="preserve">INV-1534</t>
  </si>
  <si>
    <t xml:space="preserve">INV-1535</t>
  </si>
  <si>
    <t xml:space="preserve">INV-1536</t>
  </si>
  <si>
    <t xml:space="preserve">INV-1537</t>
  </si>
  <si>
    <t xml:space="preserve">INV-1538</t>
  </si>
  <si>
    <t xml:space="preserve">INV-1540</t>
  </si>
  <si>
    <t xml:space="preserve">INV-1541</t>
  </si>
  <si>
    <t xml:space="preserve">INV-1542</t>
  </si>
  <si>
    <t xml:space="preserve">INV-1543</t>
  </si>
  <si>
    <t xml:space="preserve">INV-1545</t>
  </si>
  <si>
    <t xml:space="preserve">INV-1546</t>
  </si>
  <si>
    <t xml:space="preserve">INV-1547</t>
  </si>
  <si>
    <t xml:space="preserve">INV-1548</t>
  </si>
  <si>
    <t xml:space="preserve">INV-1549</t>
  </si>
  <si>
    <t xml:space="preserve">INV-1550</t>
  </si>
  <si>
    <t xml:space="preserve">INV-1551</t>
  </si>
  <si>
    <t xml:space="preserve">INV-1552</t>
  </si>
  <si>
    <t xml:space="preserve">INV-1553</t>
  </si>
  <si>
    <t xml:space="preserve">INV-1554</t>
  </si>
  <si>
    <t xml:space="preserve">INV-1555</t>
  </si>
  <si>
    <t xml:space="preserve">INV-1556</t>
  </si>
  <si>
    <t xml:space="preserve">INV-1557</t>
  </si>
  <si>
    <t xml:space="preserve">INV-1558</t>
  </si>
  <si>
    <t xml:space="preserve">INV-1559</t>
  </si>
  <si>
    <t xml:space="preserve">INV-1560</t>
  </si>
  <si>
    <t xml:space="preserve">INV-1561</t>
  </si>
  <si>
    <t xml:space="preserve">INV-1562</t>
  </si>
  <si>
    <t xml:space="preserve">INV-1563</t>
  </si>
  <si>
    <t xml:space="preserve">INV-1564</t>
  </si>
  <si>
    <t xml:space="preserve">INV-1565</t>
  </si>
  <si>
    <t xml:space="preserve">INV-1566</t>
  </si>
  <si>
    <t xml:space="preserve">INV-1567</t>
  </si>
  <si>
    <t xml:space="preserve">INV-1569</t>
  </si>
  <si>
    <t xml:space="preserve">INV-1570</t>
  </si>
  <si>
    <t xml:space="preserve">INV-1571</t>
  </si>
  <si>
    <t xml:space="preserve">INV-1572</t>
  </si>
  <si>
    <t xml:space="preserve">INV-1573</t>
  </si>
  <si>
    <t xml:space="preserve">INV-1574</t>
  </si>
  <si>
    <t xml:space="preserve">INV-1575</t>
  </si>
  <si>
    <t xml:space="preserve">INV-1576</t>
  </si>
  <si>
    <t xml:space="preserve">INV-1577</t>
  </si>
  <si>
    <t xml:space="preserve">INV-1578</t>
  </si>
  <si>
    <t xml:space="preserve">INV-1579</t>
  </si>
  <si>
    <t xml:space="preserve">INV-1580</t>
  </si>
  <si>
    <t xml:space="preserve">INV-1581</t>
  </si>
  <si>
    <t xml:space="preserve">INV-1582</t>
  </si>
  <si>
    <t xml:space="preserve">INV-1583</t>
  </si>
  <si>
    <t xml:space="preserve">INV-1584</t>
  </si>
  <si>
    <t xml:space="preserve">INV-1585</t>
  </si>
  <si>
    <t xml:space="preserve">INV-1586</t>
  </si>
  <si>
    <t xml:space="preserve">INV-1587</t>
  </si>
  <si>
    <t xml:space="preserve">INV-1588</t>
  </si>
  <si>
    <t xml:space="preserve">INV-1589</t>
  </si>
  <si>
    <t xml:space="preserve">INV-1590</t>
  </si>
  <si>
    <t xml:space="preserve">INV-1591</t>
  </si>
  <si>
    <t xml:space="preserve">INV-1592</t>
  </si>
  <si>
    <t xml:space="preserve">INV-1593</t>
  </si>
  <si>
    <t xml:space="preserve">INV-1594</t>
  </si>
  <si>
    <t xml:space="preserve">INV-1595</t>
  </si>
  <si>
    <t xml:space="preserve">INV-1596</t>
  </si>
  <si>
    <t xml:space="preserve">INV-1597</t>
  </si>
  <si>
    <t xml:space="preserve">INV-1598</t>
  </si>
  <si>
    <t xml:space="preserve">INV-1599</t>
  </si>
  <si>
    <t xml:space="preserve">INV-1600</t>
  </si>
  <si>
    <t xml:space="preserve">INV-1601</t>
  </si>
  <si>
    <t xml:space="preserve">INV-1602</t>
  </si>
  <si>
    <t xml:space="preserve">INV-1603</t>
  </si>
  <si>
    <t xml:space="preserve">INV-1604</t>
  </si>
  <si>
    <t xml:space="preserve">INV-1605</t>
  </si>
  <si>
    <t xml:space="preserve">INV-1606</t>
  </si>
  <si>
    <t xml:space="preserve">INV-1607</t>
  </si>
  <si>
    <t xml:space="preserve">INV-1608</t>
  </si>
  <si>
    <t xml:space="preserve">INV-1609</t>
  </si>
  <si>
    <t xml:space="preserve">INV-1610</t>
  </si>
  <si>
    <t xml:space="preserve">INV-1611</t>
  </si>
  <si>
    <t xml:space="preserve">INV-1612</t>
  </si>
  <si>
    <t xml:space="preserve">INV-1614</t>
  </si>
  <si>
    <t xml:space="preserve">INV-1615</t>
  </si>
  <si>
    <t xml:space="preserve">INV-1616</t>
  </si>
  <si>
    <t xml:space="preserve">INV-1617</t>
  </si>
  <si>
    <t xml:space="preserve">INV-1618</t>
  </si>
  <si>
    <t xml:space="preserve">INV-1619</t>
  </si>
  <si>
    <t xml:space="preserve">INV-1620</t>
  </si>
  <si>
    <t xml:space="preserve">INV-1621</t>
  </si>
  <si>
    <t xml:space="preserve">INV-1622</t>
  </si>
  <si>
    <t xml:space="preserve">INV-1623</t>
  </si>
  <si>
    <t xml:space="preserve">INV-1624</t>
  </si>
  <si>
    <t xml:space="preserve">INV-1625</t>
  </si>
  <si>
    <t xml:space="preserve">INV-1626</t>
  </si>
  <si>
    <t xml:space="preserve">INV-1627</t>
  </si>
  <si>
    <t xml:space="preserve">INV-1628</t>
  </si>
  <si>
    <t xml:space="preserve">INV-1629</t>
  </si>
  <si>
    <t xml:space="preserve">INV-1630</t>
  </si>
  <si>
    <t xml:space="preserve">INV-1631</t>
  </si>
  <si>
    <t xml:space="preserve">INV-1632</t>
  </si>
  <si>
    <t xml:space="preserve">INV-1633</t>
  </si>
  <si>
    <t xml:space="preserve">INV-1634</t>
  </si>
  <si>
    <t xml:space="preserve">INV-1635</t>
  </si>
  <si>
    <t xml:space="preserve">INV-1636</t>
  </si>
  <si>
    <t xml:space="preserve">INV-1637</t>
  </si>
  <si>
    <t xml:space="preserve">INV-1638</t>
  </si>
  <si>
    <t xml:space="preserve">INV-1639</t>
  </si>
  <si>
    <t xml:space="preserve">INV-1640</t>
  </si>
  <si>
    <t xml:space="preserve">INV-1641</t>
  </si>
  <si>
    <t xml:space="preserve">INV-1642</t>
  </si>
  <si>
    <t xml:space="preserve">INV-1643</t>
  </si>
  <si>
    <t xml:space="preserve">INV-1644</t>
  </si>
  <si>
    <t xml:space="preserve">INV-1645</t>
  </si>
  <si>
    <t xml:space="preserve">INV-1646</t>
  </si>
  <si>
    <t xml:space="preserve">INV-1647</t>
  </si>
  <si>
    <t xml:space="preserve">INV-1648</t>
  </si>
  <si>
    <t xml:space="preserve">INV-1649</t>
  </si>
  <si>
    <t xml:space="preserve">INV-1650</t>
  </si>
  <si>
    <t xml:space="preserve">INV-1651</t>
  </si>
  <si>
    <t xml:space="preserve">INV-1652</t>
  </si>
  <si>
    <t xml:space="preserve">INV-1653</t>
  </si>
  <si>
    <t xml:space="preserve">INV-1654</t>
  </si>
  <si>
    <t xml:space="preserve">INV-1655</t>
  </si>
  <si>
    <t xml:space="preserve">INV-1656</t>
  </si>
  <si>
    <t xml:space="preserve">INV-1657</t>
  </si>
  <si>
    <t xml:space="preserve">INV-1658</t>
  </si>
  <si>
    <t xml:space="preserve">INV-1659</t>
  </si>
  <si>
    <t xml:space="preserve">INV-1660</t>
  </si>
  <si>
    <t xml:space="preserve">INV-1661</t>
  </si>
  <si>
    <t xml:space="preserve">INV-1662</t>
  </si>
  <si>
    <t xml:space="preserve">INV-1663</t>
  </si>
  <si>
    <t xml:space="preserve">INV-1664</t>
  </si>
  <si>
    <t xml:space="preserve">INV-1665</t>
  </si>
  <si>
    <t xml:space="preserve">INV-1666</t>
  </si>
  <si>
    <t xml:space="preserve">INV-1667</t>
  </si>
  <si>
    <t xml:space="preserve">INV-1668</t>
  </si>
  <si>
    <t xml:space="preserve">INV-1669</t>
  </si>
  <si>
    <t xml:space="preserve">INV-1670</t>
  </si>
  <si>
    <t xml:space="preserve">INV-1671</t>
  </si>
  <si>
    <t xml:space="preserve">INV-1672</t>
  </si>
  <si>
    <t xml:space="preserve">INV-1673</t>
  </si>
  <si>
    <t xml:space="preserve">INV-1674</t>
  </si>
  <si>
    <t xml:space="preserve">INV-1675</t>
  </si>
  <si>
    <t xml:space="preserve">INV-1676</t>
  </si>
  <si>
    <t xml:space="preserve">INV-1677</t>
  </si>
  <si>
    <t xml:space="preserve">INV-1678</t>
  </si>
  <si>
    <t xml:space="preserve">INV-1679</t>
  </si>
  <si>
    <t xml:space="preserve">INV-1680</t>
  </si>
  <si>
    <t xml:space="preserve">INV-1681</t>
  </si>
  <si>
    <t xml:space="preserve">INV-1682</t>
  </si>
  <si>
    <t xml:space="preserve">INV-1683</t>
  </si>
  <si>
    <t xml:space="preserve">INV-1685</t>
  </si>
  <si>
    <t xml:space="preserve">INV-1686</t>
  </si>
  <si>
    <t xml:space="preserve">INV-1687</t>
  </si>
  <si>
    <t xml:space="preserve">INV-1688</t>
  </si>
  <si>
    <t xml:space="preserve">INV-1689</t>
  </si>
  <si>
    <t xml:space="preserve">INV-1690</t>
  </si>
  <si>
    <t xml:space="preserve">INV-1691</t>
  </si>
  <si>
    <t xml:space="preserve">INV-1692</t>
  </si>
  <si>
    <t xml:space="preserve">INV-1693</t>
  </si>
  <si>
    <t xml:space="preserve">INV-1694</t>
  </si>
  <si>
    <t xml:space="preserve">INV-1695</t>
  </si>
  <si>
    <t xml:space="preserve">INV-1696</t>
  </si>
  <si>
    <t xml:space="preserve">INV-1697</t>
  </si>
  <si>
    <t xml:space="preserve">INV-1698</t>
  </si>
  <si>
    <t xml:space="preserve">INV-1699</t>
  </si>
  <si>
    <t xml:space="preserve">INV-1700</t>
  </si>
  <si>
    <t xml:space="preserve">INV-1701</t>
  </si>
  <si>
    <t xml:space="preserve">INV-1702</t>
  </si>
  <si>
    <t xml:space="preserve">INV-1703</t>
  </si>
  <si>
    <t xml:space="preserve">INV-1704</t>
  </si>
  <si>
    <t xml:space="preserve">INV-1705</t>
  </si>
  <si>
    <t xml:space="preserve">INV-1706</t>
  </si>
  <si>
    <t xml:space="preserve">INV-1707</t>
  </si>
  <si>
    <t xml:space="preserve">INV-1708</t>
  </si>
  <si>
    <t xml:space="preserve">INV-1709</t>
  </si>
  <si>
    <t xml:space="preserve">INV-1710</t>
  </si>
  <si>
    <t xml:space="preserve">INV-1711</t>
  </si>
  <si>
    <t xml:space="preserve">INV-1712</t>
  </si>
  <si>
    <t xml:space="preserve">INV-1713</t>
  </si>
  <si>
    <t xml:space="preserve">INV-1714</t>
  </si>
  <si>
    <t xml:space="preserve">INV-1715</t>
  </si>
  <si>
    <t xml:space="preserve">INV-1716</t>
  </si>
  <si>
    <t xml:space="preserve">INV-1717</t>
  </si>
  <si>
    <t xml:space="preserve">INV-1718</t>
  </si>
  <si>
    <t xml:space="preserve">INV-1719</t>
  </si>
  <si>
    <t xml:space="preserve">INV-1720</t>
  </si>
  <si>
    <t xml:space="preserve">INV-1721</t>
  </si>
  <si>
    <t xml:space="preserve">INV-1722</t>
  </si>
  <si>
    <t xml:space="preserve">INV-1723</t>
  </si>
  <si>
    <t xml:space="preserve">INV-1724</t>
  </si>
  <si>
    <t xml:space="preserve">INV-1725</t>
  </si>
  <si>
    <t xml:space="preserve">INV-1726</t>
  </si>
  <si>
    <t xml:space="preserve">INV-1727</t>
  </si>
  <si>
    <t xml:space="preserve">INV-1728</t>
  </si>
  <si>
    <t xml:space="preserve">INV-1729</t>
  </si>
  <si>
    <t xml:space="preserve">INV-1730</t>
  </si>
  <si>
    <t xml:space="preserve">INV-1731</t>
  </si>
  <si>
    <t xml:space="preserve">INV-1732</t>
  </si>
  <si>
    <t xml:space="preserve">INV-1733</t>
  </si>
  <si>
    <t xml:space="preserve">INV-1734</t>
  </si>
  <si>
    <t xml:space="preserve">INV-1735</t>
  </si>
  <si>
    <t xml:space="preserve">INV-1736</t>
  </si>
  <si>
    <t xml:space="preserve">INV-1737</t>
  </si>
  <si>
    <t xml:space="preserve">INV-1738</t>
  </si>
  <si>
    <t xml:space="preserve">INV-1739</t>
  </si>
  <si>
    <t xml:space="preserve">INV-1740</t>
  </si>
  <si>
    <t xml:space="preserve">INV-1741</t>
  </si>
  <si>
    <t xml:space="preserve">INV-1742</t>
  </si>
  <si>
    <t xml:space="preserve">INV-1743</t>
  </si>
  <si>
    <t xml:space="preserve">INV-1744</t>
  </si>
  <si>
    <t xml:space="preserve">INV-1745</t>
  </si>
  <si>
    <t xml:space="preserve">INV-1746</t>
  </si>
  <si>
    <t xml:space="preserve">INV-1747</t>
  </si>
  <si>
    <t xml:space="preserve">INV-1748</t>
  </si>
  <si>
    <t xml:space="preserve">INV-1749</t>
  </si>
  <si>
    <t xml:space="preserve">INV-1750</t>
  </si>
  <si>
    <t xml:space="preserve">Total Overdue (Rp)</t>
  </si>
  <si>
    <t xml:space="preserve">Termin 0 = tunai/COD. Ubah termin di kolom C, seluruh jatuh tempo &amp; aging ikut berubah.</t>
  </si>
  <si>
    <t xml:space="preserve">BINTANG SPAREPART BERKAH</t>
  </si>
  <si>
    <t xml:space="preserve">SINAR SPAREPART</t>
  </si>
  <si>
    <t xml:space="preserve">SINAR AUTO BERKAH</t>
  </si>
  <si>
    <t xml:space="preserve">SURYA MOTOR</t>
  </si>
  <si>
    <t xml:space="preserve">KARYA SERVICE</t>
  </si>
  <si>
    <t xml:space="preserve">CAHAYA SERVICE BINTANG</t>
  </si>
  <si>
    <t xml:space="preserve">SENTOSA SPAREPART</t>
  </si>
  <si>
    <t xml:space="preserve">MITRA GARAGE MULIA</t>
  </si>
  <si>
    <t xml:space="preserve">CAHAYA MOBIL</t>
  </si>
  <si>
    <t xml:space="preserve">LANCAR GARAGE UTAMA</t>
  </si>
  <si>
    <t xml:space="preserve">HARAPAN SPAREPART</t>
  </si>
  <si>
    <t xml:space="preserve">BINTANG TEKNIK HARAPAN</t>
  </si>
  <si>
    <t xml:space="preserve">MAJU GARAGE</t>
  </si>
  <si>
    <t xml:space="preserve">JAYA SPAREPART</t>
  </si>
  <si>
    <t xml:space="preserve">HARAPAN LUBRICANT</t>
  </si>
  <si>
    <t xml:space="preserve">ABADI AUTO SURYA</t>
  </si>
  <si>
    <t xml:space="preserve">UTAMA TEKNIK</t>
  </si>
  <si>
    <t xml:space="preserve">MULIA SPAREPART</t>
  </si>
  <si>
    <t xml:space="preserve">LANCAR SERVICE</t>
  </si>
  <si>
    <t xml:space="preserve">MAKMUR MOTOR JAYA</t>
  </si>
  <si>
    <t xml:space="preserve">SINAR LUBRICANT</t>
  </si>
  <si>
    <t xml:space="preserve">KARYA TEKNIK TIRTA</t>
  </si>
  <si>
    <t xml:space="preserve">TIRTA SERVICE</t>
  </si>
  <si>
    <t xml:space="preserve">PRIMA LUBRICANT</t>
  </si>
  <si>
    <t xml:space="preserve">BINTANG TEKNIK SURYA</t>
  </si>
  <si>
    <t xml:space="preserve">TIRTA AUTO</t>
  </si>
  <si>
    <t xml:space="preserve">CAHAYA AUTO</t>
  </si>
  <si>
    <t xml:space="preserve">HARAPAN OLI</t>
  </si>
  <si>
    <t xml:space="preserve">SENTOSA MOTOR</t>
  </si>
  <si>
    <t xml:space="preserve">SENTOSA GARAGE</t>
  </si>
  <si>
    <t xml:space="preserve">SINAR MOTOR UTAMA</t>
  </si>
  <si>
    <t xml:space="preserve">CAHAYA OLI</t>
  </si>
  <si>
    <t xml:space="preserve">GEMILANG GARAGE TIRTA</t>
  </si>
  <si>
    <t xml:space="preserve">TIRTA GARAGE</t>
  </si>
  <si>
    <t xml:space="preserve">BINTANG TEKNIK</t>
  </si>
  <si>
    <t xml:space="preserve">SUMBER OLI GEMILANG</t>
  </si>
  <si>
    <t xml:space="preserve">LANCAR OLI</t>
  </si>
  <si>
    <t xml:space="preserve">BERKAH SERVICE SENTOSA</t>
  </si>
  <si>
    <t xml:space="preserve">CAHAYA MOTOR</t>
  </si>
  <si>
    <t xml:space="preserve">PRIMA TEKNIK</t>
  </si>
  <si>
    <t xml:space="preserve">BERKAH LUBRICANT SURYA</t>
  </si>
  <si>
    <t xml:space="preserve">BINTANG BENGKEL HARAPAN</t>
  </si>
  <si>
    <t xml:space="preserve">ABADI AUTO UTAMA</t>
  </si>
  <si>
    <t xml:space="preserve">SUMBER MOTOR UTAMA</t>
  </si>
  <si>
    <t xml:space="preserve">KARYA LUBRICANT MAJU</t>
  </si>
  <si>
    <t xml:space="preserve">KARYA SPAREPART</t>
  </si>
  <si>
    <t xml:space="preserve">SUMBER SERVICE MAKMUR</t>
  </si>
  <si>
    <t xml:space="preserve">SENTOSA SERVICE</t>
  </si>
  <si>
    <t xml:space="preserve">SUMBER TEKNIK SURYA</t>
  </si>
  <si>
    <t xml:space="preserve">HARAPAN TEKNIK</t>
  </si>
  <si>
    <t xml:space="preserve">BINTANG LUBRICANT SURYA</t>
  </si>
  <si>
    <t xml:space="preserve">KARYA BENGKEL</t>
  </si>
  <si>
    <t xml:space="preserve">SURYA MOBIL</t>
  </si>
  <si>
    <t xml:space="preserve">SUMBER MOTOR</t>
  </si>
  <si>
    <t xml:space="preserve">CAHAYA SPAREPART</t>
  </si>
  <si>
    <t xml:space="preserve">MAKMUR SPAREPART GEMILANG</t>
  </si>
  <si>
    <t xml:space="preserve">GEMILANG TEKNIK</t>
  </si>
  <si>
    <t xml:space="preserve">MAKMUR AUTO HARAPAN</t>
  </si>
  <si>
    <t xml:space="preserve">JAYA MOBIL SUMBER</t>
  </si>
  <si>
    <t xml:space="preserve">MAKMUR GARAGE</t>
  </si>
  <si>
    <t xml:space="preserve">PRIMA OLI MAKMUR</t>
  </si>
  <si>
    <t xml:space="preserve">HARAPAN TEKNIK HARAPAN</t>
  </si>
  <si>
    <t xml:space="preserve">SINAR GARAGE</t>
  </si>
  <si>
    <t xml:space="preserve">PRIMA GARAGE</t>
  </si>
  <si>
    <t xml:space="preserve">HARAPAN AUTO</t>
  </si>
  <si>
    <t xml:space="preserve">MAKMUR SERVICE</t>
  </si>
  <si>
    <t xml:space="preserve">HARAPAN MOTOR</t>
  </si>
  <si>
    <t xml:space="preserve">MULIA AUTO</t>
  </si>
  <si>
    <t xml:space="preserve">UTAMA MOBIL</t>
  </si>
  <si>
    <t xml:space="preserve">BERKAH OLI</t>
  </si>
  <si>
    <t xml:space="preserve">MITRA SPAREPART CAHAYA</t>
  </si>
  <si>
    <t xml:space="preserve">GEMILANG OLI CAHAYA</t>
  </si>
  <si>
    <t xml:space="preserve">ABADI SERVICE ABADI</t>
  </si>
  <si>
    <t xml:space="preserve">MAJU SPAREPART UTAMA</t>
  </si>
  <si>
    <t xml:space="preserve">MITRA BENGKEL</t>
  </si>
  <si>
    <t xml:space="preserve">UTAMA LUBRICANT HARAPAN</t>
  </si>
  <si>
    <t xml:space="preserve">MITRA GARAGE</t>
  </si>
  <si>
    <t xml:space="preserve">UTAMA MOTOR</t>
  </si>
  <si>
    <t xml:space="preserve">BINTANG MOBIL JAYA</t>
  </si>
  <si>
    <t xml:space="preserve">ABADI LUBRICANT</t>
  </si>
  <si>
    <t xml:space="preserve">BINTANG OLI</t>
  </si>
  <si>
    <t xml:space="preserve">CAHAYA BENGKEL</t>
  </si>
  <si>
    <t xml:space="preserve">KARYA MOBIL CAHAYA</t>
  </si>
  <si>
    <t xml:space="preserve">HARAPAN OLI TIRTA</t>
  </si>
  <si>
    <t xml:space="preserve">BINTANG SERVICE</t>
  </si>
  <si>
    <t xml:space="preserve">SENTOSA TEKNIK</t>
  </si>
  <si>
    <t xml:space="preserve">MAKMUR OLI</t>
  </si>
  <si>
    <t xml:space="preserve">MAJU SPAREPART</t>
  </si>
  <si>
    <t xml:space="preserve">GEMILANG BENGKEL SUMBER</t>
  </si>
  <si>
    <t xml:space="preserve">MULIA MOBIL MITRA</t>
  </si>
  <si>
    <t xml:space="preserve">MAJU GARAGE TIRTA</t>
  </si>
  <si>
    <t xml:space="preserve">UTAMA OLI BINTANG</t>
  </si>
  <si>
    <t xml:space="preserve">UTAMA OLI SUMBER</t>
  </si>
  <si>
    <t xml:space="preserve">BINTANG MOTOR</t>
  </si>
  <si>
    <t xml:space="preserve">MULIA BENGKEL UTAMA</t>
  </si>
  <si>
    <t xml:space="preserve">ABADI OLI</t>
  </si>
  <si>
    <t xml:space="preserve">MULIA AUTO CAHAYA</t>
  </si>
  <si>
    <t xml:space="preserve">BERKAH SPAREPART</t>
  </si>
  <si>
    <t xml:space="preserve">SURYA GARAGE</t>
  </si>
  <si>
    <t xml:space="preserve">SENTOSA LUBRICANT MULIA</t>
  </si>
  <si>
    <t xml:space="preserve">BINTANG SPAREPART PRIMA</t>
  </si>
  <si>
    <t xml:space="preserve">KARYA LUBRICANT ABADI</t>
  </si>
  <si>
    <t xml:space="preserve">CAHAYA SERVICE</t>
  </si>
  <si>
    <t xml:space="preserve">SURYA GARAGE MITRA</t>
  </si>
  <si>
    <t xml:space="preserve">BERKAH MOBIL MAKMUR</t>
  </si>
  <si>
    <t xml:space="preserve">UTAMA TEKNIK ABADI</t>
  </si>
  <si>
    <t xml:space="preserve">UTAMA AUTO</t>
  </si>
  <si>
    <t xml:space="preserve">SURYA SERVICE LANCAR</t>
  </si>
  <si>
    <t xml:space="preserve">PRIMA SERVICE</t>
  </si>
  <si>
    <t xml:space="preserve">TIRTA SPAREPART BINTANG</t>
  </si>
  <si>
    <t xml:space="preserve">PRIMA MOTOR LANCAR</t>
  </si>
  <si>
    <t xml:space="preserve">UTAMA TEKNIK MITRA</t>
  </si>
  <si>
    <t xml:space="preserve">SINAR SERVICE</t>
  </si>
  <si>
    <t xml:space="preserve">TIRTA MOBIL</t>
  </si>
  <si>
    <t xml:space="preserve">ABADI AUTO MAKMUR</t>
  </si>
  <si>
    <t xml:space="preserve">KARYA LUBRICANT BINTANG</t>
  </si>
  <si>
    <t xml:space="preserve">ABADI LUBRICANT KARYA</t>
  </si>
  <si>
    <t xml:space="preserve">BINTANG GARAGE UTAMA</t>
  </si>
  <si>
    <t xml:space="preserve">MAKMUR SERVICE JAYA</t>
  </si>
  <si>
    <t xml:space="preserve">BINTANG BENGKEL</t>
  </si>
  <si>
    <t xml:space="preserve">PRIMA MOBIL</t>
  </si>
  <si>
    <t xml:space="preserve">TIRTA TEKNIK TIRTA</t>
  </si>
  <si>
    <t xml:space="preserve">JAYA LUBRICANT</t>
  </si>
  <si>
    <t xml:space="preserve">CAHAYA TEKNIK SURYA</t>
  </si>
  <si>
    <t xml:space="preserve">BINTANG SERVICE MULIA</t>
  </si>
  <si>
    <t xml:space="preserve">Tanggal</t>
  </si>
  <si>
    <t xml:space="preserve">Item</t>
  </si>
  <si>
    <t xml:space="preserve">Harga Jual (Rp)</t>
  </si>
  <si>
    <t xml:space="preserve">Oli Gardan SAE 140 (12x0.8L)</t>
  </si>
  <si>
    <t xml:space="preserve">DUS</t>
  </si>
  <si>
    <t xml:space="preserve">Coolant Radiator Hijau (12x1L)</t>
  </si>
  <si>
    <t xml:space="preserve">Oli Mesin Mobil Bensin SAE 10W-40 (6x1L)</t>
  </si>
  <si>
    <t xml:space="preserve">Oli Hidrolik ISO 68 (1x200L)</t>
  </si>
  <si>
    <t xml:space="preserve">DRUM</t>
  </si>
  <si>
    <t xml:space="preserve">Oli Gardan SAE 90 (12x0.8L)</t>
  </si>
  <si>
    <t xml:space="preserve">Oli Hidrolik ISO 68 (1x20L)</t>
  </si>
  <si>
    <t xml:space="preserve">PAIL</t>
  </si>
  <si>
    <t xml:space="preserve">Grease Multi Purpose (12x0.5kg)</t>
  </si>
  <si>
    <t xml:space="preserve">Oli Mesin Motor 4T SAE 10W-40 (12x0.8L)</t>
  </si>
  <si>
    <t xml:space="preserve">Oli Mesin Diesel Heavy Duty SAE 40 (1x18L)</t>
  </si>
  <si>
    <t xml:space="preserve">Oli Mesin Motor 4T SAE 20W-50 (12x1L)</t>
  </si>
  <si>
    <t xml:space="preserve">Oli Mesin Diesel Heavy Duty SAE 15W-40 (1x18L)</t>
  </si>
  <si>
    <t xml:space="preserve">Oli Mesin Motor Matic SAE 10W-30 (12x0.8L)</t>
  </si>
  <si>
    <t xml:space="preserve">Oli Mesin Mobil Bensin SAE 5W-30 (4x4L)</t>
  </si>
  <si>
    <t xml:space="preserve">Oli Gear Industri ISO 220 (1x20L)</t>
  </si>
  <si>
    <t xml:space="preserve">Oli Samping 2T (24x0.8L)</t>
  </si>
  <si>
    <t xml:space="preserve">Oli Mesin Mobil Bensin SAE 20W-50 (6x1L)</t>
  </si>
  <si>
    <t xml:space="preserve">Oli Hidrolik ISO 46 (1x20L)</t>
  </si>
  <si>
    <t xml:space="preserve">Oli Mesin Mobil Diesel SAE 15W-40 (6x1L)</t>
  </si>
  <si>
    <t xml:space="preserve">Cairan Pembersih Mesin (12x0.5L)</t>
  </si>
  <si>
    <t xml:space="preserve">Oli Transmisi Otomatis ATF (12x1L)</t>
  </si>
  <si>
    <t xml:space="preserve">CATATAN &amp; ASUMSI</t>
  </si>
  <si>
    <t xml:space="preserve">Tanggal laporan (as-of date)</t>
  </si>
  <si>
    <t xml:space="preserve">&lt;- ubah tanggal ini untuk melihat aging pada tanggal lain</t>
  </si>
  <si>
    <t xml:space="preserve">SUMBER DATA</t>
  </si>
  <si>
    <t xml:space="preserve">Seluruh data pada file ini SINTETIS (fiktif) dan dibuat untuk keperluan portofolio: 5.997 baris item, 1.750 faktur, dan 125 customer tahun 2025 dihasilkan secara acak. Tidak berasal dari data perusahaan mana pun.</t>
  </si>
  <si>
    <t xml:space="preserve">Nama customer, nama produk (generik), salesman, nomor faktur, dan nominal adalah karangan. Kemiripan dengan pihak nyata hanyalah kebetulan.</t>
  </si>
  <si>
    <t xml:space="preserve">DATA SIMULASI (DUMMY)</t>
  </si>
  <si>
    <t xml:space="preserve">Termin pembayaran (0/14/30/45 hari), tanggal tukar faktur, jumlah &amp; tanggal bayar, dan catatan penagihan adalah data simulasi, bukan data riil. Semuanya berwarna BIRU (input).</t>
  </si>
  <si>
    <t xml:space="preserve">Penjualan oleh salesman "KANTOR" diperlakukan sebagai penjualan tunai (termin 0).</t>
  </si>
  <si>
    <t xml:space="preserve">Kebiasaan bayar customer disimulasikan: sebagian disiplin, sebagian lambat, sebagian menunggak lama, agar aging terlihat realistis.</t>
  </si>
  <si>
    <t xml:space="preserve">WARNA &amp; RUMUS</t>
  </si>
  <si>
    <t xml:space="preserve">Biru = input/data. Hitam = rumus. Semua kolom turunan (nominal faktur, jatuh tempo, sisa piutang, status, umur, aging) memakai rumus hidup.</t>
  </si>
  <si>
    <t xml:space="preserve">LOGIKA AGING</t>
  </si>
  <si>
    <t xml:space="preserve">Hari terlambat = tanggal laporan - jatuh tempo (jatuh tempo = tanggal faktur + termin). Kategori: Belum Jatuh Tempo, 1-30, 31-60, 61-90, 90+ hari. Faktur lunas tidak masuk aging.</t>
  </si>
  <si>
    <t xml:space="preserve">DSO (perkiraan) = total piutang / total penjualan x 365 hari.</t>
  </si>
  <si>
    <t xml:space="preserve">TRACKER PENAGIHAN</t>
  </si>
  <si>
    <t xml:space="preserve">TRACKER: Jadwal_Tagih (25 faktur overdue teratas, otomatis), Tukar_Faktur (faktur belum ditukar), Log_Penagihan (catatan kunjungan &amp; janji bayar). Kolom helper di Piutang (R-T) dipakai untuk mengurutkan.</t>
  </si>
  <si>
    <t xml:space="preserve">LAPORAN &amp; CETAK</t>
  </si>
  <si>
    <t xml:space="preserve">LAPORAN: Laporan_Piutang (laporan piutang usaha siap cetak), Laporan_Faktur (rekap faktur), Cetak_Faktur (lembar faktur, pilih No. Faktur di sel kuning). Perusahaan pada Cetak_Faktur adalah nama contoh.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</si>
</sst>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;\(#,##0\);\-"/>
    <numFmt numFmtId="166" formatCode="0.0%"/>
    <numFmt numFmtId="167" formatCode="#,##0"/>
    <numFmt numFmtId="168" formatCode="0.0"/>
    <numFmt numFmtId="169" formatCode="mmm\-yy"/>
    <numFmt numFmtId="170" formatCode="General"/>
    <numFmt numFmtId="171" formatCode="mmmm\ yyyy"/>
    <numFmt numFmtId="172" formatCode="dd\ mmmm\ yyyy"/>
    <numFmt numFmtId="173" formatCode="dd\-mmm\-yy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i val="true"/>
      <sz val="9"/>
      <color rgb="FF595959"/>
      <name val="Arial"/>
      <family val="0"/>
      <charset val="1"/>
    </font>
    <font>
      <sz val="8"/>
      <color rgb="FFA6A6A6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4"/>
      <name val="Arial"/>
      <family val="0"/>
      <charset val="1"/>
    </font>
    <font>
      <sz val="9"/>
      <color rgb="FF595959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D9D9D9"/>
      </patternFill>
    </fill>
    <fill>
      <patternFill patternType="solid">
        <fgColor rgb="FFF2F2F2"/>
        <bgColor rgb="FFF9F9F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4B08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>
          <bgColor rgb="FFF4B084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9F9F9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6E0B4"/>
      <rgbColor rgb="FFFFE699"/>
      <rgbColor rgb="FF99CCFF"/>
      <rgbColor rgb="FFF4B084"/>
      <rgbColor rgb="FFCC99FF"/>
      <rgbColor rgb="FFF8CBAD"/>
      <rgbColor rgb="FF4F81BD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Aging Piutang (Rp)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Dashboard!E3</c:f>
              <c:strCache>
                <c:ptCount val="1"/>
                <c:pt idx="0">
                  <c:v>Sisa Piutang (Rp)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Dashboard!$D$4:$D$8</c:f>
              <c:strCache>
                <c:ptCount val="5"/>
                <c:pt idx="0">
                  <c:v>Belum Jatuh Tempo</c:v>
                </c:pt>
                <c:pt idx="1">
                  <c:v>1-30 hari</c:v>
                </c:pt>
                <c:pt idx="2">
                  <c:v>31-60 hari</c:v>
                </c:pt>
                <c:pt idx="3">
                  <c:v>61-90 hari</c:v>
                </c:pt>
                <c:pt idx="4">
                  <c:v>90+ hari</c:v>
                </c:pt>
              </c:strCache>
            </c:strRef>
          </c:cat>
          <c:val>
            <c:numRef>
              <c:f>Dashboard!$E$4:$E$8</c:f>
              <c:numCache>
                <c:formatCode>#,##0;\(#,##0\);\-</c:formatCode>
                <c:ptCount val="5"/>
                <c:pt idx="0">
                  <c:v>738129100</c:v>
                </c:pt>
                <c:pt idx="1">
                  <c:v>204807200</c:v>
                </c:pt>
                <c:pt idx="2">
                  <c:v>91756900</c:v>
                </c:pt>
                <c:pt idx="3">
                  <c:v>28989900</c:v>
                </c:pt>
                <c:pt idx="4">
                  <c:v>144866300</c:v>
                </c:pt>
              </c:numCache>
            </c:numRef>
          </c:val>
        </c:ser>
        <c:gapWidth val="150"/>
        <c:overlap val="0"/>
        <c:axId val="45488545"/>
        <c:axId val="4600816"/>
      </c:barChart>
      <c:catAx>
        <c:axId val="454885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00816"/>
        <c:crosses val="autoZero"/>
        <c:auto val="1"/>
        <c:lblAlgn val="ctr"/>
        <c:lblOffset val="100"/>
        <c:noMultiLvlLbl val="0"/>
      </c:catAx>
      <c:valAx>
        <c:axId val="46008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48854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Penjualan vs Sisa Piutang per Bulan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Dashboard!H15</c:f>
              <c:strCache>
                <c:ptCount val="1"/>
                <c:pt idx="0">
                  <c:v>Penjualan (Rp)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Dashboard!$G$16:$G$27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Dashboard!$H$16:$H$27</c:f>
              <c:numCache>
                <c:formatCode>#,##0;\(#,##0\);\-</c:formatCode>
                <c:ptCount val="12"/>
                <c:pt idx="0">
                  <c:v>1576054400</c:v>
                </c:pt>
                <c:pt idx="1">
                  <c:v>1525951100</c:v>
                </c:pt>
                <c:pt idx="2">
                  <c:v>1553507600</c:v>
                </c:pt>
                <c:pt idx="3">
                  <c:v>1586180200</c:v>
                </c:pt>
                <c:pt idx="4">
                  <c:v>1709855800</c:v>
                </c:pt>
                <c:pt idx="5">
                  <c:v>1252767400</c:v>
                </c:pt>
                <c:pt idx="6">
                  <c:v>1466421200</c:v>
                </c:pt>
                <c:pt idx="7">
                  <c:v>1573166300</c:v>
                </c:pt>
                <c:pt idx="8">
                  <c:v>1622212200</c:v>
                </c:pt>
                <c:pt idx="9">
                  <c:v>1625867200</c:v>
                </c:pt>
                <c:pt idx="10">
                  <c:v>1411780600</c:v>
                </c:pt>
                <c:pt idx="11">
                  <c:v>1648383600</c:v>
                </c:pt>
              </c:numCache>
            </c:numRef>
          </c:val>
        </c:ser>
        <c:ser>
          <c:idx val="1"/>
          <c:order val="1"/>
          <c:tx>
            <c:strRef>
              <c:f>Dashboard!I15</c:f>
              <c:strCache>
                <c:ptCount val="1"/>
                <c:pt idx="0">
                  <c:v>Sisa Piutang (Rp)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Dashboard!$G$16:$G$27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Dashboard!$I$16:$I$27</c:f>
              <c:numCache>
                <c:formatCode>#,##0;\(#,##0\);\-</c:formatCode>
                <c:ptCount val="12"/>
                <c:pt idx="0">
                  <c:v>9360800</c:v>
                </c:pt>
                <c:pt idx="1">
                  <c:v>39694000</c:v>
                </c:pt>
                <c:pt idx="2">
                  <c:v>19677400</c:v>
                </c:pt>
                <c:pt idx="3">
                  <c:v>6842800</c:v>
                </c:pt>
                <c:pt idx="4">
                  <c:v>34774200</c:v>
                </c:pt>
                <c:pt idx="5">
                  <c:v>8448100</c:v>
                </c:pt>
                <c:pt idx="6">
                  <c:v>11168300</c:v>
                </c:pt>
                <c:pt idx="7">
                  <c:v>10663500</c:v>
                </c:pt>
                <c:pt idx="8">
                  <c:v>15484200</c:v>
                </c:pt>
                <c:pt idx="9">
                  <c:v>77501600</c:v>
                </c:pt>
                <c:pt idx="10">
                  <c:v>246459400</c:v>
                </c:pt>
                <c:pt idx="11">
                  <c:v>728475100</c:v>
                </c:pt>
              </c:numCache>
            </c:numRef>
          </c:val>
        </c:ser>
        <c:gapWidth val="150"/>
        <c:overlap val="0"/>
        <c:axId val="91193979"/>
        <c:axId val="69414122"/>
      </c:barChart>
      <c:catAx>
        <c:axId val="91193979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414122"/>
        <c:crosses val="autoZero"/>
        <c:auto val="1"/>
        <c:lblAlgn val="ctr"/>
        <c:lblOffset val="100"/>
        <c:noMultiLvlLbl val="0"/>
      </c:catAx>
      <c:valAx>
        <c:axId val="694141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1939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1</xdr:row>
      <xdr:rowOff>130680</xdr:rowOff>
    </xdr:from>
    <xdr:to>
      <xdr:col>18</xdr:col>
      <xdr:colOff>507600</xdr:colOff>
      <xdr:row>14</xdr:row>
      <xdr:rowOff>144360</xdr:rowOff>
    </xdr:to>
    <xdr:graphicFrame>
      <xdr:nvGraphicFramePr>
        <xdr:cNvPr id="0" name="Chart 1"/>
        <xdr:cNvGraphicFramePr/>
      </xdr:nvGraphicFramePr>
      <xdr:xfrm>
        <a:off x="13016880" y="3808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16</xdr:row>
      <xdr:rowOff>130680</xdr:rowOff>
    </xdr:from>
    <xdr:to>
      <xdr:col>18</xdr:col>
      <xdr:colOff>507600</xdr:colOff>
      <xdr:row>29</xdr:row>
      <xdr:rowOff>144360</xdr:rowOff>
    </xdr:to>
    <xdr:graphicFrame>
      <xdr:nvGraphicFramePr>
        <xdr:cNvPr id="1" name="Chart 2"/>
        <xdr:cNvGraphicFramePr/>
      </xdr:nvGraphicFramePr>
      <xdr:xfrm>
        <a:off x="13016880" y="36576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2"/>
    <col collapsed="false" customWidth="true" hidden="false" outlineLevel="0" max="5" min="3" style="0" width="20"/>
    <col collapsed="false" customWidth="true" hidden="false" outlineLevel="0" max="7" min="6" style="0" width="13"/>
    <col collapsed="false" customWidth="true" hidden="false" outlineLevel="0" max="9" min="8" style="0" width="18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tr">
        <f aca="false">"Posisi per "&amp;TEXT(Catatan!B3,"dd mmm yyyy")&amp;"  |  Data sintetis (fiktif) Jan-Des 2025"</f>
        <v>Posisi per 31 Dec 2025  |  Data sintetis (fiktif) Jan-Des 2025</v>
      </c>
    </row>
    <row r="3" customFormat="false" ht="31.5" hidden="false" customHeight="true" outlineLevel="0" collapsed="false">
      <c r="A3" s="3" t="s">
        <v>1</v>
      </c>
      <c r="B3" s="3" t="s">
        <v>2</v>
      </c>
      <c r="D3" s="3" t="s">
        <v>3</v>
      </c>
      <c r="E3" s="3" t="s">
        <v>4</v>
      </c>
      <c r="F3" s="3" t="s">
        <v>5</v>
      </c>
      <c r="G3" s="3" t="s">
        <v>6</v>
      </c>
    </row>
    <row r="4" customFormat="false" ht="15" hidden="false" customHeight="false" outlineLevel="0" collapsed="false">
      <c r="A4" s="4" t="s">
        <v>7</v>
      </c>
      <c r="B4" s="5" t="n">
        <f aca="false">SUM(Piutang!F2:F1751)</f>
        <v>18552147600</v>
      </c>
      <c r="D4" s="4" t="s">
        <v>8</v>
      </c>
      <c r="E4" s="6" t="n">
        <f aca="false">SUMIFS(Piutang!$M$2:$M$1751,Piutang!$P$2:$P$1751,D4)</f>
        <v>738129100</v>
      </c>
      <c r="F4" s="7" t="n">
        <f aca="false">IF($E$9=0,0,E4/$E$9)</f>
        <v>0.610756250427165</v>
      </c>
      <c r="G4" s="8" t="n">
        <f aca="false">COUNTIFS(Piutang!$P$2:$P$1751,D4,Piutang!$M$2:$M$1751,"&gt;0")</f>
        <v>82</v>
      </c>
    </row>
    <row r="5" customFormat="false" ht="15" hidden="false" customHeight="false" outlineLevel="0" collapsed="false">
      <c r="A5" s="4" t="s">
        <v>9</v>
      </c>
      <c r="B5" s="5" t="n">
        <f aca="false">SUM(Piutang!M2:M1751)</f>
        <v>1208549400</v>
      </c>
      <c r="D5" s="4" t="s">
        <v>10</v>
      </c>
      <c r="E5" s="6" t="n">
        <f aca="false">SUMIFS(Piutang!$M$2:$M$1751,Piutang!$P$2:$P$1751,D5)</f>
        <v>204807200</v>
      </c>
      <c r="F5" s="7" t="n">
        <f aca="false">IF($E$9=0,0,E5/$E$9)</f>
        <v>0.169465311058034</v>
      </c>
      <c r="G5" s="8" t="n">
        <f aca="false">COUNTIFS(Piutang!$P$2:$P$1751,D5,Piutang!$M$2:$M$1751,"&gt;0")</f>
        <v>26</v>
      </c>
    </row>
    <row r="6" customFormat="false" ht="15" hidden="false" customHeight="false" outlineLevel="0" collapsed="false">
      <c r="A6" s="4" t="s">
        <v>11</v>
      </c>
      <c r="B6" s="5" t="n">
        <f aca="false">Aging_Customer!J127</f>
        <v>470420300</v>
      </c>
      <c r="D6" s="4" t="s">
        <v>12</v>
      </c>
      <c r="E6" s="6" t="n">
        <f aca="false">SUMIFS(Piutang!$M$2:$M$1751,Piutang!$P$2:$P$1751,D6)</f>
        <v>91756900</v>
      </c>
      <c r="F6" s="7" t="n">
        <f aca="false">IF($E$9=0,0,E6/$E$9)</f>
        <v>0.0759231687178033</v>
      </c>
      <c r="G6" s="8" t="n">
        <f aca="false">COUNTIFS(Piutang!$P$2:$P$1751,D6,Piutang!$M$2:$M$1751,"&gt;0")</f>
        <v>10</v>
      </c>
    </row>
    <row r="7" customFormat="false" ht="15" hidden="false" customHeight="false" outlineLevel="0" collapsed="false">
      <c r="A7" s="4" t="s">
        <v>13</v>
      </c>
      <c r="B7" s="9" t="n">
        <f aca="false">IF(B5=0,0,B6/B5)</f>
        <v>0.389243749572835</v>
      </c>
      <c r="D7" s="4" t="s">
        <v>14</v>
      </c>
      <c r="E7" s="6" t="n">
        <f aca="false">SUMIFS(Piutang!$M$2:$M$1751,Piutang!$P$2:$P$1751,D7)</f>
        <v>28989900</v>
      </c>
      <c r="F7" s="7" t="n">
        <f aca="false">IF($E$9=0,0,E7/$E$9)</f>
        <v>0.0239873521098931</v>
      </c>
      <c r="G7" s="8" t="n">
        <f aca="false">COUNTIFS(Piutang!$P$2:$P$1751,D7,Piutang!$M$2:$M$1751,"&gt;0")</f>
        <v>5</v>
      </c>
    </row>
    <row r="8" customFormat="false" ht="15" hidden="false" customHeight="false" outlineLevel="0" collapsed="false">
      <c r="A8" s="4" t="s">
        <v>15</v>
      </c>
      <c r="B8" s="5" t="n">
        <f aca="false">SUMIFS(Piutang!M2:M1751,Piutang!P2:P1751,"90+ hari")</f>
        <v>144866300</v>
      </c>
      <c r="D8" s="4" t="s">
        <v>16</v>
      </c>
      <c r="E8" s="6" t="n">
        <f aca="false">SUMIFS(Piutang!$M$2:$M$1751,Piutang!$P$2:$P$1751,D8)</f>
        <v>144866300</v>
      </c>
      <c r="F8" s="7" t="n">
        <f aca="false">IF($E$9=0,0,E8/$E$9)</f>
        <v>0.119867917687105</v>
      </c>
      <c r="G8" s="8" t="n">
        <f aca="false">COUNTIFS(Piutang!$P$2:$P$1751,D8,Piutang!$M$2:$M$1751,"&gt;0")</f>
        <v>26</v>
      </c>
    </row>
    <row r="9" customFormat="false" ht="15" hidden="false" customHeight="false" outlineLevel="0" collapsed="false">
      <c r="A9" s="4" t="s">
        <v>17</v>
      </c>
      <c r="B9" s="10" t="n">
        <f aca="false">COUNTIF(Piutang!M2:M1751,"&gt;0")</f>
        <v>149</v>
      </c>
      <c r="D9" s="11" t="s">
        <v>18</v>
      </c>
      <c r="E9" s="12" t="n">
        <f aca="false">SUM(E4:E8)</f>
        <v>1208549400</v>
      </c>
      <c r="F9" s="13" t="n">
        <f aca="false">SUM(F4:F8)</f>
        <v>1</v>
      </c>
      <c r="G9" s="14" t="n">
        <f aca="false">SUM(G4:G8)</f>
        <v>149</v>
      </c>
    </row>
    <row r="10" customFormat="false" ht="15" hidden="false" customHeight="false" outlineLevel="0" collapsed="false">
      <c r="A10" s="4" t="s">
        <v>19</v>
      </c>
      <c r="B10" s="15" t="n">
        <f aca="false">IF(B4=0,0,B5/B4*365)</f>
        <v>23.7773297469884</v>
      </c>
    </row>
    <row r="11" customFormat="false" ht="15" hidden="false" customHeight="false" outlineLevel="0" collapsed="false">
      <c r="A11" s="4" t="s">
        <v>20</v>
      </c>
      <c r="B11" s="10" t="n">
        <f aca="false">COUNTIF(Piutang!J2:J1751,"Belum ditukar")</f>
        <v>9</v>
      </c>
    </row>
    <row r="14" customFormat="false" ht="15" hidden="false" customHeight="false" outlineLevel="0" collapsed="false">
      <c r="A14" s="16" t="s">
        <v>21</v>
      </c>
      <c r="G14" s="16" t="s">
        <v>22</v>
      </c>
    </row>
    <row r="15" customFormat="false" ht="31.5" hidden="false" customHeight="true" outlineLevel="0" collapsed="false">
      <c r="A15" s="3" t="s">
        <v>23</v>
      </c>
      <c r="B15" s="3" t="s">
        <v>7</v>
      </c>
      <c r="C15" s="3" t="s">
        <v>4</v>
      </c>
      <c r="D15" s="3" t="s">
        <v>24</v>
      </c>
      <c r="E15" s="3" t="s">
        <v>25</v>
      </c>
      <c r="G15" s="3" t="s">
        <v>26</v>
      </c>
      <c r="H15" s="3" t="s">
        <v>27</v>
      </c>
      <c r="I15" s="3" t="s">
        <v>4</v>
      </c>
    </row>
    <row r="16" customFormat="false" ht="15" hidden="false" customHeight="false" outlineLevel="0" collapsed="false">
      <c r="A16" s="4" t="s">
        <v>28</v>
      </c>
      <c r="B16" s="6" t="n">
        <f aca="false">SUMIFS(Piutang!$F$2:$F$1751,Piutang!$E$2:$E$1751,A16)</f>
        <v>3094375500</v>
      </c>
      <c r="C16" s="6" t="n">
        <f aca="false">SUMIFS(Piutang!$M$2:$M$1751,Piutang!$E$2:$E$1751,A16)</f>
        <v>165156700</v>
      </c>
      <c r="D16" s="6" t="n">
        <f aca="false">C16-SUMIFS(Piutang!$M$2:$M$1751,Piutang!$E$2:$E$1751,A16,Piutang!$P$2:$P$1751,"Belum Jatuh Tempo")</f>
        <v>54551000</v>
      </c>
      <c r="E16" s="7" t="n">
        <f aca="false">IF(C16=0,0,D16/C16)</f>
        <v>0.33029843778666</v>
      </c>
      <c r="G16" s="17" t="n">
        <v>45658</v>
      </c>
      <c r="H16" s="6" t="n">
        <f aca="false">SUMIFS(Piutang!$F$2:$F$1751,Piutang!$B$2:$B$1751,"&gt;="&amp;G16,Piutang!$B$2:$B$1751,"&lt;"&amp;EDATE(G16,1))</f>
        <v>1576054400</v>
      </c>
      <c r="I16" s="6" t="n">
        <f aca="false">SUMIFS(Piutang!$M$2:$M$1751,Piutang!$B$2:$B$1751,"&gt;="&amp;G16,Piutang!$B$2:$B$1751,"&lt;"&amp;EDATE(G16,1))</f>
        <v>9360800</v>
      </c>
    </row>
    <row r="17" customFormat="false" ht="15" hidden="false" customHeight="false" outlineLevel="0" collapsed="false">
      <c r="A17" s="4" t="s">
        <v>29</v>
      </c>
      <c r="B17" s="6" t="n">
        <f aca="false">SUMIFS(Piutang!$F$2:$F$1751,Piutang!$E$2:$E$1751,A17)</f>
        <v>3181979800</v>
      </c>
      <c r="C17" s="6" t="n">
        <f aca="false">SUMIFS(Piutang!$M$2:$M$1751,Piutang!$E$2:$E$1751,A17)</f>
        <v>275669700</v>
      </c>
      <c r="D17" s="6" t="n">
        <f aca="false">C17-SUMIFS(Piutang!$M$2:$M$1751,Piutang!$E$2:$E$1751,A17,Piutang!$P$2:$P$1751,"Belum Jatuh Tempo")</f>
        <v>95769400</v>
      </c>
      <c r="E17" s="7" t="n">
        <f aca="false">IF(C17=0,0,D17/C17)</f>
        <v>0.34740633446476</v>
      </c>
      <c r="G17" s="17" t="n">
        <v>45689</v>
      </c>
      <c r="H17" s="6" t="n">
        <f aca="false">SUMIFS(Piutang!$F$2:$F$1751,Piutang!$B$2:$B$1751,"&gt;="&amp;G17,Piutang!$B$2:$B$1751,"&lt;"&amp;EDATE(G17,1))</f>
        <v>1525951100</v>
      </c>
      <c r="I17" s="6" t="n">
        <f aca="false">SUMIFS(Piutang!$M$2:$M$1751,Piutang!$B$2:$B$1751,"&gt;="&amp;G17,Piutang!$B$2:$B$1751,"&lt;"&amp;EDATE(G17,1))</f>
        <v>39694000</v>
      </c>
    </row>
    <row r="18" customFormat="false" ht="15" hidden="false" customHeight="false" outlineLevel="0" collapsed="false">
      <c r="A18" s="4" t="s">
        <v>30</v>
      </c>
      <c r="B18" s="6" t="n">
        <f aca="false">SUMIFS(Piutang!$F$2:$F$1751,Piutang!$E$2:$E$1751,A18)</f>
        <v>3637198600</v>
      </c>
      <c r="C18" s="6" t="n">
        <f aca="false">SUMIFS(Piutang!$M$2:$M$1751,Piutang!$E$2:$E$1751,A18)</f>
        <v>259719600</v>
      </c>
      <c r="D18" s="6" t="n">
        <f aca="false">C18-SUMIFS(Piutang!$M$2:$M$1751,Piutang!$E$2:$E$1751,A18,Piutang!$P$2:$P$1751,"Belum Jatuh Tempo")</f>
        <v>111393500</v>
      </c>
      <c r="E18" s="7" t="n">
        <f aca="false">IF(C18=0,0,D18/C18)</f>
        <v>0.428899089633589</v>
      </c>
      <c r="G18" s="17" t="n">
        <v>45717</v>
      </c>
      <c r="H18" s="6" t="n">
        <f aca="false">SUMIFS(Piutang!$F$2:$F$1751,Piutang!$B$2:$B$1751,"&gt;="&amp;G18,Piutang!$B$2:$B$1751,"&lt;"&amp;EDATE(G18,1))</f>
        <v>1553507600</v>
      </c>
      <c r="I18" s="6" t="n">
        <f aca="false">SUMIFS(Piutang!$M$2:$M$1751,Piutang!$B$2:$B$1751,"&gt;="&amp;G18,Piutang!$B$2:$B$1751,"&lt;"&amp;EDATE(G18,1))</f>
        <v>19677400</v>
      </c>
    </row>
    <row r="19" customFormat="false" ht="15" hidden="false" customHeight="false" outlineLevel="0" collapsed="false">
      <c r="A19" s="4" t="s">
        <v>31</v>
      </c>
      <c r="B19" s="6" t="n">
        <f aca="false">SUMIFS(Piutang!$F$2:$F$1751,Piutang!$E$2:$E$1751,A19)</f>
        <v>4840842700</v>
      </c>
      <c r="C19" s="6" t="n">
        <f aca="false">SUMIFS(Piutang!$M$2:$M$1751,Piutang!$E$2:$E$1751,A19)</f>
        <v>508003400</v>
      </c>
      <c r="D19" s="6" t="n">
        <f aca="false">C19-SUMIFS(Piutang!$M$2:$M$1751,Piutang!$E$2:$E$1751,A19,Piutang!$P$2:$P$1751,"Belum Jatuh Tempo")</f>
        <v>208706400</v>
      </c>
      <c r="E19" s="7" t="n">
        <f aca="false">IF(C19=0,0,D19/C19)</f>
        <v>0.410836620384824</v>
      </c>
      <c r="G19" s="17" t="n">
        <v>45748</v>
      </c>
      <c r="H19" s="6" t="n">
        <f aca="false">SUMIFS(Piutang!$F$2:$F$1751,Piutang!$B$2:$B$1751,"&gt;="&amp;G19,Piutang!$B$2:$B$1751,"&lt;"&amp;EDATE(G19,1))</f>
        <v>1586180200</v>
      </c>
      <c r="I19" s="6" t="n">
        <f aca="false">SUMIFS(Piutang!$M$2:$M$1751,Piutang!$B$2:$B$1751,"&gt;="&amp;G19,Piutang!$B$2:$B$1751,"&lt;"&amp;EDATE(G19,1))</f>
        <v>6842800</v>
      </c>
    </row>
    <row r="20" customFormat="false" ht="15" hidden="false" customHeight="false" outlineLevel="0" collapsed="false">
      <c r="A20" s="4" t="s">
        <v>32</v>
      </c>
      <c r="B20" s="6" t="n">
        <f aca="false">SUMIFS(Piutang!$F$2:$F$1751,Piutang!$E$2:$E$1751,A20)</f>
        <v>3797751000</v>
      </c>
      <c r="C20" s="6" t="n">
        <f aca="false">SUMIFS(Piutang!$M$2:$M$1751,Piutang!$E$2:$E$1751,A20)</f>
        <v>0</v>
      </c>
      <c r="D20" s="6" t="n">
        <f aca="false">C20-SUMIFS(Piutang!$M$2:$M$1751,Piutang!$E$2:$E$1751,A20,Piutang!$P$2:$P$1751,"Belum Jatuh Tempo")</f>
        <v>0</v>
      </c>
      <c r="E20" s="7" t="n">
        <f aca="false">IF(C20=0,0,D20/C20)</f>
        <v>0</v>
      </c>
      <c r="G20" s="17" t="n">
        <v>45778</v>
      </c>
      <c r="H20" s="6" t="n">
        <f aca="false">SUMIFS(Piutang!$F$2:$F$1751,Piutang!$B$2:$B$1751,"&gt;="&amp;G20,Piutang!$B$2:$B$1751,"&lt;"&amp;EDATE(G20,1))</f>
        <v>1709855800</v>
      </c>
      <c r="I20" s="6" t="n">
        <f aca="false">SUMIFS(Piutang!$M$2:$M$1751,Piutang!$B$2:$B$1751,"&gt;="&amp;G20,Piutang!$B$2:$B$1751,"&lt;"&amp;EDATE(G20,1))</f>
        <v>34774200</v>
      </c>
    </row>
    <row r="21" customFormat="false" ht="15" hidden="false" customHeight="false" outlineLevel="0" collapsed="false">
      <c r="A21" s="11" t="s">
        <v>18</v>
      </c>
      <c r="B21" s="12" t="n">
        <f aca="false">SUM(B16:B20)</f>
        <v>18552147600</v>
      </c>
      <c r="C21" s="12" t="n">
        <f aca="false">SUM(C16:C20)</f>
        <v>1208549400</v>
      </c>
      <c r="D21" s="12" t="n">
        <f aca="false">SUM(D16:D20)</f>
        <v>470420300</v>
      </c>
      <c r="E21" s="13" t="n">
        <f aca="false">IF(C21=0,0,D21/C21)</f>
        <v>0.389243749572835</v>
      </c>
      <c r="G21" s="17" t="n">
        <v>45809</v>
      </c>
      <c r="H21" s="6" t="n">
        <f aca="false">SUMIFS(Piutang!$F$2:$F$1751,Piutang!$B$2:$B$1751,"&gt;="&amp;G21,Piutang!$B$2:$B$1751,"&lt;"&amp;EDATE(G21,1))</f>
        <v>1252767400</v>
      </c>
      <c r="I21" s="6" t="n">
        <f aca="false">SUMIFS(Piutang!$M$2:$M$1751,Piutang!$B$2:$B$1751,"&gt;="&amp;G21,Piutang!$B$2:$B$1751,"&lt;"&amp;EDATE(G21,1))</f>
        <v>8448100</v>
      </c>
    </row>
    <row r="22" customFormat="false" ht="15" hidden="false" customHeight="false" outlineLevel="0" collapsed="false">
      <c r="G22" s="17" t="n">
        <v>45839</v>
      </c>
      <c r="H22" s="6" t="n">
        <f aca="false">SUMIFS(Piutang!$F$2:$F$1751,Piutang!$B$2:$B$1751,"&gt;="&amp;G22,Piutang!$B$2:$B$1751,"&lt;"&amp;EDATE(G22,1))</f>
        <v>1466421200</v>
      </c>
      <c r="I22" s="6" t="n">
        <f aca="false">SUMIFS(Piutang!$M$2:$M$1751,Piutang!$B$2:$B$1751,"&gt;="&amp;G22,Piutang!$B$2:$B$1751,"&lt;"&amp;EDATE(G22,1))</f>
        <v>11168300</v>
      </c>
    </row>
    <row r="23" customFormat="false" ht="15" hidden="false" customHeight="false" outlineLevel="0" collapsed="false">
      <c r="G23" s="17" t="n">
        <v>45870</v>
      </c>
      <c r="H23" s="6" t="n">
        <f aca="false">SUMIFS(Piutang!$F$2:$F$1751,Piutang!$B$2:$B$1751,"&gt;="&amp;G23,Piutang!$B$2:$B$1751,"&lt;"&amp;EDATE(G23,1))</f>
        <v>1573166300</v>
      </c>
      <c r="I23" s="6" t="n">
        <f aca="false">SUMIFS(Piutang!$M$2:$M$1751,Piutang!$B$2:$B$1751,"&gt;="&amp;G23,Piutang!$B$2:$B$1751,"&lt;"&amp;EDATE(G23,1))</f>
        <v>10663500</v>
      </c>
    </row>
    <row r="24" customFormat="false" ht="15" hidden="false" customHeight="false" outlineLevel="0" collapsed="false">
      <c r="A24" s="16" t="s">
        <v>33</v>
      </c>
      <c r="G24" s="17" t="n">
        <v>45901</v>
      </c>
      <c r="H24" s="6" t="n">
        <f aca="false">SUMIFS(Piutang!$F$2:$F$1751,Piutang!$B$2:$B$1751,"&gt;="&amp;G24,Piutang!$B$2:$B$1751,"&lt;"&amp;EDATE(G24,1))</f>
        <v>1622212200</v>
      </c>
      <c r="I24" s="6" t="n">
        <f aca="false">SUMIFS(Piutang!$M$2:$M$1751,Piutang!$B$2:$B$1751,"&gt;="&amp;G24,Piutang!$B$2:$B$1751,"&lt;"&amp;EDATE(G24,1))</f>
        <v>15484200</v>
      </c>
    </row>
    <row r="25" customFormat="false" ht="31.5" hidden="false" customHeight="true" outlineLevel="0" collapsed="false">
      <c r="A25" s="3" t="s">
        <v>34</v>
      </c>
      <c r="B25" s="3" t="s">
        <v>35</v>
      </c>
      <c r="C25" s="3" t="s">
        <v>36</v>
      </c>
      <c r="D25" s="3" t="s">
        <v>24</v>
      </c>
      <c r="E25" s="3" t="s">
        <v>37</v>
      </c>
      <c r="G25" s="17" t="n">
        <v>45931</v>
      </c>
      <c r="H25" s="6" t="n">
        <f aca="false">SUMIFS(Piutang!$F$2:$F$1751,Piutang!$B$2:$B$1751,"&gt;="&amp;G25,Piutang!$B$2:$B$1751,"&lt;"&amp;EDATE(G25,1))</f>
        <v>1625867200</v>
      </c>
      <c r="I25" s="6" t="n">
        <f aca="false">SUMIFS(Piutang!$M$2:$M$1751,Piutang!$B$2:$B$1751,"&gt;="&amp;G25,Piutang!$B$2:$B$1751,"&lt;"&amp;EDATE(G25,1))</f>
        <v>77501600</v>
      </c>
    </row>
    <row r="26" customFormat="false" ht="15" hidden="false" customHeight="false" outlineLevel="0" collapsed="false">
      <c r="A26" s="18" t="n">
        <v>1</v>
      </c>
      <c r="B26" s="4" t="str">
        <f aca="false">INDEX(Aging_Customer!$B$2:$B$126,MATCH(D26,Aging_Customer!$J$2:$J$126,0))</f>
        <v>SINAR AUTO BERKAH</v>
      </c>
      <c r="C26" s="6" t="n">
        <f aca="false">INDEX(Aging_Customer!$D$2:$D$126,MATCH(D26,Aging_Customer!$J$2:$J$126,0))</f>
        <v>54601400</v>
      </c>
      <c r="D26" s="6" t="n">
        <f aca="false">LARGE(Aging_Customer!$J$2:$J$126,A26)</f>
        <v>50123700</v>
      </c>
      <c r="E26" s="6" t="n">
        <f aca="false">INDEX(Aging_Customer!$I$2:$I$126,MATCH(D26,Aging_Customer!$J$2:$J$126,0))</f>
        <v>8448100</v>
      </c>
      <c r="G26" s="17" t="n">
        <v>45962</v>
      </c>
      <c r="H26" s="6" t="n">
        <f aca="false">SUMIFS(Piutang!$F$2:$F$1751,Piutang!$B$2:$B$1751,"&gt;="&amp;G26,Piutang!$B$2:$B$1751,"&lt;"&amp;EDATE(G26,1))</f>
        <v>1411780600</v>
      </c>
      <c r="I26" s="6" t="n">
        <f aca="false">SUMIFS(Piutang!$M$2:$M$1751,Piutang!$B$2:$B$1751,"&gt;="&amp;G26,Piutang!$B$2:$B$1751,"&lt;"&amp;EDATE(G26,1))</f>
        <v>246459400</v>
      </c>
    </row>
    <row r="27" customFormat="false" ht="15" hidden="false" customHeight="false" outlineLevel="0" collapsed="false">
      <c r="A27" s="18" t="n">
        <v>2</v>
      </c>
      <c r="B27" s="4" t="str">
        <f aca="false">INDEX(Aging_Customer!$B$2:$B$126,MATCH(D27,Aging_Customer!$J$2:$J$126,0))</f>
        <v>SUMBER TEKNIK SURYA</v>
      </c>
      <c r="C27" s="6" t="n">
        <f aca="false">INDEX(Aging_Customer!$D$2:$D$126,MATCH(D27,Aging_Customer!$J$2:$J$126,0))</f>
        <v>183313200</v>
      </c>
      <c r="D27" s="6" t="n">
        <f aca="false">LARGE(Aging_Customer!$J$2:$J$126,A27)</f>
        <v>34440900</v>
      </c>
      <c r="E27" s="6" t="n">
        <f aca="false">INDEX(Aging_Customer!$I$2:$I$126,MATCH(D27,Aging_Customer!$J$2:$J$126,0))</f>
        <v>30765100</v>
      </c>
      <c r="G27" s="17" t="n">
        <v>45992</v>
      </c>
      <c r="H27" s="6" t="n">
        <f aca="false">SUMIFS(Piutang!$F$2:$F$1751,Piutang!$B$2:$B$1751,"&gt;="&amp;G27,Piutang!$B$2:$B$1751,"&lt;"&amp;EDATE(G27,1))</f>
        <v>1648383600</v>
      </c>
      <c r="I27" s="6" t="n">
        <f aca="false">SUMIFS(Piutang!$M$2:$M$1751,Piutang!$B$2:$B$1751,"&gt;="&amp;G27,Piutang!$B$2:$B$1751,"&lt;"&amp;EDATE(G27,1))</f>
        <v>728475100</v>
      </c>
    </row>
    <row r="28" customFormat="false" ht="15" hidden="false" customHeight="false" outlineLevel="0" collapsed="false">
      <c r="A28" s="18" t="n">
        <v>3</v>
      </c>
      <c r="B28" s="4" t="str">
        <f aca="false">INDEX(Aging_Customer!$B$2:$B$126,MATCH(D28,Aging_Customer!$J$2:$J$126,0))</f>
        <v>LANCAR GARAGE UTAMA</v>
      </c>
      <c r="C28" s="6" t="n">
        <f aca="false">INDEX(Aging_Customer!$D$2:$D$126,MATCH(D28,Aging_Customer!$J$2:$J$126,0))</f>
        <v>40914700</v>
      </c>
      <c r="D28" s="6" t="n">
        <f aca="false">LARGE(Aging_Customer!$J$2:$J$126,A28)</f>
        <v>34057500</v>
      </c>
      <c r="E28" s="6" t="n">
        <f aca="false">INDEX(Aging_Customer!$I$2:$I$126,MATCH(D28,Aging_Customer!$J$2:$J$126,0))</f>
        <v>0</v>
      </c>
      <c r="G28" s="11" t="s">
        <v>18</v>
      </c>
      <c r="H28" s="12" t="n">
        <f aca="false">SUM(H16:H27)</f>
        <v>18552147600</v>
      </c>
      <c r="I28" s="12" t="n">
        <f aca="false">SUM(I16:I27)</f>
        <v>1208549400</v>
      </c>
    </row>
    <row r="29" customFormat="false" ht="15" hidden="false" customHeight="false" outlineLevel="0" collapsed="false">
      <c r="A29" s="18" t="n">
        <v>4</v>
      </c>
      <c r="B29" s="4" t="str">
        <f aca="false">INDEX(Aging_Customer!$B$2:$B$126,MATCH(D29,Aging_Customer!$J$2:$J$126,0))</f>
        <v>ABADI AUTO UTAMA</v>
      </c>
      <c r="C29" s="6" t="n">
        <f aca="false">INDEX(Aging_Customer!$D$2:$D$126,MATCH(D29,Aging_Customer!$J$2:$J$126,0))</f>
        <v>31764600</v>
      </c>
      <c r="D29" s="6" t="n">
        <f aca="false">LARGE(Aging_Customer!$J$2:$J$126,A29)</f>
        <v>25987400</v>
      </c>
      <c r="E29" s="6" t="n">
        <f aca="false">INDEX(Aging_Customer!$I$2:$I$126,MATCH(D29,Aging_Customer!$J$2:$J$126,0))</f>
        <v>0</v>
      </c>
    </row>
    <row r="30" customFormat="false" ht="15" hidden="false" customHeight="false" outlineLevel="0" collapsed="false">
      <c r="A30" s="18" t="n">
        <v>5</v>
      </c>
      <c r="B30" s="4" t="str">
        <f aca="false">INDEX(Aging_Customer!$B$2:$B$126,MATCH(D30,Aging_Customer!$J$2:$J$126,0))</f>
        <v>BINTANG OLI</v>
      </c>
      <c r="C30" s="6" t="n">
        <f aca="false">INDEX(Aging_Customer!$D$2:$D$126,MATCH(D30,Aging_Customer!$J$2:$J$126,0))</f>
        <v>43609000</v>
      </c>
      <c r="D30" s="6" t="n">
        <f aca="false">LARGE(Aging_Customer!$J$2:$J$126,A30)</f>
        <v>21381000</v>
      </c>
      <c r="E30" s="6" t="n">
        <f aca="false">INDEX(Aging_Customer!$I$2:$I$126,MATCH(D30,Aging_Customer!$J$2:$J$126,0))</f>
        <v>0</v>
      </c>
    </row>
    <row r="31" customFormat="false" ht="15" hidden="false" customHeight="false" outlineLevel="0" collapsed="false">
      <c r="A31" s="18" t="n">
        <v>6</v>
      </c>
      <c r="B31" s="4" t="str">
        <f aca="false">INDEX(Aging_Customer!$B$2:$B$126,MATCH(D31,Aging_Customer!$J$2:$J$126,0))</f>
        <v>BERKAH SPAREPART</v>
      </c>
      <c r="C31" s="6" t="n">
        <f aca="false">INDEX(Aging_Customer!$D$2:$D$126,MATCH(D31,Aging_Customer!$J$2:$J$126,0))</f>
        <v>21754200</v>
      </c>
      <c r="D31" s="6" t="n">
        <f aca="false">LARGE(Aging_Customer!$J$2:$J$126,A31)</f>
        <v>19540200</v>
      </c>
      <c r="E31" s="6" t="n">
        <f aca="false">INDEX(Aging_Customer!$I$2:$I$126,MATCH(D31,Aging_Customer!$J$2:$J$126,0))</f>
        <v>0</v>
      </c>
    </row>
    <row r="32" customFormat="false" ht="15" hidden="false" customHeight="false" outlineLevel="0" collapsed="false">
      <c r="A32" s="18" t="n">
        <v>7</v>
      </c>
      <c r="B32" s="4" t="str">
        <f aca="false">INDEX(Aging_Customer!$B$2:$B$126,MATCH(D32,Aging_Customer!$J$2:$J$126,0))</f>
        <v>MITRA GARAGE MULIA</v>
      </c>
      <c r="C32" s="6" t="n">
        <f aca="false">INDEX(Aging_Customer!$D$2:$D$126,MATCH(D32,Aging_Customer!$J$2:$J$126,0))</f>
        <v>17735600</v>
      </c>
      <c r="D32" s="6" t="n">
        <f aca="false">LARGE(Aging_Customer!$J$2:$J$126,A32)</f>
        <v>17735600</v>
      </c>
      <c r="E32" s="6" t="n">
        <f aca="false">INDEX(Aging_Customer!$I$2:$I$126,MATCH(D32,Aging_Customer!$J$2:$J$126,0))</f>
        <v>4069400</v>
      </c>
    </row>
    <row r="33" customFormat="false" ht="15" hidden="false" customHeight="false" outlineLevel="0" collapsed="false">
      <c r="A33" s="18" t="n">
        <v>8</v>
      </c>
      <c r="B33" s="4" t="str">
        <f aca="false">INDEX(Aging_Customer!$B$2:$B$126,MATCH(D33,Aging_Customer!$J$2:$J$126,0))</f>
        <v>BINTANG BENGKEL</v>
      </c>
      <c r="C33" s="6" t="n">
        <f aca="false">INDEX(Aging_Customer!$D$2:$D$126,MATCH(D33,Aging_Customer!$J$2:$J$126,0))</f>
        <v>16598500</v>
      </c>
      <c r="D33" s="6" t="n">
        <f aca="false">LARGE(Aging_Customer!$J$2:$J$126,A33)</f>
        <v>16598500</v>
      </c>
      <c r="E33" s="6" t="n">
        <f aca="false">INDEX(Aging_Customer!$I$2:$I$126,MATCH(D33,Aging_Customer!$J$2:$J$126,0))</f>
        <v>0</v>
      </c>
    </row>
    <row r="34" customFormat="false" ht="15" hidden="false" customHeight="false" outlineLevel="0" collapsed="false">
      <c r="A34" s="18" t="n">
        <v>9</v>
      </c>
      <c r="B34" s="4" t="str">
        <f aca="false">INDEX(Aging_Customer!$B$2:$B$126,MATCH(D34,Aging_Customer!$J$2:$J$126,0))</f>
        <v>MULIA BENGKEL UTAMA</v>
      </c>
      <c r="C34" s="6" t="n">
        <f aca="false">INDEX(Aging_Customer!$D$2:$D$126,MATCH(D34,Aging_Customer!$J$2:$J$126,0))</f>
        <v>16281200</v>
      </c>
      <c r="D34" s="6" t="n">
        <f aca="false">LARGE(Aging_Customer!$J$2:$J$126,A34)</f>
        <v>16281200</v>
      </c>
      <c r="E34" s="6" t="n">
        <f aca="false">INDEX(Aging_Customer!$I$2:$I$126,MATCH(D34,Aging_Customer!$J$2:$J$126,0))</f>
        <v>0</v>
      </c>
    </row>
    <row r="35" customFormat="false" ht="15" hidden="false" customHeight="false" outlineLevel="0" collapsed="false">
      <c r="A35" s="18" t="n">
        <v>10</v>
      </c>
      <c r="B35" s="4" t="str">
        <f aca="false">INDEX(Aging_Customer!$B$2:$B$126,MATCH(D35,Aging_Customer!$J$2:$J$126,0))</f>
        <v>BERKAH MOBIL MAKMUR</v>
      </c>
      <c r="C35" s="6" t="n">
        <f aca="false">INDEX(Aging_Customer!$D$2:$D$126,MATCH(D35,Aging_Customer!$J$2:$J$126,0))</f>
        <v>16047200</v>
      </c>
      <c r="D35" s="6" t="n">
        <f aca="false">LARGE(Aging_Customer!$J$2:$J$126,A35)</f>
        <v>16047200</v>
      </c>
      <c r="E35" s="6" t="n">
        <f aca="false">INDEX(Aging_Customer!$I$2:$I$126,MATCH(D35,Aging_Customer!$J$2:$J$126,0))</f>
        <v>16047200</v>
      </c>
    </row>
  </sheetData>
  <printOptions headings="false" gridLines="false" gridLinesSet="true" horizontalCentered="false" verticalCentered="false"/>
  <pageMargins left="0.5" right="0.5" top="0.6" bottom="0.6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Data sintetis - portofolio&amp;C&amp;8 Halaman &amp;P dari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17"/>
    <col collapsed="false" customWidth="true" hidden="false" outlineLevel="0" max="4" min="4" style="0" width="18"/>
    <col collapsed="false" customWidth="true" hidden="false" outlineLevel="0" max="8" min="5" style="0" width="16"/>
    <col collapsed="false" customWidth="true" hidden="false" outlineLevel="0" max="9" min="9" style="0" width="19"/>
    <col collapsed="false" customWidth="true" hidden="false" outlineLevel="0" max="10" min="10" style="0" width="11"/>
    <col collapsed="false" customWidth="true" hidden="false" outlineLevel="0" max="11" min="11" style="0" width="3"/>
    <col collapsed="false" customWidth="true" hidden="true" outlineLevel="0" max="12" min="12" style="0" width="8"/>
  </cols>
  <sheetData>
    <row r="1" customFormat="false" ht="19.7" hidden="false" customHeight="false" outlineLevel="0" collapsed="false">
      <c r="A1" s="1" t="s">
        <v>38</v>
      </c>
    </row>
    <row r="2" customFormat="false" ht="15" hidden="false" customHeight="false" outlineLevel="0" collapsed="false">
      <c r="A2" s="19" t="str">
        <f aca="false">"Posisi per "&amp;TEXT(Catatan!B3,"dd mmmm yyyy")</f>
        <v>Posisi per 31 December 2025</v>
      </c>
    </row>
    <row r="3" customFormat="false" ht="15" hidden="false" customHeight="false" outlineLevel="0" collapsed="false">
      <c r="A3" s="20" t="s">
        <v>39</v>
      </c>
    </row>
    <row r="5" customFormat="false" ht="15" hidden="false" customHeight="false" outlineLevel="0" collapsed="false">
      <c r="A5" s="21" t="s">
        <v>40</v>
      </c>
      <c r="B5" s="22"/>
      <c r="C5" s="22"/>
      <c r="D5" s="22"/>
      <c r="E5" s="22"/>
      <c r="F5" s="22"/>
      <c r="G5" s="22"/>
      <c r="H5" s="22"/>
      <c r="I5" s="22"/>
      <c r="J5" s="22"/>
    </row>
    <row r="6" customFormat="false" ht="15" hidden="false" customHeight="false" outlineLevel="0" collapsed="false">
      <c r="B6" s="4" t="s">
        <v>41</v>
      </c>
      <c r="C6" s="5" t="n">
        <f aca="false">SUM(Piutang!F2:F1751)</f>
        <v>18552147600</v>
      </c>
    </row>
    <row r="7" customFormat="false" ht="15" hidden="false" customHeight="false" outlineLevel="0" collapsed="false">
      <c r="B7" s="4" t="s">
        <v>42</v>
      </c>
      <c r="C7" s="5" t="n">
        <f aca="false">SUM(Piutang!M2:M1751)</f>
        <v>1208549400</v>
      </c>
    </row>
    <row r="8" customFormat="false" ht="15" hidden="false" customHeight="false" outlineLevel="0" collapsed="false">
      <c r="B8" s="4" t="s">
        <v>43</v>
      </c>
      <c r="C8" s="5" t="n">
        <f aca="false">Aging_Customer!J127</f>
        <v>470420300</v>
      </c>
    </row>
    <row r="9" customFormat="false" ht="15" hidden="false" customHeight="false" outlineLevel="0" collapsed="false">
      <c r="B9" s="4" t="s">
        <v>44</v>
      </c>
      <c r="C9" s="9" t="n">
        <f aca="false">IF(C7=0,0,C8/C7)</f>
        <v>0.389243749572835</v>
      </c>
    </row>
    <row r="10" customFormat="false" ht="15" hidden="false" customHeight="false" outlineLevel="0" collapsed="false">
      <c r="B10" s="4" t="s">
        <v>45</v>
      </c>
      <c r="C10" s="5" t="n">
        <f aca="false">Aging_Customer!I127</f>
        <v>144866300</v>
      </c>
    </row>
    <row r="11" customFormat="false" ht="15" hidden="false" customHeight="false" outlineLevel="0" collapsed="false">
      <c r="B11" s="4" t="s">
        <v>19</v>
      </c>
      <c r="C11" s="15" t="n">
        <f aca="false">IF(C6=0,0,C7/C6*365)</f>
        <v>23.7773297469884</v>
      </c>
    </row>
    <row r="12" customFormat="false" ht="15" hidden="false" customHeight="false" outlineLevel="0" collapsed="false">
      <c r="B12" s="4" t="s">
        <v>46</v>
      </c>
      <c r="C12" s="10" t="n">
        <f aca="false">COUNTIF(Piutang!M2:M1751,"&gt;0")</f>
        <v>149</v>
      </c>
    </row>
    <row r="13" customFormat="false" ht="15" hidden="false" customHeight="false" outlineLevel="0" collapsed="false">
      <c r="B13" s="4" t="s">
        <v>47</v>
      </c>
      <c r="C13" s="10" t="n">
        <f aca="false">COUNTIF(Aging_Customer!D2:D126,"&gt;0")</f>
        <v>66</v>
      </c>
    </row>
    <row r="15" customFormat="false" ht="15" hidden="false" customHeight="false" outlineLevel="0" collapsed="false">
      <c r="A15" s="21" t="s">
        <v>48</v>
      </c>
      <c r="B15" s="22"/>
      <c r="C15" s="22"/>
      <c r="D15" s="22"/>
      <c r="E15" s="22"/>
      <c r="F15" s="22"/>
      <c r="G15" s="22"/>
      <c r="H15" s="22"/>
      <c r="I15" s="22"/>
      <c r="J15" s="22"/>
    </row>
    <row r="16" customFormat="false" ht="31.5" hidden="false" customHeight="true" outlineLevel="0" collapsed="false">
      <c r="B16" s="3" t="s">
        <v>49</v>
      </c>
      <c r="C16" s="3" t="s">
        <v>6</v>
      </c>
      <c r="D16" s="3" t="s">
        <v>4</v>
      </c>
      <c r="E16" s="3" t="s">
        <v>5</v>
      </c>
    </row>
    <row r="17" customFormat="false" ht="15" hidden="false" customHeight="false" outlineLevel="0" collapsed="false">
      <c r="B17" s="4" t="s">
        <v>8</v>
      </c>
      <c r="C17" s="8" t="n">
        <f aca="false">COUNTIFS(Piutang!$P$2:$P$1751,B17,Piutang!$M$2:$M$1751,"&gt;0")</f>
        <v>82</v>
      </c>
      <c r="D17" s="6" t="n">
        <f aca="false">SUMIFS(Piutang!$M$2:$M$1751,Piutang!$P$2:$P$1751,B17)</f>
        <v>738129100</v>
      </c>
      <c r="E17" s="7" t="n">
        <f aca="false">IF($D$22=0,0,D17/$D$22)</f>
        <v>0.610756250427165</v>
      </c>
    </row>
    <row r="18" customFormat="false" ht="15" hidden="false" customHeight="false" outlineLevel="0" collapsed="false">
      <c r="B18" s="4" t="s">
        <v>10</v>
      </c>
      <c r="C18" s="8" t="n">
        <f aca="false">COUNTIFS(Piutang!$P$2:$P$1751,B18,Piutang!$M$2:$M$1751,"&gt;0")</f>
        <v>26</v>
      </c>
      <c r="D18" s="6" t="n">
        <f aca="false">SUMIFS(Piutang!$M$2:$M$1751,Piutang!$P$2:$P$1751,B18)</f>
        <v>204807200</v>
      </c>
      <c r="E18" s="7" t="n">
        <f aca="false">IF($D$22=0,0,D18/$D$22)</f>
        <v>0.169465311058034</v>
      </c>
    </row>
    <row r="19" customFormat="false" ht="15" hidden="false" customHeight="false" outlineLevel="0" collapsed="false">
      <c r="B19" s="4" t="s">
        <v>12</v>
      </c>
      <c r="C19" s="8" t="n">
        <f aca="false">COUNTIFS(Piutang!$P$2:$P$1751,B19,Piutang!$M$2:$M$1751,"&gt;0")</f>
        <v>10</v>
      </c>
      <c r="D19" s="6" t="n">
        <f aca="false">SUMIFS(Piutang!$M$2:$M$1751,Piutang!$P$2:$P$1751,B19)</f>
        <v>91756900</v>
      </c>
      <c r="E19" s="7" t="n">
        <f aca="false">IF($D$22=0,0,D19/$D$22)</f>
        <v>0.0759231687178033</v>
      </c>
    </row>
    <row r="20" customFormat="false" ht="15" hidden="false" customHeight="false" outlineLevel="0" collapsed="false">
      <c r="B20" s="4" t="s">
        <v>14</v>
      </c>
      <c r="C20" s="8" t="n">
        <f aca="false">COUNTIFS(Piutang!$P$2:$P$1751,B20,Piutang!$M$2:$M$1751,"&gt;0")</f>
        <v>5</v>
      </c>
      <c r="D20" s="6" t="n">
        <f aca="false">SUMIFS(Piutang!$M$2:$M$1751,Piutang!$P$2:$P$1751,B20)</f>
        <v>28989900</v>
      </c>
      <c r="E20" s="7" t="n">
        <f aca="false">IF($D$22=0,0,D20/$D$22)</f>
        <v>0.0239873521098931</v>
      </c>
    </row>
    <row r="21" customFormat="false" ht="15" hidden="false" customHeight="false" outlineLevel="0" collapsed="false">
      <c r="B21" s="4" t="s">
        <v>16</v>
      </c>
      <c r="C21" s="8" t="n">
        <f aca="false">COUNTIFS(Piutang!$P$2:$P$1751,B21,Piutang!$M$2:$M$1751,"&gt;0")</f>
        <v>26</v>
      </c>
      <c r="D21" s="6" t="n">
        <f aca="false">SUMIFS(Piutang!$M$2:$M$1751,Piutang!$P$2:$P$1751,B21)</f>
        <v>144866300</v>
      </c>
      <c r="E21" s="7" t="n">
        <f aca="false">IF($D$22=0,0,D21/$D$22)</f>
        <v>0.119867917687105</v>
      </c>
    </row>
    <row r="22" customFormat="false" ht="15" hidden="false" customHeight="false" outlineLevel="0" collapsed="false">
      <c r="B22" s="11" t="s">
        <v>18</v>
      </c>
      <c r="C22" s="14" t="n">
        <f aca="false">SUM(C17:C21)</f>
        <v>149</v>
      </c>
      <c r="D22" s="12" t="n">
        <f aca="false">SUM(D17:D21)</f>
        <v>1208549400</v>
      </c>
      <c r="E22" s="13" t="n">
        <f aca="false">SUM(E17:E21)</f>
        <v>1</v>
      </c>
    </row>
    <row r="24" customFormat="false" ht="15" hidden="false" customHeight="false" outlineLevel="0" collapsed="false">
      <c r="A24" s="21" t="s">
        <v>50</v>
      </c>
      <c r="B24" s="22"/>
      <c r="C24" s="22"/>
      <c r="D24" s="22"/>
      <c r="E24" s="22"/>
      <c r="F24" s="22"/>
      <c r="G24" s="22"/>
      <c r="H24" s="22"/>
      <c r="I24" s="22"/>
      <c r="J24" s="22"/>
    </row>
    <row r="25" customFormat="false" ht="31.5" hidden="false" customHeight="true" outlineLevel="0" collapsed="false">
      <c r="A25" s="3" t="s">
        <v>51</v>
      </c>
      <c r="B25" s="3" t="s">
        <v>35</v>
      </c>
      <c r="C25" s="3" t="s">
        <v>52</v>
      </c>
      <c r="D25" s="3" t="s">
        <v>8</v>
      </c>
      <c r="E25" s="3" t="s">
        <v>10</v>
      </c>
      <c r="F25" s="3" t="s">
        <v>12</v>
      </c>
      <c r="G25" s="3" t="s">
        <v>14</v>
      </c>
      <c r="H25" s="3" t="s">
        <v>16</v>
      </c>
      <c r="I25" s="3" t="s">
        <v>36</v>
      </c>
      <c r="J25" s="3" t="s">
        <v>25</v>
      </c>
      <c r="L25" s="23" t="s">
        <v>53</v>
      </c>
    </row>
    <row r="26" customFormat="false" ht="15" hidden="false" customHeight="false" outlineLevel="0" collapsed="false">
      <c r="A26" s="18" t="n">
        <v>1</v>
      </c>
      <c r="B26" s="4" t="str">
        <f aca="false">IF($L26="","",INDEX(Aging_Customer!$B$2:$B$126,$L26))</f>
        <v>SUMBER TEKNIK SURYA</v>
      </c>
      <c r="C26" s="4" t="n">
        <f aca="false">IF($L26="","",INDEX(Aging_Customer!$C$2:$C$126,$L26))</f>
        <v>30</v>
      </c>
      <c r="D26" s="6" t="n">
        <f aca="false">IF($L26="","",INDEX(Aging_Customer!$E$2:$E$126,$L26))</f>
        <v>148872300</v>
      </c>
      <c r="E26" s="6" t="n">
        <f aca="false">IF($L26="","",INDEX(Aging_Customer!$F$2:$F$126,$L26))</f>
        <v>0</v>
      </c>
      <c r="F26" s="6" t="n">
        <f aca="false">IF($L26="","",INDEX(Aging_Customer!$G$2:$G$126,$L26))</f>
        <v>0</v>
      </c>
      <c r="G26" s="6" t="n">
        <f aca="false">IF($L26="","",INDEX(Aging_Customer!$H$2:$H$126,$L26))</f>
        <v>3675800</v>
      </c>
      <c r="H26" s="6" t="n">
        <f aca="false">IF($L26="","",INDEX(Aging_Customer!$I$2:$I$126,$L26))</f>
        <v>30765100</v>
      </c>
      <c r="I26" s="6" t="n">
        <f aca="false">IF($L26="","",INDEX(Aging_Customer!$D$2:$D$126,$L26))</f>
        <v>183313200</v>
      </c>
      <c r="J26" s="7" t="n">
        <f aca="false">IF($L26="","",INDEX(Aging_Customer!$K$2:$K$126,$L26))</f>
        <v>0.18788008719503</v>
      </c>
      <c r="L26" s="24" t="n">
        <f aca="false">IFERROR(MATCH(LARGE(Aging_Customer!$D$2:$D$126,A26),Aging_Customer!$D$2:$D$126,0),"")</f>
        <v>1</v>
      </c>
    </row>
    <row r="27" customFormat="false" ht="15" hidden="false" customHeight="false" outlineLevel="0" collapsed="false">
      <c r="A27" s="18" t="n">
        <v>2</v>
      </c>
      <c r="B27" s="4" t="str">
        <f aca="false">IF($L27="","",INDEX(Aging_Customer!$B$2:$B$126,$L27))</f>
        <v>SUMBER OLI GEMILANG</v>
      </c>
      <c r="C27" s="4" t="n">
        <f aca="false">IF($L27="","",INDEX(Aging_Customer!$C$2:$C$126,$L27))</f>
        <v>30</v>
      </c>
      <c r="D27" s="6" t="n">
        <f aca="false">IF($L27="","",INDEX(Aging_Customer!$E$2:$E$126,$L27))</f>
        <v>51770600</v>
      </c>
      <c r="E27" s="6" t="n">
        <f aca="false">IF($L27="","",INDEX(Aging_Customer!$F$2:$F$126,$L27))</f>
        <v>9088100</v>
      </c>
      <c r="F27" s="6" t="n">
        <f aca="false">IF($L27="","",INDEX(Aging_Customer!$G$2:$G$126,$L27))</f>
        <v>0</v>
      </c>
      <c r="G27" s="6" t="n">
        <f aca="false">IF($L27="","",INDEX(Aging_Customer!$H$2:$H$126,$L27))</f>
        <v>0</v>
      </c>
      <c r="H27" s="6" t="n">
        <f aca="false">IF($L27="","",INDEX(Aging_Customer!$I$2:$I$126,$L27))</f>
        <v>0</v>
      </c>
      <c r="I27" s="6" t="n">
        <f aca="false">IF($L27="","",INDEX(Aging_Customer!$D$2:$D$126,$L27))</f>
        <v>60858700</v>
      </c>
      <c r="J27" s="7" t="n">
        <f aca="false">IF($L27="","",INDEX(Aging_Customer!$K$2:$K$126,$L27))</f>
        <v>0.149331155611277</v>
      </c>
      <c r="L27" s="24" t="n">
        <f aca="false">IFERROR(MATCH(LARGE(Aging_Customer!$D$2:$D$126,A27),Aging_Customer!$D$2:$D$126,0),"")</f>
        <v>2</v>
      </c>
    </row>
    <row r="28" customFormat="false" ht="15" hidden="false" customHeight="false" outlineLevel="0" collapsed="false">
      <c r="A28" s="18" t="n">
        <v>3</v>
      </c>
      <c r="B28" s="4" t="str">
        <f aca="false">IF($L28="","",INDEX(Aging_Customer!$B$2:$B$126,$L28))</f>
        <v>MAJU GARAGE TIRTA</v>
      </c>
      <c r="C28" s="4" t="n">
        <f aca="false">IF($L28="","",INDEX(Aging_Customer!$C$2:$C$126,$L28))</f>
        <v>45</v>
      </c>
      <c r="D28" s="6" t="n">
        <f aca="false">IF($L28="","",INDEX(Aging_Customer!$E$2:$E$126,$L28))</f>
        <v>51794600</v>
      </c>
      <c r="E28" s="6" t="n">
        <f aca="false">IF($L28="","",INDEX(Aging_Customer!$F$2:$F$126,$L28))</f>
        <v>0</v>
      </c>
      <c r="F28" s="6" t="n">
        <f aca="false">IF($L28="","",INDEX(Aging_Customer!$G$2:$G$126,$L28))</f>
        <v>0</v>
      </c>
      <c r="G28" s="6" t="n">
        <f aca="false">IF($L28="","",INDEX(Aging_Customer!$H$2:$H$126,$L28))</f>
        <v>0</v>
      </c>
      <c r="H28" s="6" t="n">
        <f aca="false">IF($L28="","",INDEX(Aging_Customer!$I$2:$I$126,$L28))</f>
        <v>4412400</v>
      </c>
      <c r="I28" s="6" t="n">
        <f aca="false">IF($L28="","",INDEX(Aging_Customer!$D$2:$D$126,$L28))</f>
        <v>56207000</v>
      </c>
      <c r="J28" s="7" t="n">
        <f aca="false">IF($L28="","",INDEX(Aging_Customer!$K$2:$K$126,$L28))</f>
        <v>0.0785026776024339</v>
      </c>
      <c r="L28" s="24" t="n">
        <f aca="false">IFERROR(MATCH(LARGE(Aging_Customer!$D$2:$D$126,A28),Aging_Customer!$D$2:$D$126,0),"")</f>
        <v>3</v>
      </c>
    </row>
    <row r="29" customFormat="false" ht="15" hidden="false" customHeight="false" outlineLevel="0" collapsed="false">
      <c r="A29" s="18" t="n">
        <v>4</v>
      </c>
      <c r="B29" s="4" t="str">
        <f aca="false">IF($L29="","",INDEX(Aging_Customer!$B$2:$B$126,$L29))</f>
        <v>SINAR AUTO BERKAH</v>
      </c>
      <c r="C29" s="4" t="n">
        <f aca="false">IF($L29="","",INDEX(Aging_Customer!$C$2:$C$126,$L29))</f>
        <v>30</v>
      </c>
      <c r="D29" s="6" t="n">
        <f aca="false">IF($L29="","",INDEX(Aging_Customer!$E$2:$E$126,$L29))</f>
        <v>4477700</v>
      </c>
      <c r="E29" s="6" t="n">
        <f aca="false">IF($L29="","",INDEX(Aging_Customer!$F$2:$F$126,$L29))</f>
        <v>27854000</v>
      </c>
      <c r="F29" s="6" t="n">
        <f aca="false">IF($L29="","",INDEX(Aging_Customer!$G$2:$G$126,$L29))</f>
        <v>13821600</v>
      </c>
      <c r="G29" s="6" t="n">
        <f aca="false">IF($L29="","",INDEX(Aging_Customer!$H$2:$H$126,$L29))</f>
        <v>0</v>
      </c>
      <c r="H29" s="6" t="n">
        <f aca="false">IF($L29="","",INDEX(Aging_Customer!$I$2:$I$126,$L29))</f>
        <v>8448100</v>
      </c>
      <c r="I29" s="6" t="n">
        <f aca="false">IF($L29="","",INDEX(Aging_Customer!$D$2:$D$126,$L29))</f>
        <v>54601400</v>
      </c>
      <c r="J29" s="7" t="n">
        <f aca="false">IF($L29="","",INDEX(Aging_Customer!$K$2:$K$126,$L29))</f>
        <v>0.917992945235836</v>
      </c>
      <c r="L29" s="24" t="n">
        <f aca="false">IFERROR(MATCH(LARGE(Aging_Customer!$D$2:$D$126,A29),Aging_Customer!$D$2:$D$126,0),"")</f>
        <v>4</v>
      </c>
    </row>
    <row r="30" customFormat="false" ht="15" hidden="false" customHeight="false" outlineLevel="0" collapsed="false">
      <c r="A30" s="18" t="n">
        <v>5</v>
      </c>
      <c r="B30" s="4" t="str">
        <f aca="false">IF($L30="","",INDEX(Aging_Customer!$B$2:$B$126,$L30))</f>
        <v>KARYA SPAREPART</v>
      </c>
      <c r="C30" s="4" t="n">
        <f aca="false">IF($L30="","",INDEX(Aging_Customer!$C$2:$C$126,$L30))</f>
        <v>45</v>
      </c>
      <c r="D30" s="6" t="n">
        <f aca="false">IF($L30="","",INDEX(Aging_Customer!$E$2:$E$126,$L30))</f>
        <v>48877600</v>
      </c>
      <c r="E30" s="6" t="n">
        <f aca="false">IF($L30="","",INDEX(Aging_Customer!$F$2:$F$126,$L30))</f>
        <v>1215900</v>
      </c>
      <c r="F30" s="6" t="n">
        <f aca="false">IF($L30="","",INDEX(Aging_Customer!$G$2:$G$126,$L30))</f>
        <v>1316300</v>
      </c>
      <c r="G30" s="6" t="n">
        <f aca="false">IF($L30="","",INDEX(Aging_Customer!$H$2:$H$126,$L30))</f>
        <v>0</v>
      </c>
      <c r="H30" s="6" t="n">
        <f aca="false">IF($L30="","",INDEX(Aging_Customer!$I$2:$I$126,$L30))</f>
        <v>1732600</v>
      </c>
      <c r="I30" s="6" t="n">
        <f aca="false">IF($L30="","",INDEX(Aging_Customer!$D$2:$D$126,$L30))</f>
        <v>53142400</v>
      </c>
      <c r="J30" s="7" t="n">
        <f aca="false">IF($L30="","",INDEX(Aging_Customer!$K$2:$K$126,$L30))</f>
        <v>0.0802523032456193</v>
      </c>
      <c r="L30" s="24" t="n">
        <f aca="false">IFERROR(MATCH(LARGE(Aging_Customer!$D$2:$D$126,A30),Aging_Customer!$D$2:$D$126,0),"")</f>
        <v>5</v>
      </c>
    </row>
    <row r="31" customFormat="false" ht="15" hidden="false" customHeight="false" outlineLevel="0" collapsed="false">
      <c r="A31" s="18" t="n">
        <v>6</v>
      </c>
      <c r="B31" s="4" t="str">
        <f aca="false">IF($L31="","",INDEX(Aging_Customer!$B$2:$B$126,$L31))</f>
        <v>BINTANG OLI</v>
      </c>
      <c r="C31" s="4" t="n">
        <f aca="false">IF($L31="","",INDEX(Aging_Customer!$C$2:$C$126,$L31))</f>
        <v>14</v>
      </c>
      <c r="D31" s="6" t="n">
        <f aca="false">IF($L31="","",INDEX(Aging_Customer!$E$2:$E$126,$L31))</f>
        <v>22228000</v>
      </c>
      <c r="E31" s="6" t="n">
        <f aca="false">IF($L31="","",INDEX(Aging_Customer!$F$2:$F$126,$L31))</f>
        <v>21381000</v>
      </c>
      <c r="F31" s="6" t="n">
        <f aca="false">IF($L31="","",INDEX(Aging_Customer!$G$2:$G$126,$L31))</f>
        <v>0</v>
      </c>
      <c r="G31" s="6" t="n">
        <f aca="false">IF($L31="","",INDEX(Aging_Customer!$H$2:$H$126,$L31))</f>
        <v>0</v>
      </c>
      <c r="H31" s="6" t="n">
        <f aca="false">IF($L31="","",INDEX(Aging_Customer!$I$2:$I$126,$L31))</f>
        <v>0</v>
      </c>
      <c r="I31" s="6" t="n">
        <f aca="false">IF($L31="","",INDEX(Aging_Customer!$D$2:$D$126,$L31))</f>
        <v>43609000</v>
      </c>
      <c r="J31" s="7" t="n">
        <f aca="false">IF($L31="","",INDEX(Aging_Customer!$K$2:$K$126,$L31))</f>
        <v>0.490288701873466</v>
      </c>
      <c r="L31" s="24" t="n">
        <f aca="false">IFERROR(MATCH(LARGE(Aging_Customer!$D$2:$D$126,A31),Aging_Customer!$D$2:$D$126,0),"")</f>
        <v>6</v>
      </c>
    </row>
    <row r="32" customFormat="false" ht="15" hidden="false" customHeight="false" outlineLevel="0" collapsed="false">
      <c r="A32" s="18" t="n">
        <v>7</v>
      </c>
      <c r="B32" s="4" t="str">
        <f aca="false">IF($L32="","",INDEX(Aging_Customer!$B$2:$B$126,$L32))</f>
        <v>LANCAR GARAGE UTAMA</v>
      </c>
      <c r="C32" s="4" t="n">
        <f aca="false">IF($L32="","",INDEX(Aging_Customer!$C$2:$C$126,$L32))</f>
        <v>14</v>
      </c>
      <c r="D32" s="6" t="n">
        <f aca="false">IF($L32="","",INDEX(Aging_Customer!$E$2:$E$126,$L32))</f>
        <v>6857200</v>
      </c>
      <c r="E32" s="6" t="n">
        <f aca="false">IF($L32="","",INDEX(Aging_Customer!$F$2:$F$126,$L32))</f>
        <v>17519100</v>
      </c>
      <c r="F32" s="6" t="n">
        <f aca="false">IF($L32="","",INDEX(Aging_Customer!$G$2:$G$126,$L32))</f>
        <v>16538400</v>
      </c>
      <c r="G32" s="6" t="n">
        <f aca="false">IF($L32="","",INDEX(Aging_Customer!$H$2:$H$126,$L32))</f>
        <v>0</v>
      </c>
      <c r="H32" s="6" t="n">
        <f aca="false">IF($L32="","",INDEX(Aging_Customer!$I$2:$I$126,$L32))</f>
        <v>0</v>
      </c>
      <c r="I32" s="6" t="n">
        <f aca="false">IF($L32="","",INDEX(Aging_Customer!$D$2:$D$126,$L32))</f>
        <v>40914700</v>
      </c>
      <c r="J32" s="7" t="n">
        <f aca="false">IF($L32="","",INDEX(Aging_Customer!$K$2:$K$126,$L32))</f>
        <v>0.832402535030197</v>
      </c>
      <c r="L32" s="24" t="n">
        <f aca="false">IFERROR(MATCH(LARGE(Aging_Customer!$D$2:$D$126,A32),Aging_Customer!$D$2:$D$126,0),"")</f>
        <v>7</v>
      </c>
    </row>
    <row r="33" customFormat="false" ht="15" hidden="false" customHeight="false" outlineLevel="0" collapsed="false">
      <c r="A33" s="18" t="n">
        <v>8</v>
      </c>
      <c r="B33" s="4" t="str">
        <f aca="false">IF($L33="","",INDEX(Aging_Customer!$B$2:$B$126,$L33))</f>
        <v>HARAPAN MOTOR</v>
      </c>
      <c r="C33" s="4" t="n">
        <f aca="false">IF($L33="","",INDEX(Aging_Customer!$C$2:$C$126,$L33))</f>
        <v>45</v>
      </c>
      <c r="D33" s="6" t="n">
        <f aca="false">IF($L33="","",INDEX(Aging_Customer!$E$2:$E$126,$L33))</f>
        <v>24083500</v>
      </c>
      <c r="E33" s="6" t="n">
        <f aca="false">IF($L33="","",INDEX(Aging_Customer!$F$2:$F$126,$L33))</f>
        <v>0</v>
      </c>
      <c r="F33" s="6" t="n">
        <f aca="false">IF($L33="","",INDEX(Aging_Customer!$G$2:$G$126,$L33))</f>
        <v>0</v>
      </c>
      <c r="G33" s="6" t="n">
        <f aca="false">IF($L33="","",INDEX(Aging_Customer!$H$2:$H$126,$L33))</f>
        <v>0</v>
      </c>
      <c r="H33" s="6" t="n">
        <f aca="false">IF($L33="","",INDEX(Aging_Customer!$I$2:$I$126,$L33))</f>
        <v>11783000</v>
      </c>
      <c r="I33" s="6" t="n">
        <f aca="false">IF($L33="","",INDEX(Aging_Customer!$D$2:$D$126,$L33))</f>
        <v>35866500</v>
      </c>
      <c r="J33" s="7" t="n">
        <f aca="false">IF($L33="","",INDEX(Aging_Customer!$K$2:$K$126,$L33))</f>
        <v>0.328523831430443</v>
      </c>
      <c r="L33" s="24" t="n">
        <f aca="false">IFERROR(MATCH(LARGE(Aging_Customer!$D$2:$D$126,A33),Aging_Customer!$D$2:$D$126,0),"")</f>
        <v>8</v>
      </c>
    </row>
    <row r="34" customFormat="false" ht="15" hidden="false" customHeight="false" outlineLevel="0" collapsed="false">
      <c r="A34" s="18" t="n">
        <v>9</v>
      </c>
      <c r="B34" s="4" t="str">
        <f aca="false">IF($L34="","",INDEX(Aging_Customer!$B$2:$B$126,$L34))</f>
        <v>ABADI AUTO UTAMA</v>
      </c>
      <c r="C34" s="4" t="n">
        <f aca="false">IF($L34="","",INDEX(Aging_Customer!$C$2:$C$126,$L34))</f>
        <v>14</v>
      </c>
      <c r="D34" s="6" t="n">
        <f aca="false">IF($L34="","",INDEX(Aging_Customer!$E$2:$E$126,$L34))</f>
        <v>5777200</v>
      </c>
      <c r="E34" s="6" t="n">
        <f aca="false">IF($L34="","",INDEX(Aging_Customer!$F$2:$F$126,$L34))</f>
        <v>25987400</v>
      </c>
      <c r="F34" s="6" t="n">
        <f aca="false">IF($L34="","",INDEX(Aging_Customer!$G$2:$G$126,$L34))</f>
        <v>0</v>
      </c>
      <c r="G34" s="6" t="n">
        <f aca="false">IF($L34="","",INDEX(Aging_Customer!$H$2:$H$126,$L34))</f>
        <v>0</v>
      </c>
      <c r="H34" s="6" t="n">
        <f aca="false">IF($L34="","",INDEX(Aging_Customer!$I$2:$I$126,$L34))</f>
        <v>0</v>
      </c>
      <c r="I34" s="6" t="n">
        <f aca="false">IF($L34="","",INDEX(Aging_Customer!$D$2:$D$126,$L34))</f>
        <v>31764600</v>
      </c>
      <c r="J34" s="7" t="n">
        <f aca="false">IF($L34="","",INDEX(Aging_Customer!$K$2:$K$126,$L34))</f>
        <v>0.818124578933782</v>
      </c>
      <c r="L34" s="24" t="n">
        <f aca="false">IFERROR(MATCH(LARGE(Aging_Customer!$D$2:$D$126,A34),Aging_Customer!$D$2:$D$126,0),"")</f>
        <v>9</v>
      </c>
    </row>
    <row r="35" customFormat="false" ht="15" hidden="false" customHeight="false" outlineLevel="0" collapsed="false">
      <c r="A35" s="18" t="n">
        <v>10</v>
      </c>
      <c r="B35" s="4" t="str">
        <f aca="false">IF($L35="","",INDEX(Aging_Customer!$B$2:$B$126,$L35))</f>
        <v>CAHAYA OLI</v>
      </c>
      <c r="C35" s="4" t="n">
        <f aca="false">IF($L35="","",INDEX(Aging_Customer!$C$2:$C$126,$L35))</f>
        <v>30</v>
      </c>
      <c r="D35" s="6" t="n">
        <f aca="false">IF($L35="","",INDEX(Aging_Customer!$E$2:$E$126,$L35))</f>
        <v>20966300</v>
      </c>
      <c r="E35" s="6" t="n">
        <f aca="false">IF($L35="","",INDEX(Aging_Customer!$F$2:$F$126,$L35))</f>
        <v>8670700</v>
      </c>
      <c r="F35" s="6" t="n">
        <f aca="false">IF($L35="","",INDEX(Aging_Customer!$G$2:$G$126,$L35))</f>
        <v>0</v>
      </c>
      <c r="G35" s="6" t="n">
        <f aca="false">IF($L35="","",INDEX(Aging_Customer!$H$2:$H$126,$L35))</f>
        <v>0</v>
      </c>
      <c r="H35" s="6" t="n">
        <f aca="false">IF($L35="","",INDEX(Aging_Customer!$I$2:$I$126,$L35))</f>
        <v>1948100</v>
      </c>
      <c r="I35" s="6" t="n">
        <f aca="false">IF($L35="","",INDEX(Aging_Customer!$D$2:$D$126,$L35))</f>
        <v>31585100</v>
      </c>
      <c r="J35" s="7" t="n">
        <f aca="false">IF($L35="","",INDEX(Aging_Customer!$K$2:$K$126,$L35))</f>
        <v>0.336196497715695</v>
      </c>
      <c r="L35" s="24" t="n">
        <f aca="false">IFERROR(MATCH(LARGE(Aging_Customer!$D$2:$D$126,A35),Aging_Customer!$D$2:$D$126,0),"")</f>
        <v>10</v>
      </c>
    </row>
    <row r="36" customFormat="false" ht="15" hidden="false" customHeight="false" outlineLevel="0" collapsed="false">
      <c r="A36" s="18" t="n">
        <v>11</v>
      </c>
      <c r="B36" s="4" t="str">
        <f aca="false">IF($L36="","",INDEX(Aging_Customer!$B$2:$B$126,$L36))</f>
        <v>SINAR GARAGE</v>
      </c>
      <c r="C36" s="4" t="n">
        <f aca="false">IF($L36="","",INDEX(Aging_Customer!$C$2:$C$126,$L36))</f>
        <v>30</v>
      </c>
      <c r="D36" s="6" t="n">
        <f aca="false">IF($L36="","",INDEX(Aging_Customer!$E$2:$E$126,$L36))</f>
        <v>23762500</v>
      </c>
      <c r="E36" s="6" t="n">
        <f aca="false">IF($L36="","",INDEX(Aging_Customer!$F$2:$F$126,$L36))</f>
        <v>0</v>
      </c>
      <c r="F36" s="6" t="n">
        <f aca="false">IF($L36="","",INDEX(Aging_Customer!$G$2:$G$126,$L36))</f>
        <v>0</v>
      </c>
      <c r="G36" s="6" t="n">
        <f aca="false">IF($L36="","",INDEX(Aging_Customer!$H$2:$H$126,$L36))</f>
        <v>0</v>
      </c>
      <c r="H36" s="6" t="n">
        <f aca="false">IF($L36="","",INDEX(Aging_Customer!$I$2:$I$126,$L36))</f>
        <v>1529700</v>
      </c>
      <c r="I36" s="6" t="n">
        <f aca="false">IF($L36="","",INDEX(Aging_Customer!$D$2:$D$126,$L36))</f>
        <v>25292200</v>
      </c>
      <c r="J36" s="7" t="n">
        <f aca="false">IF($L36="","",INDEX(Aging_Customer!$K$2:$K$126,$L36))</f>
        <v>0.0604810969389772</v>
      </c>
      <c r="L36" s="24" t="n">
        <f aca="false">IFERROR(MATCH(LARGE(Aging_Customer!$D$2:$D$126,A36),Aging_Customer!$D$2:$D$126,0),"")</f>
        <v>11</v>
      </c>
    </row>
    <row r="37" customFormat="false" ht="15" hidden="false" customHeight="false" outlineLevel="0" collapsed="false">
      <c r="A37" s="18" t="n">
        <v>12</v>
      </c>
      <c r="B37" s="4" t="str">
        <f aca="false">IF($L37="","",INDEX(Aging_Customer!$B$2:$B$126,$L37))</f>
        <v>MAKMUR AUTO HARAPAN</v>
      </c>
      <c r="C37" s="4" t="n">
        <f aca="false">IF($L37="","",INDEX(Aging_Customer!$C$2:$C$126,$L37))</f>
        <v>30</v>
      </c>
      <c r="D37" s="6" t="n">
        <f aca="false">IF($L37="","",INDEX(Aging_Customer!$E$2:$E$126,$L37))</f>
        <v>22546700</v>
      </c>
      <c r="E37" s="6" t="n">
        <f aca="false">IF($L37="","",INDEX(Aging_Customer!$F$2:$F$126,$L37))</f>
        <v>0</v>
      </c>
      <c r="F37" s="6" t="n">
        <f aca="false">IF($L37="","",INDEX(Aging_Customer!$G$2:$G$126,$L37))</f>
        <v>0</v>
      </c>
      <c r="G37" s="6" t="n">
        <f aca="false">IF($L37="","",INDEX(Aging_Customer!$H$2:$H$126,$L37))</f>
        <v>0</v>
      </c>
      <c r="H37" s="6" t="n">
        <f aca="false">IF($L37="","",INDEX(Aging_Customer!$I$2:$I$126,$L37))</f>
        <v>0</v>
      </c>
      <c r="I37" s="6" t="n">
        <f aca="false">IF($L37="","",INDEX(Aging_Customer!$D$2:$D$126,$L37))</f>
        <v>22546700</v>
      </c>
      <c r="J37" s="7" t="n">
        <f aca="false">IF($L37="","",INDEX(Aging_Customer!$K$2:$K$126,$L37))</f>
        <v>0</v>
      </c>
      <c r="L37" s="24" t="n">
        <f aca="false">IFERROR(MATCH(LARGE(Aging_Customer!$D$2:$D$126,A37),Aging_Customer!$D$2:$D$126,0),"")</f>
        <v>12</v>
      </c>
    </row>
    <row r="38" customFormat="false" ht="15" hidden="false" customHeight="false" outlineLevel="0" collapsed="false">
      <c r="A38" s="18" t="n">
        <v>13</v>
      </c>
      <c r="B38" s="4" t="str">
        <f aca="false">IF($L38="","",INDEX(Aging_Customer!$B$2:$B$126,$L38))</f>
        <v>MAKMUR SERVICE JAYA</v>
      </c>
      <c r="C38" s="4" t="n">
        <f aca="false">IF($L38="","",INDEX(Aging_Customer!$C$2:$C$126,$L38))</f>
        <v>30</v>
      </c>
      <c r="D38" s="6" t="n">
        <f aca="false">IF($L38="","",INDEX(Aging_Customer!$E$2:$E$126,$L38))</f>
        <v>7617900</v>
      </c>
      <c r="E38" s="6" t="n">
        <f aca="false">IF($L38="","",INDEX(Aging_Customer!$F$2:$F$126,$L38))</f>
        <v>1858900</v>
      </c>
      <c r="F38" s="6" t="n">
        <f aca="false">IF($L38="","",INDEX(Aging_Customer!$G$2:$G$126,$L38))</f>
        <v>12934100</v>
      </c>
      <c r="G38" s="6" t="n">
        <f aca="false">IF($L38="","",INDEX(Aging_Customer!$H$2:$H$126,$L38))</f>
        <v>0</v>
      </c>
      <c r="H38" s="6" t="n">
        <f aca="false">IF($L38="","",INDEX(Aging_Customer!$I$2:$I$126,$L38))</f>
        <v>0</v>
      </c>
      <c r="I38" s="6" t="n">
        <f aca="false">IF($L38="","",INDEX(Aging_Customer!$D$2:$D$126,$L38))</f>
        <v>22410900</v>
      </c>
      <c r="J38" s="7" t="n">
        <f aca="false">IF($L38="","",INDEX(Aging_Customer!$K$2:$K$126,$L38))</f>
        <v>0.660080585786381</v>
      </c>
      <c r="L38" s="24" t="n">
        <f aca="false">IFERROR(MATCH(LARGE(Aging_Customer!$D$2:$D$126,A38),Aging_Customer!$D$2:$D$126,0),"")</f>
        <v>13</v>
      </c>
    </row>
    <row r="39" customFormat="false" ht="15" hidden="false" customHeight="false" outlineLevel="0" collapsed="false">
      <c r="A39" s="18" t="n">
        <v>14</v>
      </c>
      <c r="B39" s="4" t="str">
        <f aca="false">IF($L39="","",INDEX(Aging_Customer!$B$2:$B$126,$L39))</f>
        <v>TIRTA SPAREPART BINTANG</v>
      </c>
      <c r="C39" s="4" t="n">
        <f aca="false">IF($L39="","",INDEX(Aging_Customer!$C$2:$C$126,$L39))</f>
        <v>30</v>
      </c>
      <c r="D39" s="6" t="n">
        <f aca="false">IF($L39="","",INDEX(Aging_Customer!$E$2:$E$126,$L39))</f>
        <v>21922900</v>
      </c>
      <c r="E39" s="6" t="n">
        <f aca="false">IF($L39="","",INDEX(Aging_Customer!$F$2:$F$126,$L39))</f>
        <v>0</v>
      </c>
      <c r="F39" s="6" t="n">
        <f aca="false">IF($L39="","",INDEX(Aging_Customer!$G$2:$G$126,$L39))</f>
        <v>0</v>
      </c>
      <c r="G39" s="6" t="n">
        <f aca="false">IF($L39="","",INDEX(Aging_Customer!$H$2:$H$126,$L39))</f>
        <v>0</v>
      </c>
      <c r="H39" s="6" t="n">
        <f aca="false">IF($L39="","",INDEX(Aging_Customer!$I$2:$I$126,$L39))</f>
        <v>0</v>
      </c>
      <c r="I39" s="6" t="n">
        <f aca="false">IF($L39="","",INDEX(Aging_Customer!$D$2:$D$126,$L39))</f>
        <v>21922900</v>
      </c>
      <c r="J39" s="7" t="n">
        <f aca="false">IF($L39="","",INDEX(Aging_Customer!$K$2:$K$126,$L39))</f>
        <v>0</v>
      </c>
      <c r="L39" s="24" t="n">
        <f aca="false">IFERROR(MATCH(LARGE(Aging_Customer!$D$2:$D$126,A39),Aging_Customer!$D$2:$D$126,0),"")</f>
        <v>14</v>
      </c>
    </row>
    <row r="40" customFormat="false" ht="15" hidden="false" customHeight="false" outlineLevel="0" collapsed="false">
      <c r="A40" s="18" t="n">
        <v>15</v>
      </c>
      <c r="B40" s="4" t="str">
        <f aca="false">IF($L40="","",INDEX(Aging_Customer!$B$2:$B$126,$L40))</f>
        <v>BERKAH SPAREPART</v>
      </c>
      <c r="C40" s="4" t="n">
        <f aca="false">IF($L40="","",INDEX(Aging_Customer!$C$2:$C$126,$L40))</f>
        <v>30</v>
      </c>
      <c r="D40" s="6" t="n">
        <f aca="false">IF($L40="","",INDEX(Aging_Customer!$E$2:$E$126,$L40))</f>
        <v>2214000</v>
      </c>
      <c r="E40" s="6" t="n">
        <f aca="false">IF($L40="","",INDEX(Aging_Customer!$F$2:$F$126,$L40))</f>
        <v>6184800</v>
      </c>
      <c r="F40" s="6" t="n">
        <f aca="false">IF($L40="","",INDEX(Aging_Customer!$G$2:$G$126,$L40))</f>
        <v>13355400</v>
      </c>
      <c r="G40" s="6" t="n">
        <f aca="false">IF($L40="","",INDEX(Aging_Customer!$H$2:$H$126,$L40))</f>
        <v>0</v>
      </c>
      <c r="H40" s="6" t="n">
        <f aca="false">IF($L40="","",INDEX(Aging_Customer!$I$2:$I$126,$L40))</f>
        <v>0</v>
      </c>
      <c r="I40" s="6" t="n">
        <f aca="false">IF($L40="","",INDEX(Aging_Customer!$D$2:$D$126,$L40))</f>
        <v>21754200</v>
      </c>
      <c r="J40" s="7" t="n">
        <f aca="false">IF($L40="","",INDEX(Aging_Customer!$K$2:$K$126,$L40))</f>
        <v>0.898226549355986</v>
      </c>
      <c r="L40" s="24" t="n">
        <f aca="false">IFERROR(MATCH(LARGE(Aging_Customer!$D$2:$D$126,A40),Aging_Customer!$D$2:$D$126,0),"")</f>
        <v>15</v>
      </c>
    </row>
    <row r="41" customFormat="false" ht="15" hidden="false" customHeight="false" outlineLevel="0" collapsed="false">
      <c r="A41" s="18" t="n">
        <v>16</v>
      </c>
      <c r="B41" s="4" t="str">
        <f aca="false">IF($L41="","",INDEX(Aging_Customer!$B$2:$B$126,$L41))</f>
        <v>UTAMA LUBRICANT HARAPAN</v>
      </c>
      <c r="C41" s="4" t="n">
        <f aca="false">IF($L41="","",INDEX(Aging_Customer!$C$2:$C$126,$L41))</f>
        <v>30</v>
      </c>
      <c r="D41" s="6" t="n">
        <f aca="false">IF($L41="","",INDEX(Aging_Customer!$E$2:$E$126,$L41))</f>
        <v>15306400</v>
      </c>
      <c r="E41" s="6" t="n">
        <f aca="false">IF($L41="","",INDEX(Aging_Customer!$F$2:$F$126,$L41))</f>
        <v>5973400</v>
      </c>
      <c r="F41" s="6" t="n">
        <f aca="false">IF($L41="","",INDEX(Aging_Customer!$G$2:$G$126,$L41))</f>
        <v>0</v>
      </c>
      <c r="G41" s="6" t="n">
        <f aca="false">IF($L41="","",INDEX(Aging_Customer!$H$2:$H$126,$L41))</f>
        <v>0</v>
      </c>
      <c r="H41" s="6" t="n">
        <f aca="false">IF($L41="","",INDEX(Aging_Customer!$I$2:$I$126,$L41))</f>
        <v>0</v>
      </c>
      <c r="I41" s="6" t="n">
        <f aca="false">IF($L41="","",INDEX(Aging_Customer!$D$2:$D$126,$L41))</f>
        <v>21279800</v>
      </c>
      <c r="J41" s="7" t="n">
        <f aca="false">IF($L41="","",INDEX(Aging_Customer!$K$2:$K$126,$L41))</f>
        <v>0.280707525446668</v>
      </c>
      <c r="L41" s="24" t="n">
        <f aca="false">IFERROR(MATCH(LARGE(Aging_Customer!$D$2:$D$126,A41),Aging_Customer!$D$2:$D$126,0),"")</f>
        <v>16</v>
      </c>
    </row>
    <row r="42" customFormat="false" ht="15" hidden="false" customHeight="false" outlineLevel="0" collapsed="false">
      <c r="A42" s="18" t="n">
        <v>17</v>
      </c>
      <c r="B42" s="4" t="str">
        <f aca="false">IF($L42="","",INDEX(Aging_Customer!$B$2:$B$126,$L42))</f>
        <v>MAJU SPAREPART</v>
      </c>
      <c r="C42" s="4" t="n">
        <f aca="false">IF($L42="","",INDEX(Aging_Customer!$C$2:$C$126,$L42))</f>
        <v>45</v>
      </c>
      <c r="D42" s="6" t="n">
        <f aca="false">IF($L42="","",INDEX(Aging_Customer!$E$2:$E$126,$L42))</f>
        <v>19837200</v>
      </c>
      <c r="E42" s="6" t="n">
        <f aca="false">IF($L42="","",INDEX(Aging_Customer!$F$2:$F$126,$L42))</f>
        <v>0</v>
      </c>
      <c r="F42" s="6" t="n">
        <f aca="false">IF($L42="","",INDEX(Aging_Customer!$G$2:$G$126,$L42))</f>
        <v>0</v>
      </c>
      <c r="G42" s="6" t="n">
        <f aca="false">IF($L42="","",INDEX(Aging_Customer!$H$2:$H$126,$L42))</f>
        <v>0</v>
      </c>
      <c r="H42" s="6" t="n">
        <f aca="false">IF($L42="","",INDEX(Aging_Customer!$I$2:$I$126,$L42))</f>
        <v>0</v>
      </c>
      <c r="I42" s="6" t="n">
        <f aca="false">IF($L42="","",INDEX(Aging_Customer!$D$2:$D$126,$L42))</f>
        <v>19837200</v>
      </c>
      <c r="J42" s="7" t="n">
        <f aca="false">IF($L42="","",INDEX(Aging_Customer!$K$2:$K$126,$L42))</f>
        <v>0</v>
      </c>
      <c r="L42" s="24" t="n">
        <f aca="false">IFERROR(MATCH(LARGE(Aging_Customer!$D$2:$D$126,A42),Aging_Customer!$D$2:$D$126,0),"")</f>
        <v>17</v>
      </c>
    </row>
    <row r="43" customFormat="false" ht="15" hidden="false" customHeight="false" outlineLevel="0" collapsed="false">
      <c r="A43" s="18" t="n">
        <v>18</v>
      </c>
      <c r="B43" s="4" t="str">
        <f aca="false">IF($L43="","",INDEX(Aging_Customer!$B$2:$B$126,$L43))</f>
        <v>SINAR LUBRICANT</v>
      </c>
      <c r="C43" s="4" t="n">
        <f aca="false">IF($L43="","",INDEX(Aging_Customer!$C$2:$C$126,$L43))</f>
        <v>30</v>
      </c>
      <c r="D43" s="6" t="n">
        <f aca="false">IF($L43="","",INDEX(Aging_Customer!$E$2:$E$126,$L43))</f>
        <v>7348000</v>
      </c>
      <c r="E43" s="6" t="n">
        <f aca="false">IF($L43="","",INDEX(Aging_Customer!$F$2:$F$126,$L43))</f>
        <v>10537500</v>
      </c>
      <c r="F43" s="6" t="n">
        <f aca="false">IF($L43="","",INDEX(Aging_Customer!$G$2:$G$126,$L43))</f>
        <v>0</v>
      </c>
      <c r="G43" s="6" t="n">
        <f aca="false">IF($L43="","",INDEX(Aging_Customer!$H$2:$H$126,$L43))</f>
        <v>0</v>
      </c>
      <c r="H43" s="6" t="n">
        <f aca="false">IF($L43="","",INDEX(Aging_Customer!$I$2:$I$126,$L43))</f>
        <v>0</v>
      </c>
      <c r="I43" s="6" t="n">
        <f aca="false">IF($L43="","",INDEX(Aging_Customer!$D$2:$D$126,$L43))</f>
        <v>17885500</v>
      </c>
      <c r="J43" s="7" t="n">
        <f aca="false">IF($L43="","",INDEX(Aging_Customer!$K$2:$K$126,$L43))</f>
        <v>0.589164406921808</v>
      </c>
      <c r="L43" s="24" t="n">
        <f aca="false">IFERROR(MATCH(LARGE(Aging_Customer!$D$2:$D$126,A43),Aging_Customer!$D$2:$D$126,0),"")</f>
        <v>18</v>
      </c>
    </row>
    <row r="44" customFormat="false" ht="15" hidden="false" customHeight="false" outlineLevel="0" collapsed="false">
      <c r="A44" s="18" t="n">
        <v>19</v>
      </c>
      <c r="B44" s="4" t="str">
        <f aca="false">IF($L44="","",INDEX(Aging_Customer!$B$2:$B$126,$L44))</f>
        <v>MITRA GARAGE MULIA</v>
      </c>
      <c r="C44" s="4" t="n">
        <f aca="false">IF($L44="","",INDEX(Aging_Customer!$C$2:$C$126,$L44))</f>
        <v>14</v>
      </c>
      <c r="D44" s="6" t="n">
        <f aca="false">IF($L44="","",INDEX(Aging_Customer!$E$2:$E$126,$L44))</f>
        <v>0</v>
      </c>
      <c r="E44" s="6" t="n">
        <f aca="false">IF($L44="","",INDEX(Aging_Customer!$F$2:$F$126,$L44))</f>
        <v>488600</v>
      </c>
      <c r="F44" s="6" t="n">
        <f aca="false">IF($L44="","",INDEX(Aging_Customer!$G$2:$G$126,$L44))</f>
        <v>1199000</v>
      </c>
      <c r="G44" s="6" t="n">
        <f aca="false">IF($L44="","",INDEX(Aging_Customer!$H$2:$H$126,$L44))</f>
        <v>11978600</v>
      </c>
      <c r="H44" s="6" t="n">
        <f aca="false">IF($L44="","",INDEX(Aging_Customer!$I$2:$I$126,$L44))</f>
        <v>4069400</v>
      </c>
      <c r="I44" s="6" t="n">
        <f aca="false">IF($L44="","",INDEX(Aging_Customer!$D$2:$D$126,$L44))</f>
        <v>17735600</v>
      </c>
      <c r="J44" s="7" t="n">
        <f aca="false">IF($L44="","",INDEX(Aging_Customer!$K$2:$K$126,$L44))</f>
        <v>1</v>
      </c>
      <c r="L44" s="24" t="n">
        <f aca="false">IFERROR(MATCH(LARGE(Aging_Customer!$D$2:$D$126,A44),Aging_Customer!$D$2:$D$126,0),"")</f>
        <v>19</v>
      </c>
    </row>
    <row r="45" customFormat="false" ht="15" hidden="false" customHeight="false" outlineLevel="0" collapsed="false">
      <c r="A45" s="18" t="n">
        <v>20</v>
      </c>
      <c r="B45" s="4" t="str">
        <f aca="false">IF($L45="","",INDEX(Aging_Customer!$B$2:$B$126,$L45))</f>
        <v>BINTANG TEKNIK SURYA</v>
      </c>
      <c r="C45" s="4" t="n">
        <f aca="false">IF($L45="","",INDEX(Aging_Customer!$C$2:$C$126,$L45))</f>
        <v>45</v>
      </c>
      <c r="D45" s="6" t="n">
        <f aca="false">IF($L45="","",INDEX(Aging_Customer!$E$2:$E$126,$L45))</f>
        <v>14894700</v>
      </c>
      <c r="E45" s="6" t="n">
        <f aca="false">IF($L45="","",INDEX(Aging_Customer!$F$2:$F$126,$L45))</f>
        <v>729100</v>
      </c>
      <c r="F45" s="6" t="n">
        <f aca="false">IF($L45="","",INDEX(Aging_Customer!$G$2:$G$126,$L45))</f>
        <v>0</v>
      </c>
      <c r="G45" s="6" t="n">
        <f aca="false">IF($L45="","",INDEX(Aging_Customer!$H$2:$H$126,$L45))</f>
        <v>0</v>
      </c>
      <c r="H45" s="6" t="n">
        <f aca="false">IF($L45="","",INDEX(Aging_Customer!$I$2:$I$126,$L45))</f>
        <v>2017100</v>
      </c>
      <c r="I45" s="6" t="n">
        <f aca="false">IF($L45="","",INDEX(Aging_Customer!$D$2:$D$126,$L45))</f>
        <v>17640900</v>
      </c>
      <c r="J45" s="7" t="n">
        <f aca="false">IF($L45="","",INDEX(Aging_Customer!$K$2:$K$126,$L45))</f>
        <v>0.155672329643045</v>
      </c>
      <c r="L45" s="24" t="n">
        <f aca="false">IFERROR(MATCH(LARGE(Aging_Customer!$D$2:$D$126,A45),Aging_Customer!$D$2:$D$126,0),"")</f>
        <v>20</v>
      </c>
    </row>
    <row r="46" customFormat="false" ht="15" hidden="false" customHeight="false" outlineLevel="0" collapsed="false">
      <c r="A46" s="18" t="n">
        <v>21</v>
      </c>
      <c r="B46" s="4" t="str">
        <f aca="false">IF($L46="","",INDEX(Aging_Customer!$B$2:$B$126,$L46))</f>
        <v>BINTANG BENGKEL</v>
      </c>
      <c r="C46" s="4" t="n">
        <f aca="false">IF($L46="","",INDEX(Aging_Customer!$C$2:$C$126,$L46))</f>
        <v>14</v>
      </c>
      <c r="D46" s="6" t="n">
        <f aca="false">IF($L46="","",INDEX(Aging_Customer!$E$2:$E$126,$L46))</f>
        <v>0</v>
      </c>
      <c r="E46" s="6" t="n">
        <f aca="false">IF($L46="","",INDEX(Aging_Customer!$F$2:$F$126,$L46))</f>
        <v>16598500</v>
      </c>
      <c r="F46" s="6" t="n">
        <f aca="false">IF($L46="","",INDEX(Aging_Customer!$G$2:$G$126,$L46))</f>
        <v>0</v>
      </c>
      <c r="G46" s="6" t="n">
        <f aca="false">IF($L46="","",INDEX(Aging_Customer!$H$2:$H$126,$L46))</f>
        <v>0</v>
      </c>
      <c r="H46" s="6" t="n">
        <f aca="false">IF($L46="","",INDEX(Aging_Customer!$I$2:$I$126,$L46))</f>
        <v>0</v>
      </c>
      <c r="I46" s="6" t="n">
        <f aca="false">IF($L46="","",INDEX(Aging_Customer!$D$2:$D$126,$L46))</f>
        <v>16598500</v>
      </c>
      <c r="J46" s="7" t="n">
        <f aca="false">IF($L46="","",INDEX(Aging_Customer!$K$2:$K$126,$L46))</f>
        <v>1</v>
      </c>
      <c r="L46" s="24" t="n">
        <f aca="false">IFERROR(MATCH(LARGE(Aging_Customer!$D$2:$D$126,A46),Aging_Customer!$D$2:$D$126,0),"")</f>
        <v>21</v>
      </c>
    </row>
    <row r="47" customFormat="false" ht="15" hidden="false" customHeight="false" outlineLevel="0" collapsed="false">
      <c r="A47" s="18" t="n">
        <v>22</v>
      </c>
      <c r="B47" s="4" t="str">
        <f aca="false">IF($L47="","",INDEX(Aging_Customer!$B$2:$B$126,$L47))</f>
        <v>MULIA BENGKEL UTAMA</v>
      </c>
      <c r="C47" s="4" t="n">
        <f aca="false">IF($L47="","",INDEX(Aging_Customer!$C$2:$C$126,$L47))</f>
        <v>14</v>
      </c>
      <c r="D47" s="6" t="n">
        <f aca="false">IF($L47="","",INDEX(Aging_Customer!$E$2:$E$126,$L47))</f>
        <v>0</v>
      </c>
      <c r="E47" s="6" t="n">
        <f aca="false">IF($L47="","",INDEX(Aging_Customer!$F$2:$F$126,$L47))</f>
        <v>0</v>
      </c>
      <c r="F47" s="6" t="n">
        <f aca="false">IF($L47="","",INDEX(Aging_Customer!$G$2:$G$126,$L47))</f>
        <v>16281200</v>
      </c>
      <c r="G47" s="6" t="n">
        <f aca="false">IF($L47="","",INDEX(Aging_Customer!$H$2:$H$126,$L47))</f>
        <v>0</v>
      </c>
      <c r="H47" s="6" t="n">
        <f aca="false">IF($L47="","",INDEX(Aging_Customer!$I$2:$I$126,$L47))</f>
        <v>0</v>
      </c>
      <c r="I47" s="6" t="n">
        <f aca="false">IF($L47="","",INDEX(Aging_Customer!$D$2:$D$126,$L47))</f>
        <v>16281200</v>
      </c>
      <c r="J47" s="7" t="n">
        <f aca="false">IF($L47="","",INDEX(Aging_Customer!$K$2:$K$126,$L47))</f>
        <v>1</v>
      </c>
      <c r="L47" s="24" t="n">
        <f aca="false">IFERROR(MATCH(LARGE(Aging_Customer!$D$2:$D$126,A47),Aging_Customer!$D$2:$D$126,0),"")</f>
        <v>22</v>
      </c>
    </row>
    <row r="48" customFormat="false" ht="15" hidden="false" customHeight="false" outlineLevel="0" collapsed="false">
      <c r="A48" s="18" t="n">
        <v>23</v>
      </c>
      <c r="B48" s="4" t="str">
        <f aca="false">IF($L48="","",INDEX(Aging_Customer!$B$2:$B$126,$L48))</f>
        <v>SENTOSA MOTOR</v>
      </c>
      <c r="C48" s="4" t="n">
        <f aca="false">IF($L48="","",INDEX(Aging_Customer!$C$2:$C$126,$L48))</f>
        <v>45</v>
      </c>
      <c r="D48" s="6" t="n">
        <f aca="false">IF($L48="","",INDEX(Aging_Customer!$E$2:$E$126,$L48))</f>
        <v>16103100</v>
      </c>
      <c r="E48" s="6" t="n">
        <f aca="false">IF($L48="","",INDEX(Aging_Customer!$F$2:$F$126,$L48))</f>
        <v>0</v>
      </c>
      <c r="F48" s="6" t="n">
        <f aca="false">IF($L48="","",INDEX(Aging_Customer!$G$2:$G$126,$L48))</f>
        <v>0</v>
      </c>
      <c r="G48" s="6" t="n">
        <f aca="false">IF($L48="","",INDEX(Aging_Customer!$H$2:$H$126,$L48))</f>
        <v>0</v>
      </c>
      <c r="H48" s="6" t="n">
        <f aca="false">IF($L48="","",INDEX(Aging_Customer!$I$2:$I$126,$L48))</f>
        <v>0</v>
      </c>
      <c r="I48" s="6" t="n">
        <f aca="false">IF($L48="","",INDEX(Aging_Customer!$D$2:$D$126,$L48))</f>
        <v>16103100</v>
      </c>
      <c r="J48" s="7" t="n">
        <f aca="false">IF($L48="","",INDEX(Aging_Customer!$K$2:$K$126,$L48))</f>
        <v>0</v>
      </c>
      <c r="L48" s="24" t="n">
        <f aca="false">IFERROR(MATCH(LARGE(Aging_Customer!$D$2:$D$126,A48),Aging_Customer!$D$2:$D$126,0),"")</f>
        <v>23</v>
      </c>
    </row>
    <row r="49" customFormat="false" ht="15" hidden="false" customHeight="false" outlineLevel="0" collapsed="false">
      <c r="A49" s="18" t="n">
        <v>24</v>
      </c>
      <c r="B49" s="4" t="str">
        <f aca="false">IF($L49="","",INDEX(Aging_Customer!$B$2:$B$126,$L49))</f>
        <v>BERKAH MOBIL MAKMUR</v>
      </c>
      <c r="C49" s="4" t="n">
        <f aca="false">IF($L49="","",INDEX(Aging_Customer!$C$2:$C$126,$L49))</f>
        <v>14</v>
      </c>
      <c r="D49" s="6" t="n">
        <f aca="false">IF($L49="","",INDEX(Aging_Customer!$E$2:$E$126,$L49))</f>
        <v>0</v>
      </c>
      <c r="E49" s="6" t="n">
        <f aca="false">IF($L49="","",INDEX(Aging_Customer!$F$2:$F$126,$L49))</f>
        <v>0</v>
      </c>
      <c r="F49" s="6" t="n">
        <f aca="false">IF($L49="","",INDEX(Aging_Customer!$G$2:$G$126,$L49))</f>
        <v>0</v>
      </c>
      <c r="G49" s="6" t="n">
        <f aca="false">IF($L49="","",INDEX(Aging_Customer!$H$2:$H$126,$L49))</f>
        <v>0</v>
      </c>
      <c r="H49" s="6" t="n">
        <f aca="false">IF($L49="","",INDEX(Aging_Customer!$I$2:$I$126,$L49))</f>
        <v>16047200</v>
      </c>
      <c r="I49" s="6" t="n">
        <f aca="false">IF($L49="","",INDEX(Aging_Customer!$D$2:$D$126,$L49))</f>
        <v>16047200</v>
      </c>
      <c r="J49" s="7" t="n">
        <f aca="false">IF($L49="","",INDEX(Aging_Customer!$K$2:$K$126,$L49))</f>
        <v>1</v>
      </c>
      <c r="L49" s="24" t="n">
        <f aca="false">IFERROR(MATCH(LARGE(Aging_Customer!$D$2:$D$126,A49),Aging_Customer!$D$2:$D$126,0),"")</f>
        <v>24</v>
      </c>
    </row>
    <row r="50" customFormat="false" ht="15" hidden="false" customHeight="false" outlineLevel="0" collapsed="false">
      <c r="A50" s="18" t="n">
        <v>25</v>
      </c>
      <c r="B50" s="4" t="str">
        <f aca="false">IF($L50="","",INDEX(Aging_Customer!$B$2:$B$126,$L50))</f>
        <v>MITRA BENGKEL</v>
      </c>
      <c r="C50" s="4" t="n">
        <f aca="false">IF($L50="","",INDEX(Aging_Customer!$C$2:$C$126,$L50))</f>
        <v>30</v>
      </c>
      <c r="D50" s="6" t="n">
        <f aca="false">IF($L50="","",INDEX(Aging_Customer!$E$2:$E$126,$L50))</f>
        <v>0</v>
      </c>
      <c r="E50" s="6" t="n">
        <f aca="false">IF($L50="","",INDEX(Aging_Customer!$F$2:$F$126,$L50))</f>
        <v>0</v>
      </c>
      <c r="F50" s="6" t="n">
        <f aca="false">IF($L50="","",INDEX(Aging_Customer!$G$2:$G$126,$L50))</f>
        <v>0</v>
      </c>
      <c r="G50" s="6" t="n">
        <f aca="false">IF($L50="","",INDEX(Aging_Customer!$H$2:$H$126,$L50))</f>
        <v>7080600</v>
      </c>
      <c r="H50" s="6" t="n">
        <f aca="false">IF($L50="","",INDEX(Aging_Customer!$I$2:$I$126,$L50))</f>
        <v>8904800</v>
      </c>
      <c r="I50" s="6" t="n">
        <f aca="false">IF($L50="","",INDEX(Aging_Customer!$D$2:$D$126,$L50))</f>
        <v>15985400</v>
      </c>
      <c r="J50" s="7" t="n">
        <f aca="false">IF($L50="","",INDEX(Aging_Customer!$K$2:$K$126,$L50))</f>
        <v>1</v>
      </c>
      <c r="L50" s="24" t="n">
        <f aca="false">IFERROR(MATCH(LARGE(Aging_Customer!$D$2:$D$126,A50),Aging_Customer!$D$2:$D$126,0),"")</f>
        <v>25</v>
      </c>
    </row>
    <row r="51" customFormat="false" ht="15" hidden="false" customHeight="false" outlineLevel="0" collapsed="false">
      <c r="A51" s="4"/>
      <c r="B51" s="4" t="s">
        <v>54</v>
      </c>
      <c r="C51" s="4"/>
      <c r="D51" s="6" t="n">
        <f aca="false">Aging_Customer!E127-SUM(D26:D50)</f>
        <v>200870700</v>
      </c>
      <c r="E51" s="6" t="n">
        <f aca="false">Aging_Customer!F127-SUM(E26:E50)</f>
        <v>50720200</v>
      </c>
      <c r="F51" s="6" t="n">
        <f aca="false">Aging_Customer!G127-SUM(F26:F50)</f>
        <v>16310900</v>
      </c>
      <c r="G51" s="6" t="n">
        <f aca="false">Aging_Customer!H127-SUM(G26:G50)</f>
        <v>6254900</v>
      </c>
      <c r="H51" s="6" t="n">
        <f aca="false">Aging_Customer!I127-SUM(H26:H50)</f>
        <v>53208800</v>
      </c>
      <c r="I51" s="6" t="n">
        <f aca="false">Aging_Customer!D127-SUM(I26:I50)</f>
        <v>327365500</v>
      </c>
      <c r="J51" s="7" t="n">
        <f aca="false">IF(I51=0,0,SUM(E51:H51)/I51)</f>
        <v>0.386402354554771</v>
      </c>
    </row>
    <row r="52" customFormat="false" ht="15" hidden="false" customHeight="false" outlineLevel="0" collapsed="false">
      <c r="A52" s="25"/>
      <c r="B52" s="25" t="s">
        <v>55</v>
      </c>
      <c r="C52" s="25"/>
      <c r="D52" s="26" t="n">
        <f aca="false">SUM(D26:D51)</f>
        <v>738129100</v>
      </c>
      <c r="E52" s="26" t="n">
        <f aca="false">SUM(E26:E51)</f>
        <v>204807200</v>
      </c>
      <c r="F52" s="26" t="n">
        <f aca="false">SUM(F26:F51)</f>
        <v>91756900</v>
      </c>
      <c r="G52" s="26" t="n">
        <f aca="false">SUM(G26:G51)</f>
        <v>28989900</v>
      </c>
      <c r="H52" s="26" t="n">
        <f aca="false">SUM(H26:H51)</f>
        <v>144866300</v>
      </c>
      <c r="I52" s="26" t="n">
        <f aca="false">SUM(I26:I51)</f>
        <v>1208549400</v>
      </c>
      <c r="J52" s="27" t="n">
        <f aca="false">IF(I52=0,0,SUM(E52:H52)/I52)</f>
        <v>0.389243749572835</v>
      </c>
    </row>
    <row r="54" customFormat="false" ht="15" hidden="false" customHeight="false" outlineLevel="0" collapsed="false">
      <c r="A54" s="21" t="s">
        <v>56</v>
      </c>
      <c r="B54" s="22"/>
      <c r="C54" s="22"/>
      <c r="D54" s="22"/>
      <c r="E54" s="22"/>
      <c r="F54" s="22"/>
      <c r="G54" s="22"/>
      <c r="H54" s="22"/>
      <c r="I54" s="22"/>
      <c r="J54" s="22"/>
    </row>
    <row r="55" customFormat="false" ht="30" hidden="false" customHeight="true" outlineLevel="0" collapsed="false">
      <c r="B55" s="28" t="str">
        <f aca="false">"1. Piutang outstanding sebesar Rp "&amp;TEXT(C7,"#,##0")&amp;" ("&amp;TEXT(IF(C6=0,0,C7/C6),"0.0%")&amp;" dari penjualan), dengan "&amp;TEXT(C9,"0.0%")&amp;" di antaranya sudah melewati jatuh tempo."</f>
        <v>1. Piutang outstanding sebesar Rp 1,208,549,400 (6.5% dari penjualan), dengan 38.9% di antaranya sudah melewati jatuh tempo.</v>
      </c>
      <c r="C55" s="28"/>
      <c r="D55" s="28"/>
      <c r="E55" s="28"/>
      <c r="F55" s="28"/>
      <c r="G55" s="28"/>
      <c r="H55" s="28"/>
      <c r="I55" s="28"/>
      <c r="J55" s="28"/>
    </row>
    <row r="56" customFormat="false" ht="30" hidden="false" customHeight="true" outlineLevel="0" collapsed="false">
      <c r="B56" s="28" t="str">
        <f aca="false">"2. Piutang di atas 90 hari mencapai Rp "&amp;TEXT(C10,"#,##0")&amp;"; perlu eskalasi ke supervisor dan evaluasi pembatasan pengiriman."</f>
        <v>2. Piutang di atas 90 hari mencapai Rp 144,866,300; perlu eskalasi ke supervisor dan evaluasi pembatasan pengiriman.</v>
      </c>
      <c r="C56" s="28"/>
      <c r="D56" s="28"/>
      <c r="E56" s="28"/>
      <c r="F56" s="28"/>
      <c r="G56" s="28"/>
      <c r="H56" s="28"/>
      <c r="I56" s="28"/>
      <c r="J56" s="28"/>
    </row>
    <row r="57" customFormat="false" ht="30" hidden="false" customHeight="true" outlineLevel="0" collapsed="false">
      <c r="B57" s="28" t="str">
        <f aca="false">"3. Customer dengan overdue terbesar: "&amp;INDEX(Aging_Customer!$B$2:$B$126,MATCH(MAX(Aging_Customer!$J$2:$J$126),Aging_Customer!$J$2:$J$126,0))&amp;" (Rp "&amp;TEXT(MAX(Aging_Customer!$J$2:$J$126),"#,##0")&amp;"); prioritaskan kunjungan dan negosiasi jadwal pelunasan."</f>
        <v>3. Customer dengan overdue terbesar: SINAR AUTO BERKAH (Rp 50,123,700); prioritaskan kunjungan dan negosiasi jadwal pelunasan.</v>
      </c>
      <c r="C57" s="28"/>
      <c r="D57" s="28"/>
      <c r="E57" s="28"/>
      <c r="F57" s="28"/>
      <c r="G57" s="28"/>
      <c r="H57" s="28"/>
      <c r="I57" s="28"/>
      <c r="J57" s="28"/>
    </row>
    <row r="58" customFormat="false" ht="30" hidden="false" customHeight="true" outlineLevel="0" collapsed="false">
      <c r="B58" s="28" t="str">
        <f aca="false">"4. Terdapat "&amp;COUNTIF(Piutang!$J$2:$J$1751,"Belum ditukar")&amp;" faktur yang belum ditukar; selesaikan tukar faktur agar penagihan dapat berjalan sesuai jatuh tempo."</f>
        <v>4. Terdapat 9 faktur yang belum ditukar; selesaikan tukar faktur agar penagihan dapat berjalan sesuai jatuh tempo.</v>
      </c>
      <c r="C58" s="28"/>
      <c r="D58" s="28"/>
      <c r="E58" s="28"/>
      <c r="F58" s="28"/>
      <c r="G58" s="28"/>
      <c r="H58" s="28"/>
      <c r="I58" s="28"/>
      <c r="J58" s="28"/>
    </row>
    <row r="59" customFormat="false" ht="30" hidden="false" customHeight="true" outlineLevel="0" collapsed="false">
      <c r="B59" s="28" t="s">
        <v>57</v>
      </c>
      <c r="C59" s="28"/>
      <c r="D59" s="28"/>
      <c r="E59" s="28"/>
      <c r="F59" s="28"/>
      <c r="G59" s="28"/>
      <c r="H59" s="28"/>
      <c r="I59" s="28"/>
      <c r="J59" s="28"/>
    </row>
  </sheetData>
  <mergeCells count="5">
    <mergeCell ref="B55:J55"/>
    <mergeCell ref="B56:J56"/>
    <mergeCell ref="B57:J57"/>
    <mergeCell ref="B58:J58"/>
    <mergeCell ref="B59:J59"/>
  </mergeCells>
  <printOptions headings="false" gridLines="false" gridLinesSet="true" horizontalCentered="false" verticalCentered="false"/>
  <pageMargins left="0.5" right="0.5" top="0.6" bottom="0.6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Data sintetis - portofolio&amp;C&amp;8 Halaman &amp;P dari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6" min="5" style="0" width="20"/>
    <col collapsed="false" customWidth="true" hidden="false" outlineLevel="0" max="7" min="7" style="0" width="12"/>
  </cols>
  <sheetData>
    <row r="1" customFormat="false" ht="19.7" hidden="false" customHeight="false" outlineLevel="0" collapsed="false">
      <c r="A1" s="1" t="s">
        <v>58</v>
      </c>
    </row>
    <row r="2" customFormat="false" ht="15" hidden="false" customHeight="false" outlineLevel="0" collapsed="false">
      <c r="A2" s="19" t="str">
        <f aca="false">"Posisi per "&amp;TEXT(Catatan!B3,"dd mmmm yyyy")</f>
        <v>Posisi per 31 December 2025</v>
      </c>
    </row>
    <row r="3" customFormat="false" ht="15" hidden="false" customHeight="false" outlineLevel="0" collapsed="false">
      <c r="A3" s="20" t="s">
        <v>59</v>
      </c>
    </row>
    <row r="5" customFormat="false" ht="15" hidden="false" customHeight="false" outlineLevel="0" collapsed="false">
      <c r="A5" s="21" t="s">
        <v>60</v>
      </c>
      <c r="B5" s="22"/>
      <c r="C5" s="22"/>
      <c r="D5" s="22"/>
      <c r="E5" s="22"/>
      <c r="F5" s="22"/>
      <c r="G5" s="22"/>
    </row>
    <row r="6" customFormat="false" ht="31.5" hidden="false" customHeight="true" outlineLevel="0" collapsed="false">
      <c r="B6" s="3" t="s">
        <v>61</v>
      </c>
      <c r="C6" s="3" t="s">
        <v>6</v>
      </c>
      <c r="D6" s="3" t="s">
        <v>62</v>
      </c>
      <c r="E6" s="3" t="s">
        <v>63</v>
      </c>
      <c r="F6" s="3" t="s">
        <v>4</v>
      </c>
      <c r="G6" s="3" t="s">
        <v>64</v>
      </c>
    </row>
    <row r="7" customFormat="false" ht="15" hidden="false" customHeight="false" outlineLevel="0" collapsed="false">
      <c r="B7" s="4" t="s">
        <v>65</v>
      </c>
      <c r="C7" s="8" t="n">
        <f aca="false">COUNTIF(Piutang!$N$2:$N$1751,B7)</f>
        <v>1601</v>
      </c>
      <c r="D7" s="6" t="n">
        <f aca="false">SUMIFS(Piutang!$F$2:$F$1751,Piutang!$N$2:$N$1751,$B7)</f>
        <v>17075612800</v>
      </c>
      <c r="E7" s="6" t="n">
        <f aca="false">SUMIFS(Piutang!$K$2:$K$1751,Piutang!$N$2:$N$1751,$B7)</f>
        <v>17075612800</v>
      </c>
      <c r="F7" s="6" t="n">
        <f aca="false">SUMIFS(Piutang!$M$2:$M$1751,Piutang!$N$2:$N$1751,$B7)</f>
        <v>0</v>
      </c>
      <c r="G7" s="7" t="n">
        <f aca="false">IF($C$10=0,0,C7/$C$10)</f>
        <v>0.914857142857143</v>
      </c>
    </row>
    <row r="8" customFormat="false" ht="15" hidden="false" customHeight="false" outlineLevel="0" collapsed="false">
      <c r="B8" s="4" t="s">
        <v>66</v>
      </c>
      <c r="C8" s="8" t="n">
        <f aca="false">COUNTIF(Piutang!$N$2:$N$1751,B8)</f>
        <v>53</v>
      </c>
      <c r="D8" s="6" t="n">
        <f aca="false">SUMIFS(Piutang!$F$2:$F$1751,Piutang!$N$2:$N$1751,$B8)</f>
        <v>505085700</v>
      </c>
      <c r="E8" s="6" t="n">
        <f aca="false">SUMIFS(Piutang!$K$2:$K$1751,Piutang!$N$2:$N$1751,$B8)</f>
        <v>267985400</v>
      </c>
      <c r="F8" s="6" t="n">
        <f aca="false">SUMIFS(Piutang!$M$2:$M$1751,Piutang!$N$2:$N$1751,$B8)</f>
        <v>237100300</v>
      </c>
      <c r="G8" s="7" t="n">
        <f aca="false">IF($C$10=0,0,C8/$C$10)</f>
        <v>0.0302857142857143</v>
      </c>
    </row>
    <row r="9" customFormat="false" ht="15" hidden="false" customHeight="false" outlineLevel="0" collapsed="false">
      <c r="B9" s="4" t="s">
        <v>67</v>
      </c>
      <c r="C9" s="8" t="n">
        <f aca="false">COUNTIF(Piutang!$N$2:$N$1751,B9)</f>
        <v>96</v>
      </c>
      <c r="D9" s="6" t="n">
        <f aca="false">SUMIFS(Piutang!$F$2:$F$1751,Piutang!$N$2:$N$1751,$B9)</f>
        <v>971449100</v>
      </c>
      <c r="E9" s="6" t="n">
        <f aca="false">SUMIFS(Piutang!$K$2:$K$1751,Piutang!$N$2:$N$1751,$B9)</f>
        <v>0</v>
      </c>
      <c r="F9" s="6" t="n">
        <f aca="false">SUMIFS(Piutang!$M$2:$M$1751,Piutang!$N$2:$N$1751,$B9)</f>
        <v>971449100</v>
      </c>
      <c r="G9" s="7" t="n">
        <f aca="false">IF($C$10=0,0,C9/$C$10)</f>
        <v>0.0548571428571429</v>
      </c>
    </row>
    <row r="10" customFormat="false" ht="15" hidden="false" customHeight="false" outlineLevel="0" collapsed="false">
      <c r="B10" s="11" t="s">
        <v>18</v>
      </c>
      <c r="C10" s="14" t="n">
        <f aca="false">SUM(C7:C9)</f>
        <v>1750</v>
      </c>
      <c r="D10" s="12" t="n">
        <f aca="false">SUM(D7:D9)</f>
        <v>18552147600</v>
      </c>
      <c r="E10" s="12" t="n">
        <f aca="false">SUM(E7:E9)</f>
        <v>17343598200</v>
      </c>
      <c r="F10" s="12" t="n">
        <f aca="false">SUM(F7:F9)</f>
        <v>1208549400</v>
      </c>
      <c r="G10" s="13" t="n">
        <f aca="false">SUM(G7:G9)</f>
        <v>1</v>
      </c>
    </row>
    <row r="12" customFormat="false" ht="15" hidden="false" customHeight="false" outlineLevel="0" collapsed="false">
      <c r="A12" s="21" t="s">
        <v>68</v>
      </c>
      <c r="B12" s="22"/>
      <c r="C12" s="22"/>
      <c r="D12" s="22"/>
      <c r="E12" s="22"/>
      <c r="F12" s="22"/>
      <c r="G12" s="22"/>
    </row>
    <row r="13" customFormat="false" ht="31.5" hidden="false" customHeight="true" outlineLevel="0" collapsed="false">
      <c r="B13" s="3" t="s">
        <v>61</v>
      </c>
      <c r="C13" s="3" t="s">
        <v>6</v>
      </c>
      <c r="D13" s="3" t="s">
        <v>62</v>
      </c>
      <c r="E13" s="3" t="s">
        <v>4</v>
      </c>
    </row>
    <row r="14" customFormat="false" ht="15" hidden="false" customHeight="false" outlineLevel="0" collapsed="false">
      <c r="B14" s="4" t="s">
        <v>69</v>
      </c>
      <c r="C14" s="8" t="n">
        <f aca="false">COUNTIF(Piutang!$J$2:$J$1751,B14)</f>
        <v>680</v>
      </c>
      <c r="D14" s="6" t="n">
        <f aca="false">SUMIFS(Piutang!$F$2:$F$1751,Piutang!$J$2:$J$1751,$B14)</f>
        <v>6917285800</v>
      </c>
      <c r="E14" s="6" t="n">
        <f aca="false">SUMIFS(Piutang!$M$2:$M$1751,Piutang!$J$2:$J$1751,$B14)</f>
        <v>3048800</v>
      </c>
    </row>
    <row r="15" customFormat="false" ht="15" hidden="false" customHeight="false" outlineLevel="0" collapsed="false">
      <c r="B15" s="4" t="s">
        <v>70</v>
      </c>
      <c r="C15" s="8" t="n">
        <f aca="false">COUNTIF(Piutang!$J$2:$J$1751,B15)</f>
        <v>1061</v>
      </c>
      <c r="D15" s="6" t="n">
        <f aca="false">SUMIFS(Piutang!$F$2:$F$1751,Piutang!$J$2:$J$1751,$B15)</f>
        <v>11560823000</v>
      </c>
      <c r="E15" s="6" t="n">
        <f aca="false">SUMIFS(Piutang!$M$2:$M$1751,Piutang!$J$2:$J$1751,$B15)</f>
        <v>1139680700</v>
      </c>
    </row>
    <row r="16" customFormat="false" ht="15" hidden="false" customHeight="false" outlineLevel="0" collapsed="false">
      <c r="B16" s="4" t="s">
        <v>71</v>
      </c>
      <c r="C16" s="8" t="n">
        <f aca="false">COUNTIF(Piutang!$J$2:$J$1751,B16)</f>
        <v>9</v>
      </c>
      <c r="D16" s="6" t="n">
        <f aca="false">SUMIFS(Piutang!$F$2:$F$1751,Piutang!$J$2:$J$1751,$B16)</f>
        <v>74038800</v>
      </c>
      <c r="E16" s="6" t="n">
        <f aca="false">SUMIFS(Piutang!$M$2:$M$1751,Piutang!$J$2:$J$1751,$B16)</f>
        <v>65819900</v>
      </c>
    </row>
    <row r="17" customFormat="false" ht="15" hidden="false" customHeight="false" outlineLevel="0" collapsed="false">
      <c r="B17" s="11" t="s">
        <v>18</v>
      </c>
      <c r="C17" s="14" t="n">
        <f aca="false">SUM(C14:C16)</f>
        <v>1750</v>
      </c>
      <c r="D17" s="12" t="n">
        <f aca="false">SUM(D14:D16)</f>
        <v>18552147600</v>
      </c>
      <c r="E17" s="12" t="n">
        <f aca="false">SUM(E14:E16)</f>
        <v>1208549400</v>
      </c>
    </row>
    <row r="19" customFormat="false" ht="15" hidden="false" customHeight="false" outlineLevel="0" collapsed="false">
      <c r="A19" s="21" t="s">
        <v>72</v>
      </c>
      <c r="B19" s="22"/>
      <c r="C19" s="22"/>
      <c r="D19" s="22"/>
      <c r="E19" s="22"/>
      <c r="F19" s="22"/>
      <c r="G19" s="22"/>
    </row>
    <row r="20" customFormat="false" ht="31.5" hidden="false" customHeight="true" outlineLevel="0" collapsed="false">
      <c r="B20" s="3" t="s">
        <v>26</v>
      </c>
      <c r="C20" s="3" t="s">
        <v>6</v>
      </c>
      <c r="D20" s="3" t="s">
        <v>62</v>
      </c>
      <c r="E20" s="3" t="s">
        <v>63</v>
      </c>
      <c r="F20" s="3" t="s">
        <v>4</v>
      </c>
      <c r="G20" s="3" t="s">
        <v>73</v>
      </c>
    </row>
    <row r="21" customFormat="false" ht="15" hidden="false" customHeight="false" outlineLevel="0" collapsed="false">
      <c r="B21" s="29" t="n">
        <v>45658</v>
      </c>
      <c r="C21" s="8" t="n">
        <f aca="false">COUNTIFS(Piutang!$B$2:$B$1751,"&gt;="&amp;$B21,Piutang!$B$2:$B$1751,"&lt;"&amp;EDATE($B21,1))</f>
        <v>140</v>
      </c>
      <c r="D21" s="6" t="n">
        <f aca="false">SUMIFS(Piutang!$F$2:$F$1751,Piutang!$B$2:$B$1751,"&gt;="&amp;$B21,Piutang!$B$2:$B$1751,"&lt;"&amp;EDATE($B21,1))</f>
        <v>1576054400</v>
      </c>
      <c r="E21" s="6" t="n">
        <f aca="false">SUMIFS(Piutang!$K$2:$K$1751,Piutang!$B$2:$B$1751,"&gt;="&amp;$B21,Piutang!$B$2:$B$1751,"&lt;"&amp;EDATE($B21,1))</f>
        <v>1566693600</v>
      </c>
      <c r="F21" s="6" t="n">
        <f aca="false">SUMIFS(Piutang!$M$2:$M$1751,Piutang!$B$2:$B$1751,"&gt;="&amp;$B21,Piutang!$B$2:$B$1751,"&lt;"&amp;EDATE($B21,1))</f>
        <v>9360800</v>
      </c>
      <c r="G21" s="7" t="n">
        <f aca="false">IF(D21=0,0,E21/D21)</f>
        <v>0.99406061110581</v>
      </c>
    </row>
    <row r="22" customFormat="false" ht="15" hidden="false" customHeight="false" outlineLevel="0" collapsed="false">
      <c r="B22" s="29" t="n">
        <v>45689</v>
      </c>
      <c r="C22" s="8" t="n">
        <f aca="false">COUNTIFS(Piutang!$B$2:$B$1751,"&gt;="&amp;$B22,Piutang!$B$2:$B$1751,"&lt;"&amp;EDATE($B22,1))</f>
        <v>134</v>
      </c>
      <c r="D22" s="6" t="n">
        <f aca="false">SUMIFS(Piutang!$F$2:$F$1751,Piutang!$B$2:$B$1751,"&gt;="&amp;$B22,Piutang!$B$2:$B$1751,"&lt;"&amp;EDATE($B22,1))</f>
        <v>1525951100</v>
      </c>
      <c r="E22" s="6" t="n">
        <f aca="false">SUMIFS(Piutang!$K$2:$K$1751,Piutang!$B$2:$B$1751,"&gt;="&amp;$B22,Piutang!$B$2:$B$1751,"&lt;"&amp;EDATE($B22,1))</f>
        <v>1486257100</v>
      </c>
      <c r="F22" s="6" t="n">
        <f aca="false">SUMIFS(Piutang!$M$2:$M$1751,Piutang!$B$2:$B$1751,"&gt;="&amp;$B22,Piutang!$B$2:$B$1751,"&lt;"&amp;EDATE($B22,1))</f>
        <v>39694000</v>
      </c>
      <c r="G22" s="7" t="n">
        <f aca="false">IF(D22=0,0,E22/D22)</f>
        <v>0.973987370892816</v>
      </c>
    </row>
    <row r="23" customFormat="false" ht="15" hidden="false" customHeight="false" outlineLevel="0" collapsed="false">
      <c r="B23" s="29" t="n">
        <v>45717</v>
      </c>
      <c r="C23" s="8" t="n">
        <f aca="false">COUNTIFS(Piutang!$B$2:$B$1751,"&gt;="&amp;$B23,Piutang!$B$2:$B$1751,"&lt;"&amp;EDATE($B23,1))</f>
        <v>138</v>
      </c>
      <c r="D23" s="6" t="n">
        <f aca="false">SUMIFS(Piutang!$F$2:$F$1751,Piutang!$B$2:$B$1751,"&gt;="&amp;$B23,Piutang!$B$2:$B$1751,"&lt;"&amp;EDATE($B23,1))</f>
        <v>1553507600</v>
      </c>
      <c r="E23" s="6" t="n">
        <f aca="false">SUMIFS(Piutang!$K$2:$K$1751,Piutang!$B$2:$B$1751,"&gt;="&amp;$B23,Piutang!$B$2:$B$1751,"&lt;"&amp;EDATE($B23,1))</f>
        <v>1533830200</v>
      </c>
      <c r="F23" s="6" t="n">
        <f aca="false">SUMIFS(Piutang!$M$2:$M$1751,Piutang!$B$2:$B$1751,"&gt;="&amp;$B23,Piutang!$B$2:$B$1751,"&lt;"&amp;EDATE($B23,1))</f>
        <v>19677400</v>
      </c>
      <c r="G23" s="7" t="n">
        <f aca="false">IF(D23=0,0,E23/D23)</f>
        <v>0.987333566955192</v>
      </c>
    </row>
    <row r="24" customFormat="false" ht="15" hidden="false" customHeight="false" outlineLevel="0" collapsed="false">
      <c r="B24" s="29" t="n">
        <v>45748</v>
      </c>
      <c r="C24" s="8" t="n">
        <f aca="false">COUNTIFS(Piutang!$B$2:$B$1751,"&gt;="&amp;$B24,Piutang!$B$2:$B$1751,"&lt;"&amp;EDATE($B24,1))</f>
        <v>144</v>
      </c>
      <c r="D24" s="6" t="n">
        <f aca="false">SUMIFS(Piutang!$F$2:$F$1751,Piutang!$B$2:$B$1751,"&gt;="&amp;$B24,Piutang!$B$2:$B$1751,"&lt;"&amp;EDATE($B24,1))</f>
        <v>1586180200</v>
      </c>
      <c r="E24" s="6" t="n">
        <f aca="false">SUMIFS(Piutang!$K$2:$K$1751,Piutang!$B$2:$B$1751,"&gt;="&amp;$B24,Piutang!$B$2:$B$1751,"&lt;"&amp;EDATE($B24,1))</f>
        <v>1579337400</v>
      </c>
      <c r="F24" s="6" t="n">
        <f aca="false">SUMIFS(Piutang!$M$2:$M$1751,Piutang!$B$2:$B$1751,"&gt;="&amp;$B24,Piutang!$B$2:$B$1751,"&lt;"&amp;EDATE($B24,1))</f>
        <v>6842800</v>
      </c>
      <c r="G24" s="7" t="n">
        <f aca="false">IF(D24=0,0,E24/D24)</f>
        <v>0.995685988262872</v>
      </c>
    </row>
    <row r="25" customFormat="false" ht="15" hidden="false" customHeight="false" outlineLevel="0" collapsed="false">
      <c r="B25" s="29" t="n">
        <v>45778</v>
      </c>
      <c r="C25" s="8" t="n">
        <f aca="false">COUNTIFS(Piutang!$B$2:$B$1751,"&gt;="&amp;$B25,Piutang!$B$2:$B$1751,"&lt;"&amp;EDATE($B25,1))</f>
        <v>158</v>
      </c>
      <c r="D25" s="6" t="n">
        <f aca="false">SUMIFS(Piutang!$F$2:$F$1751,Piutang!$B$2:$B$1751,"&gt;="&amp;$B25,Piutang!$B$2:$B$1751,"&lt;"&amp;EDATE($B25,1))</f>
        <v>1709855800</v>
      </c>
      <c r="E25" s="6" t="n">
        <f aca="false">SUMIFS(Piutang!$K$2:$K$1751,Piutang!$B$2:$B$1751,"&gt;="&amp;$B25,Piutang!$B$2:$B$1751,"&lt;"&amp;EDATE($B25,1))</f>
        <v>1675081600</v>
      </c>
      <c r="F25" s="6" t="n">
        <f aca="false">SUMIFS(Piutang!$M$2:$M$1751,Piutang!$B$2:$B$1751,"&gt;="&amp;$B25,Piutang!$B$2:$B$1751,"&lt;"&amp;EDATE($B25,1))</f>
        <v>34774200</v>
      </c>
      <c r="G25" s="7" t="n">
        <f aca="false">IF(D25=0,0,E25/D25)</f>
        <v>0.979662495515704</v>
      </c>
    </row>
    <row r="26" customFormat="false" ht="15" hidden="false" customHeight="false" outlineLevel="0" collapsed="false">
      <c r="B26" s="29" t="n">
        <v>45809</v>
      </c>
      <c r="C26" s="8" t="n">
        <f aca="false">COUNTIFS(Piutang!$B$2:$B$1751,"&gt;="&amp;$B26,Piutang!$B$2:$B$1751,"&lt;"&amp;EDATE($B26,1))</f>
        <v>125</v>
      </c>
      <c r="D26" s="6" t="n">
        <f aca="false">SUMIFS(Piutang!$F$2:$F$1751,Piutang!$B$2:$B$1751,"&gt;="&amp;$B26,Piutang!$B$2:$B$1751,"&lt;"&amp;EDATE($B26,1))</f>
        <v>1252767400</v>
      </c>
      <c r="E26" s="6" t="n">
        <f aca="false">SUMIFS(Piutang!$K$2:$K$1751,Piutang!$B$2:$B$1751,"&gt;="&amp;$B26,Piutang!$B$2:$B$1751,"&lt;"&amp;EDATE($B26,1))</f>
        <v>1244319300</v>
      </c>
      <c r="F26" s="6" t="n">
        <f aca="false">SUMIFS(Piutang!$M$2:$M$1751,Piutang!$B$2:$B$1751,"&gt;="&amp;$B26,Piutang!$B$2:$B$1751,"&lt;"&amp;EDATE($B26,1))</f>
        <v>8448100</v>
      </c>
      <c r="G26" s="7" t="n">
        <f aca="false">IF(D26=0,0,E26/D26)</f>
        <v>0.993256449680922</v>
      </c>
    </row>
    <row r="27" customFormat="false" ht="15" hidden="false" customHeight="false" outlineLevel="0" collapsed="false">
      <c r="B27" s="29" t="n">
        <v>45839</v>
      </c>
      <c r="C27" s="8" t="n">
        <f aca="false">COUNTIFS(Piutang!$B$2:$B$1751,"&gt;="&amp;$B27,Piutang!$B$2:$B$1751,"&lt;"&amp;EDATE($B27,1))</f>
        <v>152</v>
      </c>
      <c r="D27" s="6" t="n">
        <f aca="false">SUMIFS(Piutang!$F$2:$F$1751,Piutang!$B$2:$B$1751,"&gt;="&amp;$B27,Piutang!$B$2:$B$1751,"&lt;"&amp;EDATE($B27,1))</f>
        <v>1466421200</v>
      </c>
      <c r="E27" s="6" t="n">
        <f aca="false">SUMIFS(Piutang!$K$2:$K$1751,Piutang!$B$2:$B$1751,"&gt;="&amp;$B27,Piutang!$B$2:$B$1751,"&lt;"&amp;EDATE($B27,1))</f>
        <v>1455252900</v>
      </c>
      <c r="F27" s="6" t="n">
        <f aca="false">SUMIFS(Piutang!$M$2:$M$1751,Piutang!$B$2:$B$1751,"&gt;="&amp;$B27,Piutang!$B$2:$B$1751,"&lt;"&amp;EDATE($B27,1))</f>
        <v>11168300</v>
      </c>
      <c r="G27" s="7" t="n">
        <f aca="false">IF(D27=0,0,E27/D27)</f>
        <v>0.992383975354421</v>
      </c>
    </row>
    <row r="28" customFormat="false" ht="15" hidden="false" customHeight="false" outlineLevel="0" collapsed="false">
      <c r="B28" s="29" t="n">
        <v>45870</v>
      </c>
      <c r="C28" s="8" t="n">
        <f aca="false">COUNTIFS(Piutang!$B$2:$B$1751,"&gt;="&amp;$B28,Piutang!$B$2:$B$1751,"&lt;"&amp;EDATE($B28,1))</f>
        <v>153</v>
      </c>
      <c r="D28" s="6" t="n">
        <f aca="false">SUMIFS(Piutang!$F$2:$F$1751,Piutang!$B$2:$B$1751,"&gt;="&amp;$B28,Piutang!$B$2:$B$1751,"&lt;"&amp;EDATE($B28,1))</f>
        <v>1573166300</v>
      </c>
      <c r="E28" s="6" t="n">
        <f aca="false">SUMIFS(Piutang!$K$2:$K$1751,Piutang!$B$2:$B$1751,"&gt;="&amp;$B28,Piutang!$B$2:$B$1751,"&lt;"&amp;EDATE($B28,1))</f>
        <v>1562502800</v>
      </c>
      <c r="F28" s="6" t="n">
        <f aca="false">SUMIFS(Piutang!$M$2:$M$1751,Piutang!$B$2:$B$1751,"&gt;="&amp;$B28,Piutang!$B$2:$B$1751,"&lt;"&amp;EDATE($B28,1))</f>
        <v>10663500</v>
      </c>
      <c r="G28" s="7" t="n">
        <f aca="false">IF(D28=0,0,E28/D28)</f>
        <v>0.99322163206776</v>
      </c>
    </row>
    <row r="29" customFormat="false" ht="15" hidden="false" customHeight="false" outlineLevel="0" collapsed="false">
      <c r="B29" s="29" t="n">
        <v>45901</v>
      </c>
      <c r="C29" s="8" t="n">
        <f aca="false">COUNTIFS(Piutang!$B$2:$B$1751,"&gt;="&amp;$B29,Piutang!$B$2:$B$1751,"&lt;"&amp;EDATE($B29,1))</f>
        <v>143</v>
      </c>
      <c r="D29" s="6" t="n">
        <f aca="false">SUMIFS(Piutang!$F$2:$F$1751,Piutang!$B$2:$B$1751,"&gt;="&amp;$B29,Piutang!$B$2:$B$1751,"&lt;"&amp;EDATE($B29,1))</f>
        <v>1622212200</v>
      </c>
      <c r="E29" s="6" t="n">
        <f aca="false">SUMIFS(Piutang!$K$2:$K$1751,Piutang!$B$2:$B$1751,"&gt;="&amp;$B29,Piutang!$B$2:$B$1751,"&lt;"&amp;EDATE($B29,1))</f>
        <v>1606728000</v>
      </c>
      <c r="F29" s="6" t="n">
        <f aca="false">SUMIFS(Piutang!$M$2:$M$1751,Piutang!$B$2:$B$1751,"&gt;="&amp;$B29,Piutang!$B$2:$B$1751,"&lt;"&amp;EDATE($B29,1))</f>
        <v>15484200</v>
      </c>
      <c r="G29" s="7" t="n">
        <f aca="false">IF(D29=0,0,E29/D29)</f>
        <v>0.990454886234982</v>
      </c>
    </row>
    <row r="30" customFormat="false" ht="15" hidden="false" customHeight="false" outlineLevel="0" collapsed="false">
      <c r="B30" s="29" t="n">
        <v>45931</v>
      </c>
      <c r="C30" s="8" t="n">
        <f aca="false">COUNTIFS(Piutang!$B$2:$B$1751,"&gt;="&amp;$B30,Piutang!$B$2:$B$1751,"&lt;"&amp;EDATE($B30,1))</f>
        <v>159</v>
      </c>
      <c r="D30" s="6" t="n">
        <f aca="false">SUMIFS(Piutang!$F$2:$F$1751,Piutang!$B$2:$B$1751,"&gt;="&amp;$B30,Piutang!$B$2:$B$1751,"&lt;"&amp;EDATE($B30,1))</f>
        <v>1625867200</v>
      </c>
      <c r="E30" s="6" t="n">
        <f aca="false">SUMIFS(Piutang!$K$2:$K$1751,Piutang!$B$2:$B$1751,"&gt;="&amp;$B30,Piutang!$B$2:$B$1751,"&lt;"&amp;EDATE($B30,1))</f>
        <v>1548365600</v>
      </c>
      <c r="F30" s="6" t="n">
        <f aca="false">SUMIFS(Piutang!$M$2:$M$1751,Piutang!$B$2:$B$1751,"&gt;="&amp;$B30,Piutang!$B$2:$B$1751,"&lt;"&amp;EDATE($B30,1))</f>
        <v>77501600</v>
      </c>
      <c r="G30" s="7" t="n">
        <f aca="false">IF(D30=0,0,E30/D30)</f>
        <v>0.952332146192506</v>
      </c>
    </row>
    <row r="31" customFormat="false" ht="15" hidden="false" customHeight="false" outlineLevel="0" collapsed="false">
      <c r="B31" s="29" t="n">
        <v>45962</v>
      </c>
      <c r="C31" s="8" t="n">
        <f aca="false">COUNTIFS(Piutang!$B$2:$B$1751,"&gt;="&amp;$B31,Piutang!$B$2:$B$1751,"&lt;"&amp;EDATE($B31,1))</f>
        <v>140</v>
      </c>
      <c r="D31" s="6" t="n">
        <f aca="false">SUMIFS(Piutang!$F$2:$F$1751,Piutang!$B$2:$B$1751,"&gt;="&amp;$B31,Piutang!$B$2:$B$1751,"&lt;"&amp;EDATE($B31,1))</f>
        <v>1411780600</v>
      </c>
      <c r="E31" s="6" t="n">
        <f aca="false">SUMIFS(Piutang!$K$2:$K$1751,Piutang!$B$2:$B$1751,"&gt;="&amp;$B31,Piutang!$B$2:$B$1751,"&lt;"&amp;EDATE($B31,1))</f>
        <v>1165321200</v>
      </c>
      <c r="F31" s="6" t="n">
        <f aca="false">SUMIFS(Piutang!$M$2:$M$1751,Piutang!$B$2:$B$1751,"&gt;="&amp;$B31,Piutang!$B$2:$B$1751,"&lt;"&amp;EDATE($B31,1))</f>
        <v>246459400</v>
      </c>
      <c r="G31" s="7" t="n">
        <f aca="false">IF(D31=0,0,E31/D31)</f>
        <v>0.825426557072678</v>
      </c>
    </row>
    <row r="32" customFormat="false" ht="15" hidden="false" customHeight="false" outlineLevel="0" collapsed="false">
      <c r="B32" s="29" t="n">
        <v>45992</v>
      </c>
      <c r="C32" s="8" t="n">
        <f aca="false">COUNTIFS(Piutang!$B$2:$B$1751,"&gt;="&amp;$B32,Piutang!$B$2:$B$1751,"&lt;"&amp;EDATE($B32,1))</f>
        <v>164</v>
      </c>
      <c r="D32" s="6" t="n">
        <f aca="false">SUMIFS(Piutang!$F$2:$F$1751,Piutang!$B$2:$B$1751,"&gt;="&amp;$B32,Piutang!$B$2:$B$1751,"&lt;"&amp;EDATE($B32,1))</f>
        <v>1648383600</v>
      </c>
      <c r="E32" s="6" t="n">
        <f aca="false">SUMIFS(Piutang!$K$2:$K$1751,Piutang!$B$2:$B$1751,"&gt;="&amp;$B32,Piutang!$B$2:$B$1751,"&lt;"&amp;EDATE($B32,1))</f>
        <v>919908500</v>
      </c>
      <c r="F32" s="6" t="n">
        <f aca="false">SUMIFS(Piutang!$M$2:$M$1751,Piutang!$B$2:$B$1751,"&gt;="&amp;$B32,Piutang!$B$2:$B$1751,"&lt;"&amp;EDATE($B32,1))</f>
        <v>728475100</v>
      </c>
      <c r="G32" s="7" t="n">
        <f aca="false">IF(D32=0,0,E32/D32)</f>
        <v>0.558067005762494</v>
      </c>
    </row>
    <row r="33" customFormat="false" ht="15" hidden="false" customHeight="false" outlineLevel="0" collapsed="false">
      <c r="B33" s="11" t="s">
        <v>18</v>
      </c>
      <c r="C33" s="14" t="n">
        <f aca="false">SUM(C21:C32)</f>
        <v>1750</v>
      </c>
      <c r="D33" s="12" t="n">
        <f aca="false">SUM(D21:D32)</f>
        <v>18552147600</v>
      </c>
      <c r="E33" s="12" t="n">
        <f aca="false">SUM(E21:E32)</f>
        <v>17343598200</v>
      </c>
      <c r="F33" s="12" t="n">
        <f aca="false">SUM(F21:F32)</f>
        <v>1208549400</v>
      </c>
      <c r="G33" s="13" t="n">
        <f aca="false">IF(D33=0,0,E33/D33)</f>
        <v>0.934856630830169</v>
      </c>
    </row>
    <row r="35" customFormat="false" ht="15" hidden="false" customHeight="false" outlineLevel="0" collapsed="false">
      <c r="A35" s="21" t="s">
        <v>74</v>
      </c>
      <c r="B35" s="22"/>
      <c r="C35" s="22"/>
      <c r="D35" s="22"/>
      <c r="E35" s="22"/>
      <c r="F35" s="22"/>
      <c r="G35" s="22"/>
    </row>
    <row r="36" customFormat="false" ht="31.5" hidden="false" customHeight="true" outlineLevel="0" collapsed="false">
      <c r="B36" s="3" t="s">
        <v>75</v>
      </c>
      <c r="C36" s="3" t="s">
        <v>6</v>
      </c>
      <c r="D36" s="3" t="s">
        <v>4</v>
      </c>
    </row>
    <row r="37" customFormat="false" ht="15" hidden="false" customHeight="false" outlineLevel="0" collapsed="false">
      <c r="B37" s="4" t="s">
        <v>76</v>
      </c>
      <c r="C37" s="8" t="n">
        <f aca="false">COUNTIFS(Piutang!$M$2:$M$1751,"&gt;0",Piutang!$H$2:$H$1751,"&gt;="&amp;(Catatan!$B$3+0),Piutang!$H$2:$H$1751,"&lt;="&amp;(Catatan!$B$3+7))</f>
        <v>17</v>
      </c>
      <c r="D37" s="6" t="n">
        <f aca="false">SUMIFS(Piutang!$M$2:$M$1751,Piutang!$M$2:$M$1751,"&gt;0",Piutang!$H$2:$H$1751,"&gt;="&amp;(Catatan!$B$3+0),Piutang!$H$2:$H$1751,"&lt;="&amp;(Catatan!$B$3+7))</f>
        <v>135024800</v>
      </c>
    </row>
    <row r="38" customFormat="false" ht="15" hidden="false" customHeight="false" outlineLevel="0" collapsed="false">
      <c r="B38" s="4" t="s">
        <v>77</v>
      </c>
      <c r="C38" s="8" t="n">
        <f aca="false">COUNTIFS(Piutang!$M$2:$M$1751,"&gt;0",Piutang!$H$2:$H$1751,"&gt;="&amp;(Catatan!$B$3+8),Piutang!$H$2:$H$1751,"&lt;="&amp;(Catatan!$B$3+14))</f>
        <v>21</v>
      </c>
      <c r="D38" s="6" t="n">
        <f aca="false">SUMIFS(Piutang!$M$2:$M$1751,Piutang!$M$2:$M$1751,"&gt;0",Piutang!$H$2:$H$1751,"&gt;="&amp;(Catatan!$B$3+8),Piutang!$H$2:$H$1751,"&lt;="&amp;(Catatan!$B$3+14))</f>
        <v>172676900</v>
      </c>
    </row>
    <row r="39" customFormat="false" ht="15" hidden="false" customHeight="false" outlineLevel="0" collapsed="false">
      <c r="B39" s="4" t="s">
        <v>78</v>
      </c>
      <c r="C39" s="8" t="n">
        <f aca="false">COUNTIFS(Piutang!$M$2:$M$1751,"&gt;0",Piutang!$H$2:$H$1751,"&gt;="&amp;(Catatan!$B$3+15),Piutang!$H$2:$H$1751,"&lt;="&amp;(Catatan!$B$3+30))</f>
        <v>30</v>
      </c>
      <c r="D39" s="6" t="n">
        <f aca="false">SUMIFS(Piutang!$M$2:$M$1751,Piutang!$M$2:$M$1751,"&gt;0",Piutang!$H$2:$H$1751,"&gt;="&amp;(Catatan!$B$3+15),Piutang!$H$2:$H$1751,"&lt;="&amp;(Catatan!$B$3+30))</f>
        <v>328223200</v>
      </c>
    </row>
    <row r="40" customFormat="false" ht="15" hidden="false" customHeight="false" outlineLevel="0" collapsed="false">
      <c r="B40" s="4" t="s">
        <v>79</v>
      </c>
      <c r="C40" s="8" t="n">
        <f aca="false">COUNTIFS(Piutang!$M$2:$M$1751,"&gt;0",Piutang!$H$2:$H$1751,"&gt;="&amp;(Catatan!$B$3+31),Piutang!$H$2:$H$1751,"&lt;="&amp;(Catatan!$B$3+9999))</f>
        <v>14</v>
      </c>
      <c r="D40" s="6" t="n">
        <f aca="false">SUMIFS(Piutang!$M$2:$M$1751,Piutang!$M$2:$M$1751,"&gt;0",Piutang!$H$2:$H$1751,"&gt;="&amp;(Catatan!$B$3+31),Piutang!$H$2:$H$1751,"&lt;="&amp;(Catatan!$B$3+9999))</f>
        <v>102204200</v>
      </c>
    </row>
    <row r="41" customFormat="false" ht="15" hidden="false" customHeight="false" outlineLevel="0" collapsed="false">
      <c r="B41" s="11" t="s">
        <v>18</v>
      </c>
      <c r="C41" s="14" t="n">
        <f aca="false">SUM(C37:C40)</f>
        <v>82</v>
      </c>
      <c r="D41" s="12" t="n">
        <f aca="false">SUM(D37:D40)</f>
        <v>738129100</v>
      </c>
    </row>
    <row r="42" customFormat="false" ht="15" hidden="false" customHeight="false" outlineLevel="0" collapsed="false">
      <c r="B42" s="20" t="s">
        <v>80</v>
      </c>
    </row>
  </sheetData>
  <printOptions headings="false" gridLines="false" gridLinesSet="true" horizontalCentered="false" verticalCentered="false"/>
  <pageMargins left="0.5" right="0.5" top="0.6" bottom="0.6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&amp;L&amp;8 Data sintetis - portofolio&amp;C&amp;8 Halaman &amp;P dari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4"/>
    <col collapsed="false" customWidth="true" hidden="false" outlineLevel="0" max="3" min="3" style="0" width="7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3"/>
    <col collapsed="false" customWidth="true" hidden="true" outlineLevel="0" max="7" min="7" style="0" width="8"/>
  </cols>
  <sheetData>
    <row r="1" customFormat="false" ht="17.35" hidden="false" customHeight="false" outlineLevel="0" collapsed="false">
      <c r="A1" s="30" t="s">
        <v>81</v>
      </c>
      <c r="E1" s="31" t="s">
        <v>82</v>
      </c>
    </row>
    <row r="2" customFormat="false" ht="15" hidden="false" customHeight="false" outlineLevel="0" collapsed="false">
      <c r="A2" s="32" t="s">
        <v>83</v>
      </c>
    </row>
    <row r="3" customFormat="false" ht="15" hidden="false" customHeight="false" outlineLevel="0" collapsed="false">
      <c r="A3" s="33" t="s">
        <v>84</v>
      </c>
    </row>
    <row r="4" customFormat="false" ht="15" hidden="false" customHeight="false" outlineLevel="0" collapsed="false">
      <c r="G4" s="23" t="s">
        <v>53</v>
      </c>
    </row>
    <row r="5" customFormat="false" ht="15" hidden="false" customHeight="false" outlineLevel="0" collapsed="false">
      <c r="A5" s="34" t="s">
        <v>85</v>
      </c>
      <c r="B5" s="34"/>
      <c r="C5" s="35" t="s">
        <v>86</v>
      </c>
      <c r="D5" s="35"/>
      <c r="E5" s="35"/>
      <c r="G5" s="23" t="n">
        <f aca="false">IFERROR(MATCH($C$5,Data_Penjualan!$A$2:$A$5998,0),"")</f>
        <v>5412</v>
      </c>
    </row>
    <row r="6" customFormat="false" ht="15" hidden="false" customHeight="false" outlineLevel="0" collapsed="false">
      <c r="A6" s="34" t="s">
        <v>87</v>
      </c>
      <c r="B6" s="34"/>
      <c r="C6" s="36" t="n">
        <f aca="false">IFERROR(INDEX(Piutang!$B$2:$B$1751,MATCH($C$5,Piutang!$A$2:$A$1751,0)),"")</f>
        <v>45987</v>
      </c>
      <c r="D6" s="36"/>
      <c r="E6" s="36"/>
    </row>
    <row r="7" customFormat="false" ht="15" hidden="false" customHeight="false" outlineLevel="0" collapsed="false">
      <c r="A7" s="34" t="s">
        <v>88</v>
      </c>
      <c r="B7" s="34"/>
      <c r="C7" s="37" t="str">
        <f aca="false">IFERROR(INDEX(Piutang!$D$2:$D$1751,MATCH($C$5,Piutang!$A$2:$A$1751,0)),"")</f>
        <v>BINTANG OLI</v>
      </c>
      <c r="D7" s="37"/>
      <c r="E7" s="37"/>
    </row>
    <row r="8" customFormat="false" ht="15" hidden="false" customHeight="false" outlineLevel="0" collapsed="false">
      <c r="A8" s="34" t="s">
        <v>23</v>
      </c>
      <c r="B8" s="34"/>
      <c r="C8" s="37" t="str">
        <f aca="false">IFERROR(INDEX(Piutang!$E$2:$E$1751,MATCH($C$5,Piutang!$A$2:$A$1751,0)),"")</f>
        <v>SALES D</v>
      </c>
      <c r="D8" s="37"/>
      <c r="E8" s="37"/>
    </row>
    <row r="9" customFormat="false" ht="15" hidden="false" customHeight="false" outlineLevel="0" collapsed="false">
      <c r="A9" s="34" t="s">
        <v>52</v>
      </c>
      <c r="B9" s="34"/>
      <c r="C9" s="37" t="n">
        <f aca="false">IFERROR(INDEX(Piutang!$G$2:$G$1751,MATCH($C$5,Piutang!$A$2:$A$1751,0)),"")</f>
        <v>14</v>
      </c>
      <c r="D9" s="37"/>
      <c r="E9" s="37"/>
    </row>
    <row r="10" customFormat="false" ht="15" hidden="false" customHeight="false" outlineLevel="0" collapsed="false">
      <c r="A10" s="34" t="s">
        <v>89</v>
      </c>
      <c r="B10" s="34"/>
      <c r="C10" s="36" t="n">
        <f aca="false">IFERROR(INDEX(Piutang!$H$2:$H$1751,MATCH($C$5,Piutang!$A$2:$A$1751,0)),"")</f>
        <v>46001</v>
      </c>
      <c r="D10" s="36"/>
      <c r="E10" s="36"/>
    </row>
    <row r="12" customFormat="false" ht="31.5" hidden="false" customHeight="true" outlineLevel="0" collapsed="false">
      <c r="A12" s="3" t="s">
        <v>51</v>
      </c>
      <c r="B12" s="3" t="s">
        <v>90</v>
      </c>
      <c r="C12" s="3" t="s">
        <v>91</v>
      </c>
      <c r="D12" s="3" t="s">
        <v>92</v>
      </c>
      <c r="E12" s="3" t="s">
        <v>93</v>
      </c>
    </row>
    <row r="13" customFormat="false" ht="15" hidden="false" customHeight="false" outlineLevel="0" collapsed="false">
      <c r="A13" s="18" t="n">
        <f aca="false">IF(B13="","",1)</f>
        <v>1</v>
      </c>
      <c r="B13" s="4" t="str">
        <f aca="false">IFERROR(IF(AND($G$5&lt;&gt;"",INDEX(Data_Penjualan!$A$2:$A$5998,$G$5+0)=$C$5),INDEX(Data_Penjualan!$D$2:$D$5998,$G$5+0),""),"")</f>
        <v>Oli Mesin Mobil Diesel SAE 15W-40 (6x1L)</v>
      </c>
      <c r="C13" s="18" t="n">
        <f aca="false">IFERROR(IF(AND($G$5&lt;&gt;"",INDEX(Data_Penjualan!$A$2:$A$5998,$G$5+0)=$C$5),INDEX(Data_Penjualan!$E$2:$E$5998,$G$5+0),""),"")</f>
        <v>7</v>
      </c>
      <c r="D13" s="18" t="str">
        <f aca="false">IFERROR(IF(AND($G$5&lt;&gt;"",INDEX(Data_Penjualan!$A$2:$A$5998,$G$5+0)=$C$5),INDEX(Data_Penjualan!$F$2:$F$5998,$G$5+0),""),"")</f>
        <v>DUS</v>
      </c>
      <c r="E13" s="6" t="n">
        <f aca="false">IFERROR(IF(AND($G$5&lt;&gt;"",INDEX(Data_Penjualan!$A$2:$A$5998,$G$5+0)=$C$5),INDEX(Data_Penjualan!$G$2:$G$5998,$G$5+0),""),"")</f>
        <v>4268300</v>
      </c>
    </row>
    <row r="14" customFormat="false" ht="15" hidden="false" customHeight="false" outlineLevel="0" collapsed="false">
      <c r="A14" s="18" t="n">
        <f aca="false">IF(B14="","",2)</f>
        <v>2</v>
      </c>
      <c r="B14" s="4" t="str">
        <f aca="false">IFERROR(IF(AND($G$5&lt;&gt;"",INDEX(Data_Penjualan!$A$2:$A$5998,$G$5+1)=$C$5),INDEX(Data_Penjualan!$D$2:$D$5998,$G$5+1),""),"")</f>
        <v>Oli Hidrolik ISO 68 (1x20L)</v>
      </c>
      <c r="C14" s="18" t="n">
        <f aca="false">IFERROR(IF(AND($G$5&lt;&gt;"",INDEX(Data_Penjualan!$A$2:$A$5998,$G$5+1)=$C$5),INDEX(Data_Penjualan!$E$2:$E$5998,$G$5+1),""),"")</f>
        <v>3</v>
      </c>
      <c r="D14" s="18" t="str">
        <f aca="false">IFERROR(IF(AND($G$5&lt;&gt;"",INDEX(Data_Penjualan!$A$2:$A$5998,$G$5+1)=$C$5),INDEX(Data_Penjualan!$F$2:$F$5998,$G$5+1),""),"")</f>
        <v>PAIL</v>
      </c>
      <c r="E14" s="6" t="n">
        <f aca="false">IFERROR(IF(AND($G$5&lt;&gt;"",INDEX(Data_Penjualan!$A$2:$A$5998,$G$5+1)=$C$5),INDEX(Data_Penjualan!$G$2:$G$5998,$G$5+1),""),"")</f>
        <v>2371100</v>
      </c>
    </row>
    <row r="15" customFormat="false" ht="15" hidden="false" customHeight="false" outlineLevel="0" collapsed="false">
      <c r="A15" s="18" t="n">
        <f aca="false">IF(B15="","",3)</f>
        <v>3</v>
      </c>
      <c r="B15" s="4" t="str">
        <f aca="false">IFERROR(IF(AND($G$5&lt;&gt;"",INDEX(Data_Penjualan!$A$2:$A$5998,$G$5+2)=$C$5),INDEX(Data_Penjualan!$D$2:$D$5998,$G$5+2),""),"")</f>
        <v>Coolant Radiator Hijau (12x1L)</v>
      </c>
      <c r="C15" s="18" t="n">
        <f aca="false">IFERROR(IF(AND($G$5&lt;&gt;"",INDEX(Data_Penjualan!$A$2:$A$5998,$G$5+2)=$C$5),INDEX(Data_Penjualan!$E$2:$E$5998,$G$5+2),""),"")</f>
        <v>4</v>
      </c>
      <c r="D15" s="18" t="str">
        <f aca="false">IFERROR(IF(AND($G$5&lt;&gt;"",INDEX(Data_Penjualan!$A$2:$A$5998,$G$5+2)=$C$5),INDEX(Data_Penjualan!$F$2:$F$5998,$G$5+2),""),"")</f>
        <v>DUS</v>
      </c>
      <c r="E15" s="6" t="n">
        <f aca="false">IFERROR(IF(AND($G$5&lt;&gt;"",INDEX(Data_Penjualan!$A$2:$A$5998,$G$5+2)=$C$5),INDEX(Data_Penjualan!$G$2:$G$5998,$G$5+2),""),"")</f>
        <v>1761700</v>
      </c>
    </row>
    <row r="16" customFormat="false" ht="15" hidden="false" customHeight="false" outlineLevel="0" collapsed="false">
      <c r="A16" s="18" t="n">
        <f aca="false">IF(B16="","",4)</f>
        <v>4</v>
      </c>
      <c r="B16" s="4" t="str">
        <f aca="false">IFERROR(IF(AND($G$5&lt;&gt;"",INDEX(Data_Penjualan!$A$2:$A$5998,$G$5+3)=$C$5),INDEX(Data_Penjualan!$D$2:$D$5998,$G$5+3),""),"")</f>
        <v>Oli Mesin Mobil Bensin SAE 10W-40 (6x1L)</v>
      </c>
      <c r="C16" s="18" t="n">
        <f aca="false">IFERROR(IF(AND($G$5&lt;&gt;"",INDEX(Data_Penjualan!$A$2:$A$5998,$G$5+3)=$C$5),INDEX(Data_Penjualan!$E$2:$E$5998,$G$5+3),""),"")</f>
        <v>4</v>
      </c>
      <c r="D16" s="18" t="str">
        <f aca="false">IFERROR(IF(AND($G$5&lt;&gt;"",INDEX(Data_Penjualan!$A$2:$A$5998,$G$5+3)=$C$5),INDEX(Data_Penjualan!$F$2:$F$5998,$G$5+3),""),"")</f>
        <v>DUS</v>
      </c>
      <c r="E16" s="6" t="n">
        <f aca="false">IFERROR(IF(AND($G$5&lt;&gt;"",INDEX(Data_Penjualan!$A$2:$A$5998,$G$5+3)=$C$5),INDEX(Data_Penjualan!$G$2:$G$5998,$G$5+3),""),"")</f>
        <v>2494100</v>
      </c>
    </row>
    <row r="17" customFormat="false" ht="15" hidden="false" customHeight="false" outlineLevel="0" collapsed="false">
      <c r="A17" s="18" t="n">
        <f aca="false">IF(B17="","",5)</f>
        <v>5</v>
      </c>
      <c r="B17" s="4" t="str">
        <f aca="false">IFERROR(IF(AND($G$5&lt;&gt;"",INDEX(Data_Penjualan!$A$2:$A$5998,$G$5+4)=$C$5),INDEX(Data_Penjualan!$D$2:$D$5998,$G$5+4),""),"")</f>
        <v>Oli Mesin Mobil Bensin SAE 20W-50 (6x1L)</v>
      </c>
      <c r="C17" s="18" t="n">
        <f aca="false">IFERROR(IF(AND($G$5&lt;&gt;"",INDEX(Data_Penjualan!$A$2:$A$5998,$G$5+4)=$C$5),INDEX(Data_Penjualan!$E$2:$E$5998,$G$5+4),""),"")</f>
        <v>5</v>
      </c>
      <c r="D17" s="18" t="str">
        <f aca="false">IFERROR(IF(AND($G$5&lt;&gt;"",INDEX(Data_Penjualan!$A$2:$A$5998,$G$5+4)=$C$5),INDEX(Data_Penjualan!$F$2:$F$5998,$G$5+4),""),"")</f>
        <v>DUS</v>
      </c>
      <c r="E17" s="6" t="n">
        <f aca="false">IFERROR(IF(AND($G$5&lt;&gt;"",INDEX(Data_Penjualan!$A$2:$A$5998,$G$5+4)=$C$5),INDEX(Data_Penjualan!$G$2:$G$5998,$G$5+4),""),"")</f>
        <v>2880000</v>
      </c>
    </row>
    <row r="18" customFormat="false" ht="15" hidden="false" customHeight="false" outlineLevel="0" collapsed="false">
      <c r="A18" s="18" t="n">
        <f aca="false">IF(B18="","",6)</f>
        <v>6</v>
      </c>
      <c r="B18" s="4" t="str">
        <f aca="false">IFERROR(IF(AND($G$5&lt;&gt;"",INDEX(Data_Penjualan!$A$2:$A$5998,$G$5+5)=$C$5),INDEX(Data_Penjualan!$D$2:$D$5998,$G$5+5),""),"")</f>
        <v>Oli Samping 2T (24x0.8L)</v>
      </c>
      <c r="C18" s="18" t="n">
        <f aca="false">IFERROR(IF(AND($G$5&lt;&gt;"",INDEX(Data_Penjualan!$A$2:$A$5998,$G$5+5)=$C$5),INDEX(Data_Penjualan!$E$2:$E$5998,$G$5+5),""),"")</f>
        <v>5</v>
      </c>
      <c r="D18" s="18" t="str">
        <f aca="false">IFERROR(IF(AND($G$5&lt;&gt;"",INDEX(Data_Penjualan!$A$2:$A$5998,$G$5+5)=$C$5),INDEX(Data_Penjualan!$F$2:$F$5998,$G$5+5),""),"")</f>
        <v>DUS</v>
      </c>
      <c r="E18" s="6" t="n">
        <f aca="false">IFERROR(IF(AND($G$5&lt;&gt;"",INDEX(Data_Penjualan!$A$2:$A$5998,$G$5+5)=$C$5),INDEX(Data_Penjualan!$G$2:$G$5998,$G$5+5),""),"")</f>
        <v>1853500</v>
      </c>
    </row>
    <row r="19" customFormat="false" ht="15" hidden="false" customHeight="false" outlineLevel="0" collapsed="false">
      <c r="A19" s="18" t="n">
        <f aca="false">IF(B19="","",7)</f>
        <v>7</v>
      </c>
      <c r="B19" s="4" t="str">
        <f aca="false">IFERROR(IF(AND($G$5&lt;&gt;"",INDEX(Data_Penjualan!$A$2:$A$5998,$G$5+6)=$C$5),INDEX(Data_Penjualan!$D$2:$D$5998,$G$5+6),""),"")</f>
        <v>Oli Gear Industri ISO 220 (1x20L)</v>
      </c>
      <c r="C19" s="18" t="n">
        <f aca="false">IFERROR(IF(AND($G$5&lt;&gt;"",INDEX(Data_Penjualan!$A$2:$A$5998,$G$5+6)=$C$5),INDEX(Data_Penjualan!$E$2:$E$5998,$G$5+6),""),"")</f>
        <v>6</v>
      </c>
      <c r="D19" s="18" t="str">
        <f aca="false">IFERROR(IF(AND($G$5&lt;&gt;"",INDEX(Data_Penjualan!$A$2:$A$5998,$G$5+6)=$C$5),INDEX(Data_Penjualan!$F$2:$F$5998,$G$5+6),""),"")</f>
        <v>PAIL</v>
      </c>
      <c r="E19" s="6" t="n">
        <f aca="false">IFERROR(IF(AND($G$5&lt;&gt;"",INDEX(Data_Penjualan!$A$2:$A$5998,$G$5+6)=$C$5),INDEX(Data_Penjualan!$G$2:$G$5998,$G$5+6),""),"")</f>
        <v>5752300</v>
      </c>
    </row>
    <row r="20" customFormat="false" ht="15" hidden="false" customHeight="false" outlineLevel="0" collapsed="false">
      <c r="A20" s="18" t="str">
        <f aca="false">IF(B20="","",8)</f>
        <v/>
      </c>
      <c r="B20" s="4" t="str">
        <f aca="false">IFERROR(IF(AND($G$5&lt;&gt;"",INDEX(Data_Penjualan!$A$2:$A$5998,$G$5+7)=$C$5),INDEX(Data_Penjualan!$D$2:$D$5998,$G$5+7),""),"")</f>
        <v/>
      </c>
      <c r="C20" s="18" t="str">
        <f aca="false">IFERROR(IF(AND($G$5&lt;&gt;"",INDEX(Data_Penjualan!$A$2:$A$5998,$G$5+7)=$C$5),INDEX(Data_Penjualan!$E$2:$E$5998,$G$5+7),""),"")</f>
        <v/>
      </c>
      <c r="D20" s="18" t="str">
        <f aca="false">IFERROR(IF(AND($G$5&lt;&gt;"",INDEX(Data_Penjualan!$A$2:$A$5998,$G$5+7)=$C$5),INDEX(Data_Penjualan!$F$2:$F$5998,$G$5+7),""),"")</f>
        <v/>
      </c>
      <c r="E20" s="6" t="str">
        <f aca="false">IFERROR(IF(AND($G$5&lt;&gt;"",INDEX(Data_Penjualan!$A$2:$A$5998,$G$5+7)=$C$5),INDEX(Data_Penjualan!$G$2:$G$5998,$G$5+7),""),"")</f>
        <v/>
      </c>
    </row>
    <row r="21" customFormat="false" ht="15" hidden="false" customHeight="false" outlineLevel="0" collapsed="false">
      <c r="A21" s="18" t="str">
        <f aca="false">IF(B21="","",9)</f>
        <v/>
      </c>
      <c r="B21" s="4" t="str">
        <f aca="false">IFERROR(IF(AND($G$5&lt;&gt;"",INDEX(Data_Penjualan!$A$2:$A$5998,$G$5+8)=$C$5),INDEX(Data_Penjualan!$D$2:$D$5998,$G$5+8),""),"")</f>
        <v/>
      </c>
      <c r="C21" s="18" t="str">
        <f aca="false">IFERROR(IF(AND($G$5&lt;&gt;"",INDEX(Data_Penjualan!$A$2:$A$5998,$G$5+8)=$C$5),INDEX(Data_Penjualan!$E$2:$E$5998,$G$5+8),""),"")</f>
        <v/>
      </c>
      <c r="D21" s="18" t="str">
        <f aca="false">IFERROR(IF(AND($G$5&lt;&gt;"",INDEX(Data_Penjualan!$A$2:$A$5998,$G$5+8)=$C$5),INDEX(Data_Penjualan!$F$2:$F$5998,$G$5+8),""),"")</f>
        <v/>
      </c>
      <c r="E21" s="6" t="str">
        <f aca="false">IFERROR(IF(AND($G$5&lt;&gt;"",INDEX(Data_Penjualan!$A$2:$A$5998,$G$5+8)=$C$5),INDEX(Data_Penjualan!$G$2:$G$5998,$G$5+8),""),"")</f>
        <v/>
      </c>
    </row>
    <row r="22" customFormat="false" ht="15" hidden="false" customHeight="false" outlineLevel="0" collapsed="false">
      <c r="A22" s="18" t="str">
        <f aca="false">IF(B22="","",10)</f>
        <v/>
      </c>
      <c r="B22" s="4" t="str">
        <f aca="false">IFERROR(IF(AND($G$5&lt;&gt;"",INDEX(Data_Penjualan!$A$2:$A$5998,$G$5+9)=$C$5),INDEX(Data_Penjualan!$D$2:$D$5998,$G$5+9),""),"")</f>
        <v/>
      </c>
      <c r="C22" s="18" t="str">
        <f aca="false">IFERROR(IF(AND($G$5&lt;&gt;"",INDEX(Data_Penjualan!$A$2:$A$5998,$G$5+9)=$C$5),INDEX(Data_Penjualan!$E$2:$E$5998,$G$5+9),""),"")</f>
        <v/>
      </c>
      <c r="D22" s="18" t="str">
        <f aca="false">IFERROR(IF(AND($G$5&lt;&gt;"",INDEX(Data_Penjualan!$A$2:$A$5998,$G$5+9)=$C$5),INDEX(Data_Penjualan!$F$2:$F$5998,$G$5+9),""),"")</f>
        <v/>
      </c>
      <c r="E22" s="6" t="str">
        <f aca="false">IFERROR(IF(AND($G$5&lt;&gt;"",INDEX(Data_Penjualan!$A$2:$A$5998,$G$5+9)=$C$5),INDEX(Data_Penjualan!$G$2:$G$5998,$G$5+9),""),"")</f>
        <v/>
      </c>
    </row>
    <row r="23" customFormat="false" ht="15" hidden="false" customHeight="false" outlineLevel="0" collapsed="false">
      <c r="A23" s="18" t="str">
        <f aca="false">IF(B23="","",11)</f>
        <v/>
      </c>
      <c r="B23" s="4" t="str">
        <f aca="false">IFERROR(IF(AND($G$5&lt;&gt;"",INDEX(Data_Penjualan!$A$2:$A$5998,$G$5+10)=$C$5),INDEX(Data_Penjualan!$D$2:$D$5998,$G$5+10),""),"")</f>
        <v/>
      </c>
      <c r="C23" s="18" t="str">
        <f aca="false">IFERROR(IF(AND($G$5&lt;&gt;"",INDEX(Data_Penjualan!$A$2:$A$5998,$G$5+10)=$C$5),INDEX(Data_Penjualan!$E$2:$E$5998,$G$5+10),""),"")</f>
        <v/>
      </c>
      <c r="D23" s="18" t="str">
        <f aca="false">IFERROR(IF(AND($G$5&lt;&gt;"",INDEX(Data_Penjualan!$A$2:$A$5998,$G$5+10)=$C$5),INDEX(Data_Penjualan!$F$2:$F$5998,$G$5+10),""),"")</f>
        <v/>
      </c>
      <c r="E23" s="6" t="str">
        <f aca="false">IFERROR(IF(AND($G$5&lt;&gt;"",INDEX(Data_Penjualan!$A$2:$A$5998,$G$5+10)=$C$5),INDEX(Data_Penjualan!$G$2:$G$5998,$G$5+10),""),"")</f>
        <v/>
      </c>
    </row>
    <row r="24" customFormat="false" ht="15" hidden="false" customHeight="false" outlineLevel="0" collapsed="false">
      <c r="A24" s="18" t="str">
        <f aca="false">IF(B24="","",12)</f>
        <v/>
      </c>
      <c r="B24" s="4" t="str">
        <f aca="false">IFERROR(IF(AND($G$5&lt;&gt;"",INDEX(Data_Penjualan!$A$2:$A$5998,$G$5+11)=$C$5),INDEX(Data_Penjualan!$D$2:$D$5998,$G$5+11),""),"")</f>
        <v/>
      </c>
      <c r="C24" s="18" t="str">
        <f aca="false">IFERROR(IF(AND($G$5&lt;&gt;"",INDEX(Data_Penjualan!$A$2:$A$5998,$G$5+11)=$C$5),INDEX(Data_Penjualan!$E$2:$E$5998,$G$5+11),""),"")</f>
        <v/>
      </c>
      <c r="D24" s="18" t="str">
        <f aca="false">IFERROR(IF(AND($G$5&lt;&gt;"",INDEX(Data_Penjualan!$A$2:$A$5998,$G$5+11)=$C$5),INDEX(Data_Penjualan!$F$2:$F$5998,$G$5+11),""),"")</f>
        <v/>
      </c>
      <c r="E24" s="6" t="str">
        <f aca="false">IFERROR(IF(AND($G$5&lt;&gt;"",INDEX(Data_Penjualan!$A$2:$A$5998,$G$5+11)=$C$5),INDEX(Data_Penjualan!$G$2:$G$5998,$G$5+11),""),"")</f>
        <v/>
      </c>
    </row>
    <row r="25" customFormat="false" ht="15" hidden="false" customHeight="false" outlineLevel="0" collapsed="false">
      <c r="A25" s="18" t="str">
        <f aca="false">IF(B25="","",13)</f>
        <v/>
      </c>
      <c r="B25" s="4" t="str">
        <f aca="false">IFERROR(IF(AND($G$5&lt;&gt;"",INDEX(Data_Penjualan!$A$2:$A$5998,$G$5+12)=$C$5),INDEX(Data_Penjualan!$D$2:$D$5998,$G$5+12),""),"")</f>
        <v/>
      </c>
      <c r="C25" s="18" t="str">
        <f aca="false">IFERROR(IF(AND($G$5&lt;&gt;"",INDEX(Data_Penjualan!$A$2:$A$5998,$G$5+12)=$C$5),INDEX(Data_Penjualan!$E$2:$E$5998,$G$5+12),""),"")</f>
        <v/>
      </c>
      <c r="D25" s="18" t="str">
        <f aca="false">IFERROR(IF(AND($G$5&lt;&gt;"",INDEX(Data_Penjualan!$A$2:$A$5998,$G$5+12)=$C$5),INDEX(Data_Penjualan!$F$2:$F$5998,$G$5+12),""),"")</f>
        <v/>
      </c>
      <c r="E25" s="6" t="str">
        <f aca="false">IFERROR(IF(AND($G$5&lt;&gt;"",INDEX(Data_Penjualan!$A$2:$A$5998,$G$5+12)=$C$5),INDEX(Data_Penjualan!$G$2:$G$5998,$G$5+12),""),"")</f>
        <v/>
      </c>
    </row>
    <row r="26" customFormat="false" ht="15" hidden="false" customHeight="false" outlineLevel="0" collapsed="false">
      <c r="A26" s="18" t="str">
        <f aca="false">IF(B26="","",14)</f>
        <v/>
      </c>
      <c r="B26" s="4" t="str">
        <f aca="false">IFERROR(IF(AND($G$5&lt;&gt;"",INDEX(Data_Penjualan!$A$2:$A$5998,$G$5+13)=$C$5),INDEX(Data_Penjualan!$D$2:$D$5998,$G$5+13),""),"")</f>
        <v/>
      </c>
      <c r="C26" s="18" t="str">
        <f aca="false">IFERROR(IF(AND($G$5&lt;&gt;"",INDEX(Data_Penjualan!$A$2:$A$5998,$G$5+13)=$C$5),INDEX(Data_Penjualan!$E$2:$E$5998,$G$5+13),""),"")</f>
        <v/>
      </c>
      <c r="D26" s="18" t="str">
        <f aca="false">IFERROR(IF(AND($G$5&lt;&gt;"",INDEX(Data_Penjualan!$A$2:$A$5998,$G$5+13)=$C$5),INDEX(Data_Penjualan!$F$2:$F$5998,$G$5+13),""),"")</f>
        <v/>
      </c>
      <c r="E26" s="6" t="str">
        <f aca="false">IFERROR(IF(AND($G$5&lt;&gt;"",INDEX(Data_Penjualan!$A$2:$A$5998,$G$5+13)=$C$5),INDEX(Data_Penjualan!$G$2:$G$5998,$G$5+13),""),"")</f>
        <v/>
      </c>
    </row>
    <row r="27" customFormat="false" ht="15" hidden="false" customHeight="false" outlineLevel="0" collapsed="false">
      <c r="A27" s="18" t="str">
        <f aca="false">IF(B27="","",15)</f>
        <v/>
      </c>
      <c r="B27" s="4" t="str">
        <f aca="false">IFERROR(IF(AND($G$5&lt;&gt;"",INDEX(Data_Penjualan!$A$2:$A$5998,$G$5+14)=$C$5),INDEX(Data_Penjualan!$D$2:$D$5998,$G$5+14),""),"")</f>
        <v/>
      </c>
      <c r="C27" s="18" t="str">
        <f aca="false">IFERROR(IF(AND($G$5&lt;&gt;"",INDEX(Data_Penjualan!$A$2:$A$5998,$G$5+14)=$C$5),INDEX(Data_Penjualan!$E$2:$E$5998,$G$5+14),""),"")</f>
        <v/>
      </c>
      <c r="D27" s="18" t="str">
        <f aca="false">IFERROR(IF(AND($G$5&lt;&gt;"",INDEX(Data_Penjualan!$A$2:$A$5998,$G$5+14)=$C$5),INDEX(Data_Penjualan!$F$2:$F$5998,$G$5+14),""),"")</f>
        <v/>
      </c>
      <c r="E27" s="6" t="str">
        <f aca="false">IFERROR(IF(AND($G$5&lt;&gt;"",INDEX(Data_Penjualan!$A$2:$A$5998,$G$5+14)=$C$5),INDEX(Data_Penjualan!$G$2:$G$5998,$G$5+14),""),"")</f>
        <v/>
      </c>
    </row>
    <row r="28" customFormat="false" ht="15" hidden="false" customHeight="false" outlineLevel="0" collapsed="false">
      <c r="A28" s="18" t="str">
        <f aca="false">IF(B28="","",16)</f>
        <v/>
      </c>
      <c r="B28" s="4" t="str">
        <f aca="false">IFERROR(IF(AND($G$5&lt;&gt;"",INDEX(Data_Penjualan!$A$2:$A$5998,$G$5+15)=$C$5),INDEX(Data_Penjualan!$D$2:$D$5998,$G$5+15),""),"")</f>
        <v/>
      </c>
      <c r="C28" s="18" t="str">
        <f aca="false">IFERROR(IF(AND($G$5&lt;&gt;"",INDEX(Data_Penjualan!$A$2:$A$5998,$G$5+15)=$C$5),INDEX(Data_Penjualan!$E$2:$E$5998,$G$5+15),""),"")</f>
        <v/>
      </c>
      <c r="D28" s="18" t="str">
        <f aca="false">IFERROR(IF(AND($G$5&lt;&gt;"",INDEX(Data_Penjualan!$A$2:$A$5998,$G$5+15)=$C$5),INDEX(Data_Penjualan!$F$2:$F$5998,$G$5+15),""),"")</f>
        <v/>
      </c>
      <c r="E28" s="6" t="str">
        <f aca="false">IFERROR(IF(AND($G$5&lt;&gt;"",INDEX(Data_Penjualan!$A$2:$A$5998,$G$5+15)=$C$5),INDEX(Data_Penjualan!$G$2:$G$5998,$G$5+15),""),"")</f>
        <v/>
      </c>
    </row>
    <row r="29" customFormat="false" ht="15" hidden="false" customHeight="false" outlineLevel="0" collapsed="false">
      <c r="A29" s="18" t="str">
        <f aca="false">IF(B29="","",17)</f>
        <v/>
      </c>
      <c r="B29" s="4" t="str">
        <f aca="false">IFERROR(IF(AND($G$5&lt;&gt;"",INDEX(Data_Penjualan!$A$2:$A$5998,$G$5+16)=$C$5),INDEX(Data_Penjualan!$D$2:$D$5998,$G$5+16),""),"")</f>
        <v/>
      </c>
      <c r="C29" s="18" t="str">
        <f aca="false">IFERROR(IF(AND($G$5&lt;&gt;"",INDEX(Data_Penjualan!$A$2:$A$5998,$G$5+16)=$C$5),INDEX(Data_Penjualan!$E$2:$E$5998,$G$5+16),""),"")</f>
        <v/>
      </c>
      <c r="D29" s="18" t="str">
        <f aca="false">IFERROR(IF(AND($G$5&lt;&gt;"",INDEX(Data_Penjualan!$A$2:$A$5998,$G$5+16)=$C$5),INDEX(Data_Penjualan!$F$2:$F$5998,$G$5+16),""),"")</f>
        <v/>
      </c>
      <c r="E29" s="6" t="str">
        <f aca="false">IFERROR(IF(AND($G$5&lt;&gt;"",INDEX(Data_Penjualan!$A$2:$A$5998,$G$5+16)=$C$5),INDEX(Data_Penjualan!$G$2:$G$5998,$G$5+16),""),"")</f>
        <v/>
      </c>
    </row>
    <row r="30" customFormat="false" ht="15" hidden="false" customHeight="false" outlineLevel="0" collapsed="false">
      <c r="A30" s="18" t="str">
        <f aca="false">IF(B30="","",18)</f>
        <v/>
      </c>
      <c r="B30" s="4" t="str">
        <f aca="false">IFERROR(IF(AND($G$5&lt;&gt;"",INDEX(Data_Penjualan!$A$2:$A$5998,$G$5+17)=$C$5),INDEX(Data_Penjualan!$D$2:$D$5998,$G$5+17),""),"")</f>
        <v/>
      </c>
      <c r="C30" s="18" t="str">
        <f aca="false">IFERROR(IF(AND($G$5&lt;&gt;"",INDEX(Data_Penjualan!$A$2:$A$5998,$G$5+17)=$C$5),INDEX(Data_Penjualan!$E$2:$E$5998,$G$5+17),""),"")</f>
        <v/>
      </c>
      <c r="D30" s="18" t="str">
        <f aca="false">IFERROR(IF(AND($G$5&lt;&gt;"",INDEX(Data_Penjualan!$A$2:$A$5998,$G$5+17)=$C$5),INDEX(Data_Penjualan!$F$2:$F$5998,$G$5+17),""),"")</f>
        <v/>
      </c>
      <c r="E30" s="6" t="str">
        <f aca="false">IFERROR(IF(AND($G$5&lt;&gt;"",INDEX(Data_Penjualan!$A$2:$A$5998,$G$5+17)=$C$5),INDEX(Data_Penjualan!$G$2:$G$5998,$G$5+17),""),"")</f>
        <v/>
      </c>
    </row>
    <row r="31" customFormat="false" ht="15" hidden="false" customHeight="false" outlineLevel="0" collapsed="false">
      <c r="A31" s="18" t="str">
        <f aca="false">IF(B31="","",19)</f>
        <v/>
      </c>
      <c r="B31" s="4" t="str">
        <f aca="false">IFERROR(IF(AND($G$5&lt;&gt;"",INDEX(Data_Penjualan!$A$2:$A$5998,$G$5+18)=$C$5),INDEX(Data_Penjualan!$D$2:$D$5998,$G$5+18),""),"")</f>
        <v/>
      </c>
      <c r="C31" s="18" t="str">
        <f aca="false">IFERROR(IF(AND($G$5&lt;&gt;"",INDEX(Data_Penjualan!$A$2:$A$5998,$G$5+18)=$C$5),INDEX(Data_Penjualan!$E$2:$E$5998,$G$5+18),""),"")</f>
        <v/>
      </c>
      <c r="D31" s="18" t="str">
        <f aca="false">IFERROR(IF(AND($G$5&lt;&gt;"",INDEX(Data_Penjualan!$A$2:$A$5998,$G$5+18)=$C$5),INDEX(Data_Penjualan!$F$2:$F$5998,$G$5+18),""),"")</f>
        <v/>
      </c>
      <c r="E31" s="6" t="str">
        <f aca="false">IFERROR(IF(AND($G$5&lt;&gt;"",INDEX(Data_Penjualan!$A$2:$A$5998,$G$5+18)=$C$5),INDEX(Data_Penjualan!$G$2:$G$5998,$G$5+18),""),"")</f>
        <v/>
      </c>
    </row>
    <row r="32" customFormat="false" ht="15" hidden="false" customHeight="false" outlineLevel="0" collapsed="false">
      <c r="A32" s="18" t="str">
        <f aca="false">IF(B32="","",20)</f>
        <v/>
      </c>
      <c r="B32" s="4" t="str">
        <f aca="false">IFERROR(IF(AND($G$5&lt;&gt;"",INDEX(Data_Penjualan!$A$2:$A$5998,$G$5+19)=$C$5),INDEX(Data_Penjualan!$D$2:$D$5998,$G$5+19),""),"")</f>
        <v/>
      </c>
      <c r="C32" s="18" t="str">
        <f aca="false">IFERROR(IF(AND($G$5&lt;&gt;"",INDEX(Data_Penjualan!$A$2:$A$5998,$G$5+19)=$C$5),INDEX(Data_Penjualan!$E$2:$E$5998,$G$5+19),""),"")</f>
        <v/>
      </c>
      <c r="D32" s="18" t="str">
        <f aca="false">IFERROR(IF(AND($G$5&lt;&gt;"",INDEX(Data_Penjualan!$A$2:$A$5998,$G$5+19)=$C$5),INDEX(Data_Penjualan!$F$2:$F$5998,$G$5+19),""),"")</f>
        <v/>
      </c>
      <c r="E32" s="6" t="str">
        <f aca="false">IFERROR(IF(AND($G$5&lt;&gt;"",INDEX(Data_Penjualan!$A$2:$A$5998,$G$5+19)=$C$5),INDEX(Data_Penjualan!$G$2:$G$5998,$G$5+19),""),"")</f>
        <v/>
      </c>
    </row>
    <row r="33" customFormat="false" ht="15" hidden="false" customHeight="false" outlineLevel="0" collapsed="false">
      <c r="D33" s="38" t="s">
        <v>94</v>
      </c>
      <c r="E33" s="12" t="n">
        <f aca="false">IFERROR(INDEX(Piutang!$F$2:$F$1751,MATCH($C$5,Piutang!$A$2:$A$1751,0)),0)</f>
        <v>21381000</v>
      </c>
    </row>
    <row r="34" customFormat="false" ht="15" hidden="false" customHeight="false" outlineLevel="0" collapsed="false">
      <c r="D34" s="38" t="s">
        <v>95</v>
      </c>
      <c r="E34" s="12" t="n">
        <f aca="false">IFERROR(INDEX(Piutang!$K$2:$K$1751,MATCH($C$5,Piutang!$A$2:$A$1751,0)),0)</f>
        <v>0</v>
      </c>
    </row>
    <row r="35" customFormat="false" ht="15" hidden="false" customHeight="false" outlineLevel="0" collapsed="false">
      <c r="D35" s="38" t="s">
        <v>96</v>
      </c>
      <c r="E35" s="12" t="n">
        <f aca="false">E33-E34</f>
        <v>21381000</v>
      </c>
    </row>
    <row r="36" customFormat="false" ht="15" hidden="false" customHeight="false" outlineLevel="0" collapsed="false">
      <c r="D36" s="38" t="s">
        <v>61</v>
      </c>
      <c r="E36" s="38" t="str">
        <f aca="false">IFERROR(INDEX(Piutang!$N$2:$N$1751,MATCH($C$5,Piutang!$A$2:$A$1751,0)),"")</f>
        <v>Belum Bayar</v>
      </c>
    </row>
    <row r="38" customFormat="false" ht="15" hidden="false" customHeight="false" outlineLevel="0" collapsed="false">
      <c r="A38" s="33" t="str">
        <f aca="false">IF(COUNTIF(Data_Penjualan!$A$2:$A$5998,$C$5)&gt;20,"Catatan: faktur memiliki "&amp;COUNTIF(Data_Penjualan!$A$2:$A$5998,$C$5)&amp;" baris item; lembar ini menampilkan 20 baris pertama, total tetap mencakup seluruh item.","")</f>
        <v/>
      </c>
    </row>
    <row r="40" customFormat="false" ht="15" hidden="false" customHeight="false" outlineLevel="0" collapsed="false">
      <c r="A40" s="39" t="s">
        <v>97</v>
      </c>
      <c r="E40" s="40" t="s">
        <v>98</v>
      </c>
    </row>
    <row r="44" customFormat="false" ht="15" hidden="false" customHeight="false" outlineLevel="0" collapsed="false">
      <c r="A44" s="39" t="s">
        <v>99</v>
      </c>
      <c r="E44" s="40" t="s">
        <v>99</v>
      </c>
    </row>
  </sheetData>
  <mergeCells count="12">
    <mergeCell ref="A5:B5"/>
    <mergeCell ref="C5:E5"/>
    <mergeCell ref="A6:B6"/>
    <mergeCell ref="C6:E6"/>
    <mergeCell ref="A7:B7"/>
    <mergeCell ref="C7:E7"/>
    <mergeCell ref="A8:B8"/>
    <mergeCell ref="C8:E8"/>
    <mergeCell ref="A9:B9"/>
    <mergeCell ref="C9:E9"/>
    <mergeCell ref="A10:B10"/>
    <mergeCell ref="C10:E10"/>
  </mergeCells>
  <dataValidations count="1">
    <dataValidation allowBlank="false" errorStyle="stop" operator="between" showDropDown="false" showErrorMessage="false" showInputMessage="false" sqref="C5" type="list">
      <formula1>Piutang!$A$2:$A$1751</formula1>
      <formula2>0</formula2>
    </dataValidation>
  </dataValidations>
  <printOptions headings="false" gridLines="false" gridLinesSet="true" horizontalCentered="false" verticalCentered="false"/>
  <pageMargins left="0.5" right="0.5" top="0.6" bottom="0.6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&amp;L&amp;8 Data sintetis - portofolio&amp;C&amp;8 Halaman &amp;P dari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32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15"/>
    <col collapsed="false" customWidth="true" hidden="false" outlineLevel="0" max="10" min="10" style="0" width="46"/>
    <col collapsed="false" customWidth="true" hidden="false" outlineLevel="0" max="11" min="11" style="0" width="17"/>
    <col collapsed="false" customWidth="true" hidden="false" outlineLevel="0" max="12" min="12" style="0" width="13"/>
    <col collapsed="false" customWidth="true" hidden="false" outlineLevel="0" max="13" min="13" style="0" width="9"/>
  </cols>
  <sheetData>
    <row r="1" customFormat="false" ht="17.35" hidden="false" customHeight="false" outlineLevel="0" collapsed="false">
      <c r="A1" s="30" t="s">
        <v>100</v>
      </c>
    </row>
    <row r="2" customFormat="false" ht="15" hidden="false" customHeight="false" outlineLevel="0" collapsed="false">
      <c r="A2" s="19" t="s">
        <v>101</v>
      </c>
      <c r="B2" s="41" t="n">
        <f aca="false">Catatan!B3</f>
        <v>46022</v>
      </c>
    </row>
    <row r="3" customFormat="false" ht="15" hidden="false" customHeight="false" outlineLevel="0" collapsed="false">
      <c r="A3" s="42" t="s">
        <v>102</v>
      </c>
    </row>
    <row r="5" customFormat="false" ht="31.5" hidden="false" customHeight="true" outlineLevel="0" collapsed="false">
      <c r="A5" s="3" t="s">
        <v>51</v>
      </c>
      <c r="B5" s="3" t="s">
        <v>103</v>
      </c>
      <c r="C5" s="3" t="s">
        <v>35</v>
      </c>
      <c r="D5" s="3" t="s">
        <v>23</v>
      </c>
      <c r="E5" s="3" t="s">
        <v>4</v>
      </c>
      <c r="F5" s="3" t="s">
        <v>89</v>
      </c>
      <c r="G5" s="3" t="s">
        <v>104</v>
      </c>
      <c r="H5" s="3" t="s">
        <v>105</v>
      </c>
      <c r="I5" s="3" t="s">
        <v>106</v>
      </c>
      <c r="J5" s="3" t="s">
        <v>107</v>
      </c>
      <c r="K5" s="3" t="s">
        <v>108</v>
      </c>
      <c r="L5" s="3" t="s">
        <v>109</v>
      </c>
      <c r="M5" s="3" t="s">
        <v>110</v>
      </c>
    </row>
    <row r="6" customFormat="false" ht="15" hidden="false" customHeight="false" outlineLevel="0" collapsed="false">
      <c r="A6" s="4" t="n">
        <v>1</v>
      </c>
      <c r="B6" s="4" t="str">
        <f aca="false">IF($M6="","",INDEX(Piutang!$A$2:$A$1751,$M6))</f>
        <v>INV-0040</v>
      </c>
      <c r="C6" s="4" t="str">
        <f aca="false">IF($M6="","",INDEX(Piutang!$D$2:$D$1751,$M6))</f>
        <v>CAHAYA OLI</v>
      </c>
      <c r="D6" s="4" t="str">
        <f aca="false">IF($M6="","",INDEX(Piutang!$E$2:$E$1751,$M6))</f>
        <v>SALES A</v>
      </c>
      <c r="E6" s="6" t="n">
        <f aca="false">IF($M6="","",INDEX(Piutang!$M$2:$M$1751,$M6))</f>
        <v>1948100</v>
      </c>
      <c r="F6" s="43" t="n">
        <f aca="false">IF($M6="","",INDEX(Piutang!$H$2:$H$1751,$M6))</f>
        <v>45697</v>
      </c>
      <c r="G6" s="4" t="n">
        <f aca="false">IF($M6="","",INDEX(Piutang!$O$2:$O$1751,$M6))</f>
        <v>325</v>
      </c>
      <c r="H6" s="4" t="str">
        <f aca="false">IF($M6="","",INDEX(Piutang!$R$2:$R$1751,$M6))</f>
        <v>1-Tinggi</v>
      </c>
      <c r="I6" s="4" t="str">
        <f aca="false">IF($M6="","",INDEX(Piutang!$J$2:$J$1751,$M6))</f>
        <v>Sudah ditukar</v>
      </c>
      <c r="J6" s="4" t="str">
        <f aca="false">IF($M6="","",INDEX(Piutang!$Q$2:$Q$1751,$M6))</f>
        <v>Sudah dihubungi via WA, janji bayar minggu depan</v>
      </c>
      <c r="K6" s="44"/>
      <c r="L6" s="45"/>
      <c r="M6" s="4" t="n">
        <f aca="false">IFERROR(MATCH(LARGE(Piutang!$S$2:$S$1751,A6),Piutang!$S$2:$S$1751,0),"")</f>
        <v>40</v>
      </c>
    </row>
    <row r="7" customFormat="false" ht="15" hidden="false" customHeight="false" outlineLevel="0" collapsed="false">
      <c r="A7" s="4" t="n">
        <v>2</v>
      </c>
      <c r="B7" s="4" t="str">
        <f aca="false">IF($M7="","",INDEX(Piutang!$A$2:$A$1751,$M7))</f>
        <v>INV-0113</v>
      </c>
      <c r="C7" s="4" t="str">
        <f aca="false">IF($M7="","",INDEX(Piutang!$D$2:$D$1751,$M7))</f>
        <v>PRIMA TEKNIK</v>
      </c>
      <c r="D7" s="4" t="str">
        <f aca="false">IF($M7="","",INDEX(Piutang!$E$2:$E$1751,$M7))</f>
        <v>SALES D</v>
      </c>
      <c r="E7" s="6" t="n">
        <f aca="false">IF($M7="","",INDEX(Piutang!$M$2:$M$1751,$M7))</f>
        <v>5680100</v>
      </c>
      <c r="F7" s="43" t="n">
        <f aca="false">IF($M7="","",INDEX(Piutang!$H$2:$H$1751,$M7))</f>
        <v>45715</v>
      </c>
      <c r="G7" s="4" t="n">
        <f aca="false">IF($M7="","",INDEX(Piutang!$O$2:$O$1751,$M7))</f>
        <v>307</v>
      </c>
      <c r="H7" s="4" t="str">
        <f aca="false">IF($M7="","",INDEX(Piutang!$R$2:$R$1751,$M7))</f>
        <v>1-Tinggi</v>
      </c>
      <c r="I7" s="4" t="str">
        <f aca="false">IF($M7="","",INDEX(Piutang!$J$2:$J$1751,$M7))</f>
        <v>Sudah ditukar</v>
      </c>
      <c r="J7" s="4" t="str">
        <f aca="false">IF($M7="","",INDEX(Piutang!$Q$2:$Q$1751,$M7))</f>
        <v>Outlet menunda bayar, perlu kunjungan ulang</v>
      </c>
      <c r="K7" s="44"/>
      <c r="L7" s="45"/>
      <c r="M7" s="4" t="n">
        <f aca="false">IFERROR(MATCH(LARGE(Piutang!$S$2:$S$1751,A7),Piutang!$S$2:$S$1751,0),"")</f>
        <v>113</v>
      </c>
    </row>
    <row r="8" customFormat="false" ht="15" hidden="false" customHeight="false" outlineLevel="0" collapsed="false">
      <c r="A8" s="4" t="n">
        <v>3</v>
      </c>
      <c r="B8" s="4" t="str">
        <f aca="false">IF($M8="","",INDEX(Piutang!$A$2:$A$1751,$M8))</f>
        <v>INV-0219</v>
      </c>
      <c r="C8" s="4" t="str">
        <f aca="false">IF($M8="","",INDEX(Piutang!$D$2:$D$1751,$M8))</f>
        <v>UTAMA MOTOR</v>
      </c>
      <c r="D8" s="4" t="str">
        <f aca="false">IF($M8="","",INDEX(Piutang!$E$2:$E$1751,$M8))</f>
        <v>SALES C</v>
      </c>
      <c r="E8" s="6" t="n">
        <f aca="false">IF($M8="","",INDEX(Piutang!$M$2:$M$1751,$M8))</f>
        <v>5052500</v>
      </c>
      <c r="F8" s="43" t="n">
        <f aca="false">IF($M8="","",INDEX(Piutang!$H$2:$H$1751,$M8))</f>
        <v>45720</v>
      </c>
      <c r="G8" s="4" t="n">
        <f aca="false">IF($M8="","",INDEX(Piutang!$O$2:$O$1751,$M8))</f>
        <v>302</v>
      </c>
      <c r="H8" s="4" t="str">
        <f aca="false">IF($M8="","",INDEX(Piutang!$R$2:$R$1751,$M8))</f>
        <v>1-Tinggi</v>
      </c>
      <c r="I8" s="4" t="str">
        <f aca="false">IF($M8="","",INDEX(Piutang!$J$2:$J$1751,$M8))</f>
        <v>Sudah ditukar</v>
      </c>
      <c r="J8" s="4" t="str">
        <f aca="false">IF($M8="","",INDEX(Piutang!$Q$2:$Q$1751,$M8))</f>
        <v>Sudah dihubungi via WA, janji bayar minggu depan</v>
      </c>
      <c r="K8" s="44"/>
      <c r="L8" s="45"/>
      <c r="M8" s="4" t="n">
        <f aca="false">IFERROR(MATCH(LARGE(Piutang!$S$2:$S$1751,A8),Piutang!$S$2:$S$1751,0),"")</f>
        <v>219</v>
      </c>
    </row>
    <row r="9" customFormat="false" ht="15" hidden="false" customHeight="false" outlineLevel="0" collapsed="false">
      <c r="A9" s="4" t="n">
        <v>4</v>
      </c>
      <c r="B9" s="4" t="str">
        <f aca="false">IF($M9="","",INDEX(Piutang!$A$2:$A$1751,$M9))</f>
        <v>INV-0161</v>
      </c>
      <c r="C9" s="4" t="str">
        <f aca="false">IF($M9="","",INDEX(Piutang!$D$2:$D$1751,$M9))</f>
        <v>SINAR GARAGE</v>
      </c>
      <c r="D9" s="4" t="str">
        <f aca="false">IF($M9="","",INDEX(Piutang!$E$2:$E$1751,$M9))</f>
        <v>SALES A</v>
      </c>
      <c r="E9" s="6" t="n">
        <f aca="false">IF($M9="","",INDEX(Piutang!$M$2:$M$1751,$M9))</f>
        <v>1529700</v>
      </c>
      <c r="F9" s="43" t="n">
        <f aca="false">IF($M9="","",INDEX(Piutang!$H$2:$H$1751,$M9))</f>
        <v>45723</v>
      </c>
      <c r="G9" s="4" t="n">
        <f aca="false">IF($M9="","",INDEX(Piutang!$O$2:$O$1751,$M9))</f>
        <v>299</v>
      </c>
      <c r="H9" s="4" t="str">
        <f aca="false">IF($M9="","",INDEX(Piutang!$R$2:$R$1751,$M9))</f>
        <v>1-Tinggi</v>
      </c>
      <c r="I9" s="4" t="str">
        <f aca="false">IF($M9="","",INDEX(Piutang!$J$2:$J$1751,$M9))</f>
        <v>Sudah ditukar</v>
      </c>
      <c r="J9" s="4" t="str">
        <f aca="false">IF($M9="","",INDEX(Piutang!$Q$2:$Q$1751,$M9))</f>
        <v>Kunjungan tagih dijadwalkan</v>
      </c>
      <c r="K9" s="44"/>
      <c r="L9" s="45"/>
      <c r="M9" s="4" t="n">
        <f aca="false">IFERROR(MATCH(LARGE(Piutang!$S$2:$S$1751,A9),Piutang!$S$2:$S$1751,0),"")</f>
        <v>161</v>
      </c>
    </row>
    <row r="10" customFormat="false" ht="15" hidden="false" customHeight="false" outlineLevel="0" collapsed="false">
      <c r="A10" s="4" t="n">
        <v>5</v>
      </c>
      <c r="B10" s="4" t="str">
        <f aca="false">IF($M10="","",INDEX(Piutang!$A$2:$A$1751,$M10))</f>
        <v>INV-0240</v>
      </c>
      <c r="C10" s="4" t="str">
        <f aca="false">IF($M10="","",INDEX(Piutang!$D$2:$D$1751,$M10))</f>
        <v>BERKAH MOBIL MAKMUR</v>
      </c>
      <c r="D10" s="4" t="str">
        <f aca="false">IF($M10="","",INDEX(Piutang!$E$2:$E$1751,$M10))</f>
        <v>SALES D</v>
      </c>
      <c r="E10" s="6" t="n">
        <f aca="false">IF($M10="","",INDEX(Piutang!$M$2:$M$1751,$M10))</f>
        <v>16047200</v>
      </c>
      <c r="F10" s="43" t="n">
        <f aca="false">IF($M10="","",INDEX(Piutang!$H$2:$H$1751,$M10))</f>
        <v>45724</v>
      </c>
      <c r="G10" s="4" t="n">
        <f aca="false">IF($M10="","",INDEX(Piutang!$O$2:$O$1751,$M10))</f>
        <v>298</v>
      </c>
      <c r="H10" s="4" t="str">
        <f aca="false">IF($M10="","",INDEX(Piutang!$R$2:$R$1751,$M10))</f>
        <v>1-Tinggi</v>
      </c>
      <c r="I10" s="4" t="str">
        <f aca="false">IF($M10="","",INDEX(Piutang!$J$2:$J$1751,$M10))</f>
        <v>Sudah ditukar</v>
      </c>
      <c r="J10" s="4" t="str">
        <f aca="false">IF($M10="","",INDEX(Piutang!$Q$2:$Q$1751,$M10))</f>
        <v>Eskalasi ke supervisor</v>
      </c>
      <c r="K10" s="44"/>
      <c r="L10" s="45"/>
      <c r="M10" s="4" t="n">
        <f aca="false">IFERROR(MATCH(LARGE(Piutang!$S$2:$S$1751,A10),Piutang!$S$2:$S$1751,0),"")</f>
        <v>240</v>
      </c>
    </row>
    <row r="11" customFormat="false" ht="15" hidden="false" customHeight="false" outlineLevel="0" collapsed="false">
      <c r="A11" s="4" t="n">
        <v>6</v>
      </c>
      <c r="B11" s="4" t="str">
        <f aca="false">IF($M11="","",INDEX(Piutang!$A$2:$A$1751,$M11))</f>
        <v>INV-0178</v>
      </c>
      <c r="C11" s="4" t="str">
        <f aca="false">IF($M11="","",INDEX(Piutang!$D$2:$D$1751,$M11))</f>
        <v>MITRA BENGKEL</v>
      </c>
      <c r="D11" s="4" t="str">
        <f aca="false">IF($M11="","",INDEX(Piutang!$E$2:$E$1751,$M11))</f>
        <v>SALES A</v>
      </c>
      <c r="E11" s="6" t="n">
        <f aca="false">IF($M11="","",INDEX(Piutang!$M$2:$M$1751,$M11))</f>
        <v>8904800</v>
      </c>
      <c r="F11" s="43" t="n">
        <f aca="false">IF($M11="","",INDEX(Piutang!$H$2:$H$1751,$M11))</f>
        <v>45725</v>
      </c>
      <c r="G11" s="4" t="n">
        <f aca="false">IF($M11="","",INDEX(Piutang!$O$2:$O$1751,$M11))</f>
        <v>297</v>
      </c>
      <c r="H11" s="4" t="str">
        <f aca="false">IF($M11="","",INDEX(Piutang!$R$2:$R$1751,$M11))</f>
        <v>1-Tinggi</v>
      </c>
      <c r="I11" s="4" t="str">
        <f aca="false">IF($M11="","",INDEX(Piutang!$J$2:$J$1751,$M11))</f>
        <v>Sudah ditukar</v>
      </c>
      <c r="J11" s="4" t="str">
        <f aca="false">IF($M11="","",INDEX(Piutang!$Q$2:$Q$1751,$M11))</f>
        <v>Surat peringatan (SP) 1 dikirim</v>
      </c>
      <c r="K11" s="44"/>
      <c r="L11" s="45"/>
      <c r="M11" s="4" t="n">
        <f aca="false">IFERROR(MATCH(LARGE(Piutang!$S$2:$S$1751,A11),Piutang!$S$2:$S$1751,0),"")</f>
        <v>178</v>
      </c>
    </row>
    <row r="12" customFormat="false" ht="15" hidden="false" customHeight="false" outlineLevel="0" collapsed="false">
      <c r="A12" s="4" t="n">
        <v>7</v>
      </c>
      <c r="B12" s="4" t="str">
        <f aca="false">IF($M12="","",INDEX(Piutang!$A$2:$A$1751,$M12))</f>
        <v>INV-0109</v>
      </c>
      <c r="C12" s="4" t="str">
        <f aca="false">IF($M12="","",INDEX(Piutang!$D$2:$D$1751,$M12))</f>
        <v>KARYA SPAREPART</v>
      </c>
      <c r="D12" s="4" t="str">
        <f aca="false">IF($M12="","",INDEX(Piutang!$E$2:$E$1751,$M12))</f>
        <v>SALES B</v>
      </c>
      <c r="E12" s="6" t="n">
        <f aca="false">IF($M12="","",INDEX(Piutang!$M$2:$M$1751,$M12))</f>
        <v>1732600</v>
      </c>
      <c r="F12" s="43" t="n">
        <f aca="false">IF($M12="","",INDEX(Piutang!$H$2:$H$1751,$M12))</f>
        <v>45727</v>
      </c>
      <c r="G12" s="4" t="n">
        <f aca="false">IF($M12="","",INDEX(Piutang!$O$2:$O$1751,$M12))</f>
        <v>295</v>
      </c>
      <c r="H12" s="4" t="str">
        <f aca="false">IF($M12="","",INDEX(Piutang!$R$2:$R$1751,$M12))</f>
        <v>1-Tinggi</v>
      </c>
      <c r="I12" s="4" t="str">
        <f aca="false">IF($M12="","",INDEX(Piutang!$J$2:$J$1751,$M12))</f>
        <v>Sudah ditukar</v>
      </c>
      <c r="J12" s="4" t="str">
        <f aca="false">IF($M12="","",INDEX(Piutang!$Q$2:$Q$1751,$M12))</f>
        <v>Janji bayar tanggal 10 Jan 2026</v>
      </c>
      <c r="K12" s="44"/>
      <c r="L12" s="45"/>
      <c r="M12" s="4" t="n">
        <f aca="false">IFERROR(MATCH(LARGE(Piutang!$S$2:$S$1751,A12),Piutang!$S$2:$S$1751,0),"")</f>
        <v>109</v>
      </c>
    </row>
    <row r="13" customFormat="false" ht="15" hidden="false" customHeight="false" outlineLevel="0" collapsed="false">
      <c r="A13" s="4" t="n">
        <v>8</v>
      </c>
      <c r="B13" s="4" t="str">
        <f aca="false">IF($M13="","",INDEX(Piutang!$A$2:$A$1751,$M13))</f>
        <v>INV-0261</v>
      </c>
      <c r="C13" s="4" t="str">
        <f aca="false">IF($M13="","",INDEX(Piutang!$D$2:$D$1751,$M13))</f>
        <v>PRIMA MOTOR LANCAR</v>
      </c>
      <c r="D13" s="4" t="str">
        <f aca="false">IF($M13="","",INDEX(Piutang!$E$2:$E$1751,$M13))</f>
        <v>SALES B</v>
      </c>
      <c r="E13" s="6" t="n">
        <f aca="false">IF($M13="","",INDEX(Piutang!$M$2:$M$1751,$M13))</f>
        <v>5950800</v>
      </c>
      <c r="F13" s="43" t="n">
        <f aca="false">IF($M13="","",INDEX(Piutang!$H$2:$H$1751,$M13))</f>
        <v>45729</v>
      </c>
      <c r="G13" s="4" t="n">
        <f aca="false">IF($M13="","",INDEX(Piutang!$O$2:$O$1751,$M13))</f>
        <v>293</v>
      </c>
      <c r="H13" s="4" t="str">
        <f aca="false">IF($M13="","",INDEX(Piutang!$R$2:$R$1751,$M13))</f>
        <v>1-Tinggi</v>
      </c>
      <c r="I13" s="4" t="str">
        <f aca="false">IF($M13="","",INDEX(Piutang!$J$2:$J$1751,$M13))</f>
        <v>Sudah ditukar</v>
      </c>
      <c r="J13" s="4" t="str">
        <f aca="false">IF($M13="","",INDEX(Piutang!$Q$2:$Q$1751,$M13))</f>
        <v>Kunjungan tagih dijadwalkan</v>
      </c>
      <c r="K13" s="44"/>
      <c r="L13" s="45"/>
      <c r="M13" s="4" t="n">
        <f aca="false">IFERROR(MATCH(LARGE(Piutang!$S$2:$S$1751,A13),Piutang!$S$2:$S$1751,0),"")</f>
        <v>261</v>
      </c>
    </row>
    <row r="14" customFormat="false" ht="15" hidden="false" customHeight="false" outlineLevel="0" collapsed="false">
      <c r="A14" s="4" t="n">
        <v>9</v>
      </c>
      <c r="B14" s="4" t="str">
        <f aca="false">IF($M14="","",INDEX(Piutang!$A$2:$A$1751,$M14))</f>
        <v>INV-0226</v>
      </c>
      <c r="C14" s="4" t="str">
        <f aca="false">IF($M14="","",INDEX(Piutang!$D$2:$D$1751,$M14))</f>
        <v>MITRA GARAGE</v>
      </c>
      <c r="D14" s="4" t="str">
        <f aca="false">IF($M14="","",INDEX(Piutang!$E$2:$E$1751,$M14))</f>
        <v>SALES A</v>
      </c>
      <c r="E14" s="6" t="n">
        <f aca="false">IF($M14="","",INDEX(Piutang!$M$2:$M$1751,$M14))</f>
        <v>2209000</v>
      </c>
      <c r="F14" s="43" t="n">
        <f aca="false">IF($M14="","",INDEX(Piutang!$H$2:$H$1751,$M14))</f>
        <v>45752</v>
      </c>
      <c r="G14" s="4" t="n">
        <f aca="false">IF($M14="","",INDEX(Piutang!$O$2:$O$1751,$M14))</f>
        <v>270</v>
      </c>
      <c r="H14" s="4" t="str">
        <f aca="false">IF($M14="","",INDEX(Piutang!$R$2:$R$1751,$M14))</f>
        <v>1-Tinggi</v>
      </c>
      <c r="I14" s="4" t="str">
        <f aca="false">IF($M14="","",INDEX(Piutang!$J$2:$J$1751,$M14))</f>
        <v>Sudah ditukar</v>
      </c>
      <c r="J14" s="4" t="str">
        <f aca="false">IF($M14="","",INDEX(Piutang!$Q$2:$Q$1751,$M14))</f>
        <v>Kunjungan tagih dijadwalkan</v>
      </c>
      <c r="K14" s="44"/>
      <c r="L14" s="45"/>
      <c r="M14" s="4" t="n">
        <f aca="false">IFERROR(MATCH(LARGE(Piutang!$S$2:$S$1751,A14),Piutang!$S$2:$S$1751,0),"")</f>
        <v>226</v>
      </c>
    </row>
    <row r="15" customFormat="false" ht="15" hidden="false" customHeight="false" outlineLevel="0" collapsed="false">
      <c r="A15" s="4" t="n">
        <v>10</v>
      </c>
      <c r="B15" s="4" t="str">
        <f aca="false">IF($M15="","",INDEX(Piutang!$A$2:$A$1751,$M15))</f>
        <v>INV-0282</v>
      </c>
      <c r="C15" s="4" t="str">
        <f aca="false">IF($M15="","",INDEX(Piutang!$D$2:$D$1751,$M15))</f>
        <v>HARAPAN MOTOR</v>
      </c>
      <c r="D15" s="4" t="str">
        <f aca="false">IF($M15="","",INDEX(Piutang!$E$2:$E$1751,$M15))</f>
        <v>SALES C</v>
      </c>
      <c r="E15" s="6" t="n">
        <f aca="false">IF($M15="","",INDEX(Piutang!$M$2:$M$1751,$M15))</f>
        <v>11783000</v>
      </c>
      <c r="F15" s="43" t="n">
        <f aca="false">IF($M15="","",INDEX(Piutang!$H$2:$H$1751,$M15))</f>
        <v>45762</v>
      </c>
      <c r="G15" s="4" t="n">
        <f aca="false">IF($M15="","",INDEX(Piutang!$O$2:$O$1751,$M15))</f>
        <v>260</v>
      </c>
      <c r="H15" s="4" t="str">
        <f aca="false">IF($M15="","",INDEX(Piutang!$R$2:$R$1751,$M15))</f>
        <v>1-Tinggi</v>
      </c>
      <c r="I15" s="4" t="str">
        <f aca="false">IF($M15="","",INDEX(Piutang!$J$2:$J$1751,$M15))</f>
        <v>Sudah ditukar</v>
      </c>
      <c r="J15" s="4" t="str">
        <f aca="false">IF($M15="","",INDEX(Piutang!$Q$2:$Q$1751,$M15))</f>
        <v>Kunjungan tagih dijadwalkan</v>
      </c>
      <c r="K15" s="44"/>
      <c r="L15" s="45"/>
      <c r="M15" s="4" t="n">
        <f aca="false">IFERROR(MATCH(LARGE(Piutang!$S$2:$S$1751,A15),Piutang!$S$2:$S$1751,0),"")</f>
        <v>282</v>
      </c>
    </row>
    <row r="16" customFormat="false" ht="15" hidden="false" customHeight="false" outlineLevel="0" collapsed="false">
      <c r="A16" s="4" t="n">
        <v>11</v>
      </c>
      <c r="B16" s="4" t="str">
        <f aca="false">IF($M16="","",INDEX(Piutang!$A$2:$A$1751,$M16))</f>
        <v>INV-0409</v>
      </c>
      <c r="C16" s="4" t="str">
        <f aca="false">IF($M16="","",INDEX(Piutang!$D$2:$D$1751,$M16))</f>
        <v>GEMILANG TEKNIK</v>
      </c>
      <c r="D16" s="4" t="str">
        <f aca="false">IF($M16="","",INDEX(Piutang!$E$2:$E$1751,$M16))</f>
        <v>SALES B</v>
      </c>
      <c r="E16" s="6" t="n">
        <f aca="false">IF($M16="","",INDEX(Piutang!$M$2:$M$1751,$M16))</f>
        <v>7894400</v>
      </c>
      <c r="F16" s="43" t="n">
        <f aca="false">IF($M16="","",INDEX(Piutang!$H$2:$H$1751,$M16))</f>
        <v>45777</v>
      </c>
      <c r="G16" s="4" t="n">
        <f aca="false">IF($M16="","",INDEX(Piutang!$O$2:$O$1751,$M16))</f>
        <v>245</v>
      </c>
      <c r="H16" s="4" t="str">
        <f aca="false">IF($M16="","",INDEX(Piutang!$R$2:$R$1751,$M16))</f>
        <v>1-Tinggi</v>
      </c>
      <c r="I16" s="4" t="str">
        <f aca="false">IF($M16="","",INDEX(Piutang!$J$2:$J$1751,$M16))</f>
        <v>Sudah ditukar</v>
      </c>
      <c r="J16" s="4" t="str">
        <f aca="false">IF($M16="","",INDEX(Piutang!$Q$2:$Q$1751,$M16))</f>
        <v>Kunjungan tagih dijadwalkan</v>
      </c>
      <c r="K16" s="44"/>
      <c r="L16" s="45"/>
      <c r="M16" s="4" t="n">
        <f aca="false">IFERROR(MATCH(LARGE(Piutang!$S$2:$S$1751,A16),Piutang!$S$2:$S$1751,0),"")</f>
        <v>409</v>
      </c>
    </row>
    <row r="17" customFormat="false" ht="15" hidden="false" customHeight="false" outlineLevel="0" collapsed="false">
      <c r="A17" s="4" t="n">
        <v>12</v>
      </c>
      <c r="B17" s="4" t="str">
        <f aca="false">IF($M17="","",INDEX(Piutang!$A$2:$A$1751,$M17))</f>
        <v>INV-0438</v>
      </c>
      <c r="C17" s="4" t="str">
        <f aca="false">IF($M17="","",INDEX(Piutang!$D$2:$D$1751,$M17))</f>
        <v>SUMBER TEKNIK SURYA</v>
      </c>
      <c r="D17" s="4" t="str">
        <f aca="false">IF($M17="","",INDEX(Piutang!$E$2:$E$1751,$M17))</f>
        <v>SALES D</v>
      </c>
      <c r="E17" s="6" t="n">
        <f aca="false">IF($M17="","",INDEX(Piutang!$M$2:$M$1751,$M17))</f>
        <v>5142900</v>
      </c>
      <c r="F17" s="43" t="n">
        <f aca="false">IF($M17="","",INDEX(Piutang!$H$2:$H$1751,$M17))</f>
        <v>45784</v>
      </c>
      <c r="G17" s="4" t="n">
        <f aca="false">IF($M17="","",INDEX(Piutang!$O$2:$O$1751,$M17))</f>
        <v>238</v>
      </c>
      <c r="H17" s="4" t="str">
        <f aca="false">IF($M17="","",INDEX(Piutang!$R$2:$R$1751,$M17))</f>
        <v>1-Tinggi</v>
      </c>
      <c r="I17" s="4" t="str">
        <f aca="false">IF($M17="","",INDEX(Piutang!$J$2:$J$1751,$M17))</f>
        <v>Sudah ditukar</v>
      </c>
      <c r="J17" s="4" t="str">
        <f aca="false">IF($M17="","",INDEX(Piutang!$Q$2:$Q$1751,$M17))</f>
        <v>Menunggu pencairan giro</v>
      </c>
      <c r="K17" s="44"/>
      <c r="L17" s="45"/>
      <c r="M17" s="4" t="n">
        <f aca="false">IFERROR(MATCH(LARGE(Piutang!$S$2:$S$1751,A17),Piutang!$S$2:$S$1751,0),"")</f>
        <v>438</v>
      </c>
    </row>
    <row r="18" customFormat="false" ht="15" hidden="false" customHeight="false" outlineLevel="0" collapsed="false">
      <c r="A18" s="4" t="n">
        <v>13</v>
      </c>
      <c r="B18" s="4" t="str">
        <f aca="false">IF($M18="","",INDEX(Piutang!$A$2:$A$1751,$M18))</f>
        <v>INV-0568</v>
      </c>
      <c r="C18" s="4" t="str">
        <f aca="false">IF($M18="","",INDEX(Piutang!$D$2:$D$1751,$M18))</f>
        <v>SUMBER TEKNIK SURYA</v>
      </c>
      <c r="D18" s="4" t="str">
        <f aca="false">IF($M18="","",INDEX(Piutang!$E$2:$E$1751,$M18))</f>
        <v>SALES D</v>
      </c>
      <c r="E18" s="6" t="n">
        <f aca="false">IF($M18="","",INDEX(Piutang!$M$2:$M$1751,$M18))</f>
        <v>16041000</v>
      </c>
      <c r="F18" s="43" t="n">
        <f aca="false">IF($M18="","",INDEX(Piutang!$H$2:$H$1751,$M18))</f>
        <v>45809</v>
      </c>
      <c r="G18" s="4" t="n">
        <f aca="false">IF($M18="","",INDEX(Piutang!$O$2:$O$1751,$M18))</f>
        <v>213</v>
      </c>
      <c r="H18" s="4" t="str">
        <f aca="false">IF($M18="","",INDEX(Piutang!$R$2:$R$1751,$M18))</f>
        <v>1-Tinggi</v>
      </c>
      <c r="I18" s="4" t="str">
        <f aca="false">IF($M18="","",INDEX(Piutang!$J$2:$J$1751,$M18))</f>
        <v>Sudah ditukar</v>
      </c>
      <c r="J18" s="4" t="str">
        <f aca="false">IF($M18="","",INDEX(Piutang!$Q$2:$Q$1751,$M18))</f>
        <v>Menunggu pencairan giro</v>
      </c>
      <c r="K18" s="44"/>
      <c r="L18" s="45"/>
      <c r="M18" s="4" t="n">
        <f aca="false">IFERROR(MATCH(LARGE(Piutang!$S$2:$S$1751,A18),Piutang!$S$2:$S$1751,0),"")</f>
        <v>568</v>
      </c>
    </row>
    <row r="19" customFormat="false" ht="15" hidden="false" customHeight="false" outlineLevel="0" collapsed="false">
      <c r="A19" s="4" t="n">
        <v>14</v>
      </c>
      <c r="B19" s="4" t="str">
        <f aca="false">IF($M19="","",INDEX(Piutang!$A$2:$A$1751,$M19))</f>
        <v>INV-0492</v>
      </c>
      <c r="C19" s="4" t="str">
        <f aca="false">IF($M19="","",INDEX(Piutang!$D$2:$D$1751,$M19))</f>
        <v>MAJU GARAGE</v>
      </c>
      <c r="D19" s="4" t="str">
        <f aca="false">IF($M19="","",INDEX(Piutang!$E$2:$E$1751,$M19))</f>
        <v>SALES B</v>
      </c>
      <c r="E19" s="6" t="n">
        <f aca="false">IF($M19="","",INDEX(Piutang!$M$2:$M$1751,$M19))</f>
        <v>1699900</v>
      </c>
      <c r="F19" s="43" t="n">
        <f aca="false">IF($M19="","",INDEX(Piutang!$H$2:$H$1751,$M19))</f>
        <v>45809</v>
      </c>
      <c r="G19" s="4" t="n">
        <f aca="false">IF($M19="","",INDEX(Piutang!$O$2:$O$1751,$M19))</f>
        <v>213</v>
      </c>
      <c r="H19" s="4" t="str">
        <f aca="false">IF($M19="","",INDEX(Piutang!$R$2:$R$1751,$M19))</f>
        <v>1-Tinggi</v>
      </c>
      <c r="I19" s="4" t="str">
        <f aca="false">IF($M19="","",INDEX(Piutang!$J$2:$J$1751,$M19))</f>
        <v>Sudah ditukar</v>
      </c>
      <c r="J19" s="4" t="str">
        <f aca="false">IF($M19="","",INDEX(Piutang!$Q$2:$Q$1751,$M19))</f>
        <v>Sudah dihubungi via WA, janji bayar minggu depan</v>
      </c>
      <c r="K19" s="44"/>
      <c r="L19" s="45"/>
      <c r="M19" s="4" t="n">
        <f aca="false">IFERROR(MATCH(LARGE(Piutang!$S$2:$S$1751,A19),Piutang!$S$2:$S$1751,0),"")</f>
        <v>492</v>
      </c>
    </row>
    <row r="20" customFormat="false" ht="15" hidden="false" customHeight="false" outlineLevel="0" collapsed="false">
      <c r="A20" s="4" t="n">
        <v>15</v>
      </c>
      <c r="B20" s="4" t="str">
        <f aca="false">IF($M20="","",INDEX(Piutang!$A$2:$A$1751,$M20))</f>
        <v>INV-0701</v>
      </c>
      <c r="C20" s="4" t="str">
        <f aca="false">IF($M20="","",INDEX(Piutang!$D$2:$D$1751,$M20))</f>
        <v>UTAMA MOTOR</v>
      </c>
      <c r="D20" s="4" t="str">
        <f aca="false">IF($M20="","",INDEX(Piutang!$E$2:$E$1751,$M20))</f>
        <v>SALES C</v>
      </c>
      <c r="E20" s="6" t="n">
        <f aca="false">IF($M20="","",INDEX(Piutang!$M$2:$M$1751,$M20))</f>
        <v>4665000</v>
      </c>
      <c r="F20" s="43" t="n">
        <f aca="false">IF($M20="","",INDEX(Piutang!$H$2:$H$1751,$M20))</f>
        <v>45820</v>
      </c>
      <c r="G20" s="4" t="n">
        <f aca="false">IF($M20="","",INDEX(Piutang!$O$2:$O$1751,$M20))</f>
        <v>202</v>
      </c>
      <c r="H20" s="4" t="str">
        <f aca="false">IF($M20="","",INDEX(Piutang!$R$2:$R$1751,$M20))</f>
        <v>1-Tinggi</v>
      </c>
      <c r="I20" s="4" t="str">
        <f aca="false">IF($M20="","",INDEX(Piutang!$J$2:$J$1751,$M20))</f>
        <v>Sudah ditukar</v>
      </c>
      <c r="J20" s="4" t="str">
        <f aca="false">IF($M20="","",INDEX(Piutang!$Q$2:$Q$1751,$M20))</f>
        <v>Menunggu pencairan giro</v>
      </c>
      <c r="K20" s="44"/>
      <c r="L20" s="45"/>
      <c r="M20" s="4" t="n">
        <f aca="false">IFERROR(MATCH(LARGE(Piutang!$S$2:$S$1751,A20),Piutang!$S$2:$S$1751,0),"")</f>
        <v>701</v>
      </c>
    </row>
    <row r="21" customFormat="false" ht="15" hidden="false" customHeight="false" outlineLevel="0" collapsed="false">
      <c r="A21" s="4" t="n">
        <v>16</v>
      </c>
      <c r="B21" s="4" t="str">
        <f aca="false">IF($M21="","",INDEX(Piutang!$A$2:$A$1751,$M21))</f>
        <v>INV-0627</v>
      </c>
      <c r="C21" s="4" t="str">
        <f aca="false">IF($M21="","",INDEX(Piutang!$D$2:$D$1751,$M21))</f>
        <v>SUMBER TEKNIK SURYA</v>
      </c>
      <c r="D21" s="4" t="str">
        <f aca="false">IF($M21="","",INDEX(Piutang!$E$2:$E$1751,$M21))</f>
        <v>SALES D</v>
      </c>
      <c r="E21" s="6" t="n">
        <f aca="false">IF($M21="","",INDEX(Piutang!$M$2:$M$1751,$M21))</f>
        <v>5004200</v>
      </c>
      <c r="F21" s="43" t="n">
        <f aca="false">IF($M21="","",INDEX(Piutang!$H$2:$H$1751,$M21))</f>
        <v>45823</v>
      </c>
      <c r="G21" s="4" t="n">
        <f aca="false">IF($M21="","",INDEX(Piutang!$O$2:$O$1751,$M21))</f>
        <v>199</v>
      </c>
      <c r="H21" s="4" t="str">
        <f aca="false">IF($M21="","",INDEX(Piutang!$R$2:$R$1751,$M21))</f>
        <v>1-Tinggi</v>
      </c>
      <c r="I21" s="4" t="str">
        <f aca="false">IF($M21="","",INDEX(Piutang!$J$2:$J$1751,$M21))</f>
        <v>Sudah ditukar</v>
      </c>
      <c r="J21" s="4" t="str">
        <f aca="false">IF($M21="","",INDEX(Piutang!$Q$2:$Q$1751,$M21))</f>
        <v>Janji bayar tanggal 10 Jan 2026</v>
      </c>
      <c r="K21" s="44"/>
      <c r="L21" s="45"/>
      <c r="M21" s="4" t="n">
        <f aca="false">IFERROR(MATCH(LARGE(Piutang!$S$2:$S$1751,A21),Piutang!$S$2:$S$1751,0),"")</f>
        <v>627</v>
      </c>
    </row>
    <row r="22" customFormat="false" ht="15" hidden="false" customHeight="false" outlineLevel="0" collapsed="false">
      <c r="A22" s="4" t="n">
        <v>17</v>
      </c>
      <c r="B22" s="4" t="str">
        <f aca="false">IF($M22="","",INDEX(Piutang!$A$2:$A$1751,$M22))</f>
        <v>INV-0586</v>
      </c>
      <c r="C22" s="4" t="str">
        <f aca="false">IF($M22="","",INDEX(Piutang!$D$2:$D$1751,$M22))</f>
        <v>HARAPAN SPAREPART</v>
      </c>
      <c r="D22" s="4" t="str">
        <f aca="false">IF($M22="","",INDEX(Piutang!$E$2:$E$1751,$M22))</f>
        <v>SALES D</v>
      </c>
      <c r="E22" s="6" t="n">
        <f aca="false">IF($M22="","",INDEX(Piutang!$M$2:$M$1751,$M22))</f>
        <v>5631800</v>
      </c>
      <c r="F22" s="43" t="n">
        <f aca="false">IF($M22="","",INDEX(Piutang!$H$2:$H$1751,$M22))</f>
        <v>45830</v>
      </c>
      <c r="G22" s="4" t="n">
        <f aca="false">IF($M22="","",INDEX(Piutang!$O$2:$O$1751,$M22))</f>
        <v>192</v>
      </c>
      <c r="H22" s="4" t="str">
        <f aca="false">IF($M22="","",INDEX(Piutang!$R$2:$R$1751,$M22))</f>
        <v>1-Tinggi</v>
      </c>
      <c r="I22" s="4" t="str">
        <f aca="false">IF($M22="","",INDEX(Piutang!$J$2:$J$1751,$M22))</f>
        <v>Sudah ditukar</v>
      </c>
      <c r="J22" s="4" t="str">
        <f aca="false">IF($M22="","",INDEX(Piutang!$Q$2:$Q$1751,$M22))</f>
        <v>Kunjungan tagih dijadwalkan</v>
      </c>
      <c r="K22" s="44"/>
      <c r="L22" s="45"/>
      <c r="M22" s="4" t="n">
        <f aca="false">IFERROR(MATCH(LARGE(Piutang!$S$2:$S$1751,A22),Piutang!$S$2:$S$1751,0),"")</f>
        <v>586</v>
      </c>
    </row>
    <row r="23" customFormat="false" ht="15" hidden="false" customHeight="false" outlineLevel="0" collapsed="false">
      <c r="A23" s="4" t="n">
        <v>18</v>
      </c>
      <c r="B23" s="4" t="str">
        <f aca="false">IF($M23="","",INDEX(Piutang!$A$2:$A$1751,$M23))</f>
        <v>INV-0658</v>
      </c>
      <c r="C23" s="4" t="str">
        <f aca="false">IF($M23="","",INDEX(Piutang!$D$2:$D$1751,$M23))</f>
        <v>SURYA MOBIL</v>
      </c>
      <c r="D23" s="4" t="str">
        <f aca="false">IF($M23="","",INDEX(Piutang!$E$2:$E$1751,$M23))</f>
        <v>SALES D</v>
      </c>
      <c r="E23" s="6" t="n">
        <f aca="false">IF($M23="","",INDEX(Piutang!$M$2:$M$1751,$M23))</f>
        <v>3432200</v>
      </c>
      <c r="F23" s="43" t="n">
        <f aca="false">IF($M23="","",INDEX(Piutang!$H$2:$H$1751,$M23))</f>
        <v>45830</v>
      </c>
      <c r="G23" s="4" t="n">
        <f aca="false">IF($M23="","",INDEX(Piutang!$O$2:$O$1751,$M23))</f>
        <v>192</v>
      </c>
      <c r="H23" s="4" t="str">
        <f aca="false">IF($M23="","",INDEX(Piutang!$R$2:$R$1751,$M23))</f>
        <v>1-Tinggi</v>
      </c>
      <c r="I23" s="4" t="str">
        <f aca="false">IF($M23="","",INDEX(Piutang!$J$2:$J$1751,$M23))</f>
        <v>Sudah ditukar</v>
      </c>
      <c r="J23" s="4" t="str">
        <f aca="false">IF($M23="","",INDEX(Piutang!$Q$2:$Q$1751,$M23))</f>
        <v>Outlet menunda bayar, perlu kunjungan ulang</v>
      </c>
      <c r="K23" s="44"/>
      <c r="L23" s="45"/>
      <c r="M23" s="4" t="n">
        <f aca="false">IFERROR(MATCH(LARGE(Piutang!$S$2:$S$1751,A23),Piutang!$S$2:$S$1751,0),"")</f>
        <v>658</v>
      </c>
    </row>
    <row r="24" customFormat="false" ht="15" hidden="false" customHeight="false" outlineLevel="0" collapsed="false">
      <c r="A24" s="4" t="n">
        <v>19</v>
      </c>
      <c r="B24" s="4" t="str">
        <f aca="false">IF($M24="","",INDEX(Piutang!$A$2:$A$1751,$M24))</f>
        <v>INV-0828</v>
      </c>
      <c r="C24" s="4" t="str">
        <f aca="false">IF($M24="","",INDEX(Piutang!$D$2:$D$1751,$M24))</f>
        <v>SINAR AUTO BERKAH</v>
      </c>
      <c r="D24" s="4" t="str">
        <f aca="false">IF($M24="","",INDEX(Piutang!$E$2:$E$1751,$M24))</f>
        <v>SALES C</v>
      </c>
      <c r="E24" s="6" t="n">
        <f aca="false">IF($M24="","",INDEX(Piutang!$M$2:$M$1751,$M24))</f>
        <v>8448100</v>
      </c>
      <c r="F24" s="43" t="n">
        <f aca="false">IF($M24="","",INDEX(Piutang!$H$2:$H$1751,$M24))</f>
        <v>45865</v>
      </c>
      <c r="G24" s="4" t="n">
        <f aca="false">IF($M24="","",INDEX(Piutang!$O$2:$O$1751,$M24))</f>
        <v>157</v>
      </c>
      <c r="H24" s="4" t="str">
        <f aca="false">IF($M24="","",INDEX(Piutang!$R$2:$R$1751,$M24))</f>
        <v>1-Tinggi</v>
      </c>
      <c r="I24" s="4" t="str">
        <f aca="false">IF($M24="","",INDEX(Piutang!$J$2:$J$1751,$M24))</f>
        <v>Sudah ditukar</v>
      </c>
      <c r="J24" s="4" t="str">
        <f aca="false">IF($M24="","",INDEX(Piutang!$Q$2:$Q$1751,$M24))</f>
        <v>Outlet menunda bayar, perlu kunjungan ulang</v>
      </c>
      <c r="K24" s="44"/>
      <c r="L24" s="45"/>
      <c r="M24" s="4" t="n">
        <f aca="false">IFERROR(MATCH(LARGE(Piutang!$S$2:$S$1751,A24),Piutang!$S$2:$S$1751,0),"")</f>
        <v>828</v>
      </c>
    </row>
    <row r="25" customFormat="false" ht="15" hidden="false" customHeight="false" outlineLevel="0" collapsed="false">
      <c r="A25" s="4" t="n">
        <v>20</v>
      </c>
      <c r="B25" s="4" t="str">
        <f aca="false">IF($M25="","",INDEX(Piutang!$A$2:$A$1751,$M25))</f>
        <v>INV-0848</v>
      </c>
      <c r="C25" s="4" t="str">
        <f aca="false">IF($M25="","",INDEX(Piutang!$D$2:$D$1751,$M25))</f>
        <v>MAJU GARAGE TIRTA</v>
      </c>
      <c r="D25" s="4" t="str">
        <f aca="false">IF($M25="","",INDEX(Piutang!$E$2:$E$1751,$M25))</f>
        <v>SALES D</v>
      </c>
      <c r="E25" s="6" t="n">
        <f aca="false">IF($M25="","",INDEX(Piutang!$M$2:$M$1751,$M25))</f>
        <v>4412400</v>
      </c>
      <c r="F25" s="43" t="n">
        <f aca="false">IF($M25="","",INDEX(Piutang!$H$2:$H$1751,$M25))</f>
        <v>45884</v>
      </c>
      <c r="G25" s="4" t="n">
        <f aca="false">IF($M25="","",INDEX(Piutang!$O$2:$O$1751,$M25))</f>
        <v>138</v>
      </c>
      <c r="H25" s="4" t="str">
        <f aca="false">IF($M25="","",INDEX(Piutang!$R$2:$R$1751,$M25))</f>
        <v>1-Tinggi</v>
      </c>
      <c r="I25" s="4" t="str">
        <f aca="false">IF($M25="","",INDEX(Piutang!$J$2:$J$1751,$M25))</f>
        <v>Sudah ditukar</v>
      </c>
      <c r="J25" s="4" t="str">
        <f aca="false">IF($M25="","",INDEX(Piutang!$Q$2:$Q$1751,$M25))</f>
        <v>Menunggu pencairan giro</v>
      </c>
      <c r="K25" s="44"/>
      <c r="L25" s="45"/>
      <c r="M25" s="4" t="n">
        <f aca="false">IFERROR(MATCH(LARGE(Piutang!$S$2:$S$1751,A25),Piutang!$S$2:$S$1751,0),"")</f>
        <v>848</v>
      </c>
    </row>
    <row r="26" customFormat="false" ht="15" hidden="false" customHeight="false" outlineLevel="0" collapsed="false">
      <c r="A26" s="4" t="n">
        <v>21</v>
      </c>
      <c r="B26" s="4" t="str">
        <f aca="false">IF($M26="","",INDEX(Piutang!$A$2:$A$1751,$M26))</f>
        <v>INV-0840</v>
      </c>
      <c r="C26" s="4" t="str">
        <f aca="false">IF($M26="","",INDEX(Piutang!$D$2:$D$1751,$M26))</f>
        <v>MAKMUR OLI</v>
      </c>
      <c r="D26" s="4" t="str">
        <f aca="false">IF($M26="","",INDEX(Piutang!$E$2:$E$1751,$M26))</f>
        <v>SALES A</v>
      </c>
      <c r="E26" s="6" t="n">
        <f aca="false">IF($M26="","",INDEX(Piutang!$M$2:$M$1751,$M26))</f>
        <v>2264100</v>
      </c>
      <c r="F26" s="43" t="n">
        <f aca="false">IF($M26="","",INDEX(Piutang!$H$2:$H$1751,$M26))</f>
        <v>45884</v>
      </c>
      <c r="G26" s="4" t="n">
        <f aca="false">IF($M26="","",INDEX(Piutang!$O$2:$O$1751,$M26))</f>
        <v>138</v>
      </c>
      <c r="H26" s="4" t="str">
        <f aca="false">IF($M26="","",INDEX(Piutang!$R$2:$R$1751,$M26))</f>
        <v>1-Tinggi</v>
      </c>
      <c r="I26" s="4" t="str">
        <f aca="false">IF($M26="","",INDEX(Piutang!$J$2:$J$1751,$M26))</f>
        <v>Sudah ditukar</v>
      </c>
      <c r="J26" s="4" t="str">
        <f aca="false">IF($M26="","",INDEX(Piutang!$Q$2:$Q$1751,$M26))</f>
        <v>Eskalasi ke supervisor</v>
      </c>
      <c r="K26" s="44"/>
      <c r="L26" s="45"/>
      <c r="M26" s="4" t="n">
        <f aca="false">IFERROR(MATCH(LARGE(Piutang!$S$2:$S$1751,A26),Piutang!$S$2:$S$1751,0),"")</f>
        <v>840</v>
      </c>
    </row>
    <row r="27" customFormat="false" ht="15" hidden="false" customHeight="false" outlineLevel="0" collapsed="false">
      <c r="A27" s="4" t="n">
        <v>22</v>
      </c>
      <c r="B27" s="4" t="str">
        <f aca="false">IF($M27="","",INDEX(Piutang!$A$2:$A$1751,$M27))</f>
        <v>INV-0915</v>
      </c>
      <c r="C27" s="4" t="str">
        <f aca="false">IF($M27="","",INDEX(Piutang!$D$2:$D$1751,$M27))</f>
        <v>MAJU GARAGE</v>
      </c>
      <c r="D27" s="4" t="str">
        <f aca="false">IF($M27="","",INDEX(Piutang!$E$2:$E$1751,$M27))</f>
        <v>SALES B</v>
      </c>
      <c r="E27" s="6" t="n">
        <f aca="false">IF($M27="","",INDEX(Piutang!$M$2:$M$1751,$M27))</f>
        <v>4491800</v>
      </c>
      <c r="F27" s="43" t="n">
        <f aca="false">IF($M27="","",INDEX(Piutang!$H$2:$H$1751,$M27))</f>
        <v>45898</v>
      </c>
      <c r="G27" s="4" t="n">
        <f aca="false">IF($M27="","",INDEX(Piutang!$O$2:$O$1751,$M27))</f>
        <v>124</v>
      </c>
      <c r="H27" s="4" t="str">
        <f aca="false">IF($M27="","",INDEX(Piutang!$R$2:$R$1751,$M27))</f>
        <v>1-Tinggi</v>
      </c>
      <c r="I27" s="4" t="str">
        <f aca="false">IF($M27="","",INDEX(Piutang!$J$2:$J$1751,$M27))</f>
        <v>Sudah ditukar</v>
      </c>
      <c r="J27" s="4" t="str">
        <f aca="false">IF($M27="","",INDEX(Piutang!$Q$2:$Q$1751,$M27))</f>
        <v>Menunggu pencairan giro</v>
      </c>
      <c r="K27" s="44"/>
      <c r="L27" s="45"/>
      <c r="M27" s="4" t="n">
        <f aca="false">IFERROR(MATCH(LARGE(Piutang!$S$2:$S$1751,A27),Piutang!$S$2:$S$1751,0),"")</f>
        <v>915</v>
      </c>
    </row>
    <row r="28" customFormat="false" ht="15" hidden="false" customHeight="false" outlineLevel="0" collapsed="false">
      <c r="A28" s="4" t="n">
        <v>23</v>
      </c>
      <c r="B28" s="4" t="str">
        <f aca="false">IF($M28="","",INDEX(Piutang!$A$2:$A$1751,$M28))</f>
        <v>INV-1137</v>
      </c>
      <c r="C28" s="4" t="str">
        <f aca="false">IF($M28="","",INDEX(Piutang!$D$2:$D$1751,$M28))</f>
        <v>MITRA GARAGE MULIA</v>
      </c>
      <c r="D28" s="4" t="str">
        <f aca="false">IF($M28="","",INDEX(Piutang!$E$2:$E$1751,$M28))</f>
        <v>SALES A</v>
      </c>
      <c r="E28" s="6" t="n">
        <f aca="false">IF($M28="","",INDEX(Piutang!$M$2:$M$1751,$M28))</f>
        <v>4069400</v>
      </c>
      <c r="F28" s="43" t="n">
        <f aca="false">IF($M28="","",INDEX(Piutang!$H$2:$H$1751,$M28))</f>
        <v>45912</v>
      </c>
      <c r="G28" s="4" t="n">
        <f aca="false">IF($M28="","",INDEX(Piutang!$O$2:$O$1751,$M28))</f>
        <v>110</v>
      </c>
      <c r="H28" s="4" t="str">
        <f aca="false">IF($M28="","",INDEX(Piutang!$R$2:$R$1751,$M28))</f>
        <v>1-Tinggi</v>
      </c>
      <c r="I28" s="4" t="str">
        <f aca="false">IF($M28="","",INDEX(Piutang!$J$2:$J$1751,$M28))</f>
        <v>Sudah ditukar</v>
      </c>
      <c r="J28" s="4" t="str">
        <f aca="false">IF($M28="","",INDEX(Piutang!$Q$2:$Q$1751,$M28))</f>
        <v>Sudah 2x dihubungi, belum ada kepastian</v>
      </c>
      <c r="K28" s="44"/>
      <c r="L28" s="45"/>
      <c r="M28" s="4" t="n">
        <f aca="false">IFERROR(MATCH(LARGE(Piutang!$S$2:$S$1751,A28),Piutang!$S$2:$S$1751,0),"")</f>
        <v>1137</v>
      </c>
    </row>
    <row r="29" customFormat="false" ht="15" hidden="false" customHeight="false" outlineLevel="0" collapsed="false">
      <c r="A29" s="4" t="n">
        <v>24</v>
      </c>
      <c r="B29" s="4" t="str">
        <f aca="false">IF($M29="","",INDEX(Piutang!$A$2:$A$1751,$M29))</f>
        <v>INV-1090</v>
      </c>
      <c r="C29" s="4" t="str">
        <f aca="false">IF($M29="","",INDEX(Piutang!$D$2:$D$1751,$M29))</f>
        <v>SUMBER TEKNIK SURYA</v>
      </c>
      <c r="D29" s="4" t="str">
        <f aca="false">IF($M29="","",INDEX(Piutang!$E$2:$E$1751,$M29))</f>
        <v>SALES D</v>
      </c>
      <c r="E29" s="6" t="n">
        <f aca="false">IF($M29="","",INDEX(Piutang!$M$2:$M$1751,$M29))</f>
        <v>4577000</v>
      </c>
      <c r="F29" s="43" t="n">
        <f aca="false">IF($M29="","",INDEX(Piutang!$H$2:$H$1751,$M29))</f>
        <v>45919</v>
      </c>
      <c r="G29" s="4" t="n">
        <f aca="false">IF($M29="","",INDEX(Piutang!$O$2:$O$1751,$M29))</f>
        <v>103</v>
      </c>
      <c r="H29" s="4" t="str">
        <f aca="false">IF($M29="","",INDEX(Piutang!$R$2:$R$1751,$M29))</f>
        <v>1-Tinggi</v>
      </c>
      <c r="I29" s="4" t="str">
        <f aca="false">IF($M29="","",INDEX(Piutang!$J$2:$J$1751,$M29))</f>
        <v>Sudah ditukar</v>
      </c>
      <c r="J29" s="4" t="str">
        <f aca="false">IF($M29="","",INDEX(Piutang!$Q$2:$Q$1751,$M29))</f>
        <v>Menunggu pencairan giro</v>
      </c>
      <c r="K29" s="44"/>
      <c r="L29" s="45"/>
      <c r="M29" s="4" t="n">
        <f aca="false">IFERROR(MATCH(LARGE(Piutang!$S$2:$S$1751,A29),Piutang!$S$2:$S$1751,0),"")</f>
        <v>1090</v>
      </c>
    </row>
    <row r="30" customFormat="false" ht="15" hidden="false" customHeight="false" outlineLevel="0" collapsed="false">
      <c r="A30" s="4" t="n">
        <v>25</v>
      </c>
      <c r="B30" s="4" t="str">
        <f aca="false">IF($M30="","",INDEX(Piutang!$A$2:$A$1751,$M30))</f>
        <v>INV-1176</v>
      </c>
      <c r="C30" s="4" t="str">
        <f aca="false">IF($M30="","",INDEX(Piutang!$D$2:$D$1751,$M30))</f>
        <v>ABADI AUTO SURYA</v>
      </c>
      <c r="D30" s="4" t="str">
        <f aca="false">IF($M30="","",INDEX(Piutang!$E$2:$E$1751,$M30))</f>
        <v>SALES D</v>
      </c>
      <c r="E30" s="6" t="n">
        <f aca="false">IF($M30="","",INDEX(Piutang!$M$2:$M$1751,$M30))</f>
        <v>4237200</v>
      </c>
      <c r="F30" s="43" t="n">
        <f aca="false">IF($M30="","",INDEX(Piutang!$H$2:$H$1751,$M30))</f>
        <v>45922</v>
      </c>
      <c r="G30" s="4" t="n">
        <f aca="false">IF($M30="","",INDEX(Piutang!$O$2:$O$1751,$M30))</f>
        <v>100</v>
      </c>
      <c r="H30" s="4" t="str">
        <f aca="false">IF($M30="","",INDEX(Piutang!$R$2:$R$1751,$M30))</f>
        <v>1-Tinggi</v>
      </c>
      <c r="I30" s="4" t="str">
        <f aca="false">IF($M30="","",INDEX(Piutang!$J$2:$J$1751,$M30))</f>
        <v>Sudah ditukar</v>
      </c>
      <c r="J30" s="4" t="str">
        <f aca="false">IF($M30="","",INDEX(Piutang!$Q$2:$Q$1751,$M30))</f>
        <v>Eskalasi ke supervisor</v>
      </c>
      <c r="K30" s="44"/>
      <c r="L30" s="45"/>
      <c r="M30" s="4" t="n">
        <f aca="false">IFERROR(MATCH(LARGE(Piutang!$S$2:$S$1751,A30),Piutang!$S$2:$S$1751,0),"")</f>
        <v>1176</v>
      </c>
    </row>
    <row r="31" customFormat="false" ht="15" hidden="false" customHeight="false" outlineLevel="0" collapsed="false">
      <c r="D31" s="19" t="s">
        <v>18</v>
      </c>
      <c r="E31" s="46" t="n">
        <f aca="false">SUM(E6:E30)</f>
        <v>142849200</v>
      </c>
    </row>
  </sheetData>
  <conditionalFormatting sqref="H6:H30">
    <cfRule type="cellIs" priority="2" operator="equal" aboveAverage="0" equalAverage="0" bottom="0" percent="0" rank="0" text="" dxfId="0">
      <formula>"1-Tinggi"</formula>
    </cfRule>
    <cfRule type="cellIs" priority="3" operator="equal" aboveAverage="0" equalAverage="0" bottom="0" percent="0" rank="0" text="" dxfId="1">
      <formula>"2-Sedang"</formula>
    </cfRule>
  </conditionalFormatting>
  <conditionalFormatting sqref="I6:I30">
    <cfRule type="cellIs" priority="4" operator="equal" aboveAverage="0" equalAverage="0" bottom="0" percent="0" rank="0" text="" dxfId="1">
      <formula>"Belum ditukar"</formula>
    </cfRule>
  </conditionalFormatting>
  <dataValidations count="1">
    <dataValidation allowBlank="true" errorStyle="stop" operator="between" showDropDown="false" showErrorMessage="false" showInputMessage="false" sqref="K6:K30" type="list">
      <formula1>"Lunas,Bayar Sebagian,Janji Bayar,Tidak Ketemu,Tukar Faktur,Minta Keringanan"</formula1>
      <formula2>0</formula2>
    </dataValidation>
  </dataValidations>
  <printOptions headings="false" gridLines="false" gridLinesSet="true" horizontalCentered="false" verticalCentered="false"/>
  <pageMargins left="0.5" right="0.5" top="0.6" bottom="0.6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Data sintetis - portofolio&amp;C&amp;8 Halaman &amp;P dari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32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9"/>
  </cols>
  <sheetData>
    <row r="1" customFormat="false" ht="17.35" hidden="false" customHeight="false" outlineLevel="0" collapsed="false">
      <c r="A1" s="30" t="s">
        <v>111</v>
      </c>
    </row>
    <row r="2" customFormat="false" ht="15" hidden="false" customHeight="false" outlineLevel="0" collapsed="false">
      <c r="A2" s="19" t="s">
        <v>112</v>
      </c>
      <c r="C2" s="19" t="n">
        <f aca="false">COUNTIF(Piutang!$J$2:$J$1751,"Belum ditukar")</f>
        <v>9</v>
      </c>
    </row>
    <row r="3" customFormat="false" ht="15" hidden="false" customHeight="false" outlineLevel="0" collapsed="false">
      <c r="A3" s="42" t="s">
        <v>113</v>
      </c>
    </row>
    <row r="5" customFormat="false" ht="31.5" hidden="false" customHeight="true" outlineLevel="0" collapsed="false">
      <c r="A5" s="3" t="s">
        <v>51</v>
      </c>
      <c r="B5" s="3" t="s">
        <v>103</v>
      </c>
      <c r="C5" s="3" t="s">
        <v>35</v>
      </c>
      <c r="D5" s="3" t="s">
        <v>23</v>
      </c>
      <c r="E5" s="3" t="s">
        <v>114</v>
      </c>
      <c r="F5" s="3" t="s">
        <v>115</v>
      </c>
      <c r="G5" s="3" t="s">
        <v>116</v>
      </c>
      <c r="H5" s="3" t="s">
        <v>117</v>
      </c>
      <c r="I5" s="3" t="s">
        <v>110</v>
      </c>
    </row>
    <row r="6" customFormat="false" ht="15" hidden="false" customHeight="false" outlineLevel="0" collapsed="false">
      <c r="A6" s="4" t="n">
        <v>1</v>
      </c>
      <c r="B6" s="4" t="str">
        <f aca="false">IF($I6="","",INDEX(Piutang!$A$2:$A$1751,$I6))</f>
        <v>INV-1730</v>
      </c>
      <c r="C6" s="4" t="str">
        <f aca="false">IF($I6="","",INDEX(Piutang!$D$2:$D$1751,$I6))</f>
        <v>BINTANG TEKNIK</v>
      </c>
      <c r="D6" s="4" t="str">
        <f aca="false">IF($I6="","",INDEX(Piutang!$E$2:$E$1751,$I6))</f>
        <v>SALES A</v>
      </c>
      <c r="E6" s="43" t="n">
        <f aca="false">IF($I6="","",INDEX(Piutang!$B$2:$B$1751,$I6))</f>
        <v>46020</v>
      </c>
      <c r="F6" s="6" t="n">
        <f aca="false">IF($I6="","",INDEX(Piutang!$F$2:$F$1751,$I6))</f>
        <v>12035400</v>
      </c>
      <c r="G6" s="4" t="n">
        <f aca="false">IF($I6="","",Catatan!$B$3-E6)</f>
        <v>2</v>
      </c>
      <c r="H6" s="45"/>
      <c r="I6" s="4" t="n">
        <f aca="false">IFERROR(SMALL(Piutang!$T$2:$T$1751,A6)-1,"")</f>
        <v>1730</v>
      </c>
    </row>
    <row r="7" customFormat="false" ht="15" hidden="false" customHeight="false" outlineLevel="0" collapsed="false">
      <c r="A7" s="4" t="n">
        <v>2</v>
      </c>
      <c r="B7" s="4" t="str">
        <f aca="false">IF($I7="","",INDEX(Piutang!$A$2:$A$1751,$I7))</f>
        <v>INV-1732</v>
      </c>
      <c r="C7" s="4" t="str">
        <f aca="false">IF($I7="","",INDEX(Piutang!$D$2:$D$1751,$I7))</f>
        <v>UTAMA MOTOR</v>
      </c>
      <c r="D7" s="4" t="str">
        <f aca="false">IF($I7="","",INDEX(Piutang!$E$2:$E$1751,$I7))</f>
        <v>SALES C</v>
      </c>
      <c r="E7" s="43" t="n">
        <f aca="false">IF($I7="","",INDEX(Piutang!$B$2:$B$1751,$I7))</f>
        <v>46020</v>
      </c>
      <c r="F7" s="6" t="n">
        <f aca="false">IF($I7="","",INDEX(Piutang!$F$2:$F$1751,$I7))</f>
        <v>375700</v>
      </c>
      <c r="G7" s="4" t="n">
        <f aca="false">IF($I7="","",Catatan!$B$3-E7)</f>
        <v>2</v>
      </c>
      <c r="H7" s="45"/>
      <c r="I7" s="4" t="n">
        <f aca="false">IFERROR(SMALL(Piutang!$T$2:$T$1751,A7)-1,"")</f>
        <v>1732</v>
      </c>
    </row>
    <row r="8" customFormat="false" ht="15" hidden="false" customHeight="false" outlineLevel="0" collapsed="false">
      <c r="A8" s="4" t="n">
        <v>3</v>
      </c>
      <c r="B8" s="4" t="str">
        <f aca="false">IF($I8="","",INDEX(Piutang!$A$2:$A$1751,$I8))</f>
        <v>INV-1733</v>
      </c>
      <c r="C8" s="4" t="str">
        <f aca="false">IF($I8="","",INDEX(Piutang!$D$2:$D$1751,$I8))</f>
        <v>CAHAYA MOTOR</v>
      </c>
      <c r="D8" s="4" t="str">
        <f aca="false">IF($I8="","",INDEX(Piutang!$E$2:$E$1751,$I8))</f>
        <v>SALES A</v>
      </c>
      <c r="E8" s="43" t="n">
        <f aca="false">IF($I8="","",INDEX(Piutang!$B$2:$B$1751,$I8))</f>
        <v>46020</v>
      </c>
      <c r="F8" s="6" t="n">
        <f aca="false">IF($I8="","",INDEX(Piutang!$F$2:$F$1751,$I8))</f>
        <v>5431600</v>
      </c>
      <c r="G8" s="4" t="n">
        <f aca="false">IF($I8="","",Catatan!$B$3-E8)</f>
        <v>2</v>
      </c>
      <c r="H8" s="45"/>
      <c r="I8" s="4" t="n">
        <f aca="false">IFERROR(SMALL(Piutang!$T$2:$T$1751,A8)-1,"")</f>
        <v>1733</v>
      </c>
    </row>
    <row r="9" customFormat="false" ht="15" hidden="false" customHeight="false" outlineLevel="0" collapsed="false">
      <c r="A9" s="4" t="n">
        <v>4</v>
      </c>
      <c r="B9" s="4" t="str">
        <f aca="false">IF($I9="","",INDEX(Piutang!$A$2:$A$1751,$I9))</f>
        <v>INV-1736</v>
      </c>
      <c r="C9" s="4" t="str">
        <f aca="false">IF($I9="","",INDEX(Piutang!$D$2:$D$1751,$I9))</f>
        <v>KARYA SPAREPART</v>
      </c>
      <c r="D9" s="4" t="str">
        <f aca="false">IF($I9="","",INDEX(Piutang!$E$2:$E$1751,$I9))</f>
        <v>SALES B</v>
      </c>
      <c r="E9" s="43" t="n">
        <f aca="false">IF($I9="","",INDEX(Piutang!$B$2:$B$1751,$I9))</f>
        <v>46020</v>
      </c>
      <c r="F9" s="6" t="n">
        <f aca="false">IF($I9="","",INDEX(Piutang!$F$2:$F$1751,$I9))</f>
        <v>8626200</v>
      </c>
      <c r="G9" s="4" t="n">
        <f aca="false">IF($I9="","",Catatan!$B$3-E9)</f>
        <v>2</v>
      </c>
      <c r="H9" s="45"/>
      <c r="I9" s="4" t="n">
        <f aca="false">IFERROR(SMALL(Piutang!$T$2:$T$1751,A9)-1,"")</f>
        <v>1736</v>
      </c>
    </row>
    <row r="10" customFormat="false" ht="15" hidden="false" customHeight="false" outlineLevel="0" collapsed="false">
      <c r="A10" s="4" t="n">
        <v>5</v>
      </c>
      <c r="B10" s="4" t="str">
        <f aca="false">IF($I10="","",INDEX(Piutang!$A$2:$A$1751,$I10))</f>
        <v>INV-1738</v>
      </c>
      <c r="C10" s="4" t="str">
        <f aca="false">IF($I10="","",INDEX(Piutang!$D$2:$D$1751,$I10))</f>
        <v>BINTANG OLI</v>
      </c>
      <c r="D10" s="4" t="str">
        <f aca="false">IF($I10="","",INDEX(Piutang!$E$2:$E$1751,$I10))</f>
        <v>SALES D</v>
      </c>
      <c r="E10" s="43" t="n">
        <f aca="false">IF($I10="","",INDEX(Piutang!$B$2:$B$1751,$I10))</f>
        <v>46020</v>
      </c>
      <c r="F10" s="6" t="n">
        <f aca="false">IF($I10="","",INDEX(Piutang!$F$2:$F$1751,$I10))</f>
        <v>22228000</v>
      </c>
      <c r="G10" s="4" t="n">
        <f aca="false">IF($I10="","",Catatan!$B$3-E10)</f>
        <v>2</v>
      </c>
      <c r="H10" s="45"/>
      <c r="I10" s="4" t="n">
        <f aca="false">IFERROR(SMALL(Piutang!$T$2:$T$1751,A10)-1,"")</f>
        <v>1738</v>
      </c>
    </row>
    <row r="11" customFormat="false" ht="15" hidden="false" customHeight="false" outlineLevel="0" collapsed="false">
      <c r="A11" s="4" t="n">
        <v>6</v>
      </c>
      <c r="B11" s="4" t="str">
        <f aca="false">IF($I11="","",INDEX(Piutang!$A$2:$A$1751,$I11))</f>
        <v>INV-1742</v>
      </c>
      <c r="C11" s="4" t="str">
        <f aca="false">IF($I11="","",INDEX(Piutang!$D$2:$D$1751,$I11))</f>
        <v>HARAPAN OLI TIRTA</v>
      </c>
      <c r="D11" s="4" t="str">
        <f aca="false">IF($I11="","",INDEX(Piutang!$E$2:$E$1751,$I11))</f>
        <v>SALES A</v>
      </c>
      <c r="E11" s="43" t="n">
        <f aca="false">IF($I11="","",INDEX(Piutang!$B$2:$B$1751,$I11))</f>
        <v>46021</v>
      </c>
      <c r="F11" s="6" t="n">
        <f aca="false">IF($I11="","",INDEX(Piutang!$F$2:$F$1751,$I11))</f>
        <v>2781500</v>
      </c>
      <c r="G11" s="4" t="n">
        <f aca="false">IF($I11="","",Catatan!$B$3-E11)</f>
        <v>1</v>
      </c>
      <c r="H11" s="45"/>
      <c r="I11" s="4" t="n">
        <f aca="false">IFERROR(SMALL(Piutang!$T$2:$T$1751,A11)-1,"")</f>
        <v>1742</v>
      </c>
    </row>
    <row r="12" customFormat="false" ht="15" hidden="false" customHeight="false" outlineLevel="0" collapsed="false">
      <c r="A12" s="4" t="n">
        <v>7</v>
      </c>
      <c r="B12" s="4" t="str">
        <f aca="false">IF($I12="","",INDEX(Piutang!$A$2:$A$1751,$I12))</f>
        <v>INV-1743</v>
      </c>
      <c r="C12" s="4" t="str">
        <f aca="false">IF($I12="","",INDEX(Piutang!$D$2:$D$1751,$I12))</f>
        <v>SUMBER TEKNIK SURYA</v>
      </c>
      <c r="D12" s="4" t="str">
        <f aca="false">IF($I12="","",INDEX(Piutang!$E$2:$E$1751,$I12))</f>
        <v>SALES D</v>
      </c>
      <c r="E12" s="43" t="n">
        <f aca="false">IF($I12="","",INDEX(Piutang!$B$2:$B$1751,$I12))</f>
        <v>46021</v>
      </c>
      <c r="F12" s="6" t="n">
        <f aca="false">IF($I12="","",INDEX(Piutang!$F$2:$F$1751,$I12))</f>
        <v>5306400</v>
      </c>
      <c r="G12" s="4" t="n">
        <f aca="false">IF($I12="","",Catatan!$B$3-E12)</f>
        <v>1</v>
      </c>
      <c r="H12" s="45"/>
      <c r="I12" s="4" t="n">
        <f aca="false">IFERROR(SMALL(Piutang!$T$2:$T$1751,A12)-1,"")</f>
        <v>1743</v>
      </c>
    </row>
    <row r="13" customFormat="false" ht="15" hidden="false" customHeight="false" outlineLevel="0" collapsed="false">
      <c r="A13" s="4" t="n">
        <v>8</v>
      </c>
      <c r="B13" s="4" t="str">
        <f aca="false">IF($I13="","",INDEX(Piutang!$A$2:$A$1751,$I13))</f>
        <v>INV-1746</v>
      </c>
      <c r="C13" s="4" t="str">
        <f aca="false">IF($I13="","",INDEX(Piutang!$D$2:$D$1751,$I13))</f>
        <v>SUMBER TEKNIK SURYA</v>
      </c>
      <c r="D13" s="4" t="str">
        <f aca="false">IF($I13="","",INDEX(Piutang!$E$2:$E$1751,$I13))</f>
        <v>SALES D</v>
      </c>
      <c r="E13" s="43" t="n">
        <f aca="false">IF($I13="","",INDEX(Piutang!$B$2:$B$1751,$I13))</f>
        <v>46022</v>
      </c>
      <c r="F13" s="6" t="n">
        <f aca="false">IF($I13="","",INDEX(Piutang!$F$2:$F$1751,$I13))</f>
        <v>8565500</v>
      </c>
      <c r="G13" s="4" t="n">
        <f aca="false">IF($I13="","",Catatan!$B$3-E13)</f>
        <v>0</v>
      </c>
      <c r="H13" s="45"/>
      <c r="I13" s="4" t="n">
        <f aca="false">IFERROR(SMALL(Piutang!$T$2:$T$1751,A13)-1,"")</f>
        <v>1746</v>
      </c>
    </row>
    <row r="14" customFormat="false" ht="15" hidden="false" customHeight="false" outlineLevel="0" collapsed="false">
      <c r="A14" s="4" t="n">
        <v>9</v>
      </c>
      <c r="B14" s="4" t="str">
        <f aca="false">IF($I14="","",INDEX(Piutang!$A$2:$A$1751,$I14))</f>
        <v>INV-1747</v>
      </c>
      <c r="C14" s="4" t="str">
        <f aca="false">IF($I14="","",INDEX(Piutang!$D$2:$D$1751,$I14))</f>
        <v>BINTANG SPAREPART PRIMA</v>
      </c>
      <c r="D14" s="4" t="str">
        <f aca="false">IF($I14="","",INDEX(Piutang!$E$2:$E$1751,$I14))</f>
        <v>SALES C</v>
      </c>
      <c r="E14" s="43" t="n">
        <f aca="false">IF($I14="","",INDEX(Piutang!$B$2:$B$1751,$I14))</f>
        <v>46022</v>
      </c>
      <c r="F14" s="6" t="n">
        <f aca="false">IF($I14="","",INDEX(Piutang!$F$2:$F$1751,$I14))</f>
        <v>8688500</v>
      </c>
      <c r="G14" s="4" t="n">
        <f aca="false">IF($I14="","",Catatan!$B$3-E14)</f>
        <v>0</v>
      </c>
      <c r="H14" s="45"/>
      <c r="I14" s="4" t="n">
        <f aca="false">IFERROR(SMALL(Piutang!$T$2:$T$1751,A14)-1,"")</f>
        <v>1747</v>
      </c>
    </row>
    <row r="15" customFormat="false" ht="15" hidden="false" customHeight="false" outlineLevel="0" collapsed="false">
      <c r="A15" s="4" t="n">
        <v>10</v>
      </c>
      <c r="B15" s="4" t="str">
        <f aca="false">IF($I15="","",INDEX(Piutang!$A$2:$A$1751,$I15))</f>
        <v/>
      </c>
      <c r="C15" s="4" t="str">
        <f aca="false">IF($I15="","",INDEX(Piutang!$D$2:$D$1751,$I15))</f>
        <v/>
      </c>
      <c r="D15" s="4" t="str">
        <f aca="false">IF($I15="","",INDEX(Piutang!$E$2:$E$1751,$I15))</f>
        <v/>
      </c>
      <c r="E15" s="43" t="str">
        <f aca="false">IF($I15="","",INDEX(Piutang!$B$2:$B$1751,$I15))</f>
        <v/>
      </c>
      <c r="F15" s="6" t="str">
        <f aca="false">IF($I15="","",INDEX(Piutang!$F$2:$F$1751,$I15))</f>
        <v/>
      </c>
      <c r="G15" s="4" t="str">
        <f aca="false">IF($I15="","",Catatan!$B$3-E15)</f>
        <v/>
      </c>
      <c r="H15" s="45"/>
      <c r="I15" s="4" t="str">
        <f aca="false">IFERROR(SMALL(Piutang!$T$2:$T$1751,A15)-1,"")</f>
        <v/>
      </c>
    </row>
    <row r="16" customFormat="false" ht="15" hidden="false" customHeight="false" outlineLevel="0" collapsed="false">
      <c r="A16" s="4" t="n">
        <v>11</v>
      </c>
      <c r="B16" s="4" t="str">
        <f aca="false">IF($I16="","",INDEX(Piutang!$A$2:$A$1751,$I16))</f>
        <v/>
      </c>
      <c r="C16" s="4" t="str">
        <f aca="false">IF($I16="","",INDEX(Piutang!$D$2:$D$1751,$I16))</f>
        <v/>
      </c>
      <c r="D16" s="4" t="str">
        <f aca="false">IF($I16="","",INDEX(Piutang!$E$2:$E$1751,$I16))</f>
        <v/>
      </c>
      <c r="E16" s="43" t="str">
        <f aca="false">IF($I16="","",INDEX(Piutang!$B$2:$B$1751,$I16))</f>
        <v/>
      </c>
      <c r="F16" s="6" t="str">
        <f aca="false">IF($I16="","",INDEX(Piutang!$F$2:$F$1751,$I16))</f>
        <v/>
      </c>
      <c r="G16" s="4" t="str">
        <f aca="false">IF($I16="","",Catatan!$B$3-E16)</f>
        <v/>
      </c>
      <c r="H16" s="45"/>
      <c r="I16" s="4" t="str">
        <f aca="false">IFERROR(SMALL(Piutang!$T$2:$T$1751,A16)-1,"")</f>
        <v/>
      </c>
    </row>
    <row r="17" customFormat="false" ht="15" hidden="false" customHeight="false" outlineLevel="0" collapsed="false">
      <c r="A17" s="4" t="n">
        <v>12</v>
      </c>
      <c r="B17" s="4" t="str">
        <f aca="false">IF($I17="","",INDEX(Piutang!$A$2:$A$1751,$I17))</f>
        <v/>
      </c>
      <c r="C17" s="4" t="str">
        <f aca="false">IF($I17="","",INDEX(Piutang!$D$2:$D$1751,$I17))</f>
        <v/>
      </c>
      <c r="D17" s="4" t="str">
        <f aca="false">IF($I17="","",INDEX(Piutang!$E$2:$E$1751,$I17))</f>
        <v/>
      </c>
      <c r="E17" s="43" t="str">
        <f aca="false">IF($I17="","",INDEX(Piutang!$B$2:$B$1751,$I17))</f>
        <v/>
      </c>
      <c r="F17" s="6" t="str">
        <f aca="false">IF($I17="","",INDEX(Piutang!$F$2:$F$1751,$I17))</f>
        <v/>
      </c>
      <c r="G17" s="4" t="str">
        <f aca="false">IF($I17="","",Catatan!$B$3-E17)</f>
        <v/>
      </c>
      <c r="H17" s="45"/>
      <c r="I17" s="4" t="str">
        <f aca="false">IFERROR(SMALL(Piutang!$T$2:$T$1751,A17)-1,"")</f>
        <v/>
      </c>
    </row>
    <row r="18" customFormat="false" ht="15" hidden="false" customHeight="false" outlineLevel="0" collapsed="false">
      <c r="A18" s="4" t="n">
        <v>13</v>
      </c>
      <c r="B18" s="4" t="str">
        <f aca="false">IF($I18="","",INDEX(Piutang!$A$2:$A$1751,$I18))</f>
        <v/>
      </c>
      <c r="C18" s="4" t="str">
        <f aca="false">IF($I18="","",INDEX(Piutang!$D$2:$D$1751,$I18))</f>
        <v/>
      </c>
      <c r="D18" s="4" t="str">
        <f aca="false">IF($I18="","",INDEX(Piutang!$E$2:$E$1751,$I18))</f>
        <v/>
      </c>
      <c r="E18" s="43" t="str">
        <f aca="false">IF($I18="","",INDEX(Piutang!$B$2:$B$1751,$I18))</f>
        <v/>
      </c>
      <c r="F18" s="6" t="str">
        <f aca="false">IF($I18="","",INDEX(Piutang!$F$2:$F$1751,$I18))</f>
        <v/>
      </c>
      <c r="G18" s="4" t="str">
        <f aca="false">IF($I18="","",Catatan!$B$3-E18)</f>
        <v/>
      </c>
      <c r="H18" s="45"/>
      <c r="I18" s="4" t="str">
        <f aca="false">IFERROR(SMALL(Piutang!$T$2:$T$1751,A18)-1,"")</f>
        <v/>
      </c>
    </row>
    <row r="19" customFormat="false" ht="15" hidden="false" customHeight="false" outlineLevel="0" collapsed="false">
      <c r="A19" s="4" t="n">
        <v>14</v>
      </c>
      <c r="B19" s="4" t="str">
        <f aca="false">IF($I19="","",INDEX(Piutang!$A$2:$A$1751,$I19))</f>
        <v/>
      </c>
      <c r="C19" s="4" t="str">
        <f aca="false">IF($I19="","",INDEX(Piutang!$D$2:$D$1751,$I19))</f>
        <v/>
      </c>
      <c r="D19" s="4" t="str">
        <f aca="false">IF($I19="","",INDEX(Piutang!$E$2:$E$1751,$I19))</f>
        <v/>
      </c>
      <c r="E19" s="43" t="str">
        <f aca="false">IF($I19="","",INDEX(Piutang!$B$2:$B$1751,$I19))</f>
        <v/>
      </c>
      <c r="F19" s="6" t="str">
        <f aca="false">IF($I19="","",INDEX(Piutang!$F$2:$F$1751,$I19))</f>
        <v/>
      </c>
      <c r="G19" s="4" t="str">
        <f aca="false">IF($I19="","",Catatan!$B$3-E19)</f>
        <v/>
      </c>
      <c r="H19" s="45"/>
      <c r="I19" s="4" t="str">
        <f aca="false">IFERROR(SMALL(Piutang!$T$2:$T$1751,A19)-1,"")</f>
        <v/>
      </c>
    </row>
    <row r="20" customFormat="false" ht="15" hidden="false" customHeight="false" outlineLevel="0" collapsed="false">
      <c r="A20" s="4" t="n">
        <v>15</v>
      </c>
      <c r="B20" s="4" t="str">
        <f aca="false">IF($I20="","",INDEX(Piutang!$A$2:$A$1751,$I20))</f>
        <v/>
      </c>
      <c r="C20" s="4" t="str">
        <f aca="false">IF($I20="","",INDEX(Piutang!$D$2:$D$1751,$I20))</f>
        <v/>
      </c>
      <c r="D20" s="4" t="str">
        <f aca="false">IF($I20="","",INDEX(Piutang!$E$2:$E$1751,$I20))</f>
        <v/>
      </c>
      <c r="E20" s="43" t="str">
        <f aca="false">IF($I20="","",INDEX(Piutang!$B$2:$B$1751,$I20))</f>
        <v/>
      </c>
      <c r="F20" s="6" t="str">
        <f aca="false">IF($I20="","",INDEX(Piutang!$F$2:$F$1751,$I20))</f>
        <v/>
      </c>
      <c r="G20" s="4" t="str">
        <f aca="false">IF($I20="","",Catatan!$B$3-E20)</f>
        <v/>
      </c>
      <c r="H20" s="45"/>
      <c r="I20" s="4" t="str">
        <f aca="false">IFERROR(SMALL(Piutang!$T$2:$T$1751,A20)-1,"")</f>
        <v/>
      </c>
    </row>
    <row r="21" customFormat="false" ht="15" hidden="false" customHeight="false" outlineLevel="0" collapsed="false">
      <c r="A21" s="4" t="n">
        <v>16</v>
      </c>
      <c r="B21" s="4" t="str">
        <f aca="false">IF($I21="","",INDEX(Piutang!$A$2:$A$1751,$I21))</f>
        <v/>
      </c>
      <c r="C21" s="4" t="str">
        <f aca="false">IF($I21="","",INDEX(Piutang!$D$2:$D$1751,$I21))</f>
        <v/>
      </c>
      <c r="D21" s="4" t="str">
        <f aca="false">IF($I21="","",INDEX(Piutang!$E$2:$E$1751,$I21))</f>
        <v/>
      </c>
      <c r="E21" s="43" t="str">
        <f aca="false">IF($I21="","",INDEX(Piutang!$B$2:$B$1751,$I21))</f>
        <v/>
      </c>
      <c r="F21" s="6" t="str">
        <f aca="false">IF($I21="","",INDEX(Piutang!$F$2:$F$1751,$I21))</f>
        <v/>
      </c>
      <c r="G21" s="4" t="str">
        <f aca="false">IF($I21="","",Catatan!$B$3-E21)</f>
        <v/>
      </c>
      <c r="H21" s="45"/>
      <c r="I21" s="4" t="str">
        <f aca="false">IFERROR(SMALL(Piutang!$T$2:$T$1751,A21)-1,"")</f>
        <v/>
      </c>
    </row>
    <row r="22" customFormat="false" ht="15" hidden="false" customHeight="false" outlineLevel="0" collapsed="false">
      <c r="A22" s="4" t="n">
        <v>17</v>
      </c>
      <c r="B22" s="4" t="str">
        <f aca="false">IF($I22="","",INDEX(Piutang!$A$2:$A$1751,$I22))</f>
        <v/>
      </c>
      <c r="C22" s="4" t="str">
        <f aca="false">IF($I22="","",INDEX(Piutang!$D$2:$D$1751,$I22))</f>
        <v/>
      </c>
      <c r="D22" s="4" t="str">
        <f aca="false">IF($I22="","",INDEX(Piutang!$E$2:$E$1751,$I22))</f>
        <v/>
      </c>
      <c r="E22" s="43" t="str">
        <f aca="false">IF($I22="","",INDEX(Piutang!$B$2:$B$1751,$I22))</f>
        <v/>
      </c>
      <c r="F22" s="6" t="str">
        <f aca="false">IF($I22="","",INDEX(Piutang!$F$2:$F$1751,$I22))</f>
        <v/>
      </c>
      <c r="G22" s="4" t="str">
        <f aca="false">IF($I22="","",Catatan!$B$3-E22)</f>
        <v/>
      </c>
      <c r="H22" s="45"/>
      <c r="I22" s="4" t="str">
        <f aca="false">IFERROR(SMALL(Piutang!$T$2:$T$1751,A22)-1,"")</f>
        <v/>
      </c>
    </row>
    <row r="23" customFormat="false" ht="15" hidden="false" customHeight="false" outlineLevel="0" collapsed="false">
      <c r="A23" s="4" t="n">
        <v>18</v>
      </c>
      <c r="B23" s="4" t="str">
        <f aca="false">IF($I23="","",INDEX(Piutang!$A$2:$A$1751,$I23))</f>
        <v/>
      </c>
      <c r="C23" s="4" t="str">
        <f aca="false">IF($I23="","",INDEX(Piutang!$D$2:$D$1751,$I23))</f>
        <v/>
      </c>
      <c r="D23" s="4" t="str">
        <f aca="false">IF($I23="","",INDEX(Piutang!$E$2:$E$1751,$I23))</f>
        <v/>
      </c>
      <c r="E23" s="43" t="str">
        <f aca="false">IF($I23="","",INDEX(Piutang!$B$2:$B$1751,$I23))</f>
        <v/>
      </c>
      <c r="F23" s="6" t="str">
        <f aca="false">IF($I23="","",INDEX(Piutang!$F$2:$F$1751,$I23))</f>
        <v/>
      </c>
      <c r="G23" s="4" t="str">
        <f aca="false">IF($I23="","",Catatan!$B$3-E23)</f>
        <v/>
      </c>
      <c r="H23" s="45"/>
      <c r="I23" s="4" t="str">
        <f aca="false">IFERROR(SMALL(Piutang!$T$2:$T$1751,A23)-1,"")</f>
        <v/>
      </c>
    </row>
    <row r="24" customFormat="false" ht="15" hidden="false" customHeight="false" outlineLevel="0" collapsed="false">
      <c r="A24" s="4" t="n">
        <v>19</v>
      </c>
      <c r="B24" s="4" t="str">
        <f aca="false">IF($I24="","",INDEX(Piutang!$A$2:$A$1751,$I24))</f>
        <v/>
      </c>
      <c r="C24" s="4" t="str">
        <f aca="false">IF($I24="","",INDEX(Piutang!$D$2:$D$1751,$I24))</f>
        <v/>
      </c>
      <c r="D24" s="4" t="str">
        <f aca="false">IF($I24="","",INDEX(Piutang!$E$2:$E$1751,$I24))</f>
        <v/>
      </c>
      <c r="E24" s="43" t="str">
        <f aca="false">IF($I24="","",INDEX(Piutang!$B$2:$B$1751,$I24))</f>
        <v/>
      </c>
      <c r="F24" s="6" t="str">
        <f aca="false">IF($I24="","",INDEX(Piutang!$F$2:$F$1751,$I24))</f>
        <v/>
      </c>
      <c r="G24" s="4" t="str">
        <f aca="false">IF($I24="","",Catatan!$B$3-E24)</f>
        <v/>
      </c>
      <c r="H24" s="45"/>
      <c r="I24" s="4" t="str">
        <f aca="false">IFERROR(SMALL(Piutang!$T$2:$T$1751,A24)-1,"")</f>
        <v/>
      </c>
    </row>
    <row r="25" customFormat="false" ht="15" hidden="false" customHeight="false" outlineLevel="0" collapsed="false">
      <c r="A25" s="4" t="n">
        <v>20</v>
      </c>
      <c r="B25" s="4" t="str">
        <f aca="false">IF($I25="","",INDEX(Piutang!$A$2:$A$1751,$I25))</f>
        <v/>
      </c>
      <c r="C25" s="4" t="str">
        <f aca="false">IF($I25="","",INDEX(Piutang!$D$2:$D$1751,$I25))</f>
        <v/>
      </c>
      <c r="D25" s="4" t="str">
        <f aca="false">IF($I25="","",INDEX(Piutang!$E$2:$E$1751,$I25))</f>
        <v/>
      </c>
      <c r="E25" s="43" t="str">
        <f aca="false">IF($I25="","",INDEX(Piutang!$B$2:$B$1751,$I25))</f>
        <v/>
      </c>
      <c r="F25" s="6" t="str">
        <f aca="false">IF($I25="","",INDEX(Piutang!$F$2:$F$1751,$I25))</f>
        <v/>
      </c>
      <c r="G25" s="4" t="str">
        <f aca="false">IF($I25="","",Catatan!$B$3-E25)</f>
        <v/>
      </c>
      <c r="H25" s="45"/>
      <c r="I25" s="4" t="str">
        <f aca="false">IFERROR(SMALL(Piutang!$T$2:$T$1751,A25)-1,"")</f>
        <v/>
      </c>
    </row>
  </sheetData>
  <printOptions headings="false" gridLines="false" gridLinesSet="true" horizontalCentered="false" verticalCentered="false"/>
  <pageMargins left="0.5" right="0.5" top="0.6" bottom="0.6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&amp;L&amp;8 Data sintetis - portofolio&amp;C&amp;8 Halaman &amp;P dari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  <col collapsed="false" customWidth="true" hidden="false" outlineLevel="0" max="3" min="3" style="0" width="32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17"/>
    <col collapsed="false" customWidth="true" hidden="false" outlineLevel="0" max="8" min="8" style="0" width="13"/>
    <col collapsed="false" customWidth="true" hidden="false" outlineLevel="0" max="9" min="9" style="0" width="16"/>
    <col collapsed="false" customWidth="true" hidden="false" outlineLevel="0" max="10" min="10" style="0" width="22"/>
    <col collapsed="false" customWidth="true" hidden="false" outlineLevel="0" max="11" min="11" style="0" width="38"/>
    <col collapsed="false" customWidth="true" hidden="false" outlineLevel="0" max="13" min="13" style="0" width="20"/>
    <col collapsed="false" customWidth="true" hidden="false" outlineLevel="0" max="14" min="14" style="0" width="16"/>
  </cols>
  <sheetData>
    <row r="1" customFormat="false" ht="17.35" hidden="false" customHeight="false" outlineLevel="0" collapsed="false">
      <c r="A1" s="30" t="s">
        <v>118</v>
      </c>
    </row>
    <row r="2" customFormat="false" ht="15" hidden="false" customHeight="false" outlineLevel="0" collapsed="false">
      <c r="A2" s="42" t="s">
        <v>119</v>
      </c>
    </row>
    <row r="4" customFormat="false" ht="31.5" hidden="false" customHeight="true" outlineLevel="0" collapsed="false">
      <c r="A4" s="3" t="s">
        <v>120</v>
      </c>
      <c r="B4" s="3" t="s">
        <v>103</v>
      </c>
      <c r="C4" s="3" t="s">
        <v>35</v>
      </c>
      <c r="D4" s="3" t="s">
        <v>23</v>
      </c>
      <c r="E4" s="3" t="s">
        <v>4</v>
      </c>
      <c r="F4" s="3" t="s">
        <v>104</v>
      </c>
      <c r="G4" s="3" t="s">
        <v>108</v>
      </c>
      <c r="H4" s="3" t="s">
        <v>109</v>
      </c>
      <c r="I4" s="3" t="s">
        <v>121</v>
      </c>
      <c r="J4" s="3" t="s">
        <v>122</v>
      </c>
      <c r="K4" s="3" t="s">
        <v>123</v>
      </c>
      <c r="M4" s="19" t="s">
        <v>124</v>
      </c>
    </row>
    <row r="5" customFormat="false" ht="15" hidden="false" customHeight="false" outlineLevel="0" collapsed="false">
      <c r="A5" s="45" t="n">
        <v>46017</v>
      </c>
      <c r="B5" s="44" t="s">
        <v>125</v>
      </c>
      <c r="C5" s="4" t="str">
        <f aca="false">IF($B5="","",INDEX(Piutang!$D$2:$D$1751,MATCH($B5,Piutang!$A$2:$A$1751,0)))</f>
        <v>PRIMA TEKNIK</v>
      </c>
      <c r="D5" s="4" t="str">
        <f aca="false">IF($B5="","",INDEX(Piutang!$E$2:$E$1751,MATCH($B5,Piutang!$A$2:$A$1751,0)))</f>
        <v>SALES D</v>
      </c>
      <c r="E5" s="6" t="n">
        <f aca="false">IF($B5="","",INDEX(Piutang!$M$2:$M$1751,MATCH($B5,Piutang!$A$2:$A$1751,0)))</f>
        <v>5680100</v>
      </c>
      <c r="F5" s="4" t="n">
        <f aca="false">IF($B5="","",INDEX(Piutang!$O$2:$O$1751,MATCH($B5,Piutang!$A$2:$A$1751,0)))</f>
        <v>307</v>
      </c>
      <c r="G5" s="44" t="s">
        <v>126</v>
      </c>
      <c r="H5" s="45" t="n">
        <v>46025</v>
      </c>
      <c r="I5" s="47" t="n">
        <v>5680100</v>
      </c>
      <c r="J5" s="4" t="str">
        <f aca="false">IF(G5="","",IF(G5="Janji Bayar",IF(H5="","Isi tgl janji",IF(H5&lt;Catatan!$B$3,"Terlewat - tindak lanjut","Menunggu")),"-"))</f>
        <v>Menunggu</v>
      </c>
      <c r="K5" s="44" t="s">
        <v>127</v>
      </c>
      <c r="M5" s="4" t="s">
        <v>128</v>
      </c>
      <c r="N5" s="14" t="n">
        <f aca="false">COUNTA(B5:B200)</f>
        <v>14</v>
      </c>
    </row>
    <row r="6" customFormat="false" ht="15" hidden="false" customHeight="false" outlineLevel="0" collapsed="false">
      <c r="A6" s="45" t="n">
        <v>46017</v>
      </c>
      <c r="B6" s="44" t="s">
        <v>129</v>
      </c>
      <c r="C6" s="4" t="str">
        <f aca="false">IF($B6="","",INDEX(Piutang!$D$2:$D$1751,MATCH($B6,Piutang!$A$2:$A$1751,0)))</f>
        <v>SUMBER TEKNIK SURYA</v>
      </c>
      <c r="D6" s="4" t="str">
        <f aca="false">IF($B6="","",INDEX(Piutang!$E$2:$E$1751,MATCH($B6,Piutang!$A$2:$A$1751,0)))</f>
        <v>SALES D</v>
      </c>
      <c r="E6" s="6" t="n">
        <f aca="false">IF($B6="","",INDEX(Piutang!$M$2:$M$1751,MATCH($B6,Piutang!$A$2:$A$1751,0)))</f>
        <v>16041000</v>
      </c>
      <c r="F6" s="4" t="n">
        <f aca="false">IF($B6="","",INDEX(Piutang!$O$2:$O$1751,MATCH($B6,Piutang!$A$2:$A$1751,0)))</f>
        <v>213</v>
      </c>
      <c r="G6" s="44" t="s">
        <v>130</v>
      </c>
      <c r="H6" s="48"/>
      <c r="I6" s="49"/>
      <c r="J6" s="4" t="str">
        <f aca="false">IF(G6="","",IF(G6="Janji Bayar",IF(H6="","Isi tgl janji",IF(H6&lt;Catatan!$B$3,"Terlewat - tindak lanjut","Menunggu")),"-"))</f>
        <v>-</v>
      </c>
      <c r="K6" s="44" t="s">
        <v>131</v>
      </c>
      <c r="M6" s="4" t="s">
        <v>132</v>
      </c>
      <c r="N6" s="14" t="n">
        <f aca="false">COUNTIF(J5:J200,"Menunggu")</f>
        <v>4</v>
      </c>
    </row>
    <row r="7" customFormat="false" ht="15" hidden="false" customHeight="false" outlineLevel="0" collapsed="false">
      <c r="A7" s="45" t="n">
        <v>46006</v>
      </c>
      <c r="B7" s="44" t="s">
        <v>133</v>
      </c>
      <c r="C7" s="4" t="str">
        <f aca="false">IF($B7="","",INDEX(Piutang!$D$2:$D$1751,MATCH($B7,Piutang!$A$2:$A$1751,0)))</f>
        <v>UTAMA MOTOR</v>
      </c>
      <c r="D7" s="4" t="str">
        <f aca="false">IF($B7="","",INDEX(Piutang!$E$2:$E$1751,MATCH($B7,Piutang!$A$2:$A$1751,0)))</f>
        <v>SALES C</v>
      </c>
      <c r="E7" s="6" t="n">
        <f aca="false">IF($B7="","",INDEX(Piutang!$M$2:$M$1751,MATCH($B7,Piutang!$A$2:$A$1751,0)))</f>
        <v>4665000</v>
      </c>
      <c r="F7" s="4" t="n">
        <f aca="false">IF($B7="","",INDEX(Piutang!$O$2:$O$1751,MATCH($B7,Piutang!$A$2:$A$1751,0)))</f>
        <v>202</v>
      </c>
      <c r="G7" s="44" t="s">
        <v>126</v>
      </c>
      <c r="H7" s="45" t="n">
        <v>46017</v>
      </c>
      <c r="I7" s="47" t="n">
        <v>4665000</v>
      </c>
      <c r="J7" s="4" t="str">
        <f aca="false">IF(G7="","",IF(G7="Janji Bayar",IF(H7="","Isi tgl janji",IF(H7&lt;Catatan!$B$3,"Terlewat - tindak lanjut","Menunggu")),"-"))</f>
        <v>Terlewat - tindak lanjut</v>
      </c>
      <c r="K7" s="44" t="s">
        <v>134</v>
      </c>
      <c r="M7" s="4" t="s">
        <v>135</v>
      </c>
      <c r="N7" s="14" t="n">
        <f aca="false">COUNTIF(J5:J200,"Terlewat*")</f>
        <v>4</v>
      </c>
    </row>
    <row r="8" customFormat="false" ht="15" hidden="false" customHeight="false" outlineLevel="0" collapsed="false">
      <c r="A8" s="45" t="n">
        <v>46000</v>
      </c>
      <c r="B8" s="44" t="s">
        <v>136</v>
      </c>
      <c r="C8" s="4" t="str">
        <f aca="false">IF($B8="","",INDEX(Piutang!$D$2:$D$1751,MATCH($B8,Piutang!$A$2:$A$1751,0)))</f>
        <v>SUMBER TEKNIK SURYA</v>
      </c>
      <c r="D8" s="4" t="str">
        <f aca="false">IF($B8="","",INDEX(Piutang!$E$2:$E$1751,MATCH($B8,Piutang!$A$2:$A$1751,0)))</f>
        <v>SALES D</v>
      </c>
      <c r="E8" s="6" t="n">
        <f aca="false">IF($B8="","",INDEX(Piutang!$M$2:$M$1751,MATCH($B8,Piutang!$A$2:$A$1751,0)))</f>
        <v>5004200</v>
      </c>
      <c r="F8" s="4" t="n">
        <f aca="false">IF($B8="","",INDEX(Piutang!$O$2:$O$1751,MATCH($B8,Piutang!$A$2:$A$1751,0)))</f>
        <v>199</v>
      </c>
      <c r="G8" s="44" t="s">
        <v>126</v>
      </c>
      <c r="H8" s="45" t="n">
        <v>46010</v>
      </c>
      <c r="I8" s="47" t="n">
        <v>5004200</v>
      </c>
      <c r="J8" s="4" t="str">
        <f aca="false">IF(G8="","",IF(G8="Janji Bayar",IF(H8="","Isi tgl janji",IF(H8&lt;Catatan!$B$3,"Terlewat - tindak lanjut","Menunggu")),"-"))</f>
        <v>Terlewat - tindak lanjut</v>
      </c>
      <c r="K8" s="44" t="s">
        <v>137</v>
      </c>
      <c r="M8" s="4" t="s">
        <v>138</v>
      </c>
      <c r="N8" s="12" t="n">
        <f aca="false">SUM(I5:I200)</f>
        <v>47658500</v>
      </c>
    </row>
    <row r="9" customFormat="false" ht="15" hidden="false" customHeight="false" outlineLevel="0" collapsed="false">
      <c r="A9" s="45" t="n">
        <v>46009</v>
      </c>
      <c r="B9" s="44" t="s">
        <v>139</v>
      </c>
      <c r="C9" s="4" t="str">
        <f aca="false">IF($B9="","",INDEX(Piutang!$D$2:$D$1751,MATCH($B9,Piutang!$A$2:$A$1751,0)))</f>
        <v>SINAR AUTO BERKAH</v>
      </c>
      <c r="D9" s="4" t="str">
        <f aca="false">IF($B9="","",INDEX(Piutang!$E$2:$E$1751,MATCH($B9,Piutang!$A$2:$A$1751,0)))</f>
        <v>SALES C</v>
      </c>
      <c r="E9" s="6" t="n">
        <f aca="false">IF($B9="","",INDEX(Piutang!$M$2:$M$1751,MATCH($B9,Piutang!$A$2:$A$1751,0)))</f>
        <v>8448100</v>
      </c>
      <c r="F9" s="4" t="n">
        <f aca="false">IF($B9="","",INDEX(Piutang!$O$2:$O$1751,MATCH($B9,Piutang!$A$2:$A$1751,0)))</f>
        <v>157</v>
      </c>
      <c r="G9" s="44" t="s">
        <v>126</v>
      </c>
      <c r="H9" s="45" t="n">
        <v>46012</v>
      </c>
      <c r="I9" s="47" t="n">
        <v>8448100</v>
      </c>
      <c r="J9" s="4" t="str">
        <f aca="false">IF(G9="","",IF(G9="Janji Bayar",IF(H9="","Isi tgl janji",IF(H9&lt;Catatan!$B$3,"Terlewat - tindak lanjut","Menunggu")),"-"))</f>
        <v>Terlewat - tindak lanjut</v>
      </c>
      <c r="K9" s="44" t="s">
        <v>134</v>
      </c>
      <c r="M9" s="4" t="s">
        <v>140</v>
      </c>
      <c r="N9" s="14" t="n">
        <f aca="false">COUNTIF(G5:G200,"Tidak Ketemu")</f>
        <v>1</v>
      </c>
    </row>
    <row r="10" customFormat="false" ht="15" hidden="false" customHeight="false" outlineLevel="0" collapsed="false">
      <c r="A10" s="45" t="n">
        <v>46004</v>
      </c>
      <c r="B10" s="44" t="s">
        <v>141</v>
      </c>
      <c r="C10" s="4" t="str">
        <f aca="false">IF($B10="","",INDEX(Piutang!$D$2:$D$1751,MATCH($B10,Piutang!$A$2:$A$1751,0)))</f>
        <v>MAJU GARAGE</v>
      </c>
      <c r="D10" s="4" t="str">
        <f aca="false">IF($B10="","",INDEX(Piutang!$E$2:$E$1751,MATCH($B10,Piutang!$A$2:$A$1751,0)))</f>
        <v>SALES B</v>
      </c>
      <c r="E10" s="6" t="n">
        <f aca="false">IF($B10="","",INDEX(Piutang!$M$2:$M$1751,MATCH($B10,Piutang!$A$2:$A$1751,0)))</f>
        <v>4491800</v>
      </c>
      <c r="F10" s="4" t="n">
        <f aca="false">IF($B10="","",INDEX(Piutang!$O$2:$O$1751,MATCH($B10,Piutang!$A$2:$A$1751,0)))</f>
        <v>124</v>
      </c>
      <c r="G10" s="44" t="s">
        <v>142</v>
      </c>
      <c r="H10" s="45" t="n">
        <v>46009</v>
      </c>
      <c r="I10" s="47" t="n">
        <v>2245900</v>
      </c>
      <c r="J10" s="4" t="str">
        <f aca="false">IF(G10="","",IF(G10="Janji Bayar",IF(H10="","Isi tgl janji",IF(H10&lt;Catatan!$B$3,"Terlewat - tindak lanjut","Menunggu")),"-"))</f>
        <v>-</v>
      </c>
      <c r="K10" s="44" t="s">
        <v>143</v>
      </c>
    </row>
    <row r="11" customFormat="false" ht="15" hidden="false" customHeight="false" outlineLevel="0" collapsed="false">
      <c r="A11" s="45" t="n">
        <v>46013</v>
      </c>
      <c r="B11" s="44" t="s">
        <v>144</v>
      </c>
      <c r="C11" s="4" t="str">
        <f aca="false">IF($B11="","",INDEX(Piutang!$D$2:$D$1751,MATCH($B11,Piutang!$A$2:$A$1751,0)))</f>
        <v>CAHAYA SERVICE</v>
      </c>
      <c r="D11" s="4" t="str">
        <f aca="false">IF($B11="","",INDEX(Piutang!$E$2:$E$1751,MATCH($B11,Piutang!$A$2:$A$1751,0)))</f>
        <v>SALES D</v>
      </c>
      <c r="E11" s="6" t="n">
        <f aca="false">IF($B11="","",INDEX(Piutang!$M$2:$M$1751,MATCH($B11,Piutang!$A$2:$A$1751,0)))</f>
        <v>3090000</v>
      </c>
      <c r="F11" s="4" t="n">
        <f aca="false">IF($B11="","",INDEX(Piutang!$O$2:$O$1751,MATCH($B11,Piutang!$A$2:$A$1751,0)))</f>
        <v>79</v>
      </c>
      <c r="G11" s="44" t="s">
        <v>126</v>
      </c>
      <c r="H11" s="45" t="n">
        <v>46024</v>
      </c>
      <c r="I11" s="47" t="n">
        <v>3090000</v>
      </c>
      <c r="J11" s="4" t="str">
        <f aca="false">IF(G11="","",IF(G11="Janji Bayar",IF(H11="","Isi tgl janji",IF(H11&lt;Catatan!$B$3,"Terlewat - tindak lanjut","Menunggu")),"-"))</f>
        <v>Menunggu</v>
      </c>
      <c r="K11" s="44" t="s">
        <v>134</v>
      </c>
    </row>
    <row r="12" customFormat="false" ht="15" hidden="false" customHeight="false" outlineLevel="0" collapsed="false">
      <c r="A12" s="45" t="n">
        <v>46013</v>
      </c>
      <c r="B12" s="44" t="s">
        <v>145</v>
      </c>
      <c r="C12" s="4" t="str">
        <f aca="false">IF($B12="","",INDEX(Piutang!$D$2:$D$1751,MATCH($B12,Piutang!$A$2:$A$1751,0)))</f>
        <v>HARAPAN LUBRICANT</v>
      </c>
      <c r="D12" s="4" t="str">
        <f aca="false">IF($B12="","",INDEX(Piutang!$E$2:$E$1751,MATCH($B12,Piutang!$A$2:$A$1751,0)))</f>
        <v>SALES B</v>
      </c>
      <c r="E12" s="6" t="n">
        <f aca="false">IF($B12="","",INDEX(Piutang!$M$2:$M$1751,MATCH($B12,Piutang!$A$2:$A$1751,0)))</f>
        <v>9714500</v>
      </c>
      <c r="F12" s="4" t="n">
        <f aca="false">IF($B12="","",INDEX(Piutang!$O$2:$O$1751,MATCH($B12,Piutang!$A$2:$A$1751,0)))</f>
        <v>59</v>
      </c>
      <c r="G12" s="44" t="s">
        <v>126</v>
      </c>
      <c r="H12" s="45" t="n">
        <v>46026</v>
      </c>
      <c r="I12" s="47" t="n">
        <v>9714500</v>
      </c>
      <c r="J12" s="4" t="str">
        <f aca="false">IF(G12="","",IF(G12="Janji Bayar",IF(H12="","Isi tgl janji",IF(H12&lt;Catatan!$B$3,"Terlewat - tindak lanjut","Menunggu")),"-"))</f>
        <v>Menunggu</v>
      </c>
      <c r="K12" s="44" t="s">
        <v>134</v>
      </c>
    </row>
    <row r="13" customFormat="false" ht="15" hidden="false" customHeight="false" outlineLevel="0" collapsed="false">
      <c r="A13" s="45" t="n">
        <v>45999</v>
      </c>
      <c r="B13" s="44" t="s">
        <v>146</v>
      </c>
      <c r="C13" s="4" t="str">
        <f aca="false">IF($B13="","",INDEX(Piutang!$D$2:$D$1751,MATCH($B13,Piutang!$A$2:$A$1751,0)))</f>
        <v>MAKMUR SERVICE JAYA</v>
      </c>
      <c r="D13" s="4" t="str">
        <f aca="false">IF($B13="","",INDEX(Piutang!$E$2:$E$1751,MATCH($B13,Piutang!$A$2:$A$1751,0)))</f>
        <v>SALES B</v>
      </c>
      <c r="E13" s="6" t="n">
        <f aca="false">IF($B13="","",INDEX(Piutang!$M$2:$M$1751,MATCH($B13,Piutang!$A$2:$A$1751,0)))</f>
        <v>12934100</v>
      </c>
      <c r="F13" s="4" t="n">
        <f aca="false">IF($B13="","",INDEX(Piutang!$O$2:$O$1751,MATCH($B13,Piutang!$A$2:$A$1751,0)))</f>
        <v>40</v>
      </c>
      <c r="G13" s="44" t="s">
        <v>147</v>
      </c>
      <c r="H13" s="48"/>
      <c r="I13" s="49"/>
      <c r="J13" s="4" t="str">
        <f aca="false">IF(G13="","",IF(G13="Janji Bayar",IF(H13="","Isi tgl janji",IF(H13&lt;Catatan!$B$3,"Terlewat - tindak lanjut","Menunggu")),"-"))</f>
        <v>-</v>
      </c>
      <c r="K13" s="44" t="s">
        <v>148</v>
      </c>
    </row>
    <row r="14" customFormat="false" ht="15" hidden="false" customHeight="false" outlineLevel="0" collapsed="false">
      <c r="A14" s="45" t="n">
        <v>46021</v>
      </c>
      <c r="B14" s="44" t="s">
        <v>149</v>
      </c>
      <c r="C14" s="4" t="str">
        <f aca="false">IF($B14="","",INDEX(Piutang!$D$2:$D$1751,MATCH($B14,Piutang!$A$2:$A$1751,0)))</f>
        <v>KARYA SERVICE</v>
      </c>
      <c r="D14" s="4" t="str">
        <f aca="false">IF($B14="","",INDEX(Piutang!$E$2:$E$1751,MATCH($B14,Piutang!$A$2:$A$1751,0)))</f>
        <v>SALES C</v>
      </c>
      <c r="E14" s="6" t="n">
        <f aca="false">IF($B14="","",INDEX(Piutang!$M$2:$M$1751,MATCH($B14,Piutang!$A$2:$A$1751,0)))</f>
        <v>3048800</v>
      </c>
      <c r="F14" s="4" t="n">
        <f aca="false">IF($B14="","",INDEX(Piutang!$O$2:$O$1751,MATCH($B14,Piutang!$A$2:$A$1751,0)))</f>
        <v>13</v>
      </c>
      <c r="G14" s="44" t="s">
        <v>126</v>
      </c>
      <c r="H14" s="45" t="n">
        <v>46033</v>
      </c>
      <c r="I14" s="47" t="n">
        <v>3048800</v>
      </c>
      <c r="J14" s="4" t="str">
        <f aca="false">IF(G14="","",IF(G14="Janji Bayar",IF(H14="","Isi tgl janji",IF(H14&lt;Catatan!$B$3,"Terlewat - tindak lanjut","Menunggu")),"-"))</f>
        <v>Menunggu</v>
      </c>
      <c r="K14" s="44" t="s">
        <v>127</v>
      </c>
    </row>
    <row r="15" customFormat="false" ht="15" hidden="false" customHeight="false" outlineLevel="0" collapsed="false">
      <c r="A15" s="45" t="n">
        <v>46004</v>
      </c>
      <c r="B15" s="44" t="s">
        <v>150</v>
      </c>
      <c r="C15" s="4" t="str">
        <f aca="false">IF($B15="","",INDEX(Piutang!$D$2:$D$1751,MATCH($B15,Piutang!$A$2:$A$1751,0)))</f>
        <v>ABADI LUBRICANT KARYA</v>
      </c>
      <c r="D15" s="4" t="str">
        <f aca="false">IF($B15="","",INDEX(Piutang!$E$2:$E$1751,MATCH($B15,Piutang!$A$2:$A$1751,0)))</f>
        <v>SALES B</v>
      </c>
      <c r="E15" s="6" t="n">
        <f aca="false">IF($B15="","",INDEX(Piutang!$M$2:$M$1751,MATCH($B15,Piutang!$A$2:$A$1751,0)))</f>
        <v>2004700</v>
      </c>
      <c r="F15" s="4" t="n">
        <f aca="false">IF($B15="","",INDEX(Piutang!$O$2:$O$1751,MATCH($B15,Piutang!$A$2:$A$1751,0)))</f>
        <v>12</v>
      </c>
      <c r="G15" s="44" t="s">
        <v>126</v>
      </c>
      <c r="H15" s="45" t="n">
        <v>46016</v>
      </c>
      <c r="I15" s="47" t="n">
        <v>2004700</v>
      </c>
      <c r="J15" s="4" t="str">
        <f aca="false">IF(G15="","",IF(G15="Janji Bayar",IF(H15="","Isi tgl janji",IF(H15&lt;Catatan!$B$3,"Terlewat - tindak lanjut","Menunggu")),"-"))</f>
        <v>Terlewat - tindak lanjut</v>
      </c>
      <c r="K15" s="44" t="s">
        <v>137</v>
      </c>
    </row>
    <row r="16" customFormat="false" ht="15" hidden="false" customHeight="false" outlineLevel="0" collapsed="false">
      <c r="A16" s="45" t="n">
        <v>46000</v>
      </c>
      <c r="B16" s="44" t="s">
        <v>151</v>
      </c>
      <c r="C16" s="4" t="str">
        <f aca="false">IF($B16="","",INDEX(Piutang!$D$2:$D$1751,MATCH($B16,Piutang!$A$2:$A$1751,0)))</f>
        <v>SINAR AUTO BERKAH</v>
      </c>
      <c r="D16" s="4" t="str">
        <f aca="false">IF($B16="","",INDEX(Piutang!$E$2:$E$1751,MATCH($B16,Piutang!$A$2:$A$1751,0)))</f>
        <v>SALES C</v>
      </c>
      <c r="E16" s="6" t="n">
        <f aca="false">IF($B16="","",INDEX(Piutang!$M$2:$M$1751,MATCH($B16,Piutang!$A$2:$A$1751,0)))</f>
        <v>6785100</v>
      </c>
      <c r="F16" s="4" t="n">
        <f aca="false">IF($B16="","",INDEX(Piutang!$O$2:$O$1751,MATCH($B16,Piutang!$A$2:$A$1751,0)))</f>
        <v>11</v>
      </c>
      <c r="G16" s="44" t="s">
        <v>152</v>
      </c>
      <c r="H16" s="45" t="n">
        <v>46008</v>
      </c>
      <c r="I16" s="47" t="n">
        <v>3392600</v>
      </c>
      <c r="J16" s="4" t="str">
        <f aca="false">IF(G16="","",IF(G16="Janji Bayar",IF(H16="","Isi tgl janji",IF(H16&lt;Catatan!$B$3,"Terlewat - tindak lanjut","Menunggu")),"-"))</f>
        <v>-</v>
      </c>
      <c r="K16" s="44" t="s">
        <v>153</v>
      </c>
    </row>
    <row r="17" customFormat="false" ht="15" hidden="false" customHeight="false" outlineLevel="0" collapsed="false">
      <c r="A17" s="45" t="n">
        <v>46016</v>
      </c>
      <c r="B17" s="44" t="s">
        <v>154</v>
      </c>
      <c r="C17" s="4" t="str">
        <f aca="false">IF($B17="","",INDEX(Piutang!$D$2:$D$1751,MATCH($B17,Piutang!$A$2:$A$1751,0)))</f>
        <v>UTAMA TEKNIK</v>
      </c>
      <c r="D17" s="4" t="str">
        <f aca="false">IF($B17="","",INDEX(Piutang!$E$2:$E$1751,MATCH($B17,Piutang!$A$2:$A$1751,0)))</f>
        <v>SALES D</v>
      </c>
      <c r="E17" s="6" t="n">
        <f aca="false">IF($B17="","",INDEX(Piutang!$M$2:$M$1751,MATCH($B17,Piutang!$A$2:$A$1751,0)))</f>
        <v>5945000</v>
      </c>
      <c r="F17" s="4" t="n">
        <f aca="false">IF($B17="","",INDEX(Piutang!$O$2:$O$1751,MATCH($B17,Piutang!$A$2:$A$1751,0)))</f>
        <v>11</v>
      </c>
      <c r="G17" s="44" t="s">
        <v>147</v>
      </c>
      <c r="H17" s="48"/>
      <c r="I17" s="49"/>
      <c r="J17" s="4" t="str">
        <f aca="false">IF(G17="","",IF(G17="Janji Bayar",IF(H17="","Isi tgl janji",IF(H17&lt;Catatan!$B$3,"Terlewat - tindak lanjut","Menunggu")),"-"))</f>
        <v>-</v>
      </c>
      <c r="K17" s="44" t="s">
        <v>148</v>
      </c>
    </row>
    <row r="18" customFormat="false" ht="15" hidden="false" customHeight="false" outlineLevel="0" collapsed="false">
      <c r="A18" s="45" t="n">
        <v>46016</v>
      </c>
      <c r="B18" s="44" t="s">
        <v>155</v>
      </c>
      <c r="C18" s="4" t="str">
        <f aca="false">IF($B18="","",INDEX(Piutang!$D$2:$D$1751,MATCH($B18,Piutang!$A$2:$A$1751,0)))</f>
        <v>BINTANG TEKNIK SURYA</v>
      </c>
      <c r="D18" s="4" t="str">
        <f aca="false">IF($B18="","",INDEX(Piutang!$E$2:$E$1751,MATCH($B18,Piutang!$A$2:$A$1751,0)))</f>
        <v>SALES B</v>
      </c>
      <c r="E18" s="6" t="n">
        <f aca="false">IF($B18="","",INDEX(Piutang!$M$2:$M$1751,MATCH($B18,Piutang!$A$2:$A$1751,0)))</f>
        <v>729100</v>
      </c>
      <c r="F18" s="4" t="n">
        <f aca="false">IF($B18="","",INDEX(Piutang!$O$2:$O$1751,MATCH($B18,Piutang!$A$2:$A$1751,0)))</f>
        <v>8</v>
      </c>
      <c r="G18" s="44" t="s">
        <v>142</v>
      </c>
      <c r="H18" s="45" t="n">
        <v>46019</v>
      </c>
      <c r="I18" s="47" t="n">
        <v>364600</v>
      </c>
      <c r="J18" s="4" t="str">
        <f aca="false">IF(G18="","",IF(G18="Janji Bayar",IF(H18="","Isi tgl janji",IF(H18&lt;Catatan!$B$3,"Terlewat - tindak lanjut","Menunggu")),"-"))</f>
        <v>-</v>
      </c>
      <c r="K18" s="44" t="s">
        <v>143</v>
      </c>
    </row>
    <row r="19" customFormat="false" ht="15" hidden="false" customHeight="false" outlineLevel="0" collapsed="false">
      <c r="A19" s="45"/>
      <c r="B19" s="44"/>
      <c r="C19" s="4" t="str">
        <f aca="false">IF($B19="","",INDEX(Piutang!$D$2:$D$1751,MATCH($B19,Piutang!$A$2:$A$1751,0)))</f>
        <v/>
      </c>
      <c r="D19" s="4" t="str">
        <f aca="false">IF($B19="","",INDEX(Piutang!$E$2:$E$1751,MATCH($B19,Piutang!$A$2:$A$1751,0)))</f>
        <v/>
      </c>
      <c r="E19" s="6" t="str">
        <f aca="false">IF($B19="","",INDEX(Piutang!$M$2:$M$1751,MATCH($B19,Piutang!$A$2:$A$1751,0)))</f>
        <v/>
      </c>
      <c r="F19" s="4" t="str">
        <f aca="false">IF($B19="","",INDEX(Piutang!$O$2:$O$1751,MATCH($B19,Piutang!$A$2:$A$1751,0)))</f>
        <v/>
      </c>
      <c r="G19" s="44"/>
      <c r="H19" s="45"/>
      <c r="I19" s="47"/>
      <c r="J19" s="4" t="str">
        <f aca="false">IF(G19="","",IF(G19="Janji Bayar",IF(H19="","Isi tgl janji",IF(H19&lt;Catatan!$B$3,"Terlewat - tindak lanjut","Menunggu")),"-"))</f>
        <v/>
      </c>
      <c r="K19" s="44"/>
    </row>
    <row r="20" customFormat="false" ht="15" hidden="false" customHeight="false" outlineLevel="0" collapsed="false">
      <c r="A20" s="45"/>
      <c r="B20" s="44"/>
      <c r="C20" s="4" t="str">
        <f aca="false">IF($B20="","",INDEX(Piutang!$D$2:$D$1751,MATCH($B20,Piutang!$A$2:$A$1751,0)))</f>
        <v/>
      </c>
      <c r="D20" s="4" t="str">
        <f aca="false">IF($B20="","",INDEX(Piutang!$E$2:$E$1751,MATCH($B20,Piutang!$A$2:$A$1751,0)))</f>
        <v/>
      </c>
      <c r="E20" s="6" t="str">
        <f aca="false">IF($B20="","",INDEX(Piutang!$M$2:$M$1751,MATCH($B20,Piutang!$A$2:$A$1751,0)))</f>
        <v/>
      </c>
      <c r="F20" s="4" t="str">
        <f aca="false">IF($B20="","",INDEX(Piutang!$O$2:$O$1751,MATCH($B20,Piutang!$A$2:$A$1751,0)))</f>
        <v/>
      </c>
      <c r="G20" s="44"/>
      <c r="H20" s="45"/>
      <c r="I20" s="47"/>
      <c r="J20" s="4" t="str">
        <f aca="false">IF(G20="","",IF(G20="Janji Bayar",IF(H20="","Isi tgl janji",IF(H20&lt;Catatan!$B$3,"Terlewat - tindak lanjut","Menunggu")),"-"))</f>
        <v/>
      </c>
      <c r="K20" s="44"/>
    </row>
    <row r="21" customFormat="false" ht="15" hidden="false" customHeight="false" outlineLevel="0" collapsed="false">
      <c r="A21" s="45"/>
      <c r="B21" s="44"/>
      <c r="C21" s="4" t="str">
        <f aca="false">IF($B21="","",INDEX(Piutang!$D$2:$D$1751,MATCH($B21,Piutang!$A$2:$A$1751,0)))</f>
        <v/>
      </c>
      <c r="D21" s="4" t="str">
        <f aca="false">IF($B21="","",INDEX(Piutang!$E$2:$E$1751,MATCH($B21,Piutang!$A$2:$A$1751,0)))</f>
        <v/>
      </c>
      <c r="E21" s="6" t="str">
        <f aca="false">IF($B21="","",INDEX(Piutang!$M$2:$M$1751,MATCH($B21,Piutang!$A$2:$A$1751,0)))</f>
        <v/>
      </c>
      <c r="F21" s="4" t="str">
        <f aca="false">IF($B21="","",INDEX(Piutang!$O$2:$O$1751,MATCH($B21,Piutang!$A$2:$A$1751,0)))</f>
        <v/>
      </c>
      <c r="G21" s="44"/>
      <c r="H21" s="45"/>
      <c r="I21" s="47"/>
      <c r="J21" s="4" t="str">
        <f aca="false">IF(G21="","",IF(G21="Janji Bayar",IF(H21="","Isi tgl janji",IF(H21&lt;Catatan!$B$3,"Terlewat - tindak lanjut","Menunggu")),"-"))</f>
        <v/>
      </c>
      <c r="K21" s="44"/>
    </row>
    <row r="22" customFormat="false" ht="15" hidden="false" customHeight="false" outlineLevel="0" collapsed="false">
      <c r="A22" s="45"/>
      <c r="B22" s="44"/>
      <c r="C22" s="4" t="str">
        <f aca="false">IF($B22="","",INDEX(Piutang!$D$2:$D$1751,MATCH($B22,Piutang!$A$2:$A$1751,0)))</f>
        <v/>
      </c>
      <c r="D22" s="4" t="str">
        <f aca="false">IF($B22="","",INDEX(Piutang!$E$2:$E$1751,MATCH($B22,Piutang!$A$2:$A$1751,0)))</f>
        <v/>
      </c>
      <c r="E22" s="6" t="str">
        <f aca="false">IF($B22="","",INDEX(Piutang!$M$2:$M$1751,MATCH($B22,Piutang!$A$2:$A$1751,0)))</f>
        <v/>
      </c>
      <c r="F22" s="4" t="str">
        <f aca="false">IF($B22="","",INDEX(Piutang!$O$2:$O$1751,MATCH($B22,Piutang!$A$2:$A$1751,0)))</f>
        <v/>
      </c>
      <c r="G22" s="44"/>
      <c r="H22" s="45"/>
      <c r="I22" s="47"/>
      <c r="J22" s="4" t="str">
        <f aca="false">IF(G22="","",IF(G22="Janji Bayar",IF(H22="","Isi tgl janji",IF(H22&lt;Catatan!$B$3,"Terlewat - tindak lanjut","Menunggu")),"-"))</f>
        <v/>
      </c>
      <c r="K22" s="44"/>
    </row>
    <row r="23" customFormat="false" ht="15" hidden="false" customHeight="false" outlineLevel="0" collapsed="false">
      <c r="A23" s="45"/>
      <c r="B23" s="44"/>
      <c r="C23" s="4" t="str">
        <f aca="false">IF($B23="","",INDEX(Piutang!$D$2:$D$1751,MATCH($B23,Piutang!$A$2:$A$1751,0)))</f>
        <v/>
      </c>
      <c r="D23" s="4" t="str">
        <f aca="false">IF($B23="","",INDEX(Piutang!$E$2:$E$1751,MATCH($B23,Piutang!$A$2:$A$1751,0)))</f>
        <v/>
      </c>
      <c r="E23" s="6" t="str">
        <f aca="false">IF($B23="","",INDEX(Piutang!$M$2:$M$1751,MATCH($B23,Piutang!$A$2:$A$1751,0)))</f>
        <v/>
      </c>
      <c r="F23" s="4" t="str">
        <f aca="false">IF($B23="","",INDEX(Piutang!$O$2:$O$1751,MATCH($B23,Piutang!$A$2:$A$1751,0)))</f>
        <v/>
      </c>
      <c r="G23" s="44"/>
      <c r="H23" s="45"/>
      <c r="I23" s="47"/>
      <c r="J23" s="4" t="str">
        <f aca="false">IF(G23="","",IF(G23="Janji Bayar",IF(H23="","Isi tgl janji",IF(H23&lt;Catatan!$B$3,"Terlewat - tindak lanjut","Menunggu")),"-"))</f>
        <v/>
      </c>
      <c r="K23" s="44"/>
    </row>
    <row r="24" customFormat="false" ht="15" hidden="false" customHeight="false" outlineLevel="0" collapsed="false">
      <c r="A24" s="45"/>
      <c r="B24" s="44"/>
      <c r="C24" s="4" t="str">
        <f aca="false">IF($B24="","",INDEX(Piutang!$D$2:$D$1751,MATCH($B24,Piutang!$A$2:$A$1751,0)))</f>
        <v/>
      </c>
      <c r="D24" s="4" t="str">
        <f aca="false">IF($B24="","",INDEX(Piutang!$E$2:$E$1751,MATCH($B24,Piutang!$A$2:$A$1751,0)))</f>
        <v/>
      </c>
      <c r="E24" s="6" t="str">
        <f aca="false">IF($B24="","",INDEX(Piutang!$M$2:$M$1751,MATCH($B24,Piutang!$A$2:$A$1751,0)))</f>
        <v/>
      </c>
      <c r="F24" s="4" t="str">
        <f aca="false">IF($B24="","",INDEX(Piutang!$O$2:$O$1751,MATCH($B24,Piutang!$A$2:$A$1751,0)))</f>
        <v/>
      </c>
      <c r="G24" s="44"/>
      <c r="H24" s="45"/>
      <c r="I24" s="47"/>
      <c r="J24" s="4" t="str">
        <f aca="false">IF(G24="","",IF(G24="Janji Bayar",IF(H24="","Isi tgl janji",IF(H24&lt;Catatan!$B$3,"Terlewat - tindak lanjut","Menunggu")),"-"))</f>
        <v/>
      </c>
      <c r="K24" s="44"/>
    </row>
    <row r="25" customFormat="false" ht="15" hidden="false" customHeight="false" outlineLevel="0" collapsed="false">
      <c r="A25" s="45"/>
      <c r="B25" s="44"/>
      <c r="C25" s="4" t="str">
        <f aca="false">IF($B25="","",INDEX(Piutang!$D$2:$D$1751,MATCH($B25,Piutang!$A$2:$A$1751,0)))</f>
        <v/>
      </c>
      <c r="D25" s="4" t="str">
        <f aca="false">IF($B25="","",INDEX(Piutang!$E$2:$E$1751,MATCH($B25,Piutang!$A$2:$A$1751,0)))</f>
        <v/>
      </c>
      <c r="E25" s="6" t="str">
        <f aca="false">IF($B25="","",INDEX(Piutang!$M$2:$M$1751,MATCH($B25,Piutang!$A$2:$A$1751,0)))</f>
        <v/>
      </c>
      <c r="F25" s="4" t="str">
        <f aca="false">IF($B25="","",INDEX(Piutang!$O$2:$O$1751,MATCH($B25,Piutang!$A$2:$A$1751,0)))</f>
        <v/>
      </c>
      <c r="G25" s="44"/>
      <c r="H25" s="45"/>
      <c r="I25" s="47"/>
      <c r="J25" s="4" t="str">
        <f aca="false">IF(G25="","",IF(G25="Janji Bayar",IF(H25="","Isi tgl janji",IF(H25&lt;Catatan!$B$3,"Terlewat - tindak lanjut","Menunggu")),"-"))</f>
        <v/>
      </c>
      <c r="K25" s="44"/>
    </row>
    <row r="26" customFormat="false" ht="15" hidden="false" customHeight="false" outlineLevel="0" collapsed="false">
      <c r="A26" s="45"/>
      <c r="B26" s="44"/>
      <c r="C26" s="4" t="str">
        <f aca="false">IF($B26="","",INDEX(Piutang!$D$2:$D$1751,MATCH($B26,Piutang!$A$2:$A$1751,0)))</f>
        <v/>
      </c>
      <c r="D26" s="4" t="str">
        <f aca="false">IF($B26="","",INDEX(Piutang!$E$2:$E$1751,MATCH($B26,Piutang!$A$2:$A$1751,0)))</f>
        <v/>
      </c>
      <c r="E26" s="6" t="str">
        <f aca="false">IF($B26="","",INDEX(Piutang!$M$2:$M$1751,MATCH($B26,Piutang!$A$2:$A$1751,0)))</f>
        <v/>
      </c>
      <c r="F26" s="4" t="str">
        <f aca="false">IF($B26="","",INDEX(Piutang!$O$2:$O$1751,MATCH($B26,Piutang!$A$2:$A$1751,0)))</f>
        <v/>
      </c>
      <c r="G26" s="44"/>
      <c r="H26" s="45"/>
      <c r="I26" s="47"/>
      <c r="J26" s="4" t="str">
        <f aca="false">IF(G26="","",IF(G26="Janji Bayar",IF(H26="","Isi tgl janji",IF(H26&lt;Catatan!$B$3,"Terlewat - tindak lanjut","Menunggu")),"-"))</f>
        <v/>
      </c>
      <c r="K26" s="44"/>
    </row>
    <row r="27" customFormat="false" ht="15" hidden="false" customHeight="false" outlineLevel="0" collapsed="false">
      <c r="A27" s="45"/>
      <c r="B27" s="44"/>
      <c r="C27" s="4" t="str">
        <f aca="false">IF($B27="","",INDEX(Piutang!$D$2:$D$1751,MATCH($B27,Piutang!$A$2:$A$1751,0)))</f>
        <v/>
      </c>
      <c r="D27" s="4" t="str">
        <f aca="false">IF($B27="","",INDEX(Piutang!$E$2:$E$1751,MATCH($B27,Piutang!$A$2:$A$1751,0)))</f>
        <v/>
      </c>
      <c r="E27" s="6" t="str">
        <f aca="false">IF($B27="","",INDEX(Piutang!$M$2:$M$1751,MATCH($B27,Piutang!$A$2:$A$1751,0)))</f>
        <v/>
      </c>
      <c r="F27" s="4" t="str">
        <f aca="false">IF($B27="","",INDEX(Piutang!$O$2:$O$1751,MATCH($B27,Piutang!$A$2:$A$1751,0)))</f>
        <v/>
      </c>
      <c r="G27" s="44"/>
      <c r="H27" s="45"/>
      <c r="I27" s="47"/>
      <c r="J27" s="4" t="str">
        <f aca="false">IF(G27="","",IF(G27="Janji Bayar",IF(H27="","Isi tgl janji",IF(H27&lt;Catatan!$B$3,"Terlewat - tindak lanjut","Menunggu")),"-"))</f>
        <v/>
      </c>
      <c r="K27" s="44"/>
    </row>
    <row r="28" customFormat="false" ht="15" hidden="false" customHeight="false" outlineLevel="0" collapsed="false">
      <c r="A28" s="45"/>
      <c r="B28" s="44"/>
      <c r="C28" s="4" t="str">
        <f aca="false">IF($B28="","",INDEX(Piutang!$D$2:$D$1751,MATCH($B28,Piutang!$A$2:$A$1751,0)))</f>
        <v/>
      </c>
      <c r="D28" s="4" t="str">
        <f aca="false">IF($B28="","",INDEX(Piutang!$E$2:$E$1751,MATCH($B28,Piutang!$A$2:$A$1751,0)))</f>
        <v/>
      </c>
      <c r="E28" s="6" t="str">
        <f aca="false">IF($B28="","",INDEX(Piutang!$M$2:$M$1751,MATCH($B28,Piutang!$A$2:$A$1751,0)))</f>
        <v/>
      </c>
      <c r="F28" s="4" t="str">
        <f aca="false">IF($B28="","",INDEX(Piutang!$O$2:$O$1751,MATCH($B28,Piutang!$A$2:$A$1751,0)))</f>
        <v/>
      </c>
      <c r="G28" s="44"/>
      <c r="H28" s="45"/>
      <c r="I28" s="47"/>
      <c r="J28" s="4" t="str">
        <f aca="false">IF(G28="","",IF(G28="Janji Bayar",IF(H28="","Isi tgl janji",IF(H28&lt;Catatan!$B$3,"Terlewat - tindak lanjut","Menunggu")),"-"))</f>
        <v/>
      </c>
      <c r="K28" s="44"/>
    </row>
    <row r="29" customFormat="false" ht="15" hidden="false" customHeight="false" outlineLevel="0" collapsed="false">
      <c r="A29" s="45"/>
      <c r="B29" s="44"/>
      <c r="C29" s="4" t="str">
        <f aca="false">IF($B29="","",INDEX(Piutang!$D$2:$D$1751,MATCH($B29,Piutang!$A$2:$A$1751,0)))</f>
        <v/>
      </c>
      <c r="D29" s="4" t="str">
        <f aca="false">IF($B29="","",INDEX(Piutang!$E$2:$E$1751,MATCH($B29,Piutang!$A$2:$A$1751,0)))</f>
        <v/>
      </c>
      <c r="E29" s="6" t="str">
        <f aca="false">IF($B29="","",INDEX(Piutang!$M$2:$M$1751,MATCH($B29,Piutang!$A$2:$A$1751,0)))</f>
        <v/>
      </c>
      <c r="F29" s="4" t="str">
        <f aca="false">IF($B29="","",INDEX(Piutang!$O$2:$O$1751,MATCH($B29,Piutang!$A$2:$A$1751,0)))</f>
        <v/>
      </c>
      <c r="G29" s="44"/>
      <c r="H29" s="45"/>
      <c r="I29" s="47"/>
      <c r="J29" s="4" t="str">
        <f aca="false">IF(G29="","",IF(G29="Janji Bayar",IF(H29="","Isi tgl janji",IF(H29&lt;Catatan!$B$3,"Terlewat - tindak lanjut","Menunggu")),"-"))</f>
        <v/>
      </c>
      <c r="K29" s="44"/>
    </row>
    <row r="30" customFormat="false" ht="15" hidden="false" customHeight="false" outlineLevel="0" collapsed="false">
      <c r="A30" s="45"/>
      <c r="B30" s="44"/>
      <c r="C30" s="4" t="str">
        <f aca="false">IF($B30="","",INDEX(Piutang!$D$2:$D$1751,MATCH($B30,Piutang!$A$2:$A$1751,0)))</f>
        <v/>
      </c>
      <c r="D30" s="4" t="str">
        <f aca="false">IF($B30="","",INDEX(Piutang!$E$2:$E$1751,MATCH($B30,Piutang!$A$2:$A$1751,0)))</f>
        <v/>
      </c>
      <c r="E30" s="6" t="str">
        <f aca="false">IF($B30="","",INDEX(Piutang!$M$2:$M$1751,MATCH($B30,Piutang!$A$2:$A$1751,0)))</f>
        <v/>
      </c>
      <c r="F30" s="4" t="str">
        <f aca="false">IF($B30="","",INDEX(Piutang!$O$2:$O$1751,MATCH($B30,Piutang!$A$2:$A$1751,0)))</f>
        <v/>
      </c>
      <c r="G30" s="44"/>
      <c r="H30" s="45"/>
      <c r="I30" s="47"/>
      <c r="J30" s="4" t="str">
        <f aca="false">IF(G30="","",IF(G30="Janji Bayar",IF(H30="","Isi tgl janji",IF(H30&lt;Catatan!$B$3,"Terlewat - tindak lanjut","Menunggu")),"-"))</f>
        <v/>
      </c>
      <c r="K30" s="44"/>
    </row>
    <row r="31" customFormat="false" ht="15" hidden="false" customHeight="false" outlineLevel="0" collapsed="false">
      <c r="A31" s="45"/>
      <c r="B31" s="44"/>
      <c r="C31" s="4" t="str">
        <f aca="false">IF($B31="","",INDEX(Piutang!$D$2:$D$1751,MATCH($B31,Piutang!$A$2:$A$1751,0)))</f>
        <v/>
      </c>
      <c r="D31" s="4" t="str">
        <f aca="false">IF($B31="","",INDEX(Piutang!$E$2:$E$1751,MATCH($B31,Piutang!$A$2:$A$1751,0)))</f>
        <v/>
      </c>
      <c r="E31" s="6" t="str">
        <f aca="false">IF($B31="","",INDEX(Piutang!$M$2:$M$1751,MATCH($B31,Piutang!$A$2:$A$1751,0)))</f>
        <v/>
      </c>
      <c r="F31" s="4" t="str">
        <f aca="false">IF($B31="","",INDEX(Piutang!$O$2:$O$1751,MATCH($B31,Piutang!$A$2:$A$1751,0)))</f>
        <v/>
      </c>
      <c r="G31" s="44"/>
      <c r="H31" s="45"/>
      <c r="I31" s="47"/>
      <c r="J31" s="4" t="str">
        <f aca="false">IF(G31="","",IF(G31="Janji Bayar",IF(H31="","Isi tgl janji",IF(H31&lt;Catatan!$B$3,"Terlewat - tindak lanjut","Menunggu")),"-"))</f>
        <v/>
      </c>
      <c r="K31" s="44"/>
    </row>
    <row r="32" customFormat="false" ht="15" hidden="false" customHeight="false" outlineLevel="0" collapsed="false">
      <c r="A32" s="45"/>
      <c r="B32" s="44"/>
      <c r="C32" s="4" t="str">
        <f aca="false">IF($B32="","",INDEX(Piutang!$D$2:$D$1751,MATCH($B32,Piutang!$A$2:$A$1751,0)))</f>
        <v/>
      </c>
      <c r="D32" s="4" t="str">
        <f aca="false">IF($B32="","",INDEX(Piutang!$E$2:$E$1751,MATCH($B32,Piutang!$A$2:$A$1751,0)))</f>
        <v/>
      </c>
      <c r="E32" s="6" t="str">
        <f aca="false">IF($B32="","",INDEX(Piutang!$M$2:$M$1751,MATCH($B32,Piutang!$A$2:$A$1751,0)))</f>
        <v/>
      </c>
      <c r="F32" s="4" t="str">
        <f aca="false">IF($B32="","",INDEX(Piutang!$O$2:$O$1751,MATCH($B32,Piutang!$A$2:$A$1751,0)))</f>
        <v/>
      </c>
      <c r="G32" s="44"/>
      <c r="H32" s="45"/>
      <c r="I32" s="47"/>
      <c r="J32" s="4" t="str">
        <f aca="false">IF(G32="","",IF(G32="Janji Bayar",IF(H32="","Isi tgl janji",IF(H32&lt;Catatan!$B$3,"Terlewat - tindak lanjut","Menunggu")),"-"))</f>
        <v/>
      </c>
      <c r="K32" s="44"/>
    </row>
    <row r="33" customFormat="false" ht="15" hidden="false" customHeight="false" outlineLevel="0" collapsed="false">
      <c r="A33" s="45"/>
      <c r="B33" s="44"/>
      <c r="C33" s="4" t="str">
        <f aca="false">IF($B33="","",INDEX(Piutang!$D$2:$D$1751,MATCH($B33,Piutang!$A$2:$A$1751,0)))</f>
        <v/>
      </c>
      <c r="D33" s="4" t="str">
        <f aca="false">IF($B33="","",INDEX(Piutang!$E$2:$E$1751,MATCH($B33,Piutang!$A$2:$A$1751,0)))</f>
        <v/>
      </c>
      <c r="E33" s="6" t="str">
        <f aca="false">IF($B33="","",INDEX(Piutang!$M$2:$M$1751,MATCH($B33,Piutang!$A$2:$A$1751,0)))</f>
        <v/>
      </c>
      <c r="F33" s="4" t="str">
        <f aca="false">IF($B33="","",INDEX(Piutang!$O$2:$O$1751,MATCH($B33,Piutang!$A$2:$A$1751,0)))</f>
        <v/>
      </c>
      <c r="G33" s="44"/>
      <c r="H33" s="45"/>
      <c r="I33" s="47"/>
      <c r="J33" s="4" t="str">
        <f aca="false">IF(G33="","",IF(G33="Janji Bayar",IF(H33="","Isi tgl janji",IF(H33&lt;Catatan!$B$3,"Terlewat - tindak lanjut","Menunggu")),"-"))</f>
        <v/>
      </c>
      <c r="K33" s="44"/>
    </row>
    <row r="34" customFormat="false" ht="15" hidden="false" customHeight="false" outlineLevel="0" collapsed="false">
      <c r="A34" s="45"/>
      <c r="B34" s="44"/>
      <c r="C34" s="4" t="str">
        <f aca="false">IF($B34="","",INDEX(Piutang!$D$2:$D$1751,MATCH($B34,Piutang!$A$2:$A$1751,0)))</f>
        <v/>
      </c>
      <c r="D34" s="4" t="str">
        <f aca="false">IF($B34="","",INDEX(Piutang!$E$2:$E$1751,MATCH($B34,Piutang!$A$2:$A$1751,0)))</f>
        <v/>
      </c>
      <c r="E34" s="6" t="str">
        <f aca="false">IF($B34="","",INDEX(Piutang!$M$2:$M$1751,MATCH($B34,Piutang!$A$2:$A$1751,0)))</f>
        <v/>
      </c>
      <c r="F34" s="4" t="str">
        <f aca="false">IF($B34="","",INDEX(Piutang!$O$2:$O$1751,MATCH($B34,Piutang!$A$2:$A$1751,0)))</f>
        <v/>
      </c>
      <c r="G34" s="44"/>
      <c r="H34" s="45"/>
      <c r="I34" s="47"/>
      <c r="J34" s="4" t="str">
        <f aca="false">IF(G34="","",IF(G34="Janji Bayar",IF(H34="","Isi tgl janji",IF(H34&lt;Catatan!$B$3,"Terlewat - tindak lanjut","Menunggu")),"-"))</f>
        <v/>
      </c>
      <c r="K34" s="44"/>
    </row>
    <row r="35" customFormat="false" ht="15" hidden="false" customHeight="false" outlineLevel="0" collapsed="false">
      <c r="A35" s="45"/>
      <c r="B35" s="44"/>
      <c r="C35" s="4" t="str">
        <f aca="false">IF($B35="","",INDEX(Piutang!$D$2:$D$1751,MATCH($B35,Piutang!$A$2:$A$1751,0)))</f>
        <v/>
      </c>
      <c r="D35" s="4" t="str">
        <f aca="false">IF($B35="","",INDEX(Piutang!$E$2:$E$1751,MATCH($B35,Piutang!$A$2:$A$1751,0)))</f>
        <v/>
      </c>
      <c r="E35" s="6" t="str">
        <f aca="false">IF($B35="","",INDEX(Piutang!$M$2:$M$1751,MATCH($B35,Piutang!$A$2:$A$1751,0)))</f>
        <v/>
      </c>
      <c r="F35" s="4" t="str">
        <f aca="false">IF($B35="","",INDEX(Piutang!$O$2:$O$1751,MATCH($B35,Piutang!$A$2:$A$1751,0)))</f>
        <v/>
      </c>
      <c r="G35" s="44"/>
      <c r="H35" s="45"/>
      <c r="I35" s="47"/>
      <c r="J35" s="4" t="str">
        <f aca="false">IF(G35="","",IF(G35="Janji Bayar",IF(H35="","Isi tgl janji",IF(H35&lt;Catatan!$B$3,"Terlewat - tindak lanjut","Menunggu")),"-"))</f>
        <v/>
      </c>
      <c r="K35" s="44"/>
    </row>
    <row r="36" customFormat="false" ht="15" hidden="false" customHeight="false" outlineLevel="0" collapsed="false">
      <c r="A36" s="45"/>
      <c r="B36" s="44"/>
      <c r="C36" s="4" t="str">
        <f aca="false">IF($B36="","",INDEX(Piutang!$D$2:$D$1751,MATCH($B36,Piutang!$A$2:$A$1751,0)))</f>
        <v/>
      </c>
      <c r="D36" s="4" t="str">
        <f aca="false">IF($B36="","",INDEX(Piutang!$E$2:$E$1751,MATCH($B36,Piutang!$A$2:$A$1751,0)))</f>
        <v/>
      </c>
      <c r="E36" s="6" t="str">
        <f aca="false">IF($B36="","",INDEX(Piutang!$M$2:$M$1751,MATCH($B36,Piutang!$A$2:$A$1751,0)))</f>
        <v/>
      </c>
      <c r="F36" s="4" t="str">
        <f aca="false">IF($B36="","",INDEX(Piutang!$O$2:$O$1751,MATCH($B36,Piutang!$A$2:$A$1751,0)))</f>
        <v/>
      </c>
      <c r="G36" s="44"/>
      <c r="H36" s="45"/>
      <c r="I36" s="47"/>
      <c r="J36" s="4" t="str">
        <f aca="false">IF(G36="","",IF(G36="Janji Bayar",IF(H36="","Isi tgl janji",IF(H36&lt;Catatan!$B$3,"Terlewat - tindak lanjut","Menunggu")),"-"))</f>
        <v/>
      </c>
      <c r="K36" s="44"/>
    </row>
    <row r="37" customFormat="false" ht="15" hidden="false" customHeight="false" outlineLevel="0" collapsed="false">
      <c r="A37" s="45"/>
      <c r="B37" s="44"/>
      <c r="C37" s="4" t="str">
        <f aca="false">IF($B37="","",INDEX(Piutang!$D$2:$D$1751,MATCH($B37,Piutang!$A$2:$A$1751,0)))</f>
        <v/>
      </c>
      <c r="D37" s="4" t="str">
        <f aca="false">IF($B37="","",INDEX(Piutang!$E$2:$E$1751,MATCH($B37,Piutang!$A$2:$A$1751,0)))</f>
        <v/>
      </c>
      <c r="E37" s="6" t="str">
        <f aca="false">IF($B37="","",INDEX(Piutang!$M$2:$M$1751,MATCH($B37,Piutang!$A$2:$A$1751,0)))</f>
        <v/>
      </c>
      <c r="F37" s="4" t="str">
        <f aca="false">IF($B37="","",INDEX(Piutang!$O$2:$O$1751,MATCH($B37,Piutang!$A$2:$A$1751,0)))</f>
        <v/>
      </c>
      <c r="G37" s="44"/>
      <c r="H37" s="45"/>
      <c r="I37" s="47"/>
      <c r="J37" s="4" t="str">
        <f aca="false">IF(G37="","",IF(G37="Janji Bayar",IF(H37="","Isi tgl janji",IF(H37&lt;Catatan!$B$3,"Terlewat - tindak lanjut","Menunggu")),"-"))</f>
        <v/>
      </c>
      <c r="K37" s="44"/>
    </row>
    <row r="38" customFormat="false" ht="15" hidden="false" customHeight="false" outlineLevel="0" collapsed="false">
      <c r="A38" s="45"/>
      <c r="B38" s="44"/>
      <c r="C38" s="4" t="str">
        <f aca="false">IF($B38="","",INDEX(Piutang!$D$2:$D$1751,MATCH($B38,Piutang!$A$2:$A$1751,0)))</f>
        <v/>
      </c>
      <c r="D38" s="4" t="str">
        <f aca="false">IF($B38="","",INDEX(Piutang!$E$2:$E$1751,MATCH($B38,Piutang!$A$2:$A$1751,0)))</f>
        <v/>
      </c>
      <c r="E38" s="6" t="str">
        <f aca="false">IF($B38="","",INDEX(Piutang!$M$2:$M$1751,MATCH($B38,Piutang!$A$2:$A$1751,0)))</f>
        <v/>
      </c>
      <c r="F38" s="4" t="str">
        <f aca="false">IF($B38="","",INDEX(Piutang!$O$2:$O$1751,MATCH($B38,Piutang!$A$2:$A$1751,0)))</f>
        <v/>
      </c>
      <c r="G38" s="44"/>
      <c r="H38" s="45"/>
      <c r="I38" s="47"/>
      <c r="J38" s="4" t="str">
        <f aca="false">IF(G38="","",IF(G38="Janji Bayar",IF(H38="","Isi tgl janji",IF(H38&lt;Catatan!$B$3,"Terlewat - tindak lanjut","Menunggu")),"-"))</f>
        <v/>
      </c>
      <c r="K38" s="44"/>
    </row>
    <row r="39" customFormat="false" ht="15" hidden="false" customHeight="false" outlineLevel="0" collapsed="false">
      <c r="A39" s="45"/>
      <c r="B39" s="44"/>
      <c r="C39" s="4" t="str">
        <f aca="false">IF($B39="","",INDEX(Piutang!$D$2:$D$1751,MATCH($B39,Piutang!$A$2:$A$1751,0)))</f>
        <v/>
      </c>
      <c r="D39" s="4" t="str">
        <f aca="false">IF($B39="","",INDEX(Piutang!$E$2:$E$1751,MATCH($B39,Piutang!$A$2:$A$1751,0)))</f>
        <v/>
      </c>
      <c r="E39" s="6" t="str">
        <f aca="false">IF($B39="","",INDEX(Piutang!$M$2:$M$1751,MATCH($B39,Piutang!$A$2:$A$1751,0)))</f>
        <v/>
      </c>
      <c r="F39" s="4" t="str">
        <f aca="false">IF($B39="","",INDEX(Piutang!$O$2:$O$1751,MATCH($B39,Piutang!$A$2:$A$1751,0)))</f>
        <v/>
      </c>
      <c r="G39" s="44"/>
      <c r="H39" s="45"/>
      <c r="I39" s="47"/>
      <c r="J39" s="4" t="str">
        <f aca="false">IF(G39="","",IF(G39="Janji Bayar",IF(H39="","Isi tgl janji",IF(H39&lt;Catatan!$B$3,"Terlewat - tindak lanjut","Menunggu")),"-"))</f>
        <v/>
      </c>
      <c r="K39" s="44"/>
    </row>
    <row r="40" customFormat="false" ht="15" hidden="false" customHeight="false" outlineLevel="0" collapsed="false">
      <c r="A40" s="45"/>
      <c r="B40" s="44"/>
      <c r="C40" s="4" t="str">
        <f aca="false">IF($B40="","",INDEX(Piutang!$D$2:$D$1751,MATCH($B40,Piutang!$A$2:$A$1751,0)))</f>
        <v/>
      </c>
      <c r="D40" s="4" t="str">
        <f aca="false">IF($B40="","",INDEX(Piutang!$E$2:$E$1751,MATCH($B40,Piutang!$A$2:$A$1751,0)))</f>
        <v/>
      </c>
      <c r="E40" s="6" t="str">
        <f aca="false">IF($B40="","",INDEX(Piutang!$M$2:$M$1751,MATCH($B40,Piutang!$A$2:$A$1751,0)))</f>
        <v/>
      </c>
      <c r="F40" s="4" t="str">
        <f aca="false">IF($B40="","",INDEX(Piutang!$O$2:$O$1751,MATCH($B40,Piutang!$A$2:$A$1751,0)))</f>
        <v/>
      </c>
      <c r="G40" s="44"/>
      <c r="H40" s="45"/>
      <c r="I40" s="47"/>
      <c r="J40" s="4" t="str">
        <f aca="false">IF(G40="","",IF(G40="Janji Bayar",IF(H40="","Isi tgl janji",IF(H40&lt;Catatan!$B$3,"Terlewat - tindak lanjut","Menunggu")),"-"))</f>
        <v/>
      </c>
      <c r="K40" s="44"/>
    </row>
    <row r="41" customFormat="false" ht="15" hidden="false" customHeight="false" outlineLevel="0" collapsed="false">
      <c r="A41" s="45"/>
      <c r="B41" s="44"/>
      <c r="C41" s="4" t="str">
        <f aca="false">IF($B41="","",INDEX(Piutang!$D$2:$D$1751,MATCH($B41,Piutang!$A$2:$A$1751,0)))</f>
        <v/>
      </c>
      <c r="D41" s="4" t="str">
        <f aca="false">IF($B41="","",INDEX(Piutang!$E$2:$E$1751,MATCH($B41,Piutang!$A$2:$A$1751,0)))</f>
        <v/>
      </c>
      <c r="E41" s="6" t="str">
        <f aca="false">IF($B41="","",INDEX(Piutang!$M$2:$M$1751,MATCH($B41,Piutang!$A$2:$A$1751,0)))</f>
        <v/>
      </c>
      <c r="F41" s="4" t="str">
        <f aca="false">IF($B41="","",INDEX(Piutang!$O$2:$O$1751,MATCH($B41,Piutang!$A$2:$A$1751,0)))</f>
        <v/>
      </c>
      <c r="G41" s="44"/>
      <c r="H41" s="45"/>
      <c r="I41" s="47"/>
      <c r="J41" s="4" t="str">
        <f aca="false">IF(G41="","",IF(G41="Janji Bayar",IF(H41="","Isi tgl janji",IF(H41&lt;Catatan!$B$3,"Terlewat - tindak lanjut","Menunggu")),"-"))</f>
        <v/>
      </c>
      <c r="K41" s="44"/>
    </row>
    <row r="42" customFormat="false" ht="15" hidden="false" customHeight="false" outlineLevel="0" collapsed="false">
      <c r="A42" s="45"/>
      <c r="B42" s="44"/>
      <c r="C42" s="4" t="str">
        <f aca="false">IF($B42="","",INDEX(Piutang!$D$2:$D$1751,MATCH($B42,Piutang!$A$2:$A$1751,0)))</f>
        <v/>
      </c>
      <c r="D42" s="4" t="str">
        <f aca="false">IF($B42="","",INDEX(Piutang!$E$2:$E$1751,MATCH($B42,Piutang!$A$2:$A$1751,0)))</f>
        <v/>
      </c>
      <c r="E42" s="6" t="str">
        <f aca="false">IF($B42="","",INDEX(Piutang!$M$2:$M$1751,MATCH($B42,Piutang!$A$2:$A$1751,0)))</f>
        <v/>
      </c>
      <c r="F42" s="4" t="str">
        <f aca="false">IF($B42="","",INDEX(Piutang!$O$2:$O$1751,MATCH($B42,Piutang!$A$2:$A$1751,0)))</f>
        <v/>
      </c>
      <c r="G42" s="44"/>
      <c r="H42" s="45"/>
      <c r="I42" s="47"/>
      <c r="J42" s="4" t="str">
        <f aca="false">IF(G42="","",IF(G42="Janji Bayar",IF(H42="","Isi tgl janji",IF(H42&lt;Catatan!$B$3,"Terlewat - tindak lanjut","Menunggu")),"-"))</f>
        <v/>
      </c>
      <c r="K42" s="44"/>
    </row>
    <row r="43" customFormat="false" ht="15" hidden="false" customHeight="false" outlineLevel="0" collapsed="false">
      <c r="A43" s="45"/>
      <c r="B43" s="44"/>
      <c r="C43" s="4" t="str">
        <f aca="false">IF($B43="","",INDEX(Piutang!$D$2:$D$1751,MATCH($B43,Piutang!$A$2:$A$1751,0)))</f>
        <v/>
      </c>
      <c r="D43" s="4" t="str">
        <f aca="false">IF($B43="","",INDEX(Piutang!$E$2:$E$1751,MATCH($B43,Piutang!$A$2:$A$1751,0)))</f>
        <v/>
      </c>
      <c r="E43" s="6" t="str">
        <f aca="false">IF($B43="","",INDEX(Piutang!$M$2:$M$1751,MATCH($B43,Piutang!$A$2:$A$1751,0)))</f>
        <v/>
      </c>
      <c r="F43" s="4" t="str">
        <f aca="false">IF($B43="","",INDEX(Piutang!$O$2:$O$1751,MATCH($B43,Piutang!$A$2:$A$1751,0)))</f>
        <v/>
      </c>
      <c r="G43" s="44"/>
      <c r="H43" s="45"/>
      <c r="I43" s="47"/>
      <c r="J43" s="4" t="str">
        <f aca="false">IF(G43="","",IF(G43="Janji Bayar",IF(H43="","Isi tgl janji",IF(H43&lt;Catatan!$B$3,"Terlewat - tindak lanjut","Menunggu")),"-"))</f>
        <v/>
      </c>
      <c r="K43" s="44"/>
    </row>
    <row r="44" customFormat="false" ht="15" hidden="false" customHeight="false" outlineLevel="0" collapsed="false">
      <c r="A44" s="45"/>
      <c r="B44" s="44"/>
      <c r="C44" s="4" t="str">
        <f aca="false">IF($B44="","",INDEX(Piutang!$D$2:$D$1751,MATCH($B44,Piutang!$A$2:$A$1751,0)))</f>
        <v/>
      </c>
      <c r="D44" s="4" t="str">
        <f aca="false">IF($B44="","",INDEX(Piutang!$E$2:$E$1751,MATCH($B44,Piutang!$A$2:$A$1751,0)))</f>
        <v/>
      </c>
      <c r="E44" s="6" t="str">
        <f aca="false">IF($B44="","",INDEX(Piutang!$M$2:$M$1751,MATCH($B44,Piutang!$A$2:$A$1751,0)))</f>
        <v/>
      </c>
      <c r="F44" s="4" t="str">
        <f aca="false">IF($B44="","",INDEX(Piutang!$O$2:$O$1751,MATCH($B44,Piutang!$A$2:$A$1751,0)))</f>
        <v/>
      </c>
      <c r="G44" s="44"/>
      <c r="H44" s="45"/>
      <c r="I44" s="47"/>
      <c r="J44" s="4" t="str">
        <f aca="false">IF(G44="","",IF(G44="Janji Bayar",IF(H44="","Isi tgl janji",IF(H44&lt;Catatan!$B$3,"Terlewat - tindak lanjut","Menunggu")),"-"))</f>
        <v/>
      </c>
      <c r="K44" s="44"/>
    </row>
    <row r="45" customFormat="false" ht="15" hidden="false" customHeight="false" outlineLevel="0" collapsed="false">
      <c r="A45" s="45"/>
      <c r="B45" s="44"/>
      <c r="C45" s="4" t="str">
        <f aca="false">IF($B45="","",INDEX(Piutang!$D$2:$D$1751,MATCH($B45,Piutang!$A$2:$A$1751,0)))</f>
        <v/>
      </c>
      <c r="D45" s="4" t="str">
        <f aca="false">IF($B45="","",INDEX(Piutang!$E$2:$E$1751,MATCH($B45,Piutang!$A$2:$A$1751,0)))</f>
        <v/>
      </c>
      <c r="E45" s="6" t="str">
        <f aca="false">IF($B45="","",INDEX(Piutang!$M$2:$M$1751,MATCH($B45,Piutang!$A$2:$A$1751,0)))</f>
        <v/>
      </c>
      <c r="F45" s="4" t="str">
        <f aca="false">IF($B45="","",INDEX(Piutang!$O$2:$O$1751,MATCH($B45,Piutang!$A$2:$A$1751,0)))</f>
        <v/>
      </c>
      <c r="G45" s="44"/>
      <c r="H45" s="45"/>
      <c r="I45" s="47"/>
      <c r="J45" s="4" t="str">
        <f aca="false">IF(G45="","",IF(G45="Janji Bayar",IF(H45="","Isi tgl janji",IF(H45&lt;Catatan!$B$3,"Terlewat - tindak lanjut","Menunggu")),"-"))</f>
        <v/>
      </c>
      <c r="K45" s="44"/>
    </row>
    <row r="46" customFormat="false" ht="15" hidden="false" customHeight="false" outlineLevel="0" collapsed="false">
      <c r="A46" s="45"/>
      <c r="B46" s="44"/>
      <c r="C46" s="4" t="str">
        <f aca="false">IF($B46="","",INDEX(Piutang!$D$2:$D$1751,MATCH($B46,Piutang!$A$2:$A$1751,0)))</f>
        <v/>
      </c>
      <c r="D46" s="4" t="str">
        <f aca="false">IF($B46="","",INDEX(Piutang!$E$2:$E$1751,MATCH($B46,Piutang!$A$2:$A$1751,0)))</f>
        <v/>
      </c>
      <c r="E46" s="6" t="str">
        <f aca="false">IF($B46="","",INDEX(Piutang!$M$2:$M$1751,MATCH($B46,Piutang!$A$2:$A$1751,0)))</f>
        <v/>
      </c>
      <c r="F46" s="4" t="str">
        <f aca="false">IF($B46="","",INDEX(Piutang!$O$2:$O$1751,MATCH($B46,Piutang!$A$2:$A$1751,0)))</f>
        <v/>
      </c>
      <c r="G46" s="44"/>
      <c r="H46" s="45"/>
      <c r="I46" s="47"/>
      <c r="J46" s="4" t="str">
        <f aca="false">IF(G46="","",IF(G46="Janji Bayar",IF(H46="","Isi tgl janji",IF(H46&lt;Catatan!$B$3,"Terlewat - tindak lanjut","Menunggu")),"-"))</f>
        <v/>
      </c>
      <c r="K46" s="44"/>
    </row>
    <row r="47" customFormat="false" ht="15" hidden="false" customHeight="false" outlineLevel="0" collapsed="false">
      <c r="A47" s="45"/>
      <c r="B47" s="44"/>
      <c r="C47" s="4" t="str">
        <f aca="false">IF($B47="","",INDEX(Piutang!$D$2:$D$1751,MATCH($B47,Piutang!$A$2:$A$1751,0)))</f>
        <v/>
      </c>
      <c r="D47" s="4" t="str">
        <f aca="false">IF($B47="","",INDEX(Piutang!$E$2:$E$1751,MATCH($B47,Piutang!$A$2:$A$1751,0)))</f>
        <v/>
      </c>
      <c r="E47" s="6" t="str">
        <f aca="false">IF($B47="","",INDEX(Piutang!$M$2:$M$1751,MATCH($B47,Piutang!$A$2:$A$1751,0)))</f>
        <v/>
      </c>
      <c r="F47" s="4" t="str">
        <f aca="false">IF($B47="","",INDEX(Piutang!$O$2:$O$1751,MATCH($B47,Piutang!$A$2:$A$1751,0)))</f>
        <v/>
      </c>
      <c r="G47" s="44"/>
      <c r="H47" s="45"/>
      <c r="I47" s="47"/>
      <c r="J47" s="4" t="str">
        <f aca="false">IF(G47="","",IF(G47="Janji Bayar",IF(H47="","Isi tgl janji",IF(H47&lt;Catatan!$B$3,"Terlewat - tindak lanjut","Menunggu")),"-"))</f>
        <v/>
      </c>
      <c r="K47" s="44"/>
    </row>
    <row r="48" customFormat="false" ht="15" hidden="false" customHeight="false" outlineLevel="0" collapsed="false">
      <c r="A48" s="45"/>
      <c r="B48" s="44"/>
      <c r="C48" s="4" t="str">
        <f aca="false">IF($B48="","",INDEX(Piutang!$D$2:$D$1751,MATCH($B48,Piutang!$A$2:$A$1751,0)))</f>
        <v/>
      </c>
      <c r="D48" s="4" t="str">
        <f aca="false">IF($B48="","",INDEX(Piutang!$E$2:$E$1751,MATCH($B48,Piutang!$A$2:$A$1751,0)))</f>
        <v/>
      </c>
      <c r="E48" s="6" t="str">
        <f aca="false">IF($B48="","",INDEX(Piutang!$M$2:$M$1751,MATCH($B48,Piutang!$A$2:$A$1751,0)))</f>
        <v/>
      </c>
      <c r="F48" s="4" t="str">
        <f aca="false">IF($B48="","",INDEX(Piutang!$O$2:$O$1751,MATCH($B48,Piutang!$A$2:$A$1751,0)))</f>
        <v/>
      </c>
      <c r="G48" s="44"/>
      <c r="H48" s="45"/>
      <c r="I48" s="47"/>
      <c r="J48" s="4" t="str">
        <f aca="false">IF(G48="","",IF(G48="Janji Bayar",IF(H48="","Isi tgl janji",IF(H48&lt;Catatan!$B$3,"Terlewat - tindak lanjut","Menunggu")),"-"))</f>
        <v/>
      </c>
      <c r="K48" s="44"/>
    </row>
    <row r="49" customFormat="false" ht="15" hidden="false" customHeight="false" outlineLevel="0" collapsed="false">
      <c r="A49" s="45"/>
      <c r="B49" s="44"/>
      <c r="C49" s="4" t="str">
        <f aca="false">IF($B49="","",INDEX(Piutang!$D$2:$D$1751,MATCH($B49,Piutang!$A$2:$A$1751,0)))</f>
        <v/>
      </c>
      <c r="D49" s="4" t="str">
        <f aca="false">IF($B49="","",INDEX(Piutang!$E$2:$E$1751,MATCH($B49,Piutang!$A$2:$A$1751,0)))</f>
        <v/>
      </c>
      <c r="E49" s="6" t="str">
        <f aca="false">IF($B49="","",INDEX(Piutang!$M$2:$M$1751,MATCH($B49,Piutang!$A$2:$A$1751,0)))</f>
        <v/>
      </c>
      <c r="F49" s="4" t="str">
        <f aca="false">IF($B49="","",INDEX(Piutang!$O$2:$O$1751,MATCH($B49,Piutang!$A$2:$A$1751,0)))</f>
        <v/>
      </c>
      <c r="G49" s="44"/>
      <c r="H49" s="45"/>
      <c r="I49" s="47"/>
      <c r="J49" s="4" t="str">
        <f aca="false">IF(G49="","",IF(G49="Janji Bayar",IF(H49="","Isi tgl janji",IF(H49&lt;Catatan!$B$3,"Terlewat - tindak lanjut","Menunggu")),"-"))</f>
        <v/>
      </c>
      <c r="K49" s="44"/>
    </row>
    <row r="50" customFormat="false" ht="15" hidden="false" customHeight="false" outlineLevel="0" collapsed="false">
      <c r="A50" s="45"/>
      <c r="B50" s="44"/>
      <c r="C50" s="4" t="str">
        <f aca="false">IF($B50="","",INDEX(Piutang!$D$2:$D$1751,MATCH($B50,Piutang!$A$2:$A$1751,0)))</f>
        <v/>
      </c>
      <c r="D50" s="4" t="str">
        <f aca="false">IF($B50="","",INDEX(Piutang!$E$2:$E$1751,MATCH($B50,Piutang!$A$2:$A$1751,0)))</f>
        <v/>
      </c>
      <c r="E50" s="6" t="str">
        <f aca="false">IF($B50="","",INDEX(Piutang!$M$2:$M$1751,MATCH($B50,Piutang!$A$2:$A$1751,0)))</f>
        <v/>
      </c>
      <c r="F50" s="4" t="str">
        <f aca="false">IF($B50="","",INDEX(Piutang!$O$2:$O$1751,MATCH($B50,Piutang!$A$2:$A$1751,0)))</f>
        <v/>
      </c>
      <c r="G50" s="44"/>
      <c r="H50" s="45"/>
      <c r="I50" s="47"/>
      <c r="J50" s="4" t="str">
        <f aca="false">IF(G50="","",IF(G50="Janji Bayar",IF(H50="","Isi tgl janji",IF(H50&lt;Catatan!$B$3,"Terlewat - tindak lanjut","Menunggu")),"-"))</f>
        <v/>
      </c>
      <c r="K50" s="44"/>
    </row>
    <row r="51" customFormat="false" ht="15" hidden="false" customHeight="false" outlineLevel="0" collapsed="false">
      <c r="A51" s="45"/>
      <c r="B51" s="44"/>
      <c r="C51" s="4" t="str">
        <f aca="false">IF($B51="","",INDEX(Piutang!$D$2:$D$1751,MATCH($B51,Piutang!$A$2:$A$1751,0)))</f>
        <v/>
      </c>
      <c r="D51" s="4" t="str">
        <f aca="false">IF($B51="","",INDEX(Piutang!$E$2:$E$1751,MATCH($B51,Piutang!$A$2:$A$1751,0)))</f>
        <v/>
      </c>
      <c r="E51" s="6" t="str">
        <f aca="false">IF($B51="","",INDEX(Piutang!$M$2:$M$1751,MATCH($B51,Piutang!$A$2:$A$1751,0)))</f>
        <v/>
      </c>
      <c r="F51" s="4" t="str">
        <f aca="false">IF($B51="","",INDEX(Piutang!$O$2:$O$1751,MATCH($B51,Piutang!$A$2:$A$1751,0)))</f>
        <v/>
      </c>
      <c r="G51" s="44"/>
      <c r="H51" s="45"/>
      <c r="I51" s="47"/>
      <c r="J51" s="4" t="str">
        <f aca="false">IF(G51="","",IF(G51="Janji Bayar",IF(H51="","Isi tgl janji",IF(H51&lt;Catatan!$B$3,"Terlewat - tindak lanjut","Menunggu")),"-"))</f>
        <v/>
      </c>
      <c r="K51" s="44"/>
    </row>
    <row r="52" customFormat="false" ht="15" hidden="false" customHeight="false" outlineLevel="0" collapsed="false">
      <c r="A52" s="45"/>
      <c r="B52" s="44"/>
      <c r="C52" s="4" t="str">
        <f aca="false">IF($B52="","",INDEX(Piutang!$D$2:$D$1751,MATCH($B52,Piutang!$A$2:$A$1751,0)))</f>
        <v/>
      </c>
      <c r="D52" s="4" t="str">
        <f aca="false">IF($B52="","",INDEX(Piutang!$E$2:$E$1751,MATCH($B52,Piutang!$A$2:$A$1751,0)))</f>
        <v/>
      </c>
      <c r="E52" s="6" t="str">
        <f aca="false">IF($B52="","",INDEX(Piutang!$M$2:$M$1751,MATCH($B52,Piutang!$A$2:$A$1751,0)))</f>
        <v/>
      </c>
      <c r="F52" s="4" t="str">
        <f aca="false">IF($B52="","",INDEX(Piutang!$O$2:$O$1751,MATCH($B52,Piutang!$A$2:$A$1751,0)))</f>
        <v/>
      </c>
      <c r="G52" s="44"/>
      <c r="H52" s="45"/>
      <c r="I52" s="47"/>
      <c r="J52" s="4" t="str">
        <f aca="false">IF(G52="","",IF(G52="Janji Bayar",IF(H52="","Isi tgl janji",IF(H52&lt;Catatan!$B$3,"Terlewat - tindak lanjut","Menunggu")),"-"))</f>
        <v/>
      </c>
      <c r="K52" s="44"/>
    </row>
    <row r="53" customFormat="false" ht="15" hidden="false" customHeight="false" outlineLevel="0" collapsed="false">
      <c r="A53" s="45"/>
      <c r="B53" s="44"/>
      <c r="C53" s="4" t="str">
        <f aca="false">IF($B53="","",INDEX(Piutang!$D$2:$D$1751,MATCH($B53,Piutang!$A$2:$A$1751,0)))</f>
        <v/>
      </c>
      <c r="D53" s="4" t="str">
        <f aca="false">IF($B53="","",INDEX(Piutang!$E$2:$E$1751,MATCH($B53,Piutang!$A$2:$A$1751,0)))</f>
        <v/>
      </c>
      <c r="E53" s="6" t="str">
        <f aca="false">IF($B53="","",INDEX(Piutang!$M$2:$M$1751,MATCH($B53,Piutang!$A$2:$A$1751,0)))</f>
        <v/>
      </c>
      <c r="F53" s="4" t="str">
        <f aca="false">IF($B53="","",INDEX(Piutang!$O$2:$O$1751,MATCH($B53,Piutang!$A$2:$A$1751,0)))</f>
        <v/>
      </c>
      <c r="G53" s="44"/>
      <c r="H53" s="45"/>
      <c r="I53" s="47"/>
      <c r="J53" s="4" t="str">
        <f aca="false">IF(G53="","",IF(G53="Janji Bayar",IF(H53="","Isi tgl janji",IF(H53&lt;Catatan!$B$3,"Terlewat - tindak lanjut","Menunggu")),"-"))</f>
        <v/>
      </c>
      <c r="K53" s="44"/>
    </row>
    <row r="54" customFormat="false" ht="15" hidden="false" customHeight="false" outlineLevel="0" collapsed="false">
      <c r="A54" s="45"/>
      <c r="B54" s="44"/>
      <c r="C54" s="4" t="str">
        <f aca="false">IF($B54="","",INDEX(Piutang!$D$2:$D$1751,MATCH($B54,Piutang!$A$2:$A$1751,0)))</f>
        <v/>
      </c>
      <c r="D54" s="4" t="str">
        <f aca="false">IF($B54="","",INDEX(Piutang!$E$2:$E$1751,MATCH($B54,Piutang!$A$2:$A$1751,0)))</f>
        <v/>
      </c>
      <c r="E54" s="6" t="str">
        <f aca="false">IF($B54="","",INDEX(Piutang!$M$2:$M$1751,MATCH($B54,Piutang!$A$2:$A$1751,0)))</f>
        <v/>
      </c>
      <c r="F54" s="4" t="str">
        <f aca="false">IF($B54="","",INDEX(Piutang!$O$2:$O$1751,MATCH($B54,Piutang!$A$2:$A$1751,0)))</f>
        <v/>
      </c>
      <c r="G54" s="44"/>
      <c r="H54" s="45"/>
      <c r="I54" s="47"/>
      <c r="J54" s="4" t="str">
        <f aca="false">IF(G54="","",IF(G54="Janji Bayar",IF(H54="","Isi tgl janji",IF(H54&lt;Catatan!$B$3,"Terlewat - tindak lanjut","Menunggu")),"-"))</f>
        <v/>
      </c>
      <c r="K54" s="44"/>
    </row>
    <row r="55" customFormat="false" ht="15" hidden="false" customHeight="false" outlineLevel="0" collapsed="false">
      <c r="A55" s="45"/>
      <c r="B55" s="44"/>
      <c r="C55" s="4" t="str">
        <f aca="false">IF($B55="","",INDEX(Piutang!$D$2:$D$1751,MATCH($B55,Piutang!$A$2:$A$1751,0)))</f>
        <v/>
      </c>
      <c r="D55" s="4" t="str">
        <f aca="false">IF($B55="","",INDEX(Piutang!$E$2:$E$1751,MATCH($B55,Piutang!$A$2:$A$1751,0)))</f>
        <v/>
      </c>
      <c r="E55" s="6" t="str">
        <f aca="false">IF($B55="","",INDEX(Piutang!$M$2:$M$1751,MATCH($B55,Piutang!$A$2:$A$1751,0)))</f>
        <v/>
      </c>
      <c r="F55" s="4" t="str">
        <f aca="false">IF($B55="","",INDEX(Piutang!$O$2:$O$1751,MATCH($B55,Piutang!$A$2:$A$1751,0)))</f>
        <v/>
      </c>
      <c r="G55" s="44"/>
      <c r="H55" s="45"/>
      <c r="I55" s="47"/>
      <c r="J55" s="4" t="str">
        <f aca="false">IF(G55="","",IF(G55="Janji Bayar",IF(H55="","Isi tgl janji",IF(H55&lt;Catatan!$B$3,"Terlewat - tindak lanjut","Menunggu")),"-"))</f>
        <v/>
      </c>
      <c r="K55" s="44"/>
    </row>
    <row r="56" customFormat="false" ht="15" hidden="false" customHeight="false" outlineLevel="0" collapsed="false">
      <c r="A56" s="45"/>
      <c r="B56" s="44"/>
      <c r="C56" s="4" t="str">
        <f aca="false">IF($B56="","",INDEX(Piutang!$D$2:$D$1751,MATCH($B56,Piutang!$A$2:$A$1751,0)))</f>
        <v/>
      </c>
      <c r="D56" s="4" t="str">
        <f aca="false">IF($B56="","",INDEX(Piutang!$E$2:$E$1751,MATCH($B56,Piutang!$A$2:$A$1751,0)))</f>
        <v/>
      </c>
      <c r="E56" s="6" t="str">
        <f aca="false">IF($B56="","",INDEX(Piutang!$M$2:$M$1751,MATCH($B56,Piutang!$A$2:$A$1751,0)))</f>
        <v/>
      </c>
      <c r="F56" s="4" t="str">
        <f aca="false">IF($B56="","",INDEX(Piutang!$O$2:$O$1751,MATCH($B56,Piutang!$A$2:$A$1751,0)))</f>
        <v/>
      </c>
      <c r="G56" s="44"/>
      <c r="H56" s="45"/>
      <c r="I56" s="47"/>
      <c r="J56" s="4" t="str">
        <f aca="false">IF(G56="","",IF(G56="Janji Bayar",IF(H56="","Isi tgl janji",IF(H56&lt;Catatan!$B$3,"Terlewat - tindak lanjut","Menunggu")),"-"))</f>
        <v/>
      </c>
      <c r="K56" s="44"/>
    </row>
    <row r="57" customFormat="false" ht="15" hidden="false" customHeight="false" outlineLevel="0" collapsed="false">
      <c r="A57" s="45"/>
      <c r="B57" s="44"/>
      <c r="C57" s="4" t="str">
        <f aca="false">IF($B57="","",INDEX(Piutang!$D$2:$D$1751,MATCH($B57,Piutang!$A$2:$A$1751,0)))</f>
        <v/>
      </c>
      <c r="D57" s="4" t="str">
        <f aca="false">IF($B57="","",INDEX(Piutang!$E$2:$E$1751,MATCH($B57,Piutang!$A$2:$A$1751,0)))</f>
        <v/>
      </c>
      <c r="E57" s="6" t="str">
        <f aca="false">IF($B57="","",INDEX(Piutang!$M$2:$M$1751,MATCH($B57,Piutang!$A$2:$A$1751,0)))</f>
        <v/>
      </c>
      <c r="F57" s="4" t="str">
        <f aca="false">IF($B57="","",INDEX(Piutang!$O$2:$O$1751,MATCH($B57,Piutang!$A$2:$A$1751,0)))</f>
        <v/>
      </c>
      <c r="G57" s="44"/>
      <c r="H57" s="45"/>
      <c r="I57" s="47"/>
      <c r="J57" s="4" t="str">
        <f aca="false">IF(G57="","",IF(G57="Janji Bayar",IF(H57="","Isi tgl janji",IF(H57&lt;Catatan!$B$3,"Terlewat - tindak lanjut","Menunggu")),"-"))</f>
        <v/>
      </c>
      <c r="K57" s="44"/>
    </row>
    <row r="58" customFormat="false" ht="15" hidden="false" customHeight="false" outlineLevel="0" collapsed="false">
      <c r="A58" s="45"/>
      <c r="B58" s="44"/>
      <c r="C58" s="4" t="str">
        <f aca="false">IF($B58="","",INDEX(Piutang!$D$2:$D$1751,MATCH($B58,Piutang!$A$2:$A$1751,0)))</f>
        <v/>
      </c>
      <c r="D58" s="4" t="str">
        <f aca="false">IF($B58="","",INDEX(Piutang!$E$2:$E$1751,MATCH($B58,Piutang!$A$2:$A$1751,0)))</f>
        <v/>
      </c>
      <c r="E58" s="6" t="str">
        <f aca="false">IF($B58="","",INDEX(Piutang!$M$2:$M$1751,MATCH($B58,Piutang!$A$2:$A$1751,0)))</f>
        <v/>
      </c>
      <c r="F58" s="4" t="str">
        <f aca="false">IF($B58="","",INDEX(Piutang!$O$2:$O$1751,MATCH($B58,Piutang!$A$2:$A$1751,0)))</f>
        <v/>
      </c>
      <c r="G58" s="44"/>
      <c r="H58" s="45"/>
      <c r="I58" s="47"/>
      <c r="J58" s="4" t="str">
        <f aca="false">IF(G58="","",IF(G58="Janji Bayar",IF(H58="","Isi tgl janji",IF(H58&lt;Catatan!$B$3,"Terlewat - tindak lanjut","Menunggu")),"-"))</f>
        <v/>
      </c>
      <c r="K58" s="44"/>
    </row>
    <row r="59" customFormat="false" ht="15" hidden="false" customHeight="false" outlineLevel="0" collapsed="false">
      <c r="A59" s="45"/>
      <c r="B59" s="44"/>
      <c r="C59" s="4" t="str">
        <f aca="false">IF($B59="","",INDEX(Piutang!$D$2:$D$1751,MATCH($B59,Piutang!$A$2:$A$1751,0)))</f>
        <v/>
      </c>
      <c r="D59" s="4" t="str">
        <f aca="false">IF($B59="","",INDEX(Piutang!$E$2:$E$1751,MATCH($B59,Piutang!$A$2:$A$1751,0)))</f>
        <v/>
      </c>
      <c r="E59" s="6" t="str">
        <f aca="false">IF($B59="","",INDEX(Piutang!$M$2:$M$1751,MATCH($B59,Piutang!$A$2:$A$1751,0)))</f>
        <v/>
      </c>
      <c r="F59" s="4" t="str">
        <f aca="false">IF($B59="","",INDEX(Piutang!$O$2:$O$1751,MATCH($B59,Piutang!$A$2:$A$1751,0)))</f>
        <v/>
      </c>
      <c r="G59" s="44"/>
      <c r="H59" s="45"/>
      <c r="I59" s="47"/>
      <c r="J59" s="4" t="str">
        <f aca="false">IF(G59="","",IF(G59="Janji Bayar",IF(H59="","Isi tgl janji",IF(H59&lt;Catatan!$B$3,"Terlewat - tindak lanjut","Menunggu")),"-"))</f>
        <v/>
      </c>
      <c r="K59" s="44"/>
    </row>
    <row r="60" customFormat="false" ht="15" hidden="false" customHeight="false" outlineLevel="0" collapsed="false">
      <c r="A60" s="45"/>
      <c r="B60" s="44"/>
      <c r="C60" s="4" t="str">
        <f aca="false">IF($B60="","",INDEX(Piutang!$D$2:$D$1751,MATCH($B60,Piutang!$A$2:$A$1751,0)))</f>
        <v/>
      </c>
      <c r="D60" s="4" t="str">
        <f aca="false">IF($B60="","",INDEX(Piutang!$E$2:$E$1751,MATCH($B60,Piutang!$A$2:$A$1751,0)))</f>
        <v/>
      </c>
      <c r="E60" s="6" t="str">
        <f aca="false">IF($B60="","",INDEX(Piutang!$M$2:$M$1751,MATCH($B60,Piutang!$A$2:$A$1751,0)))</f>
        <v/>
      </c>
      <c r="F60" s="4" t="str">
        <f aca="false">IF($B60="","",INDEX(Piutang!$O$2:$O$1751,MATCH($B60,Piutang!$A$2:$A$1751,0)))</f>
        <v/>
      </c>
      <c r="G60" s="44"/>
      <c r="H60" s="45"/>
      <c r="I60" s="47"/>
      <c r="J60" s="4" t="str">
        <f aca="false">IF(G60="","",IF(G60="Janji Bayar",IF(H60="","Isi tgl janji",IF(H60&lt;Catatan!$B$3,"Terlewat - tindak lanjut","Menunggu")),"-"))</f>
        <v/>
      </c>
      <c r="K60" s="44"/>
    </row>
    <row r="61" customFormat="false" ht="15" hidden="false" customHeight="false" outlineLevel="0" collapsed="false">
      <c r="A61" s="45"/>
      <c r="B61" s="44"/>
      <c r="C61" s="4" t="str">
        <f aca="false">IF($B61="","",INDEX(Piutang!$D$2:$D$1751,MATCH($B61,Piutang!$A$2:$A$1751,0)))</f>
        <v/>
      </c>
      <c r="D61" s="4" t="str">
        <f aca="false">IF($B61="","",INDEX(Piutang!$E$2:$E$1751,MATCH($B61,Piutang!$A$2:$A$1751,0)))</f>
        <v/>
      </c>
      <c r="E61" s="6" t="str">
        <f aca="false">IF($B61="","",INDEX(Piutang!$M$2:$M$1751,MATCH($B61,Piutang!$A$2:$A$1751,0)))</f>
        <v/>
      </c>
      <c r="F61" s="4" t="str">
        <f aca="false">IF($B61="","",INDEX(Piutang!$O$2:$O$1751,MATCH($B61,Piutang!$A$2:$A$1751,0)))</f>
        <v/>
      </c>
      <c r="G61" s="44"/>
      <c r="H61" s="45"/>
      <c r="I61" s="47"/>
      <c r="J61" s="4" t="str">
        <f aca="false">IF(G61="","",IF(G61="Janji Bayar",IF(H61="","Isi tgl janji",IF(H61&lt;Catatan!$B$3,"Terlewat - tindak lanjut","Menunggu")),"-"))</f>
        <v/>
      </c>
      <c r="K61" s="44"/>
    </row>
    <row r="62" customFormat="false" ht="15" hidden="false" customHeight="false" outlineLevel="0" collapsed="false">
      <c r="A62" s="45"/>
      <c r="B62" s="44"/>
      <c r="C62" s="4" t="str">
        <f aca="false">IF($B62="","",INDEX(Piutang!$D$2:$D$1751,MATCH($B62,Piutang!$A$2:$A$1751,0)))</f>
        <v/>
      </c>
      <c r="D62" s="4" t="str">
        <f aca="false">IF($B62="","",INDEX(Piutang!$E$2:$E$1751,MATCH($B62,Piutang!$A$2:$A$1751,0)))</f>
        <v/>
      </c>
      <c r="E62" s="6" t="str">
        <f aca="false">IF($B62="","",INDEX(Piutang!$M$2:$M$1751,MATCH($B62,Piutang!$A$2:$A$1751,0)))</f>
        <v/>
      </c>
      <c r="F62" s="4" t="str">
        <f aca="false">IF($B62="","",INDEX(Piutang!$O$2:$O$1751,MATCH($B62,Piutang!$A$2:$A$1751,0)))</f>
        <v/>
      </c>
      <c r="G62" s="44"/>
      <c r="H62" s="45"/>
      <c r="I62" s="47"/>
      <c r="J62" s="4" t="str">
        <f aca="false">IF(G62="","",IF(G62="Janji Bayar",IF(H62="","Isi tgl janji",IF(H62&lt;Catatan!$B$3,"Terlewat - tindak lanjut","Menunggu")),"-"))</f>
        <v/>
      </c>
      <c r="K62" s="44"/>
    </row>
    <row r="63" customFormat="false" ht="15" hidden="false" customHeight="false" outlineLevel="0" collapsed="false">
      <c r="A63" s="45"/>
      <c r="B63" s="44"/>
      <c r="C63" s="4" t="str">
        <f aca="false">IF($B63="","",INDEX(Piutang!$D$2:$D$1751,MATCH($B63,Piutang!$A$2:$A$1751,0)))</f>
        <v/>
      </c>
      <c r="D63" s="4" t="str">
        <f aca="false">IF($B63="","",INDEX(Piutang!$E$2:$E$1751,MATCH($B63,Piutang!$A$2:$A$1751,0)))</f>
        <v/>
      </c>
      <c r="E63" s="6" t="str">
        <f aca="false">IF($B63="","",INDEX(Piutang!$M$2:$M$1751,MATCH($B63,Piutang!$A$2:$A$1751,0)))</f>
        <v/>
      </c>
      <c r="F63" s="4" t="str">
        <f aca="false">IF($B63="","",INDEX(Piutang!$O$2:$O$1751,MATCH($B63,Piutang!$A$2:$A$1751,0)))</f>
        <v/>
      </c>
      <c r="G63" s="44"/>
      <c r="H63" s="45"/>
      <c r="I63" s="47"/>
      <c r="J63" s="4" t="str">
        <f aca="false">IF(G63="","",IF(G63="Janji Bayar",IF(H63="","Isi tgl janji",IF(H63&lt;Catatan!$B$3,"Terlewat - tindak lanjut","Menunggu")),"-"))</f>
        <v/>
      </c>
      <c r="K63" s="44"/>
    </row>
    <row r="64" customFormat="false" ht="15" hidden="false" customHeight="false" outlineLevel="0" collapsed="false">
      <c r="A64" s="45"/>
      <c r="B64" s="44"/>
      <c r="C64" s="4" t="str">
        <f aca="false">IF($B64="","",INDEX(Piutang!$D$2:$D$1751,MATCH($B64,Piutang!$A$2:$A$1751,0)))</f>
        <v/>
      </c>
      <c r="D64" s="4" t="str">
        <f aca="false">IF($B64="","",INDEX(Piutang!$E$2:$E$1751,MATCH($B64,Piutang!$A$2:$A$1751,0)))</f>
        <v/>
      </c>
      <c r="E64" s="6" t="str">
        <f aca="false">IF($B64="","",INDEX(Piutang!$M$2:$M$1751,MATCH($B64,Piutang!$A$2:$A$1751,0)))</f>
        <v/>
      </c>
      <c r="F64" s="4" t="str">
        <f aca="false">IF($B64="","",INDEX(Piutang!$O$2:$O$1751,MATCH($B64,Piutang!$A$2:$A$1751,0)))</f>
        <v/>
      </c>
      <c r="G64" s="44"/>
      <c r="H64" s="45"/>
      <c r="I64" s="47"/>
      <c r="J64" s="4" t="str">
        <f aca="false">IF(G64="","",IF(G64="Janji Bayar",IF(H64="","Isi tgl janji",IF(H64&lt;Catatan!$B$3,"Terlewat - tindak lanjut","Menunggu")),"-"))</f>
        <v/>
      </c>
      <c r="K64" s="44"/>
    </row>
    <row r="65" customFormat="false" ht="15" hidden="false" customHeight="false" outlineLevel="0" collapsed="false">
      <c r="A65" s="45"/>
      <c r="B65" s="44"/>
      <c r="C65" s="4" t="str">
        <f aca="false">IF($B65="","",INDEX(Piutang!$D$2:$D$1751,MATCH($B65,Piutang!$A$2:$A$1751,0)))</f>
        <v/>
      </c>
      <c r="D65" s="4" t="str">
        <f aca="false">IF($B65="","",INDEX(Piutang!$E$2:$E$1751,MATCH($B65,Piutang!$A$2:$A$1751,0)))</f>
        <v/>
      </c>
      <c r="E65" s="6" t="str">
        <f aca="false">IF($B65="","",INDEX(Piutang!$M$2:$M$1751,MATCH($B65,Piutang!$A$2:$A$1751,0)))</f>
        <v/>
      </c>
      <c r="F65" s="4" t="str">
        <f aca="false">IF($B65="","",INDEX(Piutang!$O$2:$O$1751,MATCH($B65,Piutang!$A$2:$A$1751,0)))</f>
        <v/>
      </c>
      <c r="G65" s="44"/>
      <c r="H65" s="45"/>
      <c r="I65" s="47"/>
      <c r="J65" s="4" t="str">
        <f aca="false">IF(G65="","",IF(G65="Janji Bayar",IF(H65="","Isi tgl janji",IF(H65&lt;Catatan!$B$3,"Terlewat - tindak lanjut","Menunggu")),"-"))</f>
        <v/>
      </c>
      <c r="K65" s="44"/>
    </row>
    <row r="66" customFormat="false" ht="15" hidden="false" customHeight="false" outlineLevel="0" collapsed="false">
      <c r="A66" s="45"/>
      <c r="B66" s="44"/>
      <c r="C66" s="4" t="str">
        <f aca="false">IF($B66="","",INDEX(Piutang!$D$2:$D$1751,MATCH($B66,Piutang!$A$2:$A$1751,0)))</f>
        <v/>
      </c>
      <c r="D66" s="4" t="str">
        <f aca="false">IF($B66="","",INDEX(Piutang!$E$2:$E$1751,MATCH($B66,Piutang!$A$2:$A$1751,0)))</f>
        <v/>
      </c>
      <c r="E66" s="6" t="str">
        <f aca="false">IF($B66="","",INDEX(Piutang!$M$2:$M$1751,MATCH($B66,Piutang!$A$2:$A$1751,0)))</f>
        <v/>
      </c>
      <c r="F66" s="4" t="str">
        <f aca="false">IF($B66="","",INDEX(Piutang!$O$2:$O$1751,MATCH($B66,Piutang!$A$2:$A$1751,0)))</f>
        <v/>
      </c>
      <c r="G66" s="44"/>
      <c r="H66" s="45"/>
      <c r="I66" s="47"/>
      <c r="J66" s="4" t="str">
        <f aca="false">IF(G66="","",IF(G66="Janji Bayar",IF(H66="","Isi tgl janji",IF(H66&lt;Catatan!$B$3,"Terlewat - tindak lanjut","Menunggu")),"-"))</f>
        <v/>
      </c>
      <c r="K66" s="44"/>
    </row>
    <row r="67" customFormat="false" ht="15" hidden="false" customHeight="false" outlineLevel="0" collapsed="false">
      <c r="A67" s="45"/>
      <c r="B67" s="44"/>
      <c r="C67" s="4" t="str">
        <f aca="false">IF($B67="","",INDEX(Piutang!$D$2:$D$1751,MATCH($B67,Piutang!$A$2:$A$1751,0)))</f>
        <v/>
      </c>
      <c r="D67" s="4" t="str">
        <f aca="false">IF($B67="","",INDEX(Piutang!$E$2:$E$1751,MATCH($B67,Piutang!$A$2:$A$1751,0)))</f>
        <v/>
      </c>
      <c r="E67" s="6" t="str">
        <f aca="false">IF($B67="","",INDEX(Piutang!$M$2:$M$1751,MATCH($B67,Piutang!$A$2:$A$1751,0)))</f>
        <v/>
      </c>
      <c r="F67" s="4" t="str">
        <f aca="false">IF($B67="","",INDEX(Piutang!$O$2:$O$1751,MATCH($B67,Piutang!$A$2:$A$1751,0)))</f>
        <v/>
      </c>
      <c r="G67" s="44"/>
      <c r="H67" s="45"/>
      <c r="I67" s="47"/>
      <c r="J67" s="4" t="str">
        <f aca="false">IF(G67="","",IF(G67="Janji Bayar",IF(H67="","Isi tgl janji",IF(H67&lt;Catatan!$B$3,"Terlewat - tindak lanjut","Menunggu")),"-"))</f>
        <v/>
      </c>
      <c r="K67" s="44"/>
    </row>
    <row r="68" customFormat="false" ht="15" hidden="false" customHeight="false" outlineLevel="0" collapsed="false">
      <c r="A68" s="45"/>
      <c r="B68" s="44"/>
      <c r="C68" s="4" t="str">
        <f aca="false">IF($B68="","",INDEX(Piutang!$D$2:$D$1751,MATCH($B68,Piutang!$A$2:$A$1751,0)))</f>
        <v/>
      </c>
      <c r="D68" s="4" t="str">
        <f aca="false">IF($B68="","",INDEX(Piutang!$E$2:$E$1751,MATCH($B68,Piutang!$A$2:$A$1751,0)))</f>
        <v/>
      </c>
      <c r="E68" s="6" t="str">
        <f aca="false">IF($B68="","",INDEX(Piutang!$M$2:$M$1751,MATCH($B68,Piutang!$A$2:$A$1751,0)))</f>
        <v/>
      </c>
      <c r="F68" s="4" t="str">
        <f aca="false">IF($B68="","",INDEX(Piutang!$O$2:$O$1751,MATCH($B68,Piutang!$A$2:$A$1751,0)))</f>
        <v/>
      </c>
      <c r="G68" s="44"/>
      <c r="H68" s="45"/>
      <c r="I68" s="47"/>
      <c r="J68" s="4" t="str">
        <f aca="false">IF(G68="","",IF(G68="Janji Bayar",IF(H68="","Isi tgl janji",IF(H68&lt;Catatan!$B$3,"Terlewat - tindak lanjut","Menunggu")),"-"))</f>
        <v/>
      </c>
      <c r="K68" s="44"/>
    </row>
    <row r="69" customFormat="false" ht="15" hidden="false" customHeight="false" outlineLevel="0" collapsed="false">
      <c r="A69" s="45"/>
      <c r="B69" s="44"/>
      <c r="C69" s="4" t="str">
        <f aca="false">IF($B69="","",INDEX(Piutang!$D$2:$D$1751,MATCH($B69,Piutang!$A$2:$A$1751,0)))</f>
        <v/>
      </c>
      <c r="D69" s="4" t="str">
        <f aca="false">IF($B69="","",INDEX(Piutang!$E$2:$E$1751,MATCH($B69,Piutang!$A$2:$A$1751,0)))</f>
        <v/>
      </c>
      <c r="E69" s="6" t="str">
        <f aca="false">IF($B69="","",INDEX(Piutang!$M$2:$M$1751,MATCH($B69,Piutang!$A$2:$A$1751,0)))</f>
        <v/>
      </c>
      <c r="F69" s="4" t="str">
        <f aca="false">IF($B69="","",INDEX(Piutang!$O$2:$O$1751,MATCH($B69,Piutang!$A$2:$A$1751,0)))</f>
        <v/>
      </c>
      <c r="G69" s="44"/>
      <c r="H69" s="45"/>
      <c r="I69" s="47"/>
      <c r="J69" s="4" t="str">
        <f aca="false">IF(G69="","",IF(G69="Janji Bayar",IF(H69="","Isi tgl janji",IF(H69&lt;Catatan!$B$3,"Terlewat - tindak lanjut","Menunggu")),"-"))</f>
        <v/>
      </c>
      <c r="K69" s="44"/>
    </row>
    <row r="70" customFormat="false" ht="15" hidden="false" customHeight="false" outlineLevel="0" collapsed="false">
      <c r="A70" s="45"/>
      <c r="B70" s="44"/>
      <c r="C70" s="4" t="str">
        <f aca="false">IF($B70="","",INDEX(Piutang!$D$2:$D$1751,MATCH($B70,Piutang!$A$2:$A$1751,0)))</f>
        <v/>
      </c>
      <c r="D70" s="4" t="str">
        <f aca="false">IF($B70="","",INDEX(Piutang!$E$2:$E$1751,MATCH($B70,Piutang!$A$2:$A$1751,0)))</f>
        <v/>
      </c>
      <c r="E70" s="6" t="str">
        <f aca="false">IF($B70="","",INDEX(Piutang!$M$2:$M$1751,MATCH($B70,Piutang!$A$2:$A$1751,0)))</f>
        <v/>
      </c>
      <c r="F70" s="4" t="str">
        <f aca="false">IF($B70="","",INDEX(Piutang!$O$2:$O$1751,MATCH($B70,Piutang!$A$2:$A$1751,0)))</f>
        <v/>
      </c>
      <c r="G70" s="44"/>
      <c r="H70" s="45"/>
      <c r="I70" s="47"/>
      <c r="J70" s="4" t="str">
        <f aca="false">IF(G70="","",IF(G70="Janji Bayar",IF(H70="","Isi tgl janji",IF(H70&lt;Catatan!$B$3,"Terlewat - tindak lanjut","Menunggu")),"-"))</f>
        <v/>
      </c>
      <c r="K70" s="44"/>
    </row>
    <row r="71" customFormat="false" ht="15" hidden="false" customHeight="false" outlineLevel="0" collapsed="false">
      <c r="A71" s="45"/>
      <c r="B71" s="44"/>
      <c r="C71" s="4" t="str">
        <f aca="false">IF($B71="","",INDEX(Piutang!$D$2:$D$1751,MATCH($B71,Piutang!$A$2:$A$1751,0)))</f>
        <v/>
      </c>
      <c r="D71" s="4" t="str">
        <f aca="false">IF($B71="","",INDEX(Piutang!$E$2:$E$1751,MATCH($B71,Piutang!$A$2:$A$1751,0)))</f>
        <v/>
      </c>
      <c r="E71" s="6" t="str">
        <f aca="false">IF($B71="","",INDEX(Piutang!$M$2:$M$1751,MATCH($B71,Piutang!$A$2:$A$1751,0)))</f>
        <v/>
      </c>
      <c r="F71" s="4" t="str">
        <f aca="false">IF($B71="","",INDEX(Piutang!$O$2:$O$1751,MATCH($B71,Piutang!$A$2:$A$1751,0)))</f>
        <v/>
      </c>
      <c r="G71" s="44"/>
      <c r="H71" s="45"/>
      <c r="I71" s="47"/>
      <c r="J71" s="4" t="str">
        <f aca="false">IF(G71="","",IF(G71="Janji Bayar",IF(H71="","Isi tgl janji",IF(H71&lt;Catatan!$B$3,"Terlewat - tindak lanjut","Menunggu")),"-"))</f>
        <v/>
      </c>
      <c r="K71" s="44"/>
    </row>
    <row r="72" customFormat="false" ht="15" hidden="false" customHeight="false" outlineLevel="0" collapsed="false">
      <c r="A72" s="45"/>
      <c r="B72" s="44"/>
      <c r="C72" s="4" t="str">
        <f aca="false">IF($B72="","",INDEX(Piutang!$D$2:$D$1751,MATCH($B72,Piutang!$A$2:$A$1751,0)))</f>
        <v/>
      </c>
      <c r="D72" s="4" t="str">
        <f aca="false">IF($B72="","",INDEX(Piutang!$E$2:$E$1751,MATCH($B72,Piutang!$A$2:$A$1751,0)))</f>
        <v/>
      </c>
      <c r="E72" s="6" t="str">
        <f aca="false">IF($B72="","",INDEX(Piutang!$M$2:$M$1751,MATCH($B72,Piutang!$A$2:$A$1751,0)))</f>
        <v/>
      </c>
      <c r="F72" s="4" t="str">
        <f aca="false">IF($B72="","",INDEX(Piutang!$O$2:$O$1751,MATCH($B72,Piutang!$A$2:$A$1751,0)))</f>
        <v/>
      </c>
      <c r="G72" s="44"/>
      <c r="H72" s="45"/>
      <c r="I72" s="47"/>
      <c r="J72" s="4" t="str">
        <f aca="false">IF(G72="","",IF(G72="Janji Bayar",IF(H72="","Isi tgl janji",IF(H72&lt;Catatan!$B$3,"Terlewat - tindak lanjut","Menunggu")),"-"))</f>
        <v/>
      </c>
      <c r="K72" s="44"/>
    </row>
    <row r="73" customFormat="false" ht="15" hidden="false" customHeight="false" outlineLevel="0" collapsed="false">
      <c r="A73" s="45"/>
      <c r="B73" s="44"/>
      <c r="C73" s="4" t="str">
        <f aca="false">IF($B73="","",INDEX(Piutang!$D$2:$D$1751,MATCH($B73,Piutang!$A$2:$A$1751,0)))</f>
        <v/>
      </c>
      <c r="D73" s="4" t="str">
        <f aca="false">IF($B73="","",INDEX(Piutang!$E$2:$E$1751,MATCH($B73,Piutang!$A$2:$A$1751,0)))</f>
        <v/>
      </c>
      <c r="E73" s="6" t="str">
        <f aca="false">IF($B73="","",INDEX(Piutang!$M$2:$M$1751,MATCH($B73,Piutang!$A$2:$A$1751,0)))</f>
        <v/>
      </c>
      <c r="F73" s="4" t="str">
        <f aca="false">IF($B73="","",INDEX(Piutang!$O$2:$O$1751,MATCH($B73,Piutang!$A$2:$A$1751,0)))</f>
        <v/>
      </c>
      <c r="G73" s="44"/>
      <c r="H73" s="45"/>
      <c r="I73" s="47"/>
      <c r="J73" s="4" t="str">
        <f aca="false">IF(G73="","",IF(G73="Janji Bayar",IF(H73="","Isi tgl janji",IF(H73&lt;Catatan!$B$3,"Terlewat - tindak lanjut","Menunggu")),"-"))</f>
        <v/>
      </c>
      <c r="K73" s="44"/>
    </row>
    <row r="74" customFormat="false" ht="15" hidden="false" customHeight="false" outlineLevel="0" collapsed="false">
      <c r="A74" s="45"/>
      <c r="B74" s="44"/>
      <c r="C74" s="4" t="str">
        <f aca="false">IF($B74="","",INDEX(Piutang!$D$2:$D$1751,MATCH($B74,Piutang!$A$2:$A$1751,0)))</f>
        <v/>
      </c>
      <c r="D74" s="4" t="str">
        <f aca="false">IF($B74="","",INDEX(Piutang!$E$2:$E$1751,MATCH($B74,Piutang!$A$2:$A$1751,0)))</f>
        <v/>
      </c>
      <c r="E74" s="6" t="str">
        <f aca="false">IF($B74="","",INDEX(Piutang!$M$2:$M$1751,MATCH($B74,Piutang!$A$2:$A$1751,0)))</f>
        <v/>
      </c>
      <c r="F74" s="4" t="str">
        <f aca="false">IF($B74="","",INDEX(Piutang!$O$2:$O$1751,MATCH($B74,Piutang!$A$2:$A$1751,0)))</f>
        <v/>
      </c>
      <c r="G74" s="44"/>
      <c r="H74" s="45"/>
      <c r="I74" s="47"/>
      <c r="J74" s="4" t="str">
        <f aca="false">IF(G74="","",IF(G74="Janji Bayar",IF(H74="","Isi tgl janji",IF(H74&lt;Catatan!$B$3,"Terlewat - tindak lanjut","Menunggu")),"-"))</f>
        <v/>
      </c>
      <c r="K74" s="44"/>
    </row>
    <row r="75" customFormat="false" ht="15" hidden="false" customHeight="false" outlineLevel="0" collapsed="false">
      <c r="A75" s="45"/>
      <c r="B75" s="44"/>
      <c r="C75" s="4" t="str">
        <f aca="false">IF($B75="","",INDEX(Piutang!$D$2:$D$1751,MATCH($B75,Piutang!$A$2:$A$1751,0)))</f>
        <v/>
      </c>
      <c r="D75" s="4" t="str">
        <f aca="false">IF($B75="","",INDEX(Piutang!$E$2:$E$1751,MATCH($B75,Piutang!$A$2:$A$1751,0)))</f>
        <v/>
      </c>
      <c r="E75" s="6" t="str">
        <f aca="false">IF($B75="","",INDEX(Piutang!$M$2:$M$1751,MATCH($B75,Piutang!$A$2:$A$1751,0)))</f>
        <v/>
      </c>
      <c r="F75" s="4" t="str">
        <f aca="false">IF($B75="","",INDEX(Piutang!$O$2:$O$1751,MATCH($B75,Piutang!$A$2:$A$1751,0)))</f>
        <v/>
      </c>
      <c r="G75" s="44"/>
      <c r="H75" s="45"/>
      <c r="I75" s="47"/>
      <c r="J75" s="4" t="str">
        <f aca="false">IF(G75="","",IF(G75="Janji Bayar",IF(H75="","Isi tgl janji",IF(H75&lt;Catatan!$B$3,"Terlewat - tindak lanjut","Menunggu")),"-"))</f>
        <v/>
      </c>
      <c r="K75" s="44"/>
    </row>
    <row r="76" customFormat="false" ht="15" hidden="false" customHeight="false" outlineLevel="0" collapsed="false">
      <c r="A76" s="45"/>
      <c r="B76" s="44"/>
      <c r="C76" s="4" t="str">
        <f aca="false">IF($B76="","",INDEX(Piutang!$D$2:$D$1751,MATCH($B76,Piutang!$A$2:$A$1751,0)))</f>
        <v/>
      </c>
      <c r="D76" s="4" t="str">
        <f aca="false">IF($B76="","",INDEX(Piutang!$E$2:$E$1751,MATCH($B76,Piutang!$A$2:$A$1751,0)))</f>
        <v/>
      </c>
      <c r="E76" s="6" t="str">
        <f aca="false">IF($B76="","",INDEX(Piutang!$M$2:$M$1751,MATCH($B76,Piutang!$A$2:$A$1751,0)))</f>
        <v/>
      </c>
      <c r="F76" s="4" t="str">
        <f aca="false">IF($B76="","",INDEX(Piutang!$O$2:$O$1751,MATCH($B76,Piutang!$A$2:$A$1751,0)))</f>
        <v/>
      </c>
      <c r="G76" s="44"/>
      <c r="H76" s="45"/>
      <c r="I76" s="47"/>
      <c r="J76" s="4" t="str">
        <f aca="false">IF(G76="","",IF(G76="Janji Bayar",IF(H76="","Isi tgl janji",IF(H76&lt;Catatan!$B$3,"Terlewat - tindak lanjut","Menunggu")),"-"))</f>
        <v/>
      </c>
      <c r="K76" s="44"/>
    </row>
    <row r="77" customFormat="false" ht="15" hidden="false" customHeight="false" outlineLevel="0" collapsed="false">
      <c r="A77" s="45"/>
      <c r="B77" s="44"/>
      <c r="C77" s="4" t="str">
        <f aca="false">IF($B77="","",INDEX(Piutang!$D$2:$D$1751,MATCH($B77,Piutang!$A$2:$A$1751,0)))</f>
        <v/>
      </c>
      <c r="D77" s="4" t="str">
        <f aca="false">IF($B77="","",INDEX(Piutang!$E$2:$E$1751,MATCH($B77,Piutang!$A$2:$A$1751,0)))</f>
        <v/>
      </c>
      <c r="E77" s="6" t="str">
        <f aca="false">IF($B77="","",INDEX(Piutang!$M$2:$M$1751,MATCH($B77,Piutang!$A$2:$A$1751,0)))</f>
        <v/>
      </c>
      <c r="F77" s="4" t="str">
        <f aca="false">IF($B77="","",INDEX(Piutang!$O$2:$O$1751,MATCH($B77,Piutang!$A$2:$A$1751,0)))</f>
        <v/>
      </c>
      <c r="G77" s="44"/>
      <c r="H77" s="45"/>
      <c r="I77" s="47"/>
      <c r="J77" s="4" t="str">
        <f aca="false">IF(G77="","",IF(G77="Janji Bayar",IF(H77="","Isi tgl janji",IF(H77&lt;Catatan!$B$3,"Terlewat - tindak lanjut","Menunggu")),"-"))</f>
        <v/>
      </c>
      <c r="K77" s="44"/>
    </row>
    <row r="78" customFormat="false" ht="15" hidden="false" customHeight="false" outlineLevel="0" collapsed="false">
      <c r="A78" s="45"/>
      <c r="B78" s="44"/>
      <c r="C78" s="4" t="str">
        <f aca="false">IF($B78="","",INDEX(Piutang!$D$2:$D$1751,MATCH($B78,Piutang!$A$2:$A$1751,0)))</f>
        <v/>
      </c>
      <c r="D78" s="4" t="str">
        <f aca="false">IF($B78="","",INDEX(Piutang!$E$2:$E$1751,MATCH($B78,Piutang!$A$2:$A$1751,0)))</f>
        <v/>
      </c>
      <c r="E78" s="6" t="str">
        <f aca="false">IF($B78="","",INDEX(Piutang!$M$2:$M$1751,MATCH($B78,Piutang!$A$2:$A$1751,0)))</f>
        <v/>
      </c>
      <c r="F78" s="4" t="str">
        <f aca="false">IF($B78="","",INDEX(Piutang!$O$2:$O$1751,MATCH($B78,Piutang!$A$2:$A$1751,0)))</f>
        <v/>
      </c>
      <c r="G78" s="44"/>
      <c r="H78" s="45"/>
      <c r="I78" s="47"/>
      <c r="J78" s="4" t="str">
        <f aca="false">IF(G78="","",IF(G78="Janji Bayar",IF(H78="","Isi tgl janji",IF(H78&lt;Catatan!$B$3,"Terlewat - tindak lanjut","Menunggu")),"-"))</f>
        <v/>
      </c>
      <c r="K78" s="44"/>
    </row>
    <row r="79" customFormat="false" ht="15" hidden="false" customHeight="false" outlineLevel="0" collapsed="false">
      <c r="A79" s="45"/>
      <c r="B79" s="44"/>
      <c r="C79" s="4" t="str">
        <f aca="false">IF($B79="","",INDEX(Piutang!$D$2:$D$1751,MATCH($B79,Piutang!$A$2:$A$1751,0)))</f>
        <v/>
      </c>
      <c r="D79" s="4" t="str">
        <f aca="false">IF($B79="","",INDEX(Piutang!$E$2:$E$1751,MATCH($B79,Piutang!$A$2:$A$1751,0)))</f>
        <v/>
      </c>
      <c r="E79" s="6" t="str">
        <f aca="false">IF($B79="","",INDEX(Piutang!$M$2:$M$1751,MATCH($B79,Piutang!$A$2:$A$1751,0)))</f>
        <v/>
      </c>
      <c r="F79" s="4" t="str">
        <f aca="false">IF($B79="","",INDEX(Piutang!$O$2:$O$1751,MATCH($B79,Piutang!$A$2:$A$1751,0)))</f>
        <v/>
      </c>
      <c r="G79" s="44"/>
      <c r="H79" s="45"/>
      <c r="I79" s="47"/>
      <c r="J79" s="4" t="str">
        <f aca="false">IF(G79="","",IF(G79="Janji Bayar",IF(H79="","Isi tgl janji",IF(H79&lt;Catatan!$B$3,"Terlewat - tindak lanjut","Menunggu")),"-"))</f>
        <v/>
      </c>
      <c r="K79" s="44"/>
    </row>
    <row r="80" customFormat="false" ht="15" hidden="false" customHeight="false" outlineLevel="0" collapsed="false">
      <c r="A80" s="45"/>
      <c r="B80" s="44"/>
      <c r="C80" s="4" t="str">
        <f aca="false">IF($B80="","",INDEX(Piutang!$D$2:$D$1751,MATCH($B80,Piutang!$A$2:$A$1751,0)))</f>
        <v/>
      </c>
      <c r="D80" s="4" t="str">
        <f aca="false">IF($B80="","",INDEX(Piutang!$E$2:$E$1751,MATCH($B80,Piutang!$A$2:$A$1751,0)))</f>
        <v/>
      </c>
      <c r="E80" s="6" t="str">
        <f aca="false">IF($B80="","",INDEX(Piutang!$M$2:$M$1751,MATCH($B80,Piutang!$A$2:$A$1751,0)))</f>
        <v/>
      </c>
      <c r="F80" s="4" t="str">
        <f aca="false">IF($B80="","",INDEX(Piutang!$O$2:$O$1751,MATCH($B80,Piutang!$A$2:$A$1751,0)))</f>
        <v/>
      </c>
      <c r="G80" s="44"/>
      <c r="H80" s="45"/>
      <c r="I80" s="47"/>
      <c r="J80" s="4" t="str">
        <f aca="false">IF(G80="","",IF(G80="Janji Bayar",IF(H80="","Isi tgl janji",IF(H80&lt;Catatan!$B$3,"Terlewat - tindak lanjut","Menunggu")),"-"))</f>
        <v/>
      </c>
      <c r="K80" s="44"/>
    </row>
    <row r="81" customFormat="false" ht="15" hidden="false" customHeight="false" outlineLevel="0" collapsed="false">
      <c r="A81" s="45"/>
      <c r="B81" s="44"/>
      <c r="C81" s="4" t="str">
        <f aca="false">IF($B81="","",INDEX(Piutang!$D$2:$D$1751,MATCH($B81,Piutang!$A$2:$A$1751,0)))</f>
        <v/>
      </c>
      <c r="D81" s="4" t="str">
        <f aca="false">IF($B81="","",INDEX(Piutang!$E$2:$E$1751,MATCH($B81,Piutang!$A$2:$A$1751,0)))</f>
        <v/>
      </c>
      <c r="E81" s="6" t="str">
        <f aca="false">IF($B81="","",INDEX(Piutang!$M$2:$M$1751,MATCH($B81,Piutang!$A$2:$A$1751,0)))</f>
        <v/>
      </c>
      <c r="F81" s="4" t="str">
        <f aca="false">IF($B81="","",INDEX(Piutang!$O$2:$O$1751,MATCH($B81,Piutang!$A$2:$A$1751,0)))</f>
        <v/>
      </c>
      <c r="G81" s="44"/>
      <c r="H81" s="45"/>
      <c r="I81" s="47"/>
      <c r="J81" s="4" t="str">
        <f aca="false">IF(G81="","",IF(G81="Janji Bayar",IF(H81="","Isi tgl janji",IF(H81&lt;Catatan!$B$3,"Terlewat - tindak lanjut","Menunggu")),"-"))</f>
        <v/>
      </c>
      <c r="K81" s="44"/>
    </row>
    <row r="82" customFormat="false" ht="15" hidden="false" customHeight="false" outlineLevel="0" collapsed="false">
      <c r="A82" s="45"/>
      <c r="B82" s="44"/>
      <c r="C82" s="4" t="str">
        <f aca="false">IF($B82="","",INDEX(Piutang!$D$2:$D$1751,MATCH($B82,Piutang!$A$2:$A$1751,0)))</f>
        <v/>
      </c>
      <c r="D82" s="4" t="str">
        <f aca="false">IF($B82="","",INDEX(Piutang!$E$2:$E$1751,MATCH($B82,Piutang!$A$2:$A$1751,0)))</f>
        <v/>
      </c>
      <c r="E82" s="6" t="str">
        <f aca="false">IF($B82="","",INDEX(Piutang!$M$2:$M$1751,MATCH($B82,Piutang!$A$2:$A$1751,0)))</f>
        <v/>
      </c>
      <c r="F82" s="4" t="str">
        <f aca="false">IF($B82="","",INDEX(Piutang!$O$2:$O$1751,MATCH($B82,Piutang!$A$2:$A$1751,0)))</f>
        <v/>
      </c>
      <c r="G82" s="44"/>
      <c r="H82" s="45"/>
      <c r="I82" s="47"/>
      <c r="J82" s="4" t="str">
        <f aca="false">IF(G82="","",IF(G82="Janji Bayar",IF(H82="","Isi tgl janji",IF(H82&lt;Catatan!$B$3,"Terlewat - tindak lanjut","Menunggu")),"-"))</f>
        <v/>
      </c>
      <c r="K82" s="44"/>
    </row>
    <row r="83" customFormat="false" ht="15" hidden="false" customHeight="false" outlineLevel="0" collapsed="false">
      <c r="A83" s="45"/>
      <c r="B83" s="44"/>
      <c r="C83" s="4" t="str">
        <f aca="false">IF($B83="","",INDEX(Piutang!$D$2:$D$1751,MATCH($B83,Piutang!$A$2:$A$1751,0)))</f>
        <v/>
      </c>
      <c r="D83" s="4" t="str">
        <f aca="false">IF($B83="","",INDEX(Piutang!$E$2:$E$1751,MATCH($B83,Piutang!$A$2:$A$1751,0)))</f>
        <v/>
      </c>
      <c r="E83" s="6" t="str">
        <f aca="false">IF($B83="","",INDEX(Piutang!$M$2:$M$1751,MATCH($B83,Piutang!$A$2:$A$1751,0)))</f>
        <v/>
      </c>
      <c r="F83" s="4" t="str">
        <f aca="false">IF($B83="","",INDEX(Piutang!$O$2:$O$1751,MATCH($B83,Piutang!$A$2:$A$1751,0)))</f>
        <v/>
      </c>
      <c r="G83" s="44"/>
      <c r="H83" s="45"/>
      <c r="I83" s="47"/>
      <c r="J83" s="4" t="str">
        <f aca="false">IF(G83="","",IF(G83="Janji Bayar",IF(H83="","Isi tgl janji",IF(H83&lt;Catatan!$B$3,"Terlewat - tindak lanjut","Menunggu")),"-"))</f>
        <v/>
      </c>
      <c r="K83" s="44"/>
    </row>
    <row r="84" customFormat="false" ht="15" hidden="false" customHeight="false" outlineLevel="0" collapsed="false">
      <c r="A84" s="45"/>
      <c r="B84" s="44"/>
      <c r="C84" s="4" t="str">
        <f aca="false">IF($B84="","",INDEX(Piutang!$D$2:$D$1751,MATCH($B84,Piutang!$A$2:$A$1751,0)))</f>
        <v/>
      </c>
      <c r="D84" s="4" t="str">
        <f aca="false">IF($B84="","",INDEX(Piutang!$E$2:$E$1751,MATCH($B84,Piutang!$A$2:$A$1751,0)))</f>
        <v/>
      </c>
      <c r="E84" s="6" t="str">
        <f aca="false">IF($B84="","",INDEX(Piutang!$M$2:$M$1751,MATCH($B84,Piutang!$A$2:$A$1751,0)))</f>
        <v/>
      </c>
      <c r="F84" s="4" t="str">
        <f aca="false">IF($B84="","",INDEX(Piutang!$O$2:$O$1751,MATCH($B84,Piutang!$A$2:$A$1751,0)))</f>
        <v/>
      </c>
      <c r="G84" s="44"/>
      <c r="H84" s="45"/>
      <c r="I84" s="47"/>
      <c r="J84" s="4" t="str">
        <f aca="false">IF(G84="","",IF(G84="Janji Bayar",IF(H84="","Isi tgl janji",IF(H84&lt;Catatan!$B$3,"Terlewat - tindak lanjut","Menunggu")),"-"))</f>
        <v/>
      </c>
      <c r="K84" s="44"/>
    </row>
    <row r="85" customFormat="false" ht="15" hidden="false" customHeight="false" outlineLevel="0" collapsed="false">
      <c r="A85" s="45"/>
      <c r="B85" s="44"/>
      <c r="C85" s="4" t="str">
        <f aca="false">IF($B85="","",INDEX(Piutang!$D$2:$D$1751,MATCH($B85,Piutang!$A$2:$A$1751,0)))</f>
        <v/>
      </c>
      <c r="D85" s="4" t="str">
        <f aca="false">IF($B85="","",INDEX(Piutang!$E$2:$E$1751,MATCH($B85,Piutang!$A$2:$A$1751,0)))</f>
        <v/>
      </c>
      <c r="E85" s="6" t="str">
        <f aca="false">IF($B85="","",INDEX(Piutang!$M$2:$M$1751,MATCH($B85,Piutang!$A$2:$A$1751,0)))</f>
        <v/>
      </c>
      <c r="F85" s="4" t="str">
        <f aca="false">IF($B85="","",INDEX(Piutang!$O$2:$O$1751,MATCH($B85,Piutang!$A$2:$A$1751,0)))</f>
        <v/>
      </c>
      <c r="G85" s="44"/>
      <c r="H85" s="45"/>
      <c r="I85" s="47"/>
      <c r="J85" s="4" t="str">
        <f aca="false">IF(G85="","",IF(G85="Janji Bayar",IF(H85="","Isi tgl janji",IF(H85&lt;Catatan!$B$3,"Terlewat - tindak lanjut","Menunggu")),"-"))</f>
        <v/>
      </c>
      <c r="K85" s="44"/>
    </row>
    <row r="86" customFormat="false" ht="15" hidden="false" customHeight="false" outlineLevel="0" collapsed="false">
      <c r="A86" s="45"/>
      <c r="B86" s="44"/>
      <c r="C86" s="4" t="str">
        <f aca="false">IF($B86="","",INDEX(Piutang!$D$2:$D$1751,MATCH($B86,Piutang!$A$2:$A$1751,0)))</f>
        <v/>
      </c>
      <c r="D86" s="4" t="str">
        <f aca="false">IF($B86="","",INDEX(Piutang!$E$2:$E$1751,MATCH($B86,Piutang!$A$2:$A$1751,0)))</f>
        <v/>
      </c>
      <c r="E86" s="6" t="str">
        <f aca="false">IF($B86="","",INDEX(Piutang!$M$2:$M$1751,MATCH($B86,Piutang!$A$2:$A$1751,0)))</f>
        <v/>
      </c>
      <c r="F86" s="4" t="str">
        <f aca="false">IF($B86="","",INDEX(Piutang!$O$2:$O$1751,MATCH($B86,Piutang!$A$2:$A$1751,0)))</f>
        <v/>
      </c>
      <c r="G86" s="44"/>
      <c r="H86" s="45"/>
      <c r="I86" s="47"/>
      <c r="J86" s="4" t="str">
        <f aca="false">IF(G86="","",IF(G86="Janji Bayar",IF(H86="","Isi tgl janji",IF(H86&lt;Catatan!$B$3,"Terlewat - tindak lanjut","Menunggu")),"-"))</f>
        <v/>
      </c>
      <c r="K86" s="44"/>
    </row>
    <row r="87" customFormat="false" ht="15" hidden="false" customHeight="false" outlineLevel="0" collapsed="false">
      <c r="A87" s="45"/>
      <c r="B87" s="44"/>
      <c r="C87" s="4" t="str">
        <f aca="false">IF($B87="","",INDEX(Piutang!$D$2:$D$1751,MATCH($B87,Piutang!$A$2:$A$1751,0)))</f>
        <v/>
      </c>
      <c r="D87" s="4" t="str">
        <f aca="false">IF($B87="","",INDEX(Piutang!$E$2:$E$1751,MATCH($B87,Piutang!$A$2:$A$1751,0)))</f>
        <v/>
      </c>
      <c r="E87" s="6" t="str">
        <f aca="false">IF($B87="","",INDEX(Piutang!$M$2:$M$1751,MATCH($B87,Piutang!$A$2:$A$1751,0)))</f>
        <v/>
      </c>
      <c r="F87" s="4" t="str">
        <f aca="false">IF($B87="","",INDEX(Piutang!$O$2:$O$1751,MATCH($B87,Piutang!$A$2:$A$1751,0)))</f>
        <v/>
      </c>
      <c r="G87" s="44"/>
      <c r="H87" s="45"/>
      <c r="I87" s="47"/>
      <c r="J87" s="4" t="str">
        <f aca="false">IF(G87="","",IF(G87="Janji Bayar",IF(H87="","Isi tgl janji",IF(H87&lt;Catatan!$B$3,"Terlewat - tindak lanjut","Menunggu")),"-"))</f>
        <v/>
      </c>
      <c r="K87" s="44"/>
    </row>
    <row r="88" customFormat="false" ht="15" hidden="false" customHeight="false" outlineLevel="0" collapsed="false">
      <c r="A88" s="45"/>
      <c r="B88" s="44"/>
      <c r="C88" s="4" t="str">
        <f aca="false">IF($B88="","",INDEX(Piutang!$D$2:$D$1751,MATCH($B88,Piutang!$A$2:$A$1751,0)))</f>
        <v/>
      </c>
      <c r="D88" s="4" t="str">
        <f aca="false">IF($B88="","",INDEX(Piutang!$E$2:$E$1751,MATCH($B88,Piutang!$A$2:$A$1751,0)))</f>
        <v/>
      </c>
      <c r="E88" s="6" t="str">
        <f aca="false">IF($B88="","",INDEX(Piutang!$M$2:$M$1751,MATCH($B88,Piutang!$A$2:$A$1751,0)))</f>
        <v/>
      </c>
      <c r="F88" s="4" t="str">
        <f aca="false">IF($B88="","",INDEX(Piutang!$O$2:$O$1751,MATCH($B88,Piutang!$A$2:$A$1751,0)))</f>
        <v/>
      </c>
      <c r="G88" s="44"/>
      <c r="H88" s="45"/>
      <c r="I88" s="47"/>
      <c r="J88" s="4" t="str">
        <f aca="false">IF(G88="","",IF(G88="Janji Bayar",IF(H88="","Isi tgl janji",IF(H88&lt;Catatan!$B$3,"Terlewat - tindak lanjut","Menunggu")),"-"))</f>
        <v/>
      </c>
      <c r="K88" s="44"/>
    </row>
    <row r="89" customFormat="false" ht="15" hidden="false" customHeight="false" outlineLevel="0" collapsed="false">
      <c r="A89" s="45"/>
      <c r="B89" s="44"/>
      <c r="C89" s="4" t="str">
        <f aca="false">IF($B89="","",INDEX(Piutang!$D$2:$D$1751,MATCH($B89,Piutang!$A$2:$A$1751,0)))</f>
        <v/>
      </c>
      <c r="D89" s="4" t="str">
        <f aca="false">IF($B89="","",INDEX(Piutang!$E$2:$E$1751,MATCH($B89,Piutang!$A$2:$A$1751,0)))</f>
        <v/>
      </c>
      <c r="E89" s="6" t="str">
        <f aca="false">IF($B89="","",INDEX(Piutang!$M$2:$M$1751,MATCH($B89,Piutang!$A$2:$A$1751,0)))</f>
        <v/>
      </c>
      <c r="F89" s="4" t="str">
        <f aca="false">IF($B89="","",INDEX(Piutang!$O$2:$O$1751,MATCH($B89,Piutang!$A$2:$A$1751,0)))</f>
        <v/>
      </c>
      <c r="G89" s="44"/>
      <c r="H89" s="45"/>
      <c r="I89" s="47"/>
      <c r="J89" s="4" t="str">
        <f aca="false">IF(G89="","",IF(G89="Janji Bayar",IF(H89="","Isi tgl janji",IF(H89&lt;Catatan!$B$3,"Terlewat - tindak lanjut","Menunggu")),"-"))</f>
        <v/>
      </c>
      <c r="K89" s="44"/>
    </row>
    <row r="90" customFormat="false" ht="15" hidden="false" customHeight="false" outlineLevel="0" collapsed="false">
      <c r="A90" s="45"/>
      <c r="B90" s="44"/>
      <c r="C90" s="4" t="str">
        <f aca="false">IF($B90="","",INDEX(Piutang!$D$2:$D$1751,MATCH($B90,Piutang!$A$2:$A$1751,0)))</f>
        <v/>
      </c>
      <c r="D90" s="4" t="str">
        <f aca="false">IF($B90="","",INDEX(Piutang!$E$2:$E$1751,MATCH($B90,Piutang!$A$2:$A$1751,0)))</f>
        <v/>
      </c>
      <c r="E90" s="6" t="str">
        <f aca="false">IF($B90="","",INDEX(Piutang!$M$2:$M$1751,MATCH($B90,Piutang!$A$2:$A$1751,0)))</f>
        <v/>
      </c>
      <c r="F90" s="4" t="str">
        <f aca="false">IF($B90="","",INDEX(Piutang!$O$2:$O$1751,MATCH($B90,Piutang!$A$2:$A$1751,0)))</f>
        <v/>
      </c>
      <c r="G90" s="44"/>
      <c r="H90" s="45"/>
      <c r="I90" s="47"/>
      <c r="J90" s="4" t="str">
        <f aca="false">IF(G90="","",IF(G90="Janji Bayar",IF(H90="","Isi tgl janji",IF(H90&lt;Catatan!$B$3,"Terlewat - tindak lanjut","Menunggu")),"-"))</f>
        <v/>
      </c>
      <c r="K90" s="44"/>
    </row>
    <row r="91" customFormat="false" ht="15" hidden="false" customHeight="false" outlineLevel="0" collapsed="false">
      <c r="A91" s="45"/>
      <c r="B91" s="44"/>
      <c r="C91" s="4" t="str">
        <f aca="false">IF($B91="","",INDEX(Piutang!$D$2:$D$1751,MATCH($B91,Piutang!$A$2:$A$1751,0)))</f>
        <v/>
      </c>
      <c r="D91" s="4" t="str">
        <f aca="false">IF($B91="","",INDEX(Piutang!$E$2:$E$1751,MATCH($B91,Piutang!$A$2:$A$1751,0)))</f>
        <v/>
      </c>
      <c r="E91" s="6" t="str">
        <f aca="false">IF($B91="","",INDEX(Piutang!$M$2:$M$1751,MATCH($B91,Piutang!$A$2:$A$1751,0)))</f>
        <v/>
      </c>
      <c r="F91" s="4" t="str">
        <f aca="false">IF($B91="","",INDEX(Piutang!$O$2:$O$1751,MATCH($B91,Piutang!$A$2:$A$1751,0)))</f>
        <v/>
      </c>
      <c r="G91" s="44"/>
      <c r="H91" s="45"/>
      <c r="I91" s="47"/>
      <c r="J91" s="4" t="str">
        <f aca="false">IF(G91="","",IF(G91="Janji Bayar",IF(H91="","Isi tgl janji",IF(H91&lt;Catatan!$B$3,"Terlewat - tindak lanjut","Menunggu")),"-"))</f>
        <v/>
      </c>
      <c r="K91" s="44"/>
    </row>
    <row r="92" customFormat="false" ht="15" hidden="false" customHeight="false" outlineLevel="0" collapsed="false">
      <c r="A92" s="45"/>
      <c r="B92" s="44"/>
      <c r="C92" s="4" t="str">
        <f aca="false">IF($B92="","",INDEX(Piutang!$D$2:$D$1751,MATCH($B92,Piutang!$A$2:$A$1751,0)))</f>
        <v/>
      </c>
      <c r="D92" s="4" t="str">
        <f aca="false">IF($B92="","",INDEX(Piutang!$E$2:$E$1751,MATCH($B92,Piutang!$A$2:$A$1751,0)))</f>
        <v/>
      </c>
      <c r="E92" s="6" t="str">
        <f aca="false">IF($B92="","",INDEX(Piutang!$M$2:$M$1751,MATCH($B92,Piutang!$A$2:$A$1751,0)))</f>
        <v/>
      </c>
      <c r="F92" s="4" t="str">
        <f aca="false">IF($B92="","",INDEX(Piutang!$O$2:$O$1751,MATCH($B92,Piutang!$A$2:$A$1751,0)))</f>
        <v/>
      </c>
      <c r="G92" s="44"/>
      <c r="H92" s="45"/>
      <c r="I92" s="47"/>
      <c r="J92" s="4" t="str">
        <f aca="false">IF(G92="","",IF(G92="Janji Bayar",IF(H92="","Isi tgl janji",IF(H92&lt;Catatan!$B$3,"Terlewat - tindak lanjut","Menunggu")),"-"))</f>
        <v/>
      </c>
      <c r="K92" s="44"/>
    </row>
    <row r="93" customFormat="false" ht="15" hidden="false" customHeight="false" outlineLevel="0" collapsed="false">
      <c r="A93" s="45"/>
      <c r="B93" s="44"/>
      <c r="C93" s="4" t="str">
        <f aca="false">IF($B93="","",INDEX(Piutang!$D$2:$D$1751,MATCH($B93,Piutang!$A$2:$A$1751,0)))</f>
        <v/>
      </c>
      <c r="D93" s="4" t="str">
        <f aca="false">IF($B93="","",INDEX(Piutang!$E$2:$E$1751,MATCH($B93,Piutang!$A$2:$A$1751,0)))</f>
        <v/>
      </c>
      <c r="E93" s="6" t="str">
        <f aca="false">IF($B93="","",INDEX(Piutang!$M$2:$M$1751,MATCH($B93,Piutang!$A$2:$A$1751,0)))</f>
        <v/>
      </c>
      <c r="F93" s="4" t="str">
        <f aca="false">IF($B93="","",INDEX(Piutang!$O$2:$O$1751,MATCH($B93,Piutang!$A$2:$A$1751,0)))</f>
        <v/>
      </c>
      <c r="G93" s="44"/>
      <c r="H93" s="45"/>
      <c r="I93" s="47"/>
      <c r="J93" s="4" t="str">
        <f aca="false">IF(G93="","",IF(G93="Janji Bayar",IF(H93="","Isi tgl janji",IF(H93&lt;Catatan!$B$3,"Terlewat - tindak lanjut","Menunggu")),"-"))</f>
        <v/>
      </c>
      <c r="K93" s="44"/>
    </row>
    <row r="94" customFormat="false" ht="15" hidden="false" customHeight="false" outlineLevel="0" collapsed="false">
      <c r="A94" s="45"/>
      <c r="B94" s="44"/>
      <c r="C94" s="4" t="str">
        <f aca="false">IF($B94="","",INDEX(Piutang!$D$2:$D$1751,MATCH($B94,Piutang!$A$2:$A$1751,0)))</f>
        <v/>
      </c>
      <c r="D94" s="4" t="str">
        <f aca="false">IF($B94="","",INDEX(Piutang!$E$2:$E$1751,MATCH($B94,Piutang!$A$2:$A$1751,0)))</f>
        <v/>
      </c>
      <c r="E94" s="6" t="str">
        <f aca="false">IF($B94="","",INDEX(Piutang!$M$2:$M$1751,MATCH($B94,Piutang!$A$2:$A$1751,0)))</f>
        <v/>
      </c>
      <c r="F94" s="4" t="str">
        <f aca="false">IF($B94="","",INDEX(Piutang!$O$2:$O$1751,MATCH($B94,Piutang!$A$2:$A$1751,0)))</f>
        <v/>
      </c>
      <c r="G94" s="44"/>
      <c r="H94" s="45"/>
      <c r="I94" s="47"/>
      <c r="J94" s="4" t="str">
        <f aca="false">IF(G94="","",IF(G94="Janji Bayar",IF(H94="","Isi tgl janji",IF(H94&lt;Catatan!$B$3,"Terlewat - tindak lanjut","Menunggu")),"-"))</f>
        <v/>
      </c>
      <c r="K94" s="44"/>
    </row>
    <row r="95" customFormat="false" ht="15" hidden="false" customHeight="false" outlineLevel="0" collapsed="false">
      <c r="A95" s="45"/>
      <c r="B95" s="44"/>
      <c r="C95" s="4" t="str">
        <f aca="false">IF($B95="","",INDEX(Piutang!$D$2:$D$1751,MATCH($B95,Piutang!$A$2:$A$1751,0)))</f>
        <v/>
      </c>
      <c r="D95" s="4" t="str">
        <f aca="false">IF($B95="","",INDEX(Piutang!$E$2:$E$1751,MATCH($B95,Piutang!$A$2:$A$1751,0)))</f>
        <v/>
      </c>
      <c r="E95" s="6" t="str">
        <f aca="false">IF($B95="","",INDEX(Piutang!$M$2:$M$1751,MATCH($B95,Piutang!$A$2:$A$1751,0)))</f>
        <v/>
      </c>
      <c r="F95" s="4" t="str">
        <f aca="false">IF($B95="","",INDEX(Piutang!$O$2:$O$1751,MATCH($B95,Piutang!$A$2:$A$1751,0)))</f>
        <v/>
      </c>
      <c r="G95" s="44"/>
      <c r="H95" s="45"/>
      <c r="I95" s="47"/>
      <c r="J95" s="4" t="str">
        <f aca="false">IF(G95="","",IF(G95="Janji Bayar",IF(H95="","Isi tgl janji",IF(H95&lt;Catatan!$B$3,"Terlewat - tindak lanjut","Menunggu")),"-"))</f>
        <v/>
      </c>
      <c r="K95" s="44"/>
    </row>
    <row r="96" customFormat="false" ht="15" hidden="false" customHeight="false" outlineLevel="0" collapsed="false">
      <c r="A96" s="45"/>
      <c r="B96" s="44"/>
      <c r="C96" s="4" t="str">
        <f aca="false">IF($B96="","",INDEX(Piutang!$D$2:$D$1751,MATCH($B96,Piutang!$A$2:$A$1751,0)))</f>
        <v/>
      </c>
      <c r="D96" s="4" t="str">
        <f aca="false">IF($B96="","",INDEX(Piutang!$E$2:$E$1751,MATCH($B96,Piutang!$A$2:$A$1751,0)))</f>
        <v/>
      </c>
      <c r="E96" s="6" t="str">
        <f aca="false">IF($B96="","",INDEX(Piutang!$M$2:$M$1751,MATCH($B96,Piutang!$A$2:$A$1751,0)))</f>
        <v/>
      </c>
      <c r="F96" s="4" t="str">
        <f aca="false">IF($B96="","",INDEX(Piutang!$O$2:$O$1751,MATCH($B96,Piutang!$A$2:$A$1751,0)))</f>
        <v/>
      </c>
      <c r="G96" s="44"/>
      <c r="H96" s="45"/>
      <c r="I96" s="47"/>
      <c r="J96" s="4" t="str">
        <f aca="false">IF(G96="","",IF(G96="Janji Bayar",IF(H96="","Isi tgl janji",IF(H96&lt;Catatan!$B$3,"Terlewat - tindak lanjut","Menunggu")),"-"))</f>
        <v/>
      </c>
      <c r="K96" s="44"/>
    </row>
    <row r="97" customFormat="false" ht="15" hidden="false" customHeight="false" outlineLevel="0" collapsed="false">
      <c r="A97" s="45"/>
      <c r="B97" s="44"/>
      <c r="C97" s="4" t="str">
        <f aca="false">IF($B97="","",INDEX(Piutang!$D$2:$D$1751,MATCH($B97,Piutang!$A$2:$A$1751,0)))</f>
        <v/>
      </c>
      <c r="D97" s="4" t="str">
        <f aca="false">IF($B97="","",INDEX(Piutang!$E$2:$E$1751,MATCH($B97,Piutang!$A$2:$A$1751,0)))</f>
        <v/>
      </c>
      <c r="E97" s="6" t="str">
        <f aca="false">IF($B97="","",INDEX(Piutang!$M$2:$M$1751,MATCH($B97,Piutang!$A$2:$A$1751,0)))</f>
        <v/>
      </c>
      <c r="F97" s="4" t="str">
        <f aca="false">IF($B97="","",INDEX(Piutang!$O$2:$O$1751,MATCH($B97,Piutang!$A$2:$A$1751,0)))</f>
        <v/>
      </c>
      <c r="G97" s="44"/>
      <c r="H97" s="45"/>
      <c r="I97" s="47"/>
      <c r="J97" s="4" t="str">
        <f aca="false">IF(G97="","",IF(G97="Janji Bayar",IF(H97="","Isi tgl janji",IF(H97&lt;Catatan!$B$3,"Terlewat - tindak lanjut","Menunggu")),"-"))</f>
        <v/>
      </c>
      <c r="K97" s="44"/>
    </row>
    <row r="98" customFormat="false" ht="15" hidden="false" customHeight="false" outlineLevel="0" collapsed="false">
      <c r="A98" s="45"/>
      <c r="B98" s="44"/>
      <c r="C98" s="4" t="str">
        <f aca="false">IF($B98="","",INDEX(Piutang!$D$2:$D$1751,MATCH($B98,Piutang!$A$2:$A$1751,0)))</f>
        <v/>
      </c>
      <c r="D98" s="4" t="str">
        <f aca="false">IF($B98="","",INDEX(Piutang!$E$2:$E$1751,MATCH($B98,Piutang!$A$2:$A$1751,0)))</f>
        <v/>
      </c>
      <c r="E98" s="6" t="str">
        <f aca="false">IF($B98="","",INDEX(Piutang!$M$2:$M$1751,MATCH($B98,Piutang!$A$2:$A$1751,0)))</f>
        <v/>
      </c>
      <c r="F98" s="4" t="str">
        <f aca="false">IF($B98="","",INDEX(Piutang!$O$2:$O$1751,MATCH($B98,Piutang!$A$2:$A$1751,0)))</f>
        <v/>
      </c>
      <c r="G98" s="44"/>
      <c r="H98" s="45"/>
      <c r="I98" s="47"/>
      <c r="J98" s="4" t="str">
        <f aca="false">IF(G98="","",IF(G98="Janji Bayar",IF(H98="","Isi tgl janji",IF(H98&lt;Catatan!$B$3,"Terlewat - tindak lanjut","Menunggu")),"-"))</f>
        <v/>
      </c>
      <c r="K98" s="44"/>
    </row>
    <row r="99" customFormat="false" ht="15" hidden="false" customHeight="false" outlineLevel="0" collapsed="false">
      <c r="A99" s="45"/>
      <c r="B99" s="44"/>
      <c r="C99" s="4" t="str">
        <f aca="false">IF($B99="","",INDEX(Piutang!$D$2:$D$1751,MATCH($B99,Piutang!$A$2:$A$1751,0)))</f>
        <v/>
      </c>
      <c r="D99" s="4" t="str">
        <f aca="false">IF($B99="","",INDEX(Piutang!$E$2:$E$1751,MATCH($B99,Piutang!$A$2:$A$1751,0)))</f>
        <v/>
      </c>
      <c r="E99" s="6" t="str">
        <f aca="false">IF($B99="","",INDEX(Piutang!$M$2:$M$1751,MATCH($B99,Piutang!$A$2:$A$1751,0)))</f>
        <v/>
      </c>
      <c r="F99" s="4" t="str">
        <f aca="false">IF($B99="","",INDEX(Piutang!$O$2:$O$1751,MATCH($B99,Piutang!$A$2:$A$1751,0)))</f>
        <v/>
      </c>
      <c r="G99" s="44"/>
      <c r="H99" s="45"/>
      <c r="I99" s="47"/>
      <c r="J99" s="4" t="str">
        <f aca="false">IF(G99="","",IF(G99="Janji Bayar",IF(H99="","Isi tgl janji",IF(H99&lt;Catatan!$B$3,"Terlewat - tindak lanjut","Menunggu")),"-"))</f>
        <v/>
      </c>
      <c r="K99" s="44"/>
    </row>
    <row r="100" customFormat="false" ht="15" hidden="false" customHeight="false" outlineLevel="0" collapsed="false">
      <c r="A100" s="45"/>
      <c r="B100" s="44"/>
      <c r="C100" s="4" t="str">
        <f aca="false">IF($B100="","",INDEX(Piutang!$D$2:$D$1751,MATCH($B100,Piutang!$A$2:$A$1751,0)))</f>
        <v/>
      </c>
      <c r="D100" s="4" t="str">
        <f aca="false">IF($B100="","",INDEX(Piutang!$E$2:$E$1751,MATCH($B100,Piutang!$A$2:$A$1751,0)))</f>
        <v/>
      </c>
      <c r="E100" s="6" t="str">
        <f aca="false">IF($B100="","",INDEX(Piutang!$M$2:$M$1751,MATCH($B100,Piutang!$A$2:$A$1751,0)))</f>
        <v/>
      </c>
      <c r="F100" s="4" t="str">
        <f aca="false">IF($B100="","",INDEX(Piutang!$O$2:$O$1751,MATCH($B100,Piutang!$A$2:$A$1751,0)))</f>
        <v/>
      </c>
      <c r="G100" s="44"/>
      <c r="H100" s="45"/>
      <c r="I100" s="47"/>
      <c r="J100" s="4" t="str">
        <f aca="false">IF(G100="","",IF(G100="Janji Bayar",IF(H100="","Isi tgl janji",IF(H100&lt;Catatan!$B$3,"Terlewat - tindak lanjut","Menunggu")),"-"))</f>
        <v/>
      </c>
      <c r="K100" s="44"/>
    </row>
    <row r="101" customFormat="false" ht="15" hidden="false" customHeight="false" outlineLevel="0" collapsed="false">
      <c r="A101" s="45"/>
      <c r="B101" s="44"/>
      <c r="C101" s="4" t="str">
        <f aca="false">IF($B101="","",INDEX(Piutang!$D$2:$D$1751,MATCH($B101,Piutang!$A$2:$A$1751,0)))</f>
        <v/>
      </c>
      <c r="D101" s="4" t="str">
        <f aca="false">IF($B101="","",INDEX(Piutang!$E$2:$E$1751,MATCH($B101,Piutang!$A$2:$A$1751,0)))</f>
        <v/>
      </c>
      <c r="E101" s="6" t="str">
        <f aca="false">IF($B101="","",INDEX(Piutang!$M$2:$M$1751,MATCH($B101,Piutang!$A$2:$A$1751,0)))</f>
        <v/>
      </c>
      <c r="F101" s="4" t="str">
        <f aca="false">IF($B101="","",INDEX(Piutang!$O$2:$O$1751,MATCH($B101,Piutang!$A$2:$A$1751,0)))</f>
        <v/>
      </c>
      <c r="G101" s="44"/>
      <c r="H101" s="45"/>
      <c r="I101" s="47"/>
      <c r="J101" s="4" t="str">
        <f aca="false">IF(G101="","",IF(G101="Janji Bayar",IF(H101="","Isi tgl janji",IF(H101&lt;Catatan!$B$3,"Terlewat - tindak lanjut","Menunggu")),"-"))</f>
        <v/>
      </c>
      <c r="K101" s="44"/>
    </row>
    <row r="102" customFormat="false" ht="15" hidden="false" customHeight="false" outlineLevel="0" collapsed="false">
      <c r="A102" s="45"/>
      <c r="B102" s="44"/>
      <c r="C102" s="4" t="str">
        <f aca="false">IF($B102="","",INDEX(Piutang!$D$2:$D$1751,MATCH($B102,Piutang!$A$2:$A$1751,0)))</f>
        <v/>
      </c>
      <c r="D102" s="4" t="str">
        <f aca="false">IF($B102="","",INDEX(Piutang!$E$2:$E$1751,MATCH($B102,Piutang!$A$2:$A$1751,0)))</f>
        <v/>
      </c>
      <c r="E102" s="6" t="str">
        <f aca="false">IF($B102="","",INDEX(Piutang!$M$2:$M$1751,MATCH($B102,Piutang!$A$2:$A$1751,0)))</f>
        <v/>
      </c>
      <c r="F102" s="4" t="str">
        <f aca="false">IF($B102="","",INDEX(Piutang!$O$2:$O$1751,MATCH($B102,Piutang!$A$2:$A$1751,0)))</f>
        <v/>
      </c>
      <c r="G102" s="44"/>
      <c r="H102" s="45"/>
      <c r="I102" s="47"/>
      <c r="J102" s="4" t="str">
        <f aca="false">IF(G102="","",IF(G102="Janji Bayar",IF(H102="","Isi tgl janji",IF(H102&lt;Catatan!$B$3,"Terlewat - tindak lanjut","Menunggu")),"-"))</f>
        <v/>
      </c>
      <c r="K102" s="44"/>
    </row>
    <row r="103" customFormat="false" ht="15" hidden="false" customHeight="false" outlineLevel="0" collapsed="false">
      <c r="A103" s="45"/>
      <c r="B103" s="44"/>
      <c r="C103" s="4" t="str">
        <f aca="false">IF($B103="","",INDEX(Piutang!$D$2:$D$1751,MATCH($B103,Piutang!$A$2:$A$1751,0)))</f>
        <v/>
      </c>
      <c r="D103" s="4" t="str">
        <f aca="false">IF($B103="","",INDEX(Piutang!$E$2:$E$1751,MATCH($B103,Piutang!$A$2:$A$1751,0)))</f>
        <v/>
      </c>
      <c r="E103" s="6" t="str">
        <f aca="false">IF($B103="","",INDEX(Piutang!$M$2:$M$1751,MATCH($B103,Piutang!$A$2:$A$1751,0)))</f>
        <v/>
      </c>
      <c r="F103" s="4" t="str">
        <f aca="false">IF($B103="","",INDEX(Piutang!$O$2:$O$1751,MATCH($B103,Piutang!$A$2:$A$1751,0)))</f>
        <v/>
      </c>
      <c r="G103" s="44"/>
      <c r="H103" s="45"/>
      <c r="I103" s="47"/>
      <c r="J103" s="4" t="str">
        <f aca="false">IF(G103="","",IF(G103="Janji Bayar",IF(H103="","Isi tgl janji",IF(H103&lt;Catatan!$B$3,"Terlewat - tindak lanjut","Menunggu")),"-"))</f>
        <v/>
      </c>
      <c r="K103" s="44"/>
    </row>
    <row r="104" customFormat="false" ht="15" hidden="false" customHeight="false" outlineLevel="0" collapsed="false">
      <c r="A104" s="45"/>
      <c r="B104" s="44"/>
      <c r="C104" s="4" t="str">
        <f aca="false">IF($B104="","",INDEX(Piutang!$D$2:$D$1751,MATCH($B104,Piutang!$A$2:$A$1751,0)))</f>
        <v/>
      </c>
      <c r="D104" s="4" t="str">
        <f aca="false">IF($B104="","",INDEX(Piutang!$E$2:$E$1751,MATCH($B104,Piutang!$A$2:$A$1751,0)))</f>
        <v/>
      </c>
      <c r="E104" s="6" t="str">
        <f aca="false">IF($B104="","",INDEX(Piutang!$M$2:$M$1751,MATCH($B104,Piutang!$A$2:$A$1751,0)))</f>
        <v/>
      </c>
      <c r="F104" s="4" t="str">
        <f aca="false">IF($B104="","",INDEX(Piutang!$O$2:$O$1751,MATCH($B104,Piutang!$A$2:$A$1751,0)))</f>
        <v/>
      </c>
      <c r="G104" s="44"/>
      <c r="H104" s="45"/>
      <c r="I104" s="47"/>
      <c r="J104" s="4" t="str">
        <f aca="false">IF(G104="","",IF(G104="Janji Bayar",IF(H104="","Isi tgl janji",IF(H104&lt;Catatan!$B$3,"Terlewat - tindak lanjut","Menunggu")),"-"))</f>
        <v/>
      </c>
      <c r="K104" s="44"/>
    </row>
    <row r="105" customFormat="false" ht="15" hidden="false" customHeight="false" outlineLevel="0" collapsed="false">
      <c r="A105" s="45"/>
      <c r="B105" s="44"/>
      <c r="C105" s="4" t="str">
        <f aca="false">IF($B105="","",INDEX(Piutang!$D$2:$D$1751,MATCH($B105,Piutang!$A$2:$A$1751,0)))</f>
        <v/>
      </c>
      <c r="D105" s="4" t="str">
        <f aca="false">IF($B105="","",INDEX(Piutang!$E$2:$E$1751,MATCH($B105,Piutang!$A$2:$A$1751,0)))</f>
        <v/>
      </c>
      <c r="E105" s="6" t="str">
        <f aca="false">IF($B105="","",INDEX(Piutang!$M$2:$M$1751,MATCH($B105,Piutang!$A$2:$A$1751,0)))</f>
        <v/>
      </c>
      <c r="F105" s="4" t="str">
        <f aca="false">IF($B105="","",INDEX(Piutang!$O$2:$O$1751,MATCH($B105,Piutang!$A$2:$A$1751,0)))</f>
        <v/>
      </c>
      <c r="G105" s="44"/>
      <c r="H105" s="45"/>
      <c r="I105" s="47"/>
      <c r="J105" s="4" t="str">
        <f aca="false">IF(G105="","",IF(G105="Janji Bayar",IF(H105="","Isi tgl janji",IF(H105&lt;Catatan!$B$3,"Terlewat - tindak lanjut","Menunggu")),"-"))</f>
        <v/>
      </c>
      <c r="K105" s="44"/>
    </row>
    <row r="106" customFormat="false" ht="15" hidden="false" customHeight="false" outlineLevel="0" collapsed="false">
      <c r="A106" s="45"/>
      <c r="B106" s="44"/>
      <c r="C106" s="4" t="str">
        <f aca="false">IF($B106="","",INDEX(Piutang!$D$2:$D$1751,MATCH($B106,Piutang!$A$2:$A$1751,0)))</f>
        <v/>
      </c>
      <c r="D106" s="4" t="str">
        <f aca="false">IF($B106="","",INDEX(Piutang!$E$2:$E$1751,MATCH($B106,Piutang!$A$2:$A$1751,0)))</f>
        <v/>
      </c>
      <c r="E106" s="6" t="str">
        <f aca="false">IF($B106="","",INDEX(Piutang!$M$2:$M$1751,MATCH($B106,Piutang!$A$2:$A$1751,0)))</f>
        <v/>
      </c>
      <c r="F106" s="4" t="str">
        <f aca="false">IF($B106="","",INDEX(Piutang!$O$2:$O$1751,MATCH($B106,Piutang!$A$2:$A$1751,0)))</f>
        <v/>
      </c>
      <c r="G106" s="44"/>
      <c r="H106" s="45"/>
      <c r="I106" s="47"/>
      <c r="J106" s="4" t="str">
        <f aca="false">IF(G106="","",IF(G106="Janji Bayar",IF(H106="","Isi tgl janji",IF(H106&lt;Catatan!$B$3,"Terlewat - tindak lanjut","Menunggu")),"-"))</f>
        <v/>
      </c>
      <c r="K106" s="44"/>
    </row>
    <row r="107" customFormat="false" ht="15" hidden="false" customHeight="false" outlineLevel="0" collapsed="false">
      <c r="A107" s="45"/>
      <c r="B107" s="44"/>
      <c r="C107" s="4" t="str">
        <f aca="false">IF($B107="","",INDEX(Piutang!$D$2:$D$1751,MATCH($B107,Piutang!$A$2:$A$1751,0)))</f>
        <v/>
      </c>
      <c r="D107" s="4" t="str">
        <f aca="false">IF($B107="","",INDEX(Piutang!$E$2:$E$1751,MATCH($B107,Piutang!$A$2:$A$1751,0)))</f>
        <v/>
      </c>
      <c r="E107" s="6" t="str">
        <f aca="false">IF($B107="","",INDEX(Piutang!$M$2:$M$1751,MATCH($B107,Piutang!$A$2:$A$1751,0)))</f>
        <v/>
      </c>
      <c r="F107" s="4" t="str">
        <f aca="false">IF($B107="","",INDEX(Piutang!$O$2:$O$1751,MATCH($B107,Piutang!$A$2:$A$1751,0)))</f>
        <v/>
      </c>
      <c r="G107" s="44"/>
      <c r="H107" s="45"/>
      <c r="I107" s="47"/>
      <c r="J107" s="4" t="str">
        <f aca="false">IF(G107="","",IF(G107="Janji Bayar",IF(H107="","Isi tgl janji",IF(H107&lt;Catatan!$B$3,"Terlewat - tindak lanjut","Menunggu")),"-"))</f>
        <v/>
      </c>
      <c r="K107" s="44"/>
    </row>
    <row r="108" customFormat="false" ht="15" hidden="false" customHeight="false" outlineLevel="0" collapsed="false">
      <c r="A108" s="45"/>
      <c r="B108" s="44"/>
      <c r="C108" s="4" t="str">
        <f aca="false">IF($B108="","",INDEX(Piutang!$D$2:$D$1751,MATCH($B108,Piutang!$A$2:$A$1751,0)))</f>
        <v/>
      </c>
      <c r="D108" s="4" t="str">
        <f aca="false">IF($B108="","",INDEX(Piutang!$E$2:$E$1751,MATCH($B108,Piutang!$A$2:$A$1751,0)))</f>
        <v/>
      </c>
      <c r="E108" s="6" t="str">
        <f aca="false">IF($B108="","",INDEX(Piutang!$M$2:$M$1751,MATCH($B108,Piutang!$A$2:$A$1751,0)))</f>
        <v/>
      </c>
      <c r="F108" s="4" t="str">
        <f aca="false">IF($B108="","",INDEX(Piutang!$O$2:$O$1751,MATCH($B108,Piutang!$A$2:$A$1751,0)))</f>
        <v/>
      </c>
      <c r="G108" s="44"/>
      <c r="H108" s="45"/>
      <c r="I108" s="47"/>
      <c r="J108" s="4" t="str">
        <f aca="false">IF(G108="","",IF(G108="Janji Bayar",IF(H108="","Isi tgl janji",IF(H108&lt;Catatan!$B$3,"Terlewat - tindak lanjut","Menunggu")),"-"))</f>
        <v/>
      </c>
      <c r="K108" s="44"/>
    </row>
    <row r="109" customFormat="false" ht="15" hidden="false" customHeight="false" outlineLevel="0" collapsed="false">
      <c r="A109" s="45"/>
      <c r="B109" s="44"/>
      <c r="C109" s="4" t="str">
        <f aca="false">IF($B109="","",INDEX(Piutang!$D$2:$D$1751,MATCH($B109,Piutang!$A$2:$A$1751,0)))</f>
        <v/>
      </c>
      <c r="D109" s="4" t="str">
        <f aca="false">IF($B109="","",INDEX(Piutang!$E$2:$E$1751,MATCH($B109,Piutang!$A$2:$A$1751,0)))</f>
        <v/>
      </c>
      <c r="E109" s="6" t="str">
        <f aca="false">IF($B109="","",INDEX(Piutang!$M$2:$M$1751,MATCH($B109,Piutang!$A$2:$A$1751,0)))</f>
        <v/>
      </c>
      <c r="F109" s="4" t="str">
        <f aca="false">IF($B109="","",INDEX(Piutang!$O$2:$O$1751,MATCH($B109,Piutang!$A$2:$A$1751,0)))</f>
        <v/>
      </c>
      <c r="G109" s="44"/>
      <c r="H109" s="45"/>
      <c r="I109" s="47"/>
      <c r="J109" s="4" t="str">
        <f aca="false">IF(G109="","",IF(G109="Janji Bayar",IF(H109="","Isi tgl janji",IF(H109&lt;Catatan!$B$3,"Terlewat - tindak lanjut","Menunggu")),"-"))</f>
        <v/>
      </c>
      <c r="K109" s="44"/>
    </row>
    <row r="110" customFormat="false" ht="15" hidden="false" customHeight="false" outlineLevel="0" collapsed="false">
      <c r="A110" s="45"/>
      <c r="B110" s="44"/>
      <c r="C110" s="4" t="str">
        <f aca="false">IF($B110="","",INDEX(Piutang!$D$2:$D$1751,MATCH($B110,Piutang!$A$2:$A$1751,0)))</f>
        <v/>
      </c>
      <c r="D110" s="4" t="str">
        <f aca="false">IF($B110="","",INDEX(Piutang!$E$2:$E$1751,MATCH($B110,Piutang!$A$2:$A$1751,0)))</f>
        <v/>
      </c>
      <c r="E110" s="6" t="str">
        <f aca="false">IF($B110="","",INDEX(Piutang!$M$2:$M$1751,MATCH($B110,Piutang!$A$2:$A$1751,0)))</f>
        <v/>
      </c>
      <c r="F110" s="4" t="str">
        <f aca="false">IF($B110="","",INDEX(Piutang!$O$2:$O$1751,MATCH($B110,Piutang!$A$2:$A$1751,0)))</f>
        <v/>
      </c>
      <c r="G110" s="44"/>
      <c r="H110" s="45"/>
      <c r="I110" s="47"/>
      <c r="J110" s="4" t="str">
        <f aca="false">IF(G110="","",IF(G110="Janji Bayar",IF(H110="","Isi tgl janji",IF(H110&lt;Catatan!$B$3,"Terlewat - tindak lanjut","Menunggu")),"-"))</f>
        <v/>
      </c>
      <c r="K110" s="44"/>
    </row>
    <row r="111" customFormat="false" ht="15" hidden="false" customHeight="false" outlineLevel="0" collapsed="false">
      <c r="A111" s="45"/>
      <c r="B111" s="44"/>
      <c r="C111" s="4" t="str">
        <f aca="false">IF($B111="","",INDEX(Piutang!$D$2:$D$1751,MATCH($B111,Piutang!$A$2:$A$1751,0)))</f>
        <v/>
      </c>
      <c r="D111" s="4" t="str">
        <f aca="false">IF($B111="","",INDEX(Piutang!$E$2:$E$1751,MATCH($B111,Piutang!$A$2:$A$1751,0)))</f>
        <v/>
      </c>
      <c r="E111" s="6" t="str">
        <f aca="false">IF($B111="","",INDEX(Piutang!$M$2:$M$1751,MATCH($B111,Piutang!$A$2:$A$1751,0)))</f>
        <v/>
      </c>
      <c r="F111" s="4" t="str">
        <f aca="false">IF($B111="","",INDEX(Piutang!$O$2:$O$1751,MATCH($B111,Piutang!$A$2:$A$1751,0)))</f>
        <v/>
      </c>
      <c r="G111" s="44"/>
      <c r="H111" s="45"/>
      <c r="I111" s="47"/>
      <c r="J111" s="4" t="str">
        <f aca="false">IF(G111="","",IF(G111="Janji Bayar",IF(H111="","Isi tgl janji",IF(H111&lt;Catatan!$B$3,"Terlewat - tindak lanjut","Menunggu")),"-"))</f>
        <v/>
      </c>
      <c r="K111" s="44"/>
    </row>
    <row r="112" customFormat="false" ht="15" hidden="false" customHeight="false" outlineLevel="0" collapsed="false">
      <c r="A112" s="45"/>
      <c r="B112" s="44"/>
      <c r="C112" s="4" t="str">
        <f aca="false">IF($B112="","",INDEX(Piutang!$D$2:$D$1751,MATCH($B112,Piutang!$A$2:$A$1751,0)))</f>
        <v/>
      </c>
      <c r="D112" s="4" t="str">
        <f aca="false">IF($B112="","",INDEX(Piutang!$E$2:$E$1751,MATCH($B112,Piutang!$A$2:$A$1751,0)))</f>
        <v/>
      </c>
      <c r="E112" s="6" t="str">
        <f aca="false">IF($B112="","",INDEX(Piutang!$M$2:$M$1751,MATCH($B112,Piutang!$A$2:$A$1751,0)))</f>
        <v/>
      </c>
      <c r="F112" s="4" t="str">
        <f aca="false">IF($B112="","",INDEX(Piutang!$O$2:$O$1751,MATCH($B112,Piutang!$A$2:$A$1751,0)))</f>
        <v/>
      </c>
      <c r="G112" s="44"/>
      <c r="H112" s="45"/>
      <c r="I112" s="47"/>
      <c r="J112" s="4" t="str">
        <f aca="false">IF(G112="","",IF(G112="Janji Bayar",IF(H112="","Isi tgl janji",IF(H112&lt;Catatan!$B$3,"Terlewat - tindak lanjut","Menunggu")),"-"))</f>
        <v/>
      </c>
      <c r="K112" s="44"/>
    </row>
    <row r="113" customFormat="false" ht="15" hidden="false" customHeight="false" outlineLevel="0" collapsed="false">
      <c r="A113" s="45"/>
      <c r="B113" s="44"/>
      <c r="C113" s="4" t="str">
        <f aca="false">IF($B113="","",INDEX(Piutang!$D$2:$D$1751,MATCH($B113,Piutang!$A$2:$A$1751,0)))</f>
        <v/>
      </c>
      <c r="D113" s="4" t="str">
        <f aca="false">IF($B113="","",INDEX(Piutang!$E$2:$E$1751,MATCH($B113,Piutang!$A$2:$A$1751,0)))</f>
        <v/>
      </c>
      <c r="E113" s="6" t="str">
        <f aca="false">IF($B113="","",INDEX(Piutang!$M$2:$M$1751,MATCH($B113,Piutang!$A$2:$A$1751,0)))</f>
        <v/>
      </c>
      <c r="F113" s="4" t="str">
        <f aca="false">IF($B113="","",INDEX(Piutang!$O$2:$O$1751,MATCH($B113,Piutang!$A$2:$A$1751,0)))</f>
        <v/>
      </c>
      <c r="G113" s="44"/>
      <c r="H113" s="45"/>
      <c r="I113" s="47"/>
      <c r="J113" s="4" t="str">
        <f aca="false">IF(G113="","",IF(G113="Janji Bayar",IF(H113="","Isi tgl janji",IF(H113&lt;Catatan!$B$3,"Terlewat - tindak lanjut","Menunggu")),"-"))</f>
        <v/>
      </c>
      <c r="K113" s="44"/>
    </row>
    <row r="114" customFormat="false" ht="15" hidden="false" customHeight="false" outlineLevel="0" collapsed="false">
      <c r="A114" s="45"/>
      <c r="B114" s="44"/>
      <c r="C114" s="4" t="str">
        <f aca="false">IF($B114="","",INDEX(Piutang!$D$2:$D$1751,MATCH($B114,Piutang!$A$2:$A$1751,0)))</f>
        <v/>
      </c>
      <c r="D114" s="4" t="str">
        <f aca="false">IF($B114="","",INDEX(Piutang!$E$2:$E$1751,MATCH($B114,Piutang!$A$2:$A$1751,0)))</f>
        <v/>
      </c>
      <c r="E114" s="6" t="str">
        <f aca="false">IF($B114="","",INDEX(Piutang!$M$2:$M$1751,MATCH($B114,Piutang!$A$2:$A$1751,0)))</f>
        <v/>
      </c>
      <c r="F114" s="4" t="str">
        <f aca="false">IF($B114="","",INDEX(Piutang!$O$2:$O$1751,MATCH($B114,Piutang!$A$2:$A$1751,0)))</f>
        <v/>
      </c>
      <c r="G114" s="44"/>
      <c r="H114" s="45"/>
      <c r="I114" s="47"/>
      <c r="J114" s="4" t="str">
        <f aca="false">IF(G114="","",IF(G114="Janji Bayar",IF(H114="","Isi tgl janji",IF(H114&lt;Catatan!$B$3,"Terlewat - tindak lanjut","Menunggu")),"-"))</f>
        <v/>
      </c>
      <c r="K114" s="44"/>
    </row>
    <row r="115" customFormat="false" ht="15" hidden="false" customHeight="false" outlineLevel="0" collapsed="false">
      <c r="A115" s="45"/>
      <c r="B115" s="44"/>
      <c r="C115" s="4" t="str">
        <f aca="false">IF($B115="","",INDEX(Piutang!$D$2:$D$1751,MATCH($B115,Piutang!$A$2:$A$1751,0)))</f>
        <v/>
      </c>
      <c r="D115" s="4" t="str">
        <f aca="false">IF($B115="","",INDEX(Piutang!$E$2:$E$1751,MATCH($B115,Piutang!$A$2:$A$1751,0)))</f>
        <v/>
      </c>
      <c r="E115" s="6" t="str">
        <f aca="false">IF($B115="","",INDEX(Piutang!$M$2:$M$1751,MATCH($B115,Piutang!$A$2:$A$1751,0)))</f>
        <v/>
      </c>
      <c r="F115" s="4" t="str">
        <f aca="false">IF($B115="","",INDEX(Piutang!$O$2:$O$1751,MATCH($B115,Piutang!$A$2:$A$1751,0)))</f>
        <v/>
      </c>
      <c r="G115" s="44"/>
      <c r="H115" s="45"/>
      <c r="I115" s="47"/>
      <c r="J115" s="4" t="str">
        <f aca="false">IF(G115="","",IF(G115="Janji Bayar",IF(H115="","Isi tgl janji",IF(H115&lt;Catatan!$B$3,"Terlewat - tindak lanjut","Menunggu")),"-"))</f>
        <v/>
      </c>
      <c r="K115" s="44"/>
    </row>
    <row r="116" customFormat="false" ht="15" hidden="false" customHeight="false" outlineLevel="0" collapsed="false">
      <c r="A116" s="45"/>
      <c r="B116" s="44"/>
      <c r="C116" s="4" t="str">
        <f aca="false">IF($B116="","",INDEX(Piutang!$D$2:$D$1751,MATCH($B116,Piutang!$A$2:$A$1751,0)))</f>
        <v/>
      </c>
      <c r="D116" s="4" t="str">
        <f aca="false">IF($B116="","",INDEX(Piutang!$E$2:$E$1751,MATCH($B116,Piutang!$A$2:$A$1751,0)))</f>
        <v/>
      </c>
      <c r="E116" s="6" t="str">
        <f aca="false">IF($B116="","",INDEX(Piutang!$M$2:$M$1751,MATCH($B116,Piutang!$A$2:$A$1751,0)))</f>
        <v/>
      </c>
      <c r="F116" s="4" t="str">
        <f aca="false">IF($B116="","",INDEX(Piutang!$O$2:$O$1751,MATCH($B116,Piutang!$A$2:$A$1751,0)))</f>
        <v/>
      </c>
      <c r="G116" s="44"/>
      <c r="H116" s="45"/>
      <c r="I116" s="47"/>
      <c r="J116" s="4" t="str">
        <f aca="false">IF(G116="","",IF(G116="Janji Bayar",IF(H116="","Isi tgl janji",IF(H116&lt;Catatan!$B$3,"Terlewat - tindak lanjut","Menunggu")),"-"))</f>
        <v/>
      </c>
      <c r="K116" s="44"/>
    </row>
    <row r="117" customFormat="false" ht="15" hidden="false" customHeight="false" outlineLevel="0" collapsed="false">
      <c r="A117" s="45"/>
      <c r="B117" s="44"/>
      <c r="C117" s="4" t="str">
        <f aca="false">IF($B117="","",INDEX(Piutang!$D$2:$D$1751,MATCH($B117,Piutang!$A$2:$A$1751,0)))</f>
        <v/>
      </c>
      <c r="D117" s="4" t="str">
        <f aca="false">IF($B117="","",INDEX(Piutang!$E$2:$E$1751,MATCH($B117,Piutang!$A$2:$A$1751,0)))</f>
        <v/>
      </c>
      <c r="E117" s="6" t="str">
        <f aca="false">IF($B117="","",INDEX(Piutang!$M$2:$M$1751,MATCH($B117,Piutang!$A$2:$A$1751,0)))</f>
        <v/>
      </c>
      <c r="F117" s="4" t="str">
        <f aca="false">IF($B117="","",INDEX(Piutang!$O$2:$O$1751,MATCH($B117,Piutang!$A$2:$A$1751,0)))</f>
        <v/>
      </c>
      <c r="G117" s="44"/>
      <c r="H117" s="45"/>
      <c r="I117" s="47"/>
      <c r="J117" s="4" t="str">
        <f aca="false">IF(G117="","",IF(G117="Janji Bayar",IF(H117="","Isi tgl janji",IF(H117&lt;Catatan!$B$3,"Terlewat - tindak lanjut","Menunggu")),"-"))</f>
        <v/>
      </c>
      <c r="K117" s="44"/>
    </row>
    <row r="118" customFormat="false" ht="15" hidden="false" customHeight="false" outlineLevel="0" collapsed="false">
      <c r="A118" s="45"/>
      <c r="B118" s="44"/>
      <c r="C118" s="4" t="str">
        <f aca="false">IF($B118="","",INDEX(Piutang!$D$2:$D$1751,MATCH($B118,Piutang!$A$2:$A$1751,0)))</f>
        <v/>
      </c>
      <c r="D118" s="4" t="str">
        <f aca="false">IF($B118="","",INDEX(Piutang!$E$2:$E$1751,MATCH($B118,Piutang!$A$2:$A$1751,0)))</f>
        <v/>
      </c>
      <c r="E118" s="6" t="str">
        <f aca="false">IF($B118="","",INDEX(Piutang!$M$2:$M$1751,MATCH($B118,Piutang!$A$2:$A$1751,0)))</f>
        <v/>
      </c>
      <c r="F118" s="4" t="str">
        <f aca="false">IF($B118="","",INDEX(Piutang!$O$2:$O$1751,MATCH($B118,Piutang!$A$2:$A$1751,0)))</f>
        <v/>
      </c>
      <c r="G118" s="44"/>
      <c r="H118" s="45"/>
      <c r="I118" s="47"/>
      <c r="J118" s="4" t="str">
        <f aca="false">IF(G118="","",IF(G118="Janji Bayar",IF(H118="","Isi tgl janji",IF(H118&lt;Catatan!$B$3,"Terlewat - tindak lanjut","Menunggu")),"-"))</f>
        <v/>
      </c>
      <c r="K118" s="44"/>
    </row>
    <row r="119" customFormat="false" ht="15" hidden="false" customHeight="false" outlineLevel="0" collapsed="false">
      <c r="A119" s="45"/>
      <c r="B119" s="44"/>
      <c r="C119" s="4" t="str">
        <f aca="false">IF($B119="","",INDEX(Piutang!$D$2:$D$1751,MATCH($B119,Piutang!$A$2:$A$1751,0)))</f>
        <v/>
      </c>
      <c r="D119" s="4" t="str">
        <f aca="false">IF($B119="","",INDEX(Piutang!$E$2:$E$1751,MATCH($B119,Piutang!$A$2:$A$1751,0)))</f>
        <v/>
      </c>
      <c r="E119" s="6" t="str">
        <f aca="false">IF($B119="","",INDEX(Piutang!$M$2:$M$1751,MATCH($B119,Piutang!$A$2:$A$1751,0)))</f>
        <v/>
      </c>
      <c r="F119" s="4" t="str">
        <f aca="false">IF($B119="","",INDEX(Piutang!$O$2:$O$1751,MATCH($B119,Piutang!$A$2:$A$1751,0)))</f>
        <v/>
      </c>
      <c r="G119" s="44"/>
      <c r="H119" s="45"/>
      <c r="I119" s="47"/>
      <c r="J119" s="4" t="str">
        <f aca="false">IF(G119="","",IF(G119="Janji Bayar",IF(H119="","Isi tgl janji",IF(H119&lt;Catatan!$B$3,"Terlewat - tindak lanjut","Menunggu")),"-"))</f>
        <v/>
      </c>
      <c r="K119" s="44"/>
    </row>
    <row r="120" customFormat="false" ht="15" hidden="false" customHeight="false" outlineLevel="0" collapsed="false">
      <c r="A120" s="45"/>
      <c r="B120" s="44"/>
      <c r="C120" s="4" t="str">
        <f aca="false">IF($B120="","",INDEX(Piutang!$D$2:$D$1751,MATCH($B120,Piutang!$A$2:$A$1751,0)))</f>
        <v/>
      </c>
      <c r="D120" s="4" t="str">
        <f aca="false">IF($B120="","",INDEX(Piutang!$E$2:$E$1751,MATCH($B120,Piutang!$A$2:$A$1751,0)))</f>
        <v/>
      </c>
      <c r="E120" s="6" t="str">
        <f aca="false">IF($B120="","",INDEX(Piutang!$M$2:$M$1751,MATCH($B120,Piutang!$A$2:$A$1751,0)))</f>
        <v/>
      </c>
      <c r="F120" s="4" t="str">
        <f aca="false">IF($B120="","",INDEX(Piutang!$O$2:$O$1751,MATCH($B120,Piutang!$A$2:$A$1751,0)))</f>
        <v/>
      </c>
      <c r="G120" s="44"/>
      <c r="H120" s="45"/>
      <c r="I120" s="47"/>
      <c r="J120" s="4" t="str">
        <f aca="false">IF(G120="","",IF(G120="Janji Bayar",IF(H120="","Isi tgl janji",IF(H120&lt;Catatan!$B$3,"Terlewat - tindak lanjut","Menunggu")),"-"))</f>
        <v/>
      </c>
      <c r="K120" s="44"/>
    </row>
    <row r="121" customFormat="false" ht="15" hidden="false" customHeight="false" outlineLevel="0" collapsed="false">
      <c r="A121" s="45"/>
      <c r="B121" s="44"/>
      <c r="C121" s="4" t="str">
        <f aca="false">IF($B121="","",INDEX(Piutang!$D$2:$D$1751,MATCH($B121,Piutang!$A$2:$A$1751,0)))</f>
        <v/>
      </c>
      <c r="D121" s="4" t="str">
        <f aca="false">IF($B121="","",INDEX(Piutang!$E$2:$E$1751,MATCH($B121,Piutang!$A$2:$A$1751,0)))</f>
        <v/>
      </c>
      <c r="E121" s="6" t="str">
        <f aca="false">IF($B121="","",INDEX(Piutang!$M$2:$M$1751,MATCH($B121,Piutang!$A$2:$A$1751,0)))</f>
        <v/>
      </c>
      <c r="F121" s="4" t="str">
        <f aca="false">IF($B121="","",INDEX(Piutang!$O$2:$O$1751,MATCH($B121,Piutang!$A$2:$A$1751,0)))</f>
        <v/>
      </c>
      <c r="G121" s="44"/>
      <c r="H121" s="45"/>
      <c r="I121" s="47"/>
      <c r="J121" s="4" t="str">
        <f aca="false">IF(G121="","",IF(G121="Janji Bayar",IF(H121="","Isi tgl janji",IF(H121&lt;Catatan!$B$3,"Terlewat - tindak lanjut","Menunggu")),"-"))</f>
        <v/>
      </c>
      <c r="K121" s="44"/>
    </row>
    <row r="122" customFormat="false" ht="15" hidden="false" customHeight="false" outlineLevel="0" collapsed="false">
      <c r="A122" s="45"/>
      <c r="B122" s="44"/>
      <c r="C122" s="4" t="str">
        <f aca="false">IF($B122="","",INDEX(Piutang!$D$2:$D$1751,MATCH($B122,Piutang!$A$2:$A$1751,0)))</f>
        <v/>
      </c>
      <c r="D122" s="4" t="str">
        <f aca="false">IF($B122="","",INDEX(Piutang!$E$2:$E$1751,MATCH($B122,Piutang!$A$2:$A$1751,0)))</f>
        <v/>
      </c>
      <c r="E122" s="6" t="str">
        <f aca="false">IF($B122="","",INDEX(Piutang!$M$2:$M$1751,MATCH($B122,Piutang!$A$2:$A$1751,0)))</f>
        <v/>
      </c>
      <c r="F122" s="4" t="str">
        <f aca="false">IF($B122="","",INDEX(Piutang!$O$2:$O$1751,MATCH($B122,Piutang!$A$2:$A$1751,0)))</f>
        <v/>
      </c>
      <c r="G122" s="44"/>
      <c r="H122" s="45"/>
      <c r="I122" s="47"/>
      <c r="J122" s="4" t="str">
        <f aca="false">IF(G122="","",IF(G122="Janji Bayar",IF(H122="","Isi tgl janji",IF(H122&lt;Catatan!$B$3,"Terlewat - tindak lanjut","Menunggu")),"-"))</f>
        <v/>
      </c>
      <c r="K122" s="44"/>
    </row>
    <row r="123" customFormat="false" ht="15" hidden="false" customHeight="false" outlineLevel="0" collapsed="false">
      <c r="A123" s="45"/>
      <c r="B123" s="44"/>
      <c r="C123" s="4" t="str">
        <f aca="false">IF($B123="","",INDEX(Piutang!$D$2:$D$1751,MATCH($B123,Piutang!$A$2:$A$1751,0)))</f>
        <v/>
      </c>
      <c r="D123" s="4" t="str">
        <f aca="false">IF($B123="","",INDEX(Piutang!$E$2:$E$1751,MATCH($B123,Piutang!$A$2:$A$1751,0)))</f>
        <v/>
      </c>
      <c r="E123" s="6" t="str">
        <f aca="false">IF($B123="","",INDEX(Piutang!$M$2:$M$1751,MATCH($B123,Piutang!$A$2:$A$1751,0)))</f>
        <v/>
      </c>
      <c r="F123" s="4" t="str">
        <f aca="false">IF($B123="","",INDEX(Piutang!$O$2:$O$1751,MATCH($B123,Piutang!$A$2:$A$1751,0)))</f>
        <v/>
      </c>
      <c r="G123" s="44"/>
      <c r="H123" s="45"/>
      <c r="I123" s="47"/>
      <c r="J123" s="4" t="str">
        <f aca="false">IF(G123="","",IF(G123="Janji Bayar",IF(H123="","Isi tgl janji",IF(H123&lt;Catatan!$B$3,"Terlewat - tindak lanjut","Menunggu")),"-"))</f>
        <v/>
      </c>
      <c r="K123" s="44"/>
    </row>
    <row r="124" customFormat="false" ht="15" hidden="false" customHeight="false" outlineLevel="0" collapsed="false">
      <c r="A124" s="45"/>
      <c r="B124" s="44"/>
      <c r="C124" s="4" t="str">
        <f aca="false">IF($B124="","",INDEX(Piutang!$D$2:$D$1751,MATCH($B124,Piutang!$A$2:$A$1751,0)))</f>
        <v/>
      </c>
      <c r="D124" s="4" t="str">
        <f aca="false">IF($B124="","",INDEX(Piutang!$E$2:$E$1751,MATCH($B124,Piutang!$A$2:$A$1751,0)))</f>
        <v/>
      </c>
      <c r="E124" s="6" t="str">
        <f aca="false">IF($B124="","",INDEX(Piutang!$M$2:$M$1751,MATCH($B124,Piutang!$A$2:$A$1751,0)))</f>
        <v/>
      </c>
      <c r="F124" s="4" t="str">
        <f aca="false">IF($B124="","",INDEX(Piutang!$O$2:$O$1751,MATCH($B124,Piutang!$A$2:$A$1751,0)))</f>
        <v/>
      </c>
      <c r="G124" s="44"/>
      <c r="H124" s="45"/>
      <c r="I124" s="47"/>
      <c r="J124" s="4" t="str">
        <f aca="false">IF(G124="","",IF(G124="Janji Bayar",IF(H124="","Isi tgl janji",IF(H124&lt;Catatan!$B$3,"Terlewat - tindak lanjut","Menunggu")),"-"))</f>
        <v/>
      </c>
      <c r="K124" s="44"/>
    </row>
    <row r="125" customFormat="false" ht="15" hidden="false" customHeight="false" outlineLevel="0" collapsed="false">
      <c r="A125" s="45"/>
      <c r="B125" s="44"/>
      <c r="C125" s="4" t="str">
        <f aca="false">IF($B125="","",INDEX(Piutang!$D$2:$D$1751,MATCH($B125,Piutang!$A$2:$A$1751,0)))</f>
        <v/>
      </c>
      <c r="D125" s="4" t="str">
        <f aca="false">IF($B125="","",INDEX(Piutang!$E$2:$E$1751,MATCH($B125,Piutang!$A$2:$A$1751,0)))</f>
        <v/>
      </c>
      <c r="E125" s="6" t="str">
        <f aca="false">IF($B125="","",INDEX(Piutang!$M$2:$M$1751,MATCH($B125,Piutang!$A$2:$A$1751,0)))</f>
        <v/>
      </c>
      <c r="F125" s="4" t="str">
        <f aca="false">IF($B125="","",INDEX(Piutang!$O$2:$O$1751,MATCH($B125,Piutang!$A$2:$A$1751,0)))</f>
        <v/>
      </c>
      <c r="G125" s="44"/>
      <c r="H125" s="45"/>
      <c r="I125" s="47"/>
      <c r="J125" s="4" t="str">
        <f aca="false">IF(G125="","",IF(G125="Janji Bayar",IF(H125="","Isi tgl janji",IF(H125&lt;Catatan!$B$3,"Terlewat - tindak lanjut","Menunggu")),"-"))</f>
        <v/>
      </c>
      <c r="K125" s="44"/>
    </row>
    <row r="126" customFormat="false" ht="15" hidden="false" customHeight="false" outlineLevel="0" collapsed="false">
      <c r="A126" s="45"/>
      <c r="B126" s="44"/>
      <c r="C126" s="4" t="str">
        <f aca="false">IF($B126="","",INDEX(Piutang!$D$2:$D$1751,MATCH($B126,Piutang!$A$2:$A$1751,0)))</f>
        <v/>
      </c>
      <c r="D126" s="4" t="str">
        <f aca="false">IF($B126="","",INDEX(Piutang!$E$2:$E$1751,MATCH($B126,Piutang!$A$2:$A$1751,0)))</f>
        <v/>
      </c>
      <c r="E126" s="6" t="str">
        <f aca="false">IF($B126="","",INDEX(Piutang!$M$2:$M$1751,MATCH($B126,Piutang!$A$2:$A$1751,0)))</f>
        <v/>
      </c>
      <c r="F126" s="4" t="str">
        <f aca="false">IF($B126="","",INDEX(Piutang!$O$2:$O$1751,MATCH($B126,Piutang!$A$2:$A$1751,0)))</f>
        <v/>
      </c>
      <c r="G126" s="44"/>
      <c r="H126" s="45"/>
      <c r="I126" s="47"/>
      <c r="J126" s="4" t="str">
        <f aca="false">IF(G126="","",IF(G126="Janji Bayar",IF(H126="","Isi tgl janji",IF(H126&lt;Catatan!$B$3,"Terlewat - tindak lanjut","Menunggu")),"-"))</f>
        <v/>
      </c>
      <c r="K126" s="44"/>
    </row>
    <row r="127" customFormat="false" ht="15" hidden="false" customHeight="false" outlineLevel="0" collapsed="false">
      <c r="A127" s="45"/>
      <c r="B127" s="44"/>
      <c r="C127" s="4" t="str">
        <f aca="false">IF($B127="","",INDEX(Piutang!$D$2:$D$1751,MATCH($B127,Piutang!$A$2:$A$1751,0)))</f>
        <v/>
      </c>
      <c r="D127" s="4" t="str">
        <f aca="false">IF($B127="","",INDEX(Piutang!$E$2:$E$1751,MATCH($B127,Piutang!$A$2:$A$1751,0)))</f>
        <v/>
      </c>
      <c r="E127" s="6" t="str">
        <f aca="false">IF($B127="","",INDEX(Piutang!$M$2:$M$1751,MATCH($B127,Piutang!$A$2:$A$1751,0)))</f>
        <v/>
      </c>
      <c r="F127" s="4" t="str">
        <f aca="false">IF($B127="","",INDEX(Piutang!$O$2:$O$1751,MATCH($B127,Piutang!$A$2:$A$1751,0)))</f>
        <v/>
      </c>
      <c r="G127" s="44"/>
      <c r="H127" s="45"/>
      <c r="I127" s="47"/>
      <c r="J127" s="4" t="str">
        <f aca="false">IF(G127="","",IF(G127="Janji Bayar",IF(H127="","Isi tgl janji",IF(H127&lt;Catatan!$B$3,"Terlewat - tindak lanjut","Menunggu")),"-"))</f>
        <v/>
      </c>
      <c r="K127" s="44"/>
    </row>
    <row r="128" customFormat="false" ht="15" hidden="false" customHeight="false" outlineLevel="0" collapsed="false">
      <c r="A128" s="45"/>
      <c r="B128" s="44"/>
      <c r="C128" s="4" t="str">
        <f aca="false">IF($B128="","",INDEX(Piutang!$D$2:$D$1751,MATCH($B128,Piutang!$A$2:$A$1751,0)))</f>
        <v/>
      </c>
      <c r="D128" s="4" t="str">
        <f aca="false">IF($B128="","",INDEX(Piutang!$E$2:$E$1751,MATCH($B128,Piutang!$A$2:$A$1751,0)))</f>
        <v/>
      </c>
      <c r="E128" s="6" t="str">
        <f aca="false">IF($B128="","",INDEX(Piutang!$M$2:$M$1751,MATCH($B128,Piutang!$A$2:$A$1751,0)))</f>
        <v/>
      </c>
      <c r="F128" s="4" t="str">
        <f aca="false">IF($B128="","",INDEX(Piutang!$O$2:$O$1751,MATCH($B128,Piutang!$A$2:$A$1751,0)))</f>
        <v/>
      </c>
      <c r="G128" s="44"/>
      <c r="H128" s="45"/>
      <c r="I128" s="47"/>
      <c r="J128" s="4" t="str">
        <f aca="false">IF(G128="","",IF(G128="Janji Bayar",IF(H128="","Isi tgl janji",IF(H128&lt;Catatan!$B$3,"Terlewat - tindak lanjut","Menunggu")),"-"))</f>
        <v/>
      </c>
      <c r="K128" s="44"/>
    </row>
    <row r="129" customFormat="false" ht="15" hidden="false" customHeight="false" outlineLevel="0" collapsed="false">
      <c r="A129" s="45"/>
      <c r="B129" s="44"/>
      <c r="C129" s="4" t="str">
        <f aca="false">IF($B129="","",INDEX(Piutang!$D$2:$D$1751,MATCH($B129,Piutang!$A$2:$A$1751,0)))</f>
        <v/>
      </c>
      <c r="D129" s="4" t="str">
        <f aca="false">IF($B129="","",INDEX(Piutang!$E$2:$E$1751,MATCH($B129,Piutang!$A$2:$A$1751,0)))</f>
        <v/>
      </c>
      <c r="E129" s="6" t="str">
        <f aca="false">IF($B129="","",INDEX(Piutang!$M$2:$M$1751,MATCH($B129,Piutang!$A$2:$A$1751,0)))</f>
        <v/>
      </c>
      <c r="F129" s="4" t="str">
        <f aca="false">IF($B129="","",INDEX(Piutang!$O$2:$O$1751,MATCH($B129,Piutang!$A$2:$A$1751,0)))</f>
        <v/>
      </c>
      <c r="G129" s="44"/>
      <c r="H129" s="45"/>
      <c r="I129" s="47"/>
      <c r="J129" s="4" t="str">
        <f aca="false">IF(G129="","",IF(G129="Janji Bayar",IF(H129="","Isi tgl janji",IF(H129&lt;Catatan!$B$3,"Terlewat - tindak lanjut","Menunggu")),"-"))</f>
        <v/>
      </c>
      <c r="K129" s="44"/>
    </row>
    <row r="130" customFormat="false" ht="15" hidden="false" customHeight="false" outlineLevel="0" collapsed="false">
      <c r="A130" s="45"/>
      <c r="B130" s="44"/>
      <c r="C130" s="4" t="str">
        <f aca="false">IF($B130="","",INDEX(Piutang!$D$2:$D$1751,MATCH($B130,Piutang!$A$2:$A$1751,0)))</f>
        <v/>
      </c>
      <c r="D130" s="4" t="str">
        <f aca="false">IF($B130="","",INDEX(Piutang!$E$2:$E$1751,MATCH($B130,Piutang!$A$2:$A$1751,0)))</f>
        <v/>
      </c>
      <c r="E130" s="6" t="str">
        <f aca="false">IF($B130="","",INDEX(Piutang!$M$2:$M$1751,MATCH($B130,Piutang!$A$2:$A$1751,0)))</f>
        <v/>
      </c>
      <c r="F130" s="4" t="str">
        <f aca="false">IF($B130="","",INDEX(Piutang!$O$2:$O$1751,MATCH($B130,Piutang!$A$2:$A$1751,0)))</f>
        <v/>
      </c>
      <c r="G130" s="44"/>
      <c r="H130" s="45"/>
      <c r="I130" s="47"/>
      <c r="J130" s="4" t="str">
        <f aca="false">IF(G130="","",IF(G130="Janji Bayar",IF(H130="","Isi tgl janji",IF(H130&lt;Catatan!$B$3,"Terlewat - tindak lanjut","Menunggu")),"-"))</f>
        <v/>
      </c>
      <c r="K130" s="44"/>
    </row>
    <row r="131" customFormat="false" ht="15" hidden="false" customHeight="false" outlineLevel="0" collapsed="false">
      <c r="A131" s="45"/>
      <c r="B131" s="44"/>
      <c r="C131" s="4" t="str">
        <f aca="false">IF($B131="","",INDEX(Piutang!$D$2:$D$1751,MATCH($B131,Piutang!$A$2:$A$1751,0)))</f>
        <v/>
      </c>
      <c r="D131" s="4" t="str">
        <f aca="false">IF($B131="","",INDEX(Piutang!$E$2:$E$1751,MATCH($B131,Piutang!$A$2:$A$1751,0)))</f>
        <v/>
      </c>
      <c r="E131" s="6" t="str">
        <f aca="false">IF($B131="","",INDEX(Piutang!$M$2:$M$1751,MATCH($B131,Piutang!$A$2:$A$1751,0)))</f>
        <v/>
      </c>
      <c r="F131" s="4" t="str">
        <f aca="false">IF($B131="","",INDEX(Piutang!$O$2:$O$1751,MATCH($B131,Piutang!$A$2:$A$1751,0)))</f>
        <v/>
      </c>
      <c r="G131" s="44"/>
      <c r="H131" s="45"/>
      <c r="I131" s="47"/>
      <c r="J131" s="4" t="str">
        <f aca="false">IF(G131="","",IF(G131="Janji Bayar",IF(H131="","Isi tgl janji",IF(H131&lt;Catatan!$B$3,"Terlewat - tindak lanjut","Menunggu")),"-"))</f>
        <v/>
      </c>
      <c r="K131" s="44"/>
    </row>
    <row r="132" customFormat="false" ht="15" hidden="false" customHeight="false" outlineLevel="0" collapsed="false">
      <c r="A132" s="45"/>
      <c r="B132" s="44"/>
      <c r="C132" s="4" t="str">
        <f aca="false">IF($B132="","",INDEX(Piutang!$D$2:$D$1751,MATCH($B132,Piutang!$A$2:$A$1751,0)))</f>
        <v/>
      </c>
      <c r="D132" s="4" t="str">
        <f aca="false">IF($B132="","",INDEX(Piutang!$E$2:$E$1751,MATCH($B132,Piutang!$A$2:$A$1751,0)))</f>
        <v/>
      </c>
      <c r="E132" s="6" t="str">
        <f aca="false">IF($B132="","",INDEX(Piutang!$M$2:$M$1751,MATCH($B132,Piutang!$A$2:$A$1751,0)))</f>
        <v/>
      </c>
      <c r="F132" s="4" t="str">
        <f aca="false">IF($B132="","",INDEX(Piutang!$O$2:$O$1751,MATCH($B132,Piutang!$A$2:$A$1751,0)))</f>
        <v/>
      </c>
      <c r="G132" s="44"/>
      <c r="H132" s="45"/>
      <c r="I132" s="47"/>
      <c r="J132" s="4" t="str">
        <f aca="false">IF(G132="","",IF(G132="Janji Bayar",IF(H132="","Isi tgl janji",IF(H132&lt;Catatan!$B$3,"Terlewat - tindak lanjut","Menunggu")),"-"))</f>
        <v/>
      </c>
      <c r="K132" s="44"/>
    </row>
    <row r="133" customFormat="false" ht="15" hidden="false" customHeight="false" outlineLevel="0" collapsed="false">
      <c r="A133" s="45"/>
      <c r="B133" s="44"/>
      <c r="C133" s="4" t="str">
        <f aca="false">IF($B133="","",INDEX(Piutang!$D$2:$D$1751,MATCH($B133,Piutang!$A$2:$A$1751,0)))</f>
        <v/>
      </c>
      <c r="D133" s="4" t="str">
        <f aca="false">IF($B133="","",INDEX(Piutang!$E$2:$E$1751,MATCH($B133,Piutang!$A$2:$A$1751,0)))</f>
        <v/>
      </c>
      <c r="E133" s="6" t="str">
        <f aca="false">IF($B133="","",INDEX(Piutang!$M$2:$M$1751,MATCH($B133,Piutang!$A$2:$A$1751,0)))</f>
        <v/>
      </c>
      <c r="F133" s="4" t="str">
        <f aca="false">IF($B133="","",INDEX(Piutang!$O$2:$O$1751,MATCH($B133,Piutang!$A$2:$A$1751,0)))</f>
        <v/>
      </c>
      <c r="G133" s="44"/>
      <c r="H133" s="45"/>
      <c r="I133" s="47"/>
      <c r="J133" s="4" t="str">
        <f aca="false">IF(G133="","",IF(G133="Janji Bayar",IF(H133="","Isi tgl janji",IF(H133&lt;Catatan!$B$3,"Terlewat - tindak lanjut","Menunggu")),"-"))</f>
        <v/>
      </c>
      <c r="K133" s="44"/>
    </row>
    <row r="134" customFormat="false" ht="15" hidden="false" customHeight="false" outlineLevel="0" collapsed="false">
      <c r="A134" s="45"/>
      <c r="B134" s="44"/>
      <c r="C134" s="4" t="str">
        <f aca="false">IF($B134="","",INDEX(Piutang!$D$2:$D$1751,MATCH($B134,Piutang!$A$2:$A$1751,0)))</f>
        <v/>
      </c>
      <c r="D134" s="4" t="str">
        <f aca="false">IF($B134="","",INDEX(Piutang!$E$2:$E$1751,MATCH($B134,Piutang!$A$2:$A$1751,0)))</f>
        <v/>
      </c>
      <c r="E134" s="6" t="str">
        <f aca="false">IF($B134="","",INDEX(Piutang!$M$2:$M$1751,MATCH($B134,Piutang!$A$2:$A$1751,0)))</f>
        <v/>
      </c>
      <c r="F134" s="4" t="str">
        <f aca="false">IF($B134="","",INDEX(Piutang!$O$2:$O$1751,MATCH($B134,Piutang!$A$2:$A$1751,0)))</f>
        <v/>
      </c>
      <c r="G134" s="44"/>
      <c r="H134" s="45"/>
      <c r="I134" s="47"/>
      <c r="J134" s="4" t="str">
        <f aca="false">IF(G134="","",IF(G134="Janji Bayar",IF(H134="","Isi tgl janji",IF(H134&lt;Catatan!$B$3,"Terlewat - tindak lanjut","Menunggu")),"-"))</f>
        <v/>
      </c>
      <c r="K134" s="44"/>
    </row>
    <row r="135" customFormat="false" ht="15" hidden="false" customHeight="false" outlineLevel="0" collapsed="false">
      <c r="A135" s="45"/>
      <c r="B135" s="44"/>
      <c r="C135" s="4" t="str">
        <f aca="false">IF($B135="","",INDEX(Piutang!$D$2:$D$1751,MATCH($B135,Piutang!$A$2:$A$1751,0)))</f>
        <v/>
      </c>
      <c r="D135" s="4" t="str">
        <f aca="false">IF($B135="","",INDEX(Piutang!$E$2:$E$1751,MATCH($B135,Piutang!$A$2:$A$1751,0)))</f>
        <v/>
      </c>
      <c r="E135" s="6" t="str">
        <f aca="false">IF($B135="","",INDEX(Piutang!$M$2:$M$1751,MATCH($B135,Piutang!$A$2:$A$1751,0)))</f>
        <v/>
      </c>
      <c r="F135" s="4" t="str">
        <f aca="false">IF($B135="","",INDEX(Piutang!$O$2:$O$1751,MATCH($B135,Piutang!$A$2:$A$1751,0)))</f>
        <v/>
      </c>
      <c r="G135" s="44"/>
      <c r="H135" s="45"/>
      <c r="I135" s="47"/>
      <c r="J135" s="4" t="str">
        <f aca="false">IF(G135="","",IF(G135="Janji Bayar",IF(H135="","Isi tgl janji",IF(H135&lt;Catatan!$B$3,"Terlewat - tindak lanjut","Menunggu")),"-"))</f>
        <v/>
      </c>
      <c r="K135" s="44"/>
    </row>
    <row r="136" customFormat="false" ht="15" hidden="false" customHeight="false" outlineLevel="0" collapsed="false">
      <c r="A136" s="45"/>
      <c r="B136" s="44"/>
      <c r="C136" s="4" t="str">
        <f aca="false">IF($B136="","",INDEX(Piutang!$D$2:$D$1751,MATCH($B136,Piutang!$A$2:$A$1751,0)))</f>
        <v/>
      </c>
      <c r="D136" s="4" t="str">
        <f aca="false">IF($B136="","",INDEX(Piutang!$E$2:$E$1751,MATCH($B136,Piutang!$A$2:$A$1751,0)))</f>
        <v/>
      </c>
      <c r="E136" s="6" t="str">
        <f aca="false">IF($B136="","",INDEX(Piutang!$M$2:$M$1751,MATCH($B136,Piutang!$A$2:$A$1751,0)))</f>
        <v/>
      </c>
      <c r="F136" s="4" t="str">
        <f aca="false">IF($B136="","",INDEX(Piutang!$O$2:$O$1751,MATCH($B136,Piutang!$A$2:$A$1751,0)))</f>
        <v/>
      </c>
      <c r="G136" s="44"/>
      <c r="H136" s="45"/>
      <c r="I136" s="47"/>
      <c r="J136" s="4" t="str">
        <f aca="false">IF(G136="","",IF(G136="Janji Bayar",IF(H136="","Isi tgl janji",IF(H136&lt;Catatan!$B$3,"Terlewat - tindak lanjut","Menunggu")),"-"))</f>
        <v/>
      </c>
      <c r="K136" s="44"/>
    </row>
    <row r="137" customFormat="false" ht="15" hidden="false" customHeight="false" outlineLevel="0" collapsed="false">
      <c r="A137" s="45"/>
      <c r="B137" s="44"/>
      <c r="C137" s="4" t="str">
        <f aca="false">IF($B137="","",INDEX(Piutang!$D$2:$D$1751,MATCH($B137,Piutang!$A$2:$A$1751,0)))</f>
        <v/>
      </c>
      <c r="D137" s="4" t="str">
        <f aca="false">IF($B137="","",INDEX(Piutang!$E$2:$E$1751,MATCH($B137,Piutang!$A$2:$A$1751,0)))</f>
        <v/>
      </c>
      <c r="E137" s="6" t="str">
        <f aca="false">IF($B137="","",INDEX(Piutang!$M$2:$M$1751,MATCH($B137,Piutang!$A$2:$A$1751,0)))</f>
        <v/>
      </c>
      <c r="F137" s="4" t="str">
        <f aca="false">IF($B137="","",INDEX(Piutang!$O$2:$O$1751,MATCH($B137,Piutang!$A$2:$A$1751,0)))</f>
        <v/>
      </c>
      <c r="G137" s="44"/>
      <c r="H137" s="45"/>
      <c r="I137" s="47"/>
      <c r="J137" s="4" t="str">
        <f aca="false">IF(G137="","",IF(G137="Janji Bayar",IF(H137="","Isi tgl janji",IF(H137&lt;Catatan!$B$3,"Terlewat - tindak lanjut","Menunggu")),"-"))</f>
        <v/>
      </c>
      <c r="K137" s="44"/>
    </row>
    <row r="138" customFormat="false" ht="15" hidden="false" customHeight="false" outlineLevel="0" collapsed="false">
      <c r="A138" s="45"/>
      <c r="B138" s="44"/>
      <c r="C138" s="4" t="str">
        <f aca="false">IF($B138="","",INDEX(Piutang!$D$2:$D$1751,MATCH($B138,Piutang!$A$2:$A$1751,0)))</f>
        <v/>
      </c>
      <c r="D138" s="4" t="str">
        <f aca="false">IF($B138="","",INDEX(Piutang!$E$2:$E$1751,MATCH($B138,Piutang!$A$2:$A$1751,0)))</f>
        <v/>
      </c>
      <c r="E138" s="6" t="str">
        <f aca="false">IF($B138="","",INDEX(Piutang!$M$2:$M$1751,MATCH($B138,Piutang!$A$2:$A$1751,0)))</f>
        <v/>
      </c>
      <c r="F138" s="4" t="str">
        <f aca="false">IF($B138="","",INDEX(Piutang!$O$2:$O$1751,MATCH($B138,Piutang!$A$2:$A$1751,0)))</f>
        <v/>
      </c>
      <c r="G138" s="44"/>
      <c r="H138" s="45"/>
      <c r="I138" s="47"/>
      <c r="J138" s="4" t="str">
        <f aca="false">IF(G138="","",IF(G138="Janji Bayar",IF(H138="","Isi tgl janji",IF(H138&lt;Catatan!$B$3,"Terlewat - tindak lanjut","Menunggu")),"-"))</f>
        <v/>
      </c>
      <c r="K138" s="44"/>
    </row>
    <row r="139" customFormat="false" ht="15" hidden="false" customHeight="false" outlineLevel="0" collapsed="false">
      <c r="A139" s="45"/>
      <c r="B139" s="44"/>
      <c r="C139" s="4" t="str">
        <f aca="false">IF($B139="","",INDEX(Piutang!$D$2:$D$1751,MATCH($B139,Piutang!$A$2:$A$1751,0)))</f>
        <v/>
      </c>
      <c r="D139" s="4" t="str">
        <f aca="false">IF($B139="","",INDEX(Piutang!$E$2:$E$1751,MATCH($B139,Piutang!$A$2:$A$1751,0)))</f>
        <v/>
      </c>
      <c r="E139" s="6" t="str">
        <f aca="false">IF($B139="","",INDEX(Piutang!$M$2:$M$1751,MATCH($B139,Piutang!$A$2:$A$1751,0)))</f>
        <v/>
      </c>
      <c r="F139" s="4" t="str">
        <f aca="false">IF($B139="","",INDEX(Piutang!$O$2:$O$1751,MATCH($B139,Piutang!$A$2:$A$1751,0)))</f>
        <v/>
      </c>
      <c r="G139" s="44"/>
      <c r="H139" s="45"/>
      <c r="I139" s="47"/>
      <c r="J139" s="4" t="str">
        <f aca="false">IF(G139="","",IF(G139="Janji Bayar",IF(H139="","Isi tgl janji",IF(H139&lt;Catatan!$B$3,"Terlewat - tindak lanjut","Menunggu")),"-"))</f>
        <v/>
      </c>
      <c r="K139" s="44"/>
    </row>
    <row r="140" customFormat="false" ht="15" hidden="false" customHeight="false" outlineLevel="0" collapsed="false">
      <c r="A140" s="45"/>
      <c r="B140" s="44"/>
      <c r="C140" s="4" t="str">
        <f aca="false">IF($B140="","",INDEX(Piutang!$D$2:$D$1751,MATCH($B140,Piutang!$A$2:$A$1751,0)))</f>
        <v/>
      </c>
      <c r="D140" s="4" t="str">
        <f aca="false">IF($B140="","",INDEX(Piutang!$E$2:$E$1751,MATCH($B140,Piutang!$A$2:$A$1751,0)))</f>
        <v/>
      </c>
      <c r="E140" s="6" t="str">
        <f aca="false">IF($B140="","",INDEX(Piutang!$M$2:$M$1751,MATCH($B140,Piutang!$A$2:$A$1751,0)))</f>
        <v/>
      </c>
      <c r="F140" s="4" t="str">
        <f aca="false">IF($B140="","",INDEX(Piutang!$O$2:$O$1751,MATCH($B140,Piutang!$A$2:$A$1751,0)))</f>
        <v/>
      </c>
      <c r="G140" s="44"/>
      <c r="H140" s="45"/>
      <c r="I140" s="47"/>
      <c r="J140" s="4" t="str">
        <f aca="false">IF(G140="","",IF(G140="Janji Bayar",IF(H140="","Isi tgl janji",IF(H140&lt;Catatan!$B$3,"Terlewat - tindak lanjut","Menunggu")),"-"))</f>
        <v/>
      </c>
      <c r="K140" s="44"/>
    </row>
    <row r="141" customFormat="false" ht="15" hidden="false" customHeight="false" outlineLevel="0" collapsed="false">
      <c r="A141" s="45"/>
      <c r="B141" s="44"/>
      <c r="C141" s="4" t="str">
        <f aca="false">IF($B141="","",INDEX(Piutang!$D$2:$D$1751,MATCH($B141,Piutang!$A$2:$A$1751,0)))</f>
        <v/>
      </c>
      <c r="D141" s="4" t="str">
        <f aca="false">IF($B141="","",INDEX(Piutang!$E$2:$E$1751,MATCH($B141,Piutang!$A$2:$A$1751,0)))</f>
        <v/>
      </c>
      <c r="E141" s="6" t="str">
        <f aca="false">IF($B141="","",INDEX(Piutang!$M$2:$M$1751,MATCH($B141,Piutang!$A$2:$A$1751,0)))</f>
        <v/>
      </c>
      <c r="F141" s="4" t="str">
        <f aca="false">IF($B141="","",INDEX(Piutang!$O$2:$O$1751,MATCH($B141,Piutang!$A$2:$A$1751,0)))</f>
        <v/>
      </c>
      <c r="G141" s="44"/>
      <c r="H141" s="45"/>
      <c r="I141" s="47"/>
      <c r="J141" s="4" t="str">
        <f aca="false">IF(G141="","",IF(G141="Janji Bayar",IF(H141="","Isi tgl janji",IF(H141&lt;Catatan!$B$3,"Terlewat - tindak lanjut","Menunggu")),"-"))</f>
        <v/>
      </c>
      <c r="K141" s="44"/>
    </row>
    <row r="142" customFormat="false" ht="15" hidden="false" customHeight="false" outlineLevel="0" collapsed="false">
      <c r="A142" s="45"/>
      <c r="B142" s="44"/>
      <c r="C142" s="4" t="str">
        <f aca="false">IF($B142="","",INDEX(Piutang!$D$2:$D$1751,MATCH($B142,Piutang!$A$2:$A$1751,0)))</f>
        <v/>
      </c>
      <c r="D142" s="4" t="str">
        <f aca="false">IF($B142="","",INDEX(Piutang!$E$2:$E$1751,MATCH($B142,Piutang!$A$2:$A$1751,0)))</f>
        <v/>
      </c>
      <c r="E142" s="6" t="str">
        <f aca="false">IF($B142="","",INDEX(Piutang!$M$2:$M$1751,MATCH($B142,Piutang!$A$2:$A$1751,0)))</f>
        <v/>
      </c>
      <c r="F142" s="4" t="str">
        <f aca="false">IF($B142="","",INDEX(Piutang!$O$2:$O$1751,MATCH($B142,Piutang!$A$2:$A$1751,0)))</f>
        <v/>
      </c>
      <c r="G142" s="44"/>
      <c r="H142" s="45"/>
      <c r="I142" s="47"/>
      <c r="J142" s="4" t="str">
        <f aca="false">IF(G142="","",IF(G142="Janji Bayar",IF(H142="","Isi tgl janji",IF(H142&lt;Catatan!$B$3,"Terlewat - tindak lanjut","Menunggu")),"-"))</f>
        <v/>
      </c>
      <c r="K142" s="44"/>
    </row>
    <row r="143" customFormat="false" ht="15" hidden="false" customHeight="false" outlineLevel="0" collapsed="false">
      <c r="A143" s="45"/>
      <c r="B143" s="44"/>
      <c r="C143" s="4" t="str">
        <f aca="false">IF($B143="","",INDEX(Piutang!$D$2:$D$1751,MATCH($B143,Piutang!$A$2:$A$1751,0)))</f>
        <v/>
      </c>
      <c r="D143" s="4" t="str">
        <f aca="false">IF($B143="","",INDEX(Piutang!$E$2:$E$1751,MATCH($B143,Piutang!$A$2:$A$1751,0)))</f>
        <v/>
      </c>
      <c r="E143" s="6" t="str">
        <f aca="false">IF($B143="","",INDEX(Piutang!$M$2:$M$1751,MATCH($B143,Piutang!$A$2:$A$1751,0)))</f>
        <v/>
      </c>
      <c r="F143" s="4" t="str">
        <f aca="false">IF($B143="","",INDEX(Piutang!$O$2:$O$1751,MATCH($B143,Piutang!$A$2:$A$1751,0)))</f>
        <v/>
      </c>
      <c r="G143" s="44"/>
      <c r="H143" s="45"/>
      <c r="I143" s="47"/>
      <c r="J143" s="4" t="str">
        <f aca="false">IF(G143="","",IF(G143="Janji Bayar",IF(H143="","Isi tgl janji",IF(H143&lt;Catatan!$B$3,"Terlewat - tindak lanjut","Menunggu")),"-"))</f>
        <v/>
      </c>
      <c r="K143" s="44"/>
    </row>
    <row r="144" customFormat="false" ht="15" hidden="false" customHeight="false" outlineLevel="0" collapsed="false">
      <c r="A144" s="45"/>
      <c r="B144" s="44"/>
      <c r="C144" s="4" t="str">
        <f aca="false">IF($B144="","",INDEX(Piutang!$D$2:$D$1751,MATCH($B144,Piutang!$A$2:$A$1751,0)))</f>
        <v/>
      </c>
      <c r="D144" s="4" t="str">
        <f aca="false">IF($B144="","",INDEX(Piutang!$E$2:$E$1751,MATCH($B144,Piutang!$A$2:$A$1751,0)))</f>
        <v/>
      </c>
      <c r="E144" s="6" t="str">
        <f aca="false">IF($B144="","",INDEX(Piutang!$M$2:$M$1751,MATCH($B144,Piutang!$A$2:$A$1751,0)))</f>
        <v/>
      </c>
      <c r="F144" s="4" t="str">
        <f aca="false">IF($B144="","",INDEX(Piutang!$O$2:$O$1751,MATCH($B144,Piutang!$A$2:$A$1751,0)))</f>
        <v/>
      </c>
      <c r="G144" s="44"/>
      <c r="H144" s="45"/>
      <c r="I144" s="47"/>
      <c r="J144" s="4" t="str">
        <f aca="false">IF(G144="","",IF(G144="Janji Bayar",IF(H144="","Isi tgl janji",IF(H144&lt;Catatan!$B$3,"Terlewat - tindak lanjut","Menunggu")),"-"))</f>
        <v/>
      </c>
      <c r="K144" s="44"/>
    </row>
    <row r="145" customFormat="false" ht="15" hidden="false" customHeight="false" outlineLevel="0" collapsed="false">
      <c r="A145" s="45"/>
      <c r="B145" s="44"/>
      <c r="C145" s="4" t="str">
        <f aca="false">IF($B145="","",INDEX(Piutang!$D$2:$D$1751,MATCH($B145,Piutang!$A$2:$A$1751,0)))</f>
        <v/>
      </c>
      <c r="D145" s="4" t="str">
        <f aca="false">IF($B145="","",INDEX(Piutang!$E$2:$E$1751,MATCH($B145,Piutang!$A$2:$A$1751,0)))</f>
        <v/>
      </c>
      <c r="E145" s="6" t="str">
        <f aca="false">IF($B145="","",INDEX(Piutang!$M$2:$M$1751,MATCH($B145,Piutang!$A$2:$A$1751,0)))</f>
        <v/>
      </c>
      <c r="F145" s="4" t="str">
        <f aca="false">IF($B145="","",INDEX(Piutang!$O$2:$O$1751,MATCH($B145,Piutang!$A$2:$A$1751,0)))</f>
        <v/>
      </c>
      <c r="G145" s="44"/>
      <c r="H145" s="45"/>
      <c r="I145" s="47"/>
      <c r="J145" s="4" t="str">
        <f aca="false">IF(G145="","",IF(G145="Janji Bayar",IF(H145="","Isi tgl janji",IF(H145&lt;Catatan!$B$3,"Terlewat - tindak lanjut","Menunggu")),"-"))</f>
        <v/>
      </c>
      <c r="K145" s="44"/>
    </row>
    <row r="146" customFormat="false" ht="15" hidden="false" customHeight="false" outlineLevel="0" collapsed="false">
      <c r="A146" s="45"/>
      <c r="B146" s="44"/>
      <c r="C146" s="4" t="str">
        <f aca="false">IF($B146="","",INDEX(Piutang!$D$2:$D$1751,MATCH($B146,Piutang!$A$2:$A$1751,0)))</f>
        <v/>
      </c>
      <c r="D146" s="4" t="str">
        <f aca="false">IF($B146="","",INDEX(Piutang!$E$2:$E$1751,MATCH($B146,Piutang!$A$2:$A$1751,0)))</f>
        <v/>
      </c>
      <c r="E146" s="6" t="str">
        <f aca="false">IF($B146="","",INDEX(Piutang!$M$2:$M$1751,MATCH($B146,Piutang!$A$2:$A$1751,0)))</f>
        <v/>
      </c>
      <c r="F146" s="4" t="str">
        <f aca="false">IF($B146="","",INDEX(Piutang!$O$2:$O$1751,MATCH($B146,Piutang!$A$2:$A$1751,0)))</f>
        <v/>
      </c>
      <c r="G146" s="44"/>
      <c r="H146" s="45"/>
      <c r="I146" s="47"/>
      <c r="J146" s="4" t="str">
        <f aca="false">IF(G146="","",IF(G146="Janji Bayar",IF(H146="","Isi tgl janji",IF(H146&lt;Catatan!$B$3,"Terlewat - tindak lanjut","Menunggu")),"-"))</f>
        <v/>
      </c>
      <c r="K146" s="44"/>
    </row>
    <row r="147" customFormat="false" ht="15" hidden="false" customHeight="false" outlineLevel="0" collapsed="false">
      <c r="A147" s="45"/>
      <c r="B147" s="44"/>
      <c r="C147" s="4" t="str">
        <f aca="false">IF($B147="","",INDEX(Piutang!$D$2:$D$1751,MATCH($B147,Piutang!$A$2:$A$1751,0)))</f>
        <v/>
      </c>
      <c r="D147" s="4" t="str">
        <f aca="false">IF($B147="","",INDEX(Piutang!$E$2:$E$1751,MATCH($B147,Piutang!$A$2:$A$1751,0)))</f>
        <v/>
      </c>
      <c r="E147" s="6" t="str">
        <f aca="false">IF($B147="","",INDEX(Piutang!$M$2:$M$1751,MATCH($B147,Piutang!$A$2:$A$1751,0)))</f>
        <v/>
      </c>
      <c r="F147" s="4" t="str">
        <f aca="false">IF($B147="","",INDEX(Piutang!$O$2:$O$1751,MATCH($B147,Piutang!$A$2:$A$1751,0)))</f>
        <v/>
      </c>
      <c r="G147" s="44"/>
      <c r="H147" s="45"/>
      <c r="I147" s="47"/>
      <c r="J147" s="4" t="str">
        <f aca="false">IF(G147="","",IF(G147="Janji Bayar",IF(H147="","Isi tgl janji",IF(H147&lt;Catatan!$B$3,"Terlewat - tindak lanjut","Menunggu")),"-"))</f>
        <v/>
      </c>
      <c r="K147" s="44"/>
    </row>
    <row r="148" customFormat="false" ht="15" hidden="false" customHeight="false" outlineLevel="0" collapsed="false">
      <c r="A148" s="45"/>
      <c r="B148" s="44"/>
      <c r="C148" s="4" t="str">
        <f aca="false">IF($B148="","",INDEX(Piutang!$D$2:$D$1751,MATCH($B148,Piutang!$A$2:$A$1751,0)))</f>
        <v/>
      </c>
      <c r="D148" s="4" t="str">
        <f aca="false">IF($B148="","",INDEX(Piutang!$E$2:$E$1751,MATCH($B148,Piutang!$A$2:$A$1751,0)))</f>
        <v/>
      </c>
      <c r="E148" s="6" t="str">
        <f aca="false">IF($B148="","",INDEX(Piutang!$M$2:$M$1751,MATCH($B148,Piutang!$A$2:$A$1751,0)))</f>
        <v/>
      </c>
      <c r="F148" s="4" t="str">
        <f aca="false">IF($B148="","",INDEX(Piutang!$O$2:$O$1751,MATCH($B148,Piutang!$A$2:$A$1751,0)))</f>
        <v/>
      </c>
      <c r="G148" s="44"/>
      <c r="H148" s="45"/>
      <c r="I148" s="47"/>
      <c r="J148" s="4" t="str">
        <f aca="false">IF(G148="","",IF(G148="Janji Bayar",IF(H148="","Isi tgl janji",IF(H148&lt;Catatan!$B$3,"Terlewat - tindak lanjut","Menunggu")),"-"))</f>
        <v/>
      </c>
      <c r="K148" s="44"/>
    </row>
    <row r="149" customFormat="false" ht="15" hidden="false" customHeight="false" outlineLevel="0" collapsed="false">
      <c r="A149" s="45"/>
      <c r="B149" s="44"/>
      <c r="C149" s="4" t="str">
        <f aca="false">IF($B149="","",INDEX(Piutang!$D$2:$D$1751,MATCH($B149,Piutang!$A$2:$A$1751,0)))</f>
        <v/>
      </c>
      <c r="D149" s="4" t="str">
        <f aca="false">IF($B149="","",INDEX(Piutang!$E$2:$E$1751,MATCH($B149,Piutang!$A$2:$A$1751,0)))</f>
        <v/>
      </c>
      <c r="E149" s="6" t="str">
        <f aca="false">IF($B149="","",INDEX(Piutang!$M$2:$M$1751,MATCH($B149,Piutang!$A$2:$A$1751,0)))</f>
        <v/>
      </c>
      <c r="F149" s="4" t="str">
        <f aca="false">IF($B149="","",INDEX(Piutang!$O$2:$O$1751,MATCH($B149,Piutang!$A$2:$A$1751,0)))</f>
        <v/>
      </c>
      <c r="G149" s="44"/>
      <c r="H149" s="45"/>
      <c r="I149" s="47"/>
      <c r="J149" s="4" t="str">
        <f aca="false">IF(G149="","",IF(G149="Janji Bayar",IF(H149="","Isi tgl janji",IF(H149&lt;Catatan!$B$3,"Terlewat - tindak lanjut","Menunggu")),"-"))</f>
        <v/>
      </c>
      <c r="K149" s="44"/>
    </row>
    <row r="150" customFormat="false" ht="15" hidden="false" customHeight="false" outlineLevel="0" collapsed="false">
      <c r="A150" s="45"/>
      <c r="B150" s="44"/>
      <c r="C150" s="4" t="str">
        <f aca="false">IF($B150="","",INDEX(Piutang!$D$2:$D$1751,MATCH($B150,Piutang!$A$2:$A$1751,0)))</f>
        <v/>
      </c>
      <c r="D150" s="4" t="str">
        <f aca="false">IF($B150="","",INDEX(Piutang!$E$2:$E$1751,MATCH($B150,Piutang!$A$2:$A$1751,0)))</f>
        <v/>
      </c>
      <c r="E150" s="6" t="str">
        <f aca="false">IF($B150="","",INDEX(Piutang!$M$2:$M$1751,MATCH($B150,Piutang!$A$2:$A$1751,0)))</f>
        <v/>
      </c>
      <c r="F150" s="4" t="str">
        <f aca="false">IF($B150="","",INDEX(Piutang!$O$2:$O$1751,MATCH($B150,Piutang!$A$2:$A$1751,0)))</f>
        <v/>
      </c>
      <c r="G150" s="44"/>
      <c r="H150" s="45"/>
      <c r="I150" s="47"/>
      <c r="J150" s="4" t="str">
        <f aca="false">IF(G150="","",IF(G150="Janji Bayar",IF(H150="","Isi tgl janji",IF(H150&lt;Catatan!$B$3,"Terlewat - tindak lanjut","Menunggu")),"-"))</f>
        <v/>
      </c>
      <c r="K150" s="44"/>
    </row>
    <row r="151" customFormat="false" ht="15" hidden="false" customHeight="false" outlineLevel="0" collapsed="false">
      <c r="A151" s="45"/>
      <c r="B151" s="44"/>
      <c r="C151" s="4" t="str">
        <f aca="false">IF($B151="","",INDEX(Piutang!$D$2:$D$1751,MATCH($B151,Piutang!$A$2:$A$1751,0)))</f>
        <v/>
      </c>
      <c r="D151" s="4" t="str">
        <f aca="false">IF($B151="","",INDEX(Piutang!$E$2:$E$1751,MATCH($B151,Piutang!$A$2:$A$1751,0)))</f>
        <v/>
      </c>
      <c r="E151" s="6" t="str">
        <f aca="false">IF($B151="","",INDEX(Piutang!$M$2:$M$1751,MATCH($B151,Piutang!$A$2:$A$1751,0)))</f>
        <v/>
      </c>
      <c r="F151" s="4" t="str">
        <f aca="false">IF($B151="","",INDEX(Piutang!$O$2:$O$1751,MATCH($B151,Piutang!$A$2:$A$1751,0)))</f>
        <v/>
      </c>
      <c r="G151" s="44"/>
      <c r="H151" s="45"/>
      <c r="I151" s="47"/>
      <c r="J151" s="4" t="str">
        <f aca="false">IF(G151="","",IF(G151="Janji Bayar",IF(H151="","Isi tgl janji",IF(H151&lt;Catatan!$B$3,"Terlewat - tindak lanjut","Menunggu")),"-"))</f>
        <v/>
      </c>
      <c r="K151" s="44"/>
    </row>
    <row r="152" customFormat="false" ht="15" hidden="false" customHeight="false" outlineLevel="0" collapsed="false">
      <c r="A152" s="45"/>
      <c r="B152" s="44"/>
      <c r="C152" s="4" t="str">
        <f aca="false">IF($B152="","",INDEX(Piutang!$D$2:$D$1751,MATCH($B152,Piutang!$A$2:$A$1751,0)))</f>
        <v/>
      </c>
      <c r="D152" s="4" t="str">
        <f aca="false">IF($B152="","",INDEX(Piutang!$E$2:$E$1751,MATCH($B152,Piutang!$A$2:$A$1751,0)))</f>
        <v/>
      </c>
      <c r="E152" s="6" t="str">
        <f aca="false">IF($B152="","",INDEX(Piutang!$M$2:$M$1751,MATCH($B152,Piutang!$A$2:$A$1751,0)))</f>
        <v/>
      </c>
      <c r="F152" s="4" t="str">
        <f aca="false">IF($B152="","",INDEX(Piutang!$O$2:$O$1751,MATCH($B152,Piutang!$A$2:$A$1751,0)))</f>
        <v/>
      </c>
      <c r="G152" s="44"/>
      <c r="H152" s="45"/>
      <c r="I152" s="47"/>
      <c r="J152" s="4" t="str">
        <f aca="false">IF(G152="","",IF(G152="Janji Bayar",IF(H152="","Isi tgl janji",IF(H152&lt;Catatan!$B$3,"Terlewat - tindak lanjut","Menunggu")),"-"))</f>
        <v/>
      </c>
      <c r="K152" s="44"/>
    </row>
    <row r="153" customFormat="false" ht="15" hidden="false" customHeight="false" outlineLevel="0" collapsed="false">
      <c r="A153" s="45"/>
      <c r="B153" s="44"/>
      <c r="C153" s="4" t="str">
        <f aca="false">IF($B153="","",INDEX(Piutang!$D$2:$D$1751,MATCH($B153,Piutang!$A$2:$A$1751,0)))</f>
        <v/>
      </c>
      <c r="D153" s="4" t="str">
        <f aca="false">IF($B153="","",INDEX(Piutang!$E$2:$E$1751,MATCH($B153,Piutang!$A$2:$A$1751,0)))</f>
        <v/>
      </c>
      <c r="E153" s="6" t="str">
        <f aca="false">IF($B153="","",INDEX(Piutang!$M$2:$M$1751,MATCH($B153,Piutang!$A$2:$A$1751,0)))</f>
        <v/>
      </c>
      <c r="F153" s="4" t="str">
        <f aca="false">IF($B153="","",INDEX(Piutang!$O$2:$O$1751,MATCH($B153,Piutang!$A$2:$A$1751,0)))</f>
        <v/>
      </c>
      <c r="G153" s="44"/>
      <c r="H153" s="45"/>
      <c r="I153" s="47"/>
      <c r="J153" s="4" t="str">
        <f aca="false">IF(G153="","",IF(G153="Janji Bayar",IF(H153="","Isi tgl janji",IF(H153&lt;Catatan!$B$3,"Terlewat - tindak lanjut","Menunggu")),"-"))</f>
        <v/>
      </c>
      <c r="K153" s="44"/>
    </row>
    <row r="154" customFormat="false" ht="15" hidden="false" customHeight="false" outlineLevel="0" collapsed="false">
      <c r="A154" s="45"/>
      <c r="B154" s="44"/>
      <c r="C154" s="4" t="str">
        <f aca="false">IF($B154="","",INDEX(Piutang!$D$2:$D$1751,MATCH($B154,Piutang!$A$2:$A$1751,0)))</f>
        <v/>
      </c>
      <c r="D154" s="4" t="str">
        <f aca="false">IF($B154="","",INDEX(Piutang!$E$2:$E$1751,MATCH($B154,Piutang!$A$2:$A$1751,0)))</f>
        <v/>
      </c>
      <c r="E154" s="6" t="str">
        <f aca="false">IF($B154="","",INDEX(Piutang!$M$2:$M$1751,MATCH($B154,Piutang!$A$2:$A$1751,0)))</f>
        <v/>
      </c>
      <c r="F154" s="4" t="str">
        <f aca="false">IF($B154="","",INDEX(Piutang!$O$2:$O$1751,MATCH($B154,Piutang!$A$2:$A$1751,0)))</f>
        <v/>
      </c>
      <c r="G154" s="44"/>
      <c r="H154" s="45"/>
      <c r="I154" s="47"/>
      <c r="J154" s="4" t="str">
        <f aca="false">IF(G154="","",IF(G154="Janji Bayar",IF(H154="","Isi tgl janji",IF(H154&lt;Catatan!$B$3,"Terlewat - tindak lanjut","Menunggu")),"-"))</f>
        <v/>
      </c>
      <c r="K154" s="44"/>
    </row>
    <row r="155" customFormat="false" ht="15" hidden="false" customHeight="false" outlineLevel="0" collapsed="false">
      <c r="A155" s="45"/>
      <c r="B155" s="44"/>
      <c r="C155" s="4" t="str">
        <f aca="false">IF($B155="","",INDEX(Piutang!$D$2:$D$1751,MATCH($B155,Piutang!$A$2:$A$1751,0)))</f>
        <v/>
      </c>
      <c r="D155" s="4" t="str">
        <f aca="false">IF($B155="","",INDEX(Piutang!$E$2:$E$1751,MATCH($B155,Piutang!$A$2:$A$1751,0)))</f>
        <v/>
      </c>
      <c r="E155" s="6" t="str">
        <f aca="false">IF($B155="","",INDEX(Piutang!$M$2:$M$1751,MATCH($B155,Piutang!$A$2:$A$1751,0)))</f>
        <v/>
      </c>
      <c r="F155" s="4" t="str">
        <f aca="false">IF($B155="","",INDEX(Piutang!$O$2:$O$1751,MATCH($B155,Piutang!$A$2:$A$1751,0)))</f>
        <v/>
      </c>
      <c r="G155" s="44"/>
      <c r="H155" s="45"/>
      <c r="I155" s="47"/>
      <c r="J155" s="4" t="str">
        <f aca="false">IF(G155="","",IF(G155="Janji Bayar",IF(H155="","Isi tgl janji",IF(H155&lt;Catatan!$B$3,"Terlewat - tindak lanjut","Menunggu")),"-"))</f>
        <v/>
      </c>
      <c r="K155" s="44"/>
    </row>
    <row r="156" customFormat="false" ht="15" hidden="false" customHeight="false" outlineLevel="0" collapsed="false">
      <c r="A156" s="45"/>
      <c r="B156" s="44"/>
      <c r="C156" s="4" t="str">
        <f aca="false">IF($B156="","",INDEX(Piutang!$D$2:$D$1751,MATCH($B156,Piutang!$A$2:$A$1751,0)))</f>
        <v/>
      </c>
      <c r="D156" s="4" t="str">
        <f aca="false">IF($B156="","",INDEX(Piutang!$E$2:$E$1751,MATCH($B156,Piutang!$A$2:$A$1751,0)))</f>
        <v/>
      </c>
      <c r="E156" s="6" t="str">
        <f aca="false">IF($B156="","",INDEX(Piutang!$M$2:$M$1751,MATCH($B156,Piutang!$A$2:$A$1751,0)))</f>
        <v/>
      </c>
      <c r="F156" s="4" t="str">
        <f aca="false">IF($B156="","",INDEX(Piutang!$O$2:$O$1751,MATCH($B156,Piutang!$A$2:$A$1751,0)))</f>
        <v/>
      </c>
      <c r="G156" s="44"/>
      <c r="H156" s="45"/>
      <c r="I156" s="47"/>
      <c r="J156" s="4" t="str">
        <f aca="false">IF(G156="","",IF(G156="Janji Bayar",IF(H156="","Isi tgl janji",IF(H156&lt;Catatan!$B$3,"Terlewat - tindak lanjut","Menunggu")),"-"))</f>
        <v/>
      </c>
      <c r="K156" s="44"/>
    </row>
    <row r="157" customFormat="false" ht="15" hidden="false" customHeight="false" outlineLevel="0" collapsed="false">
      <c r="A157" s="45"/>
      <c r="B157" s="44"/>
      <c r="C157" s="4" t="str">
        <f aca="false">IF($B157="","",INDEX(Piutang!$D$2:$D$1751,MATCH($B157,Piutang!$A$2:$A$1751,0)))</f>
        <v/>
      </c>
      <c r="D157" s="4" t="str">
        <f aca="false">IF($B157="","",INDEX(Piutang!$E$2:$E$1751,MATCH($B157,Piutang!$A$2:$A$1751,0)))</f>
        <v/>
      </c>
      <c r="E157" s="6" t="str">
        <f aca="false">IF($B157="","",INDEX(Piutang!$M$2:$M$1751,MATCH($B157,Piutang!$A$2:$A$1751,0)))</f>
        <v/>
      </c>
      <c r="F157" s="4" t="str">
        <f aca="false">IF($B157="","",INDEX(Piutang!$O$2:$O$1751,MATCH($B157,Piutang!$A$2:$A$1751,0)))</f>
        <v/>
      </c>
      <c r="G157" s="44"/>
      <c r="H157" s="45"/>
      <c r="I157" s="47"/>
      <c r="J157" s="4" t="str">
        <f aca="false">IF(G157="","",IF(G157="Janji Bayar",IF(H157="","Isi tgl janji",IF(H157&lt;Catatan!$B$3,"Terlewat - tindak lanjut","Menunggu")),"-"))</f>
        <v/>
      </c>
      <c r="K157" s="44"/>
    </row>
    <row r="158" customFormat="false" ht="15" hidden="false" customHeight="false" outlineLevel="0" collapsed="false">
      <c r="A158" s="45"/>
      <c r="B158" s="44"/>
      <c r="C158" s="4" t="str">
        <f aca="false">IF($B158="","",INDEX(Piutang!$D$2:$D$1751,MATCH($B158,Piutang!$A$2:$A$1751,0)))</f>
        <v/>
      </c>
      <c r="D158" s="4" t="str">
        <f aca="false">IF($B158="","",INDEX(Piutang!$E$2:$E$1751,MATCH($B158,Piutang!$A$2:$A$1751,0)))</f>
        <v/>
      </c>
      <c r="E158" s="6" t="str">
        <f aca="false">IF($B158="","",INDEX(Piutang!$M$2:$M$1751,MATCH($B158,Piutang!$A$2:$A$1751,0)))</f>
        <v/>
      </c>
      <c r="F158" s="4" t="str">
        <f aca="false">IF($B158="","",INDEX(Piutang!$O$2:$O$1751,MATCH($B158,Piutang!$A$2:$A$1751,0)))</f>
        <v/>
      </c>
      <c r="G158" s="44"/>
      <c r="H158" s="45"/>
      <c r="I158" s="47"/>
      <c r="J158" s="4" t="str">
        <f aca="false">IF(G158="","",IF(G158="Janji Bayar",IF(H158="","Isi tgl janji",IF(H158&lt;Catatan!$B$3,"Terlewat - tindak lanjut","Menunggu")),"-"))</f>
        <v/>
      </c>
      <c r="K158" s="44"/>
    </row>
    <row r="159" customFormat="false" ht="15" hidden="false" customHeight="false" outlineLevel="0" collapsed="false">
      <c r="A159" s="45"/>
      <c r="B159" s="44"/>
      <c r="C159" s="4" t="str">
        <f aca="false">IF($B159="","",INDEX(Piutang!$D$2:$D$1751,MATCH($B159,Piutang!$A$2:$A$1751,0)))</f>
        <v/>
      </c>
      <c r="D159" s="4" t="str">
        <f aca="false">IF($B159="","",INDEX(Piutang!$E$2:$E$1751,MATCH($B159,Piutang!$A$2:$A$1751,0)))</f>
        <v/>
      </c>
      <c r="E159" s="6" t="str">
        <f aca="false">IF($B159="","",INDEX(Piutang!$M$2:$M$1751,MATCH($B159,Piutang!$A$2:$A$1751,0)))</f>
        <v/>
      </c>
      <c r="F159" s="4" t="str">
        <f aca="false">IF($B159="","",INDEX(Piutang!$O$2:$O$1751,MATCH($B159,Piutang!$A$2:$A$1751,0)))</f>
        <v/>
      </c>
      <c r="G159" s="44"/>
      <c r="H159" s="45"/>
      <c r="I159" s="47"/>
      <c r="J159" s="4" t="str">
        <f aca="false">IF(G159="","",IF(G159="Janji Bayar",IF(H159="","Isi tgl janji",IF(H159&lt;Catatan!$B$3,"Terlewat - tindak lanjut","Menunggu")),"-"))</f>
        <v/>
      </c>
      <c r="K159" s="44"/>
    </row>
    <row r="160" customFormat="false" ht="15" hidden="false" customHeight="false" outlineLevel="0" collapsed="false">
      <c r="A160" s="45"/>
      <c r="B160" s="44"/>
      <c r="C160" s="4" t="str">
        <f aca="false">IF($B160="","",INDEX(Piutang!$D$2:$D$1751,MATCH($B160,Piutang!$A$2:$A$1751,0)))</f>
        <v/>
      </c>
      <c r="D160" s="4" t="str">
        <f aca="false">IF($B160="","",INDEX(Piutang!$E$2:$E$1751,MATCH($B160,Piutang!$A$2:$A$1751,0)))</f>
        <v/>
      </c>
      <c r="E160" s="6" t="str">
        <f aca="false">IF($B160="","",INDEX(Piutang!$M$2:$M$1751,MATCH($B160,Piutang!$A$2:$A$1751,0)))</f>
        <v/>
      </c>
      <c r="F160" s="4" t="str">
        <f aca="false">IF($B160="","",INDEX(Piutang!$O$2:$O$1751,MATCH($B160,Piutang!$A$2:$A$1751,0)))</f>
        <v/>
      </c>
      <c r="G160" s="44"/>
      <c r="H160" s="45"/>
      <c r="I160" s="47"/>
      <c r="J160" s="4" t="str">
        <f aca="false">IF(G160="","",IF(G160="Janji Bayar",IF(H160="","Isi tgl janji",IF(H160&lt;Catatan!$B$3,"Terlewat - tindak lanjut","Menunggu")),"-"))</f>
        <v/>
      </c>
      <c r="K160" s="44"/>
    </row>
    <row r="161" customFormat="false" ht="15" hidden="false" customHeight="false" outlineLevel="0" collapsed="false">
      <c r="A161" s="45"/>
      <c r="B161" s="44"/>
      <c r="C161" s="4" t="str">
        <f aca="false">IF($B161="","",INDEX(Piutang!$D$2:$D$1751,MATCH($B161,Piutang!$A$2:$A$1751,0)))</f>
        <v/>
      </c>
      <c r="D161" s="4" t="str">
        <f aca="false">IF($B161="","",INDEX(Piutang!$E$2:$E$1751,MATCH($B161,Piutang!$A$2:$A$1751,0)))</f>
        <v/>
      </c>
      <c r="E161" s="6" t="str">
        <f aca="false">IF($B161="","",INDEX(Piutang!$M$2:$M$1751,MATCH($B161,Piutang!$A$2:$A$1751,0)))</f>
        <v/>
      </c>
      <c r="F161" s="4" t="str">
        <f aca="false">IF($B161="","",INDEX(Piutang!$O$2:$O$1751,MATCH($B161,Piutang!$A$2:$A$1751,0)))</f>
        <v/>
      </c>
      <c r="G161" s="44"/>
      <c r="H161" s="45"/>
      <c r="I161" s="47"/>
      <c r="J161" s="4" t="str">
        <f aca="false">IF(G161="","",IF(G161="Janji Bayar",IF(H161="","Isi tgl janji",IF(H161&lt;Catatan!$B$3,"Terlewat - tindak lanjut","Menunggu")),"-"))</f>
        <v/>
      </c>
      <c r="K161" s="44"/>
    </row>
    <row r="162" customFormat="false" ht="15" hidden="false" customHeight="false" outlineLevel="0" collapsed="false">
      <c r="A162" s="45"/>
      <c r="B162" s="44"/>
      <c r="C162" s="4" t="str">
        <f aca="false">IF($B162="","",INDEX(Piutang!$D$2:$D$1751,MATCH($B162,Piutang!$A$2:$A$1751,0)))</f>
        <v/>
      </c>
      <c r="D162" s="4" t="str">
        <f aca="false">IF($B162="","",INDEX(Piutang!$E$2:$E$1751,MATCH($B162,Piutang!$A$2:$A$1751,0)))</f>
        <v/>
      </c>
      <c r="E162" s="6" t="str">
        <f aca="false">IF($B162="","",INDEX(Piutang!$M$2:$M$1751,MATCH($B162,Piutang!$A$2:$A$1751,0)))</f>
        <v/>
      </c>
      <c r="F162" s="4" t="str">
        <f aca="false">IF($B162="","",INDEX(Piutang!$O$2:$O$1751,MATCH($B162,Piutang!$A$2:$A$1751,0)))</f>
        <v/>
      </c>
      <c r="G162" s="44"/>
      <c r="H162" s="45"/>
      <c r="I162" s="47"/>
      <c r="J162" s="4" t="str">
        <f aca="false">IF(G162="","",IF(G162="Janji Bayar",IF(H162="","Isi tgl janji",IF(H162&lt;Catatan!$B$3,"Terlewat - tindak lanjut","Menunggu")),"-"))</f>
        <v/>
      </c>
      <c r="K162" s="44"/>
    </row>
    <row r="163" customFormat="false" ht="15" hidden="false" customHeight="false" outlineLevel="0" collapsed="false">
      <c r="A163" s="45"/>
      <c r="B163" s="44"/>
      <c r="C163" s="4" t="str">
        <f aca="false">IF($B163="","",INDEX(Piutang!$D$2:$D$1751,MATCH($B163,Piutang!$A$2:$A$1751,0)))</f>
        <v/>
      </c>
      <c r="D163" s="4" t="str">
        <f aca="false">IF($B163="","",INDEX(Piutang!$E$2:$E$1751,MATCH($B163,Piutang!$A$2:$A$1751,0)))</f>
        <v/>
      </c>
      <c r="E163" s="6" t="str">
        <f aca="false">IF($B163="","",INDEX(Piutang!$M$2:$M$1751,MATCH($B163,Piutang!$A$2:$A$1751,0)))</f>
        <v/>
      </c>
      <c r="F163" s="4" t="str">
        <f aca="false">IF($B163="","",INDEX(Piutang!$O$2:$O$1751,MATCH($B163,Piutang!$A$2:$A$1751,0)))</f>
        <v/>
      </c>
      <c r="G163" s="44"/>
      <c r="H163" s="45"/>
      <c r="I163" s="47"/>
      <c r="J163" s="4" t="str">
        <f aca="false">IF(G163="","",IF(G163="Janji Bayar",IF(H163="","Isi tgl janji",IF(H163&lt;Catatan!$B$3,"Terlewat - tindak lanjut","Menunggu")),"-"))</f>
        <v/>
      </c>
      <c r="K163" s="44"/>
    </row>
    <row r="164" customFormat="false" ht="15" hidden="false" customHeight="false" outlineLevel="0" collapsed="false">
      <c r="A164" s="45"/>
      <c r="B164" s="44"/>
      <c r="C164" s="4" t="str">
        <f aca="false">IF($B164="","",INDEX(Piutang!$D$2:$D$1751,MATCH($B164,Piutang!$A$2:$A$1751,0)))</f>
        <v/>
      </c>
      <c r="D164" s="4" t="str">
        <f aca="false">IF($B164="","",INDEX(Piutang!$E$2:$E$1751,MATCH($B164,Piutang!$A$2:$A$1751,0)))</f>
        <v/>
      </c>
      <c r="E164" s="6" t="str">
        <f aca="false">IF($B164="","",INDEX(Piutang!$M$2:$M$1751,MATCH($B164,Piutang!$A$2:$A$1751,0)))</f>
        <v/>
      </c>
      <c r="F164" s="4" t="str">
        <f aca="false">IF($B164="","",INDEX(Piutang!$O$2:$O$1751,MATCH($B164,Piutang!$A$2:$A$1751,0)))</f>
        <v/>
      </c>
      <c r="G164" s="44"/>
      <c r="H164" s="45"/>
      <c r="I164" s="47"/>
      <c r="J164" s="4" t="str">
        <f aca="false">IF(G164="","",IF(G164="Janji Bayar",IF(H164="","Isi tgl janji",IF(H164&lt;Catatan!$B$3,"Terlewat - tindak lanjut","Menunggu")),"-"))</f>
        <v/>
      </c>
      <c r="K164" s="44"/>
    </row>
    <row r="165" customFormat="false" ht="15" hidden="false" customHeight="false" outlineLevel="0" collapsed="false">
      <c r="A165" s="45"/>
      <c r="B165" s="44"/>
      <c r="C165" s="4" t="str">
        <f aca="false">IF($B165="","",INDEX(Piutang!$D$2:$D$1751,MATCH($B165,Piutang!$A$2:$A$1751,0)))</f>
        <v/>
      </c>
      <c r="D165" s="4" t="str">
        <f aca="false">IF($B165="","",INDEX(Piutang!$E$2:$E$1751,MATCH($B165,Piutang!$A$2:$A$1751,0)))</f>
        <v/>
      </c>
      <c r="E165" s="6" t="str">
        <f aca="false">IF($B165="","",INDEX(Piutang!$M$2:$M$1751,MATCH($B165,Piutang!$A$2:$A$1751,0)))</f>
        <v/>
      </c>
      <c r="F165" s="4" t="str">
        <f aca="false">IF($B165="","",INDEX(Piutang!$O$2:$O$1751,MATCH($B165,Piutang!$A$2:$A$1751,0)))</f>
        <v/>
      </c>
      <c r="G165" s="44"/>
      <c r="H165" s="45"/>
      <c r="I165" s="47"/>
      <c r="J165" s="4" t="str">
        <f aca="false">IF(G165="","",IF(G165="Janji Bayar",IF(H165="","Isi tgl janji",IF(H165&lt;Catatan!$B$3,"Terlewat - tindak lanjut","Menunggu")),"-"))</f>
        <v/>
      </c>
      <c r="K165" s="44"/>
    </row>
    <row r="166" customFormat="false" ht="15" hidden="false" customHeight="false" outlineLevel="0" collapsed="false">
      <c r="A166" s="45"/>
      <c r="B166" s="44"/>
      <c r="C166" s="4" t="str">
        <f aca="false">IF($B166="","",INDEX(Piutang!$D$2:$D$1751,MATCH($B166,Piutang!$A$2:$A$1751,0)))</f>
        <v/>
      </c>
      <c r="D166" s="4" t="str">
        <f aca="false">IF($B166="","",INDEX(Piutang!$E$2:$E$1751,MATCH($B166,Piutang!$A$2:$A$1751,0)))</f>
        <v/>
      </c>
      <c r="E166" s="6" t="str">
        <f aca="false">IF($B166="","",INDEX(Piutang!$M$2:$M$1751,MATCH($B166,Piutang!$A$2:$A$1751,0)))</f>
        <v/>
      </c>
      <c r="F166" s="4" t="str">
        <f aca="false">IF($B166="","",INDEX(Piutang!$O$2:$O$1751,MATCH($B166,Piutang!$A$2:$A$1751,0)))</f>
        <v/>
      </c>
      <c r="G166" s="44"/>
      <c r="H166" s="45"/>
      <c r="I166" s="47"/>
      <c r="J166" s="4" t="str">
        <f aca="false">IF(G166="","",IF(G166="Janji Bayar",IF(H166="","Isi tgl janji",IF(H166&lt;Catatan!$B$3,"Terlewat - tindak lanjut","Menunggu")),"-"))</f>
        <v/>
      </c>
      <c r="K166" s="44"/>
    </row>
    <row r="167" customFormat="false" ht="15" hidden="false" customHeight="false" outlineLevel="0" collapsed="false">
      <c r="A167" s="45"/>
      <c r="B167" s="44"/>
      <c r="C167" s="4" t="str">
        <f aca="false">IF($B167="","",INDEX(Piutang!$D$2:$D$1751,MATCH($B167,Piutang!$A$2:$A$1751,0)))</f>
        <v/>
      </c>
      <c r="D167" s="4" t="str">
        <f aca="false">IF($B167="","",INDEX(Piutang!$E$2:$E$1751,MATCH($B167,Piutang!$A$2:$A$1751,0)))</f>
        <v/>
      </c>
      <c r="E167" s="6" t="str">
        <f aca="false">IF($B167="","",INDEX(Piutang!$M$2:$M$1751,MATCH($B167,Piutang!$A$2:$A$1751,0)))</f>
        <v/>
      </c>
      <c r="F167" s="4" t="str">
        <f aca="false">IF($B167="","",INDEX(Piutang!$O$2:$O$1751,MATCH($B167,Piutang!$A$2:$A$1751,0)))</f>
        <v/>
      </c>
      <c r="G167" s="44"/>
      <c r="H167" s="45"/>
      <c r="I167" s="47"/>
      <c r="J167" s="4" t="str">
        <f aca="false">IF(G167="","",IF(G167="Janji Bayar",IF(H167="","Isi tgl janji",IF(H167&lt;Catatan!$B$3,"Terlewat - tindak lanjut","Menunggu")),"-"))</f>
        <v/>
      </c>
      <c r="K167" s="44"/>
    </row>
    <row r="168" customFormat="false" ht="15" hidden="false" customHeight="false" outlineLevel="0" collapsed="false">
      <c r="A168" s="45"/>
      <c r="B168" s="44"/>
      <c r="C168" s="4" t="str">
        <f aca="false">IF($B168="","",INDEX(Piutang!$D$2:$D$1751,MATCH($B168,Piutang!$A$2:$A$1751,0)))</f>
        <v/>
      </c>
      <c r="D168" s="4" t="str">
        <f aca="false">IF($B168="","",INDEX(Piutang!$E$2:$E$1751,MATCH($B168,Piutang!$A$2:$A$1751,0)))</f>
        <v/>
      </c>
      <c r="E168" s="6" t="str">
        <f aca="false">IF($B168="","",INDEX(Piutang!$M$2:$M$1751,MATCH($B168,Piutang!$A$2:$A$1751,0)))</f>
        <v/>
      </c>
      <c r="F168" s="4" t="str">
        <f aca="false">IF($B168="","",INDEX(Piutang!$O$2:$O$1751,MATCH($B168,Piutang!$A$2:$A$1751,0)))</f>
        <v/>
      </c>
      <c r="G168" s="44"/>
      <c r="H168" s="45"/>
      <c r="I168" s="47"/>
      <c r="J168" s="4" t="str">
        <f aca="false">IF(G168="","",IF(G168="Janji Bayar",IF(H168="","Isi tgl janji",IF(H168&lt;Catatan!$B$3,"Terlewat - tindak lanjut","Menunggu")),"-"))</f>
        <v/>
      </c>
      <c r="K168" s="44"/>
    </row>
    <row r="169" customFormat="false" ht="15" hidden="false" customHeight="false" outlineLevel="0" collapsed="false">
      <c r="A169" s="45"/>
      <c r="B169" s="44"/>
      <c r="C169" s="4" t="str">
        <f aca="false">IF($B169="","",INDEX(Piutang!$D$2:$D$1751,MATCH($B169,Piutang!$A$2:$A$1751,0)))</f>
        <v/>
      </c>
      <c r="D169" s="4" t="str">
        <f aca="false">IF($B169="","",INDEX(Piutang!$E$2:$E$1751,MATCH($B169,Piutang!$A$2:$A$1751,0)))</f>
        <v/>
      </c>
      <c r="E169" s="6" t="str">
        <f aca="false">IF($B169="","",INDEX(Piutang!$M$2:$M$1751,MATCH($B169,Piutang!$A$2:$A$1751,0)))</f>
        <v/>
      </c>
      <c r="F169" s="4" t="str">
        <f aca="false">IF($B169="","",INDEX(Piutang!$O$2:$O$1751,MATCH($B169,Piutang!$A$2:$A$1751,0)))</f>
        <v/>
      </c>
      <c r="G169" s="44"/>
      <c r="H169" s="45"/>
      <c r="I169" s="47"/>
      <c r="J169" s="4" t="str">
        <f aca="false">IF(G169="","",IF(G169="Janji Bayar",IF(H169="","Isi tgl janji",IF(H169&lt;Catatan!$B$3,"Terlewat - tindak lanjut","Menunggu")),"-"))</f>
        <v/>
      </c>
      <c r="K169" s="44"/>
    </row>
    <row r="170" customFormat="false" ht="15" hidden="false" customHeight="false" outlineLevel="0" collapsed="false">
      <c r="A170" s="45"/>
      <c r="B170" s="44"/>
      <c r="C170" s="4" t="str">
        <f aca="false">IF($B170="","",INDEX(Piutang!$D$2:$D$1751,MATCH($B170,Piutang!$A$2:$A$1751,0)))</f>
        <v/>
      </c>
      <c r="D170" s="4" t="str">
        <f aca="false">IF($B170="","",INDEX(Piutang!$E$2:$E$1751,MATCH($B170,Piutang!$A$2:$A$1751,0)))</f>
        <v/>
      </c>
      <c r="E170" s="6" t="str">
        <f aca="false">IF($B170="","",INDEX(Piutang!$M$2:$M$1751,MATCH($B170,Piutang!$A$2:$A$1751,0)))</f>
        <v/>
      </c>
      <c r="F170" s="4" t="str">
        <f aca="false">IF($B170="","",INDEX(Piutang!$O$2:$O$1751,MATCH($B170,Piutang!$A$2:$A$1751,0)))</f>
        <v/>
      </c>
      <c r="G170" s="44"/>
      <c r="H170" s="45"/>
      <c r="I170" s="47"/>
      <c r="J170" s="4" t="str">
        <f aca="false">IF(G170="","",IF(G170="Janji Bayar",IF(H170="","Isi tgl janji",IF(H170&lt;Catatan!$B$3,"Terlewat - tindak lanjut","Menunggu")),"-"))</f>
        <v/>
      </c>
      <c r="K170" s="44"/>
    </row>
    <row r="171" customFormat="false" ht="15" hidden="false" customHeight="false" outlineLevel="0" collapsed="false">
      <c r="A171" s="45"/>
      <c r="B171" s="44"/>
      <c r="C171" s="4" t="str">
        <f aca="false">IF($B171="","",INDEX(Piutang!$D$2:$D$1751,MATCH($B171,Piutang!$A$2:$A$1751,0)))</f>
        <v/>
      </c>
      <c r="D171" s="4" t="str">
        <f aca="false">IF($B171="","",INDEX(Piutang!$E$2:$E$1751,MATCH($B171,Piutang!$A$2:$A$1751,0)))</f>
        <v/>
      </c>
      <c r="E171" s="6" t="str">
        <f aca="false">IF($B171="","",INDEX(Piutang!$M$2:$M$1751,MATCH($B171,Piutang!$A$2:$A$1751,0)))</f>
        <v/>
      </c>
      <c r="F171" s="4" t="str">
        <f aca="false">IF($B171="","",INDEX(Piutang!$O$2:$O$1751,MATCH($B171,Piutang!$A$2:$A$1751,0)))</f>
        <v/>
      </c>
      <c r="G171" s="44"/>
      <c r="H171" s="45"/>
      <c r="I171" s="47"/>
      <c r="J171" s="4" t="str">
        <f aca="false">IF(G171="","",IF(G171="Janji Bayar",IF(H171="","Isi tgl janji",IF(H171&lt;Catatan!$B$3,"Terlewat - tindak lanjut","Menunggu")),"-"))</f>
        <v/>
      </c>
      <c r="K171" s="44"/>
    </row>
    <row r="172" customFormat="false" ht="15" hidden="false" customHeight="false" outlineLevel="0" collapsed="false">
      <c r="A172" s="45"/>
      <c r="B172" s="44"/>
      <c r="C172" s="4" t="str">
        <f aca="false">IF($B172="","",INDEX(Piutang!$D$2:$D$1751,MATCH($B172,Piutang!$A$2:$A$1751,0)))</f>
        <v/>
      </c>
      <c r="D172" s="4" t="str">
        <f aca="false">IF($B172="","",INDEX(Piutang!$E$2:$E$1751,MATCH($B172,Piutang!$A$2:$A$1751,0)))</f>
        <v/>
      </c>
      <c r="E172" s="6" t="str">
        <f aca="false">IF($B172="","",INDEX(Piutang!$M$2:$M$1751,MATCH($B172,Piutang!$A$2:$A$1751,0)))</f>
        <v/>
      </c>
      <c r="F172" s="4" t="str">
        <f aca="false">IF($B172="","",INDEX(Piutang!$O$2:$O$1751,MATCH($B172,Piutang!$A$2:$A$1751,0)))</f>
        <v/>
      </c>
      <c r="G172" s="44"/>
      <c r="H172" s="45"/>
      <c r="I172" s="47"/>
      <c r="J172" s="4" t="str">
        <f aca="false">IF(G172="","",IF(G172="Janji Bayar",IF(H172="","Isi tgl janji",IF(H172&lt;Catatan!$B$3,"Terlewat - tindak lanjut","Menunggu")),"-"))</f>
        <v/>
      </c>
      <c r="K172" s="44"/>
    </row>
    <row r="173" customFormat="false" ht="15" hidden="false" customHeight="false" outlineLevel="0" collapsed="false">
      <c r="A173" s="45"/>
      <c r="B173" s="44"/>
      <c r="C173" s="4" t="str">
        <f aca="false">IF($B173="","",INDEX(Piutang!$D$2:$D$1751,MATCH($B173,Piutang!$A$2:$A$1751,0)))</f>
        <v/>
      </c>
      <c r="D173" s="4" t="str">
        <f aca="false">IF($B173="","",INDEX(Piutang!$E$2:$E$1751,MATCH($B173,Piutang!$A$2:$A$1751,0)))</f>
        <v/>
      </c>
      <c r="E173" s="6" t="str">
        <f aca="false">IF($B173="","",INDEX(Piutang!$M$2:$M$1751,MATCH($B173,Piutang!$A$2:$A$1751,0)))</f>
        <v/>
      </c>
      <c r="F173" s="4" t="str">
        <f aca="false">IF($B173="","",INDEX(Piutang!$O$2:$O$1751,MATCH($B173,Piutang!$A$2:$A$1751,0)))</f>
        <v/>
      </c>
      <c r="G173" s="44"/>
      <c r="H173" s="45"/>
      <c r="I173" s="47"/>
      <c r="J173" s="4" t="str">
        <f aca="false">IF(G173="","",IF(G173="Janji Bayar",IF(H173="","Isi tgl janji",IF(H173&lt;Catatan!$B$3,"Terlewat - tindak lanjut","Menunggu")),"-"))</f>
        <v/>
      </c>
      <c r="K173" s="44"/>
    </row>
    <row r="174" customFormat="false" ht="15" hidden="false" customHeight="false" outlineLevel="0" collapsed="false">
      <c r="A174" s="45"/>
      <c r="B174" s="44"/>
      <c r="C174" s="4" t="str">
        <f aca="false">IF($B174="","",INDEX(Piutang!$D$2:$D$1751,MATCH($B174,Piutang!$A$2:$A$1751,0)))</f>
        <v/>
      </c>
      <c r="D174" s="4" t="str">
        <f aca="false">IF($B174="","",INDEX(Piutang!$E$2:$E$1751,MATCH($B174,Piutang!$A$2:$A$1751,0)))</f>
        <v/>
      </c>
      <c r="E174" s="6" t="str">
        <f aca="false">IF($B174="","",INDEX(Piutang!$M$2:$M$1751,MATCH($B174,Piutang!$A$2:$A$1751,0)))</f>
        <v/>
      </c>
      <c r="F174" s="4" t="str">
        <f aca="false">IF($B174="","",INDEX(Piutang!$O$2:$O$1751,MATCH($B174,Piutang!$A$2:$A$1751,0)))</f>
        <v/>
      </c>
      <c r="G174" s="44"/>
      <c r="H174" s="45"/>
      <c r="I174" s="47"/>
      <c r="J174" s="4" t="str">
        <f aca="false">IF(G174="","",IF(G174="Janji Bayar",IF(H174="","Isi tgl janji",IF(H174&lt;Catatan!$B$3,"Terlewat - tindak lanjut","Menunggu")),"-"))</f>
        <v/>
      </c>
      <c r="K174" s="44"/>
    </row>
    <row r="175" customFormat="false" ht="15" hidden="false" customHeight="false" outlineLevel="0" collapsed="false">
      <c r="A175" s="45"/>
      <c r="B175" s="44"/>
      <c r="C175" s="4" t="str">
        <f aca="false">IF($B175="","",INDEX(Piutang!$D$2:$D$1751,MATCH($B175,Piutang!$A$2:$A$1751,0)))</f>
        <v/>
      </c>
      <c r="D175" s="4" t="str">
        <f aca="false">IF($B175="","",INDEX(Piutang!$E$2:$E$1751,MATCH($B175,Piutang!$A$2:$A$1751,0)))</f>
        <v/>
      </c>
      <c r="E175" s="6" t="str">
        <f aca="false">IF($B175="","",INDEX(Piutang!$M$2:$M$1751,MATCH($B175,Piutang!$A$2:$A$1751,0)))</f>
        <v/>
      </c>
      <c r="F175" s="4" t="str">
        <f aca="false">IF($B175="","",INDEX(Piutang!$O$2:$O$1751,MATCH($B175,Piutang!$A$2:$A$1751,0)))</f>
        <v/>
      </c>
      <c r="G175" s="44"/>
      <c r="H175" s="45"/>
      <c r="I175" s="47"/>
      <c r="J175" s="4" t="str">
        <f aca="false">IF(G175="","",IF(G175="Janji Bayar",IF(H175="","Isi tgl janji",IF(H175&lt;Catatan!$B$3,"Terlewat - tindak lanjut","Menunggu")),"-"))</f>
        <v/>
      </c>
      <c r="K175" s="44"/>
    </row>
    <row r="176" customFormat="false" ht="15" hidden="false" customHeight="false" outlineLevel="0" collapsed="false">
      <c r="A176" s="45"/>
      <c r="B176" s="44"/>
      <c r="C176" s="4" t="str">
        <f aca="false">IF($B176="","",INDEX(Piutang!$D$2:$D$1751,MATCH($B176,Piutang!$A$2:$A$1751,0)))</f>
        <v/>
      </c>
      <c r="D176" s="4" t="str">
        <f aca="false">IF($B176="","",INDEX(Piutang!$E$2:$E$1751,MATCH($B176,Piutang!$A$2:$A$1751,0)))</f>
        <v/>
      </c>
      <c r="E176" s="6" t="str">
        <f aca="false">IF($B176="","",INDEX(Piutang!$M$2:$M$1751,MATCH($B176,Piutang!$A$2:$A$1751,0)))</f>
        <v/>
      </c>
      <c r="F176" s="4" t="str">
        <f aca="false">IF($B176="","",INDEX(Piutang!$O$2:$O$1751,MATCH($B176,Piutang!$A$2:$A$1751,0)))</f>
        <v/>
      </c>
      <c r="G176" s="44"/>
      <c r="H176" s="45"/>
      <c r="I176" s="47"/>
      <c r="J176" s="4" t="str">
        <f aca="false">IF(G176="","",IF(G176="Janji Bayar",IF(H176="","Isi tgl janji",IF(H176&lt;Catatan!$B$3,"Terlewat - tindak lanjut","Menunggu")),"-"))</f>
        <v/>
      </c>
      <c r="K176" s="44"/>
    </row>
    <row r="177" customFormat="false" ht="15" hidden="false" customHeight="false" outlineLevel="0" collapsed="false">
      <c r="A177" s="45"/>
      <c r="B177" s="44"/>
      <c r="C177" s="4" t="str">
        <f aca="false">IF($B177="","",INDEX(Piutang!$D$2:$D$1751,MATCH($B177,Piutang!$A$2:$A$1751,0)))</f>
        <v/>
      </c>
      <c r="D177" s="4" t="str">
        <f aca="false">IF($B177="","",INDEX(Piutang!$E$2:$E$1751,MATCH($B177,Piutang!$A$2:$A$1751,0)))</f>
        <v/>
      </c>
      <c r="E177" s="6" t="str">
        <f aca="false">IF($B177="","",INDEX(Piutang!$M$2:$M$1751,MATCH($B177,Piutang!$A$2:$A$1751,0)))</f>
        <v/>
      </c>
      <c r="F177" s="4" t="str">
        <f aca="false">IF($B177="","",INDEX(Piutang!$O$2:$O$1751,MATCH($B177,Piutang!$A$2:$A$1751,0)))</f>
        <v/>
      </c>
      <c r="G177" s="44"/>
      <c r="H177" s="45"/>
      <c r="I177" s="47"/>
      <c r="J177" s="4" t="str">
        <f aca="false">IF(G177="","",IF(G177="Janji Bayar",IF(H177="","Isi tgl janji",IF(H177&lt;Catatan!$B$3,"Terlewat - tindak lanjut","Menunggu")),"-"))</f>
        <v/>
      </c>
      <c r="K177" s="44"/>
    </row>
    <row r="178" customFormat="false" ht="15" hidden="false" customHeight="false" outlineLevel="0" collapsed="false">
      <c r="A178" s="45"/>
      <c r="B178" s="44"/>
      <c r="C178" s="4" t="str">
        <f aca="false">IF($B178="","",INDEX(Piutang!$D$2:$D$1751,MATCH($B178,Piutang!$A$2:$A$1751,0)))</f>
        <v/>
      </c>
      <c r="D178" s="4" t="str">
        <f aca="false">IF($B178="","",INDEX(Piutang!$E$2:$E$1751,MATCH($B178,Piutang!$A$2:$A$1751,0)))</f>
        <v/>
      </c>
      <c r="E178" s="6" t="str">
        <f aca="false">IF($B178="","",INDEX(Piutang!$M$2:$M$1751,MATCH($B178,Piutang!$A$2:$A$1751,0)))</f>
        <v/>
      </c>
      <c r="F178" s="4" t="str">
        <f aca="false">IF($B178="","",INDEX(Piutang!$O$2:$O$1751,MATCH($B178,Piutang!$A$2:$A$1751,0)))</f>
        <v/>
      </c>
      <c r="G178" s="44"/>
      <c r="H178" s="45"/>
      <c r="I178" s="47"/>
      <c r="J178" s="4" t="str">
        <f aca="false">IF(G178="","",IF(G178="Janji Bayar",IF(H178="","Isi tgl janji",IF(H178&lt;Catatan!$B$3,"Terlewat - tindak lanjut","Menunggu")),"-"))</f>
        <v/>
      </c>
      <c r="K178" s="44"/>
    </row>
    <row r="179" customFormat="false" ht="15" hidden="false" customHeight="false" outlineLevel="0" collapsed="false">
      <c r="A179" s="45"/>
      <c r="B179" s="44"/>
      <c r="C179" s="4" t="str">
        <f aca="false">IF($B179="","",INDEX(Piutang!$D$2:$D$1751,MATCH($B179,Piutang!$A$2:$A$1751,0)))</f>
        <v/>
      </c>
      <c r="D179" s="4" t="str">
        <f aca="false">IF($B179="","",INDEX(Piutang!$E$2:$E$1751,MATCH($B179,Piutang!$A$2:$A$1751,0)))</f>
        <v/>
      </c>
      <c r="E179" s="6" t="str">
        <f aca="false">IF($B179="","",INDEX(Piutang!$M$2:$M$1751,MATCH($B179,Piutang!$A$2:$A$1751,0)))</f>
        <v/>
      </c>
      <c r="F179" s="4" t="str">
        <f aca="false">IF($B179="","",INDEX(Piutang!$O$2:$O$1751,MATCH($B179,Piutang!$A$2:$A$1751,0)))</f>
        <v/>
      </c>
      <c r="G179" s="44"/>
      <c r="H179" s="45"/>
      <c r="I179" s="47"/>
      <c r="J179" s="4" t="str">
        <f aca="false">IF(G179="","",IF(G179="Janji Bayar",IF(H179="","Isi tgl janji",IF(H179&lt;Catatan!$B$3,"Terlewat - tindak lanjut","Menunggu")),"-"))</f>
        <v/>
      </c>
      <c r="K179" s="44"/>
    </row>
    <row r="180" customFormat="false" ht="15" hidden="false" customHeight="false" outlineLevel="0" collapsed="false">
      <c r="A180" s="45"/>
      <c r="B180" s="44"/>
      <c r="C180" s="4" t="str">
        <f aca="false">IF($B180="","",INDEX(Piutang!$D$2:$D$1751,MATCH($B180,Piutang!$A$2:$A$1751,0)))</f>
        <v/>
      </c>
      <c r="D180" s="4" t="str">
        <f aca="false">IF($B180="","",INDEX(Piutang!$E$2:$E$1751,MATCH($B180,Piutang!$A$2:$A$1751,0)))</f>
        <v/>
      </c>
      <c r="E180" s="6" t="str">
        <f aca="false">IF($B180="","",INDEX(Piutang!$M$2:$M$1751,MATCH($B180,Piutang!$A$2:$A$1751,0)))</f>
        <v/>
      </c>
      <c r="F180" s="4" t="str">
        <f aca="false">IF($B180="","",INDEX(Piutang!$O$2:$O$1751,MATCH($B180,Piutang!$A$2:$A$1751,0)))</f>
        <v/>
      </c>
      <c r="G180" s="44"/>
      <c r="H180" s="45"/>
      <c r="I180" s="47"/>
      <c r="J180" s="4" t="str">
        <f aca="false">IF(G180="","",IF(G180="Janji Bayar",IF(H180="","Isi tgl janji",IF(H180&lt;Catatan!$B$3,"Terlewat - tindak lanjut","Menunggu")),"-"))</f>
        <v/>
      </c>
      <c r="K180" s="44"/>
    </row>
    <row r="181" customFormat="false" ht="15" hidden="false" customHeight="false" outlineLevel="0" collapsed="false">
      <c r="A181" s="45"/>
      <c r="B181" s="44"/>
      <c r="C181" s="4" t="str">
        <f aca="false">IF($B181="","",INDEX(Piutang!$D$2:$D$1751,MATCH($B181,Piutang!$A$2:$A$1751,0)))</f>
        <v/>
      </c>
      <c r="D181" s="4" t="str">
        <f aca="false">IF($B181="","",INDEX(Piutang!$E$2:$E$1751,MATCH($B181,Piutang!$A$2:$A$1751,0)))</f>
        <v/>
      </c>
      <c r="E181" s="6" t="str">
        <f aca="false">IF($B181="","",INDEX(Piutang!$M$2:$M$1751,MATCH($B181,Piutang!$A$2:$A$1751,0)))</f>
        <v/>
      </c>
      <c r="F181" s="4" t="str">
        <f aca="false">IF($B181="","",INDEX(Piutang!$O$2:$O$1751,MATCH($B181,Piutang!$A$2:$A$1751,0)))</f>
        <v/>
      </c>
      <c r="G181" s="44"/>
      <c r="H181" s="45"/>
      <c r="I181" s="47"/>
      <c r="J181" s="4" t="str">
        <f aca="false">IF(G181="","",IF(G181="Janji Bayar",IF(H181="","Isi tgl janji",IF(H181&lt;Catatan!$B$3,"Terlewat - tindak lanjut","Menunggu")),"-"))</f>
        <v/>
      </c>
      <c r="K181" s="44"/>
    </row>
    <row r="182" customFormat="false" ht="15" hidden="false" customHeight="false" outlineLevel="0" collapsed="false">
      <c r="A182" s="45"/>
      <c r="B182" s="44"/>
      <c r="C182" s="4" t="str">
        <f aca="false">IF($B182="","",INDEX(Piutang!$D$2:$D$1751,MATCH($B182,Piutang!$A$2:$A$1751,0)))</f>
        <v/>
      </c>
      <c r="D182" s="4" t="str">
        <f aca="false">IF($B182="","",INDEX(Piutang!$E$2:$E$1751,MATCH($B182,Piutang!$A$2:$A$1751,0)))</f>
        <v/>
      </c>
      <c r="E182" s="6" t="str">
        <f aca="false">IF($B182="","",INDEX(Piutang!$M$2:$M$1751,MATCH($B182,Piutang!$A$2:$A$1751,0)))</f>
        <v/>
      </c>
      <c r="F182" s="4" t="str">
        <f aca="false">IF($B182="","",INDEX(Piutang!$O$2:$O$1751,MATCH($B182,Piutang!$A$2:$A$1751,0)))</f>
        <v/>
      </c>
      <c r="G182" s="44"/>
      <c r="H182" s="45"/>
      <c r="I182" s="47"/>
      <c r="J182" s="4" t="str">
        <f aca="false">IF(G182="","",IF(G182="Janji Bayar",IF(H182="","Isi tgl janji",IF(H182&lt;Catatan!$B$3,"Terlewat - tindak lanjut","Menunggu")),"-"))</f>
        <v/>
      </c>
      <c r="K182" s="44"/>
    </row>
    <row r="183" customFormat="false" ht="15" hidden="false" customHeight="false" outlineLevel="0" collapsed="false">
      <c r="A183" s="45"/>
      <c r="B183" s="44"/>
      <c r="C183" s="4" t="str">
        <f aca="false">IF($B183="","",INDEX(Piutang!$D$2:$D$1751,MATCH($B183,Piutang!$A$2:$A$1751,0)))</f>
        <v/>
      </c>
      <c r="D183" s="4" t="str">
        <f aca="false">IF($B183="","",INDEX(Piutang!$E$2:$E$1751,MATCH($B183,Piutang!$A$2:$A$1751,0)))</f>
        <v/>
      </c>
      <c r="E183" s="6" t="str">
        <f aca="false">IF($B183="","",INDEX(Piutang!$M$2:$M$1751,MATCH($B183,Piutang!$A$2:$A$1751,0)))</f>
        <v/>
      </c>
      <c r="F183" s="4" t="str">
        <f aca="false">IF($B183="","",INDEX(Piutang!$O$2:$O$1751,MATCH($B183,Piutang!$A$2:$A$1751,0)))</f>
        <v/>
      </c>
      <c r="G183" s="44"/>
      <c r="H183" s="45"/>
      <c r="I183" s="47"/>
      <c r="J183" s="4" t="str">
        <f aca="false">IF(G183="","",IF(G183="Janji Bayar",IF(H183="","Isi tgl janji",IF(H183&lt;Catatan!$B$3,"Terlewat - tindak lanjut","Menunggu")),"-"))</f>
        <v/>
      </c>
      <c r="K183" s="44"/>
    </row>
    <row r="184" customFormat="false" ht="15" hidden="false" customHeight="false" outlineLevel="0" collapsed="false">
      <c r="A184" s="45"/>
      <c r="B184" s="44"/>
      <c r="C184" s="4" t="str">
        <f aca="false">IF($B184="","",INDEX(Piutang!$D$2:$D$1751,MATCH($B184,Piutang!$A$2:$A$1751,0)))</f>
        <v/>
      </c>
      <c r="D184" s="4" t="str">
        <f aca="false">IF($B184="","",INDEX(Piutang!$E$2:$E$1751,MATCH($B184,Piutang!$A$2:$A$1751,0)))</f>
        <v/>
      </c>
      <c r="E184" s="6" t="str">
        <f aca="false">IF($B184="","",INDEX(Piutang!$M$2:$M$1751,MATCH($B184,Piutang!$A$2:$A$1751,0)))</f>
        <v/>
      </c>
      <c r="F184" s="4" t="str">
        <f aca="false">IF($B184="","",INDEX(Piutang!$O$2:$O$1751,MATCH($B184,Piutang!$A$2:$A$1751,0)))</f>
        <v/>
      </c>
      <c r="G184" s="44"/>
      <c r="H184" s="45"/>
      <c r="I184" s="47"/>
      <c r="J184" s="4" t="str">
        <f aca="false">IF(G184="","",IF(G184="Janji Bayar",IF(H184="","Isi tgl janji",IF(H184&lt;Catatan!$B$3,"Terlewat - tindak lanjut","Menunggu")),"-"))</f>
        <v/>
      </c>
      <c r="K184" s="44"/>
    </row>
    <row r="185" customFormat="false" ht="15" hidden="false" customHeight="false" outlineLevel="0" collapsed="false">
      <c r="A185" s="45"/>
      <c r="B185" s="44"/>
      <c r="C185" s="4" t="str">
        <f aca="false">IF($B185="","",INDEX(Piutang!$D$2:$D$1751,MATCH($B185,Piutang!$A$2:$A$1751,0)))</f>
        <v/>
      </c>
      <c r="D185" s="4" t="str">
        <f aca="false">IF($B185="","",INDEX(Piutang!$E$2:$E$1751,MATCH($B185,Piutang!$A$2:$A$1751,0)))</f>
        <v/>
      </c>
      <c r="E185" s="6" t="str">
        <f aca="false">IF($B185="","",INDEX(Piutang!$M$2:$M$1751,MATCH($B185,Piutang!$A$2:$A$1751,0)))</f>
        <v/>
      </c>
      <c r="F185" s="4" t="str">
        <f aca="false">IF($B185="","",INDEX(Piutang!$O$2:$O$1751,MATCH($B185,Piutang!$A$2:$A$1751,0)))</f>
        <v/>
      </c>
      <c r="G185" s="44"/>
      <c r="H185" s="45"/>
      <c r="I185" s="47"/>
      <c r="J185" s="4" t="str">
        <f aca="false">IF(G185="","",IF(G185="Janji Bayar",IF(H185="","Isi tgl janji",IF(H185&lt;Catatan!$B$3,"Terlewat - tindak lanjut","Menunggu")),"-"))</f>
        <v/>
      </c>
      <c r="K185" s="44"/>
    </row>
    <row r="186" customFormat="false" ht="15" hidden="false" customHeight="false" outlineLevel="0" collapsed="false">
      <c r="A186" s="45"/>
      <c r="B186" s="44"/>
      <c r="C186" s="4" t="str">
        <f aca="false">IF($B186="","",INDEX(Piutang!$D$2:$D$1751,MATCH($B186,Piutang!$A$2:$A$1751,0)))</f>
        <v/>
      </c>
      <c r="D186" s="4" t="str">
        <f aca="false">IF($B186="","",INDEX(Piutang!$E$2:$E$1751,MATCH($B186,Piutang!$A$2:$A$1751,0)))</f>
        <v/>
      </c>
      <c r="E186" s="6" t="str">
        <f aca="false">IF($B186="","",INDEX(Piutang!$M$2:$M$1751,MATCH($B186,Piutang!$A$2:$A$1751,0)))</f>
        <v/>
      </c>
      <c r="F186" s="4" t="str">
        <f aca="false">IF($B186="","",INDEX(Piutang!$O$2:$O$1751,MATCH($B186,Piutang!$A$2:$A$1751,0)))</f>
        <v/>
      </c>
      <c r="G186" s="44"/>
      <c r="H186" s="45"/>
      <c r="I186" s="47"/>
      <c r="J186" s="4" t="str">
        <f aca="false">IF(G186="","",IF(G186="Janji Bayar",IF(H186="","Isi tgl janji",IF(H186&lt;Catatan!$B$3,"Terlewat - tindak lanjut","Menunggu")),"-"))</f>
        <v/>
      </c>
      <c r="K186" s="44"/>
    </row>
    <row r="187" customFormat="false" ht="15" hidden="false" customHeight="false" outlineLevel="0" collapsed="false">
      <c r="A187" s="45"/>
      <c r="B187" s="44"/>
      <c r="C187" s="4" t="str">
        <f aca="false">IF($B187="","",INDEX(Piutang!$D$2:$D$1751,MATCH($B187,Piutang!$A$2:$A$1751,0)))</f>
        <v/>
      </c>
      <c r="D187" s="4" t="str">
        <f aca="false">IF($B187="","",INDEX(Piutang!$E$2:$E$1751,MATCH($B187,Piutang!$A$2:$A$1751,0)))</f>
        <v/>
      </c>
      <c r="E187" s="6" t="str">
        <f aca="false">IF($B187="","",INDEX(Piutang!$M$2:$M$1751,MATCH($B187,Piutang!$A$2:$A$1751,0)))</f>
        <v/>
      </c>
      <c r="F187" s="4" t="str">
        <f aca="false">IF($B187="","",INDEX(Piutang!$O$2:$O$1751,MATCH($B187,Piutang!$A$2:$A$1751,0)))</f>
        <v/>
      </c>
      <c r="G187" s="44"/>
      <c r="H187" s="45"/>
      <c r="I187" s="47"/>
      <c r="J187" s="4" t="str">
        <f aca="false">IF(G187="","",IF(G187="Janji Bayar",IF(H187="","Isi tgl janji",IF(H187&lt;Catatan!$B$3,"Terlewat - tindak lanjut","Menunggu")),"-"))</f>
        <v/>
      </c>
      <c r="K187" s="44"/>
    </row>
    <row r="188" customFormat="false" ht="15" hidden="false" customHeight="false" outlineLevel="0" collapsed="false">
      <c r="A188" s="45"/>
      <c r="B188" s="44"/>
      <c r="C188" s="4" t="str">
        <f aca="false">IF($B188="","",INDEX(Piutang!$D$2:$D$1751,MATCH($B188,Piutang!$A$2:$A$1751,0)))</f>
        <v/>
      </c>
      <c r="D188" s="4" t="str">
        <f aca="false">IF($B188="","",INDEX(Piutang!$E$2:$E$1751,MATCH($B188,Piutang!$A$2:$A$1751,0)))</f>
        <v/>
      </c>
      <c r="E188" s="6" t="str">
        <f aca="false">IF($B188="","",INDEX(Piutang!$M$2:$M$1751,MATCH($B188,Piutang!$A$2:$A$1751,0)))</f>
        <v/>
      </c>
      <c r="F188" s="4" t="str">
        <f aca="false">IF($B188="","",INDEX(Piutang!$O$2:$O$1751,MATCH($B188,Piutang!$A$2:$A$1751,0)))</f>
        <v/>
      </c>
      <c r="G188" s="44"/>
      <c r="H188" s="45"/>
      <c r="I188" s="47"/>
      <c r="J188" s="4" t="str">
        <f aca="false">IF(G188="","",IF(G188="Janji Bayar",IF(H188="","Isi tgl janji",IF(H188&lt;Catatan!$B$3,"Terlewat - tindak lanjut","Menunggu")),"-"))</f>
        <v/>
      </c>
      <c r="K188" s="44"/>
    </row>
    <row r="189" customFormat="false" ht="15" hidden="false" customHeight="false" outlineLevel="0" collapsed="false">
      <c r="A189" s="45"/>
      <c r="B189" s="44"/>
      <c r="C189" s="4" t="str">
        <f aca="false">IF($B189="","",INDEX(Piutang!$D$2:$D$1751,MATCH($B189,Piutang!$A$2:$A$1751,0)))</f>
        <v/>
      </c>
      <c r="D189" s="4" t="str">
        <f aca="false">IF($B189="","",INDEX(Piutang!$E$2:$E$1751,MATCH($B189,Piutang!$A$2:$A$1751,0)))</f>
        <v/>
      </c>
      <c r="E189" s="6" t="str">
        <f aca="false">IF($B189="","",INDEX(Piutang!$M$2:$M$1751,MATCH($B189,Piutang!$A$2:$A$1751,0)))</f>
        <v/>
      </c>
      <c r="F189" s="4" t="str">
        <f aca="false">IF($B189="","",INDEX(Piutang!$O$2:$O$1751,MATCH($B189,Piutang!$A$2:$A$1751,0)))</f>
        <v/>
      </c>
      <c r="G189" s="44"/>
      <c r="H189" s="45"/>
      <c r="I189" s="47"/>
      <c r="J189" s="4" t="str">
        <f aca="false">IF(G189="","",IF(G189="Janji Bayar",IF(H189="","Isi tgl janji",IF(H189&lt;Catatan!$B$3,"Terlewat - tindak lanjut","Menunggu")),"-"))</f>
        <v/>
      </c>
      <c r="K189" s="44"/>
    </row>
    <row r="190" customFormat="false" ht="15" hidden="false" customHeight="false" outlineLevel="0" collapsed="false">
      <c r="A190" s="45"/>
      <c r="B190" s="44"/>
      <c r="C190" s="4" t="str">
        <f aca="false">IF($B190="","",INDEX(Piutang!$D$2:$D$1751,MATCH($B190,Piutang!$A$2:$A$1751,0)))</f>
        <v/>
      </c>
      <c r="D190" s="4" t="str">
        <f aca="false">IF($B190="","",INDEX(Piutang!$E$2:$E$1751,MATCH($B190,Piutang!$A$2:$A$1751,0)))</f>
        <v/>
      </c>
      <c r="E190" s="6" t="str">
        <f aca="false">IF($B190="","",INDEX(Piutang!$M$2:$M$1751,MATCH($B190,Piutang!$A$2:$A$1751,0)))</f>
        <v/>
      </c>
      <c r="F190" s="4" t="str">
        <f aca="false">IF($B190="","",INDEX(Piutang!$O$2:$O$1751,MATCH($B190,Piutang!$A$2:$A$1751,0)))</f>
        <v/>
      </c>
      <c r="G190" s="44"/>
      <c r="H190" s="45"/>
      <c r="I190" s="47"/>
      <c r="J190" s="4" t="str">
        <f aca="false">IF(G190="","",IF(G190="Janji Bayar",IF(H190="","Isi tgl janji",IF(H190&lt;Catatan!$B$3,"Terlewat - tindak lanjut","Menunggu")),"-"))</f>
        <v/>
      </c>
      <c r="K190" s="44"/>
    </row>
    <row r="191" customFormat="false" ht="15" hidden="false" customHeight="false" outlineLevel="0" collapsed="false">
      <c r="A191" s="45"/>
      <c r="B191" s="44"/>
      <c r="C191" s="4" t="str">
        <f aca="false">IF($B191="","",INDEX(Piutang!$D$2:$D$1751,MATCH($B191,Piutang!$A$2:$A$1751,0)))</f>
        <v/>
      </c>
      <c r="D191" s="4" t="str">
        <f aca="false">IF($B191="","",INDEX(Piutang!$E$2:$E$1751,MATCH($B191,Piutang!$A$2:$A$1751,0)))</f>
        <v/>
      </c>
      <c r="E191" s="6" t="str">
        <f aca="false">IF($B191="","",INDEX(Piutang!$M$2:$M$1751,MATCH($B191,Piutang!$A$2:$A$1751,0)))</f>
        <v/>
      </c>
      <c r="F191" s="4" t="str">
        <f aca="false">IF($B191="","",INDEX(Piutang!$O$2:$O$1751,MATCH($B191,Piutang!$A$2:$A$1751,0)))</f>
        <v/>
      </c>
      <c r="G191" s="44"/>
      <c r="H191" s="45"/>
      <c r="I191" s="47"/>
      <c r="J191" s="4" t="str">
        <f aca="false">IF(G191="","",IF(G191="Janji Bayar",IF(H191="","Isi tgl janji",IF(H191&lt;Catatan!$B$3,"Terlewat - tindak lanjut","Menunggu")),"-"))</f>
        <v/>
      </c>
      <c r="K191" s="44"/>
    </row>
    <row r="192" customFormat="false" ht="15" hidden="false" customHeight="false" outlineLevel="0" collapsed="false">
      <c r="A192" s="45"/>
      <c r="B192" s="44"/>
      <c r="C192" s="4" t="str">
        <f aca="false">IF($B192="","",INDEX(Piutang!$D$2:$D$1751,MATCH($B192,Piutang!$A$2:$A$1751,0)))</f>
        <v/>
      </c>
      <c r="D192" s="4" t="str">
        <f aca="false">IF($B192="","",INDEX(Piutang!$E$2:$E$1751,MATCH($B192,Piutang!$A$2:$A$1751,0)))</f>
        <v/>
      </c>
      <c r="E192" s="6" t="str">
        <f aca="false">IF($B192="","",INDEX(Piutang!$M$2:$M$1751,MATCH($B192,Piutang!$A$2:$A$1751,0)))</f>
        <v/>
      </c>
      <c r="F192" s="4" t="str">
        <f aca="false">IF($B192="","",INDEX(Piutang!$O$2:$O$1751,MATCH($B192,Piutang!$A$2:$A$1751,0)))</f>
        <v/>
      </c>
      <c r="G192" s="44"/>
      <c r="H192" s="45"/>
      <c r="I192" s="47"/>
      <c r="J192" s="4" t="str">
        <f aca="false">IF(G192="","",IF(G192="Janji Bayar",IF(H192="","Isi tgl janji",IF(H192&lt;Catatan!$B$3,"Terlewat - tindak lanjut","Menunggu")),"-"))</f>
        <v/>
      </c>
      <c r="K192" s="44"/>
    </row>
    <row r="193" customFormat="false" ht="15" hidden="false" customHeight="false" outlineLevel="0" collapsed="false">
      <c r="A193" s="45"/>
      <c r="B193" s="44"/>
      <c r="C193" s="4" t="str">
        <f aca="false">IF($B193="","",INDEX(Piutang!$D$2:$D$1751,MATCH($B193,Piutang!$A$2:$A$1751,0)))</f>
        <v/>
      </c>
      <c r="D193" s="4" t="str">
        <f aca="false">IF($B193="","",INDEX(Piutang!$E$2:$E$1751,MATCH($B193,Piutang!$A$2:$A$1751,0)))</f>
        <v/>
      </c>
      <c r="E193" s="6" t="str">
        <f aca="false">IF($B193="","",INDEX(Piutang!$M$2:$M$1751,MATCH($B193,Piutang!$A$2:$A$1751,0)))</f>
        <v/>
      </c>
      <c r="F193" s="4" t="str">
        <f aca="false">IF($B193="","",INDEX(Piutang!$O$2:$O$1751,MATCH($B193,Piutang!$A$2:$A$1751,0)))</f>
        <v/>
      </c>
      <c r="G193" s="44"/>
      <c r="H193" s="45"/>
      <c r="I193" s="47"/>
      <c r="J193" s="4" t="str">
        <f aca="false">IF(G193="","",IF(G193="Janji Bayar",IF(H193="","Isi tgl janji",IF(H193&lt;Catatan!$B$3,"Terlewat - tindak lanjut","Menunggu")),"-"))</f>
        <v/>
      </c>
      <c r="K193" s="44"/>
    </row>
    <row r="194" customFormat="false" ht="15" hidden="false" customHeight="false" outlineLevel="0" collapsed="false">
      <c r="A194" s="45"/>
      <c r="B194" s="44"/>
      <c r="C194" s="4" t="str">
        <f aca="false">IF($B194="","",INDEX(Piutang!$D$2:$D$1751,MATCH($B194,Piutang!$A$2:$A$1751,0)))</f>
        <v/>
      </c>
      <c r="D194" s="4" t="str">
        <f aca="false">IF($B194="","",INDEX(Piutang!$E$2:$E$1751,MATCH($B194,Piutang!$A$2:$A$1751,0)))</f>
        <v/>
      </c>
      <c r="E194" s="6" t="str">
        <f aca="false">IF($B194="","",INDEX(Piutang!$M$2:$M$1751,MATCH($B194,Piutang!$A$2:$A$1751,0)))</f>
        <v/>
      </c>
      <c r="F194" s="4" t="str">
        <f aca="false">IF($B194="","",INDEX(Piutang!$O$2:$O$1751,MATCH($B194,Piutang!$A$2:$A$1751,0)))</f>
        <v/>
      </c>
      <c r="G194" s="44"/>
      <c r="H194" s="45"/>
      <c r="I194" s="47"/>
      <c r="J194" s="4" t="str">
        <f aca="false">IF(G194="","",IF(G194="Janji Bayar",IF(H194="","Isi tgl janji",IF(H194&lt;Catatan!$B$3,"Terlewat - tindak lanjut","Menunggu")),"-"))</f>
        <v/>
      </c>
      <c r="K194" s="44"/>
    </row>
    <row r="195" customFormat="false" ht="15" hidden="false" customHeight="false" outlineLevel="0" collapsed="false">
      <c r="A195" s="45"/>
      <c r="B195" s="44"/>
      <c r="C195" s="4" t="str">
        <f aca="false">IF($B195="","",INDEX(Piutang!$D$2:$D$1751,MATCH($B195,Piutang!$A$2:$A$1751,0)))</f>
        <v/>
      </c>
      <c r="D195" s="4" t="str">
        <f aca="false">IF($B195="","",INDEX(Piutang!$E$2:$E$1751,MATCH($B195,Piutang!$A$2:$A$1751,0)))</f>
        <v/>
      </c>
      <c r="E195" s="6" t="str">
        <f aca="false">IF($B195="","",INDEX(Piutang!$M$2:$M$1751,MATCH($B195,Piutang!$A$2:$A$1751,0)))</f>
        <v/>
      </c>
      <c r="F195" s="4" t="str">
        <f aca="false">IF($B195="","",INDEX(Piutang!$O$2:$O$1751,MATCH($B195,Piutang!$A$2:$A$1751,0)))</f>
        <v/>
      </c>
      <c r="G195" s="44"/>
      <c r="H195" s="45"/>
      <c r="I195" s="47"/>
      <c r="J195" s="4" t="str">
        <f aca="false">IF(G195="","",IF(G195="Janji Bayar",IF(H195="","Isi tgl janji",IF(H195&lt;Catatan!$B$3,"Terlewat - tindak lanjut","Menunggu")),"-"))</f>
        <v/>
      </c>
      <c r="K195" s="44"/>
    </row>
    <row r="196" customFormat="false" ht="15" hidden="false" customHeight="false" outlineLevel="0" collapsed="false">
      <c r="A196" s="45"/>
      <c r="B196" s="44"/>
      <c r="C196" s="4" t="str">
        <f aca="false">IF($B196="","",INDEX(Piutang!$D$2:$D$1751,MATCH($B196,Piutang!$A$2:$A$1751,0)))</f>
        <v/>
      </c>
      <c r="D196" s="4" t="str">
        <f aca="false">IF($B196="","",INDEX(Piutang!$E$2:$E$1751,MATCH($B196,Piutang!$A$2:$A$1751,0)))</f>
        <v/>
      </c>
      <c r="E196" s="6" t="str">
        <f aca="false">IF($B196="","",INDEX(Piutang!$M$2:$M$1751,MATCH($B196,Piutang!$A$2:$A$1751,0)))</f>
        <v/>
      </c>
      <c r="F196" s="4" t="str">
        <f aca="false">IF($B196="","",INDEX(Piutang!$O$2:$O$1751,MATCH($B196,Piutang!$A$2:$A$1751,0)))</f>
        <v/>
      </c>
      <c r="G196" s="44"/>
      <c r="H196" s="45"/>
      <c r="I196" s="47"/>
      <c r="J196" s="4" t="str">
        <f aca="false">IF(G196="","",IF(G196="Janji Bayar",IF(H196="","Isi tgl janji",IF(H196&lt;Catatan!$B$3,"Terlewat - tindak lanjut","Menunggu")),"-"))</f>
        <v/>
      </c>
      <c r="K196" s="44"/>
    </row>
    <row r="197" customFormat="false" ht="15" hidden="false" customHeight="false" outlineLevel="0" collapsed="false">
      <c r="A197" s="45"/>
      <c r="B197" s="44"/>
      <c r="C197" s="4" t="str">
        <f aca="false">IF($B197="","",INDEX(Piutang!$D$2:$D$1751,MATCH($B197,Piutang!$A$2:$A$1751,0)))</f>
        <v/>
      </c>
      <c r="D197" s="4" t="str">
        <f aca="false">IF($B197="","",INDEX(Piutang!$E$2:$E$1751,MATCH($B197,Piutang!$A$2:$A$1751,0)))</f>
        <v/>
      </c>
      <c r="E197" s="6" t="str">
        <f aca="false">IF($B197="","",INDEX(Piutang!$M$2:$M$1751,MATCH($B197,Piutang!$A$2:$A$1751,0)))</f>
        <v/>
      </c>
      <c r="F197" s="4" t="str">
        <f aca="false">IF($B197="","",INDEX(Piutang!$O$2:$O$1751,MATCH($B197,Piutang!$A$2:$A$1751,0)))</f>
        <v/>
      </c>
      <c r="G197" s="44"/>
      <c r="H197" s="45"/>
      <c r="I197" s="47"/>
      <c r="J197" s="4" t="str">
        <f aca="false">IF(G197="","",IF(G197="Janji Bayar",IF(H197="","Isi tgl janji",IF(H197&lt;Catatan!$B$3,"Terlewat - tindak lanjut","Menunggu")),"-"))</f>
        <v/>
      </c>
      <c r="K197" s="44"/>
    </row>
    <row r="198" customFormat="false" ht="15" hidden="false" customHeight="false" outlineLevel="0" collapsed="false">
      <c r="A198" s="45"/>
      <c r="B198" s="44"/>
      <c r="C198" s="4" t="str">
        <f aca="false">IF($B198="","",INDEX(Piutang!$D$2:$D$1751,MATCH($B198,Piutang!$A$2:$A$1751,0)))</f>
        <v/>
      </c>
      <c r="D198" s="4" t="str">
        <f aca="false">IF($B198="","",INDEX(Piutang!$E$2:$E$1751,MATCH($B198,Piutang!$A$2:$A$1751,0)))</f>
        <v/>
      </c>
      <c r="E198" s="6" t="str">
        <f aca="false">IF($B198="","",INDEX(Piutang!$M$2:$M$1751,MATCH($B198,Piutang!$A$2:$A$1751,0)))</f>
        <v/>
      </c>
      <c r="F198" s="4" t="str">
        <f aca="false">IF($B198="","",INDEX(Piutang!$O$2:$O$1751,MATCH($B198,Piutang!$A$2:$A$1751,0)))</f>
        <v/>
      </c>
      <c r="G198" s="44"/>
      <c r="H198" s="45"/>
      <c r="I198" s="47"/>
      <c r="J198" s="4" t="str">
        <f aca="false">IF(G198="","",IF(G198="Janji Bayar",IF(H198="","Isi tgl janji",IF(H198&lt;Catatan!$B$3,"Terlewat - tindak lanjut","Menunggu")),"-"))</f>
        <v/>
      </c>
      <c r="K198" s="44"/>
    </row>
    <row r="199" customFormat="false" ht="15" hidden="false" customHeight="false" outlineLevel="0" collapsed="false">
      <c r="A199" s="45"/>
      <c r="B199" s="44"/>
      <c r="C199" s="4" t="str">
        <f aca="false">IF($B199="","",INDEX(Piutang!$D$2:$D$1751,MATCH($B199,Piutang!$A$2:$A$1751,0)))</f>
        <v/>
      </c>
      <c r="D199" s="4" t="str">
        <f aca="false">IF($B199="","",INDEX(Piutang!$E$2:$E$1751,MATCH($B199,Piutang!$A$2:$A$1751,0)))</f>
        <v/>
      </c>
      <c r="E199" s="6" t="str">
        <f aca="false">IF($B199="","",INDEX(Piutang!$M$2:$M$1751,MATCH($B199,Piutang!$A$2:$A$1751,0)))</f>
        <v/>
      </c>
      <c r="F199" s="4" t="str">
        <f aca="false">IF($B199="","",INDEX(Piutang!$O$2:$O$1751,MATCH($B199,Piutang!$A$2:$A$1751,0)))</f>
        <v/>
      </c>
      <c r="G199" s="44"/>
      <c r="H199" s="45"/>
      <c r="I199" s="47"/>
      <c r="J199" s="4" t="str">
        <f aca="false">IF(G199="","",IF(G199="Janji Bayar",IF(H199="","Isi tgl janji",IF(H199&lt;Catatan!$B$3,"Terlewat - tindak lanjut","Menunggu")),"-"))</f>
        <v/>
      </c>
      <c r="K199" s="44"/>
    </row>
    <row r="200" customFormat="false" ht="15" hidden="false" customHeight="false" outlineLevel="0" collapsed="false">
      <c r="A200" s="45"/>
      <c r="B200" s="44"/>
      <c r="C200" s="4" t="str">
        <f aca="false">IF($B200="","",INDEX(Piutang!$D$2:$D$1751,MATCH($B200,Piutang!$A$2:$A$1751,0)))</f>
        <v/>
      </c>
      <c r="D200" s="4" t="str">
        <f aca="false">IF($B200="","",INDEX(Piutang!$E$2:$E$1751,MATCH($B200,Piutang!$A$2:$A$1751,0)))</f>
        <v/>
      </c>
      <c r="E200" s="6" t="str">
        <f aca="false">IF($B200="","",INDEX(Piutang!$M$2:$M$1751,MATCH($B200,Piutang!$A$2:$A$1751,0)))</f>
        <v/>
      </c>
      <c r="F200" s="4" t="str">
        <f aca="false">IF($B200="","",INDEX(Piutang!$O$2:$O$1751,MATCH($B200,Piutang!$A$2:$A$1751,0)))</f>
        <v/>
      </c>
      <c r="G200" s="44"/>
      <c r="H200" s="45"/>
      <c r="I200" s="47"/>
      <c r="J200" s="4" t="str">
        <f aca="false">IF(G200="","",IF(G200="Janji Bayar",IF(H200="","Isi tgl janji",IF(H200&lt;Catatan!$B$3,"Terlewat - tindak lanjut","Menunggu")),"-"))</f>
        <v/>
      </c>
      <c r="K200" s="44"/>
    </row>
  </sheetData>
  <conditionalFormatting sqref="J5:J200">
    <cfRule type="expression" priority="2" aboveAverage="0" equalAverage="0" bottom="0" percent="0" rank="0" text="" dxfId="0">
      <formula>LEFT(J5,7)="Terlewa"</formula>
    </cfRule>
    <cfRule type="cellIs" priority="3" operator="equal" aboveAverage="0" equalAverage="0" bottom="0" percent="0" rank="0" text="" dxfId="1">
      <formula>"Menunggu"</formula>
    </cfRule>
  </conditionalFormatting>
  <dataValidations count="2">
    <dataValidation allowBlank="true" errorStyle="stop" operator="between" showDropDown="false" showErrorMessage="false" showInputMessage="false" sqref="G5:G200" type="list">
      <formula1>"Lunas,Bayar Sebagian,Janji Bayar,Tidak Ketemu,Tukar Faktur,Minta Keringanan"</formula1>
      <formula2>0</formula2>
    </dataValidation>
    <dataValidation allowBlank="true" errorStyle="stop" operator="between" showDropDown="false" showErrorMessage="false" showInputMessage="false" sqref="B5:B200" type="list">
      <formula1>Piutang!$A$2:$A$1751</formula1>
      <formula2>0</formula2>
    </dataValidation>
  </dataValidations>
  <printOptions headings="false" gridLines="false" gridLinesSet="true" horizontalCentered="false" verticalCentered="false"/>
  <pageMargins left="0.5" right="0.5" top="0.6" bottom="0.6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Data sintetis - portofolio&amp;C&amp;8 Halaman &amp;P dari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17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0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9"/>
    <col collapsed="false" customWidth="true" hidden="false" outlineLevel="0" max="9" min="8" style="0" width="11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11"/>
    <col collapsed="false" customWidth="true" hidden="false" outlineLevel="0" max="13" min="13" style="0" width="16"/>
    <col collapsed="false" customWidth="true" hidden="false" outlineLevel="0" max="14" min="14" style="0" width="12"/>
    <col collapsed="false" customWidth="true" hidden="false" outlineLevel="0" max="15" min="15" style="0" width="10"/>
    <col collapsed="false" customWidth="true" hidden="false" outlineLevel="0" max="16" min="16" style="0" width="17"/>
    <col collapsed="false" customWidth="true" hidden="false" outlineLevel="0" max="17" min="17" style="0" width="48"/>
    <col collapsed="false" customWidth="true" hidden="false" outlineLevel="0" max="18" min="18" style="0" width="13"/>
    <col collapsed="false" customWidth="true" hidden="false" outlineLevel="0" max="20" min="19" style="0" width="16"/>
  </cols>
  <sheetData>
    <row r="1" customFormat="false" ht="31.5" hidden="false" customHeight="true" outlineLevel="0" collapsed="false">
      <c r="A1" s="3" t="s">
        <v>103</v>
      </c>
      <c r="B1" s="3" t="s">
        <v>87</v>
      </c>
      <c r="C1" s="3" t="s">
        <v>156</v>
      </c>
      <c r="D1" s="3" t="s">
        <v>35</v>
      </c>
      <c r="E1" s="3" t="s">
        <v>23</v>
      </c>
      <c r="F1" s="3" t="s">
        <v>62</v>
      </c>
      <c r="G1" s="3" t="s">
        <v>52</v>
      </c>
      <c r="H1" s="3" t="s">
        <v>89</v>
      </c>
      <c r="I1" s="3" t="s">
        <v>157</v>
      </c>
      <c r="J1" s="3" t="s">
        <v>106</v>
      </c>
      <c r="K1" s="3" t="s">
        <v>158</v>
      </c>
      <c r="L1" s="3" t="s">
        <v>159</v>
      </c>
      <c r="M1" s="3" t="s">
        <v>4</v>
      </c>
      <c r="N1" s="3" t="s">
        <v>160</v>
      </c>
      <c r="O1" s="3" t="s">
        <v>104</v>
      </c>
      <c r="P1" s="3" t="s">
        <v>3</v>
      </c>
      <c r="Q1" s="3" t="s">
        <v>161</v>
      </c>
      <c r="R1" s="3" t="s">
        <v>162</v>
      </c>
      <c r="S1" s="3" t="s">
        <v>163</v>
      </c>
      <c r="T1" s="3" t="s">
        <v>164</v>
      </c>
    </row>
    <row r="2" customFormat="false" ht="15" hidden="false" customHeight="false" outlineLevel="0" collapsed="false">
      <c r="A2" s="50" t="s">
        <v>165</v>
      </c>
      <c r="B2" s="51" t="n">
        <v>45659</v>
      </c>
      <c r="C2" s="50" t="s">
        <v>166</v>
      </c>
      <c r="D2" s="39" t="str">
        <f aca="false">INDEX(Master_Customer!$B$2:$B$126,MATCH(C2,Master_Customer!$A$2:$A$126,0))</f>
        <v>SENTOSA SERVICE</v>
      </c>
      <c r="E2" s="50" t="s">
        <v>30</v>
      </c>
      <c r="F2" s="52" t="n">
        <f aca="false">SUMIFS(Data_Penjualan!$G$2:$G$5998,Data_Penjualan!$A$2:$A$5998,A2)</f>
        <v>9951500</v>
      </c>
      <c r="G2" s="39" t="n">
        <f aca="false">IF(E2="KANTOR",0,INDEX(Master_Customer!$C$2:$C$126,MATCH(C2,Master_Customer!$A$2:$A$126,0)))</f>
        <v>0</v>
      </c>
      <c r="H2" s="53" t="n">
        <f aca="false">B2+G2</f>
        <v>45659</v>
      </c>
      <c r="J2" s="39" t="str">
        <f aca="false">IF(G2=0,"Tunai",IF(I2="","Belum ditukar","Sudah ditukar"))</f>
        <v>Tunai</v>
      </c>
      <c r="K2" s="54" t="n">
        <v>9951500</v>
      </c>
      <c r="L2" s="51" t="n">
        <v>45659</v>
      </c>
      <c r="M2" s="52" t="n">
        <f aca="false">F2-K2</f>
        <v>0</v>
      </c>
      <c r="N2" s="39" t="str">
        <f aca="false">IF(M2&lt;=0,"Lunas",IF(K2&gt;0,"Sebagian","Belum Bayar"))</f>
        <v>Lunas</v>
      </c>
      <c r="O2" s="39" t="n">
        <f aca="false">IF(M2&gt;0,MAX(0,Catatan!$B$3-H2),0)</f>
        <v>0</v>
      </c>
      <c r="P2" s="39" t="str">
        <f aca="false">IF(M2&lt;=0,"Lunas",IF(Catatan!$B$3&lt;=H2,"Belum Jatuh Tempo",IF(O2&lt;=30,"1-30 hari",IF(O2&lt;=60,"31-60 hari",IF(O2&lt;=90,"61-90 hari","90+ hari")))))</f>
        <v>Lunas</v>
      </c>
      <c r="Q2" s="50"/>
      <c r="R2" s="39" t="str">
        <f aca="false">IF(M2&lt;=0,"",IF(O2&gt;60,"1-Tinggi",IF(O2&gt;30,"2-Sedang",IF(O2&gt;0,"3-Rendah","4-Pantau"))))</f>
        <v/>
      </c>
      <c r="S2" s="39" t="str">
        <f aca="false">IF(AND(M2&gt;0,O2&gt;0),O2+M2/1000000000000+ROW()/1000000000000000,"")</f>
        <v/>
      </c>
      <c r="T2" s="39" t="str">
        <f aca="false">IF(J2="Belum ditukar",ROW(),"")</f>
        <v/>
      </c>
    </row>
    <row r="3" customFormat="false" ht="15" hidden="false" customHeight="false" outlineLevel="0" collapsed="false">
      <c r="A3" s="50" t="s">
        <v>167</v>
      </c>
      <c r="B3" s="51" t="n">
        <v>45659</v>
      </c>
      <c r="C3" s="50" t="s">
        <v>168</v>
      </c>
      <c r="D3" s="39" t="str">
        <f aca="false">INDEX(Master_Customer!$B$2:$B$126,MATCH(C3,Master_Customer!$A$2:$A$126,0))</f>
        <v>JAYA LUBRICANT</v>
      </c>
      <c r="E3" s="50" t="s">
        <v>29</v>
      </c>
      <c r="F3" s="52" t="n">
        <f aca="false">SUMIFS(Data_Penjualan!$G$2:$G$5998,Data_Penjualan!$A$2:$A$5998,A3)</f>
        <v>14221500</v>
      </c>
      <c r="G3" s="39" t="n">
        <f aca="false">IF(E3="KANTOR",0,INDEX(Master_Customer!$C$2:$C$126,MATCH(C3,Master_Customer!$A$2:$A$126,0)))</f>
        <v>0</v>
      </c>
      <c r="H3" s="53" t="n">
        <f aca="false">B3+G3</f>
        <v>45659</v>
      </c>
      <c r="J3" s="39" t="str">
        <f aca="false">IF(G3=0,"Tunai",IF(I3="","Belum ditukar","Sudah ditukar"))</f>
        <v>Tunai</v>
      </c>
      <c r="K3" s="54" t="n">
        <v>14221500</v>
      </c>
      <c r="L3" s="51" t="n">
        <v>45659</v>
      </c>
      <c r="M3" s="52" t="n">
        <f aca="false">F3-K3</f>
        <v>0</v>
      </c>
      <c r="N3" s="39" t="str">
        <f aca="false">IF(M3&lt;=0,"Lunas",IF(K3&gt;0,"Sebagian","Belum Bayar"))</f>
        <v>Lunas</v>
      </c>
      <c r="O3" s="39" t="n">
        <f aca="false">IF(M3&gt;0,MAX(0,Catatan!$B$3-H3),0)</f>
        <v>0</v>
      </c>
      <c r="P3" s="39" t="str">
        <f aca="false">IF(M3&lt;=0,"Lunas",IF(Catatan!$B$3&lt;=H3,"Belum Jatuh Tempo",IF(O3&lt;=30,"1-30 hari",IF(O3&lt;=60,"31-60 hari",IF(O3&lt;=90,"61-90 hari","90+ hari")))))</f>
        <v>Lunas</v>
      </c>
      <c r="Q3" s="50"/>
      <c r="R3" s="39" t="str">
        <f aca="false">IF(M3&lt;=0,"",IF(O3&gt;60,"1-Tinggi",IF(O3&gt;30,"2-Sedang",IF(O3&gt;0,"3-Rendah","4-Pantau"))))</f>
        <v/>
      </c>
      <c r="S3" s="39" t="str">
        <f aca="false">IF(AND(M3&gt;0,O3&gt;0),O3+M3/1000000000000+ROW()/1000000000000000,"")</f>
        <v/>
      </c>
      <c r="T3" s="39" t="str">
        <f aca="false">IF(J3="Belum ditukar",ROW(),"")</f>
        <v/>
      </c>
    </row>
    <row r="4" customFormat="false" ht="15" hidden="false" customHeight="false" outlineLevel="0" collapsed="false">
      <c r="A4" s="50" t="s">
        <v>169</v>
      </c>
      <c r="B4" s="51" t="n">
        <v>45660</v>
      </c>
      <c r="C4" s="50" t="s">
        <v>170</v>
      </c>
      <c r="D4" s="39" t="str">
        <f aca="false">INDEX(Master_Customer!$B$2:$B$126,MATCH(C4,Master_Customer!$A$2:$A$126,0))</f>
        <v>HARAPAN MOTOR</v>
      </c>
      <c r="E4" s="50" t="s">
        <v>30</v>
      </c>
      <c r="F4" s="52" t="n">
        <f aca="false">SUMIFS(Data_Penjualan!$G$2:$G$5998,Data_Penjualan!$A$2:$A$5998,A4)</f>
        <v>12373200</v>
      </c>
      <c r="G4" s="39" t="n">
        <f aca="false">IF(E4="KANTOR",0,INDEX(Master_Customer!$C$2:$C$126,MATCH(C4,Master_Customer!$A$2:$A$126,0)))</f>
        <v>45</v>
      </c>
      <c r="H4" s="53" t="n">
        <f aca="false">B4+G4</f>
        <v>45705</v>
      </c>
      <c r="I4" s="51" t="n">
        <v>45665</v>
      </c>
      <c r="J4" s="39" t="str">
        <f aca="false">IF(G4=0,"Tunai",IF(I4="","Belum ditukar","Sudah ditukar"))</f>
        <v>Sudah ditukar</v>
      </c>
      <c r="K4" s="54" t="n">
        <v>12373200</v>
      </c>
      <c r="L4" s="51" t="n">
        <v>45710</v>
      </c>
      <c r="M4" s="52" t="n">
        <f aca="false">F4-K4</f>
        <v>0</v>
      </c>
      <c r="N4" s="39" t="str">
        <f aca="false">IF(M4&lt;=0,"Lunas",IF(K4&gt;0,"Sebagian","Belum Bayar"))</f>
        <v>Lunas</v>
      </c>
      <c r="O4" s="39" t="n">
        <f aca="false">IF(M4&gt;0,MAX(0,Catatan!$B$3-H4),0)</f>
        <v>0</v>
      </c>
      <c r="P4" s="39" t="str">
        <f aca="false">IF(M4&lt;=0,"Lunas",IF(Catatan!$B$3&lt;=H4,"Belum Jatuh Tempo",IF(O4&lt;=30,"1-30 hari",IF(O4&lt;=60,"31-60 hari",IF(O4&lt;=90,"61-90 hari","90+ hari")))))</f>
        <v>Lunas</v>
      </c>
      <c r="Q4" s="50"/>
      <c r="R4" s="39" t="str">
        <f aca="false">IF(M4&lt;=0,"",IF(O4&gt;60,"1-Tinggi",IF(O4&gt;30,"2-Sedang",IF(O4&gt;0,"3-Rendah","4-Pantau"))))</f>
        <v/>
      </c>
      <c r="S4" s="39" t="str">
        <f aca="false">IF(AND(M4&gt;0,O4&gt;0),O4+M4/1000000000000+ROW()/1000000000000000,"")</f>
        <v/>
      </c>
      <c r="T4" s="39" t="str">
        <f aca="false">IF(J4="Belum ditukar",ROW(),"")</f>
        <v/>
      </c>
    </row>
    <row r="5" customFormat="false" ht="15" hidden="false" customHeight="false" outlineLevel="0" collapsed="false">
      <c r="A5" s="50" t="s">
        <v>171</v>
      </c>
      <c r="B5" s="51" t="n">
        <v>45660</v>
      </c>
      <c r="C5" s="50" t="s">
        <v>172</v>
      </c>
      <c r="D5" s="39" t="str">
        <f aca="false">INDEX(Master_Customer!$B$2:$B$126,MATCH(C5,Master_Customer!$A$2:$A$126,0))</f>
        <v>SURYA GARAGE MITRA</v>
      </c>
      <c r="E5" s="50" t="s">
        <v>31</v>
      </c>
      <c r="F5" s="52" t="n">
        <f aca="false">SUMIFS(Data_Penjualan!$G$2:$G$5998,Data_Penjualan!$A$2:$A$5998,A5)</f>
        <v>17833500</v>
      </c>
      <c r="G5" s="39" t="n">
        <f aca="false">IF(E5="KANTOR",0,INDEX(Master_Customer!$C$2:$C$126,MATCH(C5,Master_Customer!$A$2:$A$126,0)))</f>
        <v>30</v>
      </c>
      <c r="H5" s="53" t="n">
        <f aca="false">B5+G5</f>
        <v>45690</v>
      </c>
      <c r="I5" s="51" t="n">
        <v>45663</v>
      </c>
      <c r="J5" s="39" t="str">
        <f aca="false">IF(G5=0,"Tunai",IF(I5="","Belum ditukar","Sudah ditukar"))</f>
        <v>Sudah ditukar</v>
      </c>
      <c r="K5" s="54" t="n">
        <v>17833500</v>
      </c>
      <c r="L5" s="51" t="n">
        <v>45691</v>
      </c>
      <c r="M5" s="52" t="n">
        <f aca="false">F5-K5</f>
        <v>0</v>
      </c>
      <c r="N5" s="39" t="str">
        <f aca="false">IF(M5&lt;=0,"Lunas",IF(K5&gt;0,"Sebagian","Belum Bayar"))</f>
        <v>Lunas</v>
      </c>
      <c r="O5" s="39" t="n">
        <f aca="false">IF(M5&gt;0,MAX(0,Catatan!$B$3-H5),0)</f>
        <v>0</v>
      </c>
      <c r="P5" s="39" t="str">
        <f aca="false">IF(M5&lt;=0,"Lunas",IF(Catatan!$B$3&lt;=H5,"Belum Jatuh Tempo",IF(O5&lt;=30,"1-30 hari",IF(O5&lt;=60,"31-60 hari",IF(O5&lt;=90,"61-90 hari","90+ hari")))))</f>
        <v>Lunas</v>
      </c>
      <c r="Q5" s="50"/>
      <c r="R5" s="39" t="str">
        <f aca="false">IF(M5&lt;=0,"",IF(O5&gt;60,"1-Tinggi",IF(O5&gt;30,"2-Sedang",IF(O5&gt;0,"3-Rendah","4-Pantau"))))</f>
        <v/>
      </c>
      <c r="S5" s="39" t="str">
        <f aca="false">IF(AND(M5&gt;0,O5&gt;0),O5+M5/1000000000000+ROW()/1000000000000000,"")</f>
        <v/>
      </c>
      <c r="T5" s="39" t="str">
        <f aca="false">IF(J5="Belum ditukar",ROW(),"")</f>
        <v/>
      </c>
    </row>
    <row r="6" customFormat="false" ht="15" hidden="false" customHeight="false" outlineLevel="0" collapsed="false">
      <c r="A6" s="50" t="s">
        <v>173</v>
      </c>
      <c r="B6" s="51" t="n">
        <v>45660</v>
      </c>
      <c r="C6" s="50" t="s">
        <v>174</v>
      </c>
      <c r="D6" s="39" t="str">
        <f aca="false">INDEX(Master_Customer!$B$2:$B$126,MATCH(C6,Master_Customer!$A$2:$A$126,0))</f>
        <v>SUMBER TEKNIK SURYA</v>
      </c>
      <c r="E6" s="50" t="s">
        <v>31</v>
      </c>
      <c r="F6" s="52" t="n">
        <f aca="false">SUMIFS(Data_Penjualan!$G$2:$G$5998,Data_Penjualan!$A$2:$A$5998,A6)</f>
        <v>846800</v>
      </c>
      <c r="G6" s="39" t="n">
        <f aca="false">IF(E6="KANTOR",0,INDEX(Master_Customer!$C$2:$C$126,MATCH(C6,Master_Customer!$A$2:$A$126,0)))</f>
        <v>30</v>
      </c>
      <c r="H6" s="53" t="n">
        <f aca="false">B6+G6</f>
        <v>45690</v>
      </c>
      <c r="I6" s="51" t="n">
        <v>45665</v>
      </c>
      <c r="J6" s="39" t="str">
        <f aca="false">IF(G6=0,"Tunai",IF(I6="","Belum ditukar","Sudah ditukar"))</f>
        <v>Sudah ditukar</v>
      </c>
      <c r="K6" s="54" t="n">
        <v>846800</v>
      </c>
      <c r="L6" s="51" t="n">
        <v>45690</v>
      </c>
      <c r="M6" s="52" t="n">
        <f aca="false">F6-K6</f>
        <v>0</v>
      </c>
      <c r="N6" s="39" t="str">
        <f aca="false">IF(M6&lt;=0,"Lunas",IF(K6&gt;0,"Sebagian","Belum Bayar"))</f>
        <v>Lunas</v>
      </c>
      <c r="O6" s="39" t="n">
        <f aca="false">IF(M6&gt;0,MAX(0,Catatan!$B$3-H6),0)</f>
        <v>0</v>
      </c>
      <c r="P6" s="39" t="str">
        <f aca="false">IF(M6&lt;=0,"Lunas",IF(Catatan!$B$3&lt;=H6,"Belum Jatuh Tempo",IF(O6&lt;=30,"1-30 hari",IF(O6&lt;=60,"31-60 hari",IF(O6&lt;=90,"61-90 hari","90+ hari")))))</f>
        <v>Lunas</v>
      </c>
      <c r="Q6" s="50"/>
      <c r="R6" s="39" t="str">
        <f aca="false">IF(M6&lt;=0,"",IF(O6&gt;60,"1-Tinggi",IF(O6&gt;30,"2-Sedang",IF(O6&gt;0,"3-Rendah","4-Pantau"))))</f>
        <v/>
      </c>
      <c r="S6" s="39" t="str">
        <f aca="false">IF(AND(M6&gt;0,O6&gt;0),O6+M6/1000000000000+ROW()/1000000000000000,"")</f>
        <v/>
      </c>
      <c r="T6" s="39" t="str">
        <f aca="false">IF(J6="Belum ditukar",ROW(),"")</f>
        <v/>
      </c>
    </row>
    <row r="7" customFormat="false" ht="15" hidden="false" customHeight="false" outlineLevel="0" collapsed="false">
      <c r="A7" s="50" t="s">
        <v>175</v>
      </c>
      <c r="B7" s="51" t="n">
        <v>45660</v>
      </c>
      <c r="C7" s="50" t="s">
        <v>166</v>
      </c>
      <c r="D7" s="39" t="str">
        <f aca="false">INDEX(Master_Customer!$B$2:$B$126,MATCH(C7,Master_Customer!$A$2:$A$126,0))</f>
        <v>SENTOSA SERVICE</v>
      </c>
      <c r="E7" s="50" t="s">
        <v>30</v>
      </c>
      <c r="F7" s="52" t="n">
        <f aca="false">SUMIFS(Data_Penjualan!$G$2:$G$5998,Data_Penjualan!$A$2:$A$5998,A7)</f>
        <v>11911100</v>
      </c>
      <c r="G7" s="39" t="n">
        <f aca="false">IF(E7="KANTOR",0,INDEX(Master_Customer!$C$2:$C$126,MATCH(C7,Master_Customer!$A$2:$A$126,0)))</f>
        <v>0</v>
      </c>
      <c r="H7" s="53" t="n">
        <f aca="false">B7+G7</f>
        <v>45660</v>
      </c>
      <c r="J7" s="39" t="str">
        <f aca="false">IF(G7=0,"Tunai",IF(I7="","Belum ditukar","Sudah ditukar"))</f>
        <v>Tunai</v>
      </c>
      <c r="K7" s="54" t="n">
        <v>11911100</v>
      </c>
      <c r="L7" s="51" t="n">
        <v>45662</v>
      </c>
      <c r="M7" s="52" t="n">
        <f aca="false">F7-K7</f>
        <v>0</v>
      </c>
      <c r="N7" s="39" t="str">
        <f aca="false">IF(M7&lt;=0,"Lunas",IF(K7&gt;0,"Sebagian","Belum Bayar"))</f>
        <v>Lunas</v>
      </c>
      <c r="O7" s="39" t="n">
        <f aca="false">IF(M7&gt;0,MAX(0,Catatan!$B$3-H7),0)</f>
        <v>0</v>
      </c>
      <c r="P7" s="39" t="str">
        <f aca="false">IF(M7&lt;=0,"Lunas",IF(Catatan!$B$3&lt;=H7,"Belum Jatuh Tempo",IF(O7&lt;=30,"1-30 hari",IF(O7&lt;=60,"31-60 hari",IF(O7&lt;=90,"61-90 hari","90+ hari")))))</f>
        <v>Lunas</v>
      </c>
      <c r="Q7" s="50"/>
      <c r="R7" s="39" t="str">
        <f aca="false">IF(M7&lt;=0,"",IF(O7&gt;60,"1-Tinggi",IF(O7&gt;30,"2-Sedang",IF(O7&gt;0,"3-Rendah","4-Pantau"))))</f>
        <v/>
      </c>
      <c r="S7" s="39" t="str">
        <f aca="false">IF(AND(M7&gt;0,O7&gt;0),O7+M7/1000000000000+ROW()/1000000000000000,"")</f>
        <v/>
      </c>
      <c r="T7" s="39" t="str">
        <f aca="false">IF(J7="Belum ditukar",ROW(),"")</f>
        <v/>
      </c>
    </row>
    <row r="8" customFormat="false" ht="15" hidden="false" customHeight="false" outlineLevel="0" collapsed="false">
      <c r="A8" s="50" t="s">
        <v>176</v>
      </c>
      <c r="B8" s="51" t="n">
        <v>45660</v>
      </c>
      <c r="C8" s="50" t="s">
        <v>177</v>
      </c>
      <c r="D8" s="39" t="str">
        <f aca="false">INDEX(Master_Customer!$B$2:$B$126,MATCH(C8,Master_Customer!$A$2:$A$126,0))</f>
        <v>PRIMA MOTOR LANCAR</v>
      </c>
      <c r="E8" s="50" t="s">
        <v>29</v>
      </c>
      <c r="F8" s="52" t="n">
        <f aca="false">SUMIFS(Data_Penjualan!$G$2:$G$5998,Data_Penjualan!$A$2:$A$5998,A8)</f>
        <v>16153500</v>
      </c>
      <c r="G8" s="39" t="n">
        <f aca="false">IF(E8="KANTOR",0,INDEX(Master_Customer!$C$2:$C$126,MATCH(C8,Master_Customer!$A$2:$A$126,0)))</f>
        <v>14</v>
      </c>
      <c r="H8" s="53" t="n">
        <f aca="false">B8+G8</f>
        <v>45674</v>
      </c>
      <c r="I8" s="51" t="n">
        <v>45662</v>
      </c>
      <c r="J8" s="39" t="str">
        <f aca="false">IF(G8=0,"Tunai",IF(I8="","Belum ditukar","Sudah ditukar"))</f>
        <v>Sudah ditukar</v>
      </c>
      <c r="K8" s="54" t="n">
        <v>16153500</v>
      </c>
      <c r="L8" s="51" t="n">
        <v>45670</v>
      </c>
      <c r="M8" s="52" t="n">
        <f aca="false">F8-K8</f>
        <v>0</v>
      </c>
      <c r="N8" s="39" t="str">
        <f aca="false">IF(M8&lt;=0,"Lunas",IF(K8&gt;0,"Sebagian","Belum Bayar"))</f>
        <v>Lunas</v>
      </c>
      <c r="O8" s="39" t="n">
        <f aca="false">IF(M8&gt;0,MAX(0,Catatan!$B$3-H8),0)</f>
        <v>0</v>
      </c>
      <c r="P8" s="39" t="str">
        <f aca="false">IF(M8&lt;=0,"Lunas",IF(Catatan!$B$3&lt;=H8,"Belum Jatuh Tempo",IF(O8&lt;=30,"1-30 hari",IF(O8&lt;=60,"31-60 hari",IF(O8&lt;=90,"61-90 hari","90+ hari")))))</f>
        <v>Lunas</v>
      </c>
      <c r="Q8" s="50"/>
      <c r="R8" s="39" t="str">
        <f aca="false">IF(M8&lt;=0,"",IF(O8&gt;60,"1-Tinggi",IF(O8&gt;30,"2-Sedang",IF(O8&gt;0,"3-Rendah","4-Pantau"))))</f>
        <v/>
      </c>
      <c r="S8" s="39" t="str">
        <f aca="false">IF(AND(M8&gt;0,O8&gt;0),O8+M8/1000000000000+ROW()/1000000000000000,"")</f>
        <v/>
      </c>
      <c r="T8" s="39" t="str">
        <f aca="false">IF(J8="Belum ditukar",ROW(),"")</f>
        <v/>
      </c>
    </row>
    <row r="9" customFormat="false" ht="15" hidden="false" customHeight="false" outlineLevel="0" collapsed="false">
      <c r="A9" s="50" t="s">
        <v>178</v>
      </c>
      <c r="B9" s="51" t="n">
        <v>45661</v>
      </c>
      <c r="C9" s="50" t="s">
        <v>179</v>
      </c>
      <c r="D9" s="39" t="str">
        <f aca="false">INDEX(Master_Customer!$B$2:$B$126,MATCH(C9,Master_Customer!$A$2:$A$126,0))</f>
        <v>BINTANG TEKNIK SURYA</v>
      </c>
      <c r="E9" s="50" t="s">
        <v>29</v>
      </c>
      <c r="F9" s="52" t="n">
        <f aca="false">SUMIFS(Data_Penjualan!$G$2:$G$5998,Data_Penjualan!$A$2:$A$5998,A9)</f>
        <v>10880000</v>
      </c>
      <c r="G9" s="39" t="n">
        <f aca="false">IF(E9="KANTOR",0,INDEX(Master_Customer!$C$2:$C$126,MATCH(C9,Master_Customer!$A$2:$A$126,0)))</f>
        <v>45</v>
      </c>
      <c r="H9" s="53" t="n">
        <f aca="false">B9+G9</f>
        <v>45706</v>
      </c>
      <c r="I9" s="51" t="n">
        <v>45664</v>
      </c>
      <c r="J9" s="39" t="str">
        <f aca="false">IF(G9=0,"Tunai",IF(I9="","Belum ditukar","Sudah ditukar"))</f>
        <v>Sudah ditukar</v>
      </c>
      <c r="K9" s="54" t="n">
        <v>10880000</v>
      </c>
      <c r="L9" s="51" t="n">
        <v>45701</v>
      </c>
      <c r="M9" s="52" t="n">
        <f aca="false">F9-K9</f>
        <v>0</v>
      </c>
      <c r="N9" s="39" t="str">
        <f aca="false">IF(M9&lt;=0,"Lunas",IF(K9&gt;0,"Sebagian","Belum Bayar"))</f>
        <v>Lunas</v>
      </c>
      <c r="O9" s="39" t="n">
        <f aca="false">IF(M9&gt;0,MAX(0,Catatan!$B$3-H9),0)</f>
        <v>0</v>
      </c>
      <c r="P9" s="39" t="str">
        <f aca="false">IF(M9&lt;=0,"Lunas",IF(Catatan!$B$3&lt;=H9,"Belum Jatuh Tempo",IF(O9&lt;=30,"1-30 hari",IF(O9&lt;=60,"31-60 hari",IF(O9&lt;=90,"61-90 hari","90+ hari")))))</f>
        <v>Lunas</v>
      </c>
      <c r="Q9" s="50"/>
      <c r="R9" s="39" t="str">
        <f aca="false">IF(M9&lt;=0,"",IF(O9&gt;60,"1-Tinggi",IF(O9&gt;30,"2-Sedang",IF(O9&gt;0,"3-Rendah","4-Pantau"))))</f>
        <v/>
      </c>
      <c r="S9" s="39" t="str">
        <f aca="false">IF(AND(M9&gt;0,O9&gt;0),O9+M9/1000000000000+ROW()/1000000000000000,"")</f>
        <v/>
      </c>
      <c r="T9" s="39" t="str">
        <f aca="false">IF(J9="Belum ditukar",ROW(),"")</f>
        <v/>
      </c>
    </row>
    <row r="10" customFormat="false" ht="15" hidden="false" customHeight="false" outlineLevel="0" collapsed="false">
      <c r="A10" s="50" t="s">
        <v>180</v>
      </c>
      <c r="B10" s="51" t="n">
        <v>45661</v>
      </c>
      <c r="C10" s="50" t="s">
        <v>181</v>
      </c>
      <c r="D10" s="39" t="str">
        <f aca="false">INDEX(Master_Customer!$B$2:$B$126,MATCH(C10,Master_Customer!$A$2:$A$126,0))</f>
        <v>PRIMA GARAGE</v>
      </c>
      <c r="E10" s="50" t="s">
        <v>29</v>
      </c>
      <c r="F10" s="52" t="n">
        <f aca="false">SUMIFS(Data_Penjualan!$G$2:$G$5998,Data_Penjualan!$A$2:$A$5998,A10)</f>
        <v>9311000</v>
      </c>
      <c r="G10" s="39" t="n">
        <f aca="false">IF(E10="KANTOR",0,INDEX(Master_Customer!$C$2:$C$126,MATCH(C10,Master_Customer!$A$2:$A$126,0)))</f>
        <v>14</v>
      </c>
      <c r="H10" s="53" t="n">
        <f aca="false">B10+G10</f>
        <v>45675</v>
      </c>
      <c r="I10" s="51" t="n">
        <v>45666</v>
      </c>
      <c r="J10" s="39" t="str">
        <f aca="false">IF(G10=0,"Tunai",IF(I10="","Belum ditukar","Sudah ditukar"))</f>
        <v>Sudah ditukar</v>
      </c>
      <c r="K10" s="54" t="n">
        <v>9311000</v>
      </c>
      <c r="L10" s="51" t="n">
        <v>45670</v>
      </c>
      <c r="M10" s="52" t="n">
        <f aca="false">F10-K10</f>
        <v>0</v>
      </c>
      <c r="N10" s="39" t="str">
        <f aca="false">IF(M10&lt;=0,"Lunas",IF(K10&gt;0,"Sebagian","Belum Bayar"))</f>
        <v>Lunas</v>
      </c>
      <c r="O10" s="39" t="n">
        <f aca="false">IF(M10&gt;0,MAX(0,Catatan!$B$3-H10),0)</f>
        <v>0</v>
      </c>
      <c r="P10" s="39" t="str">
        <f aca="false">IF(M10&lt;=0,"Lunas",IF(Catatan!$B$3&lt;=H10,"Belum Jatuh Tempo",IF(O10&lt;=30,"1-30 hari",IF(O10&lt;=60,"31-60 hari",IF(O10&lt;=90,"61-90 hari","90+ hari")))))</f>
        <v>Lunas</v>
      </c>
      <c r="Q10" s="50"/>
      <c r="R10" s="39" t="str">
        <f aca="false">IF(M10&lt;=0,"",IF(O10&gt;60,"1-Tinggi",IF(O10&gt;30,"2-Sedang",IF(O10&gt;0,"3-Rendah","4-Pantau"))))</f>
        <v/>
      </c>
      <c r="S10" s="39" t="str">
        <f aca="false">IF(AND(M10&gt;0,O10&gt;0),O10+M10/1000000000000+ROW()/1000000000000000,"")</f>
        <v/>
      </c>
      <c r="T10" s="39" t="str">
        <f aca="false">IF(J10="Belum ditukar",ROW(),"")</f>
        <v/>
      </c>
    </row>
    <row r="11" customFormat="false" ht="15" hidden="false" customHeight="false" outlineLevel="0" collapsed="false">
      <c r="A11" s="50" t="s">
        <v>182</v>
      </c>
      <c r="B11" s="51" t="n">
        <v>45661</v>
      </c>
      <c r="C11" s="50" t="s">
        <v>177</v>
      </c>
      <c r="D11" s="39" t="str">
        <f aca="false">INDEX(Master_Customer!$B$2:$B$126,MATCH(C11,Master_Customer!$A$2:$A$126,0))</f>
        <v>PRIMA MOTOR LANCAR</v>
      </c>
      <c r="E11" s="50" t="s">
        <v>29</v>
      </c>
      <c r="F11" s="52" t="n">
        <f aca="false">SUMIFS(Data_Penjualan!$G$2:$G$5998,Data_Penjualan!$A$2:$A$5998,A11)</f>
        <v>10784100</v>
      </c>
      <c r="G11" s="39" t="n">
        <f aca="false">IF(E11="KANTOR",0,INDEX(Master_Customer!$C$2:$C$126,MATCH(C11,Master_Customer!$A$2:$A$126,0)))</f>
        <v>14</v>
      </c>
      <c r="H11" s="53" t="n">
        <f aca="false">B11+G11</f>
        <v>45675</v>
      </c>
      <c r="I11" s="51" t="n">
        <v>45663</v>
      </c>
      <c r="J11" s="39" t="str">
        <f aca="false">IF(G11=0,"Tunai",IF(I11="","Belum ditukar","Sudah ditukar"))</f>
        <v>Sudah ditukar</v>
      </c>
      <c r="K11" s="54" t="n">
        <v>10784100</v>
      </c>
      <c r="L11" s="51" t="n">
        <v>45678</v>
      </c>
      <c r="M11" s="52" t="n">
        <f aca="false">F11-K11</f>
        <v>0</v>
      </c>
      <c r="N11" s="39" t="str">
        <f aca="false">IF(M11&lt;=0,"Lunas",IF(K11&gt;0,"Sebagian","Belum Bayar"))</f>
        <v>Lunas</v>
      </c>
      <c r="O11" s="39" t="n">
        <f aca="false">IF(M11&gt;0,MAX(0,Catatan!$B$3-H11),0)</f>
        <v>0</v>
      </c>
      <c r="P11" s="39" t="str">
        <f aca="false">IF(M11&lt;=0,"Lunas",IF(Catatan!$B$3&lt;=H11,"Belum Jatuh Tempo",IF(O11&lt;=30,"1-30 hari",IF(O11&lt;=60,"31-60 hari",IF(O11&lt;=90,"61-90 hari","90+ hari")))))</f>
        <v>Lunas</v>
      </c>
      <c r="Q11" s="50"/>
      <c r="R11" s="39" t="str">
        <f aca="false">IF(M11&lt;=0,"",IF(O11&gt;60,"1-Tinggi",IF(O11&gt;30,"2-Sedang",IF(O11&gt;0,"3-Rendah","4-Pantau"))))</f>
        <v/>
      </c>
      <c r="S11" s="39" t="str">
        <f aca="false">IF(AND(M11&gt;0,O11&gt;0),O11+M11/1000000000000+ROW()/1000000000000000,"")</f>
        <v/>
      </c>
      <c r="T11" s="39" t="str">
        <f aca="false">IF(J11="Belum ditukar",ROW(),"")</f>
        <v/>
      </c>
    </row>
    <row r="12" customFormat="false" ht="15" hidden="false" customHeight="false" outlineLevel="0" collapsed="false">
      <c r="A12" s="50" t="s">
        <v>183</v>
      </c>
      <c r="B12" s="51" t="n">
        <v>45661</v>
      </c>
      <c r="C12" s="50" t="s">
        <v>168</v>
      </c>
      <c r="D12" s="39" t="str">
        <f aca="false">INDEX(Master_Customer!$B$2:$B$126,MATCH(C12,Master_Customer!$A$2:$A$126,0))</f>
        <v>JAYA LUBRICANT</v>
      </c>
      <c r="E12" s="50" t="s">
        <v>29</v>
      </c>
      <c r="F12" s="52" t="n">
        <f aca="false">SUMIFS(Data_Penjualan!$G$2:$G$5998,Data_Penjualan!$A$2:$A$5998,A12)</f>
        <v>3030300</v>
      </c>
      <c r="G12" s="39" t="n">
        <f aca="false">IF(E12="KANTOR",0,INDEX(Master_Customer!$C$2:$C$126,MATCH(C12,Master_Customer!$A$2:$A$126,0)))</f>
        <v>0</v>
      </c>
      <c r="H12" s="53" t="n">
        <f aca="false">B12+G12</f>
        <v>45661</v>
      </c>
      <c r="J12" s="39" t="str">
        <f aca="false">IF(G12=0,"Tunai",IF(I12="","Belum ditukar","Sudah ditukar"))</f>
        <v>Tunai</v>
      </c>
      <c r="K12" s="54" t="n">
        <v>3030300</v>
      </c>
      <c r="L12" s="51" t="n">
        <v>45661</v>
      </c>
      <c r="M12" s="52" t="n">
        <f aca="false">F12-K12</f>
        <v>0</v>
      </c>
      <c r="N12" s="39" t="str">
        <f aca="false">IF(M12&lt;=0,"Lunas",IF(K12&gt;0,"Sebagian","Belum Bayar"))</f>
        <v>Lunas</v>
      </c>
      <c r="O12" s="39" t="n">
        <f aca="false">IF(M12&gt;0,MAX(0,Catatan!$B$3-H12),0)</f>
        <v>0</v>
      </c>
      <c r="P12" s="39" t="str">
        <f aca="false">IF(M12&lt;=0,"Lunas",IF(Catatan!$B$3&lt;=H12,"Belum Jatuh Tempo",IF(O12&lt;=30,"1-30 hari",IF(O12&lt;=60,"31-60 hari",IF(O12&lt;=90,"61-90 hari","90+ hari")))))</f>
        <v>Lunas</v>
      </c>
      <c r="Q12" s="50"/>
      <c r="R12" s="39" t="str">
        <f aca="false">IF(M12&lt;=0,"",IF(O12&gt;60,"1-Tinggi",IF(O12&gt;30,"2-Sedang",IF(O12&gt;0,"3-Rendah","4-Pantau"))))</f>
        <v/>
      </c>
      <c r="S12" s="39" t="str">
        <f aca="false">IF(AND(M12&gt;0,O12&gt;0),O12+M12/1000000000000+ROW()/1000000000000000,"")</f>
        <v/>
      </c>
      <c r="T12" s="39" t="str">
        <f aca="false">IF(J12="Belum ditukar",ROW(),"")</f>
        <v/>
      </c>
    </row>
    <row r="13" customFormat="false" ht="15" hidden="false" customHeight="false" outlineLevel="0" collapsed="false">
      <c r="A13" s="50" t="s">
        <v>184</v>
      </c>
      <c r="B13" s="51" t="n">
        <v>45661</v>
      </c>
      <c r="C13" s="50" t="s">
        <v>174</v>
      </c>
      <c r="D13" s="39" t="str">
        <f aca="false">INDEX(Master_Customer!$B$2:$B$126,MATCH(C13,Master_Customer!$A$2:$A$126,0))</f>
        <v>SUMBER TEKNIK SURYA</v>
      </c>
      <c r="E13" s="50" t="s">
        <v>31</v>
      </c>
      <c r="F13" s="52" t="n">
        <f aca="false">SUMIFS(Data_Penjualan!$G$2:$G$5998,Data_Penjualan!$A$2:$A$5998,A13)</f>
        <v>5899700</v>
      </c>
      <c r="G13" s="39" t="n">
        <f aca="false">IF(E13="KANTOR",0,INDEX(Master_Customer!$C$2:$C$126,MATCH(C13,Master_Customer!$A$2:$A$126,0)))</f>
        <v>30</v>
      </c>
      <c r="H13" s="53" t="n">
        <f aca="false">B13+G13</f>
        <v>45691</v>
      </c>
      <c r="I13" s="51" t="n">
        <v>45662</v>
      </c>
      <c r="J13" s="39" t="str">
        <f aca="false">IF(G13=0,"Tunai",IF(I13="","Belum ditukar","Sudah ditukar"))</f>
        <v>Sudah ditukar</v>
      </c>
      <c r="K13" s="54" t="n">
        <v>5899700</v>
      </c>
      <c r="L13" s="51" t="n">
        <v>45681</v>
      </c>
      <c r="M13" s="52" t="n">
        <f aca="false">F13-K13</f>
        <v>0</v>
      </c>
      <c r="N13" s="39" t="str">
        <f aca="false">IF(M13&lt;=0,"Lunas",IF(K13&gt;0,"Sebagian","Belum Bayar"))</f>
        <v>Lunas</v>
      </c>
      <c r="O13" s="39" t="n">
        <f aca="false">IF(M13&gt;0,MAX(0,Catatan!$B$3-H13),0)</f>
        <v>0</v>
      </c>
      <c r="P13" s="39" t="str">
        <f aca="false">IF(M13&lt;=0,"Lunas",IF(Catatan!$B$3&lt;=H13,"Belum Jatuh Tempo",IF(O13&lt;=30,"1-30 hari",IF(O13&lt;=60,"31-60 hari",IF(O13&lt;=90,"61-90 hari","90+ hari")))))</f>
        <v>Lunas</v>
      </c>
      <c r="Q13" s="50"/>
      <c r="R13" s="39" t="str">
        <f aca="false">IF(M13&lt;=0,"",IF(O13&gt;60,"1-Tinggi",IF(O13&gt;30,"2-Sedang",IF(O13&gt;0,"3-Rendah","4-Pantau"))))</f>
        <v/>
      </c>
      <c r="S13" s="39" t="str">
        <f aca="false">IF(AND(M13&gt;0,O13&gt;0),O13+M13/1000000000000+ROW()/1000000000000000,"")</f>
        <v/>
      </c>
      <c r="T13" s="39" t="str">
        <f aca="false">IF(J13="Belum ditukar",ROW(),"")</f>
        <v/>
      </c>
    </row>
    <row r="14" customFormat="false" ht="15" hidden="false" customHeight="false" outlineLevel="0" collapsed="false">
      <c r="A14" s="50" t="s">
        <v>185</v>
      </c>
      <c r="B14" s="51" t="n">
        <v>45661</v>
      </c>
      <c r="C14" s="50" t="s">
        <v>186</v>
      </c>
      <c r="D14" s="39" t="str">
        <f aca="false">INDEX(Master_Customer!$B$2:$B$126,MATCH(C14,Master_Customer!$A$2:$A$126,0))</f>
        <v>MULIA SPAREPART</v>
      </c>
      <c r="E14" s="50" t="s">
        <v>31</v>
      </c>
      <c r="F14" s="52" t="n">
        <f aca="false">SUMIFS(Data_Penjualan!$G$2:$G$5998,Data_Penjualan!$A$2:$A$5998,A14)</f>
        <v>15175800</v>
      </c>
      <c r="G14" s="39" t="n">
        <f aca="false">IF(E14="KANTOR",0,INDEX(Master_Customer!$C$2:$C$126,MATCH(C14,Master_Customer!$A$2:$A$126,0)))</f>
        <v>30</v>
      </c>
      <c r="H14" s="53" t="n">
        <f aca="false">B14+G14</f>
        <v>45691</v>
      </c>
      <c r="I14" s="51" t="n">
        <v>45662</v>
      </c>
      <c r="J14" s="39" t="str">
        <f aca="false">IF(G14=0,"Tunai",IF(I14="","Belum ditukar","Sudah ditukar"))</f>
        <v>Sudah ditukar</v>
      </c>
      <c r="K14" s="54" t="n">
        <v>15175800</v>
      </c>
      <c r="L14" s="51" t="n">
        <v>45722</v>
      </c>
      <c r="M14" s="52" t="n">
        <f aca="false">F14-K14</f>
        <v>0</v>
      </c>
      <c r="N14" s="39" t="str">
        <f aca="false">IF(M14&lt;=0,"Lunas",IF(K14&gt;0,"Sebagian","Belum Bayar"))</f>
        <v>Lunas</v>
      </c>
      <c r="O14" s="39" t="n">
        <f aca="false">IF(M14&gt;0,MAX(0,Catatan!$B$3-H14),0)</f>
        <v>0</v>
      </c>
      <c r="P14" s="39" t="str">
        <f aca="false">IF(M14&lt;=0,"Lunas",IF(Catatan!$B$3&lt;=H14,"Belum Jatuh Tempo",IF(O14&lt;=30,"1-30 hari",IF(O14&lt;=60,"31-60 hari",IF(O14&lt;=90,"61-90 hari","90+ hari")))))</f>
        <v>Lunas</v>
      </c>
      <c r="Q14" s="50"/>
      <c r="R14" s="39" t="str">
        <f aca="false">IF(M14&lt;=0,"",IF(O14&gt;60,"1-Tinggi",IF(O14&gt;30,"2-Sedang",IF(O14&gt;0,"3-Rendah","4-Pantau"))))</f>
        <v/>
      </c>
      <c r="S14" s="39" t="str">
        <f aca="false">IF(AND(M14&gt;0,O14&gt;0),O14+M14/1000000000000+ROW()/1000000000000000,"")</f>
        <v/>
      </c>
      <c r="T14" s="39" t="str">
        <f aca="false">IF(J14="Belum ditukar",ROW(),"")</f>
        <v/>
      </c>
    </row>
    <row r="15" customFormat="false" ht="15" hidden="false" customHeight="false" outlineLevel="0" collapsed="false">
      <c r="A15" s="50" t="s">
        <v>187</v>
      </c>
      <c r="B15" s="51" t="n">
        <v>45661</v>
      </c>
      <c r="C15" s="50" t="s">
        <v>188</v>
      </c>
      <c r="D15" s="39" t="str">
        <f aca="false">INDEX(Master_Customer!$B$2:$B$126,MATCH(C15,Master_Customer!$A$2:$A$126,0))</f>
        <v>MAJU GARAGE TIRTA</v>
      </c>
      <c r="E15" s="50" t="s">
        <v>31</v>
      </c>
      <c r="F15" s="52" t="n">
        <f aca="false">SUMIFS(Data_Penjualan!$G$2:$G$5998,Data_Penjualan!$A$2:$A$5998,A15)</f>
        <v>1757000</v>
      </c>
      <c r="G15" s="39" t="n">
        <f aca="false">IF(E15="KANTOR",0,INDEX(Master_Customer!$C$2:$C$126,MATCH(C15,Master_Customer!$A$2:$A$126,0)))</f>
        <v>45</v>
      </c>
      <c r="H15" s="53" t="n">
        <f aca="false">B15+G15</f>
        <v>45706</v>
      </c>
      <c r="I15" s="51" t="n">
        <v>45663</v>
      </c>
      <c r="J15" s="39" t="str">
        <f aca="false">IF(G15=0,"Tunai",IF(I15="","Belum ditukar","Sudah ditukar"))</f>
        <v>Sudah ditukar</v>
      </c>
      <c r="K15" s="54" t="n">
        <v>1757000</v>
      </c>
      <c r="L15" s="51" t="n">
        <v>45720</v>
      </c>
      <c r="M15" s="52" t="n">
        <f aca="false">F15-K15</f>
        <v>0</v>
      </c>
      <c r="N15" s="39" t="str">
        <f aca="false">IF(M15&lt;=0,"Lunas",IF(K15&gt;0,"Sebagian","Belum Bayar"))</f>
        <v>Lunas</v>
      </c>
      <c r="O15" s="39" t="n">
        <f aca="false">IF(M15&gt;0,MAX(0,Catatan!$B$3-H15),0)</f>
        <v>0</v>
      </c>
      <c r="P15" s="39" t="str">
        <f aca="false">IF(M15&lt;=0,"Lunas",IF(Catatan!$B$3&lt;=H15,"Belum Jatuh Tempo",IF(O15&lt;=30,"1-30 hari",IF(O15&lt;=60,"31-60 hari",IF(O15&lt;=90,"61-90 hari","90+ hari")))))</f>
        <v>Lunas</v>
      </c>
      <c r="Q15" s="50"/>
      <c r="R15" s="39" t="str">
        <f aca="false">IF(M15&lt;=0,"",IF(O15&gt;60,"1-Tinggi",IF(O15&gt;30,"2-Sedang",IF(O15&gt;0,"3-Rendah","4-Pantau"))))</f>
        <v/>
      </c>
      <c r="S15" s="39" t="str">
        <f aca="false">IF(AND(M15&gt;0,O15&gt;0),O15+M15/1000000000000+ROW()/1000000000000000,"")</f>
        <v/>
      </c>
      <c r="T15" s="39" t="str">
        <f aca="false">IF(J15="Belum ditukar",ROW(),"")</f>
        <v/>
      </c>
    </row>
    <row r="16" customFormat="false" ht="15" hidden="false" customHeight="false" outlineLevel="0" collapsed="false">
      <c r="A16" s="50" t="s">
        <v>189</v>
      </c>
      <c r="B16" s="51" t="n">
        <v>45661</v>
      </c>
      <c r="C16" s="50" t="s">
        <v>174</v>
      </c>
      <c r="D16" s="39" t="str">
        <f aca="false">INDEX(Master_Customer!$B$2:$B$126,MATCH(C16,Master_Customer!$A$2:$A$126,0))</f>
        <v>SUMBER TEKNIK SURYA</v>
      </c>
      <c r="E16" s="50" t="s">
        <v>31</v>
      </c>
      <c r="F16" s="52" t="n">
        <f aca="false">SUMIFS(Data_Penjualan!$G$2:$G$5998,Data_Penjualan!$A$2:$A$5998,A16)</f>
        <v>6511200</v>
      </c>
      <c r="G16" s="39" t="n">
        <f aca="false">IF(E16="KANTOR",0,INDEX(Master_Customer!$C$2:$C$126,MATCH(C16,Master_Customer!$A$2:$A$126,0)))</f>
        <v>30</v>
      </c>
      <c r="H16" s="53" t="n">
        <f aca="false">B16+G16</f>
        <v>45691</v>
      </c>
      <c r="I16" s="51" t="n">
        <v>45662</v>
      </c>
      <c r="J16" s="39" t="str">
        <f aca="false">IF(G16=0,"Tunai",IF(I16="","Belum ditukar","Sudah ditukar"))</f>
        <v>Sudah ditukar</v>
      </c>
      <c r="K16" s="54" t="n">
        <v>6511200</v>
      </c>
      <c r="L16" s="51" t="n">
        <v>45691</v>
      </c>
      <c r="M16" s="52" t="n">
        <f aca="false">F16-K16</f>
        <v>0</v>
      </c>
      <c r="N16" s="39" t="str">
        <f aca="false">IF(M16&lt;=0,"Lunas",IF(K16&gt;0,"Sebagian","Belum Bayar"))</f>
        <v>Lunas</v>
      </c>
      <c r="O16" s="39" t="n">
        <f aca="false">IF(M16&gt;0,MAX(0,Catatan!$B$3-H16),0)</f>
        <v>0</v>
      </c>
      <c r="P16" s="39" t="str">
        <f aca="false">IF(M16&lt;=0,"Lunas",IF(Catatan!$B$3&lt;=H16,"Belum Jatuh Tempo",IF(O16&lt;=30,"1-30 hari",IF(O16&lt;=60,"31-60 hari",IF(O16&lt;=90,"61-90 hari","90+ hari")))))</f>
        <v>Lunas</v>
      </c>
      <c r="Q16" s="50"/>
      <c r="R16" s="39" t="str">
        <f aca="false">IF(M16&lt;=0,"",IF(O16&gt;60,"1-Tinggi",IF(O16&gt;30,"2-Sedang",IF(O16&gt;0,"3-Rendah","4-Pantau"))))</f>
        <v/>
      </c>
      <c r="S16" s="39" t="str">
        <f aca="false">IF(AND(M16&gt;0,O16&gt;0),O16+M16/1000000000000+ROW()/1000000000000000,"")</f>
        <v/>
      </c>
      <c r="T16" s="39" t="str">
        <f aca="false">IF(J16="Belum ditukar",ROW(),"")</f>
        <v/>
      </c>
    </row>
    <row r="17" customFormat="false" ht="15" hidden="false" customHeight="false" outlineLevel="0" collapsed="false">
      <c r="A17" s="50" t="s">
        <v>190</v>
      </c>
      <c r="B17" s="51" t="n">
        <v>45663</v>
      </c>
      <c r="C17" s="50" t="s">
        <v>191</v>
      </c>
      <c r="D17" s="39" t="str">
        <f aca="false">INDEX(Master_Customer!$B$2:$B$126,MATCH(C17,Master_Customer!$A$2:$A$126,0))</f>
        <v>SINAR AUTO BERKAH</v>
      </c>
      <c r="E17" s="50" t="s">
        <v>30</v>
      </c>
      <c r="F17" s="52" t="n">
        <f aca="false">SUMIFS(Data_Penjualan!$G$2:$G$5998,Data_Penjualan!$A$2:$A$5998,A17)</f>
        <v>26734000</v>
      </c>
      <c r="G17" s="39" t="n">
        <f aca="false">IF(E17="KANTOR",0,INDEX(Master_Customer!$C$2:$C$126,MATCH(C17,Master_Customer!$A$2:$A$126,0)))</f>
        <v>30</v>
      </c>
      <c r="H17" s="53" t="n">
        <f aca="false">B17+G17</f>
        <v>45693</v>
      </c>
      <c r="I17" s="51" t="n">
        <v>45668</v>
      </c>
      <c r="J17" s="39" t="str">
        <f aca="false">IF(G17=0,"Tunai",IF(I17="","Belum ditukar","Sudah ditukar"))</f>
        <v>Sudah ditukar</v>
      </c>
      <c r="K17" s="54" t="n">
        <v>26734000</v>
      </c>
      <c r="L17" s="51" t="n">
        <v>45711</v>
      </c>
      <c r="M17" s="52" t="n">
        <f aca="false">F17-K17</f>
        <v>0</v>
      </c>
      <c r="N17" s="39" t="str">
        <f aca="false">IF(M17&lt;=0,"Lunas",IF(K17&gt;0,"Sebagian","Belum Bayar"))</f>
        <v>Lunas</v>
      </c>
      <c r="O17" s="39" t="n">
        <f aca="false">IF(M17&gt;0,MAX(0,Catatan!$B$3-H17),0)</f>
        <v>0</v>
      </c>
      <c r="P17" s="39" t="str">
        <f aca="false">IF(M17&lt;=0,"Lunas",IF(Catatan!$B$3&lt;=H17,"Belum Jatuh Tempo",IF(O17&lt;=30,"1-30 hari",IF(O17&lt;=60,"31-60 hari",IF(O17&lt;=90,"61-90 hari","90+ hari")))))</f>
        <v>Lunas</v>
      </c>
      <c r="Q17" s="50"/>
      <c r="R17" s="39" t="str">
        <f aca="false">IF(M17&lt;=0,"",IF(O17&gt;60,"1-Tinggi",IF(O17&gt;30,"2-Sedang",IF(O17&gt;0,"3-Rendah","4-Pantau"))))</f>
        <v/>
      </c>
      <c r="S17" s="39" t="str">
        <f aca="false">IF(AND(M17&gt;0,O17&gt;0),O17+M17/1000000000000+ROW()/1000000000000000,"")</f>
        <v/>
      </c>
      <c r="T17" s="39" t="str">
        <f aca="false">IF(J17="Belum ditukar",ROW(),"")</f>
        <v/>
      </c>
    </row>
    <row r="18" customFormat="false" ht="15" hidden="false" customHeight="false" outlineLevel="0" collapsed="false">
      <c r="A18" s="50" t="s">
        <v>192</v>
      </c>
      <c r="B18" s="51" t="n">
        <v>45663</v>
      </c>
      <c r="C18" s="50" t="s">
        <v>193</v>
      </c>
      <c r="D18" s="39" t="str">
        <f aca="false">INDEX(Master_Customer!$B$2:$B$126,MATCH(C18,Master_Customer!$A$2:$A$126,0))</f>
        <v>BINTANG BENGKEL</v>
      </c>
      <c r="E18" s="50" t="s">
        <v>32</v>
      </c>
      <c r="F18" s="52" t="n">
        <f aca="false">SUMIFS(Data_Penjualan!$G$2:$G$5998,Data_Penjualan!$A$2:$A$5998,A18)</f>
        <v>7987100</v>
      </c>
      <c r="G18" s="39" t="n">
        <f aca="false">IF(E18="KANTOR",0,INDEX(Master_Customer!$C$2:$C$126,MATCH(C18,Master_Customer!$A$2:$A$126,0)))</f>
        <v>0</v>
      </c>
      <c r="H18" s="53" t="n">
        <f aca="false">B18+G18</f>
        <v>45663</v>
      </c>
      <c r="J18" s="39" t="str">
        <f aca="false">IF(G18=0,"Tunai",IF(I18="","Belum ditukar","Sudah ditukar"))</f>
        <v>Tunai</v>
      </c>
      <c r="K18" s="54" t="n">
        <v>7987100</v>
      </c>
      <c r="L18" s="51" t="n">
        <v>45663</v>
      </c>
      <c r="M18" s="52" t="n">
        <f aca="false">F18-K18</f>
        <v>0</v>
      </c>
      <c r="N18" s="39" t="str">
        <f aca="false">IF(M18&lt;=0,"Lunas",IF(K18&gt;0,"Sebagian","Belum Bayar"))</f>
        <v>Lunas</v>
      </c>
      <c r="O18" s="39" t="n">
        <f aca="false">IF(M18&gt;0,MAX(0,Catatan!$B$3-H18),0)</f>
        <v>0</v>
      </c>
      <c r="P18" s="39" t="str">
        <f aca="false">IF(M18&lt;=0,"Lunas",IF(Catatan!$B$3&lt;=H18,"Belum Jatuh Tempo",IF(O18&lt;=30,"1-30 hari",IF(O18&lt;=60,"31-60 hari",IF(O18&lt;=90,"61-90 hari","90+ hari")))))</f>
        <v>Lunas</v>
      </c>
      <c r="Q18" s="50"/>
      <c r="R18" s="39" t="str">
        <f aca="false">IF(M18&lt;=0,"",IF(O18&gt;60,"1-Tinggi",IF(O18&gt;30,"2-Sedang",IF(O18&gt;0,"3-Rendah","4-Pantau"))))</f>
        <v/>
      </c>
      <c r="S18" s="39" t="str">
        <f aca="false">IF(AND(M18&gt;0,O18&gt;0),O18+M18/1000000000000+ROW()/1000000000000000,"")</f>
        <v/>
      </c>
      <c r="T18" s="39" t="str">
        <f aca="false">IF(J18="Belum ditukar",ROW(),"")</f>
        <v/>
      </c>
    </row>
    <row r="19" customFormat="false" ht="15" hidden="false" customHeight="false" outlineLevel="0" collapsed="false">
      <c r="A19" s="50" t="s">
        <v>194</v>
      </c>
      <c r="B19" s="51" t="n">
        <v>45663</v>
      </c>
      <c r="C19" s="50" t="s">
        <v>195</v>
      </c>
      <c r="D19" s="39" t="str">
        <f aca="false">INDEX(Master_Customer!$B$2:$B$126,MATCH(C19,Master_Customer!$A$2:$A$126,0))</f>
        <v>KARYA LUBRICANT BINTANG</v>
      </c>
      <c r="E19" s="50" t="s">
        <v>30</v>
      </c>
      <c r="F19" s="52" t="n">
        <f aca="false">SUMIFS(Data_Penjualan!$G$2:$G$5998,Data_Penjualan!$A$2:$A$5998,A19)</f>
        <v>9017300</v>
      </c>
      <c r="G19" s="39" t="n">
        <f aca="false">IF(E19="KANTOR",0,INDEX(Master_Customer!$C$2:$C$126,MATCH(C19,Master_Customer!$A$2:$A$126,0)))</f>
        <v>14</v>
      </c>
      <c r="H19" s="53" t="n">
        <f aca="false">B19+G19</f>
        <v>45677</v>
      </c>
      <c r="I19" s="51" t="n">
        <v>45665</v>
      </c>
      <c r="J19" s="39" t="str">
        <f aca="false">IF(G19=0,"Tunai",IF(I19="","Belum ditukar","Sudah ditukar"))</f>
        <v>Sudah ditukar</v>
      </c>
      <c r="K19" s="54" t="n">
        <v>9017300</v>
      </c>
      <c r="L19" s="51" t="n">
        <v>45675</v>
      </c>
      <c r="M19" s="52" t="n">
        <f aca="false">F19-K19</f>
        <v>0</v>
      </c>
      <c r="N19" s="39" t="str">
        <f aca="false">IF(M19&lt;=0,"Lunas",IF(K19&gt;0,"Sebagian","Belum Bayar"))</f>
        <v>Lunas</v>
      </c>
      <c r="O19" s="39" t="n">
        <f aca="false">IF(M19&gt;0,MAX(0,Catatan!$B$3-H19),0)</f>
        <v>0</v>
      </c>
      <c r="P19" s="39" t="str">
        <f aca="false">IF(M19&lt;=0,"Lunas",IF(Catatan!$B$3&lt;=H19,"Belum Jatuh Tempo",IF(O19&lt;=30,"1-30 hari",IF(O19&lt;=60,"31-60 hari",IF(O19&lt;=90,"61-90 hari","90+ hari")))))</f>
        <v>Lunas</v>
      </c>
      <c r="Q19" s="50"/>
      <c r="R19" s="39" t="str">
        <f aca="false">IF(M19&lt;=0,"",IF(O19&gt;60,"1-Tinggi",IF(O19&gt;30,"2-Sedang",IF(O19&gt;0,"3-Rendah","4-Pantau"))))</f>
        <v/>
      </c>
      <c r="S19" s="39" t="str">
        <f aca="false">IF(AND(M19&gt;0,O19&gt;0),O19+M19/1000000000000+ROW()/1000000000000000,"")</f>
        <v/>
      </c>
      <c r="T19" s="39" t="str">
        <f aca="false">IF(J19="Belum ditukar",ROW(),"")</f>
        <v/>
      </c>
    </row>
    <row r="20" customFormat="false" ht="15" hidden="false" customHeight="false" outlineLevel="0" collapsed="false">
      <c r="A20" s="50" t="s">
        <v>196</v>
      </c>
      <c r="B20" s="51" t="n">
        <v>45663</v>
      </c>
      <c r="C20" s="50" t="s">
        <v>197</v>
      </c>
      <c r="D20" s="39" t="str">
        <f aca="false">INDEX(Master_Customer!$B$2:$B$126,MATCH(C20,Master_Customer!$A$2:$A$126,0))</f>
        <v>UTAMA LUBRICANT HARAPAN</v>
      </c>
      <c r="E20" s="50" t="s">
        <v>32</v>
      </c>
      <c r="F20" s="52" t="n">
        <f aca="false">SUMIFS(Data_Penjualan!$G$2:$G$5998,Data_Penjualan!$A$2:$A$5998,A20)</f>
        <v>4633700</v>
      </c>
      <c r="G20" s="39" t="n">
        <f aca="false">IF(E20="KANTOR",0,INDEX(Master_Customer!$C$2:$C$126,MATCH(C20,Master_Customer!$A$2:$A$126,0)))</f>
        <v>0</v>
      </c>
      <c r="H20" s="53" t="n">
        <f aca="false">B20+G20</f>
        <v>45663</v>
      </c>
      <c r="J20" s="39" t="str">
        <f aca="false">IF(G20=0,"Tunai",IF(I20="","Belum ditukar","Sudah ditukar"))</f>
        <v>Tunai</v>
      </c>
      <c r="K20" s="54" t="n">
        <v>4633700</v>
      </c>
      <c r="L20" s="51" t="n">
        <v>45663</v>
      </c>
      <c r="M20" s="52" t="n">
        <f aca="false">F20-K20</f>
        <v>0</v>
      </c>
      <c r="N20" s="39" t="str">
        <f aca="false">IF(M20&lt;=0,"Lunas",IF(K20&gt;0,"Sebagian","Belum Bayar"))</f>
        <v>Lunas</v>
      </c>
      <c r="O20" s="39" t="n">
        <f aca="false">IF(M20&gt;0,MAX(0,Catatan!$B$3-H20),0)</f>
        <v>0</v>
      </c>
      <c r="P20" s="39" t="str">
        <f aca="false">IF(M20&lt;=0,"Lunas",IF(Catatan!$B$3&lt;=H20,"Belum Jatuh Tempo",IF(O20&lt;=30,"1-30 hari",IF(O20&lt;=60,"31-60 hari",IF(O20&lt;=90,"61-90 hari","90+ hari")))))</f>
        <v>Lunas</v>
      </c>
      <c r="Q20" s="50"/>
      <c r="R20" s="39" t="str">
        <f aca="false">IF(M20&lt;=0,"",IF(O20&gt;60,"1-Tinggi",IF(O20&gt;30,"2-Sedang",IF(O20&gt;0,"3-Rendah","4-Pantau"))))</f>
        <v/>
      </c>
      <c r="S20" s="39" t="str">
        <f aca="false">IF(AND(M20&gt;0,O20&gt;0),O20+M20/1000000000000+ROW()/1000000000000000,"")</f>
        <v/>
      </c>
      <c r="T20" s="39" t="str">
        <f aca="false">IF(J20="Belum ditukar",ROW(),"")</f>
        <v/>
      </c>
    </row>
    <row r="21" customFormat="false" ht="15" hidden="false" customHeight="false" outlineLevel="0" collapsed="false">
      <c r="A21" s="50" t="s">
        <v>198</v>
      </c>
      <c r="B21" s="51" t="n">
        <v>45664</v>
      </c>
      <c r="C21" s="50" t="s">
        <v>199</v>
      </c>
      <c r="D21" s="39" t="str">
        <f aca="false">INDEX(Master_Customer!$B$2:$B$126,MATCH(C21,Master_Customer!$A$2:$A$126,0))</f>
        <v>KARYA SPAREPART</v>
      </c>
      <c r="E21" s="50" t="s">
        <v>29</v>
      </c>
      <c r="F21" s="52" t="n">
        <f aca="false">SUMIFS(Data_Penjualan!$G$2:$G$5998,Data_Penjualan!$A$2:$A$5998,A21)</f>
        <v>1906000</v>
      </c>
      <c r="G21" s="39" t="n">
        <f aca="false">IF(E21="KANTOR",0,INDEX(Master_Customer!$C$2:$C$126,MATCH(C21,Master_Customer!$A$2:$A$126,0)))</f>
        <v>45</v>
      </c>
      <c r="H21" s="53" t="n">
        <f aca="false">B21+G21</f>
        <v>45709</v>
      </c>
      <c r="I21" s="51" t="n">
        <v>45665</v>
      </c>
      <c r="J21" s="39" t="str">
        <f aca="false">IF(G21=0,"Tunai",IF(I21="","Belum ditukar","Sudah ditukar"))</f>
        <v>Sudah ditukar</v>
      </c>
      <c r="K21" s="54" t="n">
        <v>1906000</v>
      </c>
      <c r="L21" s="51" t="n">
        <v>45706</v>
      </c>
      <c r="M21" s="52" t="n">
        <f aca="false">F21-K21</f>
        <v>0</v>
      </c>
      <c r="N21" s="39" t="str">
        <f aca="false">IF(M21&lt;=0,"Lunas",IF(K21&gt;0,"Sebagian","Belum Bayar"))</f>
        <v>Lunas</v>
      </c>
      <c r="O21" s="39" t="n">
        <f aca="false">IF(M21&gt;0,MAX(0,Catatan!$B$3-H21),0)</f>
        <v>0</v>
      </c>
      <c r="P21" s="39" t="str">
        <f aca="false">IF(M21&lt;=0,"Lunas",IF(Catatan!$B$3&lt;=H21,"Belum Jatuh Tempo",IF(O21&lt;=30,"1-30 hari",IF(O21&lt;=60,"31-60 hari",IF(O21&lt;=90,"61-90 hari","90+ hari")))))</f>
        <v>Lunas</v>
      </c>
      <c r="Q21" s="50"/>
      <c r="R21" s="39" t="str">
        <f aca="false">IF(M21&lt;=0,"",IF(O21&gt;60,"1-Tinggi",IF(O21&gt;30,"2-Sedang",IF(O21&gt;0,"3-Rendah","4-Pantau"))))</f>
        <v/>
      </c>
      <c r="S21" s="39" t="str">
        <f aca="false">IF(AND(M21&gt;0,O21&gt;0),O21+M21/1000000000000+ROW()/1000000000000000,"")</f>
        <v/>
      </c>
      <c r="T21" s="39" t="str">
        <f aca="false">IF(J21="Belum ditukar",ROW(),"")</f>
        <v/>
      </c>
    </row>
    <row r="22" customFormat="false" ht="15" hidden="false" customHeight="false" outlineLevel="0" collapsed="false">
      <c r="A22" s="50" t="s">
        <v>200</v>
      </c>
      <c r="B22" s="51" t="n">
        <v>45664</v>
      </c>
      <c r="C22" s="50" t="s">
        <v>195</v>
      </c>
      <c r="D22" s="39" t="str">
        <f aca="false">INDEX(Master_Customer!$B$2:$B$126,MATCH(C22,Master_Customer!$A$2:$A$126,0))</f>
        <v>KARYA LUBRICANT BINTANG</v>
      </c>
      <c r="E22" s="50" t="s">
        <v>30</v>
      </c>
      <c r="F22" s="52" t="n">
        <f aca="false">SUMIFS(Data_Penjualan!$G$2:$G$5998,Data_Penjualan!$A$2:$A$5998,A22)</f>
        <v>5094600</v>
      </c>
      <c r="G22" s="39" t="n">
        <f aca="false">IF(E22="KANTOR",0,INDEX(Master_Customer!$C$2:$C$126,MATCH(C22,Master_Customer!$A$2:$A$126,0)))</f>
        <v>14</v>
      </c>
      <c r="H22" s="53" t="n">
        <f aca="false">B22+G22</f>
        <v>45678</v>
      </c>
      <c r="I22" s="51" t="n">
        <v>45668</v>
      </c>
      <c r="J22" s="39" t="str">
        <f aca="false">IF(G22=0,"Tunai",IF(I22="","Belum ditukar","Sudah ditukar"))</f>
        <v>Sudah ditukar</v>
      </c>
      <c r="K22" s="54" t="n">
        <v>5094600</v>
      </c>
      <c r="L22" s="51" t="n">
        <v>45674</v>
      </c>
      <c r="M22" s="52" t="n">
        <f aca="false">F22-K22</f>
        <v>0</v>
      </c>
      <c r="N22" s="39" t="str">
        <f aca="false">IF(M22&lt;=0,"Lunas",IF(K22&gt;0,"Sebagian","Belum Bayar"))</f>
        <v>Lunas</v>
      </c>
      <c r="O22" s="39" t="n">
        <f aca="false">IF(M22&gt;0,MAX(0,Catatan!$B$3-H22),0)</f>
        <v>0</v>
      </c>
      <c r="P22" s="39" t="str">
        <f aca="false">IF(M22&lt;=0,"Lunas",IF(Catatan!$B$3&lt;=H22,"Belum Jatuh Tempo",IF(O22&lt;=30,"1-30 hari",IF(O22&lt;=60,"31-60 hari",IF(O22&lt;=90,"61-90 hari","90+ hari")))))</f>
        <v>Lunas</v>
      </c>
      <c r="Q22" s="50"/>
      <c r="R22" s="39" t="str">
        <f aca="false">IF(M22&lt;=0,"",IF(O22&gt;60,"1-Tinggi",IF(O22&gt;30,"2-Sedang",IF(O22&gt;0,"3-Rendah","4-Pantau"))))</f>
        <v/>
      </c>
      <c r="S22" s="39" t="str">
        <f aca="false">IF(AND(M22&gt;0,O22&gt;0),O22+M22/1000000000000+ROW()/1000000000000000,"")</f>
        <v/>
      </c>
      <c r="T22" s="39" t="str">
        <f aca="false">IF(J22="Belum ditukar",ROW(),"")</f>
        <v/>
      </c>
    </row>
    <row r="23" customFormat="false" ht="15" hidden="false" customHeight="false" outlineLevel="0" collapsed="false">
      <c r="A23" s="50" t="s">
        <v>201</v>
      </c>
      <c r="B23" s="51" t="n">
        <v>45664</v>
      </c>
      <c r="C23" s="50" t="s">
        <v>174</v>
      </c>
      <c r="D23" s="39" t="str">
        <f aca="false">INDEX(Master_Customer!$B$2:$B$126,MATCH(C23,Master_Customer!$A$2:$A$126,0))</f>
        <v>SUMBER TEKNIK SURYA</v>
      </c>
      <c r="E23" s="50" t="s">
        <v>31</v>
      </c>
      <c r="F23" s="52" t="n">
        <f aca="false">SUMIFS(Data_Penjualan!$G$2:$G$5998,Data_Penjualan!$A$2:$A$5998,A23)</f>
        <v>6309600</v>
      </c>
      <c r="G23" s="39" t="n">
        <f aca="false">IF(E23="KANTOR",0,INDEX(Master_Customer!$C$2:$C$126,MATCH(C23,Master_Customer!$A$2:$A$126,0)))</f>
        <v>30</v>
      </c>
      <c r="H23" s="53" t="n">
        <f aca="false">B23+G23</f>
        <v>45694</v>
      </c>
      <c r="I23" s="51" t="n">
        <v>45669</v>
      </c>
      <c r="J23" s="39" t="str">
        <f aca="false">IF(G23=0,"Tunai",IF(I23="","Belum ditukar","Sudah ditukar"))</f>
        <v>Sudah ditukar</v>
      </c>
      <c r="K23" s="54" t="n">
        <v>6309600</v>
      </c>
      <c r="L23" s="51" t="n">
        <v>45691</v>
      </c>
      <c r="M23" s="52" t="n">
        <f aca="false">F23-K23</f>
        <v>0</v>
      </c>
      <c r="N23" s="39" t="str">
        <f aca="false">IF(M23&lt;=0,"Lunas",IF(K23&gt;0,"Sebagian","Belum Bayar"))</f>
        <v>Lunas</v>
      </c>
      <c r="O23" s="39" t="n">
        <f aca="false">IF(M23&gt;0,MAX(0,Catatan!$B$3-H23),0)</f>
        <v>0</v>
      </c>
      <c r="P23" s="39" t="str">
        <f aca="false">IF(M23&lt;=0,"Lunas",IF(Catatan!$B$3&lt;=H23,"Belum Jatuh Tempo",IF(O23&lt;=30,"1-30 hari",IF(O23&lt;=60,"31-60 hari",IF(O23&lt;=90,"61-90 hari","90+ hari")))))</f>
        <v>Lunas</v>
      </c>
      <c r="Q23" s="50"/>
      <c r="R23" s="39" t="str">
        <f aca="false">IF(M23&lt;=0,"",IF(O23&gt;60,"1-Tinggi",IF(O23&gt;30,"2-Sedang",IF(O23&gt;0,"3-Rendah","4-Pantau"))))</f>
        <v/>
      </c>
      <c r="S23" s="39" t="str">
        <f aca="false">IF(AND(M23&gt;0,O23&gt;0),O23+M23/1000000000000+ROW()/1000000000000000,"")</f>
        <v/>
      </c>
      <c r="T23" s="39" t="str">
        <f aca="false">IF(J23="Belum ditukar",ROW(),"")</f>
        <v/>
      </c>
    </row>
    <row r="24" customFormat="false" ht="15" hidden="false" customHeight="false" outlineLevel="0" collapsed="false">
      <c r="A24" s="50" t="s">
        <v>202</v>
      </c>
      <c r="B24" s="51" t="n">
        <v>45664</v>
      </c>
      <c r="C24" s="50" t="s">
        <v>203</v>
      </c>
      <c r="D24" s="39" t="str">
        <f aca="false">INDEX(Master_Customer!$B$2:$B$126,MATCH(C24,Master_Customer!$A$2:$A$126,0))</f>
        <v>BINTANG TEKNIK</v>
      </c>
      <c r="E24" s="50" t="s">
        <v>28</v>
      </c>
      <c r="F24" s="52" t="n">
        <f aca="false">SUMIFS(Data_Penjualan!$G$2:$G$5998,Data_Penjualan!$A$2:$A$5998,A24)</f>
        <v>51820900</v>
      </c>
      <c r="G24" s="39" t="n">
        <f aca="false">IF(E24="KANTOR",0,INDEX(Master_Customer!$C$2:$C$126,MATCH(C24,Master_Customer!$A$2:$A$126,0)))</f>
        <v>45</v>
      </c>
      <c r="H24" s="53" t="n">
        <f aca="false">B24+G24</f>
        <v>45709</v>
      </c>
      <c r="I24" s="51" t="n">
        <v>45668</v>
      </c>
      <c r="J24" s="39" t="str">
        <f aca="false">IF(G24=0,"Tunai",IF(I24="","Belum ditukar","Sudah ditukar"))</f>
        <v>Sudah ditukar</v>
      </c>
      <c r="K24" s="54" t="n">
        <v>51820900</v>
      </c>
      <c r="L24" s="51" t="n">
        <v>45731</v>
      </c>
      <c r="M24" s="52" t="n">
        <f aca="false">F24-K24</f>
        <v>0</v>
      </c>
      <c r="N24" s="39" t="str">
        <f aca="false">IF(M24&lt;=0,"Lunas",IF(K24&gt;0,"Sebagian","Belum Bayar"))</f>
        <v>Lunas</v>
      </c>
      <c r="O24" s="39" t="n">
        <f aca="false">IF(M24&gt;0,MAX(0,Catatan!$B$3-H24),0)</f>
        <v>0</v>
      </c>
      <c r="P24" s="39" t="str">
        <f aca="false">IF(M24&lt;=0,"Lunas",IF(Catatan!$B$3&lt;=H24,"Belum Jatuh Tempo",IF(O24&lt;=30,"1-30 hari",IF(O24&lt;=60,"31-60 hari",IF(O24&lt;=90,"61-90 hari","90+ hari")))))</f>
        <v>Lunas</v>
      </c>
      <c r="Q24" s="50"/>
      <c r="R24" s="39" t="str">
        <f aca="false">IF(M24&lt;=0,"",IF(O24&gt;60,"1-Tinggi",IF(O24&gt;30,"2-Sedang",IF(O24&gt;0,"3-Rendah","4-Pantau"))))</f>
        <v/>
      </c>
      <c r="S24" s="39" t="str">
        <f aca="false">IF(AND(M24&gt;0,O24&gt;0),O24+M24/1000000000000+ROW()/1000000000000000,"")</f>
        <v/>
      </c>
      <c r="T24" s="39" t="str">
        <f aca="false">IF(J24="Belum ditukar",ROW(),"")</f>
        <v/>
      </c>
    </row>
    <row r="25" customFormat="false" ht="15" hidden="false" customHeight="false" outlineLevel="0" collapsed="false">
      <c r="A25" s="50" t="s">
        <v>204</v>
      </c>
      <c r="B25" s="51" t="n">
        <v>45665</v>
      </c>
      <c r="C25" s="50" t="s">
        <v>205</v>
      </c>
      <c r="D25" s="39" t="str">
        <f aca="false">INDEX(Master_Customer!$B$2:$B$126,MATCH(C25,Master_Customer!$A$2:$A$126,0))</f>
        <v>BERKAH OLI</v>
      </c>
      <c r="E25" s="50" t="s">
        <v>28</v>
      </c>
      <c r="F25" s="52" t="n">
        <f aca="false">SUMIFS(Data_Penjualan!$G$2:$G$5998,Data_Penjualan!$A$2:$A$5998,A25)</f>
        <v>4693600</v>
      </c>
      <c r="G25" s="39" t="n">
        <f aca="false">IF(E25="KANTOR",0,INDEX(Master_Customer!$C$2:$C$126,MATCH(C25,Master_Customer!$A$2:$A$126,0)))</f>
        <v>0</v>
      </c>
      <c r="H25" s="53" t="n">
        <f aca="false">B25+G25</f>
        <v>45665</v>
      </c>
      <c r="J25" s="39" t="str">
        <f aca="false">IF(G25=0,"Tunai",IF(I25="","Belum ditukar","Sudah ditukar"))</f>
        <v>Tunai</v>
      </c>
      <c r="K25" s="54" t="n">
        <v>4693600</v>
      </c>
      <c r="L25" s="51" t="n">
        <v>45665</v>
      </c>
      <c r="M25" s="52" t="n">
        <f aca="false">F25-K25</f>
        <v>0</v>
      </c>
      <c r="N25" s="39" t="str">
        <f aca="false">IF(M25&lt;=0,"Lunas",IF(K25&gt;0,"Sebagian","Belum Bayar"))</f>
        <v>Lunas</v>
      </c>
      <c r="O25" s="39" t="n">
        <f aca="false">IF(M25&gt;0,MAX(0,Catatan!$B$3-H25),0)</f>
        <v>0</v>
      </c>
      <c r="P25" s="39" t="str">
        <f aca="false">IF(M25&lt;=0,"Lunas",IF(Catatan!$B$3&lt;=H25,"Belum Jatuh Tempo",IF(O25&lt;=30,"1-30 hari",IF(O25&lt;=60,"31-60 hari",IF(O25&lt;=90,"61-90 hari","90+ hari")))))</f>
        <v>Lunas</v>
      </c>
      <c r="Q25" s="50"/>
      <c r="R25" s="39" t="str">
        <f aca="false">IF(M25&lt;=0,"",IF(O25&gt;60,"1-Tinggi",IF(O25&gt;30,"2-Sedang",IF(O25&gt;0,"3-Rendah","4-Pantau"))))</f>
        <v/>
      </c>
      <c r="S25" s="39" t="str">
        <f aca="false">IF(AND(M25&gt;0,O25&gt;0),O25+M25/1000000000000+ROW()/1000000000000000,"")</f>
        <v/>
      </c>
      <c r="T25" s="39" t="str">
        <f aca="false">IF(J25="Belum ditukar",ROW(),"")</f>
        <v/>
      </c>
    </row>
    <row r="26" customFormat="false" ht="15" hidden="false" customHeight="false" outlineLevel="0" collapsed="false">
      <c r="A26" s="50" t="s">
        <v>206</v>
      </c>
      <c r="B26" s="51" t="n">
        <v>45665</v>
      </c>
      <c r="C26" s="50" t="s">
        <v>207</v>
      </c>
      <c r="D26" s="39" t="str">
        <f aca="false">INDEX(Master_Customer!$B$2:$B$126,MATCH(C26,Master_Customer!$A$2:$A$126,0))</f>
        <v>MAKMUR AUTO HARAPAN</v>
      </c>
      <c r="E26" s="50" t="s">
        <v>29</v>
      </c>
      <c r="F26" s="52" t="n">
        <f aca="false">SUMIFS(Data_Penjualan!$G$2:$G$5998,Data_Penjualan!$A$2:$A$5998,A26)</f>
        <v>5391200</v>
      </c>
      <c r="G26" s="39" t="n">
        <f aca="false">IF(E26="KANTOR",0,INDEX(Master_Customer!$C$2:$C$126,MATCH(C26,Master_Customer!$A$2:$A$126,0)))</f>
        <v>30</v>
      </c>
      <c r="H26" s="53" t="n">
        <f aca="false">B26+G26</f>
        <v>45695</v>
      </c>
      <c r="I26" s="51" t="n">
        <v>45667</v>
      </c>
      <c r="J26" s="39" t="str">
        <f aca="false">IF(G26=0,"Tunai",IF(I26="","Belum ditukar","Sudah ditukar"))</f>
        <v>Sudah ditukar</v>
      </c>
      <c r="K26" s="54" t="n">
        <v>5391200</v>
      </c>
      <c r="L26" s="51" t="n">
        <v>45706</v>
      </c>
      <c r="M26" s="52" t="n">
        <f aca="false">F26-K26</f>
        <v>0</v>
      </c>
      <c r="N26" s="39" t="str">
        <f aca="false">IF(M26&lt;=0,"Lunas",IF(K26&gt;0,"Sebagian","Belum Bayar"))</f>
        <v>Lunas</v>
      </c>
      <c r="O26" s="39" t="n">
        <f aca="false">IF(M26&gt;0,MAX(0,Catatan!$B$3-H26),0)</f>
        <v>0</v>
      </c>
      <c r="P26" s="39" t="str">
        <f aca="false">IF(M26&lt;=0,"Lunas",IF(Catatan!$B$3&lt;=H26,"Belum Jatuh Tempo",IF(O26&lt;=30,"1-30 hari",IF(O26&lt;=60,"31-60 hari",IF(O26&lt;=90,"61-90 hari","90+ hari")))))</f>
        <v>Lunas</v>
      </c>
      <c r="Q26" s="50"/>
      <c r="R26" s="39" t="str">
        <f aca="false">IF(M26&lt;=0,"",IF(O26&gt;60,"1-Tinggi",IF(O26&gt;30,"2-Sedang",IF(O26&gt;0,"3-Rendah","4-Pantau"))))</f>
        <v/>
      </c>
      <c r="S26" s="39" t="str">
        <f aca="false">IF(AND(M26&gt;0,O26&gt;0),O26+M26/1000000000000+ROW()/1000000000000000,"")</f>
        <v/>
      </c>
      <c r="T26" s="39" t="str">
        <f aca="false">IF(J26="Belum ditukar",ROW(),"")</f>
        <v/>
      </c>
    </row>
    <row r="27" customFormat="false" ht="15" hidden="false" customHeight="false" outlineLevel="0" collapsed="false">
      <c r="A27" s="50" t="s">
        <v>208</v>
      </c>
      <c r="B27" s="51" t="n">
        <v>45665</v>
      </c>
      <c r="C27" s="50" t="s">
        <v>209</v>
      </c>
      <c r="D27" s="39" t="str">
        <f aca="false">INDEX(Master_Customer!$B$2:$B$126,MATCH(C27,Master_Customer!$A$2:$A$126,0))</f>
        <v>PRIMA TEKNIK</v>
      </c>
      <c r="E27" s="50" t="s">
        <v>31</v>
      </c>
      <c r="F27" s="52" t="n">
        <f aca="false">SUMIFS(Data_Penjualan!$G$2:$G$5998,Data_Penjualan!$A$2:$A$5998,A27)</f>
        <v>10306800</v>
      </c>
      <c r="G27" s="39" t="n">
        <f aca="false">IF(E27="KANTOR",0,INDEX(Master_Customer!$C$2:$C$126,MATCH(C27,Master_Customer!$A$2:$A$126,0)))</f>
        <v>30</v>
      </c>
      <c r="H27" s="53" t="n">
        <f aca="false">B27+G27</f>
        <v>45695</v>
      </c>
      <c r="I27" s="51" t="n">
        <v>45667</v>
      </c>
      <c r="J27" s="39" t="str">
        <f aca="false">IF(G27=0,"Tunai",IF(I27="","Belum ditukar","Sudah ditukar"))</f>
        <v>Sudah ditukar</v>
      </c>
      <c r="K27" s="54" t="n">
        <v>10306800</v>
      </c>
      <c r="L27" s="51" t="n">
        <v>45705</v>
      </c>
      <c r="M27" s="52" t="n">
        <f aca="false">F27-K27</f>
        <v>0</v>
      </c>
      <c r="N27" s="39" t="str">
        <f aca="false">IF(M27&lt;=0,"Lunas",IF(K27&gt;0,"Sebagian","Belum Bayar"))</f>
        <v>Lunas</v>
      </c>
      <c r="O27" s="39" t="n">
        <f aca="false">IF(M27&gt;0,MAX(0,Catatan!$B$3-H27),0)</f>
        <v>0</v>
      </c>
      <c r="P27" s="39" t="str">
        <f aca="false">IF(M27&lt;=0,"Lunas",IF(Catatan!$B$3&lt;=H27,"Belum Jatuh Tempo",IF(O27&lt;=30,"1-30 hari",IF(O27&lt;=60,"31-60 hari",IF(O27&lt;=90,"61-90 hari","90+ hari")))))</f>
        <v>Lunas</v>
      </c>
      <c r="Q27" s="50"/>
      <c r="R27" s="39" t="str">
        <f aca="false">IF(M27&lt;=0,"",IF(O27&gt;60,"1-Tinggi",IF(O27&gt;30,"2-Sedang",IF(O27&gt;0,"3-Rendah","4-Pantau"))))</f>
        <v/>
      </c>
      <c r="S27" s="39" t="str">
        <f aca="false">IF(AND(M27&gt;0,O27&gt;0),O27+M27/1000000000000+ROW()/1000000000000000,"")</f>
        <v/>
      </c>
      <c r="T27" s="39" t="str">
        <f aca="false">IF(J27="Belum ditukar",ROW(),"")</f>
        <v/>
      </c>
    </row>
    <row r="28" customFormat="false" ht="15" hidden="false" customHeight="false" outlineLevel="0" collapsed="false">
      <c r="A28" s="50" t="s">
        <v>210</v>
      </c>
      <c r="B28" s="51" t="n">
        <v>45665</v>
      </c>
      <c r="C28" s="50" t="s">
        <v>211</v>
      </c>
      <c r="D28" s="39" t="str">
        <f aca="false">INDEX(Master_Customer!$B$2:$B$126,MATCH(C28,Master_Customer!$A$2:$A$126,0))</f>
        <v>PRIMA MOBIL</v>
      </c>
      <c r="E28" s="50" t="s">
        <v>30</v>
      </c>
      <c r="F28" s="52" t="n">
        <f aca="false">SUMIFS(Data_Penjualan!$G$2:$G$5998,Data_Penjualan!$A$2:$A$5998,A28)</f>
        <v>9353100</v>
      </c>
      <c r="G28" s="39" t="n">
        <f aca="false">IF(E28="KANTOR",0,INDEX(Master_Customer!$C$2:$C$126,MATCH(C28,Master_Customer!$A$2:$A$126,0)))</f>
        <v>0</v>
      </c>
      <c r="H28" s="53" t="n">
        <f aca="false">B28+G28</f>
        <v>45665</v>
      </c>
      <c r="J28" s="39" t="str">
        <f aca="false">IF(G28=0,"Tunai",IF(I28="","Belum ditukar","Sudah ditukar"))</f>
        <v>Tunai</v>
      </c>
      <c r="K28" s="54" t="n">
        <v>9353100</v>
      </c>
      <c r="L28" s="51" t="n">
        <v>45665</v>
      </c>
      <c r="M28" s="52" t="n">
        <f aca="false">F28-K28</f>
        <v>0</v>
      </c>
      <c r="N28" s="39" t="str">
        <f aca="false">IF(M28&lt;=0,"Lunas",IF(K28&gt;0,"Sebagian","Belum Bayar"))</f>
        <v>Lunas</v>
      </c>
      <c r="O28" s="39" t="n">
        <f aca="false">IF(M28&gt;0,MAX(0,Catatan!$B$3-H28),0)</f>
        <v>0</v>
      </c>
      <c r="P28" s="39" t="str">
        <f aca="false">IF(M28&lt;=0,"Lunas",IF(Catatan!$B$3&lt;=H28,"Belum Jatuh Tempo",IF(O28&lt;=30,"1-30 hari",IF(O28&lt;=60,"31-60 hari",IF(O28&lt;=90,"61-90 hari","90+ hari")))))</f>
        <v>Lunas</v>
      </c>
      <c r="Q28" s="50"/>
      <c r="R28" s="39" t="str">
        <f aca="false">IF(M28&lt;=0,"",IF(O28&gt;60,"1-Tinggi",IF(O28&gt;30,"2-Sedang",IF(O28&gt;0,"3-Rendah","4-Pantau"))))</f>
        <v/>
      </c>
      <c r="S28" s="39" t="str">
        <f aca="false">IF(AND(M28&gt;0,O28&gt;0),O28+M28/1000000000000+ROW()/1000000000000000,"")</f>
        <v/>
      </c>
      <c r="T28" s="39" t="str">
        <f aca="false">IF(J28="Belum ditukar",ROW(),"")</f>
        <v/>
      </c>
    </row>
    <row r="29" customFormat="false" ht="15" hidden="false" customHeight="false" outlineLevel="0" collapsed="false">
      <c r="A29" s="50" t="s">
        <v>212</v>
      </c>
      <c r="B29" s="51" t="n">
        <v>45666</v>
      </c>
      <c r="C29" s="50" t="s">
        <v>213</v>
      </c>
      <c r="D29" s="39" t="str">
        <f aca="false">INDEX(Master_Customer!$B$2:$B$126,MATCH(C29,Master_Customer!$A$2:$A$126,0))</f>
        <v>ABADI AUTO MAKMUR</v>
      </c>
      <c r="E29" s="50" t="s">
        <v>30</v>
      </c>
      <c r="F29" s="52" t="n">
        <f aca="false">SUMIFS(Data_Penjualan!$G$2:$G$5998,Data_Penjualan!$A$2:$A$5998,A29)</f>
        <v>8049400</v>
      </c>
      <c r="G29" s="39" t="n">
        <f aca="false">IF(E29="KANTOR",0,INDEX(Master_Customer!$C$2:$C$126,MATCH(C29,Master_Customer!$A$2:$A$126,0)))</f>
        <v>30</v>
      </c>
      <c r="H29" s="53" t="n">
        <f aca="false">B29+G29</f>
        <v>45696</v>
      </c>
      <c r="I29" s="51" t="n">
        <v>45668</v>
      </c>
      <c r="J29" s="39" t="str">
        <f aca="false">IF(G29=0,"Tunai",IF(I29="","Belum ditukar","Sudah ditukar"))</f>
        <v>Sudah ditukar</v>
      </c>
      <c r="K29" s="54" t="n">
        <v>8049400</v>
      </c>
      <c r="L29" s="51" t="n">
        <v>45696</v>
      </c>
      <c r="M29" s="52" t="n">
        <f aca="false">F29-K29</f>
        <v>0</v>
      </c>
      <c r="N29" s="39" t="str">
        <f aca="false">IF(M29&lt;=0,"Lunas",IF(K29&gt;0,"Sebagian","Belum Bayar"))</f>
        <v>Lunas</v>
      </c>
      <c r="O29" s="39" t="n">
        <f aca="false">IF(M29&gt;0,MAX(0,Catatan!$B$3-H29),0)</f>
        <v>0</v>
      </c>
      <c r="P29" s="39" t="str">
        <f aca="false">IF(M29&lt;=0,"Lunas",IF(Catatan!$B$3&lt;=H29,"Belum Jatuh Tempo",IF(O29&lt;=30,"1-30 hari",IF(O29&lt;=60,"31-60 hari",IF(O29&lt;=90,"61-90 hari","90+ hari")))))</f>
        <v>Lunas</v>
      </c>
      <c r="Q29" s="50"/>
      <c r="R29" s="39" t="str">
        <f aca="false">IF(M29&lt;=0,"",IF(O29&gt;60,"1-Tinggi",IF(O29&gt;30,"2-Sedang",IF(O29&gt;0,"3-Rendah","4-Pantau"))))</f>
        <v/>
      </c>
      <c r="S29" s="39" t="str">
        <f aca="false">IF(AND(M29&gt;0,O29&gt;0),O29+M29/1000000000000+ROW()/1000000000000000,"")</f>
        <v/>
      </c>
      <c r="T29" s="39" t="str">
        <f aca="false">IF(J29="Belum ditukar",ROW(),"")</f>
        <v/>
      </c>
    </row>
    <row r="30" customFormat="false" ht="15" hidden="false" customHeight="false" outlineLevel="0" collapsed="false">
      <c r="A30" s="50" t="s">
        <v>214</v>
      </c>
      <c r="B30" s="51" t="n">
        <v>45666</v>
      </c>
      <c r="C30" s="50" t="s">
        <v>170</v>
      </c>
      <c r="D30" s="39" t="str">
        <f aca="false">INDEX(Master_Customer!$B$2:$B$126,MATCH(C30,Master_Customer!$A$2:$A$126,0))</f>
        <v>HARAPAN MOTOR</v>
      </c>
      <c r="E30" s="50" t="s">
        <v>30</v>
      </c>
      <c r="F30" s="52" t="n">
        <f aca="false">SUMIFS(Data_Penjualan!$G$2:$G$5998,Data_Penjualan!$A$2:$A$5998,A30)</f>
        <v>11581600</v>
      </c>
      <c r="G30" s="39" t="n">
        <f aca="false">IF(E30="KANTOR",0,INDEX(Master_Customer!$C$2:$C$126,MATCH(C30,Master_Customer!$A$2:$A$126,0)))</f>
        <v>45</v>
      </c>
      <c r="H30" s="53" t="n">
        <f aca="false">B30+G30</f>
        <v>45711</v>
      </c>
      <c r="I30" s="51" t="n">
        <v>45671</v>
      </c>
      <c r="J30" s="39" t="str">
        <f aca="false">IF(G30=0,"Tunai",IF(I30="","Belum ditukar","Sudah ditukar"))</f>
        <v>Sudah ditukar</v>
      </c>
      <c r="K30" s="54" t="n">
        <v>11581600</v>
      </c>
      <c r="L30" s="51" t="n">
        <v>45713</v>
      </c>
      <c r="M30" s="52" t="n">
        <f aca="false">F30-K30</f>
        <v>0</v>
      </c>
      <c r="N30" s="39" t="str">
        <f aca="false">IF(M30&lt;=0,"Lunas",IF(K30&gt;0,"Sebagian","Belum Bayar"))</f>
        <v>Lunas</v>
      </c>
      <c r="O30" s="39" t="n">
        <f aca="false">IF(M30&gt;0,MAX(0,Catatan!$B$3-H30),0)</f>
        <v>0</v>
      </c>
      <c r="P30" s="39" t="str">
        <f aca="false">IF(M30&lt;=0,"Lunas",IF(Catatan!$B$3&lt;=H30,"Belum Jatuh Tempo",IF(O30&lt;=30,"1-30 hari",IF(O30&lt;=60,"31-60 hari",IF(O30&lt;=90,"61-90 hari","90+ hari")))))</f>
        <v>Lunas</v>
      </c>
      <c r="Q30" s="50"/>
      <c r="R30" s="39" t="str">
        <f aca="false">IF(M30&lt;=0,"",IF(O30&gt;60,"1-Tinggi",IF(O30&gt;30,"2-Sedang",IF(O30&gt;0,"3-Rendah","4-Pantau"))))</f>
        <v/>
      </c>
      <c r="S30" s="39" t="str">
        <f aca="false">IF(AND(M30&gt;0,O30&gt;0),O30+M30/1000000000000+ROW()/1000000000000000,"")</f>
        <v/>
      </c>
      <c r="T30" s="39" t="str">
        <f aca="false">IF(J30="Belum ditukar",ROW(),"")</f>
        <v/>
      </c>
    </row>
    <row r="31" customFormat="false" ht="15" hidden="false" customHeight="false" outlineLevel="0" collapsed="false">
      <c r="A31" s="50" t="s">
        <v>215</v>
      </c>
      <c r="B31" s="51" t="n">
        <v>45666</v>
      </c>
      <c r="C31" s="50" t="s">
        <v>216</v>
      </c>
      <c r="D31" s="39" t="str">
        <f aca="false">INDEX(Master_Customer!$B$2:$B$126,MATCH(C31,Master_Customer!$A$2:$A$126,0))</f>
        <v>SINAR MOTOR UTAMA</v>
      </c>
      <c r="E31" s="50" t="s">
        <v>30</v>
      </c>
      <c r="F31" s="52" t="n">
        <f aca="false">SUMIFS(Data_Penjualan!$G$2:$G$5998,Data_Penjualan!$A$2:$A$5998,A31)</f>
        <v>5045600</v>
      </c>
      <c r="G31" s="39" t="n">
        <f aca="false">IF(E31="KANTOR",0,INDEX(Master_Customer!$C$2:$C$126,MATCH(C31,Master_Customer!$A$2:$A$126,0)))</f>
        <v>0</v>
      </c>
      <c r="H31" s="53" t="n">
        <f aca="false">B31+G31</f>
        <v>45666</v>
      </c>
      <c r="J31" s="39" t="str">
        <f aca="false">IF(G31=0,"Tunai",IF(I31="","Belum ditukar","Sudah ditukar"))</f>
        <v>Tunai</v>
      </c>
      <c r="K31" s="54" t="n">
        <v>5045600</v>
      </c>
      <c r="L31" s="51" t="n">
        <v>45666</v>
      </c>
      <c r="M31" s="52" t="n">
        <f aca="false">F31-K31</f>
        <v>0</v>
      </c>
      <c r="N31" s="39" t="str">
        <f aca="false">IF(M31&lt;=0,"Lunas",IF(K31&gt;0,"Sebagian","Belum Bayar"))</f>
        <v>Lunas</v>
      </c>
      <c r="O31" s="39" t="n">
        <f aca="false">IF(M31&gt;0,MAX(0,Catatan!$B$3-H31),0)</f>
        <v>0</v>
      </c>
      <c r="P31" s="39" t="str">
        <f aca="false">IF(M31&lt;=0,"Lunas",IF(Catatan!$B$3&lt;=H31,"Belum Jatuh Tempo",IF(O31&lt;=30,"1-30 hari",IF(O31&lt;=60,"31-60 hari",IF(O31&lt;=90,"61-90 hari","90+ hari")))))</f>
        <v>Lunas</v>
      </c>
      <c r="Q31" s="50"/>
      <c r="R31" s="39" t="str">
        <f aca="false">IF(M31&lt;=0,"",IF(O31&gt;60,"1-Tinggi",IF(O31&gt;30,"2-Sedang",IF(O31&gt;0,"3-Rendah","4-Pantau"))))</f>
        <v/>
      </c>
      <c r="S31" s="39" t="str">
        <f aca="false">IF(AND(M31&gt;0,O31&gt;0),O31+M31/1000000000000+ROW()/1000000000000000,"")</f>
        <v/>
      </c>
      <c r="T31" s="39" t="str">
        <f aca="false">IF(J31="Belum ditukar",ROW(),"")</f>
        <v/>
      </c>
    </row>
    <row r="32" customFormat="false" ht="15" hidden="false" customHeight="false" outlineLevel="0" collapsed="false">
      <c r="A32" s="50" t="s">
        <v>217</v>
      </c>
      <c r="B32" s="51" t="n">
        <v>45666</v>
      </c>
      <c r="C32" s="50" t="s">
        <v>218</v>
      </c>
      <c r="D32" s="39" t="str">
        <f aca="false">INDEX(Master_Customer!$B$2:$B$126,MATCH(C32,Master_Customer!$A$2:$A$126,0))</f>
        <v>SURYA SERVICE LANCAR</v>
      </c>
      <c r="E32" s="50" t="s">
        <v>28</v>
      </c>
      <c r="F32" s="52" t="n">
        <f aca="false">SUMIFS(Data_Penjualan!$G$2:$G$5998,Data_Penjualan!$A$2:$A$5998,A32)</f>
        <v>5771900</v>
      </c>
      <c r="G32" s="39" t="n">
        <f aca="false">IF(E32="KANTOR",0,INDEX(Master_Customer!$C$2:$C$126,MATCH(C32,Master_Customer!$A$2:$A$126,0)))</f>
        <v>0</v>
      </c>
      <c r="H32" s="53" t="n">
        <f aca="false">B32+G32</f>
        <v>45666</v>
      </c>
      <c r="J32" s="39" t="str">
        <f aca="false">IF(G32=0,"Tunai",IF(I32="","Belum ditukar","Sudah ditukar"))</f>
        <v>Tunai</v>
      </c>
      <c r="K32" s="54" t="n">
        <v>5771900</v>
      </c>
      <c r="L32" s="51" t="n">
        <v>45667</v>
      </c>
      <c r="M32" s="52" t="n">
        <f aca="false">F32-K32</f>
        <v>0</v>
      </c>
      <c r="N32" s="39" t="str">
        <f aca="false">IF(M32&lt;=0,"Lunas",IF(K32&gt;0,"Sebagian","Belum Bayar"))</f>
        <v>Lunas</v>
      </c>
      <c r="O32" s="39" t="n">
        <f aca="false">IF(M32&gt;0,MAX(0,Catatan!$B$3-H32),0)</f>
        <v>0</v>
      </c>
      <c r="P32" s="39" t="str">
        <f aca="false">IF(M32&lt;=0,"Lunas",IF(Catatan!$B$3&lt;=H32,"Belum Jatuh Tempo",IF(O32&lt;=30,"1-30 hari",IF(O32&lt;=60,"31-60 hari",IF(O32&lt;=90,"61-90 hari","90+ hari")))))</f>
        <v>Lunas</v>
      </c>
      <c r="Q32" s="50"/>
      <c r="R32" s="39" t="str">
        <f aca="false">IF(M32&lt;=0,"",IF(O32&gt;60,"1-Tinggi",IF(O32&gt;30,"2-Sedang",IF(O32&gt;0,"3-Rendah","4-Pantau"))))</f>
        <v/>
      </c>
      <c r="S32" s="39" t="str">
        <f aca="false">IF(AND(M32&gt;0,O32&gt;0),O32+M32/1000000000000+ROW()/1000000000000000,"")</f>
        <v/>
      </c>
      <c r="T32" s="39" t="str">
        <f aca="false">IF(J32="Belum ditukar",ROW(),"")</f>
        <v/>
      </c>
    </row>
    <row r="33" customFormat="false" ht="15" hidden="false" customHeight="false" outlineLevel="0" collapsed="false">
      <c r="A33" s="50" t="s">
        <v>219</v>
      </c>
      <c r="B33" s="51" t="n">
        <v>45666</v>
      </c>
      <c r="C33" s="50" t="s">
        <v>179</v>
      </c>
      <c r="D33" s="39" t="str">
        <f aca="false">INDEX(Master_Customer!$B$2:$B$126,MATCH(C33,Master_Customer!$A$2:$A$126,0))</f>
        <v>BINTANG TEKNIK SURYA</v>
      </c>
      <c r="E33" s="50" t="s">
        <v>32</v>
      </c>
      <c r="F33" s="52" t="n">
        <f aca="false">SUMIFS(Data_Penjualan!$G$2:$G$5998,Data_Penjualan!$A$2:$A$5998,A33)</f>
        <v>4322500</v>
      </c>
      <c r="G33" s="39" t="n">
        <f aca="false">IF(E33="KANTOR",0,INDEX(Master_Customer!$C$2:$C$126,MATCH(C33,Master_Customer!$A$2:$A$126,0)))</f>
        <v>0</v>
      </c>
      <c r="H33" s="53" t="n">
        <f aca="false">B33+G33</f>
        <v>45666</v>
      </c>
      <c r="J33" s="39" t="str">
        <f aca="false">IF(G33=0,"Tunai",IF(I33="","Belum ditukar","Sudah ditukar"))</f>
        <v>Tunai</v>
      </c>
      <c r="K33" s="54" t="n">
        <v>4322500</v>
      </c>
      <c r="L33" s="51" t="n">
        <v>45666</v>
      </c>
      <c r="M33" s="52" t="n">
        <f aca="false">F33-K33</f>
        <v>0</v>
      </c>
      <c r="N33" s="39" t="str">
        <f aca="false">IF(M33&lt;=0,"Lunas",IF(K33&gt;0,"Sebagian","Belum Bayar"))</f>
        <v>Lunas</v>
      </c>
      <c r="O33" s="39" t="n">
        <f aca="false">IF(M33&gt;0,MAX(0,Catatan!$B$3-H33),0)</f>
        <v>0</v>
      </c>
      <c r="P33" s="39" t="str">
        <f aca="false">IF(M33&lt;=0,"Lunas",IF(Catatan!$B$3&lt;=H33,"Belum Jatuh Tempo",IF(O33&lt;=30,"1-30 hari",IF(O33&lt;=60,"31-60 hari",IF(O33&lt;=90,"61-90 hari","90+ hari")))))</f>
        <v>Lunas</v>
      </c>
      <c r="Q33" s="50"/>
      <c r="R33" s="39" t="str">
        <f aca="false">IF(M33&lt;=0,"",IF(O33&gt;60,"1-Tinggi",IF(O33&gt;30,"2-Sedang",IF(O33&gt;0,"3-Rendah","4-Pantau"))))</f>
        <v/>
      </c>
      <c r="S33" s="39" t="str">
        <f aca="false">IF(AND(M33&gt;0,O33&gt;0),O33+M33/1000000000000+ROW()/1000000000000000,"")</f>
        <v/>
      </c>
      <c r="T33" s="39" t="str">
        <f aca="false">IF(J33="Belum ditukar",ROW(),"")</f>
        <v/>
      </c>
    </row>
    <row r="34" customFormat="false" ht="15" hidden="false" customHeight="false" outlineLevel="0" collapsed="false">
      <c r="A34" s="50" t="s">
        <v>220</v>
      </c>
      <c r="B34" s="51" t="n">
        <v>45666</v>
      </c>
      <c r="C34" s="50" t="s">
        <v>221</v>
      </c>
      <c r="D34" s="39" t="str">
        <f aca="false">INDEX(Master_Customer!$B$2:$B$126,MATCH(C34,Master_Customer!$A$2:$A$126,0))</f>
        <v>ABADI AUTO SURYA</v>
      </c>
      <c r="E34" s="50" t="s">
        <v>31</v>
      </c>
      <c r="F34" s="52" t="n">
        <f aca="false">SUMIFS(Data_Penjualan!$G$2:$G$5998,Data_Penjualan!$A$2:$A$5998,A34)</f>
        <v>15456400</v>
      </c>
      <c r="G34" s="39" t="n">
        <f aca="false">IF(E34="KANTOR",0,INDEX(Master_Customer!$C$2:$C$126,MATCH(C34,Master_Customer!$A$2:$A$126,0)))</f>
        <v>14</v>
      </c>
      <c r="H34" s="53" t="n">
        <f aca="false">B34+G34</f>
        <v>45680</v>
      </c>
      <c r="I34" s="51" t="n">
        <v>45670</v>
      </c>
      <c r="J34" s="39" t="str">
        <f aca="false">IF(G34=0,"Tunai",IF(I34="","Belum ditukar","Sudah ditukar"))</f>
        <v>Sudah ditukar</v>
      </c>
      <c r="K34" s="54" t="n">
        <v>15456400</v>
      </c>
      <c r="L34" s="51" t="n">
        <v>45747</v>
      </c>
      <c r="M34" s="52" t="n">
        <f aca="false">F34-K34</f>
        <v>0</v>
      </c>
      <c r="N34" s="39" t="str">
        <f aca="false">IF(M34&lt;=0,"Lunas",IF(K34&gt;0,"Sebagian","Belum Bayar"))</f>
        <v>Lunas</v>
      </c>
      <c r="O34" s="39" t="n">
        <f aca="false">IF(M34&gt;0,MAX(0,Catatan!$B$3-H34),0)</f>
        <v>0</v>
      </c>
      <c r="P34" s="39" t="str">
        <f aca="false">IF(M34&lt;=0,"Lunas",IF(Catatan!$B$3&lt;=H34,"Belum Jatuh Tempo",IF(O34&lt;=30,"1-30 hari",IF(O34&lt;=60,"31-60 hari",IF(O34&lt;=90,"61-90 hari","90+ hari")))))</f>
        <v>Lunas</v>
      </c>
      <c r="Q34" s="50"/>
      <c r="R34" s="39" t="str">
        <f aca="false">IF(M34&lt;=0,"",IF(O34&gt;60,"1-Tinggi",IF(O34&gt;30,"2-Sedang",IF(O34&gt;0,"3-Rendah","4-Pantau"))))</f>
        <v/>
      </c>
      <c r="S34" s="39" t="str">
        <f aca="false">IF(AND(M34&gt;0,O34&gt;0),O34+M34/1000000000000+ROW()/1000000000000000,"")</f>
        <v/>
      </c>
      <c r="T34" s="39" t="str">
        <f aca="false">IF(J34="Belum ditukar",ROW(),"")</f>
        <v/>
      </c>
    </row>
    <row r="35" customFormat="false" ht="15" hidden="false" customHeight="false" outlineLevel="0" collapsed="false">
      <c r="A35" s="50" t="s">
        <v>222</v>
      </c>
      <c r="B35" s="51" t="n">
        <v>45666</v>
      </c>
      <c r="C35" s="50" t="s">
        <v>223</v>
      </c>
      <c r="D35" s="39" t="str">
        <f aca="false">INDEX(Master_Customer!$B$2:$B$126,MATCH(C35,Master_Customer!$A$2:$A$126,0))</f>
        <v>ABADI AUTO UTAMA</v>
      </c>
      <c r="E35" s="50" t="s">
        <v>31</v>
      </c>
      <c r="F35" s="52" t="n">
        <f aca="false">SUMIFS(Data_Penjualan!$G$2:$G$5998,Data_Penjualan!$A$2:$A$5998,A35)</f>
        <v>1731600</v>
      </c>
      <c r="G35" s="39" t="n">
        <f aca="false">IF(E35="KANTOR",0,INDEX(Master_Customer!$C$2:$C$126,MATCH(C35,Master_Customer!$A$2:$A$126,0)))</f>
        <v>14</v>
      </c>
      <c r="H35" s="53" t="n">
        <f aca="false">B35+G35</f>
        <v>45680</v>
      </c>
      <c r="I35" s="51" t="n">
        <v>45671</v>
      </c>
      <c r="J35" s="39" t="str">
        <f aca="false">IF(G35=0,"Tunai",IF(I35="","Belum ditukar","Sudah ditukar"))</f>
        <v>Sudah ditukar</v>
      </c>
      <c r="K35" s="54" t="n">
        <v>1731600</v>
      </c>
      <c r="L35" s="51" t="n">
        <v>45725</v>
      </c>
      <c r="M35" s="52" t="n">
        <f aca="false">F35-K35</f>
        <v>0</v>
      </c>
      <c r="N35" s="39" t="str">
        <f aca="false">IF(M35&lt;=0,"Lunas",IF(K35&gt;0,"Sebagian","Belum Bayar"))</f>
        <v>Lunas</v>
      </c>
      <c r="O35" s="39" t="n">
        <f aca="false">IF(M35&gt;0,MAX(0,Catatan!$B$3-H35),0)</f>
        <v>0</v>
      </c>
      <c r="P35" s="39" t="str">
        <f aca="false">IF(M35&lt;=0,"Lunas",IF(Catatan!$B$3&lt;=H35,"Belum Jatuh Tempo",IF(O35&lt;=30,"1-30 hari",IF(O35&lt;=60,"31-60 hari",IF(O35&lt;=90,"61-90 hari","90+ hari")))))</f>
        <v>Lunas</v>
      </c>
      <c r="Q35" s="50"/>
      <c r="R35" s="39" t="str">
        <f aca="false">IF(M35&lt;=0,"",IF(O35&gt;60,"1-Tinggi",IF(O35&gt;30,"2-Sedang",IF(O35&gt;0,"3-Rendah","4-Pantau"))))</f>
        <v/>
      </c>
      <c r="S35" s="39" t="str">
        <f aca="false">IF(AND(M35&gt;0,O35&gt;0),O35+M35/1000000000000+ROW()/1000000000000000,"")</f>
        <v/>
      </c>
      <c r="T35" s="39" t="str">
        <f aca="false">IF(J35="Belum ditukar",ROW(),"")</f>
        <v/>
      </c>
    </row>
    <row r="36" customFormat="false" ht="15" hidden="false" customHeight="false" outlineLevel="0" collapsed="false">
      <c r="A36" s="50" t="s">
        <v>224</v>
      </c>
      <c r="B36" s="51" t="n">
        <v>45666</v>
      </c>
      <c r="C36" s="50" t="s">
        <v>225</v>
      </c>
      <c r="D36" s="39" t="str">
        <f aca="false">INDEX(Master_Customer!$B$2:$B$126,MATCH(C36,Master_Customer!$A$2:$A$126,0))</f>
        <v>KARYA LUBRICANT ABADI</v>
      </c>
      <c r="E36" s="50" t="s">
        <v>32</v>
      </c>
      <c r="F36" s="52" t="n">
        <f aca="false">SUMIFS(Data_Penjualan!$G$2:$G$5998,Data_Penjualan!$A$2:$A$5998,A36)</f>
        <v>17318100</v>
      </c>
      <c r="G36" s="39" t="n">
        <f aca="false">IF(E36="KANTOR",0,INDEX(Master_Customer!$C$2:$C$126,MATCH(C36,Master_Customer!$A$2:$A$126,0)))</f>
        <v>0</v>
      </c>
      <c r="H36" s="53" t="n">
        <f aca="false">B36+G36</f>
        <v>45666</v>
      </c>
      <c r="J36" s="39" t="str">
        <f aca="false">IF(G36=0,"Tunai",IF(I36="","Belum ditukar","Sudah ditukar"))</f>
        <v>Tunai</v>
      </c>
      <c r="K36" s="54" t="n">
        <v>17318100</v>
      </c>
      <c r="L36" s="51" t="n">
        <v>45666</v>
      </c>
      <c r="M36" s="52" t="n">
        <f aca="false">F36-K36</f>
        <v>0</v>
      </c>
      <c r="N36" s="39" t="str">
        <f aca="false">IF(M36&lt;=0,"Lunas",IF(K36&gt;0,"Sebagian","Belum Bayar"))</f>
        <v>Lunas</v>
      </c>
      <c r="O36" s="39" t="n">
        <f aca="false">IF(M36&gt;0,MAX(0,Catatan!$B$3-H36),0)</f>
        <v>0</v>
      </c>
      <c r="P36" s="39" t="str">
        <f aca="false">IF(M36&lt;=0,"Lunas",IF(Catatan!$B$3&lt;=H36,"Belum Jatuh Tempo",IF(O36&lt;=30,"1-30 hari",IF(O36&lt;=60,"31-60 hari",IF(O36&lt;=90,"61-90 hari","90+ hari")))))</f>
        <v>Lunas</v>
      </c>
      <c r="Q36" s="50"/>
      <c r="R36" s="39" t="str">
        <f aca="false">IF(M36&lt;=0,"",IF(O36&gt;60,"1-Tinggi",IF(O36&gt;30,"2-Sedang",IF(O36&gt;0,"3-Rendah","4-Pantau"))))</f>
        <v/>
      </c>
      <c r="S36" s="39" t="str">
        <f aca="false">IF(AND(M36&gt;0,O36&gt;0),O36+M36/1000000000000+ROW()/1000000000000000,"")</f>
        <v/>
      </c>
      <c r="T36" s="39" t="str">
        <f aca="false">IF(J36="Belum ditukar",ROW(),"")</f>
        <v/>
      </c>
    </row>
    <row r="37" customFormat="false" ht="15" hidden="false" customHeight="false" outlineLevel="0" collapsed="false">
      <c r="A37" s="50" t="s">
        <v>226</v>
      </c>
      <c r="B37" s="51" t="n">
        <v>45666</v>
      </c>
      <c r="C37" s="50" t="s">
        <v>211</v>
      </c>
      <c r="D37" s="39" t="str">
        <f aca="false">INDEX(Master_Customer!$B$2:$B$126,MATCH(C37,Master_Customer!$A$2:$A$126,0))</f>
        <v>PRIMA MOBIL</v>
      </c>
      <c r="E37" s="50" t="s">
        <v>30</v>
      </c>
      <c r="F37" s="52" t="n">
        <f aca="false">SUMIFS(Data_Penjualan!$G$2:$G$5998,Data_Penjualan!$A$2:$A$5998,A37)</f>
        <v>14172500</v>
      </c>
      <c r="G37" s="39" t="n">
        <f aca="false">IF(E37="KANTOR",0,INDEX(Master_Customer!$C$2:$C$126,MATCH(C37,Master_Customer!$A$2:$A$126,0)))</f>
        <v>0</v>
      </c>
      <c r="H37" s="53" t="n">
        <f aca="false">B37+G37</f>
        <v>45666</v>
      </c>
      <c r="J37" s="39" t="str">
        <f aca="false">IF(G37=0,"Tunai",IF(I37="","Belum ditukar","Sudah ditukar"))</f>
        <v>Tunai</v>
      </c>
      <c r="K37" s="54" t="n">
        <v>14172500</v>
      </c>
      <c r="L37" s="51" t="n">
        <v>45666</v>
      </c>
      <c r="M37" s="52" t="n">
        <f aca="false">F37-K37</f>
        <v>0</v>
      </c>
      <c r="N37" s="39" t="str">
        <f aca="false">IF(M37&lt;=0,"Lunas",IF(K37&gt;0,"Sebagian","Belum Bayar"))</f>
        <v>Lunas</v>
      </c>
      <c r="O37" s="39" t="n">
        <f aca="false">IF(M37&gt;0,MAX(0,Catatan!$B$3-H37),0)</f>
        <v>0</v>
      </c>
      <c r="P37" s="39" t="str">
        <f aca="false">IF(M37&lt;=0,"Lunas",IF(Catatan!$B$3&lt;=H37,"Belum Jatuh Tempo",IF(O37&lt;=30,"1-30 hari",IF(O37&lt;=60,"31-60 hari",IF(O37&lt;=90,"61-90 hari","90+ hari")))))</f>
        <v>Lunas</v>
      </c>
      <c r="Q37" s="50"/>
      <c r="R37" s="39" t="str">
        <f aca="false">IF(M37&lt;=0,"",IF(O37&gt;60,"1-Tinggi",IF(O37&gt;30,"2-Sedang",IF(O37&gt;0,"3-Rendah","4-Pantau"))))</f>
        <v/>
      </c>
      <c r="S37" s="39" t="str">
        <f aca="false">IF(AND(M37&gt;0,O37&gt;0),O37+M37/1000000000000+ROW()/1000000000000000,"")</f>
        <v/>
      </c>
      <c r="T37" s="39" t="str">
        <f aca="false">IF(J37="Belum ditukar",ROW(),"")</f>
        <v/>
      </c>
    </row>
    <row r="38" customFormat="false" ht="15" hidden="false" customHeight="false" outlineLevel="0" collapsed="false">
      <c r="A38" s="50" t="s">
        <v>227</v>
      </c>
      <c r="B38" s="51" t="n">
        <v>45667</v>
      </c>
      <c r="C38" s="50" t="s">
        <v>228</v>
      </c>
      <c r="D38" s="39" t="str">
        <f aca="false">INDEX(Master_Customer!$B$2:$B$126,MATCH(C38,Master_Customer!$A$2:$A$126,0))</f>
        <v>MAKMUR SERVICE JAYA</v>
      </c>
      <c r="E38" s="50" t="s">
        <v>29</v>
      </c>
      <c r="F38" s="52" t="n">
        <f aca="false">SUMIFS(Data_Penjualan!$G$2:$G$5998,Data_Penjualan!$A$2:$A$5998,A38)</f>
        <v>3958000</v>
      </c>
      <c r="G38" s="39" t="n">
        <f aca="false">IF(E38="KANTOR",0,INDEX(Master_Customer!$C$2:$C$126,MATCH(C38,Master_Customer!$A$2:$A$126,0)))</f>
        <v>30</v>
      </c>
      <c r="H38" s="53" t="n">
        <f aca="false">B38+G38</f>
        <v>45697</v>
      </c>
      <c r="I38" s="51" t="n">
        <v>45669</v>
      </c>
      <c r="J38" s="39" t="str">
        <f aca="false">IF(G38=0,"Tunai",IF(I38="","Belum ditukar","Sudah ditukar"))</f>
        <v>Sudah ditukar</v>
      </c>
      <c r="K38" s="54" t="n">
        <v>3958000</v>
      </c>
      <c r="L38" s="51" t="n">
        <v>45729</v>
      </c>
      <c r="M38" s="52" t="n">
        <f aca="false">F38-K38</f>
        <v>0</v>
      </c>
      <c r="N38" s="39" t="str">
        <f aca="false">IF(M38&lt;=0,"Lunas",IF(K38&gt;0,"Sebagian","Belum Bayar"))</f>
        <v>Lunas</v>
      </c>
      <c r="O38" s="39" t="n">
        <f aca="false">IF(M38&gt;0,MAX(0,Catatan!$B$3-H38),0)</f>
        <v>0</v>
      </c>
      <c r="P38" s="39" t="str">
        <f aca="false">IF(M38&lt;=0,"Lunas",IF(Catatan!$B$3&lt;=H38,"Belum Jatuh Tempo",IF(O38&lt;=30,"1-30 hari",IF(O38&lt;=60,"31-60 hari",IF(O38&lt;=90,"61-90 hari","90+ hari")))))</f>
        <v>Lunas</v>
      </c>
      <c r="Q38" s="50"/>
      <c r="R38" s="39" t="str">
        <f aca="false">IF(M38&lt;=0,"",IF(O38&gt;60,"1-Tinggi",IF(O38&gt;30,"2-Sedang",IF(O38&gt;0,"3-Rendah","4-Pantau"))))</f>
        <v/>
      </c>
      <c r="S38" s="39" t="str">
        <f aca="false">IF(AND(M38&gt;0,O38&gt;0),O38+M38/1000000000000+ROW()/1000000000000000,"")</f>
        <v/>
      </c>
      <c r="T38" s="39" t="str">
        <f aca="false">IF(J38="Belum ditukar",ROW(),"")</f>
        <v/>
      </c>
    </row>
    <row r="39" customFormat="false" ht="15" hidden="false" customHeight="false" outlineLevel="0" collapsed="false">
      <c r="A39" s="50" t="s">
        <v>229</v>
      </c>
      <c r="B39" s="51" t="n">
        <v>45667</v>
      </c>
      <c r="C39" s="50" t="s">
        <v>230</v>
      </c>
      <c r="D39" s="39" t="str">
        <f aca="false">INDEX(Master_Customer!$B$2:$B$126,MATCH(C39,Master_Customer!$A$2:$A$126,0))</f>
        <v>BINTANG MOBIL JAYA</v>
      </c>
      <c r="E39" s="50" t="s">
        <v>28</v>
      </c>
      <c r="F39" s="52" t="n">
        <f aca="false">SUMIFS(Data_Penjualan!$G$2:$G$5998,Data_Penjualan!$A$2:$A$5998,A39)</f>
        <v>23018700</v>
      </c>
      <c r="G39" s="39" t="n">
        <f aca="false">IF(E39="KANTOR",0,INDEX(Master_Customer!$C$2:$C$126,MATCH(C39,Master_Customer!$A$2:$A$126,0)))</f>
        <v>45</v>
      </c>
      <c r="H39" s="53" t="n">
        <f aca="false">B39+G39</f>
        <v>45712</v>
      </c>
      <c r="I39" s="51" t="n">
        <v>45670</v>
      </c>
      <c r="J39" s="39" t="str">
        <f aca="false">IF(G39=0,"Tunai",IF(I39="","Belum ditukar","Sudah ditukar"))</f>
        <v>Sudah ditukar</v>
      </c>
      <c r="K39" s="54" t="n">
        <v>23018700</v>
      </c>
      <c r="L39" s="51" t="n">
        <v>45710</v>
      </c>
      <c r="M39" s="52" t="n">
        <f aca="false">F39-K39</f>
        <v>0</v>
      </c>
      <c r="N39" s="39" t="str">
        <f aca="false">IF(M39&lt;=0,"Lunas",IF(K39&gt;0,"Sebagian","Belum Bayar"))</f>
        <v>Lunas</v>
      </c>
      <c r="O39" s="39" t="n">
        <f aca="false">IF(M39&gt;0,MAX(0,Catatan!$B$3-H39),0)</f>
        <v>0</v>
      </c>
      <c r="P39" s="39" t="str">
        <f aca="false">IF(M39&lt;=0,"Lunas",IF(Catatan!$B$3&lt;=H39,"Belum Jatuh Tempo",IF(O39&lt;=30,"1-30 hari",IF(O39&lt;=60,"31-60 hari",IF(O39&lt;=90,"61-90 hari","90+ hari")))))</f>
        <v>Lunas</v>
      </c>
      <c r="Q39" s="50"/>
      <c r="R39" s="39" t="str">
        <f aca="false">IF(M39&lt;=0,"",IF(O39&gt;60,"1-Tinggi",IF(O39&gt;30,"2-Sedang",IF(O39&gt;0,"3-Rendah","4-Pantau"))))</f>
        <v/>
      </c>
      <c r="S39" s="39" t="str">
        <f aca="false">IF(AND(M39&gt;0,O39&gt;0),O39+M39/1000000000000+ROW()/1000000000000000,"")</f>
        <v/>
      </c>
      <c r="T39" s="39" t="str">
        <f aca="false">IF(J39="Belum ditukar",ROW(),"")</f>
        <v/>
      </c>
    </row>
    <row r="40" customFormat="false" ht="15" hidden="false" customHeight="false" outlineLevel="0" collapsed="false">
      <c r="A40" s="50" t="s">
        <v>231</v>
      </c>
      <c r="B40" s="51" t="n">
        <v>45667</v>
      </c>
      <c r="C40" s="50" t="s">
        <v>232</v>
      </c>
      <c r="D40" s="39" t="str">
        <f aca="false">INDEX(Master_Customer!$B$2:$B$126,MATCH(C40,Master_Customer!$A$2:$A$126,0))</f>
        <v>ABADI LUBRICANT KARYA</v>
      </c>
      <c r="E40" s="50" t="s">
        <v>32</v>
      </c>
      <c r="F40" s="52" t="n">
        <f aca="false">SUMIFS(Data_Penjualan!$G$2:$G$5998,Data_Penjualan!$A$2:$A$5998,A40)</f>
        <v>7889200</v>
      </c>
      <c r="G40" s="39" t="n">
        <f aca="false">IF(E40="KANTOR",0,INDEX(Master_Customer!$C$2:$C$126,MATCH(C40,Master_Customer!$A$2:$A$126,0)))</f>
        <v>0</v>
      </c>
      <c r="H40" s="53" t="n">
        <f aca="false">B40+G40</f>
        <v>45667</v>
      </c>
      <c r="J40" s="39" t="str">
        <f aca="false">IF(G40=0,"Tunai",IF(I40="","Belum ditukar","Sudah ditukar"))</f>
        <v>Tunai</v>
      </c>
      <c r="K40" s="54" t="n">
        <v>7889200</v>
      </c>
      <c r="L40" s="51" t="n">
        <v>45667</v>
      </c>
      <c r="M40" s="52" t="n">
        <f aca="false">F40-K40</f>
        <v>0</v>
      </c>
      <c r="N40" s="39" t="str">
        <f aca="false">IF(M40&lt;=0,"Lunas",IF(K40&gt;0,"Sebagian","Belum Bayar"))</f>
        <v>Lunas</v>
      </c>
      <c r="O40" s="39" t="n">
        <f aca="false">IF(M40&gt;0,MAX(0,Catatan!$B$3-H40),0)</f>
        <v>0</v>
      </c>
      <c r="P40" s="39" t="str">
        <f aca="false">IF(M40&lt;=0,"Lunas",IF(Catatan!$B$3&lt;=H40,"Belum Jatuh Tempo",IF(O40&lt;=30,"1-30 hari",IF(O40&lt;=60,"31-60 hari",IF(O40&lt;=90,"61-90 hari","90+ hari")))))</f>
        <v>Lunas</v>
      </c>
      <c r="Q40" s="50"/>
      <c r="R40" s="39" t="str">
        <f aca="false">IF(M40&lt;=0,"",IF(O40&gt;60,"1-Tinggi",IF(O40&gt;30,"2-Sedang",IF(O40&gt;0,"3-Rendah","4-Pantau"))))</f>
        <v/>
      </c>
      <c r="S40" s="39" t="str">
        <f aca="false">IF(AND(M40&gt;0,O40&gt;0),O40+M40/1000000000000+ROW()/1000000000000000,"")</f>
        <v/>
      </c>
      <c r="T40" s="39" t="str">
        <f aca="false">IF(J40="Belum ditukar",ROW(),"")</f>
        <v/>
      </c>
    </row>
    <row r="41" customFormat="false" ht="15" hidden="false" customHeight="false" outlineLevel="0" collapsed="false">
      <c r="A41" s="50" t="s">
        <v>233</v>
      </c>
      <c r="B41" s="51" t="n">
        <v>45667</v>
      </c>
      <c r="C41" s="50" t="s">
        <v>234</v>
      </c>
      <c r="D41" s="39" t="str">
        <f aca="false">INDEX(Master_Customer!$B$2:$B$126,MATCH(C41,Master_Customer!$A$2:$A$126,0))</f>
        <v>CAHAYA OLI</v>
      </c>
      <c r="E41" s="50" t="s">
        <v>28</v>
      </c>
      <c r="F41" s="52" t="n">
        <f aca="false">SUMIFS(Data_Penjualan!$G$2:$G$5998,Data_Penjualan!$A$2:$A$5998,A41)</f>
        <v>5175400</v>
      </c>
      <c r="G41" s="39" t="n">
        <f aca="false">IF(E41="KANTOR",0,INDEX(Master_Customer!$C$2:$C$126,MATCH(C41,Master_Customer!$A$2:$A$126,0)))</f>
        <v>30</v>
      </c>
      <c r="H41" s="53" t="n">
        <f aca="false">B41+G41</f>
        <v>45697</v>
      </c>
      <c r="I41" s="51" t="n">
        <v>45670</v>
      </c>
      <c r="J41" s="39" t="str">
        <f aca="false">IF(G41=0,"Tunai",IF(I41="","Belum ditukar","Sudah ditukar"))</f>
        <v>Sudah ditukar</v>
      </c>
      <c r="K41" s="54" t="n">
        <v>3227300</v>
      </c>
      <c r="L41" s="51" t="n">
        <v>45693</v>
      </c>
      <c r="M41" s="52" t="n">
        <f aca="false">F41-K41</f>
        <v>1948100</v>
      </c>
      <c r="N41" s="39" t="str">
        <f aca="false">IF(M41&lt;=0,"Lunas",IF(K41&gt;0,"Sebagian","Belum Bayar"))</f>
        <v>Sebagian</v>
      </c>
      <c r="O41" s="39" t="n">
        <f aca="false">IF(M41&gt;0,MAX(0,Catatan!$B$3-H41),0)</f>
        <v>325</v>
      </c>
      <c r="P41" s="39" t="str">
        <f aca="false">IF(M41&lt;=0,"Lunas",IF(Catatan!$B$3&lt;=H41,"Belum Jatuh Tempo",IF(O41&lt;=30,"1-30 hari",IF(O41&lt;=60,"31-60 hari",IF(O41&lt;=90,"61-90 hari","90+ hari")))))</f>
        <v>90+ hari</v>
      </c>
      <c r="Q41" s="50" t="s">
        <v>235</v>
      </c>
      <c r="R41" s="39" t="str">
        <f aca="false">IF(M41&lt;=0,"",IF(O41&gt;60,"1-Tinggi",IF(O41&gt;30,"2-Sedang",IF(O41&gt;0,"3-Rendah","4-Pantau"))))</f>
        <v>1-Tinggi</v>
      </c>
      <c r="S41" s="39" t="n">
        <f aca="false">IF(AND(M41&gt;0,O41&gt;0),O41+M41/1000000000000+ROW()/1000000000000000,"")</f>
        <v>325.0000019481</v>
      </c>
      <c r="T41" s="39" t="str">
        <f aca="false">IF(J41="Belum ditukar",ROW(),"")</f>
        <v/>
      </c>
    </row>
    <row r="42" customFormat="false" ht="15" hidden="false" customHeight="false" outlineLevel="0" collapsed="false">
      <c r="A42" s="50" t="s">
        <v>236</v>
      </c>
      <c r="B42" s="51" t="n">
        <v>45667</v>
      </c>
      <c r="C42" s="50" t="s">
        <v>237</v>
      </c>
      <c r="D42" s="39" t="str">
        <f aca="false">INDEX(Master_Customer!$B$2:$B$126,MATCH(C42,Master_Customer!$A$2:$A$126,0))</f>
        <v>SINAR SPAREPART</v>
      </c>
      <c r="E42" s="50" t="s">
        <v>31</v>
      </c>
      <c r="F42" s="52" t="n">
        <f aca="false">SUMIFS(Data_Penjualan!$G$2:$G$5998,Data_Penjualan!$A$2:$A$5998,A42)</f>
        <v>15809500</v>
      </c>
      <c r="G42" s="39" t="n">
        <f aca="false">IF(E42="KANTOR",0,INDEX(Master_Customer!$C$2:$C$126,MATCH(C42,Master_Customer!$A$2:$A$126,0)))</f>
        <v>45</v>
      </c>
      <c r="H42" s="53" t="n">
        <f aca="false">B42+G42</f>
        <v>45712</v>
      </c>
      <c r="I42" s="51" t="n">
        <v>45671</v>
      </c>
      <c r="J42" s="39" t="str">
        <f aca="false">IF(G42=0,"Tunai",IF(I42="","Belum ditukar","Sudah ditukar"))</f>
        <v>Sudah ditukar</v>
      </c>
      <c r="K42" s="54" t="n">
        <v>15809500</v>
      </c>
      <c r="L42" s="51" t="n">
        <v>45710</v>
      </c>
      <c r="M42" s="52" t="n">
        <f aca="false">F42-K42</f>
        <v>0</v>
      </c>
      <c r="N42" s="39" t="str">
        <f aca="false">IF(M42&lt;=0,"Lunas",IF(K42&gt;0,"Sebagian","Belum Bayar"))</f>
        <v>Lunas</v>
      </c>
      <c r="O42" s="39" t="n">
        <f aca="false">IF(M42&gt;0,MAX(0,Catatan!$B$3-H42),0)</f>
        <v>0</v>
      </c>
      <c r="P42" s="39" t="str">
        <f aca="false">IF(M42&lt;=0,"Lunas",IF(Catatan!$B$3&lt;=H42,"Belum Jatuh Tempo",IF(O42&lt;=30,"1-30 hari",IF(O42&lt;=60,"31-60 hari",IF(O42&lt;=90,"61-90 hari","90+ hari")))))</f>
        <v>Lunas</v>
      </c>
      <c r="Q42" s="50"/>
      <c r="R42" s="39" t="str">
        <f aca="false">IF(M42&lt;=0,"",IF(O42&gt;60,"1-Tinggi",IF(O42&gt;30,"2-Sedang",IF(O42&gt;0,"3-Rendah","4-Pantau"))))</f>
        <v/>
      </c>
      <c r="S42" s="39" t="str">
        <f aca="false">IF(AND(M42&gt;0,O42&gt;0),O42+M42/1000000000000+ROW()/1000000000000000,"")</f>
        <v/>
      </c>
      <c r="T42" s="39" t="str">
        <f aca="false">IF(J42="Belum ditukar",ROW(),"")</f>
        <v/>
      </c>
    </row>
    <row r="43" customFormat="false" ht="15" hidden="false" customHeight="false" outlineLevel="0" collapsed="false">
      <c r="A43" s="50" t="s">
        <v>238</v>
      </c>
      <c r="B43" s="51" t="n">
        <v>45667</v>
      </c>
      <c r="C43" s="50" t="s">
        <v>239</v>
      </c>
      <c r="D43" s="39" t="str">
        <f aca="false">INDEX(Master_Customer!$B$2:$B$126,MATCH(C43,Master_Customer!$A$2:$A$126,0))</f>
        <v>MAJU SPAREPART UTAMA</v>
      </c>
      <c r="E43" s="50" t="s">
        <v>31</v>
      </c>
      <c r="F43" s="52" t="n">
        <f aca="false">SUMIFS(Data_Penjualan!$G$2:$G$5998,Data_Penjualan!$A$2:$A$5998,A43)</f>
        <v>12418000</v>
      </c>
      <c r="G43" s="39" t="n">
        <f aca="false">IF(E43="KANTOR",0,INDEX(Master_Customer!$C$2:$C$126,MATCH(C43,Master_Customer!$A$2:$A$126,0)))</f>
        <v>30</v>
      </c>
      <c r="H43" s="53" t="n">
        <f aca="false">B43+G43</f>
        <v>45697</v>
      </c>
      <c r="I43" s="51" t="n">
        <v>45671</v>
      </c>
      <c r="J43" s="39" t="str">
        <f aca="false">IF(G43=0,"Tunai",IF(I43="","Belum ditukar","Sudah ditukar"))</f>
        <v>Sudah ditukar</v>
      </c>
      <c r="K43" s="54" t="n">
        <v>12418000</v>
      </c>
      <c r="L43" s="51" t="n">
        <v>45709</v>
      </c>
      <c r="M43" s="52" t="n">
        <f aca="false">F43-K43</f>
        <v>0</v>
      </c>
      <c r="N43" s="39" t="str">
        <f aca="false">IF(M43&lt;=0,"Lunas",IF(K43&gt;0,"Sebagian","Belum Bayar"))</f>
        <v>Lunas</v>
      </c>
      <c r="O43" s="39" t="n">
        <f aca="false">IF(M43&gt;0,MAX(0,Catatan!$B$3-H43),0)</f>
        <v>0</v>
      </c>
      <c r="P43" s="39" t="str">
        <f aca="false">IF(M43&lt;=0,"Lunas",IF(Catatan!$B$3&lt;=H43,"Belum Jatuh Tempo",IF(O43&lt;=30,"1-30 hari",IF(O43&lt;=60,"31-60 hari",IF(O43&lt;=90,"61-90 hari","90+ hari")))))</f>
        <v>Lunas</v>
      </c>
      <c r="Q43" s="50"/>
      <c r="R43" s="39" t="str">
        <f aca="false">IF(M43&lt;=0,"",IF(O43&gt;60,"1-Tinggi",IF(O43&gt;30,"2-Sedang",IF(O43&gt;0,"3-Rendah","4-Pantau"))))</f>
        <v/>
      </c>
      <c r="S43" s="39" t="str">
        <f aca="false">IF(AND(M43&gt;0,O43&gt;0),O43+M43/1000000000000+ROW()/1000000000000000,"")</f>
        <v/>
      </c>
      <c r="T43" s="39" t="str">
        <f aca="false">IF(J43="Belum ditukar",ROW(),"")</f>
        <v/>
      </c>
    </row>
    <row r="44" customFormat="false" ht="15" hidden="false" customHeight="false" outlineLevel="0" collapsed="false">
      <c r="A44" s="50" t="s">
        <v>240</v>
      </c>
      <c r="B44" s="51" t="n">
        <v>45668</v>
      </c>
      <c r="C44" s="50" t="s">
        <v>241</v>
      </c>
      <c r="D44" s="39" t="str">
        <f aca="false">INDEX(Master_Customer!$B$2:$B$126,MATCH(C44,Master_Customer!$A$2:$A$126,0))</f>
        <v>GEMILANG GARAGE TIRTA</v>
      </c>
      <c r="E44" s="50" t="s">
        <v>29</v>
      </c>
      <c r="F44" s="52" t="n">
        <f aca="false">SUMIFS(Data_Penjualan!$G$2:$G$5998,Data_Penjualan!$A$2:$A$5998,A44)</f>
        <v>14650800</v>
      </c>
      <c r="G44" s="39" t="n">
        <f aca="false">IF(E44="KANTOR",0,INDEX(Master_Customer!$C$2:$C$126,MATCH(C44,Master_Customer!$A$2:$A$126,0)))</f>
        <v>14</v>
      </c>
      <c r="H44" s="53" t="n">
        <f aca="false">B44+G44</f>
        <v>45682</v>
      </c>
      <c r="I44" s="51" t="n">
        <v>45673</v>
      </c>
      <c r="J44" s="39" t="str">
        <f aca="false">IF(G44=0,"Tunai",IF(I44="","Belum ditukar","Sudah ditukar"))</f>
        <v>Sudah ditukar</v>
      </c>
      <c r="K44" s="54" t="n">
        <v>14650800</v>
      </c>
      <c r="L44" s="51" t="n">
        <v>45679</v>
      </c>
      <c r="M44" s="52" t="n">
        <f aca="false">F44-K44</f>
        <v>0</v>
      </c>
      <c r="N44" s="39" t="str">
        <f aca="false">IF(M44&lt;=0,"Lunas",IF(K44&gt;0,"Sebagian","Belum Bayar"))</f>
        <v>Lunas</v>
      </c>
      <c r="O44" s="39" t="n">
        <f aca="false">IF(M44&gt;0,MAX(0,Catatan!$B$3-H44),0)</f>
        <v>0</v>
      </c>
      <c r="P44" s="39" t="str">
        <f aca="false">IF(M44&lt;=0,"Lunas",IF(Catatan!$B$3&lt;=H44,"Belum Jatuh Tempo",IF(O44&lt;=30,"1-30 hari",IF(O44&lt;=60,"31-60 hari",IF(O44&lt;=90,"61-90 hari","90+ hari")))))</f>
        <v>Lunas</v>
      </c>
      <c r="Q44" s="50"/>
      <c r="R44" s="39" t="str">
        <f aca="false">IF(M44&lt;=0,"",IF(O44&gt;60,"1-Tinggi",IF(O44&gt;30,"2-Sedang",IF(O44&gt;0,"3-Rendah","4-Pantau"))))</f>
        <v/>
      </c>
      <c r="S44" s="39" t="str">
        <f aca="false">IF(AND(M44&gt;0,O44&gt;0),O44+M44/1000000000000+ROW()/1000000000000000,"")</f>
        <v/>
      </c>
      <c r="T44" s="39" t="str">
        <f aca="false">IF(J44="Belum ditukar",ROW(),"")</f>
        <v/>
      </c>
    </row>
    <row r="45" customFormat="false" ht="15" hidden="false" customHeight="false" outlineLevel="0" collapsed="false">
      <c r="A45" s="50" t="s">
        <v>242</v>
      </c>
      <c r="B45" s="51" t="n">
        <v>45668</v>
      </c>
      <c r="C45" s="50" t="s">
        <v>243</v>
      </c>
      <c r="D45" s="39" t="str">
        <f aca="false">INDEX(Master_Customer!$B$2:$B$126,MATCH(C45,Master_Customer!$A$2:$A$126,0))</f>
        <v>SENTOSA LUBRICANT MULIA</v>
      </c>
      <c r="E45" s="50" t="s">
        <v>30</v>
      </c>
      <c r="F45" s="52" t="n">
        <f aca="false">SUMIFS(Data_Penjualan!$G$2:$G$5998,Data_Penjualan!$A$2:$A$5998,A45)</f>
        <v>9924300</v>
      </c>
      <c r="G45" s="39" t="n">
        <f aca="false">IF(E45="KANTOR",0,INDEX(Master_Customer!$C$2:$C$126,MATCH(C45,Master_Customer!$A$2:$A$126,0)))</f>
        <v>45</v>
      </c>
      <c r="H45" s="53" t="n">
        <f aca="false">B45+G45</f>
        <v>45713</v>
      </c>
      <c r="I45" s="51" t="n">
        <v>45671</v>
      </c>
      <c r="J45" s="39" t="str">
        <f aca="false">IF(G45=0,"Tunai",IF(I45="","Belum ditukar","Sudah ditukar"))</f>
        <v>Sudah ditukar</v>
      </c>
      <c r="K45" s="54" t="n">
        <v>9924300</v>
      </c>
      <c r="L45" s="51" t="n">
        <v>45773</v>
      </c>
      <c r="M45" s="52" t="n">
        <f aca="false">F45-K45</f>
        <v>0</v>
      </c>
      <c r="N45" s="39" t="str">
        <f aca="false">IF(M45&lt;=0,"Lunas",IF(K45&gt;0,"Sebagian","Belum Bayar"))</f>
        <v>Lunas</v>
      </c>
      <c r="O45" s="39" t="n">
        <f aca="false">IF(M45&gt;0,MAX(0,Catatan!$B$3-H45),0)</f>
        <v>0</v>
      </c>
      <c r="P45" s="39" t="str">
        <f aca="false">IF(M45&lt;=0,"Lunas",IF(Catatan!$B$3&lt;=H45,"Belum Jatuh Tempo",IF(O45&lt;=30,"1-30 hari",IF(O45&lt;=60,"31-60 hari",IF(O45&lt;=90,"61-90 hari","90+ hari")))))</f>
        <v>Lunas</v>
      </c>
      <c r="Q45" s="50"/>
      <c r="R45" s="39" t="str">
        <f aca="false">IF(M45&lt;=0,"",IF(O45&gt;60,"1-Tinggi",IF(O45&gt;30,"2-Sedang",IF(O45&gt;0,"3-Rendah","4-Pantau"))))</f>
        <v/>
      </c>
      <c r="S45" s="39" t="str">
        <f aca="false">IF(AND(M45&gt;0,O45&gt;0),O45+M45/1000000000000+ROW()/1000000000000000,"")</f>
        <v/>
      </c>
      <c r="T45" s="39" t="str">
        <f aca="false">IF(J45="Belum ditukar",ROW(),"")</f>
        <v/>
      </c>
    </row>
    <row r="46" customFormat="false" ht="15" hidden="false" customHeight="false" outlineLevel="0" collapsed="false">
      <c r="A46" s="50" t="s">
        <v>244</v>
      </c>
      <c r="B46" s="51" t="n">
        <v>45668</v>
      </c>
      <c r="C46" s="50" t="s">
        <v>216</v>
      </c>
      <c r="D46" s="39" t="str">
        <f aca="false">INDEX(Master_Customer!$B$2:$B$126,MATCH(C46,Master_Customer!$A$2:$A$126,0))</f>
        <v>SINAR MOTOR UTAMA</v>
      </c>
      <c r="E46" s="50" t="s">
        <v>30</v>
      </c>
      <c r="F46" s="52" t="n">
        <f aca="false">SUMIFS(Data_Penjualan!$G$2:$G$5998,Data_Penjualan!$A$2:$A$5998,A46)</f>
        <v>13345000</v>
      </c>
      <c r="G46" s="39" t="n">
        <f aca="false">IF(E46="KANTOR",0,INDEX(Master_Customer!$C$2:$C$126,MATCH(C46,Master_Customer!$A$2:$A$126,0)))</f>
        <v>0</v>
      </c>
      <c r="H46" s="53" t="n">
        <f aca="false">B46+G46</f>
        <v>45668</v>
      </c>
      <c r="J46" s="39" t="str">
        <f aca="false">IF(G46=0,"Tunai",IF(I46="","Belum ditukar","Sudah ditukar"))</f>
        <v>Tunai</v>
      </c>
      <c r="K46" s="54" t="n">
        <v>13345000</v>
      </c>
      <c r="L46" s="51" t="n">
        <v>45668</v>
      </c>
      <c r="M46" s="52" t="n">
        <f aca="false">F46-K46</f>
        <v>0</v>
      </c>
      <c r="N46" s="39" t="str">
        <f aca="false">IF(M46&lt;=0,"Lunas",IF(K46&gt;0,"Sebagian","Belum Bayar"))</f>
        <v>Lunas</v>
      </c>
      <c r="O46" s="39" t="n">
        <f aca="false">IF(M46&gt;0,MAX(0,Catatan!$B$3-H46),0)</f>
        <v>0</v>
      </c>
      <c r="P46" s="39" t="str">
        <f aca="false">IF(M46&lt;=0,"Lunas",IF(Catatan!$B$3&lt;=H46,"Belum Jatuh Tempo",IF(O46&lt;=30,"1-30 hari",IF(O46&lt;=60,"31-60 hari",IF(O46&lt;=90,"61-90 hari","90+ hari")))))</f>
        <v>Lunas</v>
      </c>
      <c r="Q46" s="50"/>
      <c r="R46" s="39" t="str">
        <f aca="false">IF(M46&lt;=0,"",IF(O46&gt;60,"1-Tinggi",IF(O46&gt;30,"2-Sedang",IF(O46&gt;0,"3-Rendah","4-Pantau"))))</f>
        <v/>
      </c>
      <c r="S46" s="39" t="str">
        <f aca="false">IF(AND(M46&gt;0,O46&gt;0),O46+M46/1000000000000+ROW()/1000000000000000,"")</f>
        <v/>
      </c>
      <c r="T46" s="39" t="str">
        <f aca="false">IF(J46="Belum ditukar",ROW(),"")</f>
        <v/>
      </c>
    </row>
    <row r="47" customFormat="false" ht="15" hidden="false" customHeight="false" outlineLevel="0" collapsed="false">
      <c r="A47" s="50" t="s">
        <v>245</v>
      </c>
      <c r="B47" s="51" t="n">
        <v>45668</v>
      </c>
      <c r="C47" s="50" t="s">
        <v>221</v>
      </c>
      <c r="D47" s="39" t="str">
        <f aca="false">INDEX(Master_Customer!$B$2:$B$126,MATCH(C47,Master_Customer!$A$2:$A$126,0))</f>
        <v>ABADI AUTO SURYA</v>
      </c>
      <c r="E47" s="50" t="s">
        <v>31</v>
      </c>
      <c r="F47" s="52" t="n">
        <f aca="false">SUMIFS(Data_Penjualan!$G$2:$G$5998,Data_Penjualan!$A$2:$A$5998,A47)</f>
        <v>13294200</v>
      </c>
      <c r="G47" s="39" t="n">
        <f aca="false">IF(E47="KANTOR",0,INDEX(Master_Customer!$C$2:$C$126,MATCH(C47,Master_Customer!$A$2:$A$126,0)))</f>
        <v>14</v>
      </c>
      <c r="H47" s="53" t="n">
        <f aca="false">B47+G47</f>
        <v>45682</v>
      </c>
      <c r="I47" s="51" t="n">
        <v>45671</v>
      </c>
      <c r="J47" s="39" t="str">
        <f aca="false">IF(G47=0,"Tunai",IF(I47="","Belum ditukar","Sudah ditukar"))</f>
        <v>Sudah ditukar</v>
      </c>
      <c r="K47" s="54" t="n">
        <v>13294200</v>
      </c>
      <c r="L47" s="51" t="n">
        <v>45724</v>
      </c>
      <c r="M47" s="52" t="n">
        <f aca="false">F47-K47</f>
        <v>0</v>
      </c>
      <c r="N47" s="39" t="str">
        <f aca="false">IF(M47&lt;=0,"Lunas",IF(K47&gt;0,"Sebagian","Belum Bayar"))</f>
        <v>Lunas</v>
      </c>
      <c r="O47" s="39" t="n">
        <f aca="false">IF(M47&gt;0,MAX(0,Catatan!$B$3-H47),0)</f>
        <v>0</v>
      </c>
      <c r="P47" s="39" t="str">
        <f aca="false">IF(M47&lt;=0,"Lunas",IF(Catatan!$B$3&lt;=H47,"Belum Jatuh Tempo",IF(O47&lt;=30,"1-30 hari",IF(O47&lt;=60,"31-60 hari",IF(O47&lt;=90,"61-90 hari","90+ hari")))))</f>
        <v>Lunas</v>
      </c>
      <c r="Q47" s="50"/>
      <c r="R47" s="39" t="str">
        <f aca="false">IF(M47&lt;=0,"",IF(O47&gt;60,"1-Tinggi",IF(O47&gt;30,"2-Sedang",IF(O47&gt;0,"3-Rendah","4-Pantau"))))</f>
        <v/>
      </c>
      <c r="S47" s="39" t="str">
        <f aca="false">IF(AND(M47&gt;0,O47&gt;0),O47+M47/1000000000000+ROW()/1000000000000000,"")</f>
        <v/>
      </c>
      <c r="T47" s="39" t="str">
        <f aca="false">IF(J47="Belum ditukar",ROW(),"")</f>
        <v/>
      </c>
    </row>
    <row r="48" customFormat="false" ht="15" hidden="false" customHeight="false" outlineLevel="0" collapsed="false">
      <c r="A48" s="50" t="s">
        <v>246</v>
      </c>
      <c r="B48" s="51" t="n">
        <v>45670</v>
      </c>
      <c r="C48" s="50" t="s">
        <v>247</v>
      </c>
      <c r="D48" s="39" t="str">
        <f aca="false">INDEX(Master_Customer!$B$2:$B$126,MATCH(C48,Master_Customer!$A$2:$A$126,0))</f>
        <v>BINTANG LUBRICANT SURYA</v>
      </c>
      <c r="E48" s="50" t="s">
        <v>32</v>
      </c>
      <c r="F48" s="52" t="n">
        <f aca="false">SUMIFS(Data_Penjualan!$G$2:$G$5998,Data_Penjualan!$A$2:$A$5998,A48)</f>
        <v>12644700</v>
      </c>
      <c r="G48" s="39" t="n">
        <f aca="false">IF(E48="KANTOR",0,INDEX(Master_Customer!$C$2:$C$126,MATCH(C48,Master_Customer!$A$2:$A$126,0)))</f>
        <v>0</v>
      </c>
      <c r="H48" s="53" t="n">
        <f aca="false">B48+G48</f>
        <v>45670</v>
      </c>
      <c r="J48" s="39" t="str">
        <f aca="false">IF(G48=0,"Tunai",IF(I48="","Belum ditukar","Sudah ditukar"))</f>
        <v>Tunai</v>
      </c>
      <c r="K48" s="54" t="n">
        <v>12644700</v>
      </c>
      <c r="L48" s="51" t="n">
        <v>45670</v>
      </c>
      <c r="M48" s="52" t="n">
        <f aca="false">F48-K48</f>
        <v>0</v>
      </c>
      <c r="N48" s="39" t="str">
        <f aca="false">IF(M48&lt;=0,"Lunas",IF(K48&gt;0,"Sebagian","Belum Bayar"))</f>
        <v>Lunas</v>
      </c>
      <c r="O48" s="39" t="n">
        <f aca="false">IF(M48&gt;0,MAX(0,Catatan!$B$3-H48),0)</f>
        <v>0</v>
      </c>
      <c r="P48" s="39" t="str">
        <f aca="false">IF(M48&lt;=0,"Lunas",IF(Catatan!$B$3&lt;=H48,"Belum Jatuh Tempo",IF(O48&lt;=30,"1-30 hari",IF(O48&lt;=60,"31-60 hari",IF(O48&lt;=90,"61-90 hari","90+ hari")))))</f>
        <v>Lunas</v>
      </c>
      <c r="Q48" s="50"/>
      <c r="R48" s="39" t="str">
        <f aca="false">IF(M48&lt;=0,"",IF(O48&gt;60,"1-Tinggi",IF(O48&gt;30,"2-Sedang",IF(O48&gt;0,"3-Rendah","4-Pantau"))))</f>
        <v/>
      </c>
      <c r="S48" s="39" t="str">
        <f aca="false">IF(AND(M48&gt;0,O48&gt;0),O48+M48/1000000000000+ROW()/1000000000000000,"")</f>
        <v/>
      </c>
      <c r="T48" s="39" t="str">
        <f aca="false">IF(J48="Belum ditukar",ROW(),"")</f>
        <v/>
      </c>
    </row>
    <row r="49" customFormat="false" ht="15" hidden="false" customHeight="false" outlineLevel="0" collapsed="false">
      <c r="A49" s="50" t="s">
        <v>248</v>
      </c>
      <c r="B49" s="51" t="n">
        <v>45670</v>
      </c>
      <c r="C49" s="50" t="s">
        <v>249</v>
      </c>
      <c r="D49" s="39" t="str">
        <f aca="false">INDEX(Master_Customer!$B$2:$B$126,MATCH(C49,Master_Customer!$A$2:$A$126,0))</f>
        <v>SENTOSA MOTOR</v>
      </c>
      <c r="E49" s="50" t="s">
        <v>31</v>
      </c>
      <c r="F49" s="52" t="n">
        <f aca="false">SUMIFS(Data_Penjualan!$G$2:$G$5998,Data_Penjualan!$A$2:$A$5998,A49)</f>
        <v>13217100</v>
      </c>
      <c r="G49" s="39" t="n">
        <f aca="false">IF(E49="KANTOR",0,INDEX(Master_Customer!$C$2:$C$126,MATCH(C49,Master_Customer!$A$2:$A$126,0)))</f>
        <v>45</v>
      </c>
      <c r="H49" s="53" t="n">
        <f aca="false">B49+G49</f>
        <v>45715</v>
      </c>
      <c r="I49" s="51" t="n">
        <v>45675</v>
      </c>
      <c r="J49" s="39" t="str">
        <f aca="false">IF(G49=0,"Tunai",IF(I49="","Belum ditukar","Sudah ditukar"))</f>
        <v>Sudah ditukar</v>
      </c>
      <c r="K49" s="54" t="n">
        <v>13217100</v>
      </c>
      <c r="L49" s="51" t="n">
        <v>45716</v>
      </c>
      <c r="M49" s="52" t="n">
        <f aca="false">F49-K49</f>
        <v>0</v>
      </c>
      <c r="N49" s="39" t="str">
        <f aca="false">IF(M49&lt;=0,"Lunas",IF(K49&gt;0,"Sebagian","Belum Bayar"))</f>
        <v>Lunas</v>
      </c>
      <c r="O49" s="39" t="n">
        <f aca="false">IF(M49&gt;0,MAX(0,Catatan!$B$3-H49),0)</f>
        <v>0</v>
      </c>
      <c r="P49" s="39" t="str">
        <f aca="false">IF(M49&lt;=0,"Lunas",IF(Catatan!$B$3&lt;=H49,"Belum Jatuh Tempo",IF(O49&lt;=30,"1-30 hari",IF(O49&lt;=60,"31-60 hari",IF(O49&lt;=90,"61-90 hari","90+ hari")))))</f>
        <v>Lunas</v>
      </c>
      <c r="Q49" s="50"/>
      <c r="R49" s="39" t="str">
        <f aca="false">IF(M49&lt;=0,"",IF(O49&gt;60,"1-Tinggi",IF(O49&gt;30,"2-Sedang",IF(O49&gt;0,"3-Rendah","4-Pantau"))))</f>
        <v/>
      </c>
      <c r="S49" s="39" t="str">
        <f aca="false">IF(AND(M49&gt;0,O49&gt;0),O49+M49/1000000000000+ROW()/1000000000000000,"")</f>
        <v/>
      </c>
      <c r="T49" s="39" t="str">
        <f aca="false">IF(J49="Belum ditukar",ROW(),"")</f>
        <v/>
      </c>
    </row>
    <row r="50" customFormat="false" ht="15" hidden="false" customHeight="false" outlineLevel="0" collapsed="false">
      <c r="A50" s="50" t="s">
        <v>250</v>
      </c>
      <c r="B50" s="51" t="n">
        <v>45670</v>
      </c>
      <c r="C50" s="50" t="s">
        <v>251</v>
      </c>
      <c r="D50" s="39" t="str">
        <f aca="false">INDEX(Master_Customer!$B$2:$B$126,MATCH(C50,Master_Customer!$A$2:$A$126,0))</f>
        <v>MAJU SPAREPART</v>
      </c>
      <c r="E50" s="50" t="s">
        <v>32</v>
      </c>
      <c r="F50" s="52" t="n">
        <f aca="false">SUMIFS(Data_Penjualan!$G$2:$G$5998,Data_Penjualan!$A$2:$A$5998,A50)</f>
        <v>14408700</v>
      </c>
      <c r="G50" s="39" t="n">
        <f aca="false">IF(E50="KANTOR",0,INDEX(Master_Customer!$C$2:$C$126,MATCH(C50,Master_Customer!$A$2:$A$126,0)))</f>
        <v>0</v>
      </c>
      <c r="H50" s="53" t="n">
        <f aca="false">B50+G50</f>
        <v>45670</v>
      </c>
      <c r="J50" s="39" t="str">
        <f aca="false">IF(G50=0,"Tunai",IF(I50="","Belum ditukar","Sudah ditukar"))</f>
        <v>Tunai</v>
      </c>
      <c r="K50" s="54" t="n">
        <v>14408700</v>
      </c>
      <c r="L50" s="51" t="n">
        <v>45670</v>
      </c>
      <c r="M50" s="52" t="n">
        <f aca="false">F50-K50</f>
        <v>0</v>
      </c>
      <c r="N50" s="39" t="str">
        <f aca="false">IF(M50&lt;=0,"Lunas",IF(K50&gt;0,"Sebagian","Belum Bayar"))</f>
        <v>Lunas</v>
      </c>
      <c r="O50" s="39" t="n">
        <f aca="false">IF(M50&gt;0,MAX(0,Catatan!$B$3-H50),0)</f>
        <v>0</v>
      </c>
      <c r="P50" s="39" t="str">
        <f aca="false">IF(M50&lt;=0,"Lunas",IF(Catatan!$B$3&lt;=H50,"Belum Jatuh Tempo",IF(O50&lt;=30,"1-30 hari",IF(O50&lt;=60,"31-60 hari",IF(O50&lt;=90,"61-90 hari","90+ hari")))))</f>
        <v>Lunas</v>
      </c>
      <c r="Q50" s="50"/>
      <c r="R50" s="39" t="str">
        <f aca="false">IF(M50&lt;=0,"",IF(O50&gt;60,"1-Tinggi",IF(O50&gt;30,"2-Sedang",IF(O50&gt;0,"3-Rendah","4-Pantau"))))</f>
        <v/>
      </c>
      <c r="S50" s="39" t="str">
        <f aca="false">IF(AND(M50&gt;0,O50&gt;0),O50+M50/1000000000000+ROW()/1000000000000000,"")</f>
        <v/>
      </c>
      <c r="T50" s="39" t="str">
        <f aca="false">IF(J50="Belum ditukar",ROW(),"")</f>
        <v/>
      </c>
    </row>
    <row r="51" customFormat="false" ht="15" hidden="false" customHeight="false" outlineLevel="0" collapsed="false">
      <c r="A51" s="50" t="s">
        <v>252</v>
      </c>
      <c r="B51" s="51" t="n">
        <v>45670</v>
      </c>
      <c r="C51" s="50" t="s">
        <v>174</v>
      </c>
      <c r="D51" s="39" t="str">
        <f aca="false">INDEX(Master_Customer!$B$2:$B$126,MATCH(C51,Master_Customer!$A$2:$A$126,0))</f>
        <v>SUMBER TEKNIK SURYA</v>
      </c>
      <c r="E51" s="50" t="s">
        <v>31</v>
      </c>
      <c r="F51" s="52" t="n">
        <f aca="false">SUMIFS(Data_Penjualan!$G$2:$G$5998,Data_Penjualan!$A$2:$A$5998,A51)</f>
        <v>4215900</v>
      </c>
      <c r="G51" s="39" t="n">
        <f aca="false">IF(E51="KANTOR",0,INDEX(Master_Customer!$C$2:$C$126,MATCH(C51,Master_Customer!$A$2:$A$126,0)))</f>
        <v>30</v>
      </c>
      <c r="H51" s="53" t="n">
        <f aca="false">B51+G51</f>
        <v>45700</v>
      </c>
      <c r="I51" s="51" t="n">
        <v>45675</v>
      </c>
      <c r="J51" s="39" t="str">
        <f aca="false">IF(G51=0,"Tunai",IF(I51="","Belum ditukar","Sudah ditukar"))</f>
        <v>Sudah ditukar</v>
      </c>
      <c r="K51" s="54" t="n">
        <v>4215900</v>
      </c>
      <c r="L51" s="51" t="n">
        <v>45692</v>
      </c>
      <c r="M51" s="52" t="n">
        <f aca="false">F51-K51</f>
        <v>0</v>
      </c>
      <c r="N51" s="39" t="str">
        <f aca="false">IF(M51&lt;=0,"Lunas",IF(K51&gt;0,"Sebagian","Belum Bayar"))</f>
        <v>Lunas</v>
      </c>
      <c r="O51" s="39" t="n">
        <f aca="false">IF(M51&gt;0,MAX(0,Catatan!$B$3-H51),0)</f>
        <v>0</v>
      </c>
      <c r="P51" s="39" t="str">
        <f aca="false">IF(M51&lt;=0,"Lunas",IF(Catatan!$B$3&lt;=H51,"Belum Jatuh Tempo",IF(O51&lt;=30,"1-30 hari",IF(O51&lt;=60,"31-60 hari",IF(O51&lt;=90,"61-90 hari","90+ hari")))))</f>
        <v>Lunas</v>
      </c>
      <c r="Q51" s="50"/>
      <c r="R51" s="39" t="str">
        <f aca="false">IF(M51&lt;=0,"",IF(O51&gt;60,"1-Tinggi",IF(O51&gt;30,"2-Sedang",IF(O51&gt;0,"3-Rendah","4-Pantau"))))</f>
        <v/>
      </c>
      <c r="S51" s="39" t="str">
        <f aca="false">IF(AND(M51&gt;0,O51&gt;0),O51+M51/1000000000000+ROW()/1000000000000000,"")</f>
        <v/>
      </c>
      <c r="T51" s="39" t="str">
        <f aca="false">IF(J51="Belum ditukar",ROW(),"")</f>
        <v/>
      </c>
    </row>
    <row r="52" customFormat="false" ht="15" hidden="false" customHeight="false" outlineLevel="0" collapsed="false">
      <c r="A52" s="50" t="s">
        <v>253</v>
      </c>
      <c r="B52" s="51" t="n">
        <v>45670</v>
      </c>
      <c r="C52" s="50" t="s">
        <v>177</v>
      </c>
      <c r="D52" s="39" t="str">
        <f aca="false">INDEX(Master_Customer!$B$2:$B$126,MATCH(C52,Master_Customer!$A$2:$A$126,0))</f>
        <v>PRIMA MOTOR LANCAR</v>
      </c>
      <c r="E52" s="50" t="s">
        <v>29</v>
      </c>
      <c r="F52" s="52" t="n">
        <f aca="false">SUMIFS(Data_Penjualan!$G$2:$G$5998,Data_Penjualan!$A$2:$A$5998,A52)</f>
        <v>13198600</v>
      </c>
      <c r="G52" s="39" t="n">
        <f aca="false">IF(E52="KANTOR",0,INDEX(Master_Customer!$C$2:$C$126,MATCH(C52,Master_Customer!$A$2:$A$126,0)))</f>
        <v>14</v>
      </c>
      <c r="H52" s="53" t="n">
        <f aca="false">B52+G52</f>
        <v>45684</v>
      </c>
      <c r="I52" s="51" t="n">
        <v>45672</v>
      </c>
      <c r="J52" s="39" t="str">
        <f aca="false">IF(G52=0,"Tunai",IF(I52="","Belum ditukar","Sudah ditukar"))</f>
        <v>Sudah ditukar</v>
      </c>
      <c r="K52" s="54" t="n">
        <v>13198600</v>
      </c>
      <c r="L52" s="51" t="n">
        <v>45677</v>
      </c>
      <c r="M52" s="52" t="n">
        <f aca="false">F52-K52</f>
        <v>0</v>
      </c>
      <c r="N52" s="39" t="str">
        <f aca="false">IF(M52&lt;=0,"Lunas",IF(K52&gt;0,"Sebagian","Belum Bayar"))</f>
        <v>Lunas</v>
      </c>
      <c r="O52" s="39" t="n">
        <f aca="false">IF(M52&gt;0,MAX(0,Catatan!$B$3-H52),0)</f>
        <v>0</v>
      </c>
      <c r="P52" s="39" t="str">
        <f aca="false">IF(M52&lt;=0,"Lunas",IF(Catatan!$B$3&lt;=H52,"Belum Jatuh Tempo",IF(O52&lt;=30,"1-30 hari",IF(O52&lt;=60,"31-60 hari",IF(O52&lt;=90,"61-90 hari","90+ hari")))))</f>
        <v>Lunas</v>
      </c>
      <c r="Q52" s="50"/>
      <c r="R52" s="39" t="str">
        <f aca="false">IF(M52&lt;=0,"",IF(O52&gt;60,"1-Tinggi",IF(O52&gt;30,"2-Sedang",IF(O52&gt;0,"3-Rendah","4-Pantau"))))</f>
        <v/>
      </c>
      <c r="S52" s="39" t="str">
        <f aca="false">IF(AND(M52&gt;0,O52&gt;0),O52+M52/1000000000000+ROW()/1000000000000000,"")</f>
        <v/>
      </c>
      <c r="T52" s="39" t="str">
        <f aca="false">IF(J52="Belum ditukar",ROW(),"")</f>
        <v/>
      </c>
    </row>
    <row r="53" customFormat="false" ht="15" hidden="false" customHeight="false" outlineLevel="0" collapsed="false">
      <c r="A53" s="50" t="s">
        <v>254</v>
      </c>
      <c r="B53" s="51" t="n">
        <v>45670</v>
      </c>
      <c r="C53" s="50" t="s">
        <v>188</v>
      </c>
      <c r="D53" s="39" t="str">
        <f aca="false">INDEX(Master_Customer!$B$2:$B$126,MATCH(C53,Master_Customer!$A$2:$A$126,0))</f>
        <v>MAJU GARAGE TIRTA</v>
      </c>
      <c r="E53" s="50" t="s">
        <v>31</v>
      </c>
      <c r="F53" s="52" t="n">
        <f aca="false">SUMIFS(Data_Penjualan!$G$2:$G$5998,Data_Penjualan!$A$2:$A$5998,A53)</f>
        <v>5944800</v>
      </c>
      <c r="G53" s="39" t="n">
        <f aca="false">IF(E53="KANTOR",0,INDEX(Master_Customer!$C$2:$C$126,MATCH(C53,Master_Customer!$A$2:$A$126,0)))</f>
        <v>45</v>
      </c>
      <c r="H53" s="53" t="n">
        <f aca="false">B53+G53</f>
        <v>45715</v>
      </c>
      <c r="I53" s="51" t="n">
        <v>45673</v>
      </c>
      <c r="J53" s="39" t="str">
        <f aca="false">IF(G53=0,"Tunai",IF(I53="","Belum ditukar","Sudah ditukar"))</f>
        <v>Sudah ditukar</v>
      </c>
      <c r="K53" s="54" t="n">
        <v>5944800</v>
      </c>
      <c r="L53" s="51" t="n">
        <v>45715</v>
      </c>
      <c r="M53" s="52" t="n">
        <f aca="false">F53-K53</f>
        <v>0</v>
      </c>
      <c r="N53" s="39" t="str">
        <f aca="false">IF(M53&lt;=0,"Lunas",IF(K53&gt;0,"Sebagian","Belum Bayar"))</f>
        <v>Lunas</v>
      </c>
      <c r="O53" s="39" t="n">
        <f aca="false">IF(M53&gt;0,MAX(0,Catatan!$B$3-H53),0)</f>
        <v>0</v>
      </c>
      <c r="P53" s="39" t="str">
        <f aca="false">IF(M53&lt;=0,"Lunas",IF(Catatan!$B$3&lt;=H53,"Belum Jatuh Tempo",IF(O53&lt;=30,"1-30 hari",IF(O53&lt;=60,"31-60 hari",IF(O53&lt;=90,"61-90 hari","90+ hari")))))</f>
        <v>Lunas</v>
      </c>
      <c r="Q53" s="50"/>
      <c r="R53" s="39" t="str">
        <f aca="false">IF(M53&lt;=0,"",IF(O53&gt;60,"1-Tinggi",IF(O53&gt;30,"2-Sedang",IF(O53&gt;0,"3-Rendah","4-Pantau"))))</f>
        <v/>
      </c>
      <c r="S53" s="39" t="str">
        <f aca="false">IF(AND(M53&gt;0,O53&gt;0),O53+M53/1000000000000+ROW()/1000000000000000,"")</f>
        <v/>
      </c>
      <c r="T53" s="39" t="str">
        <f aca="false">IF(J53="Belum ditukar",ROW(),"")</f>
        <v/>
      </c>
    </row>
    <row r="54" customFormat="false" ht="15" hidden="false" customHeight="false" outlineLevel="0" collapsed="false">
      <c r="A54" s="50" t="s">
        <v>255</v>
      </c>
      <c r="B54" s="51" t="n">
        <v>45671</v>
      </c>
      <c r="C54" s="50" t="s">
        <v>256</v>
      </c>
      <c r="D54" s="39" t="str">
        <f aca="false">INDEX(Master_Customer!$B$2:$B$126,MATCH(C54,Master_Customer!$A$2:$A$126,0))</f>
        <v>HARAPAN SPAREPART</v>
      </c>
      <c r="E54" s="50" t="s">
        <v>32</v>
      </c>
      <c r="F54" s="52" t="n">
        <f aca="false">SUMIFS(Data_Penjualan!$G$2:$G$5998,Data_Penjualan!$A$2:$A$5998,A54)</f>
        <v>10226500</v>
      </c>
      <c r="G54" s="39" t="n">
        <f aca="false">IF(E54="KANTOR",0,INDEX(Master_Customer!$C$2:$C$126,MATCH(C54,Master_Customer!$A$2:$A$126,0)))</f>
        <v>0</v>
      </c>
      <c r="H54" s="53" t="n">
        <f aca="false">B54+G54</f>
        <v>45671</v>
      </c>
      <c r="J54" s="39" t="str">
        <f aca="false">IF(G54=0,"Tunai",IF(I54="","Belum ditukar","Sudah ditukar"))</f>
        <v>Tunai</v>
      </c>
      <c r="K54" s="54" t="n">
        <v>10226500</v>
      </c>
      <c r="L54" s="51" t="n">
        <v>45671</v>
      </c>
      <c r="M54" s="52" t="n">
        <f aca="false">F54-K54</f>
        <v>0</v>
      </c>
      <c r="N54" s="39" t="str">
        <f aca="false">IF(M54&lt;=0,"Lunas",IF(K54&gt;0,"Sebagian","Belum Bayar"))</f>
        <v>Lunas</v>
      </c>
      <c r="O54" s="39" t="n">
        <f aca="false">IF(M54&gt;0,MAX(0,Catatan!$B$3-H54),0)</f>
        <v>0</v>
      </c>
      <c r="P54" s="39" t="str">
        <f aca="false">IF(M54&lt;=0,"Lunas",IF(Catatan!$B$3&lt;=H54,"Belum Jatuh Tempo",IF(O54&lt;=30,"1-30 hari",IF(O54&lt;=60,"31-60 hari",IF(O54&lt;=90,"61-90 hari","90+ hari")))))</f>
        <v>Lunas</v>
      </c>
      <c r="Q54" s="50"/>
      <c r="R54" s="39" t="str">
        <f aca="false">IF(M54&lt;=0,"",IF(O54&gt;60,"1-Tinggi",IF(O54&gt;30,"2-Sedang",IF(O54&gt;0,"3-Rendah","4-Pantau"))))</f>
        <v/>
      </c>
      <c r="S54" s="39" t="str">
        <f aca="false">IF(AND(M54&gt;0,O54&gt;0),O54+M54/1000000000000+ROW()/1000000000000000,"")</f>
        <v/>
      </c>
      <c r="T54" s="39" t="str">
        <f aca="false">IF(J54="Belum ditukar",ROW(),"")</f>
        <v/>
      </c>
    </row>
    <row r="55" customFormat="false" ht="15" hidden="false" customHeight="false" outlineLevel="0" collapsed="false">
      <c r="A55" s="50" t="s">
        <v>257</v>
      </c>
      <c r="B55" s="51" t="n">
        <v>45671</v>
      </c>
      <c r="C55" s="50" t="s">
        <v>247</v>
      </c>
      <c r="D55" s="39" t="str">
        <f aca="false">INDEX(Master_Customer!$B$2:$B$126,MATCH(C55,Master_Customer!$A$2:$A$126,0))</f>
        <v>BINTANG LUBRICANT SURYA</v>
      </c>
      <c r="E55" s="50" t="s">
        <v>32</v>
      </c>
      <c r="F55" s="52" t="n">
        <f aca="false">SUMIFS(Data_Penjualan!$G$2:$G$5998,Data_Penjualan!$A$2:$A$5998,A55)</f>
        <v>10058000</v>
      </c>
      <c r="G55" s="39" t="n">
        <f aca="false">IF(E55="KANTOR",0,INDEX(Master_Customer!$C$2:$C$126,MATCH(C55,Master_Customer!$A$2:$A$126,0)))</f>
        <v>0</v>
      </c>
      <c r="H55" s="53" t="n">
        <f aca="false">B55+G55</f>
        <v>45671</v>
      </c>
      <c r="J55" s="39" t="str">
        <f aca="false">IF(G55=0,"Tunai",IF(I55="","Belum ditukar","Sudah ditukar"))</f>
        <v>Tunai</v>
      </c>
      <c r="K55" s="54" t="n">
        <v>10058000</v>
      </c>
      <c r="L55" s="51" t="n">
        <v>45671</v>
      </c>
      <c r="M55" s="52" t="n">
        <f aca="false">F55-K55</f>
        <v>0</v>
      </c>
      <c r="N55" s="39" t="str">
        <f aca="false">IF(M55&lt;=0,"Lunas",IF(K55&gt;0,"Sebagian","Belum Bayar"))</f>
        <v>Lunas</v>
      </c>
      <c r="O55" s="39" t="n">
        <f aca="false">IF(M55&gt;0,MAX(0,Catatan!$B$3-H55),0)</f>
        <v>0</v>
      </c>
      <c r="P55" s="39" t="str">
        <f aca="false">IF(M55&lt;=0,"Lunas",IF(Catatan!$B$3&lt;=H55,"Belum Jatuh Tempo",IF(O55&lt;=30,"1-30 hari",IF(O55&lt;=60,"31-60 hari",IF(O55&lt;=90,"61-90 hari","90+ hari")))))</f>
        <v>Lunas</v>
      </c>
      <c r="Q55" s="50"/>
      <c r="R55" s="39" t="str">
        <f aca="false">IF(M55&lt;=0,"",IF(O55&gt;60,"1-Tinggi",IF(O55&gt;30,"2-Sedang",IF(O55&gt;0,"3-Rendah","4-Pantau"))))</f>
        <v/>
      </c>
      <c r="S55" s="39" t="str">
        <f aca="false">IF(AND(M55&gt;0,O55&gt;0),O55+M55/1000000000000+ROW()/1000000000000000,"")</f>
        <v/>
      </c>
      <c r="T55" s="39" t="str">
        <f aca="false">IF(J55="Belum ditukar",ROW(),"")</f>
        <v/>
      </c>
    </row>
    <row r="56" customFormat="false" ht="15" hidden="false" customHeight="false" outlineLevel="0" collapsed="false">
      <c r="A56" s="50" t="s">
        <v>258</v>
      </c>
      <c r="B56" s="51" t="n">
        <v>45671</v>
      </c>
      <c r="C56" s="50" t="s">
        <v>259</v>
      </c>
      <c r="D56" s="39" t="str">
        <f aca="false">INDEX(Master_Customer!$B$2:$B$126,MATCH(C56,Master_Customer!$A$2:$A$126,0))</f>
        <v>LANCAR OLI</v>
      </c>
      <c r="E56" s="50" t="s">
        <v>32</v>
      </c>
      <c r="F56" s="52" t="n">
        <f aca="false">SUMIFS(Data_Penjualan!$G$2:$G$5998,Data_Penjualan!$A$2:$A$5998,A56)</f>
        <v>12043600</v>
      </c>
      <c r="G56" s="39" t="n">
        <f aca="false">IF(E56="KANTOR",0,INDEX(Master_Customer!$C$2:$C$126,MATCH(C56,Master_Customer!$A$2:$A$126,0)))</f>
        <v>0</v>
      </c>
      <c r="H56" s="53" t="n">
        <f aca="false">B56+G56</f>
        <v>45671</v>
      </c>
      <c r="J56" s="39" t="str">
        <f aca="false">IF(G56=0,"Tunai",IF(I56="","Belum ditukar","Sudah ditukar"))</f>
        <v>Tunai</v>
      </c>
      <c r="K56" s="54" t="n">
        <v>12043600</v>
      </c>
      <c r="L56" s="51" t="n">
        <v>45673</v>
      </c>
      <c r="M56" s="52" t="n">
        <f aca="false">F56-K56</f>
        <v>0</v>
      </c>
      <c r="N56" s="39" t="str">
        <f aca="false">IF(M56&lt;=0,"Lunas",IF(K56&gt;0,"Sebagian","Belum Bayar"))</f>
        <v>Lunas</v>
      </c>
      <c r="O56" s="39" t="n">
        <f aca="false">IF(M56&gt;0,MAX(0,Catatan!$B$3-H56),0)</f>
        <v>0</v>
      </c>
      <c r="P56" s="39" t="str">
        <f aca="false">IF(M56&lt;=0,"Lunas",IF(Catatan!$B$3&lt;=H56,"Belum Jatuh Tempo",IF(O56&lt;=30,"1-30 hari",IF(O56&lt;=60,"31-60 hari",IF(O56&lt;=90,"61-90 hari","90+ hari")))))</f>
        <v>Lunas</v>
      </c>
      <c r="Q56" s="50"/>
      <c r="R56" s="39" t="str">
        <f aca="false">IF(M56&lt;=0,"",IF(O56&gt;60,"1-Tinggi",IF(O56&gt;30,"2-Sedang",IF(O56&gt;0,"3-Rendah","4-Pantau"))))</f>
        <v/>
      </c>
      <c r="S56" s="39" t="str">
        <f aca="false">IF(AND(M56&gt;0,O56&gt;0),O56+M56/1000000000000+ROW()/1000000000000000,"")</f>
        <v/>
      </c>
      <c r="T56" s="39" t="str">
        <f aca="false">IF(J56="Belum ditukar",ROW(),"")</f>
        <v/>
      </c>
    </row>
    <row r="57" customFormat="false" ht="15" hidden="false" customHeight="false" outlineLevel="0" collapsed="false">
      <c r="A57" s="50" t="s">
        <v>260</v>
      </c>
      <c r="B57" s="51" t="n">
        <v>45671</v>
      </c>
      <c r="C57" s="50" t="s">
        <v>261</v>
      </c>
      <c r="D57" s="39" t="str">
        <f aca="false">INDEX(Master_Customer!$B$2:$B$126,MATCH(C57,Master_Customer!$A$2:$A$126,0))</f>
        <v>SUMBER MOTOR UTAMA</v>
      </c>
      <c r="E57" s="50" t="s">
        <v>28</v>
      </c>
      <c r="F57" s="52" t="n">
        <f aca="false">SUMIFS(Data_Penjualan!$G$2:$G$5998,Data_Penjualan!$A$2:$A$5998,A57)</f>
        <v>18327700</v>
      </c>
      <c r="G57" s="39" t="n">
        <f aca="false">IF(E57="KANTOR",0,INDEX(Master_Customer!$C$2:$C$126,MATCH(C57,Master_Customer!$A$2:$A$126,0)))</f>
        <v>0</v>
      </c>
      <c r="H57" s="53" t="n">
        <f aca="false">B57+G57</f>
        <v>45671</v>
      </c>
      <c r="J57" s="39" t="str">
        <f aca="false">IF(G57=0,"Tunai",IF(I57="","Belum ditukar","Sudah ditukar"))</f>
        <v>Tunai</v>
      </c>
      <c r="K57" s="54" t="n">
        <v>18327700</v>
      </c>
      <c r="L57" s="51" t="n">
        <v>45671</v>
      </c>
      <c r="M57" s="52" t="n">
        <f aca="false">F57-K57</f>
        <v>0</v>
      </c>
      <c r="N57" s="39" t="str">
        <f aca="false">IF(M57&lt;=0,"Lunas",IF(K57&gt;0,"Sebagian","Belum Bayar"))</f>
        <v>Lunas</v>
      </c>
      <c r="O57" s="39" t="n">
        <f aca="false">IF(M57&gt;0,MAX(0,Catatan!$B$3-H57),0)</f>
        <v>0</v>
      </c>
      <c r="P57" s="39" t="str">
        <f aca="false">IF(M57&lt;=0,"Lunas",IF(Catatan!$B$3&lt;=H57,"Belum Jatuh Tempo",IF(O57&lt;=30,"1-30 hari",IF(O57&lt;=60,"31-60 hari",IF(O57&lt;=90,"61-90 hari","90+ hari")))))</f>
        <v>Lunas</v>
      </c>
      <c r="Q57" s="50"/>
      <c r="R57" s="39" t="str">
        <f aca="false">IF(M57&lt;=0,"",IF(O57&gt;60,"1-Tinggi",IF(O57&gt;30,"2-Sedang",IF(O57&gt;0,"3-Rendah","4-Pantau"))))</f>
        <v/>
      </c>
      <c r="S57" s="39" t="str">
        <f aca="false">IF(AND(M57&gt;0,O57&gt;0),O57+M57/1000000000000+ROW()/1000000000000000,"")</f>
        <v/>
      </c>
      <c r="T57" s="39" t="str">
        <f aca="false">IF(J57="Belum ditukar",ROW(),"")</f>
        <v/>
      </c>
    </row>
    <row r="58" customFormat="false" ht="15" hidden="false" customHeight="false" outlineLevel="0" collapsed="false">
      <c r="A58" s="50" t="s">
        <v>262</v>
      </c>
      <c r="B58" s="51" t="n">
        <v>45671</v>
      </c>
      <c r="C58" s="50" t="s">
        <v>243</v>
      </c>
      <c r="D58" s="39" t="str">
        <f aca="false">INDEX(Master_Customer!$B$2:$B$126,MATCH(C58,Master_Customer!$A$2:$A$126,0))</f>
        <v>SENTOSA LUBRICANT MULIA</v>
      </c>
      <c r="E58" s="50" t="s">
        <v>30</v>
      </c>
      <c r="F58" s="52" t="n">
        <f aca="false">SUMIFS(Data_Penjualan!$G$2:$G$5998,Data_Penjualan!$A$2:$A$5998,A58)</f>
        <v>11536000</v>
      </c>
      <c r="G58" s="39" t="n">
        <f aca="false">IF(E58="KANTOR",0,INDEX(Master_Customer!$C$2:$C$126,MATCH(C58,Master_Customer!$A$2:$A$126,0)))</f>
        <v>45</v>
      </c>
      <c r="H58" s="53" t="n">
        <f aca="false">B58+G58</f>
        <v>45716</v>
      </c>
      <c r="I58" s="51" t="n">
        <v>45672</v>
      </c>
      <c r="J58" s="39" t="str">
        <f aca="false">IF(G58=0,"Tunai",IF(I58="","Belum ditukar","Sudah ditukar"))</f>
        <v>Sudah ditukar</v>
      </c>
      <c r="K58" s="54" t="n">
        <v>11536000</v>
      </c>
      <c r="L58" s="51" t="n">
        <v>45746</v>
      </c>
      <c r="M58" s="52" t="n">
        <f aca="false">F58-K58</f>
        <v>0</v>
      </c>
      <c r="N58" s="39" t="str">
        <f aca="false">IF(M58&lt;=0,"Lunas",IF(K58&gt;0,"Sebagian","Belum Bayar"))</f>
        <v>Lunas</v>
      </c>
      <c r="O58" s="39" t="n">
        <f aca="false">IF(M58&gt;0,MAX(0,Catatan!$B$3-H58),0)</f>
        <v>0</v>
      </c>
      <c r="P58" s="39" t="str">
        <f aca="false">IF(M58&lt;=0,"Lunas",IF(Catatan!$B$3&lt;=H58,"Belum Jatuh Tempo",IF(O58&lt;=30,"1-30 hari",IF(O58&lt;=60,"31-60 hari",IF(O58&lt;=90,"61-90 hari","90+ hari")))))</f>
        <v>Lunas</v>
      </c>
      <c r="Q58" s="50"/>
      <c r="R58" s="39" t="str">
        <f aca="false">IF(M58&lt;=0,"",IF(O58&gt;60,"1-Tinggi",IF(O58&gt;30,"2-Sedang",IF(O58&gt;0,"3-Rendah","4-Pantau"))))</f>
        <v/>
      </c>
      <c r="S58" s="39" t="str">
        <f aca="false">IF(AND(M58&gt;0,O58&gt;0),O58+M58/1000000000000+ROW()/1000000000000000,"")</f>
        <v/>
      </c>
      <c r="T58" s="39" t="str">
        <f aca="false">IF(J58="Belum ditukar",ROW(),"")</f>
        <v/>
      </c>
    </row>
    <row r="59" customFormat="false" ht="15" hidden="false" customHeight="false" outlineLevel="0" collapsed="false">
      <c r="A59" s="50" t="s">
        <v>263</v>
      </c>
      <c r="B59" s="51" t="n">
        <v>45671</v>
      </c>
      <c r="C59" s="50" t="s">
        <v>247</v>
      </c>
      <c r="D59" s="39" t="str">
        <f aca="false">INDEX(Master_Customer!$B$2:$B$126,MATCH(C59,Master_Customer!$A$2:$A$126,0))</f>
        <v>BINTANG LUBRICANT SURYA</v>
      </c>
      <c r="E59" s="50" t="s">
        <v>28</v>
      </c>
      <c r="F59" s="52" t="n">
        <f aca="false">SUMIFS(Data_Penjualan!$G$2:$G$5998,Data_Penjualan!$A$2:$A$5998,A59)</f>
        <v>15402500</v>
      </c>
      <c r="G59" s="39" t="n">
        <f aca="false">IF(E59="KANTOR",0,INDEX(Master_Customer!$C$2:$C$126,MATCH(C59,Master_Customer!$A$2:$A$126,0)))</f>
        <v>30</v>
      </c>
      <c r="H59" s="53" t="n">
        <f aca="false">B59+G59</f>
        <v>45701</v>
      </c>
      <c r="I59" s="51" t="n">
        <v>45676</v>
      </c>
      <c r="J59" s="39" t="str">
        <f aca="false">IF(G59=0,"Tunai",IF(I59="","Belum ditukar","Sudah ditukar"))</f>
        <v>Sudah ditukar</v>
      </c>
      <c r="K59" s="54" t="n">
        <v>15402500</v>
      </c>
      <c r="L59" s="51" t="n">
        <v>45703</v>
      </c>
      <c r="M59" s="52" t="n">
        <f aca="false">F59-K59</f>
        <v>0</v>
      </c>
      <c r="N59" s="39" t="str">
        <f aca="false">IF(M59&lt;=0,"Lunas",IF(K59&gt;0,"Sebagian","Belum Bayar"))</f>
        <v>Lunas</v>
      </c>
      <c r="O59" s="39" t="n">
        <f aca="false">IF(M59&gt;0,MAX(0,Catatan!$B$3-H59),0)</f>
        <v>0</v>
      </c>
      <c r="P59" s="39" t="str">
        <f aca="false">IF(M59&lt;=0,"Lunas",IF(Catatan!$B$3&lt;=H59,"Belum Jatuh Tempo",IF(O59&lt;=30,"1-30 hari",IF(O59&lt;=60,"31-60 hari",IF(O59&lt;=90,"61-90 hari","90+ hari")))))</f>
        <v>Lunas</v>
      </c>
      <c r="Q59" s="50"/>
      <c r="R59" s="39" t="str">
        <f aca="false">IF(M59&lt;=0,"",IF(O59&gt;60,"1-Tinggi",IF(O59&gt;30,"2-Sedang",IF(O59&gt;0,"3-Rendah","4-Pantau"))))</f>
        <v/>
      </c>
      <c r="S59" s="39" t="str">
        <f aca="false">IF(AND(M59&gt;0,O59&gt;0),O59+M59/1000000000000+ROW()/1000000000000000,"")</f>
        <v/>
      </c>
      <c r="T59" s="39" t="str">
        <f aca="false">IF(J59="Belum ditukar",ROW(),"")</f>
        <v/>
      </c>
    </row>
    <row r="60" customFormat="false" ht="15" hidden="false" customHeight="false" outlineLevel="0" collapsed="false">
      <c r="A60" s="50" t="s">
        <v>264</v>
      </c>
      <c r="B60" s="51" t="n">
        <v>45672</v>
      </c>
      <c r="C60" s="50" t="s">
        <v>179</v>
      </c>
      <c r="D60" s="39" t="str">
        <f aca="false">INDEX(Master_Customer!$B$2:$B$126,MATCH(C60,Master_Customer!$A$2:$A$126,0))</f>
        <v>BINTANG TEKNIK SURYA</v>
      </c>
      <c r="E60" s="50" t="s">
        <v>29</v>
      </c>
      <c r="F60" s="52" t="n">
        <f aca="false">SUMIFS(Data_Penjualan!$G$2:$G$5998,Data_Penjualan!$A$2:$A$5998,A60)</f>
        <v>8210500</v>
      </c>
      <c r="G60" s="39" t="n">
        <f aca="false">IF(E60="KANTOR",0,INDEX(Master_Customer!$C$2:$C$126,MATCH(C60,Master_Customer!$A$2:$A$126,0)))</f>
        <v>45</v>
      </c>
      <c r="H60" s="53" t="n">
        <f aca="false">B60+G60</f>
        <v>45717</v>
      </c>
      <c r="I60" s="51" t="n">
        <v>45676</v>
      </c>
      <c r="J60" s="39" t="str">
        <f aca="false">IF(G60=0,"Tunai",IF(I60="","Belum ditukar","Sudah ditukar"))</f>
        <v>Sudah ditukar</v>
      </c>
      <c r="K60" s="54" t="n">
        <v>8210500</v>
      </c>
      <c r="L60" s="51" t="n">
        <v>45720</v>
      </c>
      <c r="M60" s="52" t="n">
        <f aca="false">F60-K60</f>
        <v>0</v>
      </c>
      <c r="N60" s="39" t="str">
        <f aca="false">IF(M60&lt;=0,"Lunas",IF(K60&gt;0,"Sebagian","Belum Bayar"))</f>
        <v>Lunas</v>
      </c>
      <c r="O60" s="39" t="n">
        <f aca="false">IF(M60&gt;0,MAX(0,Catatan!$B$3-H60),0)</f>
        <v>0</v>
      </c>
      <c r="P60" s="39" t="str">
        <f aca="false">IF(M60&lt;=0,"Lunas",IF(Catatan!$B$3&lt;=H60,"Belum Jatuh Tempo",IF(O60&lt;=30,"1-30 hari",IF(O60&lt;=60,"31-60 hari",IF(O60&lt;=90,"61-90 hari","90+ hari")))))</f>
        <v>Lunas</v>
      </c>
      <c r="Q60" s="50"/>
      <c r="R60" s="39" t="str">
        <f aca="false">IF(M60&lt;=0,"",IF(O60&gt;60,"1-Tinggi",IF(O60&gt;30,"2-Sedang",IF(O60&gt;0,"3-Rendah","4-Pantau"))))</f>
        <v/>
      </c>
      <c r="S60" s="39" t="str">
        <f aca="false">IF(AND(M60&gt;0,O60&gt;0),O60+M60/1000000000000+ROW()/1000000000000000,"")</f>
        <v/>
      </c>
      <c r="T60" s="39" t="str">
        <f aca="false">IF(J60="Belum ditukar",ROW(),"")</f>
        <v/>
      </c>
    </row>
    <row r="61" customFormat="false" ht="15" hidden="false" customHeight="false" outlineLevel="0" collapsed="false">
      <c r="A61" s="50" t="s">
        <v>265</v>
      </c>
      <c r="B61" s="51" t="n">
        <v>45672</v>
      </c>
      <c r="C61" s="50" t="s">
        <v>266</v>
      </c>
      <c r="D61" s="39" t="str">
        <f aca="false">INDEX(Master_Customer!$B$2:$B$126,MATCH(C61,Master_Customer!$A$2:$A$126,0))</f>
        <v>BERKAH LUBRICANT SURYA</v>
      </c>
      <c r="E61" s="50" t="s">
        <v>29</v>
      </c>
      <c r="F61" s="52" t="n">
        <f aca="false">SUMIFS(Data_Penjualan!$G$2:$G$5998,Data_Penjualan!$A$2:$A$5998,A61)</f>
        <v>8982300</v>
      </c>
      <c r="G61" s="39" t="n">
        <f aca="false">IF(E61="KANTOR",0,INDEX(Master_Customer!$C$2:$C$126,MATCH(C61,Master_Customer!$A$2:$A$126,0)))</f>
        <v>30</v>
      </c>
      <c r="H61" s="53" t="n">
        <f aca="false">B61+G61</f>
        <v>45702</v>
      </c>
      <c r="I61" s="51" t="n">
        <v>45673</v>
      </c>
      <c r="J61" s="39" t="str">
        <f aca="false">IF(G61=0,"Tunai",IF(I61="","Belum ditukar","Sudah ditukar"))</f>
        <v>Sudah ditukar</v>
      </c>
      <c r="K61" s="54" t="n">
        <v>8982300</v>
      </c>
      <c r="L61" s="51" t="n">
        <v>45697</v>
      </c>
      <c r="M61" s="52" t="n">
        <f aca="false">F61-K61</f>
        <v>0</v>
      </c>
      <c r="N61" s="39" t="str">
        <f aca="false">IF(M61&lt;=0,"Lunas",IF(K61&gt;0,"Sebagian","Belum Bayar"))</f>
        <v>Lunas</v>
      </c>
      <c r="O61" s="39" t="n">
        <f aca="false">IF(M61&gt;0,MAX(0,Catatan!$B$3-H61),0)</f>
        <v>0</v>
      </c>
      <c r="P61" s="39" t="str">
        <f aca="false">IF(M61&lt;=0,"Lunas",IF(Catatan!$B$3&lt;=H61,"Belum Jatuh Tempo",IF(O61&lt;=30,"1-30 hari",IF(O61&lt;=60,"31-60 hari",IF(O61&lt;=90,"61-90 hari","90+ hari")))))</f>
        <v>Lunas</v>
      </c>
      <c r="Q61" s="50"/>
      <c r="R61" s="39" t="str">
        <f aca="false">IF(M61&lt;=0,"",IF(O61&gt;60,"1-Tinggi",IF(O61&gt;30,"2-Sedang",IF(O61&gt;0,"3-Rendah","4-Pantau"))))</f>
        <v/>
      </c>
      <c r="S61" s="39" t="str">
        <f aca="false">IF(AND(M61&gt;0,O61&gt;0),O61+M61/1000000000000+ROW()/1000000000000000,"")</f>
        <v/>
      </c>
      <c r="T61" s="39" t="str">
        <f aca="false">IF(J61="Belum ditukar",ROW(),"")</f>
        <v/>
      </c>
    </row>
    <row r="62" customFormat="false" ht="15" hidden="false" customHeight="false" outlineLevel="0" collapsed="false">
      <c r="A62" s="50" t="s">
        <v>267</v>
      </c>
      <c r="B62" s="51" t="n">
        <v>45672</v>
      </c>
      <c r="C62" s="50" t="s">
        <v>251</v>
      </c>
      <c r="D62" s="39" t="str">
        <f aca="false">INDEX(Master_Customer!$B$2:$B$126,MATCH(C62,Master_Customer!$A$2:$A$126,0))</f>
        <v>MAJU SPAREPART</v>
      </c>
      <c r="E62" s="50" t="s">
        <v>29</v>
      </c>
      <c r="F62" s="52" t="n">
        <f aca="false">SUMIFS(Data_Penjualan!$G$2:$G$5998,Data_Penjualan!$A$2:$A$5998,A62)</f>
        <v>3715300</v>
      </c>
      <c r="G62" s="39" t="n">
        <f aca="false">IF(E62="KANTOR",0,INDEX(Master_Customer!$C$2:$C$126,MATCH(C62,Master_Customer!$A$2:$A$126,0)))</f>
        <v>45</v>
      </c>
      <c r="H62" s="53" t="n">
        <f aca="false">B62+G62</f>
        <v>45717</v>
      </c>
      <c r="I62" s="51" t="n">
        <v>45676</v>
      </c>
      <c r="J62" s="39" t="str">
        <f aca="false">IF(G62=0,"Tunai",IF(I62="","Belum ditukar","Sudah ditukar"))</f>
        <v>Sudah ditukar</v>
      </c>
      <c r="K62" s="54" t="n">
        <v>3715300</v>
      </c>
      <c r="L62" s="51" t="n">
        <v>45729</v>
      </c>
      <c r="M62" s="52" t="n">
        <f aca="false">F62-K62</f>
        <v>0</v>
      </c>
      <c r="N62" s="39" t="str">
        <f aca="false">IF(M62&lt;=0,"Lunas",IF(K62&gt;0,"Sebagian","Belum Bayar"))</f>
        <v>Lunas</v>
      </c>
      <c r="O62" s="39" t="n">
        <f aca="false">IF(M62&gt;0,MAX(0,Catatan!$B$3-H62),0)</f>
        <v>0</v>
      </c>
      <c r="P62" s="39" t="str">
        <f aca="false">IF(M62&lt;=0,"Lunas",IF(Catatan!$B$3&lt;=H62,"Belum Jatuh Tempo",IF(O62&lt;=30,"1-30 hari",IF(O62&lt;=60,"31-60 hari",IF(O62&lt;=90,"61-90 hari","90+ hari")))))</f>
        <v>Lunas</v>
      </c>
      <c r="Q62" s="50"/>
      <c r="R62" s="39" t="str">
        <f aca="false">IF(M62&lt;=0,"",IF(O62&gt;60,"1-Tinggi",IF(O62&gt;30,"2-Sedang",IF(O62&gt;0,"3-Rendah","4-Pantau"))))</f>
        <v/>
      </c>
      <c r="S62" s="39" t="str">
        <f aca="false">IF(AND(M62&gt;0,O62&gt;0),O62+M62/1000000000000+ROW()/1000000000000000,"")</f>
        <v/>
      </c>
      <c r="T62" s="39" t="str">
        <f aca="false">IF(J62="Belum ditukar",ROW(),"")</f>
        <v/>
      </c>
    </row>
    <row r="63" customFormat="false" ht="15" hidden="false" customHeight="false" outlineLevel="0" collapsed="false">
      <c r="A63" s="50" t="s">
        <v>268</v>
      </c>
      <c r="B63" s="51" t="n">
        <v>45672</v>
      </c>
      <c r="C63" s="50" t="s">
        <v>269</v>
      </c>
      <c r="D63" s="39" t="str">
        <f aca="false">INDEX(Master_Customer!$B$2:$B$126,MATCH(C63,Master_Customer!$A$2:$A$126,0))</f>
        <v>KARYA BENGKEL</v>
      </c>
      <c r="E63" s="50" t="s">
        <v>28</v>
      </c>
      <c r="F63" s="52" t="n">
        <f aca="false">SUMIFS(Data_Penjualan!$G$2:$G$5998,Data_Penjualan!$A$2:$A$5998,A63)</f>
        <v>10135100</v>
      </c>
      <c r="G63" s="39" t="n">
        <f aca="false">IF(E63="KANTOR",0,INDEX(Master_Customer!$C$2:$C$126,MATCH(C63,Master_Customer!$A$2:$A$126,0)))</f>
        <v>14</v>
      </c>
      <c r="H63" s="53" t="n">
        <f aca="false">B63+G63</f>
        <v>45686</v>
      </c>
      <c r="I63" s="51" t="n">
        <v>45675</v>
      </c>
      <c r="J63" s="39" t="str">
        <f aca="false">IF(G63=0,"Tunai",IF(I63="","Belum ditukar","Sudah ditukar"))</f>
        <v>Sudah ditukar</v>
      </c>
      <c r="K63" s="54" t="n">
        <v>10135100</v>
      </c>
      <c r="L63" s="51" t="n">
        <v>45705</v>
      </c>
      <c r="M63" s="52" t="n">
        <f aca="false">F63-K63</f>
        <v>0</v>
      </c>
      <c r="N63" s="39" t="str">
        <f aca="false">IF(M63&lt;=0,"Lunas",IF(K63&gt;0,"Sebagian","Belum Bayar"))</f>
        <v>Lunas</v>
      </c>
      <c r="O63" s="39" t="n">
        <f aca="false">IF(M63&gt;0,MAX(0,Catatan!$B$3-H63),0)</f>
        <v>0</v>
      </c>
      <c r="P63" s="39" t="str">
        <f aca="false">IF(M63&lt;=0,"Lunas",IF(Catatan!$B$3&lt;=H63,"Belum Jatuh Tempo",IF(O63&lt;=30,"1-30 hari",IF(O63&lt;=60,"31-60 hari",IF(O63&lt;=90,"61-90 hari","90+ hari")))))</f>
        <v>Lunas</v>
      </c>
      <c r="Q63" s="50"/>
      <c r="R63" s="39" t="str">
        <f aca="false">IF(M63&lt;=0,"",IF(O63&gt;60,"1-Tinggi",IF(O63&gt;30,"2-Sedang",IF(O63&gt;0,"3-Rendah","4-Pantau"))))</f>
        <v/>
      </c>
      <c r="S63" s="39" t="str">
        <f aca="false">IF(AND(M63&gt;0,O63&gt;0),O63+M63/1000000000000+ROW()/1000000000000000,"")</f>
        <v/>
      </c>
      <c r="T63" s="39" t="str">
        <f aca="false">IF(J63="Belum ditukar",ROW(),"")</f>
        <v/>
      </c>
    </row>
    <row r="64" customFormat="false" ht="15" hidden="false" customHeight="false" outlineLevel="0" collapsed="false">
      <c r="A64" s="50" t="s">
        <v>270</v>
      </c>
      <c r="B64" s="51" t="n">
        <v>45673</v>
      </c>
      <c r="C64" s="50" t="s">
        <v>271</v>
      </c>
      <c r="D64" s="39" t="str">
        <f aca="false">INDEX(Master_Customer!$B$2:$B$126,MATCH(C64,Master_Customer!$A$2:$A$126,0))</f>
        <v>CAHAYA MOTOR</v>
      </c>
      <c r="E64" s="50" t="s">
        <v>32</v>
      </c>
      <c r="F64" s="52" t="n">
        <f aca="false">SUMIFS(Data_Penjualan!$G$2:$G$5998,Data_Penjualan!$A$2:$A$5998,A64)</f>
        <v>5895100</v>
      </c>
      <c r="G64" s="39" t="n">
        <f aca="false">IF(E64="KANTOR",0,INDEX(Master_Customer!$C$2:$C$126,MATCH(C64,Master_Customer!$A$2:$A$126,0)))</f>
        <v>0</v>
      </c>
      <c r="H64" s="53" t="n">
        <f aca="false">B64+G64</f>
        <v>45673</v>
      </c>
      <c r="J64" s="39" t="str">
        <f aca="false">IF(G64=0,"Tunai",IF(I64="","Belum ditukar","Sudah ditukar"))</f>
        <v>Tunai</v>
      </c>
      <c r="K64" s="54" t="n">
        <v>5895100</v>
      </c>
      <c r="L64" s="51" t="n">
        <v>45673</v>
      </c>
      <c r="M64" s="52" t="n">
        <f aca="false">F64-K64</f>
        <v>0</v>
      </c>
      <c r="N64" s="39" t="str">
        <f aca="false">IF(M64&lt;=0,"Lunas",IF(K64&gt;0,"Sebagian","Belum Bayar"))</f>
        <v>Lunas</v>
      </c>
      <c r="O64" s="39" t="n">
        <f aca="false">IF(M64&gt;0,MAX(0,Catatan!$B$3-H64),0)</f>
        <v>0</v>
      </c>
      <c r="P64" s="39" t="str">
        <f aca="false">IF(M64&lt;=0,"Lunas",IF(Catatan!$B$3&lt;=H64,"Belum Jatuh Tempo",IF(O64&lt;=30,"1-30 hari",IF(O64&lt;=60,"31-60 hari",IF(O64&lt;=90,"61-90 hari","90+ hari")))))</f>
        <v>Lunas</v>
      </c>
      <c r="Q64" s="50"/>
      <c r="R64" s="39" t="str">
        <f aca="false">IF(M64&lt;=0,"",IF(O64&gt;60,"1-Tinggi",IF(O64&gt;30,"2-Sedang",IF(O64&gt;0,"3-Rendah","4-Pantau"))))</f>
        <v/>
      </c>
      <c r="S64" s="39" t="str">
        <f aca="false">IF(AND(M64&gt;0,O64&gt;0),O64+M64/1000000000000+ROW()/1000000000000000,"")</f>
        <v/>
      </c>
      <c r="T64" s="39" t="str">
        <f aca="false">IF(J64="Belum ditukar",ROW(),"")</f>
        <v/>
      </c>
    </row>
    <row r="65" customFormat="false" ht="15" hidden="false" customHeight="false" outlineLevel="0" collapsed="false">
      <c r="A65" s="50" t="s">
        <v>272</v>
      </c>
      <c r="B65" s="51" t="n">
        <v>45673</v>
      </c>
      <c r="C65" s="50" t="s">
        <v>197</v>
      </c>
      <c r="D65" s="39" t="str">
        <f aca="false">INDEX(Master_Customer!$B$2:$B$126,MATCH(C65,Master_Customer!$A$2:$A$126,0))</f>
        <v>UTAMA LUBRICANT HARAPAN</v>
      </c>
      <c r="E65" s="50" t="s">
        <v>30</v>
      </c>
      <c r="F65" s="52" t="n">
        <f aca="false">SUMIFS(Data_Penjualan!$G$2:$G$5998,Data_Penjualan!$A$2:$A$5998,A65)</f>
        <v>7343300</v>
      </c>
      <c r="G65" s="39" t="n">
        <f aca="false">IF(E65="KANTOR",0,INDEX(Master_Customer!$C$2:$C$126,MATCH(C65,Master_Customer!$A$2:$A$126,0)))</f>
        <v>30</v>
      </c>
      <c r="H65" s="53" t="n">
        <f aca="false">B65+G65</f>
        <v>45703</v>
      </c>
      <c r="I65" s="51" t="n">
        <v>45676</v>
      </c>
      <c r="J65" s="39" t="str">
        <f aca="false">IF(G65=0,"Tunai",IF(I65="","Belum ditukar","Sudah ditukar"))</f>
        <v>Sudah ditukar</v>
      </c>
      <c r="K65" s="54" t="n">
        <v>7343300</v>
      </c>
      <c r="L65" s="51" t="n">
        <v>45692</v>
      </c>
      <c r="M65" s="52" t="n">
        <f aca="false">F65-K65</f>
        <v>0</v>
      </c>
      <c r="N65" s="39" t="str">
        <f aca="false">IF(M65&lt;=0,"Lunas",IF(K65&gt;0,"Sebagian","Belum Bayar"))</f>
        <v>Lunas</v>
      </c>
      <c r="O65" s="39" t="n">
        <f aca="false">IF(M65&gt;0,MAX(0,Catatan!$B$3-H65),0)</f>
        <v>0</v>
      </c>
      <c r="P65" s="39" t="str">
        <f aca="false">IF(M65&lt;=0,"Lunas",IF(Catatan!$B$3&lt;=H65,"Belum Jatuh Tempo",IF(O65&lt;=30,"1-30 hari",IF(O65&lt;=60,"31-60 hari",IF(O65&lt;=90,"61-90 hari","90+ hari")))))</f>
        <v>Lunas</v>
      </c>
      <c r="Q65" s="50"/>
      <c r="R65" s="39" t="str">
        <f aca="false">IF(M65&lt;=0,"",IF(O65&gt;60,"1-Tinggi",IF(O65&gt;30,"2-Sedang",IF(O65&gt;0,"3-Rendah","4-Pantau"))))</f>
        <v/>
      </c>
      <c r="S65" s="39" t="str">
        <f aca="false">IF(AND(M65&gt;0,O65&gt;0),O65+M65/1000000000000+ROW()/1000000000000000,"")</f>
        <v/>
      </c>
      <c r="T65" s="39" t="str">
        <f aca="false">IF(J65="Belum ditukar",ROW(),"")</f>
        <v/>
      </c>
    </row>
    <row r="66" customFormat="false" ht="15" hidden="false" customHeight="false" outlineLevel="0" collapsed="false">
      <c r="A66" s="50" t="s">
        <v>273</v>
      </c>
      <c r="B66" s="51" t="n">
        <v>45673</v>
      </c>
      <c r="C66" s="50" t="s">
        <v>174</v>
      </c>
      <c r="D66" s="39" t="str">
        <f aca="false">INDEX(Master_Customer!$B$2:$B$126,MATCH(C66,Master_Customer!$A$2:$A$126,0))</f>
        <v>SUMBER TEKNIK SURYA</v>
      </c>
      <c r="E66" s="50" t="s">
        <v>32</v>
      </c>
      <c r="F66" s="52" t="n">
        <f aca="false">SUMIFS(Data_Penjualan!$G$2:$G$5998,Data_Penjualan!$A$2:$A$5998,A66)</f>
        <v>19943400</v>
      </c>
      <c r="G66" s="39" t="n">
        <f aca="false">IF(E66="KANTOR",0,INDEX(Master_Customer!$C$2:$C$126,MATCH(C66,Master_Customer!$A$2:$A$126,0)))</f>
        <v>0</v>
      </c>
      <c r="H66" s="53" t="n">
        <f aca="false">B66+G66</f>
        <v>45673</v>
      </c>
      <c r="J66" s="39" t="str">
        <f aca="false">IF(G66=0,"Tunai",IF(I66="","Belum ditukar","Sudah ditukar"))</f>
        <v>Tunai</v>
      </c>
      <c r="K66" s="54" t="n">
        <v>19943400</v>
      </c>
      <c r="L66" s="51" t="n">
        <v>45673</v>
      </c>
      <c r="M66" s="52" t="n">
        <f aca="false">F66-K66</f>
        <v>0</v>
      </c>
      <c r="N66" s="39" t="str">
        <f aca="false">IF(M66&lt;=0,"Lunas",IF(K66&gt;0,"Sebagian","Belum Bayar"))</f>
        <v>Lunas</v>
      </c>
      <c r="O66" s="39" t="n">
        <f aca="false">IF(M66&gt;0,MAX(0,Catatan!$B$3-H66),0)</f>
        <v>0</v>
      </c>
      <c r="P66" s="39" t="str">
        <f aca="false">IF(M66&lt;=0,"Lunas",IF(Catatan!$B$3&lt;=H66,"Belum Jatuh Tempo",IF(O66&lt;=30,"1-30 hari",IF(O66&lt;=60,"31-60 hari",IF(O66&lt;=90,"61-90 hari","90+ hari")))))</f>
        <v>Lunas</v>
      </c>
      <c r="Q66" s="50"/>
      <c r="R66" s="39" t="str">
        <f aca="false">IF(M66&lt;=0,"",IF(O66&gt;60,"1-Tinggi",IF(O66&gt;30,"2-Sedang",IF(O66&gt;0,"3-Rendah","4-Pantau"))))</f>
        <v/>
      </c>
      <c r="S66" s="39" t="str">
        <f aca="false">IF(AND(M66&gt;0,O66&gt;0),O66+M66/1000000000000+ROW()/1000000000000000,"")</f>
        <v/>
      </c>
      <c r="T66" s="39" t="str">
        <f aca="false">IF(J66="Belum ditukar",ROW(),"")</f>
        <v/>
      </c>
    </row>
    <row r="67" customFormat="false" ht="15" hidden="false" customHeight="false" outlineLevel="0" collapsed="false">
      <c r="A67" s="50" t="s">
        <v>274</v>
      </c>
      <c r="B67" s="51" t="n">
        <v>45673</v>
      </c>
      <c r="C67" s="50" t="s">
        <v>199</v>
      </c>
      <c r="D67" s="39" t="str">
        <f aca="false">INDEX(Master_Customer!$B$2:$B$126,MATCH(C67,Master_Customer!$A$2:$A$126,0))</f>
        <v>KARYA SPAREPART</v>
      </c>
      <c r="E67" s="50" t="s">
        <v>32</v>
      </c>
      <c r="F67" s="52" t="n">
        <f aca="false">SUMIFS(Data_Penjualan!$G$2:$G$5998,Data_Penjualan!$A$2:$A$5998,A67)</f>
        <v>14538100</v>
      </c>
      <c r="G67" s="39" t="n">
        <f aca="false">IF(E67="KANTOR",0,INDEX(Master_Customer!$C$2:$C$126,MATCH(C67,Master_Customer!$A$2:$A$126,0)))</f>
        <v>0</v>
      </c>
      <c r="H67" s="53" t="n">
        <f aca="false">B67+G67</f>
        <v>45673</v>
      </c>
      <c r="J67" s="39" t="str">
        <f aca="false">IF(G67=0,"Tunai",IF(I67="","Belum ditukar","Sudah ditukar"))</f>
        <v>Tunai</v>
      </c>
      <c r="K67" s="54" t="n">
        <v>14538100</v>
      </c>
      <c r="L67" s="51" t="n">
        <v>45675</v>
      </c>
      <c r="M67" s="52" t="n">
        <f aca="false">F67-K67</f>
        <v>0</v>
      </c>
      <c r="N67" s="39" t="str">
        <f aca="false">IF(M67&lt;=0,"Lunas",IF(K67&gt;0,"Sebagian","Belum Bayar"))</f>
        <v>Lunas</v>
      </c>
      <c r="O67" s="39" t="n">
        <f aca="false">IF(M67&gt;0,MAX(0,Catatan!$B$3-H67),0)</f>
        <v>0</v>
      </c>
      <c r="P67" s="39" t="str">
        <f aca="false">IF(M67&lt;=0,"Lunas",IF(Catatan!$B$3&lt;=H67,"Belum Jatuh Tempo",IF(O67&lt;=30,"1-30 hari",IF(O67&lt;=60,"31-60 hari",IF(O67&lt;=90,"61-90 hari","90+ hari")))))</f>
        <v>Lunas</v>
      </c>
      <c r="Q67" s="50"/>
      <c r="R67" s="39" t="str">
        <f aca="false">IF(M67&lt;=0,"",IF(O67&gt;60,"1-Tinggi",IF(O67&gt;30,"2-Sedang",IF(O67&gt;0,"3-Rendah","4-Pantau"))))</f>
        <v/>
      </c>
      <c r="S67" s="39" t="str">
        <f aca="false">IF(AND(M67&gt;0,O67&gt;0),O67+M67/1000000000000+ROW()/1000000000000000,"")</f>
        <v/>
      </c>
      <c r="T67" s="39" t="str">
        <f aca="false">IF(J67="Belum ditukar",ROW(),"")</f>
        <v/>
      </c>
    </row>
    <row r="68" customFormat="false" ht="15" hidden="false" customHeight="false" outlineLevel="0" collapsed="false">
      <c r="A68" s="50" t="s">
        <v>275</v>
      </c>
      <c r="B68" s="51" t="n">
        <v>45674</v>
      </c>
      <c r="C68" s="50" t="s">
        <v>179</v>
      </c>
      <c r="D68" s="39" t="str">
        <f aca="false">INDEX(Master_Customer!$B$2:$B$126,MATCH(C68,Master_Customer!$A$2:$A$126,0))</f>
        <v>BINTANG TEKNIK SURYA</v>
      </c>
      <c r="E68" s="50" t="s">
        <v>32</v>
      </c>
      <c r="F68" s="52" t="n">
        <f aca="false">SUMIFS(Data_Penjualan!$G$2:$G$5998,Data_Penjualan!$A$2:$A$5998,A68)</f>
        <v>11584000</v>
      </c>
      <c r="G68" s="39" t="n">
        <f aca="false">IF(E68="KANTOR",0,INDEX(Master_Customer!$C$2:$C$126,MATCH(C68,Master_Customer!$A$2:$A$126,0)))</f>
        <v>0</v>
      </c>
      <c r="H68" s="53" t="n">
        <f aca="false">B68+G68</f>
        <v>45674</v>
      </c>
      <c r="J68" s="39" t="str">
        <f aca="false">IF(G68=0,"Tunai",IF(I68="","Belum ditukar","Sudah ditukar"))</f>
        <v>Tunai</v>
      </c>
      <c r="K68" s="54" t="n">
        <v>11584000</v>
      </c>
      <c r="L68" s="51" t="n">
        <v>45675</v>
      </c>
      <c r="M68" s="52" t="n">
        <f aca="false">F68-K68</f>
        <v>0</v>
      </c>
      <c r="N68" s="39" t="str">
        <f aca="false">IF(M68&lt;=0,"Lunas",IF(K68&gt;0,"Sebagian","Belum Bayar"))</f>
        <v>Lunas</v>
      </c>
      <c r="O68" s="39" t="n">
        <f aca="false">IF(M68&gt;0,MAX(0,Catatan!$B$3-H68),0)</f>
        <v>0</v>
      </c>
      <c r="P68" s="39" t="str">
        <f aca="false">IF(M68&lt;=0,"Lunas",IF(Catatan!$B$3&lt;=H68,"Belum Jatuh Tempo",IF(O68&lt;=30,"1-30 hari",IF(O68&lt;=60,"31-60 hari",IF(O68&lt;=90,"61-90 hari","90+ hari")))))</f>
        <v>Lunas</v>
      </c>
      <c r="Q68" s="50"/>
      <c r="R68" s="39" t="str">
        <f aca="false">IF(M68&lt;=0,"",IF(O68&gt;60,"1-Tinggi",IF(O68&gt;30,"2-Sedang",IF(O68&gt;0,"3-Rendah","4-Pantau"))))</f>
        <v/>
      </c>
      <c r="S68" s="39" t="str">
        <f aca="false">IF(AND(M68&gt;0,O68&gt;0),O68+M68/1000000000000+ROW()/1000000000000000,"")</f>
        <v/>
      </c>
      <c r="T68" s="39" t="str">
        <f aca="false">IF(J68="Belum ditukar",ROW(),"")</f>
        <v/>
      </c>
    </row>
    <row r="69" customFormat="false" ht="15" hidden="false" customHeight="false" outlineLevel="0" collapsed="false">
      <c r="A69" s="50" t="s">
        <v>276</v>
      </c>
      <c r="B69" s="51" t="n">
        <v>45674</v>
      </c>
      <c r="C69" s="50" t="s">
        <v>188</v>
      </c>
      <c r="D69" s="39" t="str">
        <f aca="false">INDEX(Master_Customer!$B$2:$B$126,MATCH(C69,Master_Customer!$A$2:$A$126,0))</f>
        <v>MAJU GARAGE TIRTA</v>
      </c>
      <c r="E69" s="50" t="s">
        <v>31</v>
      </c>
      <c r="F69" s="52" t="n">
        <f aca="false">SUMIFS(Data_Penjualan!$G$2:$G$5998,Data_Penjualan!$A$2:$A$5998,A69)</f>
        <v>4657800</v>
      </c>
      <c r="G69" s="39" t="n">
        <f aca="false">IF(E69="KANTOR",0,INDEX(Master_Customer!$C$2:$C$126,MATCH(C69,Master_Customer!$A$2:$A$126,0)))</f>
        <v>45</v>
      </c>
      <c r="H69" s="53" t="n">
        <f aca="false">B69+G69</f>
        <v>45719</v>
      </c>
      <c r="I69" s="51" t="n">
        <v>45676</v>
      </c>
      <c r="J69" s="39" t="str">
        <f aca="false">IF(G69=0,"Tunai",IF(I69="","Belum ditukar","Sudah ditukar"))</f>
        <v>Sudah ditukar</v>
      </c>
      <c r="K69" s="54" t="n">
        <v>4657800</v>
      </c>
      <c r="L69" s="51" t="n">
        <v>45715</v>
      </c>
      <c r="M69" s="52" t="n">
        <f aca="false">F69-K69</f>
        <v>0</v>
      </c>
      <c r="N69" s="39" t="str">
        <f aca="false">IF(M69&lt;=0,"Lunas",IF(K69&gt;0,"Sebagian","Belum Bayar"))</f>
        <v>Lunas</v>
      </c>
      <c r="O69" s="39" t="n">
        <f aca="false">IF(M69&gt;0,MAX(0,Catatan!$B$3-H69),0)</f>
        <v>0</v>
      </c>
      <c r="P69" s="39" t="str">
        <f aca="false">IF(M69&lt;=0,"Lunas",IF(Catatan!$B$3&lt;=H69,"Belum Jatuh Tempo",IF(O69&lt;=30,"1-30 hari",IF(O69&lt;=60,"31-60 hari",IF(O69&lt;=90,"61-90 hari","90+ hari")))))</f>
        <v>Lunas</v>
      </c>
      <c r="Q69" s="50"/>
      <c r="R69" s="39" t="str">
        <f aca="false">IF(M69&lt;=0,"",IF(O69&gt;60,"1-Tinggi",IF(O69&gt;30,"2-Sedang",IF(O69&gt;0,"3-Rendah","4-Pantau"))))</f>
        <v/>
      </c>
      <c r="S69" s="39" t="str">
        <f aca="false">IF(AND(M69&gt;0,O69&gt;0),O69+M69/1000000000000+ROW()/1000000000000000,"")</f>
        <v/>
      </c>
      <c r="T69" s="39" t="str">
        <f aca="false">IF(J69="Belum ditukar",ROW(),"")</f>
        <v/>
      </c>
    </row>
    <row r="70" customFormat="false" ht="15" hidden="false" customHeight="false" outlineLevel="0" collapsed="false">
      <c r="A70" s="50" t="s">
        <v>277</v>
      </c>
      <c r="B70" s="51" t="n">
        <v>45674</v>
      </c>
      <c r="C70" s="50" t="s">
        <v>278</v>
      </c>
      <c r="D70" s="39" t="str">
        <f aca="false">INDEX(Master_Customer!$B$2:$B$126,MATCH(C70,Master_Customer!$A$2:$A$126,0))</f>
        <v>SURYA MOTOR</v>
      </c>
      <c r="E70" s="50" t="s">
        <v>31</v>
      </c>
      <c r="F70" s="52" t="n">
        <f aca="false">SUMIFS(Data_Penjualan!$G$2:$G$5998,Data_Penjualan!$A$2:$A$5998,A70)</f>
        <v>8230400</v>
      </c>
      <c r="G70" s="39" t="n">
        <f aca="false">IF(E70="KANTOR",0,INDEX(Master_Customer!$C$2:$C$126,MATCH(C70,Master_Customer!$A$2:$A$126,0)))</f>
        <v>14</v>
      </c>
      <c r="H70" s="53" t="n">
        <f aca="false">B70+G70</f>
        <v>45688</v>
      </c>
      <c r="I70" s="51" t="n">
        <v>45679</v>
      </c>
      <c r="J70" s="39" t="str">
        <f aca="false">IF(G70=0,"Tunai",IF(I70="","Belum ditukar","Sudah ditukar"))</f>
        <v>Sudah ditukar</v>
      </c>
      <c r="K70" s="54" t="n">
        <v>8230400</v>
      </c>
      <c r="L70" s="51" t="n">
        <v>45689</v>
      </c>
      <c r="M70" s="52" t="n">
        <f aca="false">F70-K70</f>
        <v>0</v>
      </c>
      <c r="N70" s="39" t="str">
        <f aca="false">IF(M70&lt;=0,"Lunas",IF(K70&gt;0,"Sebagian","Belum Bayar"))</f>
        <v>Lunas</v>
      </c>
      <c r="O70" s="39" t="n">
        <f aca="false">IF(M70&gt;0,MAX(0,Catatan!$B$3-H70),0)</f>
        <v>0</v>
      </c>
      <c r="P70" s="39" t="str">
        <f aca="false">IF(M70&lt;=0,"Lunas",IF(Catatan!$B$3&lt;=H70,"Belum Jatuh Tempo",IF(O70&lt;=30,"1-30 hari",IF(O70&lt;=60,"31-60 hari",IF(O70&lt;=90,"61-90 hari","90+ hari")))))</f>
        <v>Lunas</v>
      </c>
      <c r="Q70" s="50"/>
      <c r="R70" s="39" t="str">
        <f aca="false">IF(M70&lt;=0,"",IF(O70&gt;60,"1-Tinggi",IF(O70&gt;30,"2-Sedang",IF(O70&gt;0,"3-Rendah","4-Pantau"))))</f>
        <v/>
      </c>
      <c r="S70" s="39" t="str">
        <f aca="false">IF(AND(M70&gt;0,O70&gt;0),O70+M70/1000000000000+ROW()/1000000000000000,"")</f>
        <v/>
      </c>
      <c r="T70" s="39" t="str">
        <f aca="false">IF(J70="Belum ditukar",ROW(),"")</f>
        <v/>
      </c>
    </row>
    <row r="71" customFormat="false" ht="15" hidden="false" customHeight="false" outlineLevel="0" collapsed="false">
      <c r="A71" s="50" t="s">
        <v>279</v>
      </c>
      <c r="B71" s="51" t="n">
        <v>45674</v>
      </c>
      <c r="C71" s="50" t="s">
        <v>280</v>
      </c>
      <c r="D71" s="39" t="str">
        <f aca="false">INDEX(Master_Customer!$B$2:$B$126,MATCH(C71,Master_Customer!$A$2:$A$126,0))</f>
        <v>CAHAYA TEKNIK SURYA</v>
      </c>
      <c r="E71" s="50" t="s">
        <v>32</v>
      </c>
      <c r="F71" s="52" t="n">
        <f aca="false">SUMIFS(Data_Penjualan!$G$2:$G$5998,Data_Penjualan!$A$2:$A$5998,A71)</f>
        <v>16356000</v>
      </c>
      <c r="G71" s="39" t="n">
        <f aca="false">IF(E71="KANTOR",0,INDEX(Master_Customer!$C$2:$C$126,MATCH(C71,Master_Customer!$A$2:$A$126,0)))</f>
        <v>0</v>
      </c>
      <c r="H71" s="53" t="n">
        <f aca="false">B71+G71</f>
        <v>45674</v>
      </c>
      <c r="J71" s="39" t="str">
        <f aca="false">IF(G71=0,"Tunai",IF(I71="","Belum ditukar","Sudah ditukar"))</f>
        <v>Tunai</v>
      </c>
      <c r="K71" s="54" t="n">
        <v>16356000</v>
      </c>
      <c r="L71" s="51" t="n">
        <v>45677</v>
      </c>
      <c r="M71" s="52" t="n">
        <f aca="false">F71-K71</f>
        <v>0</v>
      </c>
      <c r="N71" s="39" t="str">
        <f aca="false">IF(M71&lt;=0,"Lunas",IF(K71&gt;0,"Sebagian","Belum Bayar"))</f>
        <v>Lunas</v>
      </c>
      <c r="O71" s="39" t="n">
        <f aca="false">IF(M71&gt;0,MAX(0,Catatan!$B$3-H71),0)</f>
        <v>0</v>
      </c>
      <c r="P71" s="39" t="str">
        <f aca="false">IF(M71&lt;=0,"Lunas",IF(Catatan!$B$3&lt;=H71,"Belum Jatuh Tempo",IF(O71&lt;=30,"1-30 hari",IF(O71&lt;=60,"31-60 hari",IF(O71&lt;=90,"61-90 hari","90+ hari")))))</f>
        <v>Lunas</v>
      </c>
      <c r="Q71" s="50"/>
      <c r="R71" s="39" t="str">
        <f aca="false">IF(M71&lt;=0,"",IF(O71&gt;60,"1-Tinggi",IF(O71&gt;30,"2-Sedang",IF(O71&gt;0,"3-Rendah","4-Pantau"))))</f>
        <v/>
      </c>
      <c r="S71" s="39" t="str">
        <f aca="false">IF(AND(M71&gt;0,O71&gt;0),O71+M71/1000000000000+ROW()/1000000000000000,"")</f>
        <v/>
      </c>
      <c r="T71" s="39" t="str">
        <f aca="false">IF(J71="Belum ditukar",ROW(),"")</f>
        <v/>
      </c>
    </row>
    <row r="72" customFormat="false" ht="15" hidden="false" customHeight="false" outlineLevel="0" collapsed="false">
      <c r="A72" s="50" t="s">
        <v>281</v>
      </c>
      <c r="B72" s="51" t="n">
        <v>45674</v>
      </c>
      <c r="C72" s="50" t="s">
        <v>193</v>
      </c>
      <c r="D72" s="39" t="str">
        <f aca="false">INDEX(Master_Customer!$B$2:$B$126,MATCH(C72,Master_Customer!$A$2:$A$126,0))</f>
        <v>BINTANG BENGKEL</v>
      </c>
      <c r="E72" s="50" t="s">
        <v>31</v>
      </c>
      <c r="F72" s="52" t="n">
        <f aca="false">SUMIFS(Data_Penjualan!$G$2:$G$5998,Data_Penjualan!$A$2:$A$5998,A72)</f>
        <v>15413000</v>
      </c>
      <c r="G72" s="39" t="n">
        <f aca="false">IF(E72="KANTOR",0,INDEX(Master_Customer!$C$2:$C$126,MATCH(C72,Master_Customer!$A$2:$A$126,0)))</f>
        <v>14</v>
      </c>
      <c r="H72" s="53" t="n">
        <f aca="false">B72+G72</f>
        <v>45688</v>
      </c>
      <c r="I72" s="51" t="n">
        <v>45678</v>
      </c>
      <c r="J72" s="39" t="str">
        <f aca="false">IF(G72=0,"Tunai",IF(I72="","Belum ditukar","Sudah ditukar"))</f>
        <v>Sudah ditukar</v>
      </c>
      <c r="K72" s="54" t="n">
        <v>15413000</v>
      </c>
      <c r="L72" s="51" t="n">
        <v>45714</v>
      </c>
      <c r="M72" s="52" t="n">
        <f aca="false">F72-K72</f>
        <v>0</v>
      </c>
      <c r="N72" s="39" t="str">
        <f aca="false">IF(M72&lt;=0,"Lunas",IF(K72&gt;0,"Sebagian","Belum Bayar"))</f>
        <v>Lunas</v>
      </c>
      <c r="O72" s="39" t="n">
        <f aca="false">IF(M72&gt;0,MAX(0,Catatan!$B$3-H72),0)</f>
        <v>0</v>
      </c>
      <c r="P72" s="39" t="str">
        <f aca="false">IF(M72&lt;=0,"Lunas",IF(Catatan!$B$3&lt;=H72,"Belum Jatuh Tempo",IF(O72&lt;=30,"1-30 hari",IF(O72&lt;=60,"31-60 hari",IF(O72&lt;=90,"61-90 hari","90+ hari")))))</f>
        <v>Lunas</v>
      </c>
      <c r="Q72" s="50"/>
      <c r="R72" s="39" t="str">
        <f aca="false">IF(M72&lt;=0,"",IF(O72&gt;60,"1-Tinggi",IF(O72&gt;30,"2-Sedang",IF(O72&gt;0,"3-Rendah","4-Pantau"))))</f>
        <v/>
      </c>
      <c r="S72" s="39" t="str">
        <f aca="false">IF(AND(M72&gt;0,O72&gt;0),O72+M72/1000000000000+ROW()/1000000000000000,"")</f>
        <v/>
      </c>
      <c r="T72" s="39" t="str">
        <f aca="false">IF(J72="Belum ditukar",ROW(),"")</f>
        <v/>
      </c>
    </row>
    <row r="73" customFormat="false" ht="15" hidden="false" customHeight="false" outlineLevel="0" collapsed="false">
      <c r="A73" s="50" t="s">
        <v>282</v>
      </c>
      <c r="B73" s="51" t="n">
        <v>45675</v>
      </c>
      <c r="C73" s="50" t="s">
        <v>191</v>
      </c>
      <c r="D73" s="39" t="str">
        <f aca="false">INDEX(Master_Customer!$B$2:$B$126,MATCH(C73,Master_Customer!$A$2:$A$126,0))</f>
        <v>SINAR AUTO BERKAH</v>
      </c>
      <c r="E73" s="50" t="s">
        <v>32</v>
      </c>
      <c r="F73" s="52" t="n">
        <f aca="false">SUMIFS(Data_Penjualan!$G$2:$G$5998,Data_Penjualan!$A$2:$A$5998,A73)</f>
        <v>15026300</v>
      </c>
      <c r="G73" s="39" t="n">
        <f aca="false">IF(E73="KANTOR",0,INDEX(Master_Customer!$C$2:$C$126,MATCH(C73,Master_Customer!$A$2:$A$126,0)))</f>
        <v>0</v>
      </c>
      <c r="H73" s="53" t="n">
        <f aca="false">B73+G73</f>
        <v>45675</v>
      </c>
      <c r="J73" s="39" t="str">
        <f aca="false">IF(G73=0,"Tunai",IF(I73="","Belum ditukar","Sudah ditukar"))</f>
        <v>Tunai</v>
      </c>
      <c r="K73" s="54" t="n">
        <v>15026300</v>
      </c>
      <c r="L73" s="51" t="n">
        <v>45675</v>
      </c>
      <c r="M73" s="52" t="n">
        <f aca="false">F73-K73</f>
        <v>0</v>
      </c>
      <c r="N73" s="39" t="str">
        <f aca="false">IF(M73&lt;=0,"Lunas",IF(K73&gt;0,"Sebagian","Belum Bayar"))</f>
        <v>Lunas</v>
      </c>
      <c r="O73" s="39" t="n">
        <f aca="false">IF(M73&gt;0,MAX(0,Catatan!$B$3-H73),0)</f>
        <v>0</v>
      </c>
      <c r="P73" s="39" t="str">
        <f aca="false">IF(M73&lt;=0,"Lunas",IF(Catatan!$B$3&lt;=H73,"Belum Jatuh Tempo",IF(O73&lt;=30,"1-30 hari",IF(O73&lt;=60,"31-60 hari",IF(O73&lt;=90,"61-90 hari","90+ hari")))))</f>
        <v>Lunas</v>
      </c>
      <c r="Q73" s="50"/>
      <c r="R73" s="39" t="str">
        <f aca="false">IF(M73&lt;=0,"",IF(O73&gt;60,"1-Tinggi",IF(O73&gt;30,"2-Sedang",IF(O73&gt;0,"3-Rendah","4-Pantau"))))</f>
        <v/>
      </c>
      <c r="S73" s="39" t="str">
        <f aca="false">IF(AND(M73&gt;0,O73&gt;0),O73+M73/1000000000000+ROW()/1000000000000000,"")</f>
        <v/>
      </c>
      <c r="T73" s="39" t="str">
        <f aca="false">IF(J73="Belum ditukar",ROW(),"")</f>
        <v/>
      </c>
    </row>
    <row r="74" customFormat="false" ht="15" hidden="false" customHeight="false" outlineLevel="0" collapsed="false">
      <c r="A74" s="50" t="s">
        <v>283</v>
      </c>
      <c r="B74" s="51" t="n">
        <v>45675</v>
      </c>
      <c r="C74" s="50" t="s">
        <v>284</v>
      </c>
      <c r="D74" s="39" t="str">
        <f aca="false">INDEX(Master_Customer!$B$2:$B$126,MATCH(C74,Master_Customer!$A$2:$A$126,0))</f>
        <v>CAHAYA SPAREPART</v>
      </c>
      <c r="E74" s="50" t="s">
        <v>29</v>
      </c>
      <c r="F74" s="52" t="n">
        <f aca="false">SUMIFS(Data_Penjualan!$G$2:$G$5998,Data_Penjualan!$A$2:$A$5998,A74)</f>
        <v>15594200</v>
      </c>
      <c r="G74" s="39" t="n">
        <f aca="false">IF(E74="KANTOR",0,INDEX(Master_Customer!$C$2:$C$126,MATCH(C74,Master_Customer!$A$2:$A$126,0)))</f>
        <v>14</v>
      </c>
      <c r="H74" s="53" t="n">
        <f aca="false">B74+G74</f>
        <v>45689</v>
      </c>
      <c r="I74" s="51" t="n">
        <v>45678</v>
      </c>
      <c r="J74" s="39" t="str">
        <f aca="false">IF(G74=0,"Tunai",IF(I74="","Belum ditukar","Sudah ditukar"))</f>
        <v>Sudah ditukar</v>
      </c>
      <c r="K74" s="54" t="n">
        <v>15594200</v>
      </c>
      <c r="L74" s="51" t="n">
        <v>45696</v>
      </c>
      <c r="M74" s="52" t="n">
        <f aca="false">F74-K74</f>
        <v>0</v>
      </c>
      <c r="N74" s="39" t="str">
        <f aca="false">IF(M74&lt;=0,"Lunas",IF(K74&gt;0,"Sebagian","Belum Bayar"))</f>
        <v>Lunas</v>
      </c>
      <c r="O74" s="39" t="n">
        <f aca="false">IF(M74&gt;0,MAX(0,Catatan!$B$3-H74),0)</f>
        <v>0</v>
      </c>
      <c r="P74" s="39" t="str">
        <f aca="false">IF(M74&lt;=0,"Lunas",IF(Catatan!$B$3&lt;=H74,"Belum Jatuh Tempo",IF(O74&lt;=30,"1-30 hari",IF(O74&lt;=60,"31-60 hari",IF(O74&lt;=90,"61-90 hari","90+ hari")))))</f>
        <v>Lunas</v>
      </c>
      <c r="Q74" s="50"/>
      <c r="R74" s="39" t="str">
        <f aca="false">IF(M74&lt;=0,"",IF(O74&gt;60,"1-Tinggi",IF(O74&gt;30,"2-Sedang",IF(O74&gt;0,"3-Rendah","4-Pantau"))))</f>
        <v/>
      </c>
      <c r="S74" s="39" t="str">
        <f aca="false">IF(AND(M74&gt;0,O74&gt;0),O74+M74/1000000000000+ROW()/1000000000000000,"")</f>
        <v/>
      </c>
      <c r="T74" s="39" t="str">
        <f aca="false">IF(J74="Belum ditukar",ROW(),"")</f>
        <v/>
      </c>
    </row>
    <row r="75" customFormat="false" ht="15" hidden="false" customHeight="false" outlineLevel="0" collapsed="false">
      <c r="A75" s="50" t="s">
        <v>285</v>
      </c>
      <c r="B75" s="51" t="n">
        <v>45677</v>
      </c>
      <c r="C75" s="50" t="s">
        <v>286</v>
      </c>
      <c r="D75" s="39" t="str">
        <f aca="false">INDEX(Master_Customer!$B$2:$B$126,MATCH(C75,Master_Customer!$A$2:$A$126,0))</f>
        <v>CAHAYA AUTO</v>
      </c>
      <c r="E75" s="50" t="s">
        <v>29</v>
      </c>
      <c r="F75" s="52" t="n">
        <f aca="false">SUMIFS(Data_Penjualan!$G$2:$G$5998,Data_Penjualan!$A$2:$A$5998,A75)</f>
        <v>16220300</v>
      </c>
      <c r="G75" s="39" t="n">
        <f aca="false">IF(E75="KANTOR",0,INDEX(Master_Customer!$C$2:$C$126,MATCH(C75,Master_Customer!$A$2:$A$126,0)))</f>
        <v>0</v>
      </c>
      <c r="H75" s="53" t="n">
        <f aca="false">B75+G75</f>
        <v>45677</v>
      </c>
      <c r="J75" s="39" t="str">
        <f aca="false">IF(G75=0,"Tunai",IF(I75="","Belum ditukar","Sudah ditukar"))</f>
        <v>Tunai</v>
      </c>
      <c r="K75" s="54" t="n">
        <v>16220300</v>
      </c>
      <c r="L75" s="51" t="n">
        <v>45677</v>
      </c>
      <c r="M75" s="52" t="n">
        <f aca="false">F75-K75</f>
        <v>0</v>
      </c>
      <c r="N75" s="39" t="str">
        <f aca="false">IF(M75&lt;=0,"Lunas",IF(K75&gt;0,"Sebagian","Belum Bayar"))</f>
        <v>Lunas</v>
      </c>
      <c r="O75" s="39" t="n">
        <f aca="false">IF(M75&gt;0,MAX(0,Catatan!$B$3-H75),0)</f>
        <v>0</v>
      </c>
      <c r="P75" s="39" t="str">
        <f aca="false">IF(M75&lt;=0,"Lunas",IF(Catatan!$B$3&lt;=H75,"Belum Jatuh Tempo",IF(O75&lt;=30,"1-30 hari",IF(O75&lt;=60,"31-60 hari",IF(O75&lt;=90,"61-90 hari","90+ hari")))))</f>
        <v>Lunas</v>
      </c>
      <c r="Q75" s="50"/>
      <c r="R75" s="39" t="str">
        <f aca="false">IF(M75&lt;=0,"",IF(O75&gt;60,"1-Tinggi",IF(O75&gt;30,"2-Sedang",IF(O75&gt;0,"3-Rendah","4-Pantau"))))</f>
        <v/>
      </c>
      <c r="S75" s="39" t="str">
        <f aca="false">IF(AND(M75&gt;0,O75&gt;0),O75+M75/1000000000000+ROW()/1000000000000000,"")</f>
        <v/>
      </c>
      <c r="T75" s="39" t="str">
        <f aca="false">IF(J75="Belum ditukar",ROW(),"")</f>
        <v/>
      </c>
    </row>
    <row r="76" customFormat="false" ht="15" hidden="false" customHeight="false" outlineLevel="0" collapsed="false">
      <c r="A76" s="50" t="s">
        <v>287</v>
      </c>
      <c r="B76" s="51" t="n">
        <v>45677</v>
      </c>
      <c r="C76" s="50" t="s">
        <v>179</v>
      </c>
      <c r="D76" s="39" t="str">
        <f aca="false">INDEX(Master_Customer!$B$2:$B$126,MATCH(C76,Master_Customer!$A$2:$A$126,0))</f>
        <v>BINTANG TEKNIK SURYA</v>
      </c>
      <c r="E76" s="50" t="s">
        <v>32</v>
      </c>
      <c r="F76" s="52" t="n">
        <f aca="false">SUMIFS(Data_Penjualan!$G$2:$G$5998,Data_Penjualan!$A$2:$A$5998,A76)</f>
        <v>22757400</v>
      </c>
      <c r="G76" s="39" t="n">
        <f aca="false">IF(E76="KANTOR",0,INDEX(Master_Customer!$C$2:$C$126,MATCH(C76,Master_Customer!$A$2:$A$126,0)))</f>
        <v>0</v>
      </c>
      <c r="H76" s="53" t="n">
        <f aca="false">B76+G76</f>
        <v>45677</v>
      </c>
      <c r="J76" s="39" t="str">
        <f aca="false">IF(G76=0,"Tunai",IF(I76="","Belum ditukar","Sudah ditukar"))</f>
        <v>Tunai</v>
      </c>
      <c r="K76" s="54" t="n">
        <v>22757400</v>
      </c>
      <c r="L76" s="51" t="n">
        <v>45677</v>
      </c>
      <c r="M76" s="52" t="n">
        <f aca="false">F76-K76</f>
        <v>0</v>
      </c>
      <c r="N76" s="39" t="str">
        <f aca="false">IF(M76&lt;=0,"Lunas",IF(K76&gt;0,"Sebagian","Belum Bayar"))</f>
        <v>Lunas</v>
      </c>
      <c r="O76" s="39" t="n">
        <f aca="false">IF(M76&gt;0,MAX(0,Catatan!$B$3-H76),0)</f>
        <v>0</v>
      </c>
      <c r="P76" s="39" t="str">
        <f aca="false">IF(M76&lt;=0,"Lunas",IF(Catatan!$B$3&lt;=H76,"Belum Jatuh Tempo",IF(O76&lt;=30,"1-30 hari",IF(O76&lt;=60,"31-60 hari",IF(O76&lt;=90,"61-90 hari","90+ hari")))))</f>
        <v>Lunas</v>
      </c>
      <c r="Q76" s="50"/>
      <c r="R76" s="39" t="str">
        <f aca="false">IF(M76&lt;=0,"",IF(O76&gt;60,"1-Tinggi",IF(O76&gt;30,"2-Sedang",IF(O76&gt;0,"3-Rendah","4-Pantau"))))</f>
        <v/>
      </c>
      <c r="S76" s="39" t="str">
        <f aca="false">IF(AND(M76&gt;0,O76&gt;0),O76+M76/1000000000000+ROW()/1000000000000000,"")</f>
        <v/>
      </c>
      <c r="T76" s="39" t="str">
        <f aca="false">IF(J76="Belum ditukar",ROW(),"")</f>
        <v/>
      </c>
    </row>
    <row r="77" customFormat="false" ht="15" hidden="false" customHeight="false" outlineLevel="0" collapsed="false">
      <c r="A77" s="50" t="s">
        <v>288</v>
      </c>
      <c r="B77" s="51" t="n">
        <v>45677</v>
      </c>
      <c r="C77" s="50" t="s">
        <v>289</v>
      </c>
      <c r="D77" s="39" t="str">
        <f aca="false">INDEX(Master_Customer!$B$2:$B$126,MATCH(C77,Master_Customer!$A$2:$A$126,0))</f>
        <v>SINAR GARAGE</v>
      </c>
      <c r="E77" s="50" t="s">
        <v>32</v>
      </c>
      <c r="F77" s="52" t="n">
        <f aca="false">SUMIFS(Data_Penjualan!$G$2:$G$5998,Data_Penjualan!$A$2:$A$5998,A77)</f>
        <v>10414000</v>
      </c>
      <c r="G77" s="39" t="n">
        <f aca="false">IF(E77="KANTOR",0,INDEX(Master_Customer!$C$2:$C$126,MATCH(C77,Master_Customer!$A$2:$A$126,0)))</f>
        <v>0</v>
      </c>
      <c r="H77" s="53" t="n">
        <f aca="false">B77+G77</f>
        <v>45677</v>
      </c>
      <c r="J77" s="39" t="str">
        <f aca="false">IF(G77=0,"Tunai",IF(I77="","Belum ditukar","Sudah ditukar"))</f>
        <v>Tunai</v>
      </c>
      <c r="K77" s="54" t="n">
        <v>10414000</v>
      </c>
      <c r="L77" s="51" t="n">
        <v>45678</v>
      </c>
      <c r="M77" s="52" t="n">
        <f aca="false">F77-K77</f>
        <v>0</v>
      </c>
      <c r="N77" s="39" t="str">
        <f aca="false">IF(M77&lt;=0,"Lunas",IF(K77&gt;0,"Sebagian","Belum Bayar"))</f>
        <v>Lunas</v>
      </c>
      <c r="O77" s="39" t="n">
        <f aca="false">IF(M77&gt;0,MAX(0,Catatan!$B$3-H77),0)</f>
        <v>0</v>
      </c>
      <c r="P77" s="39" t="str">
        <f aca="false">IF(M77&lt;=0,"Lunas",IF(Catatan!$B$3&lt;=H77,"Belum Jatuh Tempo",IF(O77&lt;=30,"1-30 hari",IF(O77&lt;=60,"31-60 hari",IF(O77&lt;=90,"61-90 hari","90+ hari")))))</f>
        <v>Lunas</v>
      </c>
      <c r="Q77" s="50"/>
      <c r="R77" s="39" t="str">
        <f aca="false">IF(M77&lt;=0,"",IF(O77&gt;60,"1-Tinggi",IF(O77&gt;30,"2-Sedang",IF(O77&gt;0,"3-Rendah","4-Pantau"))))</f>
        <v/>
      </c>
      <c r="S77" s="39" t="str">
        <f aca="false">IF(AND(M77&gt;0,O77&gt;0),O77+M77/1000000000000+ROW()/1000000000000000,"")</f>
        <v/>
      </c>
      <c r="T77" s="39" t="str">
        <f aca="false">IF(J77="Belum ditukar",ROW(),"")</f>
        <v/>
      </c>
    </row>
    <row r="78" customFormat="false" ht="15" hidden="false" customHeight="false" outlineLevel="0" collapsed="false">
      <c r="A78" s="50" t="s">
        <v>290</v>
      </c>
      <c r="B78" s="51" t="n">
        <v>45677</v>
      </c>
      <c r="C78" s="50" t="s">
        <v>166</v>
      </c>
      <c r="D78" s="39" t="str">
        <f aca="false">INDEX(Master_Customer!$B$2:$B$126,MATCH(C78,Master_Customer!$A$2:$A$126,0))</f>
        <v>SENTOSA SERVICE</v>
      </c>
      <c r="E78" s="50" t="s">
        <v>30</v>
      </c>
      <c r="F78" s="52" t="n">
        <f aca="false">SUMIFS(Data_Penjualan!$G$2:$G$5998,Data_Penjualan!$A$2:$A$5998,A78)</f>
        <v>18002100</v>
      </c>
      <c r="G78" s="39" t="n">
        <f aca="false">IF(E78="KANTOR",0,INDEX(Master_Customer!$C$2:$C$126,MATCH(C78,Master_Customer!$A$2:$A$126,0)))</f>
        <v>0</v>
      </c>
      <c r="H78" s="53" t="n">
        <f aca="false">B78+G78</f>
        <v>45677</v>
      </c>
      <c r="J78" s="39" t="str">
        <f aca="false">IF(G78=0,"Tunai",IF(I78="","Belum ditukar","Sudah ditukar"))</f>
        <v>Tunai</v>
      </c>
      <c r="K78" s="54" t="n">
        <v>18002100</v>
      </c>
      <c r="L78" s="51" t="n">
        <v>45678</v>
      </c>
      <c r="M78" s="52" t="n">
        <f aca="false">F78-K78</f>
        <v>0</v>
      </c>
      <c r="N78" s="39" t="str">
        <f aca="false">IF(M78&lt;=0,"Lunas",IF(K78&gt;0,"Sebagian","Belum Bayar"))</f>
        <v>Lunas</v>
      </c>
      <c r="O78" s="39" t="n">
        <f aca="false">IF(M78&gt;0,MAX(0,Catatan!$B$3-H78),0)</f>
        <v>0</v>
      </c>
      <c r="P78" s="39" t="str">
        <f aca="false">IF(M78&lt;=0,"Lunas",IF(Catatan!$B$3&lt;=H78,"Belum Jatuh Tempo",IF(O78&lt;=30,"1-30 hari",IF(O78&lt;=60,"31-60 hari",IF(O78&lt;=90,"61-90 hari","90+ hari")))))</f>
        <v>Lunas</v>
      </c>
      <c r="Q78" s="50"/>
      <c r="R78" s="39" t="str">
        <f aca="false">IF(M78&lt;=0,"",IF(O78&gt;60,"1-Tinggi",IF(O78&gt;30,"2-Sedang",IF(O78&gt;0,"3-Rendah","4-Pantau"))))</f>
        <v/>
      </c>
      <c r="S78" s="39" t="str">
        <f aca="false">IF(AND(M78&gt;0,O78&gt;0),O78+M78/1000000000000+ROW()/1000000000000000,"")</f>
        <v/>
      </c>
      <c r="T78" s="39" t="str">
        <f aca="false">IF(J78="Belum ditukar",ROW(),"")</f>
        <v/>
      </c>
    </row>
    <row r="79" customFormat="false" ht="15" hidden="false" customHeight="false" outlineLevel="0" collapsed="false">
      <c r="A79" s="50" t="s">
        <v>291</v>
      </c>
      <c r="B79" s="51" t="n">
        <v>45677</v>
      </c>
      <c r="C79" s="50" t="s">
        <v>174</v>
      </c>
      <c r="D79" s="39" t="str">
        <f aca="false">INDEX(Master_Customer!$B$2:$B$126,MATCH(C79,Master_Customer!$A$2:$A$126,0))</f>
        <v>SUMBER TEKNIK SURYA</v>
      </c>
      <c r="E79" s="50" t="s">
        <v>31</v>
      </c>
      <c r="F79" s="52" t="n">
        <f aca="false">SUMIFS(Data_Penjualan!$G$2:$G$5998,Data_Penjualan!$A$2:$A$5998,A79)</f>
        <v>7533800</v>
      </c>
      <c r="G79" s="39" t="n">
        <f aca="false">IF(E79="KANTOR",0,INDEX(Master_Customer!$C$2:$C$126,MATCH(C79,Master_Customer!$A$2:$A$126,0)))</f>
        <v>30</v>
      </c>
      <c r="H79" s="53" t="n">
        <f aca="false">B79+G79</f>
        <v>45707</v>
      </c>
      <c r="I79" s="51" t="n">
        <v>45680</v>
      </c>
      <c r="J79" s="39" t="str">
        <f aca="false">IF(G79=0,"Tunai",IF(I79="","Belum ditukar","Sudah ditukar"))</f>
        <v>Sudah ditukar</v>
      </c>
      <c r="K79" s="54" t="n">
        <v>7533800</v>
      </c>
      <c r="L79" s="51" t="n">
        <v>45705</v>
      </c>
      <c r="M79" s="52" t="n">
        <f aca="false">F79-K79</f>
        <v>0</v>
      </c>
      <c r="N79" s="39" t="str">
        <f aca="false">IF(M79&lt;=0,"Lunas",IF(K79&gt;0,"Sebagian","Belum Bayar"))</f>
        <v>Lunas</v>
      </c>
      <c r="O79" s="39" t="n">
        <f aca="false">IF(M79&gt;0,MAX(0,Catatan!$B$3-H79),0)</f>
        <v>0</v>
      </c>
      <c r="P79" s="39" t="str">
        <f aca="false">IF(M79&lt;=0,"Lunas",IF(Catatan!$B$3&lt;=H79,"Belum Jatuh Tempo",IF(O79&lt;=30,"1-30 hari",IF(O79&lt;=60,"31-60 hari",IF(O79&lt;=90,"61-90 hari","90+ hari")))))</f>
        <v>Lunas</v>
      </c>
      <c r="Q79" s="50"/>
      <c r="R79" s="39" t="str">
        <f aca="false">IF(M79&lt;=0,"",IF(O79&gt;60,"1-Tinggi",IF(O79&gt;30,"2-Sedang",IF(O79&gt;0,"3-Rendah","4-Pantau"))))</f>
        <v/>
      </c>
      <c r="S79" s="39" t="str">
        <f aca="false">IF(AND(M79&gt;0,O79&gt;0),O79+M79/1000000000000+ROW()/1000000000000000,"")</f>
        <v/>
      </c>
      <c r="T79" s="39" t="str">
        <f aca="false">IF(J79="Belum ditukar",ROW(),"")</f>
        <v/>
      </c>
    </row>
    <row r="80" customFormat="false" ht="15" hidden="false" customHeight="false" outlineLevel="0" collapsed="false">
      <c r="A80" s="50" t="s">
        <v>292</v>
      </c>
      <c r="B80" s="51" t="n">
        <v>45677</v>
      </c>
      <c r="C80" s="50" t="s">
        <v>293</v>
      </c>
      <c r="D80" s="39" t="str">
        <f aca="false">INDEX(Master_Customer!$B$2:$B$126,MATCH(C80,Master_Customer!$A$2:$A$126,0))</f>
        <v>SINAR LUBRICANT</v>
      </c>
      <c r="E80" s="50" t="s">
        <v>31</v>
      </c>
      <c r="F80" s="52" t="n">
        <f aca="false">SUMIFS(Data_Penjualan!$G$2:$G$5998,Data_Penjualan!$A$2:$A$5998,A80)</f>
        <v>10864800</v>
      </c>
      <c r="G80" s="39" t="n">
        <f aca="false">IF(E80="KANTOR",0,INDEX(Master_Customer!$C$2:$C$126,MATCH(C80,Master_Customer!$A$2:$A$126,0)))</f>
        <v>30</v>
      </c>
      <c r="H80" s="53" t="n">
        <f aca="false">B80+G80</f>
        <v>45707</v>
      </c>
      <c r="I80" s="51" t="n">
        <v>45678</v>
      </c>
      <c r="J80" s="39" t="str">
        <f aca="false">IF(G80=0,"Tunai",IF(I80="","Belum ditukar","Sudah ditukar"))</f>
        <v>Sudah ditukar</v>
      </c>
      <c r="K80" s="54" t="n">
        <v>10864800</v>
      </c>
      <c r="L80" s="51" t="n">
        <v>45711</v>
      </c>
      <c r="M80" s="52" t="n">
        <f aca="false">F80-K80</f>
        <v>0</v>
      </c>
      <c r="N80" s="39" t="str">
        <f aca="false">IF(M80&lt;=0,"Lunas",IF(K80&gt;0,"Sebagian","Belum Bayar"))</f>
        <v>Lunas</v>
      </c>
      <c r="O80" s="39" t="n">
        <f aca="false">IF(M80&gt;0,MAX(0,Catatan!$B$3-H80),0)</f>
        <v>0</v>
      </c>
      <c r="P80" s="39" t="str">
        <f aca="false">IF(M80&lt;=0,"Lunas",IF(Catatan!$B$3&lt;=H80,"Belum Jatuh Tempo",IF(O80&lt;=30,"1-30 hari",IF(O80&lt;=60,"31-60 hari",IF(O80&lt;=90,"61-90 hari","90+ hari")))))</f>
        <v>Lunas</v>
      </c>
      <c r="Q80" s="50"/>
      <c r="R80" s="39" t="str">
        <f aca="false">IF(M80&lt;=0,"",IF(O80&gt;60,"1-Tinggi",IF(O80&gt;30,"2-Sedang",IF(O80&gt;0,"3-Rendah","4-Pantau"))))</f>
        <v/>
      </c>
      <c r="S80" s="39" t="str">
        <f aca="false">IF(AND(M80&gt;0,O80&gt;0),O80+M80/1000000000000+ROW()/1000000000000000,"")</f>
        <v/>
      </c>
      <c r="T80" s="39" t="str">
        <f aca="false">IF(J80="Belum ditukar",ROW(),"")</f>
        <v/>
      </c>
    </row>
    <row r="81" customFormat="false" ht="15" hidden="false" customHeight="false" outlineLevel="0" collapsed="false">
      <c r="A81" s="50" t="s">
        <v>294</v>
      </c>
      <c r="B81" s="51" t="n">
        <v>45677</v>
      </c>
      <c r="C81" s="50" t="s">
        <v>289</v>
      </c>
      <c r="D81" s="39" t="str">
        <f aca="false">INDEX(Master_Customer!$B$2:$B$126,MATCH(C81,Master_Customer!$A$2:$A$126,0))</f>
        <v>SINAR GARAGE</v>
      </c>
      <c r="E81" s="50" t="s">
        <v>32</v>
      </c>
      <c r="F81" s="52" t="n">
        <f aca="false">SUMIFS(Data_Penjualan!$G$2:$G$5998,Data_Penjualan!$A$2:$A$5998,A81)</f>
        <v>6651100</v>
      </c>
      <c r="G81" s="39" t="n">
        <f aca="false">IF(E81="KANTOR",0,INDEX(Master_Customer!$C$2:$C$126,MATCH(C81,Master_Customer!$A$2:$A$126,0)))</f>
        <v>0</v>
      </c>
      <c r="H81" s="53" t="n">
        <f aca="false">B81+G81</f>
        <v>45677</v>
      </c>
      <c r="J81" s="39" t="str">
        <f aca="false">IF(G81=0,"Tunai",IF(I81="","Belum ditukar","Sudah ditukar"))</f>
        <v>Tunai</v>
      </c>
      <c r="K81" s="54" t="n">
        <v>6651100</v>
      </c>
      <c r="L81" s="51" t="n">
        <v>45678</v>
      </c>
      <c r="M81" s="52" t="n">
        <f aca="false">F81-K81</f>
        <v>0</v>
      </c>
      <c r="N81" s="39" t="str">
        <f aca="false">IF(M81&lt;=0,"Lunas",IF(K81&gt;0,"Sebagian","Belum Bayar"))</f>
        <v>Lunas</v>
      </c>
      <c r="O81" s="39" t="n">
        <f aca="false">IF(M81&gt;0,MAX(0,Catatan!$B$3-H81),0)</f>
        <v>0</v>
      </c>
      <c r="P81" s="39" t="str">
        <f aca="false">IF(M81&lt;=0,"Lunas",IF(Catatan!$B$3&lt;=H81,"Belum Jatuh Tempo",IF(O81&lt;=30,"1-30 hari",IF(O81&lt;=60,"31-60 hari",IF(O81&lt;=90,"61-90 hari","90+ hari")))))</f>
        <v>Lunas</v>
      </c>
      <c r="Q81" s="50"/>
      <c r="R81" s="39" t="str">
        <f aca="false">IF(M81&lt;=0,"",IF(O81&gt;60,"1-Tinggi",IF(O81&gt;30,"2-Sedang",IF(O81&gt;0,"3-Rendah","4-Pantau"))))</f>
        <v/>
      </c>
      <c r="S81" s="39" t="str">
        <f aca="false">IF(AND(M81&gt;0,O81&gt;0),O81+M81/1000000000000+ROW()/1000000000000000,"")</f>
        <v/>
      </c>
      <c r="T81" s="39" t="str">
        <f aca="false">IF(J81="Belum ditukar",ROW(),"")</f>
        <v/>
      </c>
    </row>
    <row r="82" customFormat="false" ht="15" hidden="false" customHeight="false" outlineLevel="0" collapsed="false">
      <c r="A82" s="50" t="s">
        <v>295</v>
      </c>
      <c r="B82" s="51" t="n">
        <v>45677</v>
      </c>
      <c r="C82" s="50" t="s">
        <v>296</v>
      </c>
      <c r="D82" s="39" t="str">
        <f aca="false">INDEX(Master_Customer!$B$2:$B$126,MATCH(C82,Master_Customer!$A$2:$A$126,0))</f>
        <v>KARYA LUBRICANT MAJU</v>
      </c>
      <c r="E82" s="50" t="s">
        <v>29</v>
      </c>
      <c r="F82" s="52" t="n">
        <f aca="false">SUMIFS(Data_Penjualan!$G$2:$G$5998,Data_Penjualan!$A$2:$A$5998,A82)</f>
        <v>21916200</v>
      </c>
      <c r="G82" s="39" t="n">
        <f aca="false">IF(E82="KANTOR",0,INDEX(Master_Customer!$C$2:$C$126,MATCH(C82,Master_Customer!$A$2:$A$126,0)))</f>
        <v>14</v>
      </c>
      <c r="H82" s="53" t="n">
        <f aca="false">B82+G82</f>
        <v>45691</v>
      </c>
      <c r="I82" s="51" t="n">
        <v>45682</v>
      </c>
      <c r="J82" s="39" t="str">
        <f aca="false">IF(G82=0,"Tunai",IF(I82="","Belum ditukar","Sudah ditukar"))</f>
        <v>Sudah ditukar</v>
      </c>
      <c r="K82" s="54" t="n">
        <v>21916200</v>
      </c>
      <c r="L82" s="51" t="n">
        <v>45687</v>
      </c>
      <c r="M82" s="52" t="n">
        <f aca="false">F82-K82</f>
        <v>0</v>
      </c>
      <c r="N82" s="39" t="str">
        <f aca="false">IF(M82&lt;=0,"Lunas",IF(K82&gt;0,"Sebagian","Belum Bayar"))</f>
        <v>Lunas</v>
      </c>
      <c r="O82" s="39" t="n">
        <f aca="false">IF(M82&gt;0,MAX(0,Catatan!$B$3-H82),0)</f>
        <v>0</v>
      </c>
      <c r="P82" s="39" t="str">
        <f aca="false">IF(M82&lt;=0,"Lunas",IF(Catatan!$B$3&lt;=H82,"Belum Jatuh Tempo",IF(O82&lt;=30,"1-30 hari",IF(O82&lt;=60,"31-60 hari",IF(O82&lt;=90,"61-90 hari","90+ hari")))))</f>
        <v>Lunas</v>
      </c>
      <c r="Q82" s="50"/>
      <c r="R82" s="39" t="str">
        <f aca="false">IF(M82&lt;=0,"",IF(O82&gt;60,"1-Tinggi",IF(O82&gt;30,"2-Sedang",IF(O82&gt;0,"3-Rendah","4-Pantau"))))</f>
        <v/>
      </c>
      <c r="S82" s="39" t="str">
        <f aca="false">IF(AND(M82&gt;0,O82&gt;0),O82+M82/1000000000000+ROW()/1000000000000000,"")</f>
        <v/>
      </c>
      <c r="T82" s="39" t="str">
        <f aca="false">IF(J82="Belum ditukar",ROW(),"")</f>
        <v/>
      </c>
    </row>
    <row r="83" customFormat="false" ht="15" hidden="false" customHeight="false" outlineLevel="0" collapsed="false">
      <c r="A83" s="50" t="s">
        <v>297</v>
      </c>
      <c r="B83" s="51" t="n">
        <v>45677</v>
      </c>
      <c r="C83" s="50" t="s">
        <v>298</v>
      </c>
      <c r="D83" s="39" t="str">
        <f aca="false">INDEX(Master_Customer!$B$2:$B$126,MATCH(C83,Master_Customer!$A$2:$A$126,0))</f>
        <v>BERKAH MOBIL MAKMUR</v>
      </c>
      <c r="E83" s="50" t="s">
        <v>32</v>
      </c>
      <c r="F83" s="52" t="n">
        <f aca="false">SUMIFS(Data_Penjualan!$G$2:$G$5998,Data_Penjualan!$A$2:$A$5998,A83)</f>
        <v>16682000</v>
      </c>
      <c r="G83" s="39" t="n">
        <f aca="false">IF(E83="KANTOR",0,INDEX(Master_Customer!$C$2:$C$126,MATCH(C83,Master_Customer!$A$2:$A$126,0)))</f>
        <v>0</v>
      </c>
      <c r="H83" s="53" t="n">
        <f aca="false">B83+G83</f>
        <v>45677</v>
      </c>
      <c r="J83" s="39" t="str">
        <f aca="false">IF(G83=0,"Tunai",IF(I83="","Belum ditukar","Sudah ditukar"))</f>
        <v>Tunai</v>
      </c>
      <c r="K83" s="54" t="n">
        <v>16682000</v>
      </c>
      <c r="L83" s="51" t="n">
        <v>45679</v>
      </c>
      <c r="M83" s="52" t="n">
        <f aca="false">F83-K83</f>
        <v>0</v>
      </c>
      <c r="N83" s="39" t="str">
        <f aca="false">IF(M83&lt;=0,"Lunas",IF(K83&gt;0,"Sebagian","Belum Bayar"))</f>
        <v>Lunas</v>
      </c>
      <c r="O83" s="39" t="n">
        <f aca="false">IF(M83&gt;0,MAX(0,Catatan!$B$3-H83),0)</f>
        <v>0</v>
      </c>
      <c r="P83" s="39" t="str">
        <f aca="false">IF(M83&lt;=0,"Lunas",IF(Catatan!$B$3&lt;=H83,"Belum Jatuh Tempo",IF(O83&lt;=30,"1-30 hari",IF(O83&lt;=60,"31-60 hari",IF(O83&lt;=90,"61-90 hari","90+ hari")))))</f>
        <v>Lunas</v>
      </c>
      <c r="Q83" s="50"/>
      <c r="R83" s="39" t="str">
        <f aca="false">IF(M83&lt;=0,"",IF(O83&gt;60,"1-Tinggi",IF(O83&gt;30,"2-Sedang",IF(O83&gt;0,"3-Rendah","4-Pantau"))))</f>
        <v/>
      </c>
      <c r="S83" s="39" t="str">
        <f aca="false">IF(AND(M83&gt;0,O83&gt;0),O83+M83/1000000000000+ROW()/1000000000000000,"")</f>
        <v/>
      </c>
      <c r="T83" s="39" t="str">
        <f aca="false">IF(J83="Belum ditukar",ROW(),"")</f>
        <v/>
      </c>
    </row>
    <row r="84" customFormat="false" ht="15" hidden="false" customHeight="false" outlineLevel="0" collapsed="false">
      <c r="A84" s="50" t="s">
        <v>299</v>
      </c>
      <c r="B84" s="51" t="n">
        <v>45678</v>
      </c>
      <c r="C84" s="50" t="s">
        <v>179</v>
      </c>
      <c r="D84" s="39" t="str">
        <f aca="false">INDEX(Master_Customer!$B$2:$B$126,MATCH(C84,Master_Customer!$A$2:$A$126,0))</f>
        <v>BINTANG TEKNIK SURYA</v>
      </c>
      <c r="E84" s="50" t="s">
        <v>29</v>
      </c>
      <c r="F84" s="52" t="n">
        <f aca="false">SUMIFS(Data_Penjualan!$G$2:$G$5998,Data_Penjualan!$A$2:$A$5998,A84)</f>
        <v>4956500</v>
      </c>
      <c r="G84" s="39" t="n">
        <f aca="false">IF(E84="KANTOR",0,INDEX(Master_Customer!$C$2:$C$126,MATCH(C84,Master_Customer!$A$2:$A$126,0)))</f>
        <v>45</v>
      </c>
      <c r="H84" s="53" t="n">
        <f aca="false">B84+G84</f>
        <v>45723</v>
      </c>
      <c r="I84" s="51" t="n">
        <v>45681</v>
      </c>
      <c r="J84" s="39" t="str">
        <f aca="false">IF(G84=0,"Tunai",IF(I84="","Belum ditukar","Sudah ditukar"))</f>
        <v>Sudah ditukar</v>
      </c>
      <c r="K84" s="54" t="n">
        <v>4956500</v>
      </c>
      <c r="L84" s="51" t="n">
        <v>45722</v>
      </c>
      <c r="M84" s="52" t="n">
        <f aca="false">F84-K84</f>
        <v>0</v>
      </c>
      <c r="N84" s="39" t="str">
        <f aca="false">IF(M84&lt;=0,"Lunas",IF(K84&gt;0,"Sebagian","Belum Bayar"))</f>
        <v>Lunas</v>
      </c>
      <c r="O84" s="39" t="n">
        <f aca="false">IF(M84&gt;0,MAX(0,Catatan!$B$3-H84),0)</f>
        <v>0</v>
      </c>
      <c r="P84" s="39" t="str">
        <f aca="false">IF(M84&lt;=0,"Lunas",IF(Catatan!$B$3&lt;=H84,"Belum Jatuh Tempo",IF(O84&lt;=30,"1-30 hari",IF(O84&lt;=60,"31-60 hari",IF(O84&lt;=90,"61-90 hari","90+ hari")))))</f>
        <v>Lunas</v>
      </c>
      <c r="Q84" s="50"/>
      <c r="R84" s="39" t="str">
        <f aca="false">IF(M84&lt;=0,"",IF(O84&gt;60,"1-Tinggi",IF(O84&gt;30,"2-Sedang",IF(O84&gt;0,"3-Rendah","4-Pantau"))))</f>
        <v/>
      </c>
      <c r="S84" s="39" t="str">
        <f aca="false">IF(AND(M84&gt;0,O84&gt;0),O84+M84/1000000000000+ROW()/1000000000000000,"")</f>
        <v/>
      </c>
      <c r="T84" s="39" t="str">
        <f aca="false">IF(J84="Belum ditukar",ROW(),"")</f>
        <v/>
      </c>
    </row>
    <row r="85" customFormat="false" ht="15" hidden="false" customHeight="false" outlineLevel="0" collapsed="false">
      <c r="A85" s="50" t="s">
        <v>300</v>
      </c>
      <c r="B85" s="51" t="n">
        <v>45678</v>
      </c>
      <c r="C85" s="50" t="s">
        <v>278</v>
      </c>
      <c r="D85" s="39" t="str">
        <f aca="false">INDEX(Master_Customer!$B$2:$B$126,MATCH(C85,Master_Customer!$A$2:$A$126,0))</f>
        <v>SURYA MOTOR</v>
      </c>
      <c r="E85" s="50" t="s">
        <v>32</v>
      </c>
      <c r="F85" s="52" t="n">
        <f aca="false">SUMIFS(Data_Penjualan!$G$2:$G$5998,Data_Penjualan!$A$2:$A$5998,A85)</f>
        <v>7863200</v>
      </c>
      <c r="G85" s="39" t="n">
        <f aca="false">IF(E85="KANTOR",0,INDEX(Master_Customer!$C$2:$C$126,MATCH(C85,Master_Customer!$A$2:$A$126,0)))</f>
        <v>0</v>
      </c>
      <c r="H85" s="53" t="n">
        <f aca="false">B85+G85</f>
        <v>45678</v>
      </c>
      <c r="J85" s="39" t="str">
        <f aca="false">IF(G85=0,"Tunai",IF(I85="","Belum ditukar","Sudah ditukar"))</f>
        <v>Tunai</v>
      </c>
      <c r="K85" s="54" t="n">
        <v>7863200</v>
      </c>
      <c r="L85" s="51" t="n">
        <v>45678</v>
      </c>
      <c r="M85" s="52" t="n">
        <f aca="false">F85-K85</f>
        <v>0</v>
      </c>
      <c r="N85" s="39" t="str">
        <f aca="false">IF(M85&lt;=0,"Lunas",IF(K85&gt;0,"Sebagian","Belum Bayar"))</f>
        <v>Lunas</v>
      </c>
      <c r="O85" s="39" t="n">
        <f aca="false">IF(M85&gt;0,MAX(0,Catatan!$B$3-H85),0)</f>
        <v>0</v>
      </c>
      <c r="P85" s="39" t="str">
        <f aca="false">IF(M85&lt;=0,"Lunas",IF(Catatan!$B$3&lt;=H85,"Belum Jatuh Tempo",IF(O85&lt;=30,"1-30 hari",IF(O85&lt;=60,"31-60 hari",IF(O85&lt;=90,"61-90 hari","90+ hari")))))</f>
        <v>Lunas</v>
      </c>
      <c r="Q85" s="50"/>
      <c r="R85" s="39" t="str">
        <f aca="false">IF(M85&lt;=0,"",IF(O85&gt;60,"1-Tinggi",IF(O85&gt;30,"2-Sedang",IF(O85&gt;0,"3-Rendah","4-Pantau"))))</f>
        <v/>
      </c>
      <c r="S85" s="39" t="str">
        <f aca="false">IF(AND(M85&gt;0,O85&gt;0),O85+M85/1000000000000+ROW()/1000000000000000,"")</f>
        <v/>
      </c>
      <c r="T85" s="39" t="str">
        <f aca="false">IF(J85="Belum ditukar",ROW(),"")</f>
        <v/>
      </c>
    </row>
    <row r="86" customFormat="false" ht="15" hidden="false" customHeight="false" outlineLevel="0" collapsed="false">
      <c r="A86" s="50" t="s">
        <v>301</v>
      </c>
      <c r="B86" s="51" t="n">
        <v>45678</v>
      </c>
      <c r="C86" s="50" t="s">
        <v>232</v>
      </c>
      <c r="D86" s="39" t="str">
        <f aca="false">INDEX(Master_Customer!$B$2:$B$126,MATCH(C86,Master_Customer!$A$2:$A$126,0))</f>
        <v>ABADI LUBRICANT KARYA</v>
      </c>
      <c r="E86" s="50" t="s">
        <v>32</v>
      </c>
      <c r="F86" s="52" t="n">
        <f aca="false">SUMIFS(Data_Penjualan!$G$2:$G$5998,Data_Penjualan!$A$2:$A$5998,A86)</f>
        <v>6162600</v>
      </c>
      <c r="G86" s="39" t="n">
        <f aca="false">IF(E86="KANTOR",0,INDEX(Master_Customer!$C$2:$C$126,MATCH(C86,Master_Customer!$A$2:$A$126,0)))</f>
        <v>0</v>
      </c>
      <c r="H86" s="53" t="n">
        <f aca="false">B86+G86</f>
        <v>45678</v>
      </c>
      <c r="J86" s="39" t="str">
        <f aca="false">IF(G86=0,"Tunai",IF(I86="","Belum ditukar","Sudah ditukar"))</f>
        <v>Tunai</v>
      </c>
      <c r="K86" s="54" t="n">
        <v>6162600</v>
      </c>
      <c r="L86" s="51" t="n">
        <v>45679</v>
      </c>
      <c r="M86" s="52" t="n">
        <f aca="false">F86-K86</f>
        <v>0</v>
      </c>
      <c r="N86" s="39" t="str">
        <f aca="false">IF(M86&lt;=0,"Lunas",IF(K86&gt;0,"Sebagian","Belum Bayar"))</f>
        <v>Lunas</v>
      </c>
      <c r="O86" s="39" t="n">
        <f aca="false">IF(M86&gt;0,MAX(0,Catatan!$B$3-H86),0)</f>
        <v>0</v>
      </c>
      <c r="P86" s="39" t="str">
        <f aca="false">IF(M86&lt;=0,"Lunas",IF(Catatan!$B$3&lt;=H86,"Belum Jatuh Tempo",IF(O86&lt;=30,"1-30 hari",IF(O86&lt;=60,"31-60 hari",IF(O86&lt;=90,"61-90 hari","90+ hari")))))</f>
        <v>Lunas</v>
      </c>
      <c r="Q86" s="50"/>
      <c r="R86" s="39" t="str">
        <f aca="false">IF(M86&lt;=0,"",IF(O86&gt;60,"1-Tinggi",IF(O86&gt;30,"2-Sedang",IF(O86&gt;0,"3-Rendah","4-Pantau"))))</f>
        <v/>
      </c>
      <c r="S86" s="39" t="str">
        <f aca="false">IF(AND(M86&gt;0,O86&gt;0),O86+M86/1000000000000+ROW()/1000000000000000,"")</f>
        <v/>
      </c>
      <c r="T86" s="39" t="str">
        <f aca="false">IF(J86="Belum ditukar",ROW(),"")</f>
        <v/>
      </c>
    </row>
    <row r="87" customFormat="false" ht="15" hidden="false" customHeight="false" outlineLevel="0" collapsed="false">
      <c r="A87" s="50" t="s">
        <v>302</v>
      </c>
      <c r="B87" s="51" t="n">
        <v>45679</v>
      </c>
      <c r="C87" s="50" t="s">
        <v>166</v>
      </c>
      <c r="D87" s="39" t="str">
        <f aca="false">INDEX(Master_Customer!$B$2:$B$126,MATCH(C87,Master_Customer!$A$2:$A$126,0))</f>
        <v>SENTOSA SERVICE</v>
      </c>
      <c r="E87" s="50" t="s">
        <v>30</v>
      </c>
      <c r="F87" s="52" t="n">
        <f aca="false">SUMIFS(Data_Penjualan!$G$2:$G$5998,Data_Penjualan!$A$2:$A$5998,A87)</f>
        <v>19690300</v>
      </c>
      <c r="G87" s="39" t="n">
        <f aca="false">IF(E87="KANTOR",0,INDEX(Master_Customer!$C$2:$C$126,MATCH(C87,Master_Customer!$A$2:$A$126,0)))</f>
        <v>0</v>
      </c>
      <c r="H87" s="53" t="n">
        <f aca="false">B87+G87</f>
        <v>45679</v>
      </c>
      <c r="J87" s="39" t="str">
        <f aca="false">IF(G87=0,"Tunai",IF(I87="","Belum ditukar","Sudah ditukar"))</f>
        <v>Tunai</v>
      </c>
      <c r="K87" s="54" t="n">
        <v>19690300</v>
      </c>
      <c r="L87" s="51" t="n">
        <v>45679</v>
      </c>
      <c r="M87" s="52" t="n">
        <f aca="false">F87-K87</f>
        <v>0</v>
      </c>
      <c r="N87" s="39" t="str">
        <f aca="false">IF(M87&lt;=0,"Lunas",IF(K87&gt;0,"Sebagian","Belum Bayar"))</f>
        <v>Lunas</v>
      </c>
      <c r="O87" s="39" t="n">
        <f aca="false">IF(M87&gt;0,MAX(0,Catatan!$B$3-H87),0)</f>
        <v>0</v>
      </c>
      <c r="P87" s="39" t="str">
        <f aca="false">IF(M87&lt;=0,"Lunas",IF(Catatan!$B$3&lt;=H87,"Belum Jatuh Tempo",IF(O87&lt;=30,"1-30 hari",IF(O87&lt;=60,"31-60 hari",IF(O87&lt;=90,"61-90 hari","90+ hari")))))</f>
        <v>Lunas</v>
      </c>
      <c r="Q87" s="50"/>
      <c r="R87" s="39" t="str">
        <f aca="false">IF(M87&lt;=0,"",IF(O87&gt;60,"1-Tinggi",IF(O87&gt;30,"2-Sedang",IF(O87&gt;0,"3-Rendah","4-Pantau"))))</f>
        <v/>
      </c>
      <c r="S87" s="39" t="str">
        <f aca="false">IF(AND(M87&gt;0,O87&gt;0),O87+M87/1000000000000+ROW()/1000000000000000,"")</f>
        <v/>
      </c>
      <c r="T87" s="39" t="str">
        <f aca="false">IF(J87="Belum ditukar",ROW(),"")</f>
        <v/>
      </c>
    </row>
    <row r="88" customFormat="false" ht="15" hidden="false" customHeight="false" outlineLevel="0" collapsed="false">
      <c r="A88" s="50" t="s">
        <v>303</v>
      </c>
      <c r="B88" s="51" t="n">
        <v>45679</v>
      </c>
      <c r="C88" s="50" t="s">
        <v>188</v>
      </c>
      <c r="D88" s="39" t="str">
        <f aca="false">INDEX(Master_Customer!$B$2:$B$126,MATCH(C88,Master_Customer!$A$2:$A$126,0))</f>
        <v>MAJU GARAGE TIRTA</v>
      </c>
      <c r="E88" s="50" t="s">
        <v>31</v>
      </c>
      <c r="F88" s="52" t="n">
        <f aca="false">SUMIFS(Data_Penjualan!$G$2:$G$5998,Data_Penjualan!$A$2:$A$5998,A88)</f>
        <v>8245800</v>
      </c>
      <c r="G88" s="39" t="n">
        <f aca="false">IF(E88="KANTOR",0,INDEX(Master_Customer!$C$2:$C$126,MATCH(C88,Master_Customer!$A$2:$A$126,0)))</f>
        <v>45</v>
      </c>
      <c r="H88" s="53" t="n">
        <f aca="false">B88+G88</f>
        <v>45724</v>
      </c>
      <c r="I88" s="51" t="n">
        <v>45684</v>
      </c>
      <c r="J88" s="39" t="str">
        <f aca="false">IF(G88=0,"Tunai",IF(I88="","Belum ditukar","Sudah ditukar"))</f>
        <v>Sudah ditukar</v>
      </c>
      <c r="K88" s="54" t="n">
        <v>8245800</v>
      </c>
      <c r="L88" s="51" t="n">
        <v>45740</v>
      </c>
      <c r="M88" s="52" t="n">
        <f aca="false">F88-K88</f>
        <v>0</v>
      </c>
      <c r="N88" s="39" t="str">
        <f aca="false">IF(M88&lt;=0,"Lunas",IF(K88&gt;0,"Sebagian","Belum Bayar"))</f>
        <v>Lunas</v>
      </c>
      <c r="O88" s="39" t="n">
        <f aca="false">IF(M88&gt;0,MAX(0,Catatan!$B$3-H88),0)</f>
        <v>0</v>
      </c>
      <c r="P88" s="39" t="str">
        <f aca="false">IF(M88&lt;=0,"Lunas",IF(Catatan!$B$3&lt;=H88,"Belum Jatuh Tempo",IF(O88&lt;=30,"1-30 hari",IF(O88&lt;=60,"31-60 hari",IF(O88&lt;=90,"61-90 hari","90+ hari")))))</f>
        <v>Lunas</v>
      </c>
      <c r="Q88" s="50"/>
      <c r="R88" s="39" t="str">
        <f aca="false">IF(M88&lt;=0,"",IF(O88&gt;60,"1-Tinggi",IF(O88&gt;30,"2-Sedang",IF(O88&gt;0,"3-Rendah","4-Pantau"))))</f>
        <v/>
      </c>
      <c r="S88" s="39" t="str">
        <f aca="false">IF(AND(M88&gt;0,O88&gt;0),O88+M88/1000000000000+ROW()/1000000000000000,"")</f>
        <v/>
      </c>
      <c r="T88" s="39" t="str">
        <f aca="false">IF(J88="Belum ditukar",ROW(),"")</f>
        <v/>
      </c>
    </row>
    <row r="89" customFormat="false" ht="15" hidden="false" customHeight="false" outlineLevel="0" collapsed="false">
      <c r="A89" s="50" t="s">
        <v>304</v>
      </c>
      <c r="B89" s="51" t="n">
        <v>45679</v>
      </c>
      <c r="C89" s="50" t="s">
        <v>213</v>
      </c>
      <c r="D89" s="39" t="str">
        <f aca="false">INDEX(Master_Customer!$B$2:$B$126,MATCH(C89,Master_Customer!$A$2:$A$126,0))</f>
        <v>ABADI AUTO MAKMUR</v>
      </c>
      <c r="E89" s="50" t="s">
        <v>30</v>
      </c>
      <c r="F89" s="52" t="n">
        <f aca="false">SUMIFS(Data_Penjualan!$G$2:$G$5998,Data_Penjualan!$A$2:$A$5998,A89)</f>
        <v>1909500</v>
      </c>
      <c r="G89" s="39" t="n">
        <f aca="false">IF(E89="KANTOR",0,INDEX(Master_Customer!$C$2:$C$126,MATCH(C89,Master_Customer!$A$2:$A$126,0)))</f>
        <v>30</v>
      </c>
      <c r="H89" s="53" t="n">
        <f aca="false">B89+G89</f>
        <v>45709</v>
      </c>
      <c r="I89" s="51" t="n">
        <v>45683</v>
      </c>
      <c r="J89" s="39" t="str">
        <f aca="false">IF(G89=0,"Tunai",IF(I89="","Belum ditukar","Sudah ditukar"))</f>
        <v>Sudah ditukar</v>
      </c>
      <c r="K89" s="54" t="n">
        <v>1909500</v>
      </c>
      <c r="L89" s="51" t="n">
        <v>45706</v>
      </c>
      <c r="M89" s="52" t="n">
        <f aca="false">F89-K89</f>
        <v>0</v>
      </c>
      <c r="N89" s="39" t="str">
        <f aca="false">IF(M89&lt;=0,"Lunas",IF(K89&gt;0,"Sebagian","Belum Bayar"))</f>
        <v>Lunas</v>
      </c>
      <c r="O89" s="39" t="n">
        <f aca="false">IF(M89&gt;0,MAX(0,Catatan!$B$3-H89),0)</f>
        <v>0</v>
      </c>
      <c r="P89" s="39" t="str">
        <f aca="false">IF(M89&lt;=0,"Lunas",IF(Catatan!$B$3&lt;=H89,"Belum Jatuh Tempo",IF(O89&lt;=30,"1-30 hari",IF(O89&lt;=60,"31-60 hari",IF(O89&lt;=90,"61-90 hari","90+ hari")))))</f>
        <v>Lunas</v>
      </c>
      <c r="Q89" s="50"/>
      <c r="R89" s="39" t="str">
        <f aca="false">IF(M89&lt;=0,"",IF(O89&gt;60,"1-Tinggi",IF(O89&gt;30,"2-Sedang",IF(O89&gt;0,"3-Rendah","4-Pantau"))))</f>
        <v/>
      </c>
      <c r="S89" s="39" t="str">
        <f aca="false">IF(AND(M89&gt;0,O89&gt;0),O89+M89/1000000000000+ROW()/1000000000000000,"")</f>
        <v/>
      </c>
      <c r="T89" s="39" t="str">
        <f aca="false">IF(J89="Belum ditukar",ROW(),"")</f>
        <v/>
      </c>
    </row>
    <row r="90" customFormat="false" ht="15" hidden="false" customHeight="false" outlineLevel="0" collapsed="false">
      <c r="A90" s="50" t="s">
        <v>305</v>
      </c>
      <c r="B90" s="51" t="n">
        <v>45679</v>
      </c>
      <c r="C90" s="50" t="s">
        <v>174</v>
      </c>
      <c r="D90" s="39" t="str">
        <f aca="false">INDEX(Master_Customer!$B$2:$B$126,MATCH(C90,Master_Customer!$A$2:$A$126,0))</f>
        <v>SUMBER TEKNIK SURYA</v>
      </c>
      <c r="E90" s="50" t="s">
        <v>31</v>
      </c>
      <c r="F90" s="52" t="n">
        <f aca="false">SUMIFS(Data_Penjualan!$G$2:$G$5998,Data_Penjualan!$A$2:$A$5998,A90)</f>
        <v>18705000</v>
      </c>
      <c r="G90" s="39" t="n">
        <f aca="false">IF(E90="KANTOR",0,INDEX(Master_Customer!$C$2:$C$126,MATCH(C90,Master_Customer!$A$2:$A$126,0)))</f>
        <v>30</v>
      </c>
      <c r="H90" s="53" t="n">
        <f aca="false">B90+G90</f>
        <v>45709</v>
      </c>
      <c r="I90" s="51" t="n">
        <v>45682</v>
      </c>
      <c r="J90" s="39" t="str">
        <f aca="false">IF(G90=0,"Tunai",IF(I90="","Belum ditukar","Sudah ditukar"))</f>
        <v>Sudah ditukar</v>
      </c>
      <c r="K90" s="54" t="n">
        <v>18705000</v>
      </c>
      <c r="L90" s="51" t="n">
        <v>45699</v>
      </c>
      <c r="M90" s="52" t="n">
        <f aca="false">F90-K90</f>
        <v>0</v>
      </c>
      <c r="N90" s="39" t="str">
        <f aca="false">IF(M90&lt;=0,"Lunas",IF(K90&gt;0,"Sebagian","Belum Bayar"))</f>
        <v>Lunas</v>
      </c>
      <c r="O90" s="39" t="n">
        <f aca="false">IF(M90&gt;0,MAX(0,Catatan!$B$3-H90),0)</f>
        <v>0</v>
      </c>
      <c r="P90" s="39" t="str">
        <f aca="false">IF(M90&lt;=0,"Lunas",IF(Catatan!$B$3&lt;=H90,"Belum Jatuh Tempo",IF(O90&lt;=30,"1-30 hari",IF(O90&lt;=60,"31-60 hari",IF(O90&lt;=90,"61-90 hari","90+ hari")))))</f>
        <v>Lunas</v>
      </c>
      <c r="Q90" s="50"/>
      <c r="R90" s="39" t="str">
        <f aca="false">IF(M90&lt;=0,"",IF(O90&gt;60,"1-Tinggi",IF(O90&gt;30,"2-Sedang",IF(O90&gt;0,"3-Rendah","4-Pantau"))))</f>
        <v/>
      </c>
      <c r="S90" s="39" t="str">
        <f aca="false">IF(AND(M90&gt;0,O90&gt;0),O90+M90/1000000000000+ROW()/1000000000000000,"")</f>
        <v/>
      </c>
      <c r="T90" s="39" t="str">
        <f aca="false">IF(J90="Belum ditukar",ROW(),"")</f>
        <v/>
      </c>
    </row>
    <row r="91" customFormat="false" ht="15" hidden="false" customHeight="false" outlineLevel="0" collapsed="false">
      <c r="A91" s="50" t="s">
        <v>306</v>
      </c>
      <c r="B91" s="51" t="n">
        <v>45679</v>
      </c>
      <c r="C91" s="50" t="s">
        <v>241</v>
      </c>
      <c r="D91" s="39" t="str">
        <f aca="false">INDEX(Master_Customer!$B$2:$B$126,MATCH(C91,Master_Customer!$A$2:$A$126,0))</f>
        <v>GEMILANG GARAGE TIRTA</v>
      </c>
      <c r="E91" s="50" t="s">
        <v>29</v>
      </c>
      <c r="F91" s="52" t="n">
        <f aca="false">SUMIFS(Data_Penjualan!$G$2:$G$5998,Data_Penjualan!$A$2:$A$5998,A91)</f>
        <v>10714300</v>
      </c>
      <c r="G91" s="39" t="n">
        <f aca="false">IF(E91="KANTOR",0,INDEX(Master_Customer!$C$2:$C$126,MATCH(C91,Master_Customer!$A$2:$A$126,0)))</f>
        <v>14</v>
      </c>
      <c r="H91" s="53" t="n">
        <f aca="false">B91+G91</f>
        <v>45693</v>
      </c>
      <c r="I91" s="51" t="n">
        <v>45683</v>
      </c>
      <c r="J91" s="39" t="str">
        <f aca="false">IF(G91=0,"Tunai",IF(I91="","Belum ditukar","Sudah ditukar"))</f>
        <v>Sudah ditukar</v>
      </c>
      <c r="K91" s="54" t="n">
        <v>10714300</v>
      </c>
      <c r="L91" s="51" t="n">
        <v>45680</v>
      </c>
      <c r="M91" s="52" t="n">
        <f aca="false">F91-K91</f>
        <v>0</v>
      </c>
      <c r="N91" s="39" t="str">
        <f aca="false">IF(M91&lt;=0,"Lunas",IF(K91&gt;0,"Sebagian","Belum Bayar"))</f>
        <v>Lunas</v>
      </c>
      <c r="O91" s="39" t="n">
        <f aca="false">IF(M91&gt;0,MAX(0,Catatan!$B$3-H91),0)</f>
        <v>0</v>
      </c>
      <c r="P91" s="39" t="str">
        <f aca="false">IF(M91&lt;=0,"Lunas",IF(Catatan!$B$3&lt;=H91,"Belum Jatuh Tempo",IF(O91&lt;=30,"1-30 hari",IF(O91&lt;=60,"31-60 hari",IF(O91&lt;=90,"61-90 hari","90+ hari")))))</f>
        <v>Lunas</v>
      </c>
      <c r="Q91" s="50"/>
      <c r="R91" s="39" t="str">
        <f aca="false">IF(M91&lt;=0,"",IF(O91&gt;60,"1-Tinggi",IF(O91&gt;30,"2-Sedang",IF(O91&gt;0,"3-Rendah","4-Pantau"))))</f>
        <v/>
      </c>
      <c r="S91" s="39" t="str">
        <f aca="false">IF(AND(M91&gt;0,O91&gt;0),O91+M91/1000000000000+ROW()/1000000000000000,"")</f>
        <v/>
      </c>
      <c r="T91" s="39" t="str">
        <f aca="false">IF(J91="Belum ditukar",ROW(),"")</f>
        <v/>
      </c>
    </row>
    <row r="92" customFormat="false" ht="15" hidden="false" customHeight="false" outlineLevel="0" collapsed="false">
      <c r="A92" s="50" t="s">
        <v>307</v>
      </c>
      <c r="B92" s="51" t="n">
        <v>45679</v>
      </c>
      <c r="C92" s="50" t="s">
        <v>308</v>
      </c>
      <c r="D92" s="39" t="str">
        <f aca="false">INDEX(Master_Customer!$B$2:$B$126,MATCH(C92,Master_Customer!$A$2:$A$126,0))</f>
        <v>CAHAYA MOBIL</v>
      </c>
      <c r="E92" s="50" t="s">
        <v>32</v>
      </c>
      <c r="F92" s="52" t="n">
        <f aca="false">SUMIFS(Data_Penjualan!$G$2:$G$5998,Data_Penjualan!$A$2:$A$5998,A92)</f>
        <v>18455100</v>
      </c>
      <c r="G92" s="39" t="n">
        <f aca="false">IF(E92="KANTOR",0,INDEX(Master_Customer!$C$2:$C$126,MATCH(C92,Master_Customer!$A$2:$A$126,0)))</f>
        <v>0</v>
      </c>
      <c r="H92" s="53" t="n">
        <f aca="false">B92+G92</f>
        <v>45679</v>
      </c>
      <c r="J92" s="39" t="str">
        <f aca="false">IF(G92=0,"Tunai",IF(I92="","Belum ditukar","Sudah ditukar"))</f>
        <v>Tunai</v>
      </c>
      <c r="K92" s="54" t="n">
        <v>18455100</v>
      </c>
      <c r="L92" s="51" t="n">
        <v>45680</v>
      </c>
      <c r="M92" s="52" t="n">
        <f aca="false">F92-K92</f>
        <v>0</v>
      </c>
      <c r="N92" s="39" t="str">
        <f aca="false">IF(M92&lt;=0,"Lunas",IF(K92&gt;0,"Sebagian","Belum Bayar"))</f>
        <v>Lunas</v>
      </c>
      <c r="O92" s="39" t="n">
        <f aca="false">IF(M92&gt;0,MAX(0,Catatan!$B$3-H92),0)</f>
        <v>0</v>
      </c>
      <c r="P92" s="39" t="str">
        <f aca="false">IF(M92&lt;=0,"Lunas",IF(Catatan!$B$3&lt;=H92,"Belum Jatuh Tempo",IF(O92&lt;=30,"1-30 hari",IF(O92&lt;=60,"31-60 hari",IF(O92&lt;=90,"61-90 hari","90+ hari")))))</f>
        <v>Lunas</v>
      </c>
      <c r="Q92" s="50"/>
      <c r="R92" s="39" t="str">
        <f aca="false">IF(M92&lt;=0,"",IF(O92&gt;60,"1-Tinggi",IF(O92&gt;30,"2-Sedang",IF(O92&gt;0,"3-Rendah","4-Pantau"))))</f>
        <v/>
      </c>
      <c r="S92" s="39" t="str">
        <f aca="false">IF(AND(M92&gt;0,O92&gt;0),O92+M92/1000000000000+ROW()/1000000000000000,"")</f>
        <v/>
      </c>
      <c r="T92" s="39" t="str">
        <f aca="false">IF(J92="Belum ditukar",ROW(),"")</f>
        <v/>
      </c>
    </row>
    <row r="93" customFormat="false" ht="15" hidden="false" customHeight="false" outlineLevel="0" collapsed="false">
      <c r="A93" s="50" t="s">
        <v>309</v>
      </c>
      <c r="B93" s="51" t="n">
        <v>45680</v>
      </c>
      <c r="C93" s="50" t="s">
        <v>310</v>
      </c>
      <c r="D93" s="39" t="str">
        <f aca="false">INDEX(Master_Customer!$B$2:$B$126,MATCH(C93,Master_Customer!$A$2:$A$126,0))</f>
        <v>UTAMA OLI BINTANG</v>
      </c>
      <c r="E93" s="50" t="s">
        <v>28</v>
      </c>
      <c r="F93" s="52" t="n">
        <f aca="false">SUMIFS(Data_Penjualan!$G$2:$G$5998,Data_Penjualan!$A$2:$A$5998,A93)</f>
        <v>9641700</v>
      </c>
      <c r="G93" s="39" t="n">
        <f aca="false">IF(E93="KANTOR",0,INDEX(Master_Customer!$C$2:$C$126,MATCH(C93,Master_Customer!$A$2:$A$126,0)))</f>
        <v>14</v>
      </c>
      <c r="H93" s="53" t="n">
        <f aca="false">B93+G93</f>
        <v>45694</v>
      </c>
      <c r="I93" s="51" t="n">
        <v>45682</v>
      </c>
      <c r="J93" s="39" t="str">
        <f aca="false">IF(G93=0,"Tunai",IF(I93="","Belum ditukar","Sudah ditukar"))</f>
        <v>Sudah ditukar</v>
      </c>
      <c r="K93" s="54" t="n">
        <v>9641700</v>
      </c>
      <c r="L93" s="51" t="n">
        <v>45689</v>
      </c>
      <c r="M93" s="52" t="n">
        <f aca="false">F93-K93</f>
        <v>0</v>
      </c>
      <c r="N93" s="39" t="str">
        <f aca="false">IF(M93&lt;=0,"Lunas",IF(K93&gt;0,"Sebagian","Belum Bayar"))</f>
        <v>Lunas</v>
      </c>
      <c r="O93" s="39" t="n">
        <f aca="false">IF(M93&gt;0,MAX(0,Catatan!$B$3-H93),0)</f>
        <v>0</v>
      </c>
      <c r="P93" s="39" t="str">
        <f aca="false">IF(M93&lt;=0,"Lunas",IF(Catatan!$B$3&lt;=H93,"Belum Jatuh Tempo",IF(O93&lt;=30,"1-30 hari",IF(O93&lt;=60,"31-60 hari",IF(O93&lt;=90,"61-90 hari","90+ hari")))))</f>
        <v>Lunas</v>
      </c>
      <c r="Q93" s="50"/>
      <c r="R93" s="39" t="str">
        <f aca="false">IF(M93&lt;=0,"",IF(O93&gt;60,"1-Tinggi",IF(O93&gt;30,"2-Sedang",IF(O93&gt;0,"3-Rendah","4-Pantau"))))</f>
        <v/>
      </c>
      <c r="S93" s="39" t="str">
        <f aca="false">IF(AND(M93&gt;0,O93&gt;0),O93+M93/1000000000000+ROW()/1000000000000000,"")</f>
        <v/>
      </c>
      <c r="T93" s="39" t="str">
        <f aca="false">IF(J93="Belum ditukar",ROW(),"")</f>
        <v/>
      </c>
    </row>
    <row r="94" customFormat="false" ht="15" hidden="false" customHeight="false" outlineLevel="0" collapsed="false">
      <c r="A94" s="50" t="s">
        <v>311</v>
      </c>
      <c r="B94" s="51" t="n">
        <v>45680</v>
      </c>
      <c r="C94" s="50" t="s">
        <v>310</v>
      </c>
      <c r="D94" s="39" t="str">
        <f aca="false">INDEX(Master_Customer!$B$2:$B$126,MATCH(C94,Master_Customer!$A$2:$A$126,0))</f>
        <v>UTAMA OLI BINTANG</v>
      </c>
      <c r="E94" s="50" t="s">
        <v>28</v>
      </c>
      <c r="F94" s="52" t="n">
        <f aca="false">SUMIFS(Data_Penjualan!$G$2:$G$5998,Data_Penjualan!$A$2:$A$5998,A94)</f>
        <v>30483300</v>
      </c>
      <c r="G94" s="39" t="n">
        <f aca="false">IF(E94="KANTOR",0,INDEX(Master_Customer!$C$2:$C$126,MATCH(C94,Master_Customer!$A$2:$A$126,0)))</f>
        <v>14</v>
      </c>
      <c r="H94" s="53" t="n">
        <f aca="false">B94+G94</f>
        <v>45694</v>
      </c>
      <c r="I94" s="51" t="n">
        <v>45682</v>
      </c>
      <c r="J94" s="39" t="str">
        <f aca="false">IF(G94=0,"Tunai",IF(I94="","Belum ditukar","Sudah ditukar"))</f>
        <v>Sudah ditukar</v>
      </c>
      <c r="K94" s="54" t="n">
        <v>30483300</v>
      </c>
      <c r="L94" s="51" t="n">
        <v>45688</v>
      </c>
      <c r="M94" s="52" t="n">
        <f aca="false">F94-K94</f>
        <v>0</v>
      </c>
      <c r="N94" s="39" t="str">
        <f aca="false">IF(M94&lt;=0,"Lunas",IF(K94&gt;0,"Sebagian","Belum Bayar"))</f>
        <v>Lunas</v>
      </c>
      <c r="O94" s="39" t="n">
        <f aca="false">IF(M94&gt;0,MAX(0,Catatan!$B$3-H94),0)</f>
        <v>0</v>
      </c>
      <c r="P94" s="39" t="str">
        <f aca="false">IF(M94&lt;=0,"Lunas",IF(Catatan!$B$3&lt;=H94,"Belum Jatuh Tempo",IF(O94&lt;=30,"1-30 hari",IF(O94&lt;=60,"31-60 hari",IF(O94&lt;=90,"61-90 hari","90+ hari")))))</f>
        <v>Lunas</v>
      </c>
      <c r="Q94" s="50"/>
      <c r="R94" s="39" t="str">
        <f aca="false">IF(M94&lt;=0,"",IF(O94&gt;60,"1-Tinggi",IF(O94&gt;30,"2-Sedang",IF(O94&gt;0,"3-Rendah","4-Pantau"))))</f>
        <v/>
      </c>
      <c r="S94" s="39" t="str">
        <f aca="false">IF(AND(M94&gt;0,O94&gt;0),O94+M94/1000000000000+ROW()/1000000000000000,"")</f>
        <v/>
      </c>
      <c r="T94" s="39" t="str">
        <f aca="false">IF(J94="Belum ditukar",ROW(),"")</f>
        <v/>
      </c>
    </row>
    <row r="95" customFormat="false" ht="15" hidden="false" customHeight="false" outlineLevel="0" collapsed="false">
      <c r="A95" s="50" t="s">
        <v>312</v>
      </c>
      <c r="B95" s="51" t="n">
        <v>45680</v>
      </c>
      <c r="C95" s="50" t="s">
        <v>289</v>
      </c>
      <c r="D95" s="39" t="str">
        <f aca="false">INDEX(Master_Customer!$B$2:$B$126,MATCH(C95,Master_Customer!$A$2:$A$126,0))</f>
        <v>SINAR GARAGE</v>
      </c>
      <c r="E95" s="50" t="s">
        <v>28</v>
      </c>
      <c r="F95" s="52" t="n">
        <f aca="false">SUMIFS(Data_Penjualan!$G$2:$G$5998,Data_Penjualan!$A$2:$A$5998,A95)</f>
        <v>18738800</v>
      </c>
      <c r="G95" s="39" t="n">
        <f aca="false">IF(E95="KANTOR",0,INDEX(Master_Customer!$C$2:$C$126,MATCH(C95,Master_Customer!$A$2:$A$126,0)))</f>
        <v>30</v>
      </c>
      <c r="H95" s="53" t="n">
        <f aca="false">B95+G95</f>
        <v>45710</v>
      </c>
      <c r="I95" s="51" t="n">
        <v>45685</v>
      </c>
      <c r="J95" s="39" t="str">
        <f aca="false">IF(G95=0,"Tunai",IF(I95="","Belum ditukar","Sudah ditukar"))</f>
        <v>Sudah ditukar</v>
      </c>
      <c r="K95" s="54" t="n">
        <v>18738800</v>
      </c>
      <c r="L95" s="51" t="n">
        <v>45710</v>
      </c>
      <c r="M95" s="52" t="n">
        <f aca="false">F95-K95</f>
        <v>0</v>
      </c>
      <c r="N95" s="39" t="str">
        <f aca="false">IF(M95&lt;=0,"Lunas",IF(K95&gt;0,"Sebagian","Belum Bayar"))</f>
        <v>Lunas</v>
      </c>
      <c r="O95" s="39" t="n">
        <f aca="false">IF(M95&gt;0,MAX(0,Catatan!$B$3-H95),0)</f>
        <v>0</v>
      </c>
      <c r="P95" s="39" t="str">
        <f aca="false">IF(M95&lt;=0,"Lunas",IF(Catatan!$B$3&lt;=H95,"Belum Jatuh Tempo",IF(O95&lt;=30,"1-30 hari",IF(O95&lt;=60,"31-60 hari",IF(O95&lt;=90,"61-90 hari","90+ hari")))))</f>
        <v>Lunas</v>
      </c>
      <c r="Q95" s="50"/>
      <c r="R95" s="39" t="str">
        <f aca="false">IF(M95&lt;=0,"",IF(O95&gt;60,"1-Tinggi",IF(O95&gt;30,"2-Sedang",IF(O95&gt;0,"3-Rendah","4-Pantau"))))</f>
        <v/>
      </c>
      <c r="S95" s="39" t="str">
        <f aca="false">IF(AND(M95&gt;0,O95&gt;0),O95+M95/1000000000000+ROW()/1000000000000000,"")</f>
        <v/>
      </c>
      <c r="T95" s="39" t="str">
        <f aca="false">IF(J95="Belum ditukar",ROW(),"")</f>
        <v/>
      </c>
    </row>
    <row r="96" customFormat="false" ht="15" hidden="false" customHeight="false" outlineLevel="0" collapsed="false">
      <c r="A96" s="50" t="s">
        <v>313</v>
      </c>
      <c r="B96" s="51" t="n">
        <v>45680</v>
      </c>
      <c r="C96" s="50" t="s">
        <v>174</v>
      </c>
      <c r="D96" s="39" t="str">
        <f aca="false">INDEX(Master_Customer!$B$2:$B$126,MATCH(C96,Master_Customer!$A$2:$A$126,0))</f>
        <v>SUMBER TEKNIK SURYA</v>
      </c>
      <c r="E96" s="50" t="s">
        <v>31</v>
      </c>
      <c r="F96" s="52" t="n">
        <f aca="false">SUMIFS(Data_Penjualan!$G$2:$G$5998,Data_Penjualan!$A$2:$A$5998,A96)</f>
        <v>12260000</v>
      </c>
      <c r="G96" s="39" t="n">
        <f aca="false">IF(E96="KANTOR",0,INDEX(Master_Customer!$C$2:$C$126,MATCH(C96,Master_Customer!$A$2:$A$126,0)))</f>
        <v>30</v>
      </c>
      <c r="H96" s="53" t="n">
        <f aca="false">B96+G96</f>
        <v>45710</v>
      </c>
      <c r="I96" s="51" t="n">
        <v>45683</v>
      </c>
      <c r="J96" s="39" t="str">
        <f aca="false">IF(G96=0,"Tunai",IF(I96="","Belum ditukar","Sudah ditukar"))</f>
        <v>Sudah ditukar</v>
      </c>
      <c r="K96" s="54" t="n">
        <v>12260000</v>
      </c>
      <c r="L96" s="51" t="n">
        <v>45702</v>
      </c>
      <c r="M96" s="52" t="n">
        <f aca="false">F96-K96</f>
        <v>0</v>
      </c>
      <c r="N96" s="39" t="str">
        <f aca="false">IF(M96&lt;=0,"Lunas",IF(K96&gt;0,"Sebagian","Belum Bayar"))</f>
        <v>Lunas</v>
      </c>
      <c r="O96" s="39" t="n">
        <f aca="false">IF(M96&gt;0,MAX(0,Catatan!$B$3-H96),0)</f>
        <v>0</v>
      </c>
      <c r="P96" s="39" t="str">
        <f aca="false">IF(M96&lt;=0,"Lunas",IF(Catatan!$B$3&lt;=H96,"Belum Jatuh Tempo",IF(O96&lt;=30,"1-30 hari",IF(O96&lt;=60,"31-60 hari",IF(O96&lt;=90,"61-90 hari","90+ hari")))))</f>
        <v>Lunas</v>
      </c>
      <c r="Q96" s="50"/>
      <c r="R96" s="39" t="str">
        <f aca="false">IF(M96&lt;=0,"",IF(O96&gt;60,"1-Tinggi",IF(O96&gt;30,"2-Sedang",IF(O96&gt;0,"3-Rendah","4-Pantau"))))</f>
        <v/>
      </c>
      <c r="S96" s="39" t="str">
        <f aca="false">IF(AND(M96&gt;0,O96&gt;0),O96+M96/1000000000000+ROW()/1000000000000000,"")</f>
        <v/>
      </c>
      <c r="T96" s="39" t="str">
        <f aca="false">IF(J96="Belum ditukar",ROW(),"")</f>
        <v/>
      </c>
    </row>
    <row r="97" customFormat="false" ht="15" hidden="false" customHeight="false" outlineLevel="0" collapsed="false">
      <c r="A97" s="50" t="s">
        <v>314</v>
      </c>
      <c r="B97" s="51" t="n">
        <v>45680</v>
      </c>
      <c r="C97" s="50" t="s">
        <v>315</v>
      </c>
      <c r="D97" s="39" t="str">
        <f aca="false">INDEX(Master_Customer!$B$2:$B$126,MATCH(C97,Master_Customer!$A$2:$A$126,0))</f>
        <v>CAHAYA SERVICE</v>
      </c>
      <c r="E97" s="50" t="s">
        <v>31</v>
      </c>
      <c r="F97" s="52" t="n">
        <f aca="false">SUMIFS(Data_Penjualan!$G$2:$G$5998,Data_Penjualan!$A$2:$A$5998,A97)</f>
        <v>7118800</v>
      </c>
      <c r="G97" s="39" t="n">
        <f aca="false">IF(E97="KANTOR",0,INDEX(Master_Customer!$C$2:$C$126,MATCH(C97,Master_Customer!$A$2:$A$126,0)))</f>
        <v>30</v>
      </c>
      <c r="H97" s="53" t="n">
        <f aca="false">B97+G97</f>
        <v>45710</v>
      </c>
      <c r="I97" s="51" t="n">
        <v>45685</v>
      </c>
      <c r="J97" s="39" t="str">
        <f aca="false">IF(G97=0,"Tunai",IF(I97="","Belum ditukar","Sudah ditukar"))</f>
        <v>Sudah ditukar</v>
      </c>
      <c r="K97" s="54" t="n">
        <v>7118800</v>
      </c>
      <c r="L97" s="51" t="n">
        <v>45703</v>
      </c>
      <c r="M97" s="52" t="n">
        <f aca="false">F97-K97</f>
        <v>0</v>
      </c>
      <c r="N97" s="39" t="str">
        <f aca="false">IF(M97&lt;=0,"Lunas",IF(K97&gt;0,"Sebagian","Belum Bayar"))</f>
        <v>Lunas</v>
      </c>
      <c r="O97" s="39" t="n">
        <f aca="false">IF(M97&gt;0,MAX(0,Catatan!$B$3-H97),0)</f>
        <v>0</v>
      </c>
      <c r="P97" s="39" t="str">
        <f aca="false">IF(M97&lt;=0,"Lunas",IF(Catatan!$B$3&lt;=H97,"Belum Jatuh Tempo",IF(O97&lt;=30,"1-30 hari",IF(O97&lt;=60,"31-60 hari",IF(O97&lt;=90,"61-90 hari","90+ hari")))))</f>
        <v>Lunas</v>
      </c>
      <c r="Q97" s="50"/>
      <c r="R97" s="39" t="str">
        <f aca="false">IF(M97&lt;=0,"",IF(O97&gt;60,"1-Tinggi",IF(O97&gt;30,"2-Sedang",IF(O97&gt;0,"3-Rendah","4-Pantau"))))</f>
        <v/>
      </c>
      <c r="S97" s="39" t="str">
        <f aca="false">IF(AND(M97&gt;0,O97&gt;0),O97+M97/1000000000000+ROW()/1000000000000000,"")</f>
        <v/>
      </c>
      <c r="T97" s="39" t="str">
        <f aca="false">IF(J97="Belum ditukar",ROW(),"")</f>
        <v/>
      </c>
    </row>
    <row r="98" customFormat="false" ht="15" hidden="false" customHeight="false" outlineLevel="0" collapsed="false">
      <c r="A98" s="50" t="s">
        <v>316</v>
      </c>
      <c r="B98" s="51" t="n">
        <v>45681</v>
      </c>
      <c r="C98" s="50" t="s">
        <v>317</v>
      </c>
      <c r="D98" s="39" t="str">
        <f aca="false">INDEX(Master_Customer!$B$2:$B$126,MATCH(C98,Master_Customer!$A$2:$A$126,0))</f>
        <v>MAKMUR MOTOR JAYA</v>
      </c>
      <c r="E98" s="50" t="s">
        <v>29</v>
      </c>
      <c r="F98" s="52" t="n">
        <f aca="false">SUMIFS(Data_Penjualan!$G$2:$G$5998,Data_Penjualan!$A$2:$A$5998,A98)</f>
        <v>10685700</v>
      </c>
      <c r="G98" s="39" t="n">
        <f aca="false">IF(E98="KANTOR",0,INDEX(Master_Customer!$C$2:$C$126,MATCH(C98,Master_Customer!$A$2:$A$126,0)))</f>
        <v>0</v>
      </c>
      <c r="H98" s="53" t="n">
        <f aca="false">B98+G98</f>
        <v>45681</v>
      </c>
      <c r="J98" s="39" t="str">
        <f aca="false">IF(G98=0,"Tunai",IF(I98="","Belum ditukar","Sudah ditukar"))</f>
        <v>Tunai</v>
      </c>
      <c r="K98" s="54" t="n">
        <v>10685700</v>
      </c>
      <c r="L98" s="51" t="n">
        <v>45683</v>
      </c>
      <c r="M98" s="52" t="n">
        <f aca="false">F98-K98</f>
        <v>0</v>
      </c>
      <c r="N98" s="39" t="str">
        <f aca="false">IF(M98&lt;=0,"Lunas",IF(K98&gt;0,"Sebagian","Belum Bayar"))</f>
        <v>Lunas</v>
      </c>
      <c r="O98" s="39" t="n">
        <f aca="false">IF(M98&gt;0,MAX(0,Catatan!$B$3-H98),0)</f>
        <v>0</v>
      </c>
      <c r="P98" s="39" t="str">
        <f aca="false">IF(M98&lt;=0,"Lunas",IF(Catatan!$B$3&lt;=H98,"Belum Jatuh Tempo",IF(O98&lt;=30,"1-30 hari",IF(O98&lt;=60,"31-60 hari",IF(O98&lt;=90,"61-90 hari","90+ hari")))))</f>
        <v>Lunas</v>
      </c>
      <c r="Q98" s="50"/>
      <c r="R98" s="39" t="str">
        <f aca="false">IF(M98&lt;=0,"",IF(O98&gt;60,"1-Tinggi",IF(O98&gt;30,"2-Sedang",IF(O98&gt;0,"3-Rendah","4-Pantau"))))</f>
        <v/>
      </c>
      <c r="S98" s="39" t="str">
        <f aca="false">IF(AND(M98&gt;0,O98&gt;0),O98+M98/1000000000000+ROW()/1000000000000000,"")</f>
        <v/>
      </c>
      <c r="T98" s="39" t="str">
        <f aca="false">IF(J98="Belum ditukar",ROW(),"")</f>
        <v/>
      </c>
    </row>
    <row r="99" customFormat="false" ht="15" hidden="false" customHeight="false" outlineLevel="0" collapsed="false">
      <c r="A99" s="50" t="s">
        <v>318</v>
      </c>
      <c r="B99" s="51" t="n">
        <v>45681</v>
      </c>
      <c r="C99" s="50" t="s">
        <v>166</v>
      </c>
      <c r="D99" s="39" t="str">
        <f aca="false">INDEX(Master_Customer!$B$2:$B$126,MATCH(C99,Master_Customer!$A$2:$A$126,0))</f>
        <v>SENTOSA SERVICE</v>
      </c>
      <c r="E99" s="50" t="s">
        <v>30</v>
      </c>
      <c r="F99" s="52" t="n">
        <f aca="false">SUMIFS(Data_Penjualan!$G$2:$G$5998,Data_Penjualan!$A$2:$A$5998,A99)</f>
        <v>1111000</v>
      </c>
      <c r="G99" s="39" t="n">
        <f aca="false">IF(E99="KANTOR",0,INDEX(Master_Customer!$C$2:$C$126,MATCH(C99,Master_Customer!$A$2:$A$126,0)))</f>
        <v>0</v>
      </c>
      <c r="H99" s="53" t="n">
        <f aca="false">B99+G99</f>
        <v>45681</v>
      </c>
      <c r="J99" s="39" t="str">
        <f aca="false">IF(G99=0,"Tunai",IF(I99="","Belum ditukar","Sudah ditukar"))</f>
        <v>Tunai</v>
      </c>
      <c r="K99" s="54" t="n">
        <v>1111000</v>
      </c>
      <c r="L99" s="51" t="n">
        <v>45681</v>
      </c>
      <c r="M99" s="52" t="n">
        <f aca="false">F99-K99</f>
        <v>0</v>
      </c>
      <c r="N99" s="39" t="str">
        <f aca="false">IF(M99&lt;=0,"Lunas",IF(K99&gt;0,"Sebagian","Belum Bayar"))</f>
        <v>Lunas</v>
      </c>
      <c r="O99" s="39" t="n">
        <f aca="false">IF(M99&gt;0,MAX(0,Catatan!$B$3-H99),0)</f>
        <v>0</v>
      </c>
      <c r="P99" s="39" t="str">
        <f aca="false">IF(M99&lt;=0,"Lunas",IF(Catatan!$B$3&lt;=H99,"Belum Jatuh Tempo",IF(O99&lt;=30,"1-30 hari",IF(O99&lt;=60,"31-60 hari",IF(O99&lt;=90,"61-90 hari","90+ hari")))))</f>
        <v>Lunas</v>
      </c>
      <c r="Q99" s="50"/>
      <c r="R99" s="39" t="str">
        <f aca="false">IF(M99&lt;=0,"",IF(O99&gt;60,"1-Tinggi",IF(O99&gt;30,"2-Sedang",IF(O99&gt;0,"3-Rendah","4-Pantau"))))</f>
        <v/>
      </c>
      <c r="S99" s="39" t="str">
        <f aca="false">IF(AND(M99&gt;0,O99&gt;0),O99+M99/1000000000000+ROW()/1000000000000000,"")</f>
        <v/>
      </c>
      <c r="T99" s="39" t="str">
        <f aca="false">IF(J99="Belum ditukar",ROW(),"")</f>
        <v/>
      </c>
    </row>
    <row r="100" customFormat="false" ht="15" hidden="false" customHeight="false" outlineLevel="0" collapsed="false">
      <c r="A100" s="50" t="s">
        <v>319</v>
      </c>
      <c r="B100" s="51" t="n">
        <v>45681</v>
      </c>
      <c r="C100" s="50" t="s">
        <v>320</v>
      </c>
      <c r="D100" s="39" t="str">
        <f aca="false">INDEX(Master_Customer!$B$2:$B$126,MATCH(C100,Master_Customer!$A$2:$A$126,0))</f>
        <v>BINTANG OLI</v>
      </c>
      <c r="E100" s="50" t="s">
        <v>32</v>
      </c>
      <c r="F100" s="52" t="n">
        <f aca="false">SUMIFS(Data_Penjualan!$G$2:$G$5998,Data_Penjualan!$A$2:$A$5998,A100)</f>
        <v>9959600</v>
      </c>
      <c r="G100" s="39" t="n">
        <f aca="false">IF(E100="KANTOR",0,INDEX(Master_Customer!$C$2:$C$126,MATCH(C100,Master_Customer!$A$2:$A$126,0)))</f>
        <v>0</v>
      </c>
      <c r="H100" s="53" t="n">
        <f aca="false">B100+G100</f>
        <v>45681</v>
      </c>
      <c r="J100" s="39" t="str">
        <f aca="false">IF(G100=0,"Tunai",IF(I100="","Belum ditukar","Sudah ditukar"))</f>
        <v>Tunai</v>
      </c>
      <c r="K100" s="54" t="n">
        <v>9959600</v>
      </c>
      <c r="L100" s="51" t="n">
        <v>45681</v>
      </c>
      <c r="M100" s="52" t="n">
        <f aca="false">F100-K100</f>
        <v>0</v>
      </c>
      <c r="N100" s="39" t="str">
        <f aca="false">IF(M100&lt;=0,"Lunas",IF(K100&gt;0,"Sebagian","Belum Bayar"))</f>
        <v>Lunas</v>
      </c>
      <c r="O100" s="39" t="n">
        <f aca="false">IF(M100&gt;0,MAX(0,Catatan!$B$3-H100),0)</f>
        <v>0</v>
      </c>
      <c r="P100" s="39" t="str">
        <f aca="false">IF(M100&lt;=0,"Lunas",IF(Catatan!$B$3&lt;=H100,"Belum Jatuh Tempo",IF(O100&lt;=30,"1-30 hari",IF(O100&lt;=60,"31-60 hari",IF(O100&lt;=90,"61-90 hari","90+ hari")))))</f>
        <v>Lunas</v>
      </c>
      <c r="Q100" s="50"/>
      <c r="R100" s="39" t="str">
        <f aca="false">IF(M100&lt;=0,"",IF(O100&gt;60,"1-Tinggi",IF(O100&gt;30,"2-Sedang",IF(O100&gt;0,"3-Rendah","4-Pantau"))))</f>
        <v/>
      </c>
      <c r="S100" s="39" t="str">
        <f aca="false">IF(AND(M100&gt;0,O100&gt;0),O100+M100/1000000000000+ROW()/1000000000000000,"")</f>
        <v/>
      </c>
      <c r="T100" s="39" t="str">
        <f aca="false">IF(J100="Belum ditukar",ROW(),"")</f>
        <v/>
      </c>
    </row>
    <row r="101" customFormat="false" ht="15" hidden="false" customHeight="false" outlineLevel="0" collapsed="false">
      <c r="A101" s="50" t="s">
        <v>321</v>
      </c>
      <c r="B101" s="51" t="n">
        <v>45681</v>
      </c>
      <c r="C101" s="50" t="s">
        <v>166</v>
      </c>
      <c r="D101" s="39" t="str">
        <f aca="false">INDEX(Master_Customer!$B$2:$B$126,MATCH(C101,Master_Customer!$A$2:$A$126,0))</f>
        <v>SENTOSA SERVICE</v>
      </c>
      <c r="E101" s="50" t="s">
        <v>30</v>
      </c>
      <c r="F101" s="52" t="n">
        <f aca="false">SUMIFS(Data_Penjualan!$G$2:$G$5998,Data_Penjualan!$A$2:$A$5998,A101)</f>
        <v>11715000</v>
      </c>
      <c r="G101" s="39" t="n">
        <f aca="false">IF(E101="KANTOR",0,INDEX(Master_Customer!$C$2:$C$126,MATCH(C101,Master_Customer!$A$2:$A$126,0)))</f>
        <v>0</v>
      </c>
      <c r="H101" s="53" t="n">
        <f aca="false">B101+G101</f>
        <v>45681</v>
      </c>
      <c r="J101" s="39" t="str">
        <f aca="false">IF(G101=0,"Tunai",IF(I101="","Belum ditukar","Sudah ditukar"))</f>
        <v>Tunai</v>
      </c>
      <c r="K101" s="54" t="n">
        <v>11715000</v>
      </c>
      <c r="L101" s="51" t="n">
        <v>45681</v>
      </c>
      <c r="M101" s="52" t="n">
        <f aca="false">F101-K101</f>
        <v>0</v>
      </c>
      <c r="N101" s="39" t="str">
        <f aca="false">IF(M101&lt;=0,"Lunas",IF(K101&gt;0,"Sebagian","Belum Bayar"))</f>
        <v>Lunas</v>
      </c>
      <c r="O101" s="39" t="n">
        <f aca="false">IF(M101&gt;0,MAX(0,Catatan!$B$3-H101),0)</f>
        <v>0</v>
      </c>
      <c r="P101" s="39" t="str">
        <f aca="false">IF(M101&lt;=0,"Lunas",IF(Catatan!$B$3&lt;=H101,"Belum Jatuh Tempo",IF(O101&lt;=30,"1-30 hari",IF(O101&lt;=60,"31-60 hari",IF(O101&lt;=90,"61-90 hari","90+ hari")))))</f>
        <v>Lunas</v>
      </c>
      <c r="Q101" s="50"/>
      <c r="R101" s="39" t="str">
        <f aca="false">IF(M101&lt;=0,"",IF(O101&gt;60,"1-Tinggi",IF(O101&gt;30,"2-Sedang",IF(O101&gt;0,"3-Rendah","4-Pantau"))))</f>
        <v/>
      </c>
      <c r="S101" s="39" t="str">
        <f aca="false">IF(AND(M101&gt;0,O101&gt;0),O101+M101/1000000000000+ROW()/1000000000000000,"")</f>
        <v/>
      </c>
      <c r="T101" s="39" t="str">
        <f aca="false">IF(J101="Belum ditukar",ROW(),"")</f>
        <v/>
      </c>
    </row>
    <row r="102" customFormat="false" ht="15" hidden="false" customHeight="false" outlineLevel="0" collapsed="false">
      <c r="A102" s="50" t="s">
        <v>322</v>
      </c>
      <c r="B102" s="51" t="n">
        <v>45681</v>
      </c>
      <c r="C102" s="50" t="s">
        <v>174</v>
      </c>
      <c r="D102" s="39" t="str">
        <f aca="false">INDEX(Master_Customer!$B$2:$B$126,MATCH(C102,Master_Customer!$A$2:$A$126,0))</f>
        <v>SUMBER TEKNIK SURYA</v>
      </c>
      <c r="E102" s="50" t="s">
        <v>31</v>
      </c>
      <c r="F102" s="52" t="n">
        <f aca="false">SUMIFS(Data_Penjualan!$G$2:$G$5998,Data_Penjualan!$A$2:$A$5998,A102)</f>
        <v>11676800</v>
      </c>
      <c r="G102" s="39" t="n">
        <f aca="false">IF(E102="KANTOR",0,INDEX(Master_Customer!$C$2:$C$126,MATCH(C102,Master_Customer!$A$2:$A$126,0)))</f>
        <v>30</v>
      </c>
      <c r="H102" s="53" t="n">
        <f aca="false">B102+G102</f>
        <v>45711</v>
      </c>
      <c r="I102" s="51" t="n">
        <v>45682</v>
      </c>
      <c r="J102" s="39" t="str">
        <f aca="false">IF(G102=0,"Tunai",IF(I102="","Belum ditukar","Sudah ditukar"))</f>
        <v>Sudah ditukar</v>
      </c>
      <c r="K102" s="54" t="n">
        <v>11676800</v>
      </c>
      <c r="L102" s="51" t="n">
        <v>45713</v>
      </c>
      <c r="M102" s="52" t="n">
        <f aca="false">F102-K102</f>
        <v>0</v>
      </c>
      <c r="N102" s="39" t="str">
        <f aca="false">IF(M102&lt;=0,"Lunas",IF(K102&gt;0,"Sebagian","Belum Bayar"))</f>
        <v>Lunas</v>
      </c>
      <c r="O102" s="39" t="n">
        <f aca="false">IF(M102&gt;0,MAX(0,Catatan!$B$3-H102),0)</f>
        <v>0</v>
      </c>
      <c r="P102" s="39" t="str">
        <f aca="false">IF(M102&lt;=0,"Lunas",IF(Catatan!$B$3&lt;=H102,"Belum Jatuh Tempo",IF(O102&lt;=30,"1-30 hari",IF(O102&lt;=60,"31-60 hari",IF(O102&lt;=90,"61-90 hari","90+ hari")))))</f>
        <v>Lunas</v>
      </c>
      <c r="Q102" s="50"/>
      <c r="R102" s="39" t="str">
        <f aca="false">IF(M102&lt;=0,"",IF(O102&gt;60,"1-Tinggi",IF(O102&gt;30,"2-Sedang",IF(O102&gt;0,"3-Rendah","4-Pantau"))))</f>
        <v/>
      </c>
      <c r="S102" s="39" t="str">
        <f aca="false">IF(AND(M102&gt;0,O102&gt;0),O102+M102/1000000000000+ROW()/1000000000000000,"")</f>
        <v/>
      </c>
      <c r="T102" s="39" t="str">
        <f aca="false">IF(J102="Belum ditukar",ROW(),"")</f>
        <v/>
      </c>
    </row>
    <row r="103" customFormat="false" ht="15" hidden="false" customHeight="false" outlineLevel="0" collapsed="false">
      <c r="A103" s="50" t="s">
        <v>323</v>
      </c>
      <c r="B103" s="51" t="n">
        <v>45681</v>
      </c>
      <c r="C103" s="50" t="s">
        <v>179</v>
      </c>
      <c r="D103" s="39" t="str">
        <f aca="false">INDEX(Master_Customer!$B$2:$B$126,MATCH(C103,Master_Customer!$A$2:$A$126,0))</f>
        <v>BINTANG TEKNIK SURYA</v>
      </c>
      <c r="E103" s="50" t="s">
        <v>29</v>
      </c>
      <c r="F103" s="52" t="n">
        <f aca="false">SUMIFS(Data_Penjualan!$G$2:$G$5998,Data_Penjualan!$A$2:$A$5998,A103)</f>
        <v>12781900</v>
      </c>
      <c r="G103" s="39" t="n">
        <f aca="false">IF(E103="KANTOR",0,INDEX(Master_Customer!$C$2:$C$126,MATCH(C103,Master_Customer!$A$2:$A$126,0)))</f>
        <v>45</v>
      </c>
      <c r="H103" s="53" t="n">
        <f aca="false">B103+G103</f>
        <v>45726</v>
      </c>
      <c r="I103" s="51" t="n">
        <v>45685</v>
      </c>
      <c r="J103" s="39" t="str">
        <f aca="false">IF(G103=0,"Tunai",IF(I103="","Belum ditukar","Sudah ditukar"))</f>
        <v>Sudah ditukar</v>
      </c>
      <c r="K103" s="54" t="n">
        <v>12781900</v>
      </c>
      <c r="L103" s="51" t="n">
        <v>45723</v>
      </c>
      <c r="M103" s="52" t="n">
        <f aca="false">F103-K103</f>
        <v>0</v>
      </c>
      <c r="N103" s="39" t="str">
        <f aca="false">IF(M103&lt;=0,"Lunas",IF(K103&gt;0,"Sebagian","Belum Bayar"))</f>
        <v>Lunas</v>
      </c>
      <c r="O103" s="39" t="n">
        <f aca="false">IF(M103&gt;0,MAX(0,Catatan!$B$3-H103),0)</f>
        <v>0</v>
      </c>
      <c r="P103" s="39" t="str">
        <f aca="false">IF(M103&lt;=0,"Lunas",IF(Catatan!$B$3&lt;=H103,"Belum Jatuh Tempo",IF(O103&lt;=30,"1-30 hari",IF(O103&lt;=60,"31-60 hari",IF(O103&lt;=90,"61-90 hari","90+ hari")))))</f>
        <v>Lunas</v>
      </c>
      <c r="Q103" s="50"/>
      <c r="R103" s="39" t="str">
        <f aca="false">IF(M103&lt;=0,"",IF(O103&gt;60,"1-Tinggi",IF(O103&gt;30,"2-Sedang",IF(O103&gt;0,"3-Rendah","4-Pantau"))))</f>
        <v/>
      </c>
      <c r="S103" s="39" t="str">
        <f aca="false">IF(AND(M103&gt;0,O103&gt;0),O103+M103/1000000000000+ROW()/1000000000000000,"")</f>
        <v/>
      </c>
      <c r="T103" s="39" t="str">
        <f aca="false">IF(J103="Belum ditukar",ROW(),"")</f>
        <v/>
      </c>
    </row>
    <row r="104" customFormat="false" ht="15" hidden="false" customHeight="false" outlineLevel="0" collapsed="false">
      <c r="A104" s="50" t="s">
        <v>324</v>
      </c>
      <c r="B104" s="51" t="n">
        <v>45681</v>
      </c>
      <c r="C104" s="50" t="s">
        <v>325</v>
      </c>
      <c r="D104" s="39" t="str">
        <f aca="false">INDEX(Master_Customer!$B$2:$B$126,MATCH(C104,Master_Customer!$A$2:$A$126,0))</f>
        <v>KARYA TEKNIK TIRTA</v>
      </c>
      <c r="E104" s="50" t="s">
        <v>31</v>
      </c>
      <c r="F104" s="52" t="n">
        <f aca="false">SUMIFS(Data_Penjualan!$G$2:$G$5998,Data_Penjualan!$A$2:$A$5998,A104)</f>
        <v>8755600</v>
      </c>
      <c r="G104" s="39" t="n">
        <f aca="false">IF(E104="KANTOR",0,INDEX(Master_Customer!$C$2:$C$126,MATCH(C104,Master_Customer!$A$2:$A$126,0)))</f>
        <v>14</v>
      </c>
      <c r="H104" s="53" t="n">
        <f aca="false">B104+G104</f>
        <v>45695</v>
      </c>
      <c r="I104" s="51" t="n">
        <v>45686</v>
      </c>
      <c r="J104" s="39" t="str">
        <f aca="false">IF(G104=0,"Tunai",IF(I104="","Belum ditukar","Sudah ditukar"))</f>
        <v>Sudah ditukar</v>
      </c>
      <c r="K104" s="54" t="n">
        <v>8755600</v>
      </c>
      <c r="L104" s="51" t="n">
        <v>45708</v>
      </c>
      <c r="M104" s="52" t="n">
        <f aca="false">F104-K104</f>
        <v>0</v>
      </c>
      <c r="N104" s="39" t="str">
        <f aca="false">IF(M104&lt;=0,"Lunas",IF(K104&gt;0,"Sebagian","Belum Bayar"))</f>
        <v>Lunas</v>
      </c>
      <c r="O104" s="39" t="n">
        <f aca="false">IF(M104&gt;0,MAX(0,Catatan!$B$3-H104),0)</f>
        <v>0</v>
      </c>
      <c r="P104" s="39" t="str">
        <f aca="false">IF(M104&lt;=0,"Lunas",IF(Catatan!$B$3&lt;=H104,"Belum Jatuh Tempo",IF(O104&lt;=30,"1-30 hari",IF(O104&lt;=60,"31-60 hari",IF(O104&lt;=90,"61-90 hari","90+ hari")))))</f>
        <v>Lunas</v>
      </c>
      <c r="Q104" s="50"/>
      <c r="R104" s="39" t="str">
        <f aca="false">IF(M104&lt;=0,"",IF(O104&gt;60,"1-Tinggi",IF(O104&gt;30,"2-Sedang",IF(O104&gt;0,"3-Rendah","4-Pantau"))))</f>
        <v/>
      </c>
      <c r="S104" s="39" t="str">
        <f aca="false">IF(AND(M104&gt;0,O104&gt;0),O104+M104/1000000000000+ROW()/1000000000000000,"")</f>
        <v/>
      </c>
      <c r="T104" s="39" t="str">
        <f aca="false">IF(J104="Belum ditukar",ROW(),"")</f>
        <v/>
      </c>
    </row>
    <row r="105" customFormat="false" ht="15" hidden="false" customHeight="false" outlineLevel="0" collapsed="false">
      <c r="A105" s="50" t="s">
        <v>326</v>
      </c>
      <c r="B105" s="51" t="n">
        <v>45681</v>
      </c>
      <c r="C105" s="50" t="s">
        <v>327</v>
      </c>
      <c r="D105" s="39" t="str">
        <f aca="false">INDEX(Master_Customer!$B$2:$B$126,MATCH(C105,Master_Customer!$A$2:$A$126,0))</f>
        <v>UTAMA AUTO</v>
      </c>
      <c r="E105" s="50" t="s">
        <v>30</v>
      </c>
      <c r="F105" s="52" t="n">
        <f aca="false">SUMIFS(Data_Penjualan!$G$2:$G$5998,Data_Penjualan!$A$2:$A$5998,A105)</f>
        <v>20414800</v>
      </c>
      <c r="G105" s="39" t="n">
        <f aca="false">IF(E105="KANTOR",0,INDEX(Master_Customer!$C$2:$C$126,MATCH(C105,Master_Customer!$A$2:$A$126,0)))</f>
        <v>14</v>
      </c>
      <c r="H105" s="53" t="n">
        <f aca="false">B105+G105</f>
        <v>45695</v>
      </c>
      <c r="I105" s="51" t="n">
        <v>45684</v>
      </c>
      <c r="J105" s="39" t="str">
        <f aca="false">IF(G105=0,"Tunai",IF(I105="","Belum ditukar","Sudah ditukar"))</f>
        <v>Sudah ditukar</v>
      </c>
      <c r="K105" s="54" t="n">
        <v>20414800</v>
      </c>
      <c r="L105" s="51" t="n">
        <v>45692</v>
      </c>
      <c r="M105" s="52" t="n">
        <f aca="false">F105-K105</f>
        <v>0</v>
      </c>
      <c r="N105" s="39" t="str">
        <f aca="false">IF(M105&lt;=0,"Lunas",IF(K105&gt;0,"Sebagian","Belum Bayar"))</f>
        <v>Lunas</v>
      </c>
      <c r="O105" s="39" t="n">
        <f aca="false">IF(M105&gt;0,MAX(0,Catatan!$B$3-H105),0)</f>
        <v>0</v>
      </c>
      <c r="P105" s="39" t="str">
        <f aca="false">IF(M105&lt;=0,"Lunas",IF(Catatan!$B$3&lt;=H105,"Belum Jatuh Tempo",IF(O105&lt;=30,"1-30 hari",IF(O105&lt;=60,"31-60 hari",IF(O105&lt;=90,"61-90 hari","90+ hari")))))</f>
        <v>Lunas</v>
      </c>
      <c r="Q105" s="50"/>
      <c r="R105" s="39" t="str">
        <f aca="false">IF(M105&lt;=0,"",IF(O105&gt;60,"1-Tinggi",IF(O105&gt;30,"2-Sedang",IF(O105&gt;0,"3-Rendah","4-Pantau"))))</f>
        <v/>
      </c>
      <c r="S105" s="39" t="str">
        <f aca="false">IF(AND(M105&gt;0,O105&gt;0),O105+M105/1000000000000+ROW()/1000000000000000,"")</f>
        <v/>
      </c>
      <c r="T105" s="39" t="str">
        <f aca="false">IF(J105="Belum ditukar",ROW(),"")</f>
        <v/>
      </c>
    </row>
    <row r="106" customFormat="false" ht="15" hidden="false" customHeight="false" outlineLevel="0" collapsed="false">
      <c r="A106" s="50" t="s">
        <v>328</v>
      </c>
      <c r="B106" s="51" t="n">
        <v>45681</v>
      </c>
      <c r="C106" s="50" t="s">
        <v>329</v>
      </c>
      <c r="D106" s="39" t="str">
        <f aca="false">INDEX(Master_Customer!$B$2:$B$126,MATCH(C106,Master_Customer!$A$2:$A$126,0))</f>
        <v>MAKMUR OLI</v>
      </c>
      <c r="E106" s="50" t="s">
        <v>28</v>
      </c>
      <c r="F106" s="52" t="n">
        <f aca="false">SUMIFS(Data_Penjualan!$G$2:$G$5998,Data_Penjualan!$A$2:$A$5998,A106)</f>
        <v>13135300</v>
      </c>
      <c r="G106" s="39" t="n">
        <f aca="false">IF(E106="KANTOR",0,INDEX(Master_Customer!$C$2:$C$126,MATCH(C106,Master_Customer!$A$2:$A$126,0)))</f>
        <v>45</v>
      </c>
      <c r="H106" s="53" t="n">
        <f aca="false">B106+G106</f>
        <v>45726</v>
      </c>
      <c r="I106" s="51" t="n">
        <v>45685</v>
      </c>
      <c r="J106" s="39" t="str">
        <f aca="false">IF(G106=0,"Tunai",IF(I106="","Belum ditukar","Sudah ditukar"))</f>
        <v>Sudah ditukar</v>
      </c>
      <c r="K106" s="54" t="n">
        <v>13135300</v>
      </c>
      <c r="L106" s="51" t="n">
        <v>45765</v>
      </c>
      <c r="M106" s="52" t="n">
        <f aca="false">F106-K106</f>
        <v>0</v>
      </c>
      <c r="N106" s="39" t="str">
        <f aca="false">IF(M106&lt;=0,"Lunas",IF(K106&gt;0,"Sebagian","Belum Bayar"))</f>
        <v>Lunas</v>
      </c>
      <c r="O106" s="39" t="n">
        <f aca="false">IF(M106&gt;0,MAX(0,Catatan!$B$3-H106),0)</f>
        <v>0</v>
      </c>
      <c r="P106" s="39" t="str">
        <f aca="false">IF(M106&lt;=0,"Lunas",IF(Catatan!$B$3&lt;=H106,"Belum Jatuh Tempo",IF(O106&lt;=30,"1-30 hari",IF(O106&lt;=60,"31-60 hari",IF(O106&lt;=90,"61-90 hari","90+ hari")))))</f>
        <v>Lunas</v>
      </c>
      <c r="Q106" s="50"/>
      <c r="R106" s="39" t="str">
        <f aca="false">IF(M106&lt;=0,"",IF(O106&gt;60,"1-Tinggi",IF(O106&gt;30,"2-Sedang",IF(O106&gt;0,"3-Rendah","4-Pantau"))))</f>
        <v/>
      </c>
      <c r="S106" s="39" t="str">
        <f aca="false">IF(AND(M106&gt;0,O106&gt;0),O106+M106/1000000000000+ROW()/1000000000000000,"")</f>
        <v/>
      </c>
      <c r="T106" s="39" t="str">
        <f aca="false">IF(J106="Belum ditukar",ROW(),"")</f>
        <v/>
      </c>
    </row>
    <row r="107" customFormat="false" ht="15" hidden="false" customHeight="false" outlineLevel="0" collapsed="false">
      <c r="A107" s="50" t="s">
        <v>330</v>
      </c>
      <c r="B107" s="51" t="n">
        <v>45681</v>
      </c>
      <c r="C107" s="50" t="s">
        <v>174</v>
      </c>
      <c r="D107" s="39" t="str">
        <f aca="false">INDEX(Master_Customer!$B$2:$B$126,MATCH(C107,Master_Customer!$A$2:$A$126,0))</f>
        <v>SUMBER TEKNIK SURYA</v>
      </c>
      <c r="E107" s="50" t="s">
        <v>31</v>
      </c>
      <c r="F107" s="52" t="n">
        <f aca="false">SUMIFS(Data_Penjualan!$G$2:$G$5998,Data_Penjualan!$A$2:$A$5998,A107)</f>
        <v>8185400</v>
      </c>
      <c r="G107" s="39" t="n">
        <f aca="false">IF(E107="KANTOR",0,INDEX(Master_Customer!$C$2:$C$126,MATCH(C107,Master_Customer!$A$2:$A$126,0)))</f>
        <v>30</v>
      </c>
      <c r="H107" s="53" t="n">
        <f aca="false">B107+G107</f>
        <v>45711</v>
      </c>
      <c r="I107" s="51" t="n">
        <v>45682</v>
      </c>
      <c r="J107" s="39" t="str">
        <f aca="false">IF(G107=0,"Tunai",IF(I107="","Belum ditukar","Sudah ditukar"))</f>
        <v>Sudah ditukar</v>
      </c>
      <c r="K107" s="54" t="n">
        <v>8185400</v>
      </c>
      <c r="L107" s="51" t="n">
        <v>45710</v>
      </c>
      <c r="M107" s="52" t="n">
        <f aca="false">F107-K107</f>
        <v>0</v>
      </c>
      <c r="N107" s="39" t="str">
        <f aca="false">IF(M107&lt;=0,"Lunas",IF(K107&gt;0,"Sebagian","Belum Bayar"))</f>
        <v>Lunas</v>
      </c>
      <c r="O107" s="39" t="n">
        <f aca="false">IF(M107&gt;0,MAX(0,Catatan!$B$3-H107),0)</f>
        <v>0</v>
      </c>
      <c r="P107" s="39" t="str">
        <f aca="false">IF(M107&lt;=0,"Lunas",IF(Catatan!$B$3&lt;=H107,"Belum Jatuh Tempo",IF(O107&lt;=30,"1-30 hari",IF(O107&lt;=60,"31-60 hari",IF(O107&lt;=90,"61-90 hari","90+ hari")))))</f>
        <v>Lunas</v>
      </c>
      <c r="Q107" s="50"/>
      <c r="R107" s="39" t="str">
        <f aca="false">IF(M107&lt;=0,"",IF(O107&gt;60,"1-Tinggi",IF(O107&gt;30,"2-Sedang",IF(O107&gt;0,"3-Rendah","4-Pantau"))))</f>
        <v/>
      </c>
      <c r="S107" s="39" t="str">
        <f aca="false">IF(AND(M107&gt;0,O107&gt;0),O107+M107/1000000000000+ROW()/1000000000000000,"")</f>
        <v/>
      </c>
      <c r="T107" s="39" t="str">
        <f aca="false">IF(J107="Belum ditukar",ROW(),"")</f>
        <v/>
      </c>
    </row>
    <row r="108" customFormat="false" ht="15" hidden="false" customHeight="false" outlineLevel="0" collapsed="false">
      <c r="A108" s="50" t="s">
        <v>331</v>
      </c>
      <c r="B108" s="51" t="n">
        <v>45682</v>
      </c>
      <c r="C108" s="50" t="s">
        <v>207</v>
      </c>
      <c r="D108" s="39" t="str">
        <f aca="false">INDEX(Master_Customer!$B$2:$B$126,MATCH(C108,Master_Customer!$A$2:$A$126,0))</f>
        <v>MAKMUR AUTO HARAPAN</v>
      </c>
      <c r="E108" s="50" t="s">
        <v>32</v>
      </c>
      <c r="F108" s="52" t="n">
        <f aca="false">SUMIFS(Data_Penjualan!$G$2:$G$5998,Data_Penjualan!$A$2:$A$5998,A108)</f>
        <v>7406800</v>
      </c>
      <c r="G108" s="39" t="n">
        <f aca="false">IF(E108="KANTOR",0,INDEX(Master_Customer!$C$2:$C$126,MATCH(C108,Master_Customer!$A$2:$A$126,0)))</f>
        <v>0</v>
      </c>
      <c r="H108" s="53" t="n">
        <f aca="false">B108+G108</f>
        <v>45682</v>
      </c>
      <c r="J108" s="39" t="str">
        <f aca="false">IF(G108=0,"Tunai",IF(I108="","Belum ditukar","Sudah ditukar"))</f>
        <v>Tunai</v>
      </c>
      <c r="K108" s="54" t="n">
        <v>7406800</v>
      </c>
      <c r="L108" s="51" t="n">
        <v>45682</v>
      </c>
      <c r="M108" s="52" t="n">
        <f aca="false">F108-K108</f>
        <v>0</v>
      </c>
      <c r="N108" s="39" t="str">
        <f aca="false">IF(M108&lt;=0,"Lunas",IF(K108&gt;0,"Sebagian","Belum Bayar"))</f>
        <v>Lunas</v>
      </c>
      <c r="O108" s="39" t="n">
        <f aca="false">IF(M108&gt;0,MAX(0,Catatan!$B$3-H108),0)</f>
        <v>0</v>
      </c>
      <c r="P108" s="39" t="str">
        <f aca="false">IF(M108&lt;=0,"Lunas",IF(Catatan!$B$3&lt;=H108,"Belum Jatuh Tempo",IF(O108&lt;=30,"1-30 hari",IF(O108&lt;=60,"31-60 hari",IF(O108&lt;=90,"61-90 hari","90+ hari")))))</f>
        <v>Lunas</v>
      </c>
      <c r="Q108" s="50"/>
      <c r="R108" s="39" t="str">
        <f aca="false">IF(M108&lt;=0,"",IF(O108&gt;60,"1-Tinggi",IF(O108&gt;30,"2-Sedang",IF(O108&gt;0,"3-Rendah","4-Pantau"))))</f>
        <v/>
      </c>
      <c r="S108" s="39" t="str">
        <f aca="false">IF(AND(M108&gt;0,O108&gt;0),O108+M108/1000000000000+ROW()/1000000000000000,"")</f>
        <v/>
      </c>
      <c r="T108" s="39" t="str">
        <f aca="false">IF(J108="Belum ditukar",ROW(),"")</f>
        <v/>
      </c>
    </row>
    <row r="109" customFormat="false" ht="15" hidden="false" customHeight="false" outlineLevel="0" collapsed="false">
      <c r="A109" s="50" t="s">
        <v>332</v>
      </c>
      <c r="B109" s="51" t="n">
        <v>45682</v>
      </c>
      <c r="C109" s="50" t="s">
        <v>174</v>
      </c>
      <c r="D109" s="39" t="str">
        <f aca="false">INDEX(Master_Customer!$B$2:$B$126,MATCH(C109,Master_Customer!$A$2:$A$126,0))</f>
        <v>SUMBER TEKNIK SURYA</v>
      </c>
      <c r="E109" s="50" t="s">
        <v>31</v>
      </c>
      <c r="F109" s="52" t="n">
        <f aca="false">SUMIFS(Data_Penjualan!$G$2:$G$5998,Data_Penjualan!$A$2:$A$5998,A109)</f>
        <v>3876400</v>
      </c>
      <c r="G109" s="39" t="n">
        <f aca="false">IF(E109="KANTOR",0,INDEX(Master_Customer!$C$2:$C$126,MATCH(C109,Master_Customer!$A$2:$A$126,0)))</f>
        <v>30</v>
      </c>
      <c r="H109" s="53" t="n">
        <f aca="false">B109+G109</f>
        <v>45712</v>
      </c>
      <c r="I109" s="51" t="n">
        <v>45684</v>
      </c>
      <c r="J109" s="39" t="str">
        <f aca="false">IF(G109=0,"Tunai",IF(I109="","Belum ditukar","Sudah ditukar"))</f>
        <v>Sudah ditukar</v>
      </c>
      <c r="K109" s="54" t="n">
        <v>3876400</v>
      </c>
      <c r="L109" s="51" t="n">
        <v>45715</v>
      </c>
      <c r="M109" s="52" t="n">
        <f aca="false">F109-K109</f>
        <v>0</v>
      </c>
      <c r="N109" s="39" t="str">
        <f aca="false">IF(M109&lt;=0,"Lunas",IF(K109&gt;0,"Sebagian","Belum Bayar"))</f>
        <v>Lunas</v>
      </c>
      <c r="O109" s="39" t="n">
        <f aca="false">IF(M109&gt;0,MAX(0,Catatan!$B$3-H109),0)</f>
        <v>0</v>
      </c>
      <c r="P109" s="39" t="str">
        <f aca="false">IF(M109&lt;=0,"Lunas",IF(Catatan!$B$3&lt;=H109,"Belum Jatuh Tempo",IF(O109&lt;=30,"1-30 hari",IF(O109&lt;=60,"31-60 hari",IF(O109&lt;=90,"61-90 hari","90+ hari")))))</f>
        <v>Lunas</v>
      </c>
      <c r="Q109" s="50"/>
      <c r="R109" s="39" t="str">
        <f aca="false">IF(M109&lt;=0,"",IF(O109&gt;60,"1-Tinggi",IF(O109&gt;30,"2-Sedang",IF(O109&gt;0,"3-Rendah","4-Pantau"))))</f>
        <v/>
      </c>
      <c r="S109" s="39" t="str">
        <f aca="false">IF(AND(M109&gt;0,O109&gt;0),O109+M109/1000000000000+ROW()/1000000000000000,"")</f>
        <v/>
      </c>
      <c r="T109" s="39" t="str">
        <f aca="false">IF(J109="Belum ditukar",ROW(),"")</f>
        <v/>
      </c>
    </row>
    <row r="110" customFormat="false" ht="15" hidden="false" customHeight="false" outlineLevel="0" collapsed="false">
      <c r="A110" s="50" t="s">
        <v>333</v>
      </c>
      <c r="B110" s="51" t="n">
        <v>45682</v>
      </c>
      <c r="C110" s="50" t="s">
        <v>199</v>
      </c>
      <c r="D110" s="39" t="str">
        <f aca="false">INDEX(Master_Customer!$B$2:$B$126,MATCH(C110,Master_Customer!$A$2:$A$126,0))</f>
        <v>KARYA SPAREPART</v>
      </c>
      <c r="E110" s="50" t="s">
        <v>29</v>
      </c>
      <c r="F110" s="52" t="n">
        <f aca="false">SUMIFS(Data_Penjualan!$G$2:$G$5998,Data_Penjualan!$A$2:$A$5998,A110)</f>
        <v>3416600</v>
      </c>
      <c r="G110" s="39" t="n">
        <f aca="false">IF(E110="KANTOR",0,INDEX(Master_Customer!$C$2:$C$126,MATCH(C110,Master_Customer!$A$2:$A$126,0)))</f>
        <v>45</v>
      </c>
      <c r="H110" s="53" t="n">
        <f aca="false">B110+G110</f>
        <v>45727</v>
      </c>
      <c r="I110" s="51" t="n">
        <v>45687</v>
      </c>
      <c r="J110" s="39" t="str">
        <f aca="false">IF(G110=0,"Tunai",IF(I110="","Belum ditukar","Sudah ditukar"))</f>
        <v>Sudah ditukar</v>
      </c>
      <c r="K110" s="54" t="n">
        <v>1684000</v>
      </c>
      <c r="L110" s="51" t="n">
        <v>45722</v>
      </c>
      <c r="M110" s="52" t="n">
        <f aca="false">F110-K110</f>
        <v>1732600</v>
      </c>
      <c r="N110" s="39" t="str">
        <f aca="false">IF(M110&lt;=0,"Lunas",IF(K110&gt;0,"Sebagian","Belum Bayar"))</f>
        <v>Sebagian</v>
      </c>
      <c r="O110" s="39" t="n">
        <f aca="false">IF(M110&gt;0,MAX(0,Catatan!$B$3-H110),0)</f>
        <v>295</v>
      </c>
      <c r="P110" s="39" t="str">
        <f aca="false">IF(M110&lt;=0,"Lunas",IF(Catatan!$B$3&lt;=H110,"Belum Jatuh Tempo",IF(O110&lt;=30,"1-30 hari",IF(O110&lt;=60,"31-60 hari",IF(O110&lt;=90,"61-90 hari","90+ hari")))))</f>
        <v>90+ hari</v>
      </c>
      <c r="Q110" s="50" t="s">
        <v>334</v>
      </c>
      <c r="R110" s="39" t="str">
        <f aca="false">IF(M110&lt;=0,"",IF(O110&gt;60,"1-Tinggi",IF(O110&gt;30,"2-Sedang",IF(O110&gt;0,"3-Rendah","4-Pantau"))))</f>
        <v>1-Tinggi</v>
      </c>
      <c r="S110" s="39" t="n">
        <f aca="false">IF(AND(M110&gt;0,O110&gt;0),O110+M110/1000000000000+ROW()/1000000000000000,"")</f>
        <v>295.0000017326</v>
      </c>
      <c r="T110" s="39" t="str">
        <f aca="false">IF(J110="Belum ditukar",ROW(),"")</f>
        <v/>
      </c>
    </row>
    <row r="111" customFormat="false" ht="15" hidden="false" customHeight="false" outlineLevel="0" collapsed="false">
      <c r="A111" s="50" t="s">
        <v>335</v>
      </c>
      <c r="B111" s="51" t="n">
        <v>45684</v>
      </c>
      <c r="C111" s="50" t="s">
        <v>216</v>
      </c>
      <c r="D111" s="39" t="str">
        <f aca="false">INDEX(Master_Customer!$B$2:$B$126,MATCH(C111,Master_Customer!$A$2:$A$126,0))</f>
        <v>SINAR MOTOR UTAMA</v>
      </c>
      <c r="E111" s="50" t="s">
        <v>30</v>
      </c>
      <c r="F111" s="52" t="n">
        <f aca="false">SUMIFS(Data_Penjualan!$G$2:$G$5998,Data_Penjualan!$A$2:$A$5998,A111)</f>
        <v>9719200</v>
      </c>
      <c r="G111" s="39" t="n">
        <f aca="false">IF(E111="KANTOR",0,INDEX(Master_Customer!$C$2:$C$126,MATCH(C111,Master_Customer!$A$2:$A$126,0)))</f>
        <v>0</v>
      </c>
      <c r="H111" s="53" t="n">
        <f aca="false">B111+G111</f>
        <v>45684</v>
      </c>
      <c r="J111" s="39" t="str">
        <f aca="false">IF(G111=0,"Tunai",IF(I111="","Belum ditukar","Sudah ditukar"))</f>
        <v>Tunai</v>
      </c>
      <c r="K111" s="54" t="n">
        <v>9719200</v>
      </c>
      <c r="L111" s="51" t="n">
        <v>45684</v>
      </c>
      <c r="M111" s="52" t="n">
        <f aca="false">F111-K111</f>
        <v>0</v>
      </c>
      <c r="N111" s="39" t="str">
        <f aca="false">IF(M111&lt;=0,"Lunas",IF(K111&gt;0,"Sebagian","Belum Bayar"))</f>
        <v>Lunas</v>
      </c>
      <c r="O111" s="39" t="n">
        <f aca="false">IF(M111&gt;0,MAX(0,Catatan!$B$3-H111),0)</f>
        <v>0</v>
      </c>
      <c r="P111" s="39" t="str">
        <f aca="false">IF(M111&lt;=0,"Lunas",IF(Catatan!$B$3&lt;=H111,"Belum Jatuh Tempo",IF(O111&lt;=30,"1-30 hari",IF(O111&lt;=60,"31-60 hari",IF(O111&lt;=90,"61-90 hari","90+ hari")))))</f>
        <v>Lunas</v>
      </c>
      <c r="Q111" s="50"/>
      <c r="R111" s="39" t="str">
        <f aca="false">IF(M111&lt;=0,"",IF(O111&gt;60,"1-Tinggi",IF(O111&gt;30,"2-Sedang",IF(O111&gt;0,"3-Rendah","4-Pantau"))))</f>
        <v/>
      </c>
      <c r="S111" s="39" t="str">
        <f aca="false">IF(AND(M111&gt;0,O111&gt;0),O111+M111/1000000000000+ROW()/1000000000000000,"")</f>
        <v/>
      </c>
      <c r="T111" s="39" t="str">
        <f aca="false">IF(J111="Belum ditukar",ROW(),"")</f>
        <v/>
      </c>
    </row>
    <row r="112" customFormat="false" ht="15" hidden="false" customHeight="false" outlineLevel="0" collapsed="false">
      <c r="A112" s="50" t="s">
        <v>336</v>
      </c>
      <c r="B112" s="51" t="n">
        <v>45685</v>
      </c>
      <c r="C112" s="50" t="s">
        <v>247</v>
      </c>
      <c r="D112" s="39" t="str">
        <f aca="false">INDEX(Master_Customer!$B$2:$B$126,MATCH(C112,Master_Customer!$A$2:$A$126,0))</f>
        <v>BINTANG LUBRICANT SURYA</v>
      </c>
      <c r="E112" s="50" t="s">
        <v>28</v>
      </c>
      <c r="F112" s="52" t="n">
        <f aca="false">SUMIFS(Data_Penjualan!$G$2:$G$5998,Data_Penjualan!$A$2:$A$5998,A112)</f>
        <v>11009500</v>
      </c>
      <c r="G112" s="39" t="n">
        <f aca="false">IF(E112="KANTOR",0,INDEX(Master_Customer!$C$2:$C$126,MATCH(C112,Master_Customer!$A$2:$A$126,0)))</f>
        <v>30</v>
      </c>
      <c r="H112" s="53" t="n">
        <f aca="false">B112+G112</f>
        <v>45715</v>
      </c>
      <c r="I112" s="51" t="n">
        <v>45689</v>
      </c>
      <c r="J112" s="39" t="str">
        <f aca="false">IF(G112=0,"Tunai",IF(I112="","Belum ditukar","Sudah ditukar"))</f>
        <v>Sudah ditukar</v>
      </c>
      <c r="K112" s="54" t="n">
        <v>11009500</v>
      </c>
      <c r="L112" s="51" t="n">
        <v>45716</v>
      </c>
      <c r="M112" s="52" t="n">
        <f aca="false">F112-K112</f>
        <v>0</v>
      </c>
      <c r="N112" s="39" t="str">
        <f aca="false">IF(M112&lt;=0,"Lunas",IF(K112&gt;0,"Sebagian","Belum Bayar"))</f>
        <v>Lunas</v>
      </c>
      <c r="O112" s="39" t="n">
        <f aca="false">IF(M112&gt;0,MAX(0,Catatan!$B$3-H112),0)</f>
        <v>0</v>
      </c>
      <c r="P112" s="39" t="str">
        <f aca="false">IF(M112&lt;=0,"Lunas",IF(Catatan!$B$3&lt;=H112,"Belum Jatuh Tempo",IF(O112&lt;=30,"1-30 hari",IF(O112&lt;=60,"31-60 hari",IF(O112&lt;=90,"61-90 hari","90+ hari")))))</f>
        <v>Lunas</v>
      </c>
      <c r="Q112" s="50"/>
      <c r="R112" s="39" t="str">
        <f aca="false">IF(M112&lt;=0,"",IF(O112&gt;60,"1-Tinggi",IF(O112&gt;30,"2-Sedang",IF(O112&gt;0,"3-Rendah","4-Pantau"))))</f>
        <v/>
      </c>
      <c r="S112" s="39" t="str">
        <f aca="false">IF(AND(M112&gt;0,O112&gt;0),O112+M112/1000000000000+ROW()/1000000000000000,"")</f>
        <v/>
      </c>
      <c r="T112" s="39" t="str">
        <f aca="false">IF(J112="Belum ditukar",ROW(),"")</f>
        <v/>
      </c>
    </row>
    <row r="113" customFormat="false" ht="15" hidden="false" customHeight="false" outlineLevel="0" collapsed="false">
      <c r="A113" s="50" t="s">
        <v>337</v>
      </c>
      <c r="B113" s="51" t="n">
        <v>45685</v>
      </c>
      <c r="C113" s="50" t="s">
        <v>239</v>
      </c>
      <c r="D113" s="39" t="str">
        <f aca="false">INDEX(Master_Customer!$B$2:$B$126,MATCH(C113,Master_Customer!$A$2:$A$126,0))</f>
        <v>MAJU SPAREPART UTAMA</v>
      </c>
      <c r="E113" s="50" t="s">
        <v>31</v>
      </c>
      <c r="F113" s="52" t="n">
        <f aca="false">SUMIFS(Data_Penjualan!$G$2:$G$5998,Data_Penjualan!$A$2:$A$5998,A113)</f>
        <v>5690700</v>
      </c>
      <c r="G113" s="39" t="n">
        <f aca="false">IF(E113="KANTOR",0,INDEX(Master_Customer!$C$2:$C$126,MATCH(C113,Master_Customer!$A$2:$A$126,0)))</f>
        <v>30</v>
      </c>
      <c r="H113" s="53" t="n">
        <f aca="false">B113+G113</f>
        <v>45715</v>
      </c>
      <c r="I113" s="51" t="n">
        <v>45690</v>
      </c>
      <c r="J113" s="39" t="str">
        <f aca="false">IF(G113=0,"Tunai",IF(I113="","Belum ditukar","Sudah ditukar"))</f>
        <v>Sudah ditukar</v>
      </c>
      <c r="K113" s="54" t="n">
        <v>5690700</v>
      </c>
      <c r="L113" s="51" t="n">
        <v>45737</v>
      </c>
      <c r="M113" s="52" t="n">
        <f aca="false">F113-K113</f>
        <v>0</v>
      </c>
      <c r="N113" s="39" t="str">
        <f aca="false">IF(M113&lt;=0,"Lunas",IF(K113&gt;0,"Sebagian","Belum Bayar"))</f>
        <v>Lunas</v>
      </c>
      <c r="O113" s="39" t="n">
        <f aca="false">IF(M113&gt;0,MAX(0,Catatan!$B$3-H113),0)</f>
        <v>0</v>
      </c>
      <c r="P113" s="39" t="str">
        <f aca="false">IF(M113&lt;=0,"Lunas",IF(Catatan!$B$3&lt;=H113,"Belum Jatuh Tempo",IF(O113&lt;=30,"1-30 hari",IF(O113&lt;=60,"31-60 hari",IF(O113&lt;=90,"61-90 hari","90+ hari")))))</f>
        <v>Lunas</v>
      </c>
      <c r="Q113" s="50"/>
      <c r="R113" s="39" t="str">
        <f aca="false">IF(M113&lt;=0,"",IF(O113&gt;60,"1-Tinggi",IF(O113&gt;30,"2-Sedang",IF(O113&gt;0,"3-Rendah","4-Pantau"))))</f>
        <v/>
      </c>
      <c r="S113" s="39" t="str">
        <f aca="false">IF(AND(M113&gt;0,O113&gt;0),O113+M113/1000000000000+ROW()/1000000000000000,"")</f>
        <v/>
      </c>
      <c r="T113" s="39" t="str">
        <f aca="false">IF(J113="Belum ditukar",ROW(),"")</f>
        <v/>
      </c>
    </row>
    <row r="114" customFormat="false" ht="15" hidden="false" customHeight="false" outlineLevel="0" collapsed="false">
      <c r="A114" s="50" t="s">
        <v>125</v>
      </c>
      <c r="B114" s="51" t="n">
        <v>45685</v>
      </c>
      <c r="C114" s="50" t="s">
        <v>209</v>
      </c>
      <c r="D114" s="39" t="str">
        <f aca="false">INDEX(Master_Customer!$B$2:$B$126,MATCH(C114,Master_Customer!$A$2:$A$126,0))</f>
        <v>PRIMA TEKNIK</v>
      </c>
      <c r="E114" s="50" t="s">
        <v>31</v>
      </c>
      <c r="F114" s="52" t="n">
        <f aca="false">SUMIFS(Data_Penjualan!$G$2:$G$5998,Data_Penjualan!$A$2:$A$5998,A114)</f>
        <v>16166800</v>
      </c>
      <c r="G114" s="39" t="n">
        <f aca="false">IF(E114="KANTOR",0,INDEX(Master_Customer!$C$2:$C$126,MATCH(C114,Master_Customer!$A$2:$A$126,0)))</f>
        <v>30</v>
      </c>
      <c r="H114" s="53" t="n">
        <f aca="false">B114+G114</f>
        <v>45715</v>
      </c>
      <c r="I114" s="51" t="n">
        <v>45687</v>
      </c>
      <c r="J114" s="39" t="str">
        <f aca="false">IF(G114=0,"Tunai",IF(I114="","Belum ditukar","Sudah ditukar"))</f>
        <v>Sudah ditukar</v>
      </c>
      <c r="K114" s="54" t="n">
        <v>10486700</v>
      </c>
      <c r="L114" s="51" t="n">
        <v>45731</v>
      </c>
      <c r="M114" s="52" t="n">
        <f aca="false">F114-K114</f>
        <v>5680100</v>
      </c>
      <c r="N114" s="39" t="str">
        <f aca="false">IF(M114&lt;=0,"Lunas",IF(K114&gt;0,"Sebagian","Belum Bayar"))</f>
        <v>Sebagian</v>
      </c>
      <c r="O114" s="39" t="n">
        <f aca="false">IF(M114&gt;0,MAX(0,Catatan!$B$3-H114),0)</f>
        <v>307</v>
      </c>
      <c r="P114" s="39" t="str">
        <f aca="false">IF(M114&lt;=0,"Lunas",IF(Catatan!$B$3&lt;=H114,"Belum Jatuh Tempo",IF(O114&lt;=30,"1-30 hari",IF(O114&lt;=60,"31-60 hari",IF(O114&lt;=90,"61-90 hari","90+ hari")))))</f>
        <v>90+ hari</v>
      </c>
      <c r="Q114" s="50" t="s">
        <v>338</v>
      </c>
      <c r="R114" s="39" t="str">
        <f aca="false">IF(M114&lt;=0,"",IF(O114&gt;60,"1-Tinggi",IF(O114&gt;30,"2-Sedang",IF(O114&gt;0,"3-Rendah","4-Pantau"))))</f>
        <v>1-Tinggi</v>
      </c>
      <c r="S114" s="39" t="n">
        <f aca="false">IF(AND(M114&gt;0,O114&gt;0),O114+M114/1000000000000+ROW()/1000000000000000,"")</f>
        <v>307.0000056801</v>
      </c>
      <c r="T114" s="39" t="str">
        <f aca="false">IF(J114="Belum ditukar",ROW(),"")</f>
        <v/>
      </c>
    </row>
    <row r="115" customFormat="false" ht="15" hidden="false" customHeight="false" outlineLevel="0" collapsed="false">
      <c r="A115" s="50" t="s">
        <v>339</v>
      </c>
      <c r="B115" s="51" t="n">
        <v>45685</v>
      </c>
      <c r="C115" s="50" t="s">
        <v>188</v>
      </c>
      <c r="D115" s="39" t="str">
        <f aca="false">INDEX(Master_Customer!$B$2:$B$126,MATCH(C115,Master_Customer!$A$2:$A$126,0))</f>
        <v>MAJU GARAGE TIRTA</v>
      </c>
      <c r="E115" s="50" t="s">
        <v>31</v>
      </c>
      <c r="F115" s="52" t="n">
        <f aca="false">SUMIFS(Data_Penjualan!$G$2:$G$5998,Data_Penjualan!$A$2:$A$5998,A115)</f>
        <v>22376000</v>
      </c>
      <c r="G115" s="39" t="n">
        <f aca="false">IF(E115="KANTOR",0,INDEX(Master_Customer!$C$2:$C$126,MATCH(C115,Master_Customer!$A$2:$A$126,0)))</f>
        <v>45</v>
      </c>
      <c r="H115" s="53" t="n">
        <f aca="false">B115+G115</f>
        <v>45730</v>
      </c>
      <c r="I115" s="51" t="n">
        <v>45689</v>
      </c>
      <c r="J115" s="39" t="str">
        <f aca="false">IF(G115=0,"Tunai",IF(I115="","Belum ditukar","Sudah ditukar"))</f>
        <v>Sudah ditukar</v>
      </c>
      <c r="K115" s="54" t="n">
        <v>22376000</v>
      </c>
      <c r="L115" s="51" t="n">
        <v>45747</v>
      </c>
      <c r="M115" s="52" t="n">
        <f aca="false">F115-K115</f>
        <v>0</v>
      </c>
      <c r="N115" s="39" t="str">
        <f aca="false">IF(M115&lt;=0,"Lunas",IF(K115&gt;0,"Sebagian","Belum Bayar"))</f>
        <v>Lunas</v>
      </c>
      <c r="O115" s="39" t="n">
        <f aca="false">IF(M115&gt;0,MAX(0,Catatan!$B$3-H115),0)</f>
        <v>0</v>
      </c>
      <c r="P115" s="39" t="str">
        <f aca="false">IF(M115&lt;=0,"Lunas",IF(Catatan!$B$3&lt;=H115,"Belum Jatuh Tempo",IF(O115&lt;=30,"1-30 hari",IF(O115&lt;=60,"31-60 hari",IF(O115&lt;=90,"61-90 hari","90+ hari")))))</f>
        <v>Lunas</v>
      </c>
      <c r="Q115" s="50"/>
      <c r="R115" s="39" t="str">
        <f aca="false">IF(M115&lt;=0,"",IF(O115&gt;60,"1-Tinggi",IF(O115&gt;30,"2-Sedang",IF(O115&gt;0,"3-Rendah","4-Pantau"))))</f>
        <v/>
      </c>
      <c r="S115" s="39" t="str">
        <f aca="false">IF(AND(M115&gt;0,O115&gt;0),O115+M115/1000000000000+ROW()/1000000000000000,"")</f>
        <v/>
      </c>
      <c r="T115" s="39" t="str">
        <f aca="false">IF(J115="Belum ditukar",ROW(),"")</f>
        <v/>
      </c>
    </row>
    <row r="116" customFormat="false" ht="15" hidden="false" customHeight="false" outlineLevel="0" collapsed="false">
      <c r="A116" s="50" t="s">
        <v>340</v>
      </c>
      <c r="B116" s="51" t="n">
        <v>45686</v>
      </c>
      <c r="C116" s="50" t="s">
        <v>216</v>
      </c>
      <c r="D116" s="39" t="str">
        <f aca="false">INDEX(Master_Customer!$B$2:$B$126,MATCH(C116,Master_Customer!$A$2:$A$126,0))</f>
        <v>SINAR MOTOR UTAMA</v>
      </c>
      <c r="E116" s="50" t="s">
        <v>32</v>
      </c>
      <c r="F116" s="52" t="n">
        <f aca="false">SUMIFS(Data_Penjualan!$G$2:$G$5998,Data_Penjualan!$A$2:$A$5998,A116)</f>
        <v>5028700</v>
      </c>
      <c r="G116" s="39" t="n">
        <f aca="false">IF(E116="KANTOR",0,INDEX(Master_Customer!$C$2:$C$126,MATCH(C116,Master_Customer!$A$2:$A$126,0)))</f>
        <v>0</v>
      </c>
      <c r="H116" s="53" t="n">
        <f aca="false">B116+G116</f>
        <v>45686</v>
      </c>
      <c r="J116" s="39" t="str">
        <f aca="false">IF(G116=0,"Tunai",IF(I116="","Belum ditukar","Sudah ditukar"))</f>
        <v>Tunai</v>
      </c>
      <c r="K116" s="54" t="n">
        <v>5028700</v>
      </c>
      <c r="L116" s="51" t="n">
        <v>45686</v>
      </c>
      <c r="M116" s="52" t="n">
        <f aca="false">F116-K116</f>
        <v>0</v>
      </c>
      <c r="N116" s="39" t="str">
        <f aca="false">IF(M116&lt;=0,"Lunas",IF(K116&gt;0,"Sebagian","Belum Bayar"))</f>
        <v>Lunas</v>
      </c>
      <c r="O116" s="39" t="n">
        <f aca="false">IF(M116&gt;0,MAX(0,Catatan!$B$3-H116),0)</f>
        <v>0</v>
      </c>
      <c r="P116" s="39" t="str">
        <f aca="false">IF(M116&lt;=0,"Lunas",IF(Catatan!$B$3&lt;=H116,"Belum Jatuh Tempo",IF(O116&lt;=30,"1-30 hari",IF(O116&lt;=60,"31-60 hari",IF(O116&lt;=90,"61-90 hari","90+ hari")))))</f>
        <v>Lunas</v>
      </c>
      <c r="Q116" s="50"/>
      <c r="R116" s="39" t="str">
        <f aca="false">IF(M116&lt;=0,"",IF(O116&gt;60,"1-Tinggi",IF(O116&gt;30,"2-Sedang",IF(O116&gt;0,"3-Rendah","4-Pantau"))))</f>
        <v/>
      </c>
      <c r="S116" s="39" t="str">
        <f aca="false">IF(AND(M116&gt;0,O116&gt;0),O116+M116/1000000000000+ROW()/1000000000000000,"")</f>
        <v/>
      </c>
      <c r="T116" s="39" t="str">
        <f aca="false">IF(J116="Belum ditukar",ROW(),"")</f>
        <v/>
      </c>
    </row>
    <row r="117" customFormat="false" ht="15" hidden="false" customHeight="false" outlineLevel="0" collapsed="false">
      <c r="A117" s="50" t="s">
        <v>341</v>
      </c>
      <c r="B117" s="51" t="n">
        <v>45686</v>
      </c>
      <c r="C117" s="50" t="s">
        <v>216</v>
      </c>
      <c r="D117" s="39" t="str">
        <f aca="false">INDEX(Master_Customer!$B$2:$B$126,MATCH(C117,Master_Customer!$A$2:$A$126,0))</f>
        <v>SINAR MOTOR UTAMA</v>
      </c>
      <c r="E117" s="50" t="s">
        <v>30</v>
      </c>
      <c r="F117" s="52" t="n">
        <f aca="false">SUMIFS(Data_Penjualan!$G$2:$G$5998,Data_Penjualan!$A$2:$A$5998,A117)</f>
        <v>26133200</v>
      </c>
      <c r="G117" s="39" t="n">
        <f aca="false">IF(E117="KANTOR",0,INDEX(Master_Customer!$C$2:$C$126,MATCH(C117,Master_Customer!$A$2:$A$126,0)))</f>
        <v>0</v>
      </c>
      <c r="H117" s="53" t="n">
        <f aca="false">B117+G117</f>
        <v>45686</v>
      </c>
      <c r="J117" s="39" t="str">
        <f aca="false">IF(G117=0,"Tunai",IF(I117="","Belum ditukar","Sudah ditukar"))</f>
        <v>Tunai</v>
      </c>
      <c r="K117" s="54" t="n">
        <v>26133200</v>
      </c>
      <c r="L117" s="51" t="n">
        <v>45686</v>
      </c>
      <c r="M117" s="52" t="n">
        <f aca="false">F117-K117</f>
        <v>0</v>
      </c>
      <c r="N117" s="39" t="str">
        <f aca="false">IF(M117&lt;=0,"Lunas",IF(K117&gt;0,"Sebagian","Belum Bayar"))</f>
        <v>Lunas</v>
      </c>
      <c r="O117" s="39" t="n">
        <f aca="false">IF(M117&gt;0,MAX(0,Catatan!$B$3-H117),0)</f>
        <v>0</v>
      </c>
      <c r="P117" s="39" t="str">
        <f aca="false">IF(M117&lt;=0,"Lunas",IF(Catatan!$B$3&lt;=H117,"Belum Jatuh Tempo",IF(O117&lt;=30,"1-30 hari",IF(O117&lt;=60,"31-60 hari",IF(O117&lt;=90,"61-90 hari","90+ hari")))))</f>
        <v>Lunas</v>
      </c>
      <c r="Q117" s="50"/>
      <c r="R117" s="39" t="str">
        <f aca="false">IF(M117&lt;=0,"",IF(O117&gt;60,"1-Tinggi",IF(O117&gt;30,"2-Sedang",IF(O117&gt;0,"3-Rendah","4-Pantau"))))</f>
        <v/>
      </c>
      <c r="S117" s="39" t="str">
        <f aca="false">IF(AND(M117&gt;0,O117&gt;0),O117+M117/1000000000000+ROW()/1000000000000000,"")</f>
        <v/>
      </c>
      <c r="T117" s="39" t="str">
        <f aca="false">IF(J117="Belum ditukar",ROW(),"")</f>
        <v/>
      </c>
    </row>
    <row r="118" customFormat="false" ht="15" hidden="false" customHeight="false" outlineLevel="0" collapsed="false">
      <c r="A118" s="50" t="s">
        <v>342</v>
      </c>
      <c r="B118" s="51" t="n">
        <v>45686</v>
      </c>
      <c r="C118" s="50" t="s">
        <v>298</v>
      </c>
      <c r="D118" s="39" t="str">
        <f aca="false">INDEX(Master_Customer!$B$2:$B$126,MATCH(C118,Master_Customer!$A$2:$A$126,0))</f>
        <v>BERKAH MOBIL MAKMUR</v>
      </c>
      <c r="E118" s="50" t="s">
        <v>32</v>
      </c>
      <c r="F118" s="52" t="n">
        <f aca="false">SUMIFS(Data_Penjualan!$G$2:$G$5998,Data_Penjualan!$A$2:$A$5998,A118)</f>
        <v>3570900</v>
      </c>
      <c r="G118" s="39" t="n">
        <f aca="false">IF(E118="KANTOR",0,INDEX(Master_Customer!$C$2:$C$126,MATCH(C118,Master_Customer!$A$2:$A$126,0)))</f>
        <v>0</v>
      </c>
      <c r="H118" s="53" t="n">
        <f aca="false">B118+G118</f>
        <v>45686</v>
      </c>
      <c r="J118" s="39" t="str">
        <f aca="false">IF(G118=0,"Tunai",IF(I118="","Belum ditukar","Sudah ditukar"))</f>
        <v>Tunai</v>
      </c>
      <c r="K118" s="54" t="n">
        <v>3570900</v>
      </c>
      <c r="L118" s="51" t="n">
        <v>45686</v>
      </c>
      <c r="M118" s="52" t="n">
        <f aca="false">F118-K118</f>
        <v>0</v>
      </c>
      <c r="N118" s="39" t="str">
        <f aca="false">IF(M118&lt;=0,"Lunas",IF(K118&gt;0,"Sebagian","Belum Bayar"))</f>
        <v>Lunas</v>
      </c>
      <c r="O118" s="39" t="n">
        <f aca="false">IF(M118&gt;0,MAX(0,Catatan!$B$3-H118),0)</f>
        <v>0</v>
      </c>
      <c r="P118" s="39" t="str">
        <f aca="false">IF(M118&lt;=0,"Lunas",IF(Catatan!$B$3&lt;=H118,"Belum Jatuh Tempo",IF(O118&lt;=30,"1-30 hari",IF(O118&lt;=60,"31-60 hari",IF(O118&lt;=90,"61-90 hari","90+ hari")))))</f>
        <v>Lunas</v>
      </c>
      <c r="Q118" s="50"/>
      <c r="R118" s="39" t="str">
        <f aca="false">IF(M118&lt;=0,"",IF(O118&gt;60,"1-Tinggi",IF(O118&gt;30,"2-Sedang",IF(O118&gt;0,"3-Rendah","4-Pantau"))))</f>
        <v/>
      </c>
      <c r="S118" s="39" t="str">
        <f aca="false">IF(AND(M118&gt;0,O118&gt;0),O118+M118/1000000000000+ROW()/1000000000000000,"")</f>
        <v/>
      </c>
      <c r="T118" s="39" t="str">
        <f aca="false">IF(J118="Belum ditukar",ROW(),"")</f>
        <v/>
      </c>
    </row>
    <row r="119" customFormat="false" ht="15" hidden="false" customHeight="false" outlineLevel="0" collapsed="false">
      <c r="A119" s="50" t="s">
        <v>343</v>
      </c>
      <c r="B119" s="51" t="n">
        <v>45686</v>
      </c>
      <c r="C119" s="50" t="s">
        <v>166</v>
      </c>
      <c r="D119" s="39" t="str">
        <f aca="false">INDEX(Master_Customer!$B$2:$B$126,MATCH(C119,Master_Customer!$A$2:$A$126,0))</f>
        <v>SENTOSA SERVICE</v>
      </c>
      <c r="E119" s="50" t="s">
        <v>30</v>
      </c>
      <c r="F119" s="52" t="n">
        <f aca="false">SUMIFS(Data_Penjualan!$G$2:$G$5998,Data_Penjualan!$A$2:$A$5998,A119)</f>
        <v>12391000</v>
      </c>
      <c r="G119" s="39" t="n">
        <f aca="false">IF(E119="KANTOR",0,INDEX(Master_Customer!$C$2:$C$126,MATCH(C119,Master_Customer!$A$2:$A$126,0)))</f>
        <v>0</v>
      </c>
      <c r="H119" s="53" t="n">
        <f aca="false">B119+G119</f>
        <v>45686</v>
      </c>
      <c r="J119" s="39" t="str">
        <f aca="false">IF(G119=0,"Tunai",IF(I119="","Belum ditukar","Sudah ditukar"))</f>
        <v>Tunai</v>
      </c>
      <c r="K119" s="54" t="n">
        <v>12391000</v>
      </c>
      <c r="L119" s="51" t="n">
        <v>45686</v>
      </c>
      <c r="M119" s="52" t="n">
        <f aca="false">F119-K119</f>
        <v>0</v>
      </c>
      <c r="N119" s="39" t="str">
        <f aca="false">IF(M119&lt;=0,"Lunas",IF(K119&gt;0,"Sebagian","Belum Bayar"))</f>
        <v>Lunas</v>
      </c>
      <c r="O119" s="39" t="n">
        <f aca="false">IF(M119&gt;0,MAX(0,Catatan!$B$3-H119),0)</f>
        <v>0</v>
      </c>
      <c r="P119" s="39" t="str">
        <f aca="false">IF(M119&lt;=0,"Lunas",IF(Catatan!$B$3&lt;=H119,"Belum Jatuh Tempo",IF(O119&lt;=30,"1-30 hari",IF(O119&lt;=60,"31-60 hari",IF(O119&lt;=90,"61-90 hari","90+ hari")))))</f>
        <v>Lunas</v>
      </c>
      <c r="Q119" s="50"/>
      <c r="R119" s="39" t="str">
        <f aca="false">IF(M119&lt;=0,"",IF(O119&gt;60,"1-Tinggi",IF(O119&gt;30,"2-Sedang",IF(O119&gt;0,"3-Rendah","4-Pantau"))))</f>
        <v/>
      </c>
      <c r="S119" s="39" t="str">
        <f aca="false">IF(AND(M119&gt;0,O119&gt;0),O119+M119/1000000000000+ROW()/1000000000000000,"")</f>
        <v/>
      </c>
      <c r="T119" s="39" t="str">
        <f aca="false">IF(J119="Belum ditukar",ROW(),"")</f>
        <v/>
      </c>
    </row>
    <row r="120" customFormat="false" ht="15" hidden="false" customHeight="false" outlineLevel="0" collapsed="false">
      <c r="A120" s="50" t="s">
        <v>344</v>
      </c>
      <c r="B120" s="51" t="n">
        <v>45686</v>
      </c>
      <c r="C120" s="50" t="s">
        <v>174</v>
      </c>
      <c r="D120" s="39" t="str">
        <f aca="false">INDEX(Master_Customer!$B$2:$B$126,MATCH(C120,Master_Customer!$A$2:$A$126,0))</f>
        <v>SUMBER TEKNIK SURYA</v>
      </c>
      <c r="E120" s="50" t="s">
        <v>32</v>
      </c>
      <c r="F120" s="52" t="n">
        <f aca="false">SUMIFS(Data_Penjualan!$G$2:$G$5998,Data_Penjualan!$A$2:$A$5998,A120)</f>
        <v>7672200</v>
      </c>
      <c r="G120" s="39" t="n">
        <f aca="false">IF(E120="KANTOR",0,INDEX(Master_Customer!$C$2:$C$126,MATCH(C120,Master_Customer!$A$2:$A$126,0)))</f>
        <v>0</v>
      </c>
      <c r="H120" s="53" t="n">
        <f aca="false">B120+G120</f>
        <v>45686</v>
      </c>
      <c r="J120" s="39" t="str">
        <f aca="false">IF(G120=0,"Tunai",IF(I120="","Belum ditukar","Sudah ditukar"))</f>
        <v>Tunai</v>
      </c>
      <c r="K120" s="54" t="n">
        <v>7672200</v>
      </c>
      <c r="L120" s="51" t="n">
        <v>45687</v>
      </c>
      <c r="M120" s="52" t="n">
        <f aca="false">F120-K120</f>
        <v>0</v>
      </c>
      <c r="N120" s="39" t="str">
        <f aca="false">IF(M120&lt;=0,"Lunas",IF(K120&gt;0,"Sebagian","Belum Bayar"))</f>
        <v>Lunas</v>
      </c>
      <c r="O120" s="39" t="n">
        <f aca="false">IF(M120&gt;0,MAX(0,Catatan!$B$3-H120),0)</f>
        <v>0</v>
      </c>
      <c r="P120" s="39" t="str">
        <f aca="false">IF(M120&lt;=0,"Lunas",IF(Catatan!$B$3&lt;=H120,"Belum Jatuh Tempo",IF(O120&lt;=30,"1-30 hari",IF(O120&lt;=60,"31-60 hari",IF(O120&lt;=90,"61-90 hari","90+ hari")))))</f>
        <v>Lunas</v>
      </c>
      <c r="Q120" s="50"/>
      <c r="R120" s="39" t="str">
        <f aca="false">IF(M120&lt;=0,"",IF(O120&gt;60,"1-Tinggi",IF(O120&gt;30,"2-Sedang",IF(O120&gt;0,"3-Rendah","4-Pantau"))))</f>
        <v/>
      </c>
      <c r="S120" s="39" t="str">
        <f aca="false">IF(AND(M120&gt;0,O120&gt;0),O120+M120/1000000000000+ROW()/1000000000000000,"")</f>
        <v/>
      </c>
      <c r="T120" s="39" t="str">
        <f aca="false">IF(J120="Belum ditukar",ROW(),"")</f>
        <v/>
      </c>
    </row>
    <row r="121" customFormat="false" ht="15" hidden="false" customHeight="false" outlineLevel="0" collapsed="false">
      <c r="A121" s="50" t="s">
        <v>345</v>
      </c>
      <c r="B121" s="51" t="n">
        <v>45686</v>
      </c>
      <c r="C121" s="50" t="s">
        <v>199</v>
      </c>
      <c r="D121" s="39" t="str">
        <f aca="false">INDEX(Master_Customer!$B$2:$B$126,MATCH(C121,Master_Customer!$A$2:$A$126,0))</f>
        <v>KARYA SPAREPART</v>
      </c>
      <c r="E121" s="50" t="s">
        <v>29</v>
      </c>
      <c r="F121" s="52" t="n">
        <f aca="false">SUMIFS(Data_Penjualan!$G$2:$G$5998,Data_Penjualan!$A$2:$A$5998,A121)</f>
        <v>9425500</v>
      </c>
      <c r="G121" s="39" t="n">
        <f aca="false">IF(E121="KANTOR",0,INDEX(Master_Customer!$C$2:$C$126,MATCH(C121,Master_Customer!$A$2:$A$126,0)))</f>
        <v>45</v>
      </c>
      <c r="H121" s="53" t="n">
        <f aca="false">B121+G121</f>
        <v>45731</v>
      </c>
      <c r="I121" s="51" t="n">
        <v>45691</v>
      </c>
      <c r="J121" s="39" t="str">
        <f aca="false">IF(G121=0,"Tunai",IF(I121="","Belum ditukar","Sudah ditukar"))</f>
        <v>Sudah ditukar</v>
      </c>
      <c r="K121" s="54" t="n">
        <v>9425500</v>
      </c>
      <c r="L121" s="51" t="n">
        <v>45731</v>
      </c>
      <c r="M121" s="52" t="n">
        <f aca="false">F121-K121</f>
        <v>0</v>
      </c>
      <c r="N121" s="39" t="str">
        <f aca="false">IF(M121&lt;=0,"Lunas",IF(K121&gt;0,"Sebagian","Belum Bayar"))</f>
        <v>Lunas</v>
      </c>
      <c r="O121" s="39" t="n">
        <f aca="false">IF(M121&gt;0,MAX(0,Catatan!$B$3-H121),0)</f>
        <v>0</v>
      </c>
      <c r="P121" s="39" t="str">
        <f aca="false">IF(M121&lt;=0,"Lunas",IF(Catatan!$B$3&lt;=H121,"Belum Jatuh Tempo",IF(O121&lt;=30,"1-30 hari",IF(O121&lt;=60,"31-60 hari",IF(O121&lt;=90,"61-90 hari","90+ hari")))))</f>
        <v>Lunas</v>
      </c>
      <c r="Q121" s="50"/>
      <c r="R121" s="39" t="str">
        <f aca="false">IF(M121&lt;=0,"",IF(O121&gt;60,"1-Tinggi",IF(O121&gt;30,"2-Sedang",IF(O121&gt;0,"3-Rendah","4-Pantau"))))</f>
        <v/>
      </c>
      <c r="S121" s="39" t="str">
        <f aca="false">IF(AND(M121&gt;0,O121&gt;0),O121+M121/1000000000000+ROW()/1000000000000000,"")</f>
        <v/>
      </c>
      <c r="T121" s="39" t="str">
        <f aca="false">IF(J121="Belum ditukar",ROW(),"")</f>
        <v/>
      </c>
    </row>
    <row r="122" customFormat="false" ht="15" hidden="false" customHeight="false" outlineLevel="0" collapsed="false">
      <c r="A122" s="50" t="s">
        <v>346</v>
      </c>
      <c r="B122" s="51" t="n">
        <v>45686</v>
      </c>
      <c r="C122" s="50" t="s">
        <v>228</v>
      </c>
      <c r="D122" s="39" t="str">
        <f aca="false">INDEX(Master_Customer!$B$2:$B$126,MATCH(C122,Master_Customer!$A$2:$A$126,0))</f>
        <v>MAKMUR SERVICE JAYA</v>
      </c>
      <c r="E122" s="50" t="s">
        <v>29</v>
      </c>
      <c r="F122" s="52" t="n">
        <f aca="false">SUMIFS(Data_Penjualan!$G$2:$G$5998,Data_Penjualan!$A$2:$A$5998,A122)</f>
        <v>15012000</v>
      </c>
      <c r="G122" s="39" t="n">
        <f aca="false">IF(E122="KANTOR",0,INDEX(Master_Customer!$C$2:$C$126,MATCH(C122,Master_Customer!$A$2:$A$126,0)))</f>
        <v>30</v>
      </c>
      <c r="H122" s="53" t="n">
        <f aca="false">B122+G122</f>
        <v>45716</v>
      </c>
      <c r="I122" s="51" t="n">
        <v>45689</v>
      </c>
      <c r="J122" s="39" t="str">
        <f aca="false">IF(G122=0,"Tunai",IF(I122="","Belum ditukar","Sudah ditukar"))</f>
        <v>Sudah ditukar</v>
      </c>
      <c r="K122" s="54" t="n">
        <v>15012000</v>
      </c>
      <c r="L122" s="51" t="n">
        <v>45752</v>
      </c>
      <c r="M122" s="52" t="n">
        <f aca="false">F122-K122</f>
        <v>0</v>
      </c>
      <c r="N122" s="39" t="str">
        <f aca="false">IF(M122&lt;=0,"Lunas",IF(K122&gt;0,"Sebagian","Belum Bayar"))</f>
        <v>Lunas</v>
      </c>
      <c r="O122" s="39" t="n">
        <f aca="false">IF(M122&gt;0,MAX(0,Catatan!$B$3-H122),0)</f>
        <v>0</v>
      </c>
      <c r="P122" s="39" t="str">
        <f aca="false">IF(M122&lt;=0,"Lunas",IF(Catatan!$B$3&lt;=H122,"Belum Jatuh Tempo",IF(O122&lt;=30,"1-30 hari",IF(O122&lt;=60,"31-60 hari",IF(O122&lt;=90,"61-90 hari","90+ hari")))))</f>
        <v>Lunas</v>
      </c>
      <c r="Q122" s="50"/>
      <c r="R122" s="39" t="str">
        <f aca="false">IF(M122&lt;=0,"",IF(O122&gt;60,"1-Tinggi",IF(O122&gt;30,"2-Sedang",IF(O122&gt;0,"3-Rendah","4-Pantau"))))</f>
        <v/>
      </c>
      <c r="S122" s="39" t="str">
        <f aca="false">IF(AND(M122&gt;0,O122&gt;0),O122+M122/1000000000000+ROW()/1000000000000000,"")</f>
        <v/>
      </c>
      <c r="T122" s="39" t="str">
        <f aca="false">IF(J122="Belum ditukar",ROW(),"")</f>
        <v/>
      </c>
    </row>
    <row r="123" customFormat="false" ht="15" hidden="false" customHeight="false" outlineLevel="0" collapsed="false">
      <c r="A123" s="50" t="s">
        <v>347</v>
      </c>
      <c r="B123" s="51" t="n">
        <v>45686</v>
      </c>
      <c r="C123" s="50" t="s">
        <v>166</v>
      </c>
      <c r="D123" s="39" t="str">
        <f aca="false">INDEX(Master_Customer!$B$2:$B$126,MATCH(C123,Master_Customer!$A$2:$A$126,0))</f>
        <v>SENTOSA SERVICE</v>
      </c>
      <c r="E123" s="50" t="s">
        <v>30</v>
      </c>
      <c r="F123" s="52" t="n">
        <f aca="false">SUMIFS(Data_Penjualan!$G$2:$G$5998,Data_Penjualan!$A$2:$A$5998,A123)</f>
        <v>9488500</v>
      </c>
      <c r="G123" s="39" t="n">
        <f aca="false">IF(E123="KANTOR",0,INDEX(Master_Customer!$C$2:$C$126,MATCH(C123,Master_Customer!$A$2:$A$126,0)))</f>
        <v>0</v>
      </c>
      <c r="H123" s="53" t="n">
        <f aca="false">B123+G123</f>
        <v>45686</v>
      </c>
      <c r="J123" s="39" t="str">
        <f aca="false">IF(G123=0,"Tunai",IF(I123="","Belum ditukar","Sudah ditukar"))</f>
        <v>Tunai</v>
      </c>
      <c r="K123" s="54" t="n">
        <v>9488500</v>
      </c>
      <c r="L123" s="51" t="n">
        <v>45686</v>
      </c>
      <c r="M123" s="52" t="n">
        <f aca="false">F123-K123</f>
        <v>0</v>
      </c>
      <c r="N123" s="39" t="str">
        <f aca="false">IF(M123&lt;=0,"Lunas",IF(K123&gt;0,"Sebagian","Belum Bayar"))</f>
        <v>Lunas</v>
      </c>
      <c r="O123" s="39" t="n">
        <f aca="false">IF(M123&gt;0,MAX(0,Catatan!$B$3-H123),0)</f>
        <v>0</v>
      </c>
      <c r="P123" s="39" t="str">
        <f aca="false">IF(M123&lt;=0,"Lunas",IF(Catatan!$B$3&lt;=H123,"Belum Jatuh Tempo",IF(O123&lt;=30,"1-30 hari",IF(O123&lt;=60,"31-60 hari",IF(O123&lt;=90,"61-90 hari","90+ hari")))))</f>
        <v>Lunas</v>
      </c>
      <c r="Q123" s="50"/>
      <c r="R123" s="39" t="str">
        <f aca="false">IF(M123&lt;=0,"",IF(O123&gt;60,"1-Tinggi",IF(O123&gt;30,"2-Sedang",IF(O123&gt;0,"3-Rendah","4-Pantau"))))</f>
        <v/>
      </c>
      <c r="S123" s="39" t="str">
        <f aca="false">IF(AND(M123&gt;0,O123&gt;0),O123+M123/1000000000000+ROW()/1000000000000000,"")</f>
        <v/>
      </c>
      <c r="T123" s="39" t="str">
        <f aca="false">IF(J123="Belum ditukar",ROW(),"")</f>
        <v/>
      </c>
    </row>
    <row r="124" customFormat="false" ht="15" hidden="false" customHeight="false" outlineLevel="0" collapsed="false">
      <c r="A124" s="50" t="s">
        <v>348</v>
      </c>
      <c r="B124" s="51" t="n">
        <v>45687</v>
      </c>
      <c r="C124" s="50" t="s">
        <v>349</v>
      </c>
      <c r="D124" s="39" t="str">
        <f aca="false">INDEX(Master_Customer!$B$2:$B$126,MATCH(C124,Master_Customer!$A$2:$A$126,0))</f>
        <v>MITRA GARAGE MULIA</v>
      </c>
      <c r="E124" s="50" t="s">
        <v>28</v>
      </c>
      <c r="F124" s="52" t="n">
        <f aca="false">SUMIFS(Data_Penjualan!$G$2:$G$5998,Data_Penjualan!$A$2:$A$5998,A124)</f>
        <v>9885200</v>
      </c>
      <c r="G124" s="39" t="n">
        <f aca="false">IF(E124="KANTOR",0,INDEX(Master_Customer!$C$2:$C$126,MATCH(C124,Master_Customer!$A$2:$A$126,0)))</f>
        <v>14</v>
      </c>
      <c r="H124" s="53" t="n">
        <f aca="false">B124+G124</f>
        <v>45701</v>
      </c>
      <c r="I124" s="51" t="n">
        <v>45689</v>
      </c>
      <c r="J124" s="39" t="str">
        <f aca="false">IF(G124=0,"Tunai",IF(I124="","Belum ditukar","Sudah ditukar"))</f>
        <v>Sudah ditukar</v>
      </c>
      <c r="K124" s="54" t="n">
        <v>9885200</v>
      </c>
      <c r="L124" s="51" t="n">
        <v>45749</v>
      </c>
      <c r="M124" s="52" t="n">
        <f aca="false">F124-K124</f>
        <v>0</v>
      </c>
      <c r="N124" s="39" t="str">
        <f aca="false">IF(M124&lt;=0,"Lunas",IF(K124&gt;0,"Sebagian","Belum Bayar"))</f>
        <v>Lunas</v>
      </c>
      <c r="O124" s="39" t="n">
        <f aca="false">IF(M124&gt;0,MAX(0,Catatan!$B$3-H124),0)</f>
        <v>0</v>
      </c>
      <c r="P124" s="39" t="str">
        <f aca="false">IF(M124&lt;=0,"Lunas",IF(Catatan!$B$3&lt;=H124,"Belum Jatuh Tempo",IF(O124&lt;=30,"1-30 hari",IF(O124&lt;=60,"31-60 hari",IF(O124&lt;=90,"61-90 hari","90+ hari")))))</f>
        <v>Lunas</v>
      </c>
      <c r="Q124" s="50"/>
      <c r="R124" s="39" t="str">
        <f aca="false">IF(M124&lt;=0,"",IF(O124&gt;60,"1-Tinggi",IF(O124&gt;30,"2-Sedang",IF(O124&gt;0,"3-Rendah","4-Pantau"))))</f>
        <v/>
      </c>
      <c r="S124" s="39" t="str">
        <f aca="false">IF(AND(M124&gt;0,O124&gt;0),O124+M124/1000000000000+ROW()/1000000000000000,"")</f>
        <v/>
      </c>
      <c r="T124" s="39" t="str">
        <f aca="false">IF(J124="Belum ditukar",ROW(),"")</f>
        <v/>
      </c>
    </row>
    <row r="125" customFormat="false" ht="15" hidden="false" customHeight="false" outlineLevel="0" collapsed="false">
      <c r="A125" s="50" t="s">
        <v>350</v>
      </c>
      <c r="B125" s="51" t="n">
        <v>45687</v>
      </c>
      <c r="C125" s="50" t="s">
        <v>228</v>
      </c>
      <c r="D125" s="39" t="str">
        <f aca="false">INDEX(Master_Customer!$B$2:$B$126,MATCH(C125,Master_Customer!$A$2:$A$126,0))</f>
        <v>MAKMUR SERVICE JAYA</v>
      </c>
      <c r="E125" s="50" t="s">
        <v>29</v>
      </c>
      <c r="F125" s="52" t="n">
        <f aca="false">SUMIFS(Data_Penjualan!$G$2:$G$5998,Data_Penjualan!$A$2:$A$5998,A125)</f>
        <v>19020000</v>
      </c>
      <c r="G125" s="39" t="n">
        <f aca="false">IF(E125="KANTOR",0,INDEX(Master_Customer!$C$2:$C$126,MATCH(C125,Master_Customer!$A$2:$A$126,0)))</f>
        <v>30</v>
      </c>
      <c r="H125" s="53" t="n">
        <f aca="false">B125+G125</f>
        <v>45717</v>
      </c>
      <c r="I125" s="51" t="n">
        <v>45688</v>
      </c>
      <c r="J125" s="39" t="str">
        <f aca="false">IF(G125=0,"Tunai",IF(I125="","Belum ditukar","Sudah ditukar"))</f>
        <v>Sudah ditukar</v>
      </c>
      <c r="K125" s="54" t="n">
        <v>19020000</v>
      </c>
      <c r="L125" s="51" t="n">
        <v>45758</v>
      </c>
      <c r="M125" s="52" t="n">
        <f aca="false">F125-K125</f>
        <v>0</v>
      </c>
      <c r="N125" s="39" t="str">
        <f aca="false">IF(M125&lt;=0,"Lunas",IF(K125&gt;0,"Sebagian","Belum Bayar"))</f>
        <v>Lunas</v>
      </c>
      <c r="O125" s="39" t="n">
        <f aca="false">IF(M125&gt;0,MAX(0,Catatan!$B$3-H125),0)</f>
        <v>0</v>
      </c>
      <c r="P125" s="39" t="str">
        <f aca="false">IF(M125&lt;=0,"Lunas",IF(Catatan!$B$3&lt;=H125,"Belum Jatuh Tempo",IF(O125&lt;=30,"1-30 hari",IF(O125&lt;=60,"31-60 hari",IF(O125&lt;=90,"61-90 hari","90+ hari")))))</f>
        <v>Lunas</v>
      </c>
      <c r="Q125" s="50"/>
      <c r="R125" s="39" t="str">
        <f aca="false">IF(M125&lt;=0,"",IF(O125&gt;60,"1-Tinggi",IF(O125&gt;30,"2-Sedang",IF(O125&gt;0,"3-Rendah","4-Pantau"))))</f>
        <v/>
      </c>
      <c r="S125" s="39" t="str">
        <f aca="false">IF(AND(M125&gt;0,O125&gt;0),O125+M125/1000000000000+ROW()/1000000000000000,"")</f>
        <v/>
      </c>
      <c r="T125" s="39" t="str">
        <f aca="false">IF(J125="Belum ditukar",ROW(),"")</f>
        <v/>
      </c>
    </row>
    <row r="126" customFormat="false" ht="15" hidden="false" customHeight="false" outlineLevel="0" collapsed="false">
      <c r="A126" s="50" t="s">
        <v>351</v>
      </c>
      <c r="B126" s="51" t="n">
        <v>45687</v>
      </c>
      <c r="C126" s="50" t="s">
        <v>199</v>
      </c>
      <c r="D126" s="39" t="str">
        <f aca="false">INDEX(Master_Customer!$B$2:$B$126,MATCH(C126,Master_Customer!$A$2:$A$126,0))</f>
        <v>KARYA SPAREPART</v>
      </c>
      <c r="E126" s="50" t="s">
        <v>29</v>
      </c>
      <c r="F126" s="52" t="n">
        <f aca="false">SUMIFS(Data_Penjualan!$G$2:$G$5998,Data_Penjualan!$A$2:$A$5998,A126)</f>
        <v>13788400</v>
      </c>
      <c r="G126" s="39" t="n">
        <f aca="false">IF(E126="KANTOR",0,INDEX(Master_Customer!$C$2:$C$126,MATCH(C126,Master_Customer!$A$2:$A$126,0)))</f>
        <v>45</v>
      </c>
      <c r="H126" s="53" t="n">
        <f aca="false">B126+G126</f>
        <v>45732</v>
      </c>
      <c r="I126" s="51" t="n">
        <v>45692</v>
      </c>
      <c r="J126" s="39" t="str">
        <f aca="false">IF(G126=0,"Tunai",IF(I126="","Belum ditukar","Sudah ditukar"))</f>
        <v>Sudah ditukar</v>
      </c>
      <c r="K126" s="54" t="n">
        <v>13788400</v>
      </c>
      <c r="L126" s="51" t="n">
        <v>45732</v>
      </c>
      <c r="M126" s="52" t="n">
        <f aca="false">F126-K126</f>
        <v>0</v>
      </c>
      <c r="N126" s="39" t="str">
        <f aca="false">IF(M126&lt;=0,"Lunas",IF(K126&gt;0,"Sebagian","Belum Bayar"))</f>
        <v>Lunas</v>
      </c>
      <c r="O126" s="39" t="n">
        <f aca="false">IF(M126&gt;0,MAX(0,Catatan!$B$3-H126),0)</f>
        <v>0</v>
      </c>
      <c r="P126" s="39" t="str">
        <f aca="false">IF(M126&lt;=0,"Lunas",IF(Catatan!$B$3&lt;=H126,"Belum Jatuh Tempo",IF(O126&lt;=30,"1-30 hari",IF(O126&lt;=60,"31-60 hari",IF(O126&lt;=90,"61-90 hari","90+ hari")))))</f>
        <v>Lunas</v>
      </c>
      <c r="Q126" s="50"/>
      <c r="R126" s="39" t="str">
        <f aca="false">IF(M126&lt;=0,"",IF(O126&gt;60,"1-Tinggi",IF(O126&gt;30,"2-Sedang",IF(O126&gt;0,"3-Rendah","4-Pantau"))))</f>
        <v/>
      </c>
      <c r="S126" s="39" t="str">
        <f aca="false">IF(AND(M126&gt;0,O126&gt;0),O126+M126/1000000000000+ROW()/1000000000000000,"")</f>
        <v/>
      </c>
      <c r="T126" s="39" t="str">
        <f aca="false">IF(J126="Belum ditukar",ROW(),"")</f>
        <v/>
      </c>
    </row>
    <row r="127" customFormat="false" ht="15" hidden="false" customHeight="false" outlineLevel="0" collapsed="false">
      <c r="A127" s="50" t="s">
        <v>352</v>
      </c>
      <c r="B127" s="51" t="n">
        <v>45687</v>
      </c>
      <c r="C127" s="50" t="s">
        <v>188</v>
      </c>
      <c r="D127" s="39" t="str">
        <f aca="false">INDEX(Master_Customer!$B$2:$B$126,MATCH(C127,Master_Customer!$A$2:$A$126,0))</f>
        <v>MAJU GARAGE TIRTA</v>
      </c>
      <c r="E127" s="50" t="s">
        <v>31</v>
      </c>
      <c r="F127" s="52" t="n">
        <f aca="false">SUMIFS(Data_Penjualan!$G$2:$G$5998,Data_Penjualan!$A$2:$A$5998,A127)</f>
        <v>6408800</v>
      </c>
      <c r="G127" s="39" t="n">
        <f aca="false">IF(E127="KANTOR",0,INDEX(Master_Customer!$C$2:$C$126,MATCH(C127,Master_Customer!$A$2:$A$126,0)))</f>
        <v>45</v>
      </c>
      <c r="H127" s="53" t="n">
        <f aca="false">B127+G127</f>
        <v>45732</v>
      </c>
      <c r="I127" s="51" t="n">
        <v>45688</v>
      </c>
      <c r="J127" s="39" t="str">
        <f aca="false">IF(G127=0,"Tunai",IF(I127="","Belum ditukar","Sudah ditukar"))</f>
        <v>Sudah ditukar</v>
      </c>
      <c r="K127" s="54" t="n">
        <v>6408800</v>
      </c>
      <c r="L127" s="51" t="n">
        <v>45731</v>
      </c>
      <c r="M127" s="52" t="n">
        <f aca="false">F127-K127</f>
        <v>0</v>
      </c>
      <c r="N127" s="39" t="str">
        <f aca="false">IF(M127&lt;=0,"Lunas",IF(K127&gt;0,"Sebagian","Belum Bayar"))</f>
        <v>Lunas</v>
      </c>
      <c r="O127" s="39" t="n">
        <f aca="false">IF(M127&gt;0,MAX(0,Catatan!$B$3-H127),0)</f>
        <v>0</v>
      </c>
      <c r="P127" s="39" t="str">
        <f aca="false">IF(M127&lt;=0,"Lunas",IF(Catatan!$B$3&lt;=H127,"Belum Jatuh Tempo",IF(O127&lt;=30,"1-30 hari",IF(O127&lt;=60,"31-60 hari",IF(O127&lt;=90,"61-90 hari","90+ hari")))))</f>
        <v>Lunas</v>
      </c>
      <c r="Q127" s="50"/>
      <c r="R127" s="39" t="str">
        <f aca="false">IF(M127&lt;=0,"",IF(O127&gt;60,"1-Tinggi",IF(O127&gt;30,"2-Sedang",IF(O127&gt;0,"3-Rendah","4-Pantau"))))</f>
        <v/>
      </c>
      <c r="S127" s="39" t="str">
        <f aca="false">IF(AND(M127&gt;0,O127&gt;0),O127+M127/1000000000000+ROW()/1000000000000000,"")</f>
        <v/>
      </c>
      <c r="T127" s="39" t="str">
        <f aca="false">IF(J127="Belum ditukar",ROW(),"")</f>
        <v/>
      </c>
    </row>
    <row r="128" customFormat="false" ht="15" hidden="false" customHeight="false" outlineLevel="0" collapsed="false">
      <c r="A128" s="50" t="s">
        <v>353</v>
      </c>
      <c r="B128" s="51" t="n">
        <v>45687</v>
      </c>
      <c r="C128" s="50" t="s">
        <v>354</v>
      </c>
      <c r="D128" s="39" t="str">
        <f aca="false">INDEX(Master_Customer!$B$2:$B$126,MATCH(C128,Master_Customer!$A$2:$A$126,0))</f>
        <v>SUMBER SERVICE MAKMUR</v>
      </c>
      <c r="E128" s="50" t="s">
        <v>31</v>
      </c>
      <c r="F128" s="52" t="n">
        <f aca="false">SUMIFS(Data_Penjualan!$G$2:$G$5998,Data_Penjualan!$A$2:$A$5998,A128)</f>
        <v>5613900</v>
      </c>
      <c r="G128" s="39" t="n">
        <f aca="false">IF(E128="KANTOR",0,INDEX(Master_Customer!$C$2:$C$126,MATCH(C128,Master_Customer!$A$2:$A$126,0)))</f>
        <v>30</v>
      </c>
      <c r="H128" s="53" t="n">
        <f aca="false">B128+G128</f>
        <v>45717</v>
      </c>
      <c r="I128" s="51" t="n">
        <v>45690</v>
      </c>
      <c r="J128" s="39" t="str">
        <f aca="false">IF(G128=0,"Tunai",IF(I128="","Belum ditukar","Sudah ditukar"))</f>
        <v>Sudah ditukar</v>
      </c>
      <c r="K128" s="54" t="n">
        <v>5613900</v>
      </c>
      <c r="L128" s="51" t="n">
        <v>45720</v>
      </c>
      <c r="M128" s="52" t="n">
        <f aca="false">F128-K128</f>
        <v>0</v>
      </c>
      <c r="N128" s="39" t="str">
        <f aca="false">IF(M128&lt;=0,"Lunas",IF(K128&gt;0,"Sebagian","Belum Bayar"))</f>
        <v>Lunas</v>
      </c>
      <c r="O128" s="39" t="n">
        <f aca="false">IF(M128&gt;0,MAX(0,Catatan!$B$3-H128),0)</f>
        <v>0</v>
      </c>
      <c r="P128" s="39" t="str">
        <f aca="false">IF(M128&lt;=0,"Lunas",IF(Catatan!$B$3&lt;=H128,"Belum Jatuh Tempo",IF(O128&lt;=30,"1-30 hari",IF(O128&lt;=60,"31-60 hari",IF(O128&lt;=90,"61-90 hari","90+ hari")))))</f>
        <v>Lunas</v>
      </c>
      <c r="Q128" s="50"/>
      <c r="R128" s="39" t="str">
        <f aca="false">IF(M128&lt;=0,"",IF(O128&gt;60,"1-Tinggi",IF(O128&gt;30,"2-Sedang",IF(O128&gt;0,"3-Rendah","4-Pantau"))))</f>
        <v/>
      </c>
      <c r="S128" s="39" t="str">
        <f aca="false">IF(AND(M128&gt;0,O128&gt;0),O128+M128/1000000000000+ROW()/1000000000000000,"")</f>
        <v/>
      </c>
      <c r="T128" s="39" t="str">
        <f aca="false">IF(J128="Belum ditukar",ROW(),"")</f>
        <v/>
      </c>
    </row>
    <row r="129" customFormat="false" ht="15" hidden="false" customHeight="false" outlineLevel="0" collapsed="false">
      <c r="A129" s="50" t="s">
        <v>355</v>
      </c>
      <c r="B129" s="51" t="n">
        <v>45687</v>
      </c>
      <c r="C129" s="50" t="s">
        <v>223</v>
      </c>
      <c r="D129" s="39" t="str">
        <f aca="false">INDEX(Master_Customer!$B$2:$B$126,MATCH(C129,Master_Customer!$A$2:$A$126,0))</f>
        <v>ABADI AUTO UTAMA</v>
      </c>
      <c r="E129" s="50" t="s">
        <v>31</v>
      </c>
      <c r="F129" s="52" t="n">
        <f aca="false">SUMIFS(Data_Penjualan!$G$2:$G$5998,Data_Penjualan!$A$2:$A$5998,A129)</f>
        <v>9480700</v>
      </c>
      <c r="G129" s="39" t="n">
        <f aca="false">IF(E129="KANTOR",0,INDEX(Master_Customer!$C$2:$C$126,MATCH(C129,Master_Customer!$A$2:$A$126,0)))</f>
        <v>14</v>
      </c>
      <c r="H129" s="53" t="n">
        <f aca="false">B129+G129</f>
        <v>45701</v>
      </c>
      <c r="I129" s="51" t="n">
        <v>45688</v>
      </c>
      <c r="J129" s="39" t="str">
        <f aca="false">IF(G129=0,"Tunai",IF(I129="","Belum ditukar","Sudah ditukar"))</f>
        <v>Sudah ditukar</v>
      </c>
      <c r="K129" s="54" t="n">
        <v>9480700</v>
      </c>
      <c r="L129" s="51" t="n">
        <v>45744</v>
      </c>
      <c r="M129" s="52" t="n">
        <f aca="false">F129-K129</f>
        <v>0</v>
      </c>
      <c r="N129" s="39" t="str">
        <f aca="false">IF(M129&lt;=0,"Lunas",IF(K129&gt;0,"Sebagian","Belum Bayar"))</f>
        <v>Lunas</v>
      </c>
      <c r="O129" s="39" t="n">
        <f aca="false">IF(M129&gt;0,MAX(0,Catatan!$B$3-H129),0)</f>
        <v>0</v>
      </c>
      <c r="P129" s="39" t="str">
        <f aca="false">IF(M129&lt;=0,"Lunas",IF(Catatan!$B$3&lt;=H129,"Belum Jatuh Tempo",IF(O129&lt;=30,"1-30 hari",IF(O129&lt;=60,"31-60 hari",IF(O129&lt;=90,"61-90 hari","90+ hari")))))</f>
        <v>Lunas</v>
      </c>
      <c r="Q129" s="50"/>
      <c r="R129" s="39" t="str">
        <f aca="false">IF(M129&lt;=0,"",IF(O129&gt;60,"1-Tinggi",IF(O129&gt;30,"2-Sedang",IF(O129&gt;0,"3-Rendah","4-Pantau"))))</f>
        <v/>
      </c>
      <c r="S129" s="39" t="str">
        <f aca="false">IF(AND(M129&gt;0,O129&gt;0),O129+M129/1000000000000+ROW()/1000000000000000,"")</f>
        <v/>
      </c>
      <c r="T129" s="39" t="str">
        <f aca="false">IF(J129="Belum ditukar",ROW(),"")</f>
        <v/>
      </c>
    </row>
    <row r="130" customFormat="false" ht="15" hidden="false" customHeight="false" outlineLevel="0" collapsed="false">
      <c r="A130" s="50" t="s">
        <v>356</v>
      </c>
      <c r="B130" s="51" t="n">
        <v>45687</v>
      </c>
      <c r="C130" s="50" t="s">
        <v>216</v>
      </c>
      <c r="D130" s="39" t="str">
        <f aca="false">INDEX(Master_Customer!$B$2:$B$126,MATCH(C130,Master_Customer!$A$2:$A$126,0))</f>
        <v>SINAR MOTOR UTAMA</v>
      </c>
      <c r="E130" s="50" t="s">
        <v>30</v>
      </c>
      <c r="F130" s="52" t="n">
        <f aca="false">SUMIFS(Data_Penjualan!$G$2:$G$5998,Data_Penjualan!$A$2:$A$5998,A130)</f>
        <v>12467800</v>
      </c>
      <c r="G130" s="39" t="n">
        <f aca="false">IF(E130="KANTOR",0,INDEX(Master_Customer!$C$2:$C$126,MATCH(C130,Master_Customer!$A$2:$A$126,0)))</f>
        <v>0</v>
      </c>
      <c r="H130" s="53" t="n">
        <f aca="false">B130+G130</f>
        <v>45687</v>
      </c>
      <c r="J130" s="39" t="str">
        <f aca="false">IF(G130=0,"Tunai",IF(I130="","Belum ditukar","Sudah ditukar"))</f>
        <v>Tunai</v>
      </c>
      <c r="K130" s="54" t="n">
        <v>12467800</v>
      </c>
      <c r="L130" s="51" t="n">
        <v>45688</v>
      </c>
      <c r="M130" s="52" t="n">
        <f aca="false">F130-K130</f>
        <v>0</v>
      </c>
      <c r="N130" s="39" t="str">
        <f aca="false">IF(M130&lt;=0,"Lunas",IF(K130&gt;0,"Sebagian","Belum Bayar"))</f>
        <v>Lunas</v>
      </c>
      <c r="O130" s="39" t="n">
        <f aca="false">IF(M130&gt;0,MAX(0,Catatan!$B$3-H130),0)</f>
        <v>0</v>
      </c>
      <c r="P130" s="39" t="str">
        <f aca="false">IF(M130&lt;=0,"Lunas",IF(Catatan!$B$3&lt;=H130,"Belum Jatuh Tempo",IF(O130&lt;=30,"1-30 hari",IF(O130&lt;=60,"31-60 hari",IF(O130&lt;=90,"61-90 hari","90+ hari")))))</f>
        <v>Lunas</v>
      </c>
      <c r="Q130" s="50"/>
      <c r="R130" s="39" t="str">
        <f aca="false">IF(M130&lt;=0,"",IF(O130&gt;60,"1-Tinggi",IF(O130&gt;30,"2-Sedang",IF(O130&gt;0,"3-Rendah","4-Pantau"))))</f>
        <v/>
      </c>
      <c r="S130" s="39" t="str">
        <f aca="false">IF(AND(M130&gt;0,O130&gt;0),O130+M130/1000000000000+ROW()/1000000000000000,"")</f>
        <v/>
      </c>
      <c r="T130" s="39" t="str">
        <f aca="false">IF(J130="Belum ditukar",ROW(),"")</f>
        <v/>
      </c>
    </row>
    <row r="131" customFormat="false" ht="15" hidden="false" customHeight="false" outlineLevel="0" collapsed="false">
      <c r="A131" s="50" t="s">
        <v>357</v>
      </c>
      <c r="B131" s="51" t="n">
        <v>45687</v>
      </c>
      <c r="C131" s="50" t="s">
        <v>358</v>
      </c>
      <c r="D131" s="39" t="str">
        <f aca="false">INDEX(Master_Customer!$B$2:$B$126,MATCH(C131,Master_Customer!$A$2:$A$126,0))</f>
        <v>HARAPAN TEKNIK</v>
      </c>
      <c r="E131" s="50" t="s">
        <v>31</v>
      </c>
      <c r="F131" s="52" t="n">
        <f aca="false">SUMIFS(Data_Penjualan!$G$2:$G$5998,Data_Penjualan!$A$2:$A$5998,A131)</f>
        <v>11380900</v>
      </c>
      <c r="G131" s="39" t="n">
        <f aca="false">IF(E131="KANTOR",0,INDEX(Master_Customer!$C$2:$C$126,MATCH(C131,Master_Customer!$A$2:$A$126,0)))</f>
        <v>0</v>
      </c>
      <c r="H131" s="53" t="n">
        <f aca="false">B131+G131</f>
        <v>45687</v>
      </c>
      <c r="J131" s="39" t="str">
        <f aca="false">IF(G131=0,"Tunai",IF(I131="","Belum ditukar","Sudah ditukar"))</f>
        <v>Tunai</v>
      </c>
      <c r="K131" s="54" t="n">
        <v>11380900</v>
      </c>
      <c r="L131" s="51" t="n">
        <v>45687</v>
      </c>
      <c r="M131" s="52" t="n">
        <f aca="false">F131-K131</f>
        <v>0</v>
      </c>
      <c r="N131" s="39" t="str">
        <f aca="false">IF(M131&lt;=0,"Lunas",IF(K131&gt;0,"Sebagian","Belum Bayar"))</f>
        <v>Lunas</v>
      </c>
      <c r="O131" s="39" t="n">
        <f aca="false">IF(M131&gt;0,MAX(0,Catatan!$B$3-H131),0)</f>
        <v>0</v>
      </c>
      <c r="P131" s="39" t="str">
        <f aca="false">IF(M131&lt;=0,"Lunas",IF(Catatan!$B$3&lt;=H131,"Belum Jatuh Tempo",IF(O131&lt;=30,"1-30 hari",IF(O131&lt;=60,"31-60 hari",IF(O131&lt;=90,"61-90 hari","90+ hari")))))</f>
        <v>Lunas</v>
      </c>
      <c r="Q131" s="50"/>
      <c r="R131" s="39" t="str">
        <f aca="false">IF(M131&lt;=0,"",IF(O131&gt;60,"1-Tinggi",IF(O131&gt;30,"2-Sedang",IF(O131&gt;0,"3-Rendah","4-Pantau"))))</f>
        <v/>
      </c>
      <c r="S131" s="39" t="str">
        <f aca="false">IF(AND(M131&gt;0,O131&gt;0),O131+M131/1000000000000+ROW()/1000000000000000,"")</f>
        <v/>
      </c>
      <c r="T131" s="39" t="str">
        <f aca="false">IF(J131="Belum ditukar",ROW(),"")</f>
        <v/>
      </c>
    </row>
    <row r="132" customFormat="false" ht="15" hidden="false" customHeight="false" outlineLevel="0" collapsed="false">
      <c r="A132" s="50" t="s">
        <v>359</v>
      </c>
      <c r="B132" s="51" t="n">
        <v>45687</v>
      </c>
      <c r="C132" s="50" t="s">
        <v>216</v>
      </c>
      <c r="D132" s="39" t="str">
        <f aca="false">INDEX(Master_Customer!$B$2:$B$126,MATCH(C132,Master_Customer!$A$2:$A$126,0))</f>
        <v>SINAR MOTOR UTAMA</v>
      </c>
      <c r="E132" s="50" t="s">
        <v>30</v>
      </c>
      <c r="F132" s="52" t="n">
        <f aca="false">SUMIFS(Data_Penjualan!$G$2:$G$5998,Data_Penjualan!$A$2:$A$5998,A132)</f>
        <v>4546900</v>
      </c>
      <c r="G132" s="39" t="n">
        <f aca="false">IF(E132="KANTOR",0,INDEX(Master_Customer!$C$2:$C$126,MATCH(C132,Master_Customer!$A$2:$A$126,0)))</f>
        <v>0</v>
      </c>
      <c r="H132" s="53" t="n">
        <f aca="false">B132+G132</f>
        <v>45687</v>
      </c>
      <c r="J132" s="39" t="str">
        <f aca="false">IF(G132=0,"Tunai",IF(I132="","Belum ditukar","Sudah ditukar"))</f>
        <v>Tunai</v>
      </c>
      <c r="K132" s="54" t="n">
        <v>4546900</v>
      </c>
      <c r="L132" s="51" t="n">
        <v>45687</v>
      </c>
      <c r="M132" s="52" t="n">
        <f aca="false">F132-K132</f>
        <v>0</v>
      </c>
      <c r="N132" s="39" t="str">
        <f aca="false">IF(M132&lt;=0,"Lunas",IF(K132&gt;0,"Sebagian","Belum Bayar"))</f>
        <v>Lunas</v>
      </c>
      <c r="O132" s="39" t="n">
        <f aca="false">IF(M132&gt;0,MAX(0,Catatan!$B$3-H132),0)</f>
        <v>0</v>
      </c>
      <c r="P132" s="39" t="str">
        <f aca="false">IF(M132&lt;=0,"Lunas",IF(Catatan!$B$3&lt;=H132,"Belum Jatuh Tempo",IF(O132&lt;=30,"1-30 hari",IF(O132&lt;=60,"31-60 hari",IF(O132&lt;=90,"61-90 hari","90+ hari")))))</f>
        <v>Lunas</v>
      </c>
      <c r="Q132" s="50"/>
      <c r="R132" s="39" t="str">
        <f aca="false">IF(M132&lt;=0,"",IF(O132&gt;60,"1-Tinggi",IF(O132&gt;30,"2-Sedang",IF(O132&gt;0,"3-Rendah","4-Pantau"))))</f>
        <v/>
      </c>
      <c r="S132" s="39" t="str">
        <f aca="false">IF(AND(M132&gt;0,O132&gt;0),O132+M132/1000000000000+ROW()/1000000000000000,"")</f>
        <v/>
      </c>
      <c r="T132" s="39" t="str">
        <f aca="false">IF(J132="Belum ditukar",ROW(),"")</f>
        <v/>
      </c>
    </row>
    <row r="133" customFormat="false" ht="15" hidden="false" customHeight="false" outlineLevel="0" collapsed="false">
      <c r="A133" s="50" t="s">
        <v>360</v>
      </c>
      <c r="B133" s="51" t="n">
        <v>45687</v>
      </c>
      <c r="C133" s="50" t="s">
        <v>205</v>
      </c>
      <c r="D133" s="39" t="str">
        <f aca="false">INDEX(Master_Customer!$B$2:$B$126,MATCH(C133,Master_Customer!$A$2:$A$126,0))</f>
        <v>BERKAH OLI</v>
      </c>
      <c r="E133" s="50" t="s">
        <v>28</v>
      </c>
      <c r="F133" s="52" t="n">
        <f aca="false">SUMIFS(Data_Penjualan!$G$2:$G$5998,Data_Penjualan!$A$2:$A$5998,A133)</f>
        <v>4221200</v>
      </c>
      <c r="G133" s="39" t="n">
        <f aca="false">IF(E133="KANTOR",0,INDEX(Master_Customer!$C$2:$C$126,MATCH(C133,Master_Customer!$A$2:$A$126,0)))</f>
        <v>0</v>
      </c>
      <c r="H133" s="53" t="n">
        <f aca="false">B133+G133</f>
        <v>45687</v>
      </c>
      <c r="J133" s="39" t="str">
        <f aca="false">IF(G133=0,"Tunai",IF(I133="","Belum ditukar","Sudah ditukar"))</f>
        <v>Tunai</v>
      </c>
      <c r="K133" s="54" t="n">
        <v>4221200</v>
      </c>
      <c r="L133" s="51" t="n">
        <v>45687</v>
      </c>
      <c r="M133" s="52" t="n">
        <f aca="false">F133-K133</f>
        <v>0</v>
      </c>
      <c r="N133" s="39" t="str">
        <f aca="false">IF(M133&lt;=0,"Lunas",IF(K133&gt;0,"Sebagian","Belum Bayar"))</f>
        <v>Lunas</v>
      </c>
      <c r="O133" s="39" t="n">
        <f aca="false">IF(M133&gt;0,MAX(0,Catatan!$B$3-H133),0)</f>
        <v>0</v>
      </c>
      <c r="P133" s="39" t="str">
        <f aca="false">IF(M133&lt;=0,"Lunas",IF(Catatan!$B$3&lt;=H133,"Belum Jatuh Tempo",IF(O133&lt;=30,"1-30 hari",IF(O133&lt;=60,"31-60 hari",IF(O133&lt;=90,"61-90 hari","90+ hari")))))</f>
        <v>Lunas</v>
      </c>
      <c r="Q133" s="50"/>
      <c r="R133" s="39" t="str">
        <f aca="false">IF(M133&lt;=0,"",IF(O133&gt;60,"1-Tinggi",IF(O133&gt;30,"2-Sedang",IF(O133&gt;0,"3-Rendah","4-Pantau"))))</f>
        <v/>
      </c>
      <c r="S133" s="39" t="str">
        <f aca="false">IF(AND(M133&gt;0,O133&gt;0),O133+M133/1000000000000+ROW()/1000000000000000,"")</f>
        <v/>
      </c>
      <c r="T133" s="39" t="str">
        <f aca="false">IF(J133="Belum ditukar",ROW(),"")</f>
        <v/>
      </c>
    </row>
    <row r="134" customFormat="false" ht="15" hidden="false" customHeight="false" outlineLevel="0" collapsed="false">
      <c r="A134" s="50" t="s">
        <v>361</v>
      </c>
      <c r="B134" s="51" t="n">
        <v>45687</v>
      </c>
      <c r="C134" s="50" t="s">
        <v>247</v>
      </c>
      <c r="D134" s="39" t="str">
        <f aca="false">INDEX(Master_Customer!$B$2:$B$126,MATCH(C134,Master_Customer!$A$2:$A$126,0))</f>
        <v>BINTANG LUBRICANT SURYA</v>
      </c>
      <c r="E134" s="50" t="s">
        <v>32</v>
      </c>
      <c r="F134" s="52" t="n">
        <f aca="false">SUMIFS(Data_Penjualan!$G$2:$G$5998,Data_Penjualan!$A$2:$A$5998,A134)</f>
        <v>25199700</v>
      </c>
      <c r="G134" s="39" t="n">
        <f aca="false">IF(E134="KANTOR",0,INDEX(Master_Customer!$C$2:$C$126,MATCH(C134,Master_Customer!$A$2:$A$126,0)))</f>
        <v>0</v>
      </c>
      <c r="H134" s="53" t="n">
        <f aca="false">B134+G134</f>
        <v>45687</v>
      </c>
      <c r="J134" s="39" t="str">
        <f aca="false">IF(G134=0,"Tunai",IF(I134="","Belum ditukar","Sudah ditukar"))</f>
        <v>Tunai</v>
      </c>
      <c r="K134" s="54" t="n">
        <v>25199700</v>
      </c>
      <c r="L134" s="51" t="n">
        <v>45687</v>
      </c>
      <c r="M134" s="52" t="n">
        <f aca="false">F134-K134</f>
        <v>0</v>
      </c>
      <c r="N134" s="39" t="str">
        <f aca="false">IF(M134&lt;=0,"Lunas",IF(K134&gt;0,"Sebagian","Belum Bayar"))</f>
        <v>Lunas</v>
      </c>
      <c r="O134" s="39" t="n">
        <f aca="false">IF(M134&gt;0,MAX(0,Catatan!$B$3-H134),0)</f>
        <v>0</v>
      </c>
      <c r="P134" s="39" t="str">
        <f aca="false">IF(M134&lt;=0,"Lunas",IF(Catatan!$B$3&lt;=H134,"Belum Jatuh Tempo",IF(O134&lt;=30,"1-30 hari",IF(O134&lt;=60,"31-60 hari",IF(O134&lt;=90,"61-90 hari","90+ hari")))))</f>
        <v>Lunas</v>
      </c>
      <c r="Q134" s="50"/>
      <c r="R134" s="39" t="str">
        <f aca="false">IF(M134&lt;=0,"",IF(O134&gt;60,"1-Tinggi",IF(O134&gt;30,"2-Sedang",IF(O134&gt;0,"3-Rendah","4-Pantau"))))</f>
        <v/>
      </c>
      <c r="S134" s="39" t="str">
        <f aca="false">IF(AND(M134&gt;0,O134&gt;0),O134+M134/1000000000000+ROW()/1000000000000000,"")</f>
        <v/>
      </c>
      <c r="T134" s="39" t="str">
        <f aca="false">IF(J134="Belum ditukar",ROW(),"")</f>
        <v/>
      </c>
    </row>
    <row r="135" customFormat="false" ht="15" hidden="false" customHeight="false" outlineLevel="0" collapsed="false">
      <c r="A135" s="50" t="s">
        <v>362</v>
      </c>
      <c r="B135" s="51" t="n">
        <v>45687</v>
      </c>
      <c r="C135" s="50" t="s">
        <v>170</v>
      </c>
      <c r="D135" s="39" t="str">
        <f aca="false">INDEX(Master_Customer!$B$2:$B$126,MATCH(C135,Master_Customer!$A$2:$A$126,0))</f>
        <v>HARAPAN MOTOR</v>
      </c>
      <c r="E135" s="50" t="s">
        <v>32</v>
      </c>
      <c r="F135" s="52" t="n">
        <f aca="false">SUMIFS(Data_Penjualan!$G$2:$G$5998,Data_Penjualan!$A$2:$A$5998,A135)</f>
        <v>5846400</v>
      </c>
      <c r="G135" s="39" t="n">
        <f aca="false">IF(E135="KANTOR",0,INDEX(Master_Customer!$C$2:$C$126,MATCH(C135,Master_Customer!$A$2:$A$126,0)))</f>
        <v>0</v>
      </c>
      <c r="H135" s="53" t="n">
        <f aca="false">B135+G135</f>
        <v>45687</v>
      </c>
      <c r="J135" s="39" t="str">
        <f aca="false">IF(G135=0,"Tunai",IF(I135="","Belum ditukar","Sudah ditukar"))</f>
        <v>Tunai</v>
      </c>
      <c r="K135" s="54" t="n">
        <v>5846400</v>
      </c>
      <c r="L135" s="51" t="n">
        <v>45687</v>
      </c>
      <c r="M135" s="52" t="n">
        <f aca="false">F135-K135</f>
        <v>0</v>
      </c>
      <c r="N135" s="39" t="str">
        <f aca="false">IF(M135&lt;=0,"Lunas",IF(K135&gt;0,"Sebagian","Belum Bayar"))</f>
        <v>Lunas</v>
      </c>
      <c r="O135" s="39" t="n">
        <f aca="false">IF(M135&gt;0,MAX(0,Catatan!$B$3-H135),0)</f>
        <v>0</v>
      </c>
      <c r="P135" s="39" t="str">
        <f aca="false">IF(M135&lt;=0,"Lunas",IF(Catatan!$B$3&lt;=H135,"Belum Jatuh Tempo",IF(O135&lt;=30,"1-30 hari",IF(O135&lt;=60,"31-60 hari",IF(O135&lt;=90,"61-90 hari","90+ hari")))))</f>
        <v>Lunas</v>
      </c>
      <c r="Q135" s="50"/>
      <c r="R135" s="39" t="str">
        <f aca="false">IF(M135&lt;=0,"",IF(O135&gt;60,"1-Tinggi",IF(O135&gt;30,"2-Sedang",IF(O135&gt;0,"3-Rendah","4-Pantau"))))</f>
        <v/>
      </c>
      <c r="S135" s="39" t="str">
        <f aca="false">IF(AND(M135&gt;0,O135&gt;0),O135+M135/1000000000000+ROW()/1000000000000000,"")</f>
        <v/>
      </c>
      <c r="T135" s="39" t="str">
        <f aca="false">IF(J135="Belum ditukar",ROW(),"")</f>
        <v/>
      </c>
    </row>
    <row r="136" customFormat="false" ht="15" hidden="false" customHeight="false" outlineLevel="0" collapsed="false">
      <c r="A136" s="50" t="s">
        <v>363</v>
      </c>
      <c r="B136" s="51" t="n">
        <v>45688</v>
      </c>
      <c r="C136" s="50" t="s">
        <v>308</v>
      </c>
      <c r="D136" s="39" t="str">
        <f aca="false">INDEX(Master_Customer!$B$2:$B$126,MATCH(C136,Master_Customer!$A$2:$A$126,0))</f>
        <v>CAHAYA MOBIL</v>
      </c>
      <c r="E136" s="50" t="s">
        <v>31</v>
      </c>
      <c r="F136" s="52" t="n">
        <f aca="false">SUMIFS(Data_Penjualan!$G$2:$G$5998,Data_Penjualan!$A$2:$A$5998,A136)</f>
        <v>1612200</v>
      </c>
      <c r="G136" s="39" t="n">
        <f aca="false">IF(E136="KANTOR",0,INDEX(Master_Customer!$C$2:$C$126,MATCH(C136,Master_Customer!$A$2:$A$126,0)))</f>
        <v>14</v>
      </c>
      <c r="H136" s="53" t="n">
        <f aca="false">B136+G136</f>
        <v>45702</v>
      </c>
      <c r="I136" s="51" t="n">
        <v>45693</v>
      </c>
      <c r="J136" s="39" t="str">
        <f aca="false">IF(G136=0,"Tunai",IF(I136="","Belum ditukar","Sudah ditukar"))</f>
        <v>Sudah ditukar</v>
      </c>
      <c r="K136" s="54" t="n">
        <v>1612200</v>
      </c>
      <c r="L136" s="51" t="n">
        <v>45710</v>
      </c>
      <c r="M136" s="52" t="n">
        <f aca="false">F136-K136</f>
        <v>0</v>
      </c>
      <c r="N136" s="39" t="str">
        <f aca="false">IF(M136&lt;=0,"Lunas",IF(K136&gt;0,"Sebagian","Belum Bayar"))</f>
        <v>Lunas</v>
      </c>
      <c r="O136" s="39" t="n">
        <f aca="false">IF(M136&gt;0,MAX(0,Catatan!$B$3-H136),0)</f>
        <v>0</v>
      </c>
      <c r="P136" s="39" t="str">
        <f aca="false">IF(M136&lt;=0,"Lunas",IF(Catatan!$B$3&lt;=H136,"Belum Jatuh Tempo",IF(O136&lt;=30,"1-30 hari",IF(O136&lt;=60,"31-60 hari",IF(O136&lt;=90,"61-90 hari","90+ hari")))))</f>
        <v>Lunas</v>
      </c>
      <c r="Q136" s="50"/>
      <c r="R136" s="39" t="str">
        <f aca="false">IF(M136&lt;=0,"",IF(O136&gt;60,"1-Tinggi",IF(O136&gt;30,"2-Sedang",IF(O136&gt;0,"3-Rendah","4-Pantau"))))</f>
        <v/>
      </c>
      <c r="S136" s="39" t="str">
        <f aca="false">IF(AND(M136&gt;0,O136&gt;0),O136+M136/1000000000000+ROW()/1000000000000000,"")</f>
        <v/>
      </c>
      <c r="T136" s="39" t="str">
        <f aca="false">IF(J136="Belum ditukar",ROW(),"")</f>
        <v/>
      </c>
    </row>
    <row r="137" customFormat="false" ht="15" hidden="false" customHeight="false" outlineLevel="0" collapsed="false">
      <c r="A137" s="50" t="s">
        <v>364</v>
      </c>
      <c r="B137" s="51" t="n">
        <v>45688</v>
      </c>
      <c r="C137" s="50" t="s">
        <v>365</v>
      </c>
      <c r="D137" s="39" t="str">
        <f aca="false">INDEX(Master_Customer!$B$2:$B$126,MATCH(C137,Master_Customer!$A$2:$A$126,0))</f>
        <v>MAKMUR GARAGE</v>
      </c>
      <c r="E137" s="50" t="s">
        <v>28</v>
      </c>
      <c r="F137" s="52" t="n">
        <f aca="false">SUMIFS(Data_Penjualan!$G$2:$G$5998,Data_Penjualan!$A$2:$A$5998,A137)</f>
        <v>19488400</v>
      </c>
      <c r="G137" s="39" t="n">
        <f aca="false">IF(E137="KANTOR",0,INDEX(Master_Customer!$C$2:$C$126,MATCH(C137,Master_Customer!$A$2:$A$126,0)))</f>
        <v>14</v>
      </c>
      <c r="H137" s="53" t="n">
        <f aca="false">B137+G137</f>
        <v>45702</v>
      </c>
      <c r="I137" s="51" t="n">
        <v>45692</v>
      </c>
      <c r="J137" s="39" t="str">
        <f aca="false">IF(G137=0,"Tunai",IF(I137="","Belum ditukar","Sudah ditukar"))</f>
        <v>Sudah ditukar</v>
      </c>
      <c r="K137" s="54" t="n">
        <v>19488400</v>
      </c>
      <c r="L137" s="51" t="n">
        <v>45701</v>
      </c>
      <c r="M137" s="52" t="n">
        <f aca="false">F137-K137</f>
        <v>0</v>
      </c>
      <c r="N137" s="39" t="str">
        <f aca="false">IF(M137&lt;=0,"Lunas",IF(K137&gt;0,"Sebagian","Belum Bayar"))</f>
        <v>Lunas</v>
      </c>
      <c r="O137" s="39" t="n">
        <f aca="false">IF(M137&gt;0,MAX(0,Catatan!$B$3-H137),0)</f>
        <v>0</v>
      </c>
      <c r="P137" s="39" t="str">
        <f aca="false">IF(M137&lt;=0,"Lunas",IF(Catatan!$B$3&lt;=H137,"Belum Jatuh Tempo",IF(O137&lt;=30,"1-30 hari",IF(O137&lt;=60,"31-60 hari",IF(O137&lt;=90,"61-90 hari","90+ hari")))))</f>
        <v>Lunas</v>
      </c>
      <c r="Q137" s="50"/>
      <c r="R137" s="39" t="str">
        <f aca="false">IF(M137&lt;=0,"",IF(O137&gt;60,"1-Tinggi",IF(O137&gt;30,"2-Sedang",IF(O137&gt;0,"3-Rendah","4-Pantau"))))</f>
        <v/>
      </c>
      <c r="S137" s="39" t="str">
        <f aca="false">IF(AND(M137&gt;0,O137&gt;0),O137+M137/1000000000000+ROW()/1000000000000000,"")</f>
        <v/>
      </c>
      <c r="T137" s="39" t="str">
        <f aca="false">IF(J137="Belum ditukar",ROW(),"")</f>
        <v/>
      </c>
    </row>
    <row r="138" customFormat="false" ht="15" hidden="false" customHeight="false" outlineLevel="0" collapsed="false">
      <c r="A138" s="50" t="s">
        <v>366</v>
      </c>
      <c r="B138" s="51" t="n">
        <v>45688</v>
      </c>
      <c r="C138" s="50" t="s">
        <v>367</v>
      </c>
      <c r="D138" s="39" t="str">
        <f aca="false">INDEX(Master_Customer!$B$2:$B$126,MATCH(C138,Master_Customer!$A$2:$A$126,0))</f>
        <v>JAYA MOBIL SUMBER</v>
      </c>
      <c r="E138" s="50" t="s">
        <v>28</v>
      </c>
      <c r="F138" s="52" t="n">
        <f aca="false">SUMIFS(Data_Penjualan!$G$2:$G$5998,Data_Penjualan!$A$2:$A$5998,A138)</f>
        <v>11711400</v>
      </c>
      <c r="G138" s="39" t="n">
        <f aca="false">IF(E138="KANTOR",0,INDEX(Master_Customer!$C$2:$C$126,MATCH(C138,Master_Customer!$A$2:$A$126,0)))</f>
        <v>0</v>
      </c>
      <c r="H138" s="53" t="n">
        <f aca="false">B138+G138</f>
        <v>45688</v>
      </c>
      <c r="J138" s="39" t="str">
        <f aca="false">IF(G138=0,"Tunai",IF(I138="","Belum ditukar","Sudah ditukar"))</f>
        <v>Tunai</v>
      </c>
      <c r="K138" s="54" t="n">
        <v>11711400</v>
      </c>
      <c r="L138" s="51" t="n">
        <v>45688</v>
      </c>
      <c r="M138" s="52" t="n">
        <f aca="false">F138-K138</f>
        <v>0</v>
      </c>
      <c r="N138" s="39" t="str">
        <f aca="false">IF(M138&lt;=0,"Lunas",IF(K138&gt;0,"Sebagian","Belum Bayar"))</f>
        <v>Lunas</v>
      </c>
      <c r="O138" s="39" t="n">
        <f aca="false">IF(M138&gt;0,MAX(0,Catatan!$B$3-H138),0)</f>
        <v>0</v>
      </c>
      <c r="P138" s="39" t="str">
        <f aca="false">IF(M138&lt;=0,"Lunas",IF(Catatan!$B$3&lt;=H138,"Belum Jatuh Tempo",IF(O138&lt;=30,"1-30 hari",IF(O138&lt;=60,"31-60 hari",IF(O138&lt;=90,"61-90 hari","90+ hari")))))</f>
        <v>Lunas</v>
      </c>
      <c r="Q138" s="50"/>
      <c r="R138" s="39" t="str">
        <f aca="false">IF(M138&lt;=0,"",IF(O138&gt;60,"1-Tinggi",IF(O138&gt;30,"2-Sedang",IF(O138&gt;0,"3-Rendah","4-Pantau"))))</f>
        <v/>
      </c>
      <c r="S138" s="39" t="str">
        <f aca="false">IF(AND(M138&gt;0,O138&gt;0),O138+M138/1000000000000+ROW()/1000000000000000,"")</f>
        <v/>
      </c>
      <c r="T138" s="39" t="str">
        <f aca="false">IF(J138="Belum ditukar",ROW(),"")</f>
        <v/>
      </c>
    </row>
    <row r="139" customFormat="false" ht="15" hidden="false" customHeight="false" outlineLevel="0" collapsed="false">
      <c r="A139" s="50" t="s">
        <v>368</v>
      </c>
      <c r="B139" s="51" t="n">
        <v>45688</v>
      </c>
      <c r="C139" s="50" t="s">
        <v>369</v>
      </c>
      <c r="D139" s="39" t="str">
        <f aca="false">INDEX(Master_Customer!$B$2:$B$126,MATCH(C139,Master_Customer!$A$2:$A$126,0))</f>
        <v>UTAMA TEKNIK</v>
      </c>
      <c r="E139" s="50" t="s">
        <v>31</v>
      </c>
      <c r="F139" s="52" t="n">
        <f aca="false">SUMIFS(Data_Penjualan!$G$2:$G$5998,Data_Penjualan!$A$2:$A$5998,A139)</f>
        <v>13062800</v>
      </c>
      <c r="G139" s="39" t="n">
        <f aca="false">IF(E139="KANTOR",0,INDEX(Master_Customer!$C$2:$C$126,MATCH(C139,Master_Customer!$A$2:$A$126,0)))</f>
        <v>30</v>
      </c>
      <c r="H139" s="53" t="n">
        <f aca="false">B139+G139</f>
        <v>45718</v>
      </c>
      <c r="I139" s="51" t="n">
        <v>45692</v>
      </c>
      <c r="J139" s="39" t="str">
        <f aca="false">IF(G139=0,"Tunai",IF(I139="","Belum ditukar","Sudah ditukar"))</f>
        <v>Sudah ditukar</v>
      </c>
      <c r="K139" s="54" t="n">
        <v>13062800</v>
      </c>
      <c r="L139" s="51" t="n">
        <v>45730</v>
      </c>
      <c r="M139" s="52" t="n">
        <f aca="false">F139-K139</f>
        <v>0</v>
      </c>
      <c r="N139" s="39" t="str">
        <f aca="false">IF(M139&lt;=0,"Lunas",IF(K139&gt;0,"Sebagian","Belum Bayar"))</f>
        <v>Lunas</v>
      </c>
      <c r="O139" s="39" t="n">
        <f aca="false">IF(M139&gt;0,MAX(0,Catatan!$B$3-H139),0)</f>
        <v>0</v>
      </c>
      <c r="P139" s="39" t="str">
        <f aca="false">IF(M139&lt;=0,"Lunas",IF(Catatan!$B$3&lt;=H139,"Belum Jatuh Tempo",IF(O139&lt;=30,"1-30 hari",IF(O139&lt;=60,"31-60 hari",IF(O139&lt;=90,"61-90 hari","90+ hari")))))</f>
        <v>Lunas</v>
      </c>
      <c r="Q139" s="50"/>
      <c r="R139" s="39" t="str">
        <f aca="false">IF(M139&lt;=0,"",IF(O139&gt;60,"1-Tinggi",IF(O139&gt;30,"2-Sedang",IF(O139&gt;0,"3-Rendah","4-Pantau"))))</f>
        <v/>
      </c>
      <c r="S139" s="39" t="str">
        <f aca="false">IF(AND(M139&gt;0,O139&gt;0),O139+M139/1000000000000+ROW()/1000000000000000,"")</f>
        <v/>
      </c>
      <c r="T139" s="39" t="str">
        <f aca="false">IF(J139="Belum ditukar",ROW(),"")</f>
        <v/>
      </c>
    </row>
    <row r="140" customFormat="false" ht="15" hidden="false" customHeight="false" outlineLevel="0" collapsed="false">
      <c r="A140" s="50" t="s">
        <v>370</v>
      </c>
      <c r="B140" s="51" t="n">
        <v>45688</v>
      </c>
      <c r="C140" s="50" t="s">
        <v>191</v>
      </c>
      <c r="D140" s="39" t="str">
        <f aca="false">INDEX(Master_Customer!$B$2:$B$126,MATCH(C140,Master_Customer!$A$2:$A$126,0))</f>
        <v>SINAR AUTO BERKAH</v>
      </c>
      <c r="E140" s="50" t="s">
        <v>30</v>
      </c>
      <c r="F140" s="52" t="n">
        <f aca="false">SUMIFS(Data_Penjualan!$G$2:$G$5998,Data_Penjualan!$A$2:$A$5998,A140)</f>
        <v>3658500</v>
      </c>
      <c r="G140" s="39" t="n">
        <f aca="false">IF(E140="KANTOR",0,INDEX(Master_Customer!$C$2:$C$126,MATCH(C140,Master_Customer!$A$2:$A$126,0)))</f>
        <v>30</v>
      </c>
      <c r="H140" s="53" t="n">
        <f aca="false">B140+G140</f>
        <v>45718</v>
      </c>
      <c r="I140" s="51" t="n">
        <v>45690</v>
      </c>
      <c r="J140" s="39" t="str">
        <f aca="false">IF(G140=0,"Tunai",IF(I140="","Belum ditukar","Sudah ditukar"))</f>
        <v>Sudah ditukar</v>
      </c>
      <c r="K140" s="54" t="n">
        <v>3658500</v>
      </c>
      <c r="L140" s="51" t="n">
        <v>45720</v>
      </c>
      <c r="M140" s="52" t="n">
        <f aca="false">F140-K140</f>
        <v>0</v>
      </c>
      <c r="N140" s="39" t="str">
        <f aca="false">IF(M140&lt;=0,"Lunas",IF(K140&gt;0,"Sebagian","Belum Bayar"))</f>
        <v>Lunas</v>
      </c>
      <c r="O140" s="39" t="n">
        <f aca="false">IF(M140&gt;0,MAX(0,Catatan!$B$3-H140),0)</f>
        <v>0</v>
      </c>
      <c r="P140" s="39" t="str">
        <f aca="false">IF(M140&lt;=0,"Lunas",IF(Catatan!$B$3&lt;=H140,"Belum Jatuh Tempo",IF(O140&lt;=30,"1-30 hari",IF(O140&lt;=60,"31-60 hari",IF(O140&lt;=90,"61-90 hari","90+ hari")))))</f>
        <v>Lunas</v>
      </c>
      <c r="Q140" s="50"/>
      <c r="R140" s="39" t="str">
        <f aca="false">IF(M140&lt;=0,"",IF(O140&gt;60,"1-Tinggi",IF(O140&gt;30,"2-Sedang",IF(O140&gt;0,"3-Rendah","4-Pantau"))))</f>
        <v/>
      </c>
      <c r="S140" s="39" t="str">
        <f aca="false">IF(AND(M140&gt;0,O140&gt;0),O140+M140/1000000000000+ROW()/1000000000000000,"")</f>
        <v/>
      </c>
      <c r="T140" s="39" t="str">
        <f aca="false">IF(J140="Belum ditukar",ROW(),"")</f>
        <v/>
      </c>
    </row>
    <row r="141" customFormat="false" ht="15" hidden="false" customHeight="false" outlineLevel="0" collapsed="false">
      <c r="A141" s="50" t="s">
        <v>371</v>
      </c>
      <c r="B141" s="51" t="n">
        <v>45688</v>
      </c>
      <c r="C141" s="50" t="s">
        <v>241</v>
      </c>
      <c r="D141" s="39" t="str">
        <f aca="false">INDEX(Master_Customer!$B$2:$B$126,MATCH(C141,Master_Customer!$A$2:$A$126,0))</f>
        <v>GEMILANG GARAGE TIRTA</v>
      </c>
      <c r="E141" s="50" t="s">
        <v>29</v>
      </c>
      <c r="F141" s="52" t="n">
        <f aca="false">SUMIFS(Data_Penjualan!$G$2:$G$5998,Data_Penjualan!$A$2:$A$5998,A141)</f>
        <v>16199800</v>
      </c>
      <c r="G141" s="39" t="n">
        <f aca="false">IF(E141="KANTOR",0,INDEX(Master_Customer!$C$2:$C$126,MATCH(C141,Master_Customer!$A$2:$A$126,0)))</f>
        <v>14</v>
      </c>
      <c r="H141" s="53" t="n">
        <f aca="false">B141+G141</f>
        <v>45702</v>
      </c>
      <c r="I141" s="51" t="n">
        <v>45692</v>
      </c>
      <c r="J141" s="39" t="str">
        <f aca="false">IF(G141=0,"Tunai",IF(I141="","Belum ditukar","Sudah ditukar"))</f>
        <v>Sudah ditukar</v>
      </c>
      <c r="K141" s="54" t="n">
        <v>16199800</v>
      </c>
      <c r="L141" s="51" t="n">
        <v>45702</v>
      </c>
      <c r="M141" s="52" t="n">
        <f aca="false">F141-K141</f>
        <v>0</v>
      </c>
      <c r="N141" s="39" t="str">
        <f aca="false">IF(M141&lt;=0,"Lunas",IF(K141&gt;0,"Sebagian","Belum Bayar"))</f>
        <v>Lunas</v>
      </c>
      <c r="O141" s="39" t="n">
        <f aca="false">IF(M141&gt;0,MAX(0,Catatan!$B$3-H141),0)</f>
        <v>0</v>
      </c>
      <c r="P141" s="39" t="str">
        <f aca="false">IF(M141&lt;=0,"Lunas",IF(Catatan!$B$3&lt;=H141,"Belum Jatuh Tempo",IF(O141&lt;=30,"1-30 hari",IF(O141&lt;=60,"31-60 hari",IF(O141&lt;=90,"61-90 hari","90+ hari")))))</f>
        <v>Lunas</v>
      </c>
      <c r="Q141" s="50"/>
      <c r="R141" s="39" t="str">
        <f aca="false">IF(M141&lt;=0,"",IF(O141&gt;60,"1-Tinggi",IF(O141&gt;30,"2-Sedang",IF(O141&gt;0,"3-Rendah","4-Pantau"))))</f>
        <v/>
      </c>
      <c r="S141" s="39" t="str">
        <f aca="false">IF(AND(M141&gt;0,O141&gt;0),O141+M141/1000000000000+ROW()/1000000000000000,"")</f>
        <v/>
      </c>
      <c r="T141" s="39" t="str">
        <f aca="false">IF(J141="Belum ditukar",ROW(),"")</f>
        <v/>
      </c>
    </row>
    <row r="142" customFormat="false" ht="15" hidden="false" customHeight="false" outlineLevel="0" collapsed="false">
      <c r="A142" s="50" t="s">
        <v>372</v>
      </c>
      <c r="B142" s="51" t="n">
        <v>45689</v>
      </c>
      <c r="C142" s="50" t="s">
        <v>373</v>
      </c>
      <c r="D142" s="39" t="str">
        <f aca="false">INDEX(Master_Customer!$B$2:$B$126,MATCH(C142,Master_Customer!$A$2:$A$126,0))</f>
        <v>BINTANG SPAREPART BERKAH</v>
      </c>
      <c r="E142" s="50" t="s">
        <v>29</v>
      </c>
      <c r="F142" s="52" t="n">
        <f aca="false">SUMIFS(Data_Penjualan!$G$2:$G$5998,Data_Penjualan!$A$2:$A$5998,A142)</f>
        <v>8530500</v>
      </c>
      <c r="G142" s="39" t="n">
        <f aca="false">IF(E142="KANTOR",0,INDEX(Master_Customer!$C$2:$C$126,MATCH(C142,Master_Customer!$A$2:$A$126,0)))</f>
        <v>14</v>
      </c>
      <c r="H142" s="53" t="n">
        <f aca="false">B142+G142</f>
        <v>45703</v>
      </c>
      <c r="I142" s="51" t="n">
        <v>45690</v>
      </c>
      <c r="J142" s="39" t="str">
        <f aca="false">IF(G142=0,"Tunai",IF(I142="","Belum ditukar","Sudah ditukar"))</f>
        <v>Sudah ditukar</v>
      </c>
      <c r="K142" s="54" t="n">
        <v>8530500</v>
      </c>
      <c r="L142" s="51" t="n">
        <v>45701</v>
      </c>
      <c r="M142" s="52" t="n">
        <f aca="false">F142-K142</f>
        <v>0</v>
      </c>
      <c r="N142" s="39" t="str">
        <f aca="false">IF(M142&lt;=0,"Lunas",IF(K142&gt;0,"Sebagian","Belum Bayar"))</f>
        <v>Lunas</v>
      </c>
      <c r="O142" s="39" t="n">
        <f aca="false">IF(M142&gt;0,MAX(0,Catatan!$B$3-H142),0)</f>
        <v>0</v>
      </c>
      <c r="P142" s="39" t="str">
        <f aca="false">IF(M142&lt;=0,"Lunas",IF(Catatan!$B$3&lt;=H142,"Belum Jatuh Tempo",IF(O142&lt;=30,"1-30 hari",IF(O142&lt;=60,"31-60 hari",IF(O142&lt;=90,"61-90 hari","90+ hari")))))</f>
        <v>Lunas</v>
      </c>
      <c r="Q142" s="50"/>
      <c r="R142" s="39" t="str">
        <f aca="false">IF(M142&lt;=0,"",IF(O142&gt;60,"1-Tinggi",IF(O142&gt;30,"2-Sedang",IF(O142&gt;0,"3-Rendah","4-Pantau"))))</f>
        <v/>
      </c>
      <c r="S142" s="39" t="str">
        <f aca="false">IF(AND(M142&gt;0,O142&gt;0),O142+M142/1000000000000+ROW()/1000000000000000,"")</f>
        <v/>
      </c>
      <c r="T142" s="39" t="str">
        <f aca="false">IF(J142="Belum ditukar",ROW(),"")</f>
        <v/>
      </c>
    </row>
    <row r="143" customFormat="false" ht="15" hidden="false" customHeight="false" outlineLevel="0" collapsed="false">
      <c r="A143" s="50" t="s">
        <v>374</v>
      </c>
      <c r="B143" s="51" t="n">
        <v>45689</v>
      </c>
      <c r="C143" s="50" t="s">
        <v>174</v>
      </c>
      <c r="D143" s="39" t="str">
        <f aca="false">INDEX(Master_Customer!$B$2:$B$126,MATCH(C143,Master_Customer!$A$2:$A$126,0))</f>
        <v>SUMBER TEKNIK SURYA</v>
      </c>
      <c r="E143" s="50" t="s">
        <v>31</v>
      </c>
      <c r="F143" s="52" t="n">
        <f aca="false">SUMIFS(Data_Penjualan!$G$2:$G$5998,Data_Penjualan!$A$2:$A$5998,A143)</f>
        <v>9787600</v>
      </c>
      <c r="G143" s="39" t="n">
        <f aca="false">IF(E143="KANTOR",0,INDEX(Master_Customer!$C$2:$C$126,MATCH(C143,Master_Customer!$A$2:$A$126,0)))</f>
        <v>30</v>
      </c>
      <c r="H143" s="53" t="n">
        <f aca="false">B143+G143</f>
        <v>45719</v>
      </c>
      <c r="I143" s="51" t="n">
        <v>45690</v>
      </c>
      <c r="J143" s="39" t="str">
        <f aca="false">IF(G143=0,"Tunai",IF(I143="","Belum ditukar","Sudah ditukar"))</f>
        <v>Sudah ditukar</v>
      </c>
      <c r="K143" s="54" t="n">
        <v>9787600</v>
      </c>
      <c r="L143" s="51" t="n">
        <v>45717</v>
      </c>
      <c r="M143" s="52" t="n">
        <f aca="false">F143-K143</f>
        <v>0</v>
      </c>
      <c r="N143" s="39" t="str">
        <f aca="false">IF(M143&lt;=0,"Lunas",IF(K143&gt;0,"Sebagian","Belum Bayar"))</f>
        <v>Lunas</v>
      </c>
      <c r="O143" s="39" t="n">
        <f aca="false">IF(M143&gt;0,MAX(0,Catatan!$B$3-H143),0)</f>
        <v>0</v>
      </c>
      <c r="P143" s="39" t="str">
        <f aca="false">IF(M143&lt;=0,"Lunas",IF(Catatan!$B$3&lt;=H143,"Belum Jatuh Tempo",IF(O143&lt;=30,"1-30 hari",IF(O143&lt;=60,"31-60 hari",IF(O143&lt;=90,"61-90 hari","90+ hari")))))</f>
        <v>Lunas</v>
      </c>
      <c r="Q143" s="50"/>
      <c r="R143" s="39" t="str">
        <f aca="false">IF(M143&lt;=0,"",IF(O143&gt;60,"1-Tinggi",IF(O143&gt;30,"2-Sedang",IF(O143&gt;0,"3-Rendah","4-Pantau"))))</f>
        <v/>
      </c>
      <c r="S143" s="39" t="str">
        <f aca="false">IF(AND(M143&gt;0,O143&gt;0),O143+M143/1000000000000+ROW()/1000000000000000,"")</f>
        <v/>
      </c>
      <c r="T143" s="39" t="str">
        <f aca="false">IF(J143="Belum ditukar",ROW(),"")</f>
        <v/>
      </c>
    </row>
    <row r="144" customFormat="false" ht="15" hidden="false" customHeight="false" outlineLevel="0" collapsed="false">
      <c r="A144" s="50" t="s">
        <v>375</v>
      </c>
      <c r="B144" s="51" t="n">
        <v>45689</v>
      </c>
      <c r="C144" s="50" t="s">
        <v>376</v>
      </c>
      <c r="D144" s="39" t="str">
        <f aca="false">INDEX(Master_Customer!$B$2:$B$126,MATCH(C144,Master_Customer!$A$2:$A$126,0))</f>
        <v>JAYA SPAREPART</v>
      </c>
      <c r="E144" s="50" t="s">
        <v>28</v>
      </c>
      <c r="F144" s="52" t="n">
        <f aca="false">SUMIFS(Data_Penjualan!$G$2:$G$5998,Data_Penjualan!$A$2:$A$5998,A144)</f>
        <v>31739500</v>
      </c>
      <c r="G144" s="39" t="n">
        <f aca="false">IF(E144="KANTOR",0,INDEX(Master_Customer!$C$2:$C$126,MATCH(C144,Master_Customer!$A$2:$A$126,0)))</f>
        <v>30</v>
      </c>
      <c r="H144" s="53" t="n">
        <f aca="false">B144+G144</f>
        <v>45719</v>
      </c>
      <c r="I144" s="51" t="n">
        <v>45690</v>
      </c>
      <c r="J144" s="39" t="str">
        <f aca="false">IF(G144=0,"Tunai",IF(I144="","Belum ditukar","Sudah ditukar"))</f>
        <v>Sudah ditukar</v>
      </c>
      <c r="K144" s="54" t="n">
        <v>31739500</v>
      </c>
      <c r="L144" s="51" t="n">
        <v>45742</v>
      </c>
      <c r="M144" s="52" t="n">
        <f aca="false">F144-K144</f>
        <v>0</v>
      </c>
      <c r="N144" s="39" t="str">
        <f aca="false">IF(M144&lt;=0,"Lunas",IF(K144&gt;0,"Sebagian","Belum Bayar"))</f>
        <v>Lunas</v>
      </c>
      <c r="O144" s="39" t="n">
        <f aca="false">IF(M144&gt;0,MAX(0,Catatan!$B$3-H144),0)</f>
        <v>0</v>
      </c>
      <c r="P144" s="39" t="str">
        <f aca="false">IF(M144&lt;=0,"Lunas",IF(Catatan!$B$3&lt;=H144,"Belum Jatuh Tempo",IF(O144&lt;=30,"1-30 hari",IF(O144&lt;=60,"31-60 hari",IF(O144&lt;=90,"61-90 hari","90+ hari")))))</f>
        <v>Lunas</v>
      </c>
      <c r="Q144" s="50"/>
      <c r="R144" s="39" t="str">
        <f aca="false">IF(M144&lt;=0,"",IF(O144&gt;60,"1-Tinggi",IF(O144&gt;30,"2-Sedang",IF(O144&gt;0,"3-Rendah","4-Pantau"))))</f>
        <v/>
      </c>
      <c r="S144" s="39" t="str">
        <f aca="false">IF(AND(M144&gt;0,O144&gt;0),O144+M144/1000000000000+ROW()/1000000000000000,"")</f>
        <v/>
      </c>
      <c r="T144" s="39" t="str">
        <f aca="false">IF(J144="Belum ditukar",ROW(),"")</f>
        <v/>
      </c>
    </row>
    <row r="145" customFormat="false" ht="15" hidden="false" customHeight="false" outlineLevel="0" collapsed="false">
      <c r="A145" s="50" t="s">
        <v>377</v>
      </c>
      <c r="B145" s="51" t="n">
        <v>45689</v>
      </c>
      <c r="C145" s="50" t="s">
        <v>367</v>
      </c>
      <c r="D145" s="39" t="str">
        <f aca="false">INDEX(Master_Customer!$B$2:$B$126,MATCH(C145,Master_Customer!$A$2:$A$126,0))</f>
        <v>JAYA MOBIL SUMBER</v>
      </c>
      <c r="E145" s="50" t="s">
        <v>32</v>
      </c>
      <c r="F145" s="52" t="n">
        <f aca="false">SUMIFS(Data_Penjualan!$G$2:$G$5998,Data_Penjualan!$A$2:$A$5998,A145)</f>
        <v>11951300</v>
      </c>
      <c r="G145" s="39" t="n">
        <f aca="false">IF(E145="KANTOR",0,INDEX(Master_Customer!$C$2:$C$126,MATCH(C145,Master_Customer!$A$2:$A$126,0)))</f>
        <v>0</v>
      </c>
      <c r="H145" s="53" t="n">
        <f aca="false">B145+G145</f>
        <v>45689</v>
      </c>
      <c r="J145" s="39" t="str">
        <f aca="false">IF(G145=0,"Tunai",IF(I145="","Belum ditukar","Sudah ditukar"))</f>
        <v>Tunai</v>
      </c>
      <c r="K145" s="54" t="n">
        <v>11951300</v>
      </c>
      <c r="L145" s="51" t="n">
        <v>45689</v>
      </c>
      <c r="M145" s="52" t="n">
        <f aca="false">F145-K145</f>
        <v>0</v>
      </c>
      <c r="N145" s="39" t="str">
        <f aca="false">IF(M145&lt;=0,"Lunas",IF(K145&gt;0,"Sebagian","Belum Bayar"))</f>
        <v>Lunas</v>
      </c>
      <c r="O145" s="39" t="n">
        <f aca="false">IF(M145&gt;0,MAX(0,Catatan!$B$3-H145),0)</f>
        <v>0</v>
      </c>
      <c r="P145" s="39" t="str">
        <f aca="false">IF(M145&lt;=0,"Lunas",IF(Catatan!$B$3&lt;=H145,"Belum Jatuh Tempo",IF(O145&lt;=30,"1-30 hari",IF(O145&lt;=60,"31-60 hari",IF(O145&lt;=90,"61-90 hari","90+ hari")))))</f>
        <v>Lunas</v>
      </c>
      <c r="Q145" s="50"/>
      <c r="R145" s="39" t="str">
        <f aca="false">IF(M145&lt;=0,"",IF(O145&gt;60,"1-Tinggi",IF(O145&gt;30,"2-Sedang",IF(O145&gt;0,"3-Rendah","4-Pantau"))))</f>
        <v/>
      </c>
      <c r="S145" s="39" t="str">
        <f aca="false">IF(AND(M145&gt;0,O145&gt;0),O145+M145/1000000000000+ROW()/1000000000000000,"")</f>
        <v/>
      </c>
      <c r="T145" s="39" t="str">
        <f aca="false">IF(J145="Belum ditukar",ROW(),"")</f>
        <v/>
      </c>
    </row>
    <row r="146" customFormat="false" ht="15" hidden="false" customHeight="false" outlineLevel="0" collapsed="false">
      <c r="A146" s="50" t="s">
        <v>378</v>
      </c>
      <c r="B146" s="51" t="n">
        <v>45689</v>
      </c>
      <c r="C146" s="50" t="s">
        <v>174</v>
      </c>
      <c r="D146" s="39" t="str">
        <f aca="false">INDEX(Master_Customer!$B$2:$B$126,MATCH(C146,Master_Customer!$A$2:$A$126,0))</f>
        <v>SUMBER TEKNIK SURYA</v>
      </c>
      <c r="E146" s="50" t="s">
        <v>31</v>
      </c>
      <c r="F146" s="52" t="n">
        <f aca="false">SUMIFS(Data_Penjualan!$G$2:$G$5998,Data_Penjualan!$A$2:$A$5998,A146)</f>
        <v>10275400</v>
      </c>
      <c r="G146" s="39" t="n">
        <f aca="false">IF(E146="KANTOR",0,INDEX(Master_Customer!$C$2:$C$126,MATCH(C146,Master_Customer!$A$2:$A$126,0)))</f>
        <v>30</v>
      </c>
      <c r="H146" s="53" t="n">
        <f aca="false">B146+G146</f>
        <v>45719</v>
      </c>
      <c r="I146" s="51" t="n">
        <v>45691</v>
      </c>
      <c r="J146" s="39" t="str">
        <f aca="false">IF(G146=0,"Tunai",IF(I146="","Belum ditukar","Sudah ditukar"))</f>
        <v>Sudah ditukar</v>
      </c>
      <c r="K146" s="54" t="n">
        <v>10275400</v>
      </c>
      <c r="L146" s="51" t="n">
        <v>45716</v>
      </c>
      <c r="M146" s="52" t="n">
        <f aca="false">F146-K146</f>
        <v>0</v>
      </c>
      <c r="N146" s="39" t="str">
        <f aca="false">IF(M146&lt;=0,"Lunas",IF(K146&gt;0,"Sebagian","Belum Bayar"))</f>
        <v>Lunas</v>
      </c>
      <c r="O146" s="39" t="n">
        <f aca="false">IF(M146&gt;0,MAX(0,Catatan!$B$3-H146),0)</f>
        <v>0</v>
      </c>
      <c r="P146" s="39" t="str">
        <f aca="false">IF(M146&lt;=0,"Lunas",IF(Catatan!$B$3&lt;=H146,"Belum Jatuh Tempo",IF(O146&lt;=30,"1-30 hari",IF(O146&lt;=60,"31-60 hari",IF(O146&lt;=90,"61-90 hari","90+ hari")))))</f>
        <v>Lunas</v>
      </c>
      <c r="Q146" s="50"/>
      <c r="R146" s="39" t="str">
        <f aca="false">IF(M146&lt;=0,"",IF(O146&gt;60,"1-Tinggi",IF(O146&gt;30,"2-Sedang",IF(O146&gt;0,"3-Rendah","4-Pantau"))))</f>
        <v/>
      </c>
      <c r="S146" s="39" t="str">
        <f aca="false">IF(AND(M146&gt;0,O146&gt;0),O146+M146/1000000000000+ROW()/1000000000000000,"")</f>
        <v/>
      </c>
      <c r="T146" s="39" t="str">
        <f aca="false">IF(J146="Belum ditukar",ROW(),"")</f>
        <v/>
      </c>
    </row>
    <row r="147" customFormat="false" ht="15" hidden="false" customHeight="false" outlineLevel="0" collapsed="false">
      <c r="A147" s="50" t="s">
        <v>379</v>
      </c>
      <c r="B147" s="51" t="n">
        <v>45689</v>
      </c>
      <c r="C147" s="50" t="s">
        <v>239</v>
      </c>
      <c r="D147" s="39" t="str">
        <f aca="false">INDEX(Master_Customer!$B$2:$B$126,MATCH(C147,Master_Customer!$A$2:$A$126,0))</f>
        <v>MAJU SPAREPART UTAMA</v>
      </c>
      <c r="E147" s="50" t="s">
        <v>31</v>
      </c>
      <c r="F147" s="52" t="n">
        <f aca="false">SUMIFS(Data_Penjualan!$G$2:$G$5998,Data_Penjualan!$A$2:$A$5998,A147)</f>
        <v>9749800</v>
      </c>
      <c r="G147" s="39" t="n">
        <f aca="false">IF(E147="KANTOR",0,INDEX(Master_Customer!$C$2:$C$126,MATCH(C147,Master_Customer!$A$2:$A$126,0)))</f>
        <v>30</v>
      </c>
      <c r="H147" s="53" t="n">
        <f aca="false">B147+G147</f>
        <v>45719</v>
      </c>
      <c r="I147" s="51" t="n">
        <v>45690</v>
      </c>
      <c r="J147" s="39" t="str">
        <f aca="false">IF(G147=0,"Tunai",IF(I147="","Belum ditukar","Sudah ditukar"))</f>
        <v>Sudah ditukar</v>
      </c>
      <c r="K147" s="54" t="n">
        <v>9749800</v>
      </c>
      <c r="L147" s="51" t="n">
        <v>45722</v>
      </c>
      <c r="M147" s="52" t="n">
        <f aca="false">F147-K147</f>
        <v>0</v>
      </c>
      <c r="N147" s="39" t="str">
        <f aca="false">IF(M147&lt;=0,"Lunas",IF(K147&gt;0,"Sebagian","Belum Bayar"))</f>
        <v>Lunas</v>
      </c>
      <c r="O147" s="39" t="n">
        <f aca="false">IF(M147&gt;0,MAX(0,Catatan!$B$3-H147),0)</f>
        <v>0</v>
      </c>
      <c r="P147" s="39" t="str">
        <f aca="false">IF(M147&lt;=0,"Lunas",IF(Catatan!$B$3&lt;=H147,"Belum Jatuh Tempo",IF(O147&lt;=30,"1-30 hari",IF(O147&lt;=60,"31-60 hari",IF(O147&lt;=90,"61-90 hari","90+ hari")))))</f>
        <v>Lunas</v>
      </c>
      <c r="Q147" s="50"/>
      <c r="R147" s="39" t="str">
        <f aca="false">IF(M147&lt;=0,"",IF(O147&gt;60,"1-Tinggi",IF(O147&gt;30,"2-Sedang",IF(O147&gt;0,"3-Rendah","4-Pantau"))))</f>
        <v/>
      </c>
      <c r="S147" s="39" t="str">
        <f aca="false">IF(AND(M147&gt;0,O147&gt;0),O147+M147/1000000000000+ROW()/1000000000000000,"")</f>
        <v/>
      </c>
      <c r="T147" s="39" t="str">
        <f aca="false">IF(J147="Belum ditukar",ROW(),"")</f>
        <v/>
      </c>
    </row>
    <row r="148" customFormat="false" ht="15" hidden="false" customHeight="false" outlineLevel="0" collapsed="false">
      <c r="A148" s="50" t="s">
        <v>380</v>
      </c>
      <c r="B148" s="51" t="n">
        <v>45689</v>
      </c>
      <c r="C148" s="50" t="s">
        <v>174</v>
      </c>
      <c r="D148" s="39" t="str">
        <f aca="false">INDEX(Master_Customer!$B$2:$B$126,MATCH(C148,Master_Customer!$A$2:$A$126,0))</f>
        <v>SUMBER TEKNIK SURYA</v>
      </c>
      <c r="E148" s="50" t="s">
        <v>31</v>
      </c>
      <c r="F148" s="52" t="n">
        <f aca="false">SUMIFS(Data_Penjualan!$G$2:$G$5998,Data_Penjualan!$A$2:$A$5998,A148)</f>
        <v>12398500</v>
      </c>
      <c r="G148" s="39" t="n">
        <f aca="false">IF(E148="KANTOR",0,INDEX(Master_Customer!$C$2:$C$126,MATCH(C148,Master_Customer!$A$2:$A$126,0)))</f>
        <v>30</v>
      </c>
      <c r="H148" s="53" t="n">
        <f aca="false">B148+G148</f>
        <v>45719</v>
      </c>
      <c r="I148" s="51" t="n">
        <v>45691</v>
      </c>
      <c r="J148" s="39" t="str">
        <f aca="false">IF(G148=0,"Tunai",IF(I148="","Belum ditukar","Sudah ditukar"))</f>
        <v>Sudah ditukar</v>
      </c>
      <c r="K148" s="54" t="n">
        <v>12398500</v>
      </c>
      <c r="L148" s="51" t="n">
        <v>45718</v>
      </c>
      <c r="M148" s="52" t="n">
        <f aca="false">F148-K148</f>
        <v>0</v>
      </c>
      <c r="N148" s="39" t="str">
        <f aca="false">IF(M148&lt;=0,"Lunas",IF(K148&gt;0,"Sebagian","Belum Bayar"))</f>
        <v>Lunas</v>
      </c>
      <c r="O148" s="39" t="n">
        <f aca="false">IF(M148&gt;0,MAX(0,Catatan!$B$3-H148),0)</f>
        <v>0</v>
      </c>
      <c r="P148" s="39" t="str">
        <f aca="false">IF(M148&lt;=0,"Lunas",IF(Catatan!$B$3&lt;=H148,"Belum Jatuh Tempo",IF(O148&lt;=30,"1-30 hari",IF(O148&lt;=60,"31-60 hari",IF(O148&lt;=90,"61-90 hari","90+ hari")))))</f>
        <v>Lunas</v>
      </c>
      <c r="Q148" s="50"/>
      <c r="R148" s="39" t="str">
        <f aca="false">IF(M148&lt;=0,"",IF(O148&gt;60,"1-Tinggi",IF(O148&gt;30,"2-Sedang",IF(O148&gt;0,"3-Rendah","4-Pantau"))))</f>
        <v/>
      </c>
      <c r="S148" s="39" t="str">
        <f aca="false">IF(AND(M148&gt;0,O148&gt;0),O148+M148/1000000000000+ROW()/1000000000000000,"")</f>
        <v/>
      </c>
      <c r="T148" s="39" t="str">
        <f aca="false">IF(J148="Belum ditukar",ROW(),"")</f>
        <v/>
      </c>
    </row>
    <row r="149" customFormat="false" ht="15" hidden="false" customHeight="false" outlineLevel="0" collapsed="false">
      <c r="A149" s="50" t="s">
        <v>381</v>
      </c>
      <c r="B149" s="51" t="n">
        <v>45689</v>
      </c>
      <c r="C149" s="50" t="s">
        <v>382</v>
      </c>
      <c r="D149" s="39" t="str">
        <f aca="false">INDEX(Master_Customer!$B$2:$B$126,MATCH(C149,Master_Customer!$A$2:$A$126,0))</f>
        <v>BERKAH SPAREPART</v>
      </c>
      <c r="E149" s="50" t="s">
        <v>29</v>
      </c>
      <c r="F149" s="52" t="n">
        <f aca="false">SUMIFS(Data_Penjualan!$G$2:$G$5998,Data_Penjualan!$A$2:$A$5998,A149)</f>
        <v>5381400</v>
      </c>
      <c r="G149" s="39" t="n">
        <f aca="false">IF(E149="KANTOR",0,INDEX(Master_Customer!$C$2:$C$126,MATCH(C149,Master_Customer!$A$2:$A$126,0)))</f>
        <v>30</v>
      </c>
      <c r="H149" s="53" t="n">
        <f aca="false">B149+G149</f>
        <v>45719</v>
      </c>
      <c r="I149" s="51" t="n">
        <v>45694</v>
      </c>
      <c r="J149" s="39" t="str">
        <f aca="false">IF(G149=0,"Tunai",IF(I149="","Belum ditukar","Sudah ditukar"))</f>
        <v>Sudah ditukar</v>
      </c>
      <c r="K149" s="54" t="n">
        <v>5381400</v>
      </c>
      <c r="L149" s="51" t="n">
        <v>45731</v>
      </c>
      <c r="M149" s="52" t="n">
        <f aca="false">F149-K149</f>
        <v>0</v>
      </c>
      <c r="N149" s="39" t="str">
        <f aca="false">IF(M149&lt;=0,"Lunas",IF(K149&gt;0,"Sebagian","Belum Bayar"))</f>
        <v>Lunas</v>
      </c>
      <c r="O149" s="39" t="n">
        <f aca="false">IF(M149&gt;0,MAX(0,Catatan!$B$3-H149),0)</f>
        <v>0</v>
      </c>
      <c r="P149" s="39" t="str">
        <f aca="false">IF(M149&lt;=0,"Lunas",IF(Catatan!$B$3&lt;=H149,"Belum Jatuh Tempo",IF(O149&lt;=30,"1-30 hari",IF(O149&lt;=60,"31-60 hari",IF(O149&lt;=90,"61-90 hari","90+ hari")))))</f>
        <v>Lunas</v>
      </c>
      <c r="Q149" s="50"/>
      <c r="R149" s="39" t="str">
        <f aca="false">IF(M149&lt;=0,"",IF(O149&gt;60,"1-Tinggi",IF(O149&gt;30,"2-Sedang",IF(O149&gt;0,"3-Rendah","4-Pantau"))))</f>
        <v/>
      </c>
      <c r="S149" s="39" t="str">
        <f aca="false">IF(AND(M149&gt;0,O149&gt;0),O149+M149/1000000000000+ROW()/1000000000000000,"")</f>
        <v/>
      </c>
      <c r="T149" s="39" t="str">
        <f aca="false">IF(J149="Belum ditukar",ROW(),"")</f>
        <v/>
      </c>
    </row>
    <row r="150" customFormat="false" ht="15" hidden="false" customHeight="false" outlineLevel="0" collapsed="false">
      <c r="A150" s="50" t="s">
        <v>383</v>
      </c>
      <c r="B150" s="51" t="n">
        <v>45691</v>
      </c>
      <c r="C150" s="50" t="s">
        <v>239</v>
      </c>
      <c r="D150" s="39" t="str">
        <f aca="false">INDEX(Master_Customer!$B$2:$B$126,MATCH(C150,Master_Customer!$A$2:$A$126,0))</f>
        <v>MAJU SPAREPART UTAMA</v>
      </c>
      <c r="E150" s="50" t="s">
        <v>31</v>
      </c>
      <c r="F150" s="52" t="n">
        <f aca="false">SUMIFS(Data_Penjualan!$G$2:$G$5998,Data_Penjualan!$A$2:$A$5998,A150)</f>
        <v>9417400</v>
      </c>
      <c r="G150" s="39" t="n">
        <f aca="false">IF(E150="KANTOR",0,INDEX(Master_Customer!$C$2:$C$126,MATCH(C150,Master_Customer!$A$2:$A$126,0)))</f>
        <v>30</v>
      </c>
      <c r="H150" s="53" t="n">
        <f aca="false">B150+G150</f>
        <v>45721</v>
      </c>
      <c r="I150" s="51" t="n">
        <v>45696</v>
      </c>
      <c r="J150" s="39" t="str">
        <f aca="false">IF(G150=0,"Tunai",IF(I150="","Belum ditukar","Sudah ditukar"))</f>
        <v>Sudah ditukar</v>
      </c>
      <c r="K150" s="54" t="n">
        <v>9417400</v>
      </c>
      <c r="L150" s="51" t="n">
        <v>45716</v>
      </c>
      <c r="M150" s="52" t="n">
        <f aca="false">F150-K150</f>
        <v>0</v>
      </c>
      <c r="N150" s="39" t="str">
        <f aca="false">IF(M150&lt;=0,"Lunas",IF(K150&gt;0,"Sebagian","Belum Bayar"))</f>
        <v>Lunas</v>
      </c>
      <c r="O150" s="39" t="n">
        <f aca="false">IF(M150&gt;0,MAX(0,Catatan!$B$3-H150),0)</f>
        <v>0</v>
      </c>
      <c r="P150" s="39" t="str">
        <f aca="false">IF(M150&lt;=0,"Lunas",IF(Catatan!$B$3&lt;=H150,"Belum Jatuh Tempo",IF(O150&lt;=30,"1-30 hari",IF(O150&lt;=60,"31-60 hari",IF(O150&lt;=90,"61-90 hari","90+ hari")))))</f>
        <v>Lunas</v>
      </c>
      <c r="Q150" s="50"/>
      <c r="R150" s="39" t="str">
        <f aca="false">IF(M150&lt;=0,"",IF(O150&gt;60,"1-Tinggi",IF(O150&gt;30,"2-Sedang",IF(O150&gt;0,"3-Rendah","4-Pantau"))))</f>
        <v/>
      </c>
      <c r="S150" s="39" t="str">
        <f aca="false">IF(AND(M150&gt;0,O150&gt;0),O150+M150/1000000000000+ROW()/1000000000000000,"")</f>
        <v/>
      </c>
      <c r="T150" s="39" t="str">
        <f aca="false">IF(J150="Belum ditukar",ROW(),"")</f>
        <v/>
      </c>
    </row>
    <row r="151" customFormat="false" ht="15" hidden="false" customHeight="false" outlineLevel="0" collapsed="false">
      <c r="A151" s="50" t="s">
        <v>384</v>
      </c>
      <c r="B151" s="51" t="n">
        <v>45691</v>
      </c>
      <c r="C151" s="50" t="s">
        <v>177</v>
      </c>
      <c r="D151" s="39" t="str">
        <f aca="false">INDEX(Master_Customer!$B$2:$B$126,MATCH(C151,Master_Customer!$A$2:$A$126,0))</f>
        <v>PRIMA MOTOR LANCAR</v>
      </c>
      <c r="E151" s="50" t="s">
        <v>29</v>
      </c>
      <c r="F151" s="52" t="n">
        <f aca="false">SUMIFS(Data_Penjualan!$G$2:$G$5998,Data_Penjualan!$A$2:$A$5998,A151)</f>
        <v>6703400</v>
      </c>
      <c r="G151" s="39" t="n">
        <f aca="false">IF(E151="KANTOR",0,INDEX(Master_Customer!$C$2:$C$126,MATCH(C151,Master_Customer!$A$2:$A$126,0)))</f>
        <v>14</v>
      </c>
      <c r="H151" s="53" t="n">
        <f aca="false">B151+G151</f>
        <v>45705</v>
      </c>
      <c r="I151" s="51" t="n">
        <v>45696</v>
      </c>
      <c r="J151" s="39" t="str">
        <f aca="false">IF(G151=0,"Tunai",IF(I151="","Belum ditukar","Sudah ditukar"))</f>
        <v>Sudah ditukar</v>
      </c>
      <c r="K151" s="54" t="n">
        <v>6703400</v>
      </c>
      <c r="L151" s="51" t="n">
        <v>45708</v>
      </c>
      <c r="M151" s="52" t="n">
        <f aca="false">F151-K151</f>
        <v>0</v>
      </c>
      <c r="N151" s="39" t="str">
        <f aca="false">IF(M151&lt;=0,"Lunas",IF(K151&gt;0,"Sebagian","Belum Bayar"))</f>
        <v>Lunas</v>
      </c>
      <c r="O151" s="39" t="n">
        <f aca="false">IF(M151&gt;0,MAX(0,Catatan!$B$3-H151),0)</f>
        <v>0</v>
      </c>
      <c r="P151" s="39" t="str">
        <f aca="false">IF(M151&lt;=0,"Lunas",IF(Catatan!$B$3&lt;=H151,"Belum Jatuh Tempo",IF(O151&lt;=30,"1-30 hari",IF(O151&lt;=60,"31-60 hari",IF(O151&lt;=90,"61-90 hari","90+ hari")))))</f>
        <v>Lunas</v>
      </c>
      <c r="Q151" s="50"/>
      <c r="R151" s="39" t="str">
        <f aca="false">IF(M151&lt;=0,"",IF(O151&gt;60,"1-Tinggi",IF(O151&gt;30,"2-Sedang",IF(O151&gt;0,"3-Rendah","4-Pantau"))))</f>
        <v/>
      </c>
      <c r="S151" s="39" t="str">
        <f aca="false">IF(AND(M151&gt;0,O151&gt;0),O151+M151/1000000000000+ROW()/1000000000000000,"")</f>
        <v/>
      </c>
      <c r="T151" s="39" t="str">
        <f aca="false">IF(J151="Belum ditukar",ROW(),"")</f>
        <v/>
      </c>
    </row>
    <row r="152" customFormat="false" ht="15" hidden="false" customHeight="false" outlineLevel="0" collapsed="false">
      <c r="A152" s="50" t="s">
        <v>385</v>
      </c>
      <c r="B152" s="51" t="n">
        <v>45691</v>
      </c>
      <c r="C152" s="50" t="s">
        <v>191</v>
      </c>
      <c r="D152" s="39" t="str">
        <f aca="false">INDEX(Master_Customer!$B$2:$B$126,MATCH(C152,Master_Customer!$A$2:$A$126,0))</f>
        <v>SINAR AUTO BERKAH</v>
      </c>
      <c r="E152" s="50" t="s">
        <v>30</v>
      </c>
      <c r="F152" s="52" t="n">
        <f aca="false">SUMIFS(Data_Penjualan!$G$2:$G$5998,Data_Penjualan!$A$2:$A$5998,A152)</f>
        <v>9873600</v>
      </c>
      <c r="G152" s="39" t="n">
        <f aca="false">IF(E152="KANTOR",0,INDEX(Master_Customer!$C$2:$C$126,MATCH(C152,Master_Customer!$A$2:$A$126,0)))</f>
        <v>30</v>
      </c>
      <c r="H152" s="53" t="n">
        <f aca="false">B152+G152</f>
        <v>45721</v>
      </c>
      <c r="I152" s="51" t="n">
        <v>45694</v>
      </c>
      <c r="J152" s="39" t="str">
        <f aca="false">IF(G152=0,"Tunai",IF(I152="","Belum ditukar","Sudah ditukar"))</f>
        <v>Sudah ditukar</v>
      </c>
      <c r="K152" s="54" t="n">
        <v>9873600</v>
      </c>
      <c r="L152" s="51" t="n">
        <v>45764</v>
      </c>
      <c r="M152" s="52" t="n">
        <f aca="false">F152-K152</f>
        <v>0</v>
      </c>
      <c r="N152" s="39" t="str">
        <f aca="false">IF(M152&lt;=0,"Lunas",IF(K152&gt;0,"Sebagian","Belum Bayar"))</f>
        <v>Lunas</v>
      </c>
      <c r="O152" s="39" t="n">
        <f aca="false">IF(M152&gt;0,MAX(0,Catatan!$B$3-H152),0)</f>
        <v>0</v>
      </c>
      <c r="P152" s="39" t="str">
        <f aca="false">IF(M152&lt;=0,"Lunas",IF(Catatan!$B$3&lt;=H152,"Belum Jatuh Tempo",IF(O152&lt;=30,"1-30 hari",IF(O152&lt;=60,"31-60 hari",IF(O152&lt;=90,"61-90 hari","90+ hari")))))</f>
        <v>Lunas</v>
      </c>
      <c r="Q152" s="50"/>
      <c r="R152" s="39" t="str">
        <f aca="false">IF(M152&lt;=0,"",IF(O152&gt;60,"1-Tinggi",IF(O152&gt;30,"2-Sedang",IF(O152&gt;0,"3-Rendah","4-Pantau"))))</f>
        <v/>
      </c>
      <c r="S152" s="39" t="str">
        <f aca="false">IF(AND(M152&gt;0,O152&gt;0),O152+M152/1000000000000+ROW()/1000000000000000,"")</f>
        <v/>
      </c>
      <c r="T152" s="39" t="str">
        <f aca="false">IF(J152="Belum ditukar",ROW(),"")</f>
        <v/>
      </c>
    </row>
    <row r="153" customFormat="false" ht="15" hidden="false" customHeight="false" outlineLevel="0" collapsed="false">
      <c r="A153" s="50" t="s">
        <v>386</v>
      </c>
      <c r="B153" s="51" t="n">
        <v>45691</v>
      </c>
      <c r="C153" s="50" t="s">
        <v>199</v>
      </c>
      <c r="D153" s="39" t="str">
        <f aca="false">INDEX(Master_Customer!$B$2:$B$126,MATCH(C153,Master_Customer!$A$2:$A$126,0))</f>
        <v>KARYA SPAREPART</v>
      </c>
      <c r="E153" s="50" t="s">
        <v>29</v>
      </c>
      <c r="F153" s="52" t="n">
        <f aca="false">SUMIFS(Data_Penjualan!$G$2:$G$5998,Data_Penjualan!$A$2:$A$5998,A153)</f>
        <v>7688200</v>
      </c>
      <c r="G153" s="39" t="n">
        <f aca="false">IF(E153="KANTOR",0,INDEX(Master_Customer!$C$2:$C$126,MATCH(C153,Master_Customer!$A$2:$A$126,0)))</f>
        <v>45</v>
      </c>
      <c r="H153" s="53" t="n">
        <f aca="false">B153+G153</f>
        <v>45736</v>
      </c>
      <c r="I153" s="51" t="n">
        <v>45695</v>
      </c>
      <c r="J153" s="39" t="str">
        <f aca="false">IF(G153=0,"Tunai",IF(I153="","Belum ditukar","Sudah ditukar"))</f>
        <v>Sudah ditukar</v>
      </c>
      <c r="K153" s="54" t="n">
        <v>7688200</v>
      </c>
      <c r="L153" s="51" t="n">
        <v>45737</v>
      </c>
      <c r="M153" s="52" t="n">
        <f aca="false">F153-K153</f>
        <v>0</v>
      </c>
      <c r="N153" s="39" t="str">
        <f aca="false">IF(M153&lt;=0,"Lunas",IF(K153&gt;0,"Sebagian","Belum Bayar"))</f>
        <v>Lunas</v>
      </c>
      <c r="O153" s="39" t="n">
        <f aca="false">IF(M153&gt;0,MAX(0,Catatan!$B$3-H153),0)</f>
        <v>0</v>
      </c>
      <c r="P153" s="39" t="str">
        <f aca="false">IF(M153&lt;=0,"Lunas",IF(Catatan!$B$3&lt;=H153,"Belum Jatuh Tempo",IF(O153&lt;=30,"1-30 hari",IF(O153&lt;=60,"31-60 hari",IF(O153&lt;=90,"61-90 hari","90+ hari")))))</f>
        <v>Lunas</v>
      </c>
      <c r="Q153" s="50"/>
      <c r="R153" s="39" t="str">
        <f aca="false">IF(M153&lt;=0,"",IF(O153&gt;60,"1-Tinggi",IF(O153&gt;30,"2-Sedang",IF(O153&gt;0,"3-Rendah","4-Pantau"))))</f>
        <v/>
      </c>
      <c r="S153" s="39" t="str">
        <f aca="false">IF(AND(M153&gt;0,O153&gt;0),O153+M153/1000000000000+ROW()/1000000000000000,"")</f>
        <v/>
      </c>
      <c r="T153" s="39" t="str">
        <f aca="false">IF(J153="Belum ditukar",ROW(),"")</f>
        <v/>
      </c>
    </row>
    <row r="154" customFormat="false" ht="15" hidden="false" customHeight="false" outlineLevel="0" collapsed="false">
      <c r="A154" s="50" t="s">
        <v>387</v>
      </c>
      <c r="B154" s="51" t="n">
        <v>45691</v>
      </c>
      <c r="C154" s="50" t="s">
        <v>205</v>
      </c>
      <c r="D154" s="39" t="str">
        <f aca="false">INDEX(Master_Customer!$B$2:$B$126,MATCH(C154,Master_Customer!$A$2:$A$126,0))</f>
        <v>BERKAH OLI</v>
      </c>
      <c r="E154" s="50" t="s">
        <v>28</v>
      </c>
      <c r="F154" s="52" t="n">
        <f aca="false">SUMIFS(Data_Penjualan!$G$2:$G$5998,Data_Penjualan!$A$2:$A$5998,A154)</f>
        <v>598900</v>
      </c>
      <c r="G154" s="39" t="n">
        <f aca="false">IF(E154="KANTOR",0,INDEX(Master_Customer!$C$2:$C$126,MATCH(C154,Master_Customer!$A$2:$A$126,0)))</f>
        <v>0</v>
      </c>
      <c r="H154" s="53" t="n">
        <f aca="false">B154+G154</f>
        <v>45691</v>
      </c>
      <c r="J154" s="39" t="str">
        <f aca="false">IF(G154=0,"Tunai",IF(I154="","Belum ditukar","Sudah ditukar"))</f>
        <v>Tunai</v>
      </c>
      <c r="K154" s="54" t="n">
        <v>598900</v>
      </c>
      <c r="L154" s="51" t="n">
        <v>45691</v>
      </c>
      <c r="M154" s="52" t="n">
        <f aca="false">F154-K154</f>
        <v>0</v>
      </c>
      <c r="N154" s="39" t="str">
        <f aca="false">IF(M154&lt;=0,"Lunas",IF(K154&gt;0,"Sebagian","Belum Bayar"))</f>
        <v>Lunas</v>
      </c>
      <c r="O154" s="39" t="n">
        <f aca="false">IF(M154&gt;0,MAX(0,Catatan!$B$3-H154),0)</f>
        <v>0</v>
      </c>
      <c r="P154" s="39" t="str">
        <f aca="false">IF(M154&lt;=0,"Lunas",IF(Catatan!$B$3&lt;=H154,"Belum Jatuh Tempo",IF(O154&lt;=30,"1-30 hari",IF(O154&lt;=60,"31-60 hari",IF(O154&lt;=90,"61-90 hari","90+ hari")))))</f>
        <v>Lunas</v>
      </c>
      <c r="Q154" s="50"/>
      <c r="R154" s="39" t="str">
        <f aca="false">IF(M154&lt;=0,"",IF(O154&gt;60,"1-Tinggi",IF(O154&gt;30,"2-Sedang",IF(O154&gt;0,"3-Rendah","4-Pantau"))))</f>
        <v/>
      </c>
      <c r="S154" s="39" t="str">
        <f aca="false">IF(AND(M154&gt;0,O154&gt;0),O154+M154/1000000000000+ROW()/1000000000000000,"")</f>
        <v/>
      </c>
      <c r="T154" s="39" t="str">
        <f aca="false">IF(J154="Belum ditukar",ROW(),"")</f>
        <v/>
      </c>
    </row>
    <row r="155" customFormat="false" ht="15" hidden="false" customHeight="false" outlineLevel="0" collapsed="false">
      <c r="A155" s="50" t="s">
        <v>388</v>
      </c>
      <c r="B155" s="51" t="n">
        <v>45691</v>
      </c>
      <c r="C155" s="50" t="s">
        <v>174</v>
      </c>
      <c r="D155" s="39" t="str">
        <f aca="false">INDEX(Master_Customer!$B$2:$B$126,MATCH(C155,Master_Customer!$A$2:$A$126,0))</f>
        <v>SUMBER TEKNIK SURYA</v>
      </c>
      <c r="E155" s="50" t="s">
        <v>32</v>
      </c>
      <c r="F155" s="52" t="n">
        <f aca="false">SUMIFS(Data_Penjualan!$G$2:$G$5998,Data_Penjualan!$A$2:$A$5998,A155)</f>
        <v>18313800</v>
      </c>
      <c r="G155" s="39" t="n">
        <f aca="false">IF(E155="KANTOR",0,INDEX(Master_Customer!$C$2:$C$126,MATCH(C155,Master_Customer!$A$2:$A$126,0)))</f>
        <v>0</v>
      </c>
      <c r="H155" s="53" t="n">
        <f aca="false">B155+G155</f>
        <v>45691</v>
      </c>
      <c r="J155" s="39" t="str">
        <f aca="false">IF(G155=0,"Tunai",IF(I155="","Belum ditukar","Sudah ditukar"))</f>
        <v>Tunai</v>
      </c>
      <c r="K155" s="54" t="n">
        <v>18313800</v>
      </c>
      <c r="L155" s="51" t="n">
        <v>45691</v>
      </c>
      <c r="M155" s="52" t="n">
        <f aca="false">F155-K155</f>
        <v>0</v>
      </c>
      <c r="N155" s="39" t="str">
        <f aca="false">IF(M155&lt;=0,"Lunas",IF(K155&gt;0,"Sebagian","Belum Bayar"))</f>
        <v>Lunas</v>
      </c>
      <c r="O155" s="39" t="n">
        <f aca="false">IF(M155&gt;0,MAX(0,Catatan!$B$3-H155),0)</f>
        <v>0</v>
      </c>
      <c r="P155" s="39" t="str">
        <f aca="false">IF(M155&lt;=0,"Lunas",IF(Catatan!$B$3&lt;=H155,"Belum Jatuh Tempo",IF(O155&lt;=30,"1-30 hari",IF(O155&lt;=60,"31-60 hari",IF(O155&lt;=90,"61-90 hari","90+ hari")))))</f>
        <v>Lunas</v>
      </c>
      <c r="Q155" s="50"/>
      <c r="R155" s="39" t="str">
        <f aca="false">IF(M155&lt;=0,"",IF(O155&gt;60,"1-Tinggi",IF(O155&gt;30,"2-Sedang",IF(O155&gt;0,"3-Rendah","4-Pantau"))))</f>
        <v/>
      </c>
      <c r="S155" s="39" t="str">
        <f aca="false">IF(AND(M155&gt;0,O155&gt;0),O155+M155/1000000000000+ROW()/1000000000000000,"")</f>
        <v/>
      </c>
      <c r="T155" s="39" t="str">
        <f aca="false">IF(J155="Belum ditukar",ROW(),"")</f>
        <v/>
      </c>
    </row>
    <row r="156" customFormat="false" ht="15" hidden="false" customHeight="false" outlineLevel="0" collapsed="false">
      <c r="A156" s="50" t="s">
        <v>389</v>
      </c>
      <c r="B156" s="51" t="n">
        <v>45691</v>
      </c>
      <c r="C156" s="50" t="s">
        <v>205</v>
      </c>
      <c r="D156" s="39" t="str">
        <f aca="false">INDEX(Master_Customer!$B$2:$B$126,MATCH(C156,Master_Customer!$A$2:$A$126,0))</f>
        <v>BERKAH OLI</v>
      </c>
      <c r="E156" s="50" t="s">
        <v>32</v>
      </c>
      <c r="F156" s="52" t="n">
        <f aca="false">SUMIFS(Data_Penjualan!$G$2:$G$5998,Data_Penjualan!$A$2:$A$5998,A156)</f>
        <v>8065000</v>
      </c>
      <c r="G156" s="39" t="n">
        <f aca="false">IF(E156="KANTOR",0,INDEX(Master_Customer!$C$2:$C$126,MATCH(C156,Master_Customer!$A$2:$A$126,0)))</f>
        <v>0</v>
      </c>
      <c r="H156" s="53" t="n">
        <f aca="false">B156+G156</f>
        <v>45691</v>
      </c>
      <c r="J156" s="39" t="str">
        <f aca="false">IF(G156=0,"Tunai",IF(I156="","Belum ditukar","Sudah ditukar"))</f>
        <v>Tunai</v>
      </c>
      <c r="K156" s="54" t="n">
        <v>8065000</v>
      </c>
      <c r="L156" s="51" t="n">
        <v>45691</v>
      </c>
      <c r="M156" s="52" t="n">
        <f aca="false">F156-K156</f>
        <v>0</v>
      </c>
      <c r="N156" s="39" t="str">
        <f aca="false">IF(M156&lt;=0,"Lunas",IF(K156&gt;0,"Sebagian","Belum Bayar"))</f>
        <v>Lunas</v>
      </c>
      <c r="O156" s="39" t="n">
        <f aca="false">IF(M156&gt;0,MAX(0,Catatan!$B$3-H156),0)</f>
        <v>0</v>
      </c>
      <c r="P156" s="39" t="str">
        <f aca="false">IF(M156&lt;=0,"Lunas",IF(Catatan!$B$3&lt;=H156,"Belum Jatuh Tempo",IF(O156&lt;=30,"1-30 hari",IF(O156&lt;=60,"31-60 hari",IF(O156&lt;=90,"61-90 hari","90+ hari")))))</f>
        <v>Lunas</v>
      </c>
      <c r="Q156" s="50"/>
      <c r="R156" s="39" t="str">
        <f aca="false">IF(M156&lt;=0,"",IF(O156&gt;60,"1-Tinggi",IF(O156&gt;30,"2-Sedang",IF(O156&gt;0,"3-Rendah","4-Pantau"))))</f>
        <v/>
      </c>
      <c r="S156" s="39" t="str">
        <f aca="false">IF(AND(M156&gt;0,O156&gt;0),O156+M156/1000000000000+ROW()/1000000000000000,"")</f>
        <v/>
      </c>
      <c r="T156" s="39" t="str">
        <f aca="false">IF(J156="Belum ditukar",ROW(),"")</f>
        <v/>
      </c>
    </row>
    <row r="157" customFormat="false" ht="15" hidden="false" customHeight="false" outlineLevel="0" collapsed="false">
      <c r="A157" s="50" t="s">
        <v>390</v>
      </c>
      <c r="B157" s="51" t="n">
        <v>45692</v>
      </c>
      <c r="C157" s="50" t="s">
        <v>216</v>
      </c>
      <c r="D157" s="39" t="str">
        <f aca="false">INDEX(Master_Customer!$B$2:$B$126,MATCH(C157,Master_Customer!$A$2:$A$126,0))</f>
        <v>SINAR MOTOR UTAMA</v>
      </c>
      <c r="E157" s="50" t="s">
        <v>30</v>
      </c>
      <c r="F157" s="52" t="n">
        <f aca="false">SUMIFS(Data_Penjualan!$G$2:$G$5998,Data_Penjualan!$A$2:$A$5998,A157)</f>
        <v>5734700</v>
      </c>
      <c r="G157" s="39" t="n">
        <f aca="false">IF(E157="KANTOR",0,INDEX(Master_Customer!$C$2:$C$126,MATCH(C157,Master_Customer!$A$2:$A$126,0)))</f>
        <v>0</v>
      </c>
      <c r="H157" s="53" t="n">
        <f aca="false">B157+G157</f>
        <v>45692</v>
      </c>
      <c r="J157" s="39" t="str">
        <f aca="false">IF(G157=0,"Tunai",IF(I157="","Belum ditukar","Sudah ditukar"))</f>
        <v>Tunai</v>
      </c>
      <c r="K157" s="54" t="n">
        <v>5734700</v>
      </c>
      <c r="L157" s="51" t="n">
        <v>45692</v>
      </c>
      <c r="M157" s="52" t="n">
        <f aca="false">F157-K157</f>
        <v>0</v>
      </c>
      <c r="N157" s="39" t="str">
        <f aca="false">IF(M157&lt;=0,"Lunas",IF(K157&gt;0,"Sebagian","Belum Bayar"))</f>
        <v>Lunas</v>
      </c>
      <c r="O157" s="39" t="n">
        <f aca="false">IF(M157&gt;0,MAX(0,Catatan!$B$3-H157),0)</f>
        <v>0</v>
      </c>
      <c r="P157" s="39" t="str">
        <f aca="false">IF(M157&lt;=0,"Lunas",IF(Catatan!$B$3&lt;=H157,"Belum Jatuh Tempo",IF(O157&lt;=30,"1-30 hari",IF(O157&lt;=60,"31-60 hari",IF(O157&lt;=90,"61-90 hari","90+ hari")))))</f>
        <v>Lunas</v>
      </c>
      <c r="Q157" s="50"/>
      <c r="R157" s="39" t="str">
        <f aca="false">IF(M157&lt;=0,"",IF(O157&gt;60,"1-Tinggi",IF(O157&gt;30,"2-Sedang",IF(O157&gt;0,"3-Rendah","4-Pantau"))))</f>
        <v/>
      </c>
      <c r="S157" s="39" t="str">
        <f aca="false">IF(AND(M157&gt;0,O157&gt;0),O157+M157/1000000000000+ROW()/1000000000000000,"")</f>
        <v/>
      </c>
      <c r="T157" s="39" t="str">
        <f aca="false">IF(J157="Belum ditukar",ROW(),"")</f>
        <v/>
      </c>
    </row>
    <row r="158" customFormat="false" ht="15" hidden="false" customHeight="false" outlineLevel="0" collapsed="false">
      <c r="A158" s="50" t="s">
        <v>391</v>
      </c>
      <c r="B158" s="51" t="n">
        <v>45692</v>
      </c>
      <c r="C158" s="50" t="s">
        <v>188</v>
      </c>
      <c r="D158" s="39" t="str">
        <f aca="false">INDEX(Master_Customer!$B$2:$B$126,MATCH(C158,Master_Customer!$A$2:$A$126,0))</f>
        <v>MAJU GARAGE TIRTA</v>
      </c>
      <c r="E158" s="50" t="s">
        <v>31</v>
      </c>
      <c r="F158" s="52" t="n">
        <f aca="false">SUMIFS(Data_Penjualan!$G$2:$G$5998,Data_Penjualan!$A$2:$A$5998,A158)</f>
        <v>13411500</v>
      </c>
      <c r="G158" s="39" t="n">
        <f aca="false">IF(E158="KANTOR",0,INDEX(Master_Customer!$C$2:$C$126,MATCH(C158,Master_Customer!$A$2:$A$126,0)))</f>
        <v>45</v>
      </c>
      <c r="H158" s="53" t="n">
        <f aca="false">B158+G158</f>
        <v>45737</v>
      </c>
      <c r="I158" s="51" t="n">
        <v>45697</v>
      </c>
      <c r="J158" s="39" t="str">
        <f aca="false">IF(G158=0,"Tunai",IF(I158="","Belum ditukar","Sudah ditukar"))</f>
        <v>Sudah ditukar</v>
      </c>
      <c r="K158" s="54" t="n">
        <v>13411500</v>
      </c>
      <c r="L158" s="51" t="n">
        <v>45742</v>
      </c>
      <c r="M158" s="52" t="n">
        <f aca="false">F158-K158</f>
        <v>0</v>
      </c>
      <c r="N158" s="39" t="str">
        <f aca="false">IF(M158&lt;=0,"Lunas",IF(K158&gt;0,"Sebagian","Belum Bayar"))</f>
        <v>Lunas</v>
      </c>
      <c r="O158" s="39" t="n">
        <f aca="false">IF(M158&gt;0,MAX(0,Catatan!$B$3-H158),0)</f>
        <v>0</v>
      </c>
      <c r="P158" s="39" t="str">
        <f aca="false">IF(M158&lt;=0,"Lunas",IF(Catatan!$B$3&lt;=H158,"Belum Jatuh Tempo",IF(O158&lt;=30,"1-30 hari",IF(O158&lt;=60,"31-60 hari",IF(O158&lt;=90,"61-90 hari","90+ hari")))))</f>
        <v>Lunas</v>
      </c>
      <c r="Q158" s="50"/>
      <c r="R158" s="39" t="str">
        <f aca="false">IF(M158&lt;=0,"",IF(O158&gt;60,"1-Tinggi",IF(O158&gt;30,"2-Sedang",IF(O158&gt;0,"3-Rendah","4-Pantau"))))</f>
        <v/>
      </c>
      <c r="S158" s="39" t="str">
        <f aca="false">IF(AND(M158&gt;0,O158&gt;0),O158+M158/1000000000000+ROW()/1000000000000000,"")</f>
        <v/>
      </c>
      <c r="T158" s="39" t="str">
        <f aca="false">IF(J158="Belum ditukar",ROW(),"")</f>
        <v/>
      </c>
    </row>
    <row r="159" customFormat="false" ht="15" hidden="false" customHeight="false" outlineLevel="0" collapsed="false">
      <c r="A159" s="50" t="s">
        <v>392</v>
      </c>
      <c r="B159" s="51" t="n">
        <v>45692</v>
      </c>
      <c r="C159" s="50" t="s">
        <v>199</v>
      </c>
      <c r="D159" s="39" t="str">
        <f aca="false">INDEX(Master_Customer!$B$2:$B$126,MATCH(C159,Master_Customer!$A$2:$A$126,0))</f>
        <v>KARYA SPAREPART</v>
      </c>
      <c r="E159" s="50" t="s">
        <v>29</v>
      </c>
      <c r="F159" s="52" t="n">
        <f aca="false">SUMIFS(Data_Penjualan!$G$2:$G$5998,Data_Penjualan!$A$2:$A$5998,A159)</f>
        <v>6177300</v>
      </c>
      <c r="G159" s="39" t="n">
        <f aca="false">IF(E159="KANTOR",0,INDEX(Master_Customer!$C$2:$C$126,MATCH(C159,Master_Customer!$A$2:$A$126,0)))</f>
        <v>45</v>
      </c>
      <c r="H159" s="53" t="n">
        <f aca="false">B159+G159</f>
        <v>45737</v>
      </c>
      <c r="I159" s="51" t="n">
        <v>45697</v>
      </c>
      <c r="J159" s="39" t="str">
        <f aca="false">IF(G159=0,"Tunai",IF(I159="","Belum ditukar","Sudah ditukar"))</f>
        <v>Sudah ditukar</v>
      </c>
      <c r="K159" s="54" t="n">
        <v>6177300</v>
      </c>
      <c r="L159" s="51" t="n">
        <v>45735</v>
      </c>
      <c r="M159" s="52" t="n">
        <f aca="false">F159-K159</f>
        <v>0</v>
      </c>
      <c r="N159" s="39" t="str">
        <f aca="false">IF(M159&lt;=0,"Lunas",IF(K159&gt;0,"Sebagian","Belum Bayar"))</f>
        <v>Lunas</v>
      </c>
      <c r="O159" s="39" t="n">
        <f aca="false">IF(M159&gt;0,MAX(0,Catatan!$B$3-H159),0)</f>
        <v>0</v>
      </c>
      <c r="P159" s="39" t="str">
        <f aca="false">IF(M159&lt;=0,"Lunas",IF(Catatan!$B$3&lt;=H159,"Belum Jatuh Tempo",IF(O159&lt;=30,"1-30 hari",IF(O159&lt;=60,"31-60 hari",IF(O159&lt;=90,"61-90 hari","90+ hari")))))</f>
        <v>Lunas</v>
      </c>
      <c r="Q159" s="50"/>
      <c r="R159" s="39" t="str">
        <f aca="false">IF(M159&lt;=0,"",IF(O159&gt;60,"1-Tinggi",IF(O159&gt;30,"2-Sedang",IF(O159&gt;0,"3-Rendah","4-Pantau"))))</f>
        <v/>
      </c>
      <c r="S159" s="39" t="str">
        <f aca="false">IF(AND(M159&gt;0,O159&gt;0),O159+M159/1000000000000+ROW()/1000000000000000,"")</f>
        <v/>
      </c>
      <c r="T159" s="39" t="str">
        <f aca="false">IF(J159="Belum ditukar",ROW(),"")</f>
        <v/>
      </c>
    </row>
    <row r="160" customFormat="false" ht="15" hidden="false" customHeight="false" outlineLevel="0" collapsed="false">
      <c r="A160" s="50" t="s">
        <v>393</v>
      </c>
      <c r="B160" s="51" t="n">
        <v>45692</v>
      </c>
      <c r="C160" s="50" t="s">
        <v>199</v>
      </c>
      <c r="D160" s="39" t="str">
        <f aca="false">INDEX(Master_Customer!$B$2:$B$126,MATCH(C160,Master_Customer!$A$2:$A$126,0))</f>
        <v>KARYA SPAREPART</v>
      </c>
      <c r="E160" s="50" t="s">
        <v>29</v>
      </c>
      <c r="F160" s="52" t="n">
        <f aca="false">SUMIFS(Data_Penjualan!$G$2:$G$5998,Data_Penjualan!$A$2:$A$5998,A160)</f>
        <v>8084700</v>
      </c>
      <c r="G160" s="39" t="n">
        <f aca="false">IF(E160="KANTOR",0,INDEX(Master_Customer!$C$2:$C$126,MATCH(C160,Master_Customer!$A$2:$A$126,0)))</f>
        <v>45</v>
      </c>
      <c r="H160" s="53" t="n">
        <f aca="false">B160+G160</f>
        <v>45737</v>
      </c>
      <c r="I160" s="51" t="n">
        <v>45695</v>
      </c>
      <c r="J160" s="39" t="str">
        <f aca="false">IF(G160=0,"Tunai",IF(I160="","Belum ditukar","Sudah ditukar"))</f>
        <v>Sudah ditukar</v>
      </c>
      <c r="K160" s="54" t="n">
        <v>8084700</v>
      </c>
      <c r="L160" s="51" t="n">
        <v>45735</v>
      </c>
      <c r="M160" s="52" t="n">
        <f aca="false">F160-K160</f>
        <v>0</v>
      </c>
      <c r="N160" s="39" t="str">
        <f aca="false">IF(M160&lt;=0,"Lunas",IF(K160&gt;0,"Sebagian","Belum Bayar"))</f>
        <v>Lunas</v>
      </c>
      <c r="O160" s="39" t="n">
        <f aca="false">IF(M160&gt;0,MAX(0,Catatan!$B$3-H160),0)</f>
        <v>0</v>
      </c>
      <c r="P160" s="39" t="str">
        <f aca="false">IF(M160&lt;=0,"Lunas",IF(Catatan!$B$3&lt;=H160,"Belum Jatuh Tempo",IF(O160&lt;=30,"1-30 hari",IF(O160&lt;=60,"31-60 hari",IF(O160&lt;=90,"61-90 hari","90+ hari")))))</f>
        <v>Lunas</v>
      </c>
      <c r="Q160" s="50"/>
      <c r="R160" s="39" t="str">
        <f aca="false">IF(M160&lt;=0,"",IF(O160&gt;60,"1-Tinggi",IF(O160&gt;30,"2-Sedang",IF(O160&gt;0,"3-Rendah","4-Pantau"))))</f>
        <v/>
      </c>
      <c r="S160" s="39" t="str">
        <f aca="false">IF(AND(M160&gt;0,O160&gt;0),O160+M160/1000000000000+ROW()/1000000000000000,"")</f>
        <v/>
      </c>
      <c r="T160" s="39" t="str">
        <f aca="false">IF(J160="Belum ditukar",ROW(),"")</f>
        <v/>
      </c>
    </row>
    <row r="161" customFormat="false" ht="15" hidden="false" customHeight="false" outlineLevel="0" collapsed="false">
      <c r="A161" s="50" t="s">
        <v>394</v>
      </c>
      <c r="B161" s="51" t="n">
        <v>45693</v>
      </c>
      <c r="C161" s="50" t="s">
        <v>395</v>
      </c>
      <c r="D161" s="39" t="str">
        <f aca="false">INDEX(Master_Customer!$B$2:$B$126,MATCH(C161,Master_Customer!$A$2:$A$126,0))</f>
        <v>TIRTA SERVICE</v>
      </c>
      <c r="E161" s="50" t="s">
        <v>28</v>
      </c>
      <c r="F161" s="52" t="n">
        <f aca="false">SUMIFS(Data_Penjualan!$G$2:$G$5998,Data_Penjualan!$A$2:$A$5998,A161)</f>
        <v>10714200</v>
      </c>
      <c r="G161" s="39" t="n">
        <f aca="false">IF(E161="KANTOR",0,INDEX(Master_Customer!$C$2:$C$126,MATCH(C161,Master_Customer!$A$2:$A$126,0)))</f>
        <v>0</v>
      </c>
      <c r="H161" s="53" t="n">
        <f aca="false">B161+G161</f>
        <v>45693</v>
      </c>
      <c r="J161" s="39" t="str">
        <f aca="false">IF(G161=0,"Tunai",IF(I161="","Belum ditukar","Sudah ditukar"))</f>
        <v>Tunai</v>
      </c>
      <c r="K161" s="54" t="n">
        <v>10714200</v>
      </c>
      <c r="L161" s="51" t="n">
        <v>45695</v>
      </c>
      <c r="M161" s="52" t="n">
        <f aca="false">F161-K161</f>
        <v>0</v>
      </c>
      <c r="N161" s="39" t="str">
        <f aca="false">IF(M161&lt;=0,"Lunas",IF(K161&gt;0,"Sebagian","Belum Bayar"))</f>
        <v>Lunas</v>
      </c>
      <c r="O161" s="39" t="n">
        <f aca="false">IF(M161&gt;0,MAX(0,Catatan!$B$3-H161),0)</f>
        <v>0</v>
      </c>
      <c r="P161" s="39" t="str">
        <f aca="false">IF(M161&lt;=0,"Lunas",IF(Catatan!$B$3&lt;=H161,"Belum Jatuh Tempo",IF(O161&lt;=30,"1-30 hari",IF(O161&lt;=60,"31-60 hari",IF(O161&lt;=90,"61-90 hari","90+ hari")))))</f>
        <v>Lunas</v>
      </c>
      <c r="Q161" s="50"/>
      <c r="R161" s="39" t="str">
        <f aca="false">IF(M161&lt;=0,"",IF(O161&gt;60,"1-Tinggi",IF(O161&gt;30,"2-Sedang",IF(O161&gt;0,"3-Rendah","4-Pantau"))))</f>
        <v/>
      </c>
      <c r="S161" s="39" t="str">
        <f aca="false">IF(AND(M161&gt;0,O161&gt;0),O161+M161/1000000000000+ROW()/1000000000000000,"")</f>
        <v/>
      </c>
      <c r="T161" s="39" t="str">
        <f aca="false">IF(J161="Belum ditukar",ROW(),"")</f>
        <v/>
      </c>
    </row>
    <row r="162" customFormat="false" ht="15" hidden="false" customHeight="false" outlineLevel="0" collapsed="false">
      <c r="A162" s="50" t="s">
        <v>396</v>
      </c>
      <c r="B162" s="51" t="n">
        <v>45693</v>
      </c>
      <c r="C162" s="50" t="s">
        <v>289</v>
      </c>
      <c r="D162" s="39" t="str">
        <f aca="false">INDEX(Master_Customer!$B$2:$B$126,MATCH(C162,Master_Customer!$A$2:$A$126,0))</f>
        <v>SINAR GARAGE</v>
      </c>
      <c r="E162" s="50" t="s">
        <v>28</v>
      </c>
      <c r="F162" s="52" t="n">
        <f aca="false">SUMIFS(Data_Penjualan!$G$2:$G$5998,Data_Penjualan!$A$2:$A$5998,A162)</f>
        <v>6114800</v>
      </c>
      <c r="G162" s="39" t="n">
        <f aca="false">IF(E162="KANTOR",0,INDEX(Master_Customer!$C$2:$C$126,MATCH(C162,Master_Customer!$A$2:$A$126,0)))</f>
        <v>30</v>
      </c>
      <c r="H162" s="53" t="n">
        <f aca="false">B162+G162</f>
        <v>45723</v>
      </c>
      <c r="I162" s="51" t="n">
        <v>45697</v>
      </c>
      <c r="J162" s="39" t="str">
        <f aca="false">IF(G162=0,"Tunai",IF(I162="","Belum ditukar","Sudah ditukar"))</f>
        <v>Sudah ditukar</v>
      </c>
      <c r="K162" s="54" t="n">
        <v>4585100</v>
      </c>
      <c r="L162" s="51" t="n">
        <v>45720</v>
      </c>
      <c r="M162" s="52" t="n">
        <f aca="false">F162-K162</f>
        <v>1529700</v>
      </c>
      <c r="N162" s="39" t="str">
        <f aca="false">IF(M162&lt;=0,"Lunas",IF(K162&gt;0,"Sebagian","Belum Bayar"))</f>
        <v>Sebagian</v>
      </c>
      <c r="O162" s="39" t="n">
        <f aca="false">IF(M162&gt;0,MAX(0,Catatan!$B$3-H162),0)</f>
        <v>299</v>
      </c>
      <c r="P162" s="39" t="str">
        <f aca="false">IF(M162&lt;=0,"Lunas",IF(Catatan!$B$3&lt;=H162,"Belum Jatuh Tempo",IF(O162&lt;=30,"1-30 hari",IF(O162&lt;=60,"31-60 hari",IF(O162&lt;=90,"61-90 hari","90+ hari")))))</f>
        <v>90+ hari</v>
      </c>
      <c r="Q162" s="50" t="s">
        <v>397</v>
      </c>
      <c r="R162" s="39" t="str">
        <f aca="false">IF(M162&lt;=0,"",IF(O162&gt;60,"1-Tinggi",IF(O162&gt;30,"2-Sedang",IF(O162&gt;0,"3-Rendah","4-Pantau"))))</f>
        <v>1-Tinggi</v>
      </c>
      <c r="S162" s="39" t="n">
        <f aca="false">IF(AND(M162&gt;0,O162&gt;0),O162+M162/1000000000000+ROW()/1000000000000000,"")</f>
        <v>299.0000015297</v>
      </c>
      <c r="T162" s="39" t="str">
        <f aca="false">IF(J162="Belum ditukar",ROW(),"")</f>
        <v/>
      </c>
    </row>
    <row r="163" customFormat="false" ht="15" hidden="false" customHeight="false" outlineLevel="0" collapsed="false">
      <c r="A163" s="50" t="s">
        <v>398</v>
      </c>
      <c r="B163" s="51" t="n">
        <v>45693</v>
      </c>
      <c r="C163" s="50" t="s">
        <v>365</v>
      </c>
      <c r="D163" s="39" t="str">
        <f aca="false">INDEX(Master_Customer!$B$2:$B$126,MATCH(C163,Master_Customer!$A$2:$A$126,0))</f>
        <v>MAKMUR GARAGE</v>
      </c>
      <c r="E163" s="50" t="s">
        <v>28</v>
      </c>
      <c r="F163" s="52" t="n">
        <f aca="false">SUMIFS(Data_Penjualan!$G$2:$G$5998,Data_Penjualan!$A$2:$A$5998,A163)</f>
        <v>32132900</v>
      </c>
      <c r="G163" s="39" t="n">
        <f aca="false">IF(E163="KANTOR",0,INDEX(Master_Customer!$C$2:$C$126,MATCH(C163,Master_Customer!$A$2:$A$126,0)))</f>
        <v>14</v>
      </c>
      <c r="H163" s="53" t="n">
        <f aca="false">B163+G163</f>
        <v>45707</v>
      </c>
      <c r="I163" s="51" t="n">
        <v>45697</v>
      </c>
      <c r="J163" s="39" t="str">
        <f aca="false">IF(G163=0,"Tunai",IF(I163="","Belum ditukar","Sudah ditukar"))</f>
        <v>Sudah ditukar</v>
      </c>
      <c r="K163" s="54" t="n">
        <v>32132900</v>
      </c>
      <c r="L163" s="51" t="n">
        <v>45708</v>
      </c>
      <c r="M163" s="52" t="n">
        <f aca="false">F163-K163</f>
        <v>0</v>
      </c>
      <c r="N163" s="39" t="str">
        <f aca="false">IF(M163&lt;=0,"Lunas",IF(K163&gt;0,"Sebagian","Belum Bayar"))</f>
        <v>Lunas</v>
      </c>
      <c r="O163" s="39" t="n">
        <f aca="false">IF(M163&gt;0,MAX(0,Catatan!$B$3-H163),0)</f>
        <v>0</v>
      </c>
      <c r="P163" s="39" t="str">
        <f aca="false">IF(M163&lt;=0,"Lunas",IF(Catatan!$B$3&lt;=H163,"Belum Jatuh Tempo",IF(O163&lt;=30,"1-30 hari",IF(O163&lt;=60,"31-60 hari",IF(O163&lt;=90,"61-90 hari","90+ hari")))))</f>
        <v>Lunas</v>
      </c>
      <c r="Q163" s="50"/>
      <c r="R163" s="39" t="str">
        <f aca="false">IF(M163&lt;=0,"",IF(O163&gt;60,"1-Tinggi",IF(O163&gt;30,"2-Sedang",IF(O163&gt;0,"3-Rendah","4-Pantau"))))</f>
        <v/>
      </c>
      <c r="S163" s="39" t="str">
        <f aca="false">IF(AND(M163&gt;0,O163&gt;0),O163+M163/1000000000000+ROW()/1000000000000000,"")</f>
        <v/>
      </c>
      <c r="T163" s="39" t="str">
        <f aca="false">IF(J163="Belum ditukar",ROW(),"")</f>
        <v/>
      </c>
    </row>
    <row r="164" customFormat="false" ht="15" hidden="false" customHeight="false" outlineLevel="0" collapsed="false">
      <c r="A164" s="50" t="s">
        <v>399</v>
      </c>
      <c r="B164" s="51" t="n">
        <v>45693</v>
      </c>
      <c r="C164" s="50" t="s">
        <v>298</v>
      </c>
      <c r="D164" s="39" t="str">
        <f aca="false">INDEX(Master_Customer!$B$2:$B$126,MATCH(C164,Master_Customer!$A$2:$A$126,0))</f>
        <v>BERKAH MOBIL MAKMUR</v>
      </c>
      <c r="E164" s="50" t="s">
        <v>31</v>
      </c>
      <c r="F164" s="52" t="n">
        <f aca="false">SUMIFS(Data_Penjualan!$G$2:$G$5998,Data_Penjualan!$A$2:$A$5998,A164)</f>
        <v>6398500</v>
      </c>
      <c r="G164" s="39" t="n">
        <f aca="false">IF(E164="KANTOR",0,INDEX(Master_Customer!$C$2:$C$126,MATCH(C164,Master_Customer!$A$2:$A$126,0)))</f>
        <v>14</v>
      </c>
      <c r="H164" s="53" t="n">
        <f aca="false">B164+G164</f>
        <v>45707</v>
      </c>
      <c r="I164" s="51" t="n">
        <v>45694</v>
      </c>
      <c r="J164" s="39" t="str">
        <f aca="false">IF(G164=0,"Tunai",IF(I164="","Belum ditukar","Sudah ditukar"))</f>
        <v>Sudah ditukar</v>
      </c>
      <c r="K164" s="54" t="n">
        <v>6398500</v>
      </c>
      <c r="L164" s="51" t="n">
        <v>45724</v>
      </c>
      <c r="M164" s="52" t="n">
        <f aca="false">F164-K164</f>
        <v>0</v>
      </c>
      <c r="N164" s="39" t="str">
        <f aca="false">IF(M164&lt;=0,"Lunas",IF(K164&gt;0,"Sebagian","Belum Bayar"))</f>
        <v>Lunas</v>
      </c>
      <c r="O164" s="39" t="n">
        <f aca="false">IF(M164&gt;0,MAX(0,Catatan!$B$3-H164),0)</f>
        <v>0</v>
      </c>
      <c r="P164" s="39" t="str">
        <f aca="false">IF(M164&lt;=0,"Lunas",IF(Catatan!$B$3&lt;=H164,"Belum Jatuh Tempo",IF(O164&lt;=30,"1-30 hari",IF(O164&lt;=60,"31-60 hari",IF(O164&lt;=90,"61-90 hari","90+ hari")))))</f>
        <v>Lunas</v>
      </c>
      <c r="Q164" s="50"/>
      <c r="R164" s="39" t="str">
        <f aca="false">IF(M164&lt;=0,"",IF(O164&gt;60,"1-Tinggi",IF(O164&gt;30,"2-Sedang",IF(O164&gt;0,"3-Rendah","4-Pantau"))))</f>
        <v/>
      </c>
      <c r="S164" s="39" t="str">
        <f aca="false">IF(AND(M164&gt;0,O164&gt;0),O164+M164/1000000000000+ROW()/1000000000000000,"")</f>
        <v/>
      </c>
      <c r="T164" s="39" t="str">
        <f aca="false">IF(J164="Belum ditukar",ROW(),"")</f>
        <v/>
      </c>
    </row>
    <row r="165" customFormat="false" ht="15" hidden="false" customHeight="false" outlineLevel="0" collapsed="false">
      <c r="A165" s="50" t="s">
        <v>400</v>
      </c>
      <c r="B165" s="51" t="n">
        <v>45693</v>
      </c>
      <c r="C165" s="50" t="s">
        <v>256</v>
      </c>
      <c r="D165" s="39" t="str">
        <f aca="false">INDEX(Master_Customer!$B$2:$B$126,MATCH(C165,Master_Customer!$A$2:$A$126,0))</f>
        <v>HARAPAN SPAREPART</v>
      </c>
      <c r="E165" s="50" t="s">
        <v>32</v>
      </c>
      <c r="F165" s="52" t="n">
        <f aca="false">SUMIFS(Data_Penjualan!$G$2:$G$5998,Data_Penjualan!$A$2:$A$5998,A165)</f>
        <v>2496500</v>
      </c>
      <c r="G165" s="39" t="n">
        <f aca="false">IF(E165="KANTOR",0,INDEX(Master_Customer!$C$2:$C$126,MATCH(C165,Master_Customer!$A$2:$A$126,0)))</f>
        <v>0</v>
      </c>
      <c r="H165" s="53" t="n">
        <f aca="false">B165+G165</f>
        <v>45693</v>
      </c>
      <c r="J165" s="39" t="str">
        <f aca="false">IF(G165=0,"Tunai",IF(I165="","Belum ditukar","Sudah ditukar"))</f>
        <v>Tunai</v>
      </c>
      <c r="K165" s="54" t="n">
        <v>2496500</v>
      </c>
      <c r="L165" s="51" t="n">
        <v>45693</v>
      </c>
      <c r="M165" s="52" t="n">
        <f aca="false">F165-K165</f>
        <v>0</v>
      </c>
      <c r="N165" s="39" t="str">
        <f aca="false">IF(M165&lt;=0,"Lunas",IF(K165&gt;0,"Sebagian","Belum Bayar"))</f>
        <v>Lunas</v>
      </c>
      <c r="O165" s="39" t="n">
        <f aca="false">IF(M165&gt;0,MAX(0,Catatan!$B$3-H165),0)</f>
        <v>0</v>
      </c>
      <c r="P165" s="39" t="str">
        <f aca="false">IF(M165&lt;=0,"Lunas",IF(Catatan!$B$3&lt;=H165,"Belum Jatuh Tempo",IF(O165&lt;=30,"1-30 hari",IF(O165&lt;=60,"31-60 hari",IF(O165&lt;=90,"61-90 hari","90+ hari")))))</f>
        <v>Lunas</v>
      </c>
      <c r="Q165" s="50"/>
      <c r="R165" s="39" t="str">
        <f aca="false">IF(M165&lt;=0,"",IF(O165&gt;60,"1-Tinggi",IF(O165&gt;30,"2-Sedang",IF(O165&gt;0,"3-Rendah","4-Pantau"))))</f>
        <v/>
      </c>
      <c r="S165" s="39" t="str">
        <f aca="false">IF(AND(M165&gt;0,O165&gt;0),O165+M165/1000000000000+ROW()/1000000000000000,"")</f>
        <v/>
      </c>
      <c r="T165" s="39" t="str">
        <f aca="false">IF(J165="Belum ditukar",ROW(),"")</f>
        <v/>
      </c>
    </row>
    <row r="166" customFormat="false" ht="15" hidden="false" customHeight="false" outlineLevel="0" collapsed="false">
      <c r="A166" s="50" t="s">
        <v>401</v>
      </c>
      <c r="B166" s="51" t="n">
        <v>45693</v>
      </c>
      <c r="C166" s="50" t="s">
        <v>166</v>
      </c>
      <c r="D166" s="39" t="str">
        <f aca="false">INDEX(Master_Customer!$B$2:$B$126,MATCH(C166,Master_Customer!$A$2:$A$126,0))</f>
        <v>SENTOSA SERVICE</v>
      </c>
      <c r="E166" s="50" t="s">
        <v>30</v>
      </c>
      <c r="F166" s="52" t="n">
        <f aca="false">SUMIFS(Data_Penjualan!$G$2:$G$5998,Data_Penjualan!$A$2:$A$5998,A166)</f>
        <v>7071600</v>
      </c>
      <c r="G166" s="39" t="n">
        <f aca="false">IF(E166="KANTOR",0,INDEX(Master_Customer!$C$2:$C$126,MATCH(C166,Master_Customer!$A$2:$A$126,0)))</f>
        <v>0</v>
      </c>
      <c r="H166" s="53" t="n">
        <f aca="false">B166+G166</f>
        <v>45693</v>
      </c>
      <c r="J166" s="39" t="str">
        <f aca="false">IF(G166=0,"Tunai",IF(I166="","Belum ditukar","Sudah ditukar"))</f>
        <v>Tunai</v>
      </c>
      <c r="K166" s="54" t="n">
        <v>7071600</v>
      </c>
      <c r="L166" s="51" t="n">
        <v>45693</v>
      </c>
      <c r="M166" s="52" t="n">
        <f aca="false">F166-K166</f>
        <v>0</v>
      </c>
      <c r="N166" s="39" t="str">
        <f aca="false">IF(M166&lt;=0,"Lunas",IF(K166&gt;0,"Sebagian","Belum Bayar"))</f>
        <v>Lunas</v>
      </c>
      <c r="O166" s="39" t="n">
        <f aca="false">IF(M166&gt;0,MAX(0,Catatan!$B$3-H166),0)</f>
        <v>0</v>
      </c>
      <c r="P166" s="39" t="str">
        <f aca="false">IF(M166&lt;=0,"Lunas",IF(Catatan!$B$3&lt;=H166,"Belum Jatuh Tempo",IF(O166&lt;=30,"1-30 hari",IF(O166&lt;=60,"31-60 hari",IF(O166&lt;=90,"61-90 hari","90+ hari")))))</f>
        <v>Lunas</v>
      </c>
      <c r="Q166" s="50"/>
      <c r="R166" s="39" t="str">
        <f aca="false">IF(M166&lt;=0,"",IF(O166&gt;60,"1-Tinggi",IF(O166&gt;30,"2-Sedang",IF(O166&gt;0,"3-Rendah","4-Pantau"))))</f>
        <v/>
      </c>
      <c r="S166" s="39" t="str">
        <f aca="false">IF(AND(M166&gt;0,O166&gt;0),O166+M166/1000000000000+ROW()/1000000000000000,"")</f>
        <v/>
      </c>
      <c r="T166" s="39" t="str">
        <f aca="false">IF(J166="Belum ditukar",ROW(),"")</f>
        <v/>
      </c>
    </row>
    <row r="167" customFormat="false" ht="15" hidden="false" customHeight="false" outlineLevel="0" collapsed="false">
      <c r="A167" s="50" t="s">
        <v>402</v>
      </c>
      <c r="B167" s="51" t="n">
        <v>45694</v>
      </c>
      <c r="C167" s="50" t="s">
        <v>403</v>
      </c>
      <c r="D167" s="39" t="str">
        <f aca="false">INDEX(Master_Customer!$B$2:$B$126,MATCH(C167,Master_Customer!$A$2:$A$126,0))</f>
        <v>BINTANG TEKNIK HARAPAN</v>
      </c>
      <c r="E167" s="50" t="s">
        <v>31</v>
      </c>
      <c r="F167" s="52" t="n">
        <f aca="false">SUMIFS(Data_Penjualan!$G$2:$G$5998,Data_Penjualan!$A$2:$A$5998,A167)</f>
        <v>24882100</v>
      </c>
      <c r="G167" s="39" t="n">
        <f aca="false">IF(E167="KANTOR",0,INDEX(Master_Customer!$C$2:$C$126,MATCH(C167,Master_Customer!$A$2:$A$126,0)))</f>
        <v>14</v>
      </c>
      <c r="H167" s="53" t="n">
        <f aca="false">B167+G167</f>
        <v>45708</v>
      </c>
      <c r="I167" s="51" t="n">
        <v>45698</v>
      </c>
      <c r="J167" s="39" t="str">
        <f aca="false">IF(G167=0,"Tunai",IF(I167="","Belum ditukar","Sudah ditukar"))</f>
        <v>Sudah ditukar</v>
      </c>
      <c r="K167" s="54" t="n">
        <v>24882100</v>
      </c>
      <c r="L167" s="51" t="n">
        <v>45710</v>
      </c>
      <c r="M167" s="52" t="n">
        <f aca="false">F167-K167</f>
        <v>0</v>
      </c>
      <c r="N167" s="39" t="str">
        <f aca="false">IF(M167&lt;=0,"Lunas",IF(K167&gt;0,"Sebagian","Belum Bayar"))</f>
        <v>Lunas</v>
      </c>
      <c r="O167" s="39" t="n">
        <f aca="false">IF(M167&gt;0,MAX(0,Catatan!$B$3-H167),0)</f>
        <v>0</v>
      </c>
      <c r="P167" s="39" t="str">
        <f aca="false">IF(M167&lt;=0,"Lunas",IF(Catatan!$B$3&lt;=H167,"Belum Jatuh Tempo",IF(O167&lt;=30,"1-30 hari",IF(O167&lt;=60,"31-60 hari",IF(O167&lt;=90,"61-90 hari","90+ hari")))))</f>
        <v>Lunas</v>
      </c>
      <c r="Q167" s="50"/>
      <c r="R167" s="39" t="str">
        <f aca="false">IF(M167&lt;=0,"",IF(O167&gt;60,"1-Tinggi",IF(O167&gt;30,"2-Sedang",IF(O167&gt;0,"3-Rendah","4-Pantau"))))</f>
        <v/>
      </c>
      <c r="S167" s="39" t="str">
        <f aca="false">IF(AND(M167&gt;0,O167&gt;0),O167+M167/1000000000000+ROW()/1000000000000000,"")</f>
        <v/>
      </c>
      <c r="T167" s="39" t="str">
        <f aca="false">IF(J167="Belum ditukar",ROW(),"")</f>
        <v/>
      </c>
    </row>
    <row r="168" customFormat="false" ht="15" hidden="false" customHeight="false" outlineLevel="0" collapsed="false">
      <c r="A168" s="50" t="s">
        <v>404</v>
      </c>
      <c r="B168" s="51" t="n">
        <v>45694</v>
      </c>
      <c r="C168" s="50" t="s">
        <v>405</v>
      </c>
      <c r="D168" s="39" t="str">
        <f aca="false">INDEX(Master_Customer!$B$2:$B$126,MATCH(C168,Master_Customer!$A$2:$A$126,0))</f>
        <v>BINTANG BENGKEL HARAPAN</v>
      </c>
      <c r="E168" s="50" t="s">
        <v>30</v>
      </c>
      <c r="F168" s="52" t="n">
        <f aca="false">SUMIFS(Data_Penjualan!$G$2:$G$5998,Data_Penjualan!$A$2:$A$5998,A168)</f>
        <v>6039800</v>
      </c>
      <c r="G168" s="39" t="n">
        <f aca="false">IF(E168="KANTOR",0,INDEX(Master_Customer!$C$2:$C$126,MATCH(C168,Master_Customer!$A$2:$A$126,0)))</f>
        <v>14</v>
      </c>
      <c r="H168" s="53" t="n">
        <f aca="false">B168+G168</f>
        <v>45708</v>
      </c>
      <c r="I168" s="51" t="n">
        <v>45698</v>
      </c>
      <c r="J168" s="39" t="str">
        <f aca="false">IF(G168=0,"Tunai",IF(I168="","Belum ditukar","Sudah ditukar"))</f>
        <v>Sudah ditukar</v>
      </c>
      <c r="K168" s="54" t="n">
        <v>6039800</v>
      </c>
      <c r="L168" s="51" t="n">
        <v>45716</v>
      </c>
      <c r="M168" s="52" t="n">
        <f aca="false">F168-K168</f>
        <v>0</v>
      </c>
      <c r="N168" s="39" t="str">
        <f aca="false">IF(M168&lt;=0,"Lunas",IF(K168&gt;0,"Sebagian","Belum Bayar"))</f>
        <v>Lunas</v>
      </c>
      <c r="O168" s="39" t="n">
        <f aca="false">IF(M168&gt;0,MAX(0,Catatan!$B$3-H168),0)</f>
        <v>0</v>
      </c>
      <c r="P168" s="39" t="str">
        <f aca="false">IF(M168&lt;=0,"Lunas",IF(Catatan!$B$3&lt;=H168,"Belum Jatuh Tempo",IF(O168&lt;=30,"1-30 hari",IF(O168&lt;=60,"31-60 hari",IF(O168&lt;=90,"61-90 hari","90+ hari")))))</f>
        <v>Lunas</v>
      </c>
      <c r="Q168" s="50"/>
      <c r="R168" s="39" t="str">
        <f aca="false">IF(M168&lt;=0,"",IF(O168&gt;60,"1-Tinggi",IF(O168&gt;30,"2-Sedang",IF(O168&gt;0,"3-Rendah","4-Pantau"))))</f>
        <v/>
      </c>
      <c r="S168" s="39" t="str">
        <f aca="false">IF(AND(M168&gt;0,O168&gt;0),O168+M168/1000000000000+ROW()/1000000000000000,"")</f>
        <v/>
      </c>
      <c r="T168" s="39" t="str">
        <f aca="false">IF(J168="Belum ditukar",ROW(),"")</f>
        <v/>
      </c>
    </row>
    <row r="169" customFormat="false" ht="15" hidden="false" customHeight="false" outlineLevel="0" collapsed="false">
      <c r="A169" s="50" t="s">
        <v>406</v>
      </c>
      <c r="B169" s="51" t="n">
        <v>45694</v>
      </c>
      <c r="C169" s="50" t="s">
        <v>166</v>
      </c>
      <c r="D169" s="39" t="str">
        <f aca="false">INDEX(Master_Customer!$B$2:$B$126,MATCH(C169,Master_Customer!$A$2:$A$126,0))</f>
        <v>SENTOSA SERVICE</v>
      </c>
      <c r="E169" s="50" t="s">
        <v>32</v>
      </c>
      <c r="F169" s="52" t="n">
        <f aca="false">SUMIFS(Data_Penjualan!$G$2:$G$5998,Data_Penjualan!$A$2:$A$5998,A169)</f>
        <v>7154000</v>
      </c>
      <c r="G169" s="39" t="n">
        <f aca="false">IF(E169="KANTOR",0,INDEX(Master_Customer!$C$2:$C$126,MATCH(C169,Master_Customer!$A$2:$A$126,0)))</f>
        <v>0</v>
      </c>
      <c r="H169" s="53" t="n">
        <f aca="false">B169+G169</f>
        <v>45694</v>
      </c>
      <c r="J169" s="39" t="str">
        <f aca="false">IF(G169=0,"Tunai",IF(I169="","Belum ditukar","Sudah ditukar"))</f>
        <v>Tunai</v>
      </c>
      <c r="K169" s="54" t="n">
        <v>7154000</v>
      </c>
      <c r="L169" s="51" t="n">
        <v>45694</v>
      </c>
      <c r="M169" s="52" t="n">
        <f aca="false">F169-K169</f>
        <v>0</v>
      </c>
      <c r="N169" s="39" t="str">
        <f aca="false">IF(M169&lt;=0,"Lunas",IF(K169&gt;0,"Sebagian","Belum Bayar"))</f>
        <v>Lunas</v>
      </c>
      <c r="O169" s="39" t="n">
        <f aca="false">IF(M169&gt;0,MAX(0,Catatan!$B$3-H169),0)</f>
        <v>0</v>
      </c>
      <c r="P169" s="39" t="str">
        <f aca="false">IF(M169&lt;=0,"Lunas",IF(Catatan!$B$3&lt;=H169,"Belum Jatuh Tempo",IF(O169&lt;=30,"1-30 hari",IF(O169&lt;=60,"31-60 hari",IF(O169&lt;=90,"61-90 hari","90+ hari")))))</f>
        <v>Lunas</v>
      </c>
      <c r="Q169" s="50"/>
      <c r="R169" s="39" t="str">
        <f aca="false">IF(M169&lt;=0,"",IF(O169&gt;60,"1-Tinggi",IF(O169&gt;30,"2-Sedang",IF(O169&gt;0,"3-Rendah","4-Pantau"))))</f>
        <v/>
      </c>
      <c r="S169" s="39" t="str">
        <f aca="false">IF(AND(M169&gt;0,O169&gt;0),O169+M169/1000000000000+ROW()/1000000000000000,"")</f>
        <v/>
      </c>
      <c r="T169" s="39" t="str">
        <f aca="false">IF(J169="Belum ditukar",ROW(),"")</f>
        <v/>
      </c>
    </row>
    <row r="170" customFormat="false" ht="15" hidden="false" customHeight="false" outlineLevel="0" collapsed="false">
      <c r="A170" s="50" t="s">
        <v>407</v>
      </c>
      <c r="B170" s="51" t="n">
        <v>45694</v>
      </c>
      <c r="C170" s="50" t="s">
        <v>408</v>
      </c>
      <c r="D170" s="39" t="str">
        <f aca="false">INDEX(Master_Customer!$B$2:$B$126,MATCH(C170,Master_Customer!$A$2:$A$126,0))</f>
        <v>SURYA GARAGE</v>
      </c>
      <c r="E170" s="50" t="s">
        <v>32</v>
      </c>
      <c r="F170" s="52" t="n">
        <f aca="false">SUMIFS(Data_Penjualan!$G$2:$G$5998,Data_Penjualan!$A$2:$A$5998,A170)</f>
        <v>9715100</v>
      </c>
      <c r="G170" s="39" t="n">
        <f aca="false">IF(E170="KANTOR",0,INDEX(Master_Customer!$C$2:$C$126,MATCH(C170,Master_Customer!$A$2:$A$126,0)))</f>
        <v>0</v>
      </c>
      <c r="H170" s="53" t="n">
        <f aca="false">B170+G170</f>
        <v>45694</v>
      </c>
      <c r="J170" s="39" t="str">
        <f aca="false">IF(G170=0,"Tunai",IF(I170="","Belum ditukar","Sudah ditukar"))</f>
        <v>Tunai</v>
      </c>
      <c r="K170" s="54" t="n">
        <v>9715100</v>
      </c>
      <c r="L170" s="51" t="n">
        <v>45695</v>
      </c>
      <c r="M170" s="52" t="n">
        <f aca="false">F170-K170</f>
        <v>0</v>
      </c>
      <c r="N170" s="39" t="str">
        <f aca="false">IF(M170&lt;=0,"Lunas",IF(K170&gt;0,"Sebagian","Belum Bayar"))</f>
        <v>Lunas</v>
      </c>
      <c r="O170" s="39" t="n">
        <f aca="false">IF(M170&gt;0,MAX(0,Catatan!$B$3-H170),0)</f>
        <v>0</v>
      </c>
      <c r="P170" s="39" t="str">
        <f aca="false">IF(M170&lt;=0,"Lunas",IF(Catatan!$B$3&lt;=H170,"Belum Jatuh Tempo",IF(O170&lt;=30,"1-30 hari",IF(O170&lt;=60,"31-60 hari",IF(O170&lt;=90,"61-90 hari","90+ hari")))))</f>
        <v>Lunas</v>
      </c>
      <c r="Q170" s="50"/>
      <c r="R170" s="39" t="str">
        <f aca="false">IF(M170&lt;=0,"",IF(O170&gt;60,"1-Tinggi",IF(O170&gt;30,"2-Sedang",IF(O170&gt;0,"3-Rendah","4-Pantau"))))</f>
        <v/>
      </c>
      <c r="S170" s="39" t="str">
        <f aca="false">IF(AND(M170&gt;0,O170&gt;0),O170+M170/1000000000000+ROW()/1000000000000000,"")</f>
        <v/>
      </c>
      <c r="T170" s="39" t="str">
        <f aca="false">IF(J170="Belum ditukar",ROW(),"")</f>
        <v/>
      </c>
    </row>
    <row r="171" customFormat="false" ht="15" hidden="false" customHeight="false" outlineLevel="0" collapsed="false">
      <c r="A171" s="50" t="s">
        <v>409</v>
      </c>
      <c r="B171" s="51" t="n">
        <v>45694</v>
      </c>
      <c r="C171" s="50" t="s">
        <v>410</v>
      </c>
      <c r="D171" s="39" t="str">
        <f aca="false">INDEX(Master_Customer!$B$2:$B$126,MATCH(C171,Master_Customer!$A$2:$A$126,0))</f>
        <v>BINTANG SERVICE</v>
      </c>
      <c r="E171" s="50" t="s">
        <v>32</v>
      </c>
      <c r="F171" s="52" t="n">
        <f aca="false">SUMIFS(Data_Penjualan!$G$2:$G$5998,Data_Penjualan!$A$2:$A$5998,A171)</f>
        <v>12916900</v>
      </c>
      <c r="G171" s="39" t="n">
        <f aca="false">IF(E171="KANTOR",0,INDEX(Master_Customer!$C$2:$C$126,MATCH(C171,Master_Customer!$A$2:$A$126,0)))</f>
        <v>0</v>
      </c>
      <c r="H171" s="53" t="n">
        <f aca="false">B171+G171</f>
        <v>45694</v>
      </c>
      <c r="J171" s="39" t="str">
        <f aca="false">IF(G171=0,"Tunai",IF(I171="","Belum ditukar","Sudah ditukar"))</f>
        <v>Tunai</v>
      </c>
      <c r="K171" s="54" t="n">
        <v>12916900</v>
      </c>
      <c r="L171" s="51" t="n">
        <v>45694</v>
      </c>
      <c r="M171" s="52" t="n">
        <f aca="false">F171-K171</f>
        <v>0</v>
      </c>
      <c r="N171" s="39" t="str">
        <f aca="false">IF(M171&lt;=0,"Lunas",IF(K171&gt;0,"Sebagian","Belum Bayar"))</f>
        <v>Lunas</v>
      </c>
      <c r="O171" s="39" t="n">
        <f aca="false">IF(M171&gt;0,MAX(0,Catatan!$B$3-H171),0)</f>
        <v>0</v>
      </c>
      <c r="P171" s="39" t="str">
        <f aca="false">IF(M171&lt;=0,"Lunas",IF(Catatan!$B$3&lt;=H171,"Belum Jatuh Tempo",IF(O171&lt;=30,"1-30 hari",IF(O171&lt;=60,"31-60 hari",IF(O171&lt;=90,"61-90 hari","90+ hari")))))</f>
        <v>Lunas</v>
      </c>
      <c r="Q171" s="50"/>
      <c r="R171" s="39" t="str">
        <f aca="false">IF(M171&lt;=0,"",IF(O171&gt;60,"1-Tinggi",IF(O171&gt;30,"2-Sedang",IF(O171&gt;0,"3-Rendah","4-Pantau"))))</f>
        <v/>
      </c>
      <c r="S171" s="39" t="str">
        <f aca="false">IF(AND(M171&gt;0,O171&gt;0),O171+M171/1000000000000+ROW()/1000000000000000,"")</f>
        <v/>
      </c>
      <c r="T171" s="39" t="str">
        <f aca="false">IF(J171="Belum ditukar",ROW(),"")</f>
        <v/>
      </c>
    </row>
    <row r="172" customFormat="false" ht="15" hidden="false" customHeight="false" outlineLevel="0" collapsed="false">
      <c r="A172" s="50" t="s">
        <v>411</v>
      </c>
      <c r="B172" s="51" t="n">
        <v>45695</v>
      </c>
      <c r="C172" s="50" t="s">
        <v>166</v>
      </c>
      <c r="D172" s="39" t="str">
        <f aca="false">INDEX(Master_Customer!$B$2:$B$126,MATCH(C172,Master_Customer!$A$2:$A$126,0))</f>
        <v>SENTOSA SERVICE</v>
      </c>
      <c r="E172" s="50" t="s">
        <v>30</v>
      </c>
      <c r="F172" s="52" t="n">
        <f aca="false">SUMIFS(Data_Penjualan!$G$2:$G$5998,Data_Penjualan!$A$2:$A$5998,A172)</f>
        <v>13229100</v>
      </c>
      <c r="G172" s="39" t="n">
        <f aca="false">IF(E172="KANTOR",0,INDEX(Master_Customer!$C$2:$C$126,MATCH(C172,Master_Customer!$A$2:$A$126,0)))</f>
        <v>0</v>
      </c>
      <c r="H172" s="53" t="n">
        <f aca="false">B172+G172</f>
        <v>45695</v>
      </c>
      <c r="J172" s="39" t="str">
        <f aca="false">IF(G172=0,"Tunai",IF(I172="","Belum ditukar","Sudah ditukar"))</f>
        <v>Tunai</v>
      </c>
      <c r="K172" s="54" t="n">
        <v>13229100</v>
      </c>
      <c r="L172" s="51" t="n">
        <v>45695</v>
      </c>
      <c r="M172" s="52" t="n">
        <f aca="false">F172-K172</f>
        <v>0</v>
      </c>
      <c r="N172" s="39" t="str">
        <f aca="false">IF(M172&lt;=0,"Lunas",IF(K172&gt;0,"Sebagian","Belum Bayar"))</f>
        <v>Lunas</v>
      </c>
      <c r="O172" s="39" t="n">
        <f aca="false">IF(M172&gt;0,MAX(0,Catatan!$B$3-H172),0)</f>
        <v>0</v>
      </c>
      <c r="P172" s="39" t="str">
        <f aca="false">IF(M172&lt;=0,"Lunas",IF(Catatan!$B$3&lt;=H172,"Belum Jatuh Tempo",IF(O172&lt;=30,"1-30 hari",IF(O172&lt;=60,"31-60 hari",IF(O172&lt;=90,"61-90 hari","90+ hari")))))</f>
        <v>Lunas</v>
      </c>
      <c r="Q172" s="50"/>
      <c r="R172" s="39" t="str">
        <f aca="false">IF(M172&lt;=0,"",IF(O172&gt;60,"1-Tinggi",IF(O172&gt;30,"2-Sedang",IF(O172&gt;0,"3-Rendah","4-Pantau"))))</f>
        <v/>
      </c>
      <c r="S172" s="39" t="str">
        <f aca="false">IF(AND(M172&gt;0,O172&gt;0),O172+M172/1000000000000+ROW()/1000000000000000,"")</f>
        <v/>
      </c>
      <c r="T172" s="39" t="str">
        <f aca="false">IF(J172="Belum ditukar",ROW(),"")</f>
        <v/>
      </c>
    </row>
    <row r="173" customFormat="false" ht="15" hidden="false" customHeight="false" outlineLevel="0" collapsed="false">
      <c r="A173" s="50" t="s">
        <v>412</v>
      </c>
      <c r="B173" s="51" t="n">
        <v>45695</v>
      </c>
      <c r="C173" s="50" t="s">
        <v>223</v>
      </c>
      <c r="D173" s="39" t="str">
        <f aca="false">INDEX(Master_Customer!$B$2:$B$126,MATCH(C173,Master_Customer!$A$2:$A$126,0))</f>
        <v>ABADI AUTO UTAMA</v>
      </c>
      <c r="E173" s="50" t="s">
        <v>31</v>
      </c>
      <c r="F173" s="52" t="n">
        <f aca="false">SUMIFS(Data_Penjualan!$G$2:$G$5998,Data_Penjualan!$A$2:$A$5998,A173)</f>
        <v>9362400</v>
      </c>
      <c r="G173" s="39" t="n">
        <f aca="false">IF(E173="KANTOR",0,INDEX(Master_Customer!$C$2:$C$126,MATCH(C173,Master_Customer!$A$2:$A$126,0)))</f>
        <v>14</v>
      </c>
      <c r="H173" s="53" t="n">
        <f aca="false">B173+G173</f>
        <v>45709</v>
      </c>
      <c r="I173" s="51" t="n">
        <v>45696</v>
      </c>
      <c r="J173" s="39" t="str">
        <f aca="false">IF(G173=0,"Tunai",IF(I173="","Belum ditukar","Sudah ditukar"))</f>
        <v>Sudah ditukar</v>
      </c>
      <c r="K173" s="54" t="n">
        <v>9362400</v>
      </c>
      <c r="L173" s="51" t="n">
        <v>45762</v>
      </c>
      <c r="M173" s="52" t="n">
        <f aca="false">F173-K173</f>
        <v>0</v>
      </c>
      <c r="N173" s="39" t="str">
        <f aca="false">IF(M173&lt;=0,"Lunas",IF(K173&gt;0,"Sebagian","Belum Bayar"))</f>
        <v>Lunas</v>
      </c>
      <c r="O173" s="39" t="n">
        <f aca="false">IF(M173&gt;0,MAX(0,Catatan!$B$3-H173),0)</f>
        <v>0</v>
      </c>
      <c r="P173" s="39" t="str">
        <f aca="false">IF(M173&lt;=0,"Lunas",IF(Catatan!$B$3&lt;=H173,"Belum Jatuh Tempo",IF(O173&lt;=30,"1-30 hari",IF(O173&lt;=60,"31-60 hari",IF(O173&lt;=90,"61-90 hari","90+ hari")))))</f>
        <v>Lunas</v>
      </c>
      <c r="Q173" s="50"/>
      <c r="R173" s="39" t="str">
        <f aca="false">IF(M173&lt;=0,"",IF(O173&gt;60,"1-Tinggi",IF(O173&gt;30,"2-Sedang",IF(O173&gt;0,"3-Rendah","4-Pantau"))))</f>
        <v/>
      </c>
      <c r="S173" s="39" t="str">
        <f aca="false">IF(AND(M173&gt;0,O173&gt;0),O173+M173/1000000000000+ROW()/1000000000000000,"")</f>
        <v/>
      </c>
      <c r="T173" s="39" t="str">
        <f aca="false">IF(J173="Belum ditukar",ROW(),"")</f>
        <v/>
      </c>
    </row>
    <row r="174" customFormat="false" ht="15" hidden="false" customHeight="false" outlineLevel="0" collapsed="false">
      <c r="A174" s="50" t="s">
        <v>413</v>
      </c>
      <c r="B174" s="51" t="n">
        <v>45695</v>
      </c>
      <c r="C174" s="50" t="s">
        <v>382</v>
      </c>
      <c r="D174" s="39" t="str">
        <f aca="false">INDEX(Master_Customer!$B$2:$B$126,MATCH(C174,Master_Customer!$A$2:$A$126,0))</f>
        <v>BERKAH SPAREPART</v>
      </c>
      <c r="E174" s="50" t="s">
        <v>29</v>
      </c>
      <c r="F174" s="52" t="n">
        <f aca="false">SUMIFS(Data_Penjualan!$G$2:$G$5998,Data_Penjualan!$A$2:$A$5998,A174)</f>
        <v>15244200</v>
      </c>
      <c r="G174" s="39" t="n">
        <f aca="false">IF(E174="KANTOR",0,INDEX(Master_Customer!$C$2:$C$126,MATCH(C174,Master_Customer!$A$2:$A$126,0)))</f>
        <v>30</v>
      </c>
      <c r="H174" s="53" t="n">
        <f aca="false">B174+G174</f>
        <v>45725</v>
      </c>
      <c r="I174" s="51" t="n">
        <v>45697</v>
      </c>
      <c r="J174" s="39" t="str">
        <f aca="false">IF(G174=0,"Tunai",IF(I174="","Belum ditukar","Sudah ditukar"))</f>
        <v>Sudah ditukar</v>
      </c>
      <c r="K174" s="54" t="n">
        <v>15244200</v>
      </c>
      <c r="L174" s="51" t="n">
        <v>45751</v>
      </c>
      <c r="M174" s="52" t="n">
        <f aca="false">F174-K174</f>
        <v>0</v>
      </c>
      <c r="N174" s="39" t="str">
        <f aca="false">IF(M174&lt;=0,"Lunas",IF(K174&gt;0,"Sebagian","Belum Bayar"))</f>
        <v>Lunas</v>
      </c>
      <c r="O174" s="39" t="n">
        <f aca="false">IF(M174&gt;0,MAX(0,Catatan!$B$3-H174),0)</f>
        <v>0</v>
      </c>
      <c r="P174" s="39" t="str">
        <f aca="false">IF(M174&lt;=0,"Lunas",IF(Catatan!$B$3&lt;=H174,"Belum Jatuh Tempo",IF(O174&lt;=30,"1-30 hari",IF(O174&lt;=60,"31-60 hari",IF(O174&lt;=90,"61-90 hari","90+ hari")))))</f>
        <v>Lunas</v>
      </c>
      <c r="Q174" s="50"/>
      <c r="R174" s="39" t="str">
        <f aca="false">IF(M174&lt;=0,"",IF(O174&gt;60,"1-Tinggi",IF(O174&gt;30,"2-Sedang",IF(O174&gt;0,"3-Rendah","4-Pantau"))))</f>
        <v/>
      </c>
      <c r="S174" s="39" t="str">
        <f aca="false">IF(AND(M174&gt;0,O174&gt;0),O174+M174/1000000000000+ROW()/1000000000000000,"")</f>
        <v/>
      </c>
      <c r="T174" s="39" t="str">
        <f aca="false">IF(J174="Belum ditukar",ROW(),"")</f>
        <v/>
      </c>
    </row>
    <row r="175" customFormat="false" ht="15" hidden="false" customHeight="false" outlineLevel="0" collapsed="false">
      <c r="A175" s="50" t="s">
        <v>414</v>
      </c>
      <c r="B175" s="51" t="n">
        <v>45695</v>
      </c>
      <c r="C175" s="50" t="s">
        <v>168</v>
      </c>
      <c r="D175" s="39" t="str">
        <f aca="false">INDEX(Master_Customer!$B$2:$B$126,MATCH(C175,Master_Customer!$A$2:$A$126,0))</f>
        <v>JAYA LUBRICANT</v>
      </c>
      <c r="E175" s="50" t="s">
        <v>29</v>
      </c>
      <c r="F175" s="52" t="n">
        <f aca="false">SUMIFS(Data_Penjualan!$G$2:$G$5998,Data_Penjualan!$A$2:$A$5998,A175)</f>
        <v>2632700</v>
      </c>
      <c r="G175" s="39" t="n">
        <f aca="false">IF(E175="KANTOR",0,INDEX(Master_Customer!$C$2:$C$126,MATCH(C175,Master_Customer!$A$2:$A$126,0)))</f>
        <v>0</v>
      </c>
      <c r="H175" s="53" t="n">
        <f aca="false">B175+G175</f>
        <v>45695</v>
      </c>
      <c r="J175" s="39" t="str">
        <f aca="false">IF(G175=0,"Tunai",IF(I175="","Belum ditukar","Sudah ditukar"))</f>
        <v>Tunai</v>
      </c>
      <c r="K175" s="54" t="n">
        <v>2632700</v>
      </c>
      <c r="L175" s="51" t="n">
        <v>45695</v>
      </c>
      <c r="M175" s="52" t="n">
        <f aca="false">F175-K175</f>
        <v>0</v>
      </c>
      <c r="N175" s="39" t="str">
        <f aca="false">IF(M175&lt;=0,"Lunas",IF(K175&gt;0,"Sebagian","Belum Bayar"))</f>
        <v>Lunas</v>
      </c>
      <c r="O175" s="39" t="n">
        <f aca="false">IF(M175&gt;0,MAX(0,Catatan!$B$3-H175),0)</f>
        <v>0</v>
      </c>
      <c r="P175" s="39" t="str">
        <f aca="false">IF(M175&lt;=0,"Lunas",IF(Catatan!$B$3&lt;=H175,"Belum Jatuh Tempo",IF(O175&lt;=30,"1-30 hari",IF(O175&lt;=60,"31-60 hari",IF(O175&lt;=90,"61-90 hari","90+ hari")))))</f>
        <v>Lunas</v>
      </c>
      <c r="Q175" s="50"/>
      <c r="R175" s="39" t="str">
        <f aca="false">IF(M175&lt;=0,"",IF(O175&gt;60,"1-Tinggi",IF(O175&gt;30,"2-Sedang",IF(O175&gt;0,"3-Rendah","4-Pantau"))))</f>
        <v/>
      </c>
      <c r="S175" s="39" t="str">
        <f aca="false">IF(AND(M175&gt;0,O175&gt;0),O175+M175/1000000000000+ROW()/1000000000000000,"")</f>
        <v/>
      </c>
      <c r="T175" s="39" t="str">
        <f aca="false">IF(J175="Belum ditukar",ROW(),"")</f>
        <v/>
      </c>
    </row>
    <row r="176" customFormat="false" ht="15" hidden="false" customHeight="false" outlineLevel="0" collapsed="false">
      <c r="A176" s="50" t="s">
        <v>415</v>
      </c>
      <c r="B176" s="51" t="n">
        <v>45695</v>
      </c>
      <c r="C176" s="50" t="s">
        <v>416</v>
      </c>
      <c r="D176" s="39" t="str">
        <f aca="false">INDEX(Master_Customer!$B$2:$B$126,MATCH(C176,Master_Customer!$A$2:$A$126,0))</f>
        <v>KARYA SERVICE</v>
      </c>
      <c r="E176" s="50" t="s">
        <v>30</v>
      </c>
      <c r="F176" s="52" t="n">
        <f aca="false">SUMIFS(Data_Penjualan!$G$2:$G$5998,Data_Penjualan!$A$2:$A$5998,A176)</f>
        <v>20809600</v>
      </c>
      <c r="G176" s="39" t="n">
        <f aca="false">IF(E176="KANTOR",0,INDEX(Master_Customer!$C$2:$C$126,MATCH(C176,Master_Customer!$A$2:$A$126,0)))</f>
        <v>0</v>
      </c>
      <c r="H176" s="53" t="n">
        <f aca="false">B176+G176</f>
        <v>45695</v>
      </c>
      <c r="J176" s="39" t="str">
        <f aca="false">IF(G176=0,"Tunai",IF(I176="","Belum ditukar","Sudah ditukar"))</f>
        <v>Tunai</v>
      </c>
      <c r="K176" s="54" t="n">
        <v>20809600</v>
      </c>
      <c r="L176" s="51" t="n">
        <v>45705</v>
      </c>
      <c r="M176" s="52" t="n">
        <f aca="false">F176-K176</f>
        <v>0</v>
      </c>
      <c r="N176" s="39" t="str">
        <f aca="false">IF(M176&lt;=0,"Lunas",IF(K176&gt;0,"Sebagian","Belum Bayar"))</f>
        <v>Lunas</v>
      </c>
      <c r="O176" s="39" t="n">
        <f aca="false">IF(M176&gt;0,MAX(0,Catatan!$B$3-H176),0)</f>
        <v>0</v>
      </c>
      <c r="P176" s="39" t="str">
        <f aca="false">IF(M176&lt;=0,"Lunas",IF(Catatan!$B$3&lt;=H176,"Belum Jatuh Tempo",IF(O176&lt;=30,"1-30 hari",IF(O176&lt;=60,"31-60 hari",IF(O176&lt;=90,"61-90 hari","90+ hari")))))</f>
        <v>Lunas</v>
      </c>
      <c r="Q176" s="50"/>
      <c r="R176" s="39" t="str">
        <f aca="false">IF(M176&lt;=0,"",IF(O176&gt;60,"1-Tinggi",IF(O176&gt;30,"2-Sedang",IF(O176&gt;0,"3-Rendah","4-Pantau"))))</f>
        <v/>
      </c>
      <c r="S176" s="39" t="str">
        <f aca="false">IF(AND(M176&gt;0,O176&gt;0),O176+M176/1000000000000+ROW()/1000000000000000,"")</f>
        <v/>
      </c>
      <c r="T176" s="39" t="str">
        <f aca="false">IF(J176="Belum ditukar",ROW(),"")</f>
        <v/>
      </c>
    </row>
    <row r="177" customFormat="false" ht="15" hidden="false" customHeight="false" outlineLevel="0" collapsed="false">
      <c r="A177" s="50" t="s">
        <v>417</v>
      </c>
      <c r="B177" s="51" t="n">
        <v>45695</v>
      </c>
      <c r="C177" s="50" t="s">
        <v>329</v>
      </c>
      <c r="D177" s="39" t="str">
        <f aca="false">INDEX(Master_Customer!$B$2:$B$126,MATCH(C177,Master_Customer!$A$2:$A$126,0))</f>
        <v>MAKMUR OLI</v>
      </c>
      <c r="E177" s="50" t="s">
        <v>28</v>
      </c>
      <c r="F177" s="52" t="n">
        <f aca="false">SUMIFS(Data_Penjualan!$G$2:$G$5998,Data_Penjualan!$A$2:$A$5998,A177)</f>
        <v>2085000</v>
      </c>
      <c r="G177" s="39" t="n">
        <f aca="false">IF(E177="KANTOR",0,INDEX(Master_Customer!$C$2:$C$126,MATCH(C177,Master_Customer!$A$2:$A$126,0)))</f>
        <v>45</v>
      </c>
      <c r="H177" s="53" t="n">
        <f aca="false">B177+G177</f>
        <v>45740</v>
      </c>
      <c r="I177" s="51" t="n">
        <v>45700</v>
      </c>
      <c r="J177" s="39" t="str">
        <f aca="false">IF(G177=0,"Tunai",IF(I177="","Belum ditukar","Sudah ditukar"))</f>
        <v>Sudah ditukar</v>
      </c>
      <c r="K177" s="54" t="n">
        <v>2085000</v>
      </c>
      <c r="L177" s="51" t="n">
        <v>45773</v>
      </c>
      <c r="M177" s="52" t="n">
        <f aca="false">F177-K177</f>
        <v>0</v>
      </c>
      <c r="N177" s="39" t="str">
        <f aca="false">IF(M177&lt;=0,"Lunas",IF(K177&gt;0,"Sebagian","Belum Bayar"))</f>
        <v>Lunas</v>
      </c>
      <c r="O177" s="39" t="n">
        <f aca="false">IF(M177&gt;0,MAX(0,Catatan!$B$3-H177),0)</f>
        <v>0</v>
      </c>
      <c r="P177" s="39" t="str">
        <f aca="false">IF(M177&lt;=0,"Lunas",IF(Catatan!$B$3&lt;=H177,"Belum Jatuh Tempo",IF(O177&lt;=30,"1-30 hari",IF(O177&lt;=60,"31-60 hari",IF(O177&lt;=90,"61-90 hari","90+ hari")))))</f>
        <v>Lunas</v>
      </c>
      <c r="Q177" s="50"/>
      <c r="R177" s="39" t="str">
        <f aca="false">IF(M177&lt;=0,"",IF(O177&gt;60,"1-Tinggi",IF(O177&gt;30,"2-Sedang",IF(O177&gt;0,"3-Rendah","4-Pantau"))))</f>
        <v/>
      </c>
      <c r="S177" s="39" t="str">
        <f aca="false">IF(AND(M177&gt;0,O177&gt;0),O177+M177/1000000000000+ROW()/1000000000000000,"")</f>
        <v/>
      </c>
      <c r="T177" s="39" t="str">
        <f aca="false">IF(J177="Belum ditukar",ROW(),"")</f>
        <v/>
      </c>
    </row>
    <row r="178" customFormat="false" ht="15" hidden="false" customHeight="false" outlineLevel="0" collapsed="false">
      <c r="A178" s="50" t="s">
        <v>418</v>
      </c>
      <c r="B178" s="51" t="n">
        <v>45695</v>
      </c>
      <c r="C178" s="50" t="s">
        <v>419</v>
      </c>
      <c r="D178" s="39" t="str">
        <f aca="false">INDEX(Master_Customer!$B$2:$B$126,MATCH(C178,Master_Customer!$A$2:$A$126,0))</f>
        <v>UTAMA MOTOR</v>
      </c>
      <c r="E178" s="50" t="s">
        <v>30</v>
      </c>
      <c r="F178" s="52" t="n">
        <f aca="false">SUMIFS(Data_Penjualan!$G$2:$G$5998,Data_Penjualan!$A$2:$A$5998,A178)</f>
        <v>20184900</v>
      </c>
      <c r="G178" s="39" t="n">
        <f aca="false">IF(E178="KANTOR",0,INDEX(Master_Customer!$C$2:$C$126,MATCH(C178,Master_Customer!$A$2:$A$126,0)))</f>
        <v>14</v>
      </c>
      <c r="H178" s="53" t="n">
        <f aca="false">B178+G178</f>
        <v>45709</v>
      </c>
      <c r="I178" s="51" t="n">
        <v>45697</v>
      </c>
      <c r="J178" s="39" t="str">
        <f aca="false">IF(G178=0,"Tunai",IF(I178="","Belum ditukar","Sudah ditukar"))</f>
        <v>Sudah ditukar</v>
      </c>
      <c r="K178" s="54" t="n">
        <v>20184900</v>
      </c>
      <c r="L178" s="51" t="n">
        <v>45715</v>
      </c>
      <c r="M178" s="52" t="n">
        <f aca="false">F178-K178</f>
        <v>0</v>
      </c>
      <c r="N178" s="39" t="str">
        <f aca="false">IF(M178&lt;=0,"Lunas",IF(K178&gt;0,"Sebagian","Belum Bayar"))</f>
        <v>Lunas</v>
      </c>
      <c r="O178" s="39" t="n">
        <f aca="false">IF(M178&gt;0,MAX(0,Catatan!$B$3-H178),0)</f>
        <v>0</v>
      </c>
      <c r="P178" s="39" t="str">
        <f aca="false">IF(M178&lt;=0,"Lunas",IF(Catatan!$B$3&lt;=H178,"Belum Jatuh Tempo",IF(O178&lt;=30,"1-30 hari",IF(O178&lt;=60,"31-60 hari",IF(O178&lt;=90,"61-90 hari","90+ hari")))))</f>
        <v>Lunas</v>
      </c>
      <c r="Q178" s="50"/>
      <c r="R178" s="39" t="str">
        <f aca="false">IF(M178&lt;=0,"",IF(O178&gt;60,"1-Tinggi",IF(O178&gt;30,"2-Sedang",IF(O178&gt;0,"3-Rendah","4-Pantau"))))</f>
        <v/>
      </c>
      <c r="S178" s="39" t="str">
        <f aca="false">IF(AND(M178&gt;0,O178&gt;0),O178+M178/1000000000000+ROW()/1000000000000000,"")</f>
        <v/>
      </c>
      <c r="T178" s="39" t="str">
        <f aca="false">IF(J178="Belum ditukar",ROW(),"")</f>
        <v/>
      </c>
    </row>
    <row r="179" customFormat="false" ht="15" hidden="false" customHeight="false" outlineLevel="0" collapsed="false">
      <c r="A179" s="50" t="s">
        <v>420</v>
      </c>
      <c r="B179" s="51" t="n">
        <v>45695</v>
      </c>
      <c r="C179" s="50" t="s">
        <v>421</v>
      </c>
      <c r="D179" s="39" t="str">
        <f aca="false">INDEX(Master_Customer!$B$2:$B$126,MATCH(C179,Master_Customer!$A$2:$A$126,0))</f>
        <v>MITRA BENGKEL</v>
      </c>
      <c r="E179" s="50" t="s">
        <v>28</v>
      </c>
      <c r="F179" s="52" t="n">
        <f aca="false">SUMIFS(Data_Penjualan!$G$2:$G$5998,Data_Penjualan!$A$2:$A$5998,A179)</f>
        <v>15407600</v>
      </c>
      <c r="G179" s="39" t="n">
        <f aca="false">IF(E179="KANTOR",0,INDEX(Master_Customer!$C$2:$C$126,MATCH(C179,Master_Customer!$A$2:$A$126,0)))</f>
        <v>30</v>
      </c>
      <c r="H179" s="53" t="n">
        <f aca="false">B179+G179</f>
        <v>45725</v>
      </c>
      <c r="I179" s="51" t="n">
        <v>45698</v>
      </c>
      <c r="J179" s="39" t="str">
        <f aca="false">IF(G179=0,"Tunai",IF(I179="","Belum ditukar","Sudah ditukar"))</f>
        <v>Sudah ditukar</v>
      </c>
      <c r="K179" s="54" t="n">
        <v>6502800</v>
      </c>
      <c r="L179" s="51" t="n">
        <v>45878</v>
      </c>
      <c r="M179" s="52" t="n">
        <f aca="false">F179-K179</f>
        <v>8904800</v>
      </c>
      <c r="N179" s="39" t="str">
        <f aca="false">IF(M179&lt;=0,"Lunas",IF(K179&gt;0,"Sebagian","Belum Bayar"))</f>
        <v>Sebagian</v>
      </c>
      <c r="O179" s="39" t="n">
        <f aca="false">IF(M179&gt;0,MAX(0,Catatan!$B$3-H179),0)</f>
        <v>297</v>
      </c>
      <c r="P179" s="39" t="str">
        <f aca="false">IF(M179&lt;=0,"Lunas",IF(Catatan!$B$3&lt;=H179,"Belum Jatuh Tempo",IF(O179&lt;=30,"1-30 hari",IF(O179&lt;=60,"31-60 hari",IF(O179&lt;=90,"61-90 hari","90+ hari")))))</f>
        <v>90+ hari</v>
      </c>
      <c r="Q179" s="50" t="s">
        <v>422</v>
      </c>
      <c r="R179" s="39" t="str">
        <f aca="false">IF(M179&lt;=0,"",IF(O179&gt;60,"1-Tinggi",IF(O179&gt;30,"2-Sedang",IF(O179&gt;0,"3-Rendah","4-Pantau"))))</f>
        <v>1-Tinggi</v>
      </c>
      <c r="S179" s="39" t="n">
        <f aca="false">IF(AND(M179&gt;0,O179&gt;0),O179+M179/1000000000000+ROW()/1000000000000000,"")</f>
        <v>297.0000089048</v>
      </c>
      <c r="T179" s="39" t="str">
        <f aca="false">IF(J179="Belum ditukar",ROW(),"")</f>
        <v/>
      </c>
    </row>
    <row r="180" customFormat="false" ht="15" hidden="false" customHeight="false" outlineLevel="0" collapsed="false">
      <c r="A180" s="50" t="s">
        <v>423</v>
      </c>
      <c r="B180" s="51" t="n">
        <v>45695</v>
      </c>
      <c r="C180" s="50" t="s">
        <v>174</v>
      </c>
      <c r="D180" s="39" t="str">
        <f aca="false">INDEX(Master_Customer!$B$2:$B$126,MATCH(C180,Master_Customer!$A$2:$A$126,0))</f>
        <v>SUMBER TEKNIK SURYA</v>
      </c>
      <c r="E180" s="50" t="s">
        <v>31</v>
      </c>
      <c r="F180" s="52" t="n">
        <f aca="false">SUMIFS(Data_Penjualan!$G$2:$G$5998,Data_Penjualan!$A$2:$A$5998,A180)</f>
        <v>8905100</v>
      </c>
      <c r="G180" s="39" t="n">
        <f aca="false">IF(E180="KANTOR",0,INDEX(Master_Customer!$C$2:$C$126,MATCH(C180,Master_Customer!$A$2:$A$126,0)))</f>
        <v>30</v>
      </c>
      <c r="H180" s="53" t="n">
        <f aca="false">B180+G180</f>
        <v>45725</v>
      </c>
      <c r="I180" s="51" t="n">
        <v>45698</v>
      </c>
      <c r="J180" s="39" t="str">
        <f aca="false">IF(G180=0,"Tunai",IF(I180="","Belum ditukar","Sudah ditukar"))</f>
        <v>Sudah ditukar</v>
      </c>
      <c r="K180" s="54" t="n">
        <v>8905100</v>
      </c>
      <c r="L180" s="51" t="n">
        <v>45726</v>
      </c>
      <c r="M180" s="52" t="n">
        <f aca="false">F180-K180</f>
        <v>0</v>
      </c>
      <c r="N180" s="39" t="str">
        <f aca="false">IF(M180&lt;=0,"Lunas",IF(K180&gt;0,"Sebagian","Belum Bayar"))</f>
        <v>Lunas</v>
      </c>
      <c r="O180" s="39" t="n">
        <f aca="false">IF(M180&gt;0,MAX(0,Catatan!$B$3-H180),0)</f>
        <v>0</v>
      </c>
      <c r="P180" s="39" t="str">
        <f aca="false">IF(M180&lt;=0,"Lunas",IF(Catatan!$B$3&lt;=H180,"Belum Jatuh Tempo",IF(O180&lt;=30,"1-30 hari",IF(O180&lt;=60,"31-60 hari",IF(O180&lt;=90,"61-90 hari","90+ hari")))))</f>
        <v>Lunas</v>
      </c>
      <c r="Q180" s="50"/>
      <c r="R180" s="39" t="str">
        <f aca="false">IF(M180&lt;=0,"",IF(O180&gt;60,"1-Tinggi",IF(O180&gt;30,"2-Sedang",IF(O180&gt;0,"3-Rendah","4-Pantau"))))</f>
        <v/>
      </c>
      <c r="S180" s="39" t="str">
        <f aca="false">IF(AND(M180&gt;0,O180&gt;0),O180+M180/1000000000000+ROW()/1000000000000000,"")</f>
        <v/>
      </c>
      <c r="T180" s="39" t="str">
        <f aca="false">IF(J180="Belum ditukar",ROW(),"")</f>
        <v/>
      </c>
    </row>
    <row r="181" customFormat="false" ht="15" hidden="false" customHeight="false" outlineLevel="0" collapsed="false">
      <c r="A181" s="50" t="s">
        <v>424</v>
      </c>
      <c r="B181" s="51" t="n">
        <v>45695</v>
      </c>
      <c r="C181" s="50" t="s">
        <v>280</v>
      </c>
      <c r="D181" s="39" t="str">
        <f aca="false">INDEX(Master_Customer!$B$2:$B$126,MATCH(C181,Master_Customer!$A$2:$A$126,0))</f>
        <v>CAHAYA TEKNIK SURYA</v>
      </c>
      <c r="E181" s="50" t="s">
        <v>32</v>
      </c>
      <c r="F181" s="52" t="n">
        <f aca="false">SUMIFS(Data_Penjualan!$G$2:$G$5998,Data_Penjualan!$A$2:$A$5998,A181)</f>
        <v>8440200</v>
      </c>
      <c r="G181" s="39" t="n">
        <f aca="false">IF(E181="KANTOR",0,INDEX(Master_Customer!$C$2:$C$126,MATCH(C181,Master_Customer!$A$2:$A$126,0)))</f>
        <v>0</v>
      </c>
      <c r="H181" s="53" t="n">
        <f aca="false">B181+G181</f>
        <v>45695</v>
      </c>
      <c r="J181" s="39" t="str">
        <f aca="false">IF(G181=0,"Tunai",IF(I181="","Belum ditukar","Sudah ditukar"))</f>
        <v>Tunai</v>
      </c>
      <c r="K181" s="54" t="n">
        <v>8440200</v>
      </c>
      <c r="L181" s="51" t="n">
        <v>45695</v>
      </c>
      <c r="M181" s="52" t="n">
        <f aca="false">F181-K181</f>
        <v>0</v>
      </c>
      <c r="N181" s="39" t="str">
        <f aca="false">IF(M181&lt;=0,"Lunas",IF(K181&gt;0,"Sebagian","Belum Bayar"))</f>
        <v>Lunas</v>
      </c>
      <c r="O181" s="39" t="n">
        <f aca="false">IF(M181&gt;0,MAX(0,Catatan!$B$3-H181),0)</f>
        <v>0</v>
      </c>
      <c r="P181" s="39" t="str">
        <f aca="false">IF(M181&lt;=0,"Lunas",IF(Catatan!$B$3&lt;=H181,"Belum Jatuh Tempo",IF(O181&lt;=30,"1-30 hari",IF(O181&lt;=60,"31-60 hari",IF(O181&lt;=90,"61-90 hari","90+ hari")))))</f>
        <v>Lunas</v>
      </c>
      <c r="Q181" s="50"/>
      <c r="R181" s="39" t="str">
        <f aca="false">IF(M181&lt;=0,"",IF(O181&gt;60,"1-Tinggi",IF(O181&gt;30,"2-Sedang",IF(O181&gt;0,"3-Rendah","4-Pantau"))))</f>
        <v/>
      </c>
      <c r="S181" s="39" t="str">
        <f aca="false">IF(AND(M181&gt;0,O181&gt;0),O181+M181/1000000000000+ROW()/1000000000000000,"")</f>
        <v/>
      </c>
      <c r="T181" s="39" t="str">
        <f aca="false">IF(J181="Belum ditukar",ROW(),"")</f>
        <v/>
      </c>
    </row>
    <row r="182" customFormat="false" ht="15" hidden="false" customHeight="false" outlineLevel="0" collapsed="false">
      <c r="A182" s="50" t="s">
        <v>425</v>
      </c>
      <c r="B182" s="51" t="n">
        <v>45695</v>
      </c>
      <c r="C182" s="50" t="s">
        <v>358</v>
      </c>
      <c r="D182" s="39" t="str">
        <f aca="false">INDEX(Master_Customer!$B$2:$B$126,MATCH(C182,Master_Customer!$A$2:$A$126,0))</f>
        <v>HARAPAN TEKNIK</v>
      </c>
      <c r="E182" s="50" t="s">
        <v>32</v>
      </c>
      <c r="F182" s="52" t="n">
        <f aca="false">SUMIFS(Data_Penjualan!$G$2:$G$5998,Data_Penjualan!$A$2:$A$5998,A182)</f>
        <v>6464600</v>
      </c>
      <c r="G182" s="39" t="n">
        <f aca="false">IF(E182="KANTOR",0,INDEX(Master_Customer!$C$2:$C$126,MATCH(C182,Master_Customer!$A$2:$A$126,0)))</f>
        <v>0</v>
      </c>
      <c r="H182" s="53" t="n">
        <f aca="false">B182+G182</f>
        <v>45695</v>
      </c>
      <c r="J182" s="39" t="str">
        <f aca="false">IF(G182=0,"Tunai",IF(I182="","Belum ditukar","Sudah ditukar"))</f>
        <v>Tunai</v>
      </c>
      <c r="K182" s="54" t="n">
        <v>6464600</v>
      </c>
      <c r="L182" s="51" t="n">
        <v>45696</v>
      </c>
      <c r="M182" s="52" t="n">
        <f aca="false">F182-K182</f>
        <v>0</v>
      </c>
      <c r="N182" s="39" t="str">
        <f aca="false">IF(M182&lt;=0,"Lunas",IF(K182&gt;0,"Sebagian","Belum Bayar"))</f>
        <v>Lunas</v>
      </c>
      <c r="O182" s="39" t="n">
        <f aca="false">IF(M182&gt;0,MAX(0,Catatan!$B$3-H182),0)</f>
        <v>0</v>
      </c>
      <c r="P182" s="39" t="str">
        <f aca="false">IF(M182&lt;=0,"Lunas",IF(Catatan!$B$3&lt;=H182,"Belum Jatuh Tempo",IF(O182&lt;=30,"1-30 hari",IF(O182&lt;=60,"31-60 hari",IF(O182&lt;=90,"61-90 hari","90+ hari")))))</f>
        <v>Lunas</v>
      </c>
      <c r="Q182" s="50"/>
      <c r="R182" s="39" t="str">
        <f aca="false">IF(M182&lt;=0,"",IF(O182&gt;60,"1-Tinggi",IF(O182&gt;30,"2-Sedang",IF(O182&gt;0,"3-Rendah","4-Pantau"))))</f>
        <v/>
      </c>
      <c r="S182" s="39" t="str">
        <f aca="false">IF(AND(M182&gt;0,O182&gt;0),O182+M182/1000000000000+ROW()/1000000000000000,"")</f>
        <v/>
      </c>
      <c r="T182" s="39" t="str">
        <f aca="false">IF(J182="Belum ditukar",ROW(),"")</f>
        <v/>
      </c>
    </row>
    <row r="183" customFormat="false" ht="15" hidden="false" customHeight="false" outlineLevel="0" collapsed="false">
      <c r="A183" s="50" t="s">
        <v>426</v>
      </c>
      <c r="B183" s="51" t="n">
        <v>45696</v>
      </c>
      <c r="C183" s="50" t="s">
        <v>174</v>
      </c>
      <c r="D183" s="39" t="str">
        <f aca="false">INDEX(Master_Customer!$B$2:$B$126,MATCH(C183,Master_Customer!$A$2:$A$126,0))</f>
        <v>SUMBER TEKNIK SURYA</v>
      </c>
      <c r="E183" s="50" t="s">
        <v>32</v>
      </c>
      <c r="F183" s="52" t="n">
        <f aca="false">SUMIFS(Data_Penjualan!$G$2:$G$5998,Data_Penjualan!$A$2:$A$5998,A183)</f>
        <v>21585700</v>
      </c>
      <c r="G183" s="39" t="n">
        <f aca="false">IF(E183="KANTOR",0,INDEX(Master_Customer!$C$2:$C$126,MATCH(C183,Master_Customer!$A$2:$A$126,0)))</f>
        <v>0</v>
      </c>
      <c r="H183" s="53" t="n">
        <f aca="false">B183+G183</f>
        <v>45696</v>
      </c>
      <c r="J183" s="39" t="str">
        <f aca="false">IF(G183=0,"Tunai",IF(I183="","Belum ditukar","Sudah ditukar"))</f>
        <v>Tunai</v>
      </c>
      <c r="K183" s="54" t="n">
        <v>21585700</v>
      </c>
      <c r="L183" s="51" t="n">
        <v>45696</v>
      </c>
      <c r="M183" s="52" t="n">
        <f aca="false">F183-K183</f>
        <v>0</v>
      </c>
      <c r="N183" s="39" t="str">
        <f aca="false">IF(M183&lt;=0,"Lunas",IF(K183&gt;0,"Sebagian","Belum Bayar"))</f>
        <v>Lunas</v>
      </c>
      <c r="O183" s="39" t="n">
        <f aca="false">IF(M183&gt;0,MAX(0,Catatan!$B$3-H183),0)</f>
        <v>0</v>
      </c>
      <c r="P183" s="39" t="str">
        <f aca="false">IF(M183&lt;=0,"Lunas",IF(Catatan!$B$3&lt;=H183,"Belum Jatuh Tempo",IF(O183&lt;=30,"1-30 hari",IF(O183&lt;=60,"31-60 hari",IF(O183&lt;=90,"61-90 hari","90+ hari")))))</f>
        <v>Lunas</v>
      </c>
      <c r="Q183" s="50"/>
      <c r="R183" s="39" t="str">
        <f aca="false">IF(M183&lt;=0,"",IF(O183&gt;60,"1-Tinggi",IF(O183&gt;30,"2-Sedang",IF(O183&gt;0,"3-Rendah","4-Pantau"))))</f>
        <v/>
      </c>
      <c r="S183" s="39" t="str">
        <f aca="false">IF(AND(M183&gt;0,O183&gt;0),O183+M183/1000000000000+ROW()/1000000000000000,"")</f>
        <v/>
      </c>
      <c r="T183" s="39" t="str">
        <f aca="false">IF(J183="Belum ditukar",ROW(),"")</f>
        <v/>
      </c>
    </row>
    <row r="184" customFormat="false" ht="15" hidden="false" customHeight="false" outlineLevel="0" collapsed="false">
      <c r="A184" s="50" t="s">
        <v>427</v>
      </c>
      <c r="B184" s="51" t="n">
        <v>45696</v>
      </c>
      <c r="C184" s="50" t="s">
        <v>289</v>
      </c>
      <c r="D184" s="39" t="str">
        <f aca="false">INDEX(Master_Customer!$B$2:$B$126,MATCH(C184,Master_Customer!$A$2:$A$126,0))</f>
        <v>SINAR GARAGE</v>
      </c>
      <c r="E184" s="50" t="s">
        <v>28</v>
      </c>
      <c r="F184" s="52" t="n">
        <f aca="false">SUMIFS(Data_Penjualan!$G$2:$G$5998,Data_Penjualan!$A$2:$A$5998,A184)</f>
        <v>3129300</v>
      </c>
      <c r="G184" s="39" t="n">
        <f aca="false">IF(E184="KANTOR",0,INDEX(Master_Customer!$C$2:$C$126,MATCH(C184,Master_Customer!$A$2:$A$126,0)))</f>
        <v>30</v>
      </c>
      <c r="H184" s="53" t="n">
        <f aca="false">B184+G184</f>
        <v>45726</v>
      </c>
      <c r="I184" s="51" t="n">
        <v>45697</v>
      </c>
      <c r="J184" s="39" t="str">
        <f aca="false">IF(G184=0,"Tunai",IF(I184="","Belum ditukar","Sudah ditukar"))</f>
        <v>Sudah ditukar</v>
      </c>
      <c r="K184" s="54" t="n">
        <v>3129300</v>
      </c>
      <c r="L184" s="51" t="n">
        <v>45726</v>
      </c>
      <c r="M184" s="52" t="n">
        <f aca="false">F184-K184</f>
        <v>0</v>
      </c>
      <c r="N184" s="39" t="str">
        <f aca="false">IF(M184&lt;=0,"Lunas",IF(K184&gt;0,"Sebagian","Belum Bayar"))</f>
        <v>Lunas</v>
      </c>
      <c r="O184" s="39" t="n">
        <f aca="false">IF(M184&gt;0,MAX(0,Catatan!$B$3-H184),0)</f>
        <v>0</v>
      </c>
      <c r="P184" s="39" t="str">
        <f aca="false">IF(M184&lt;=0,"Lunas",IF(Catatan!$B$3&lt;=H184,"Belum Jatuh Tempo",IF(O184&lt;=30,"1-30 hari",IF(O184&lt;=60,"31-60 hari",IF(O184&lt;=90,"61-90 hari","90+ hari")))))</f>
        <v>Lunas</v>
      </c>
      <c r="Q184" s="50"/>
      <c r="R184" s="39" t="str">
        <f aca="false">IF(M184&lt;=0,"",IF(O184&gt;60,"1-Tinggi",IF(O184&gt;30,"2-Sedang",IF(O184&gt;0,"3-Rendah","4-Pantau"))))</f>
        <v/>
      </c>
      <c r="S184" s="39" t="str">
        <f aca="false">IF(AND(M184&gt;0,O184&gt;0),O184+M184/1000000000000+ROW()/1000000000000000,"")</f>
        <v/>
      </c>
      <c r="T184" s="39" t="str">
        <f aca="false">IF(J184="Belum ditukar",ROW(),"")</f>
        <v/>
      </c>
    </row>
    <row r="185" customFormat="false" ht="15" hidden="false" customHeight="false" outlineLevel="0" collapsed="false">
      <c r="A185" s="50" t="s">
        <v>428</v>
      </c>
      <c r="B185" s="51" t="n">
        <v>45696</v>
      </c>
      <c r="C185" s="50" t="s">
        <v>373</v>
      </c>
      <c r="D185" s="39" t="str">
        <f aca="false">INDEX(Master_Customer!$B$2:$B$126,MATCH(C185,Master_Customer!$A$2:$A$126,0))</f>
        <v>BINTANG SPAREPART BERKAH</v>
      </c>
      <c r="E185" s="50" t="s">
        <v>29</v>
      </c>
      <c r="F185" s="52" t="n">
        <f aca="false">SUMIFS(Data_Penjualan!$G$2:$G$5998,Data_Penjualan!$A$2:$A$5998,A185)</f>
        <v>6589300</v>
      </c>
      <c r="G185" s="39" t="n">
        <f aca="false">IF(E185="KANTOR",0,INDEX(Master_Customer!$C$2:$C$126,MATCH(C185,Master_Customer!$A$2:$A$126,0)))</f>
        <v>14</v>
      </c>
      <c r="H185" s="53" t="n">
        <f aca="false">B185+G185</f>
        <v>45710</v>
      </c>
      <c r="I185" s="51" t="n">
        <v>45697</v>
      </c>
      <c r="J185" s="39" t="str">
        <f aca="false">IF(G185=0,"Tunai",IF(I185="","Belum ditukar","Sudah ditukar"))</f>
        <v>Sudah ditukar</v>
      </c>
      <c r="K185" s="54" t="n">
        <v>6589300</v>
      </c>
      <c r="L185" s="51" t="n">
        <v>45711</v>
      </c>
      <c r="M185" s="52" t="n">
        <f aca="false">F185-K185</f>
        <v>0</v>
      </c>
      <c r="N185" s="39" t="str">
        <f aca="false">IF(M185&lt;=0,"Lunas",IF(K185&gt;0,"Sebagian","Belum Bayar"))</f>
        <v>Lunas</v>
      </c>
      <c r="O185" s="39" t="n">
        <f aca="false">IF(M185&gt;0,MAX(0,Catatan!$B$3-H185),0)</f>
        <v>0</v>
      </c>
      <c r="P185" s="39" t="str">
        <f aca="false">IF(M185&lt;=0,"Lunas",IF(Catatan!$B$3&lt;=H185,"Belum Jatuh Tempo",IF(O185&lt;=30,"1-30 hari",IF(O185&lt;=60,"31-60 hari",IF(O185&lt;=90,"61-90 hari","90+ hari")))))</f>
        <v>Lunas</v>
      </c>
      <c r="Q185" s="50"/>
      <c r="R185" s="39" t="str">
        <f aca="false">IF(M185&lt;=0,"",IF(O185&gt;60,"1-Tinggi",IF(O185&gt;30,"2-Sedang",IF(O185&gt;0,"3-Rendah","4-Pantau"))))</f>
        <v/>
      </c>
      <c r="S185" s="39" t="str">
        <f aca="false">IF(AND(M185&gt;0,O185&gt;0),O185+M185/1000000000000+ROW()/1000000000000000,"")</f>
        <v/>
      </c>
      <c r="T185" s="39" t="str">
        <f aca="false">IF(J185="Belum ditukar",ROW(),"")</f>
        <v/>
      </c>
    </row>
    <row r="186" customFormat="false" ht="15" hidden="false" customHeight="false" outlineLevel="0" collapsed="false">
      <c r="A186" s="50" t="s">
        <v>429</v>
      </c>
      <c r="B186" s="51" t="n">
        <v>45696</v>
      </c>
      <c r="C186" s="50" t="s">
        <v>430</v>
      </c>
      <c r="D186" s="39" t="str">
        <f aca="false">INDEX(Master_Customer!$B$2:$B$126,MATCH(C186,Master_Customer!$A$2:$A$126,0))</f>
        <v>TIRTA MOBIL</v>
      </c>
      <c r="E186" s="50" t="s">
        <v>28</v>
      </c>
      <c r="F186" s="52" t="n">
        <f aca="false">SUMIFS(Data_Penjualan!$G$2:$G$5998,Data_Penjualan!$A$2:$A$5998,A186)</f>
        <v>12614100</v>
      </c>
      <c r="G186" s="39" t="n">
        <f aca="false">IF(E186="KANTOR",0,INDEX(Master_Customer!$C$2:$C$126,MATCH(C186,Master_Customer!$A$2:$A$126,0)))</f>
        <v>30</v>
      </c>
      <c r="H186" s="53" t="n">
        <f aca="false">B186+G186</f>
        <v>45726</v>
      </c>
      <c r="I186" s="51" t="n">
        <v>45699</v>
      </c>
      <c r="J186" s="39" t="str">
        <f aca="false">IF(G186=0,"Tunai",IF(I186="","Belum ditukar","Sudah ditukar"))</f>
        <v>Sudah ditukar</v>
      </c>
      <c r="K186" s="54" t="n">
        <v>12614100</v>
      </c>
      <c r="L186" s="51" t="n">
        <v>45729</v>
      </c>
      <c r="M186" s="52" t="n">
        <f aca="false">F186-K186</f>
        <v>0</v>
      </c>
      <c r="N186" s="39" t="str">
        <f aca="false">IF(M186&lt;=0,"Lunas",IF(K186&gt;0,"Sebagian","Belum Bayar"))</f>
        <v>Lunas</v>
      </c>
      <c r="O186" s="39" t="n">
        <f aca="false">IF(M186&gt;0,MAX(0,Catatan!$B$3-H186),0)</f>
        <v>0</v>
      </c>
      <c r="P186" s="39" t="str">
        <f aca="false">IF(M186&lt;=0,"Lunas",IF(Catatan!$B$3&lt;=H186,"Belum Jatuh Tempo",IF(O186&lt;=30,"1-30 hari",IF(O186&lt;=60,"31-60 hari",IF(O186&lt;=90,"61-90 hari","90+ hari")))))</f>
        <v>Lunas</v>
      </c>
      <c r="Q186" s="50"/>
      <c r="R186" s="39" t="str">
        <f aca="false">IF(M186&lt;=0,"",IF(O186&gt;60,"1-Tinggi",IF(O186&gt;30,"2-Sedang",IF(O186&gt;0,"3-Rendah","4-Pantau"))))</f>
        <v/>
      </c>
      <c r="S186" s="39" t="str">
        <f aca="false">IF(AND(M186&gt;0,O186&gt;0),O186+M186/1000000000000+ROW()/1000000000000000,"")</f>
        <v/>
      </c>
      <c r="T186" s="39" t="str">
        <f aca="false">IF(J186="Belum ditukar",ROW(),"")</f>
        <v/>
      </c>
    </row>
    <row r="187" customFormat="false" ht="15" hidden="false" customHeight="false" outlineLevel="0" collapsed="false">
      <c r="A187" s="50" t="s">
        <v>431</v>
      </c>
      <c r="B187" s="51" t="n">
        <v>45698</v>
      </c>
      <c r="C187" s="50" t="s">
        <v>432</v>
      </c>
      <c r="D187" s="39" t="str">
        <f aca="false">INDEX(Master_Customer!$B$2:$B$126,MATCH(C187,Master_Customer!$A$2:$A$126,0))</f>
        <v>MAKMUR SERVICE</v>
      </c>
      <c r="E187" s="50" t="s">
        <v>30</v>
      </c>
      <c r="F187" s="52" t="n">
        <f aca="false">SUMIFS(Data_Penjualan!$G$2:$G$5998,Data_Penjualan!$A$2:$A$5998,A187)</f>
        <v>9107300</v>
      </c>
      <c r="G187" s="39" t="n">
        <f aca="false">IF(E187="KANTOR",0,INDEX(Master_Customer!$C$2:$C$126,MATCH(C187,Master_Customer!$A$2:$A$126,0)))</f>
        <v>30</v>
      </c>
      <c r="H187" s="53" t="n">
        <f aca="false">B187+G187</f>
        <v>45728</v>
      </c>
      <c r="I187" s="51" t="n">
        <v>45700</v>
      </c>
      <c r="J187" s="39" t="str">
        <f aca="false">IF(G187=0,"Tunai",IF(I187="","Belum ditukar","Sudah ditukar"))</f>
        <v>Sudah ditukar</v>
      </c>
      <c r="K187" s="54" t="n">
        <v>9107300</v>
      </c>
      <c r="L187" s="51" t="n">
        <v>45726</v>
      </c>
      <c r="M187" s="52" t="n">
        <f aca="false">F187-K187</f>
        <v>0</v>
      </c>
      <c r="N187" s="39" t="str">
        <f aca="false">IF(M187&lt;=0,"Lunas",IF(K187&gt;0,"Sebagian","Belum Bayar"))</f>
        <v>Lunas</v>
      </c>
      <c r="O187" s="39" t="n">
        <f aca="false">IF(M187&gt;0,MAX(0,Catatan!$B$3-H187),0)</f>
        <v>0</v>
      </c>
      <c r="P187" s="39" t="str">
        <f aca="false">IF(M187&lt;=0,"Lunas",IF(Catatan!$B$3&lt;=H187,"Belum Jatuh Tempo",IF(O187&lt;=30,"1-30 hari",IF(O187&lt;=60,"31-60 hari",IF(O187&lt;=90,"61-90 hari","90+ hari")))))</f>
        <v>Lunas</v>
      </c>
      <c r="Q187" s="50"/>
      <c r="R187" s="39" t="str">
        <f aca="false">IF(M187&lt;=0,"",IF(O187&gt;60,"1-Tinggi",IF(O187&gt;30,"2-Sedang",IF(O187&gt;0,"3-Rendah","4-Pantau"))))</f>
        <v/>
      </c>
      <c r="S187" s="39" t="str">
        <f aca="false">IF(AND(M187&gt;0,O187&gt;0),O187+M187/1000000000000+ROW()/1000000000000000,"")</f>
        <v/>
      </c>
      <c r="T187" s="39" t="str">
        <f aca="false">IF(J187="Belum ditukar",ROW(),"")</f>
        <v/>
      </c>
    </row>
    <row r="188" customFormat="false" ht="15" hidden="false" customHeight="false" outlineLevel="0" collapsed="false">
      <c r="A188" s="50" t="s">
        <v>433</v>
      </c>
      <c r="B188" s="51" t="n">
        <v>45698</v>
      </c>
      <c r="C188" s="50" t="s">
        <v>199</v>
      </c>
      <c r="D188" s="39" t="str">
        <f aca="false">INDEX(Master_Customer!$B$2:$B$126,MATCH(C188,Master_Customer!$A$2:$A$126,0))</f>
        <v>KARYA SPAREPART</v>
      </c>
      <c r="E188" s="50" t="s">
        <v>29</v>
      </c>
      <c r="F188" s="52" t="n">
        <f aca="false">SUMIFS(Data_Penjualan!$G$2:$G$5998,Data_Penjualan!$A$2:$A$5998,A188)</f>
        <v>16990300</v>
      </c>
      <c r="G188" s="39" t="n">
        <f aca="false">IF(E188="KANTOR",0,INDEX(Master_Customer!$C$2:$C$126,MATCH(C188,Master_Customer!$A$2:$A$126,0)))</f>
        <v>45</v>
      </c>
      <c r="H188" s="53" t="n">
        <f aca="false">B188+G188</f>
        <v>45743</v>
      </c>
      <c r="I188" s="51" t="n">
        <v>45701</v>
      </c>
      <c r="J188" s="39" t="str">
        <f aca="false">IF(G188=0,"Tunai",IF(I188="","Belum ditukar","Sudah ditukar"))</f>
        <v>Sudah ditukar</v>
      </c>
      <c r="K188" s="54" t="n">
        <v>16990300</v>
      </c>
      <c r="L188" s="51" t="n">
        <v>45743</v>
      </c>
      <c r="M188" s="52" t="n">
        <f aca="false">F188-K188</f>
        <v>0</v>
      </c>
      <c r="N188" s="39" t="str">
        <f aca="false">IF(M188&lt;=0,"Lunas",IF(K188&gt;0,"Sebagian","Belum Bayar"))</f>
        <v>Lunas</v>
      </c>
      <c r="O188" s="39" t="n">
        <f aca="false">IF(M188&gt;0,MAX(0,Catatan!$B$3-H188),0)</f>
        <v>0</v>
      </c>
      <c r="P188" s="39" t="str">
        <f aca="false">IF(M188&lt;=0,"Lunas",IF(Catatan!$B$3&lt;=H188,"Belum Jatuh Tempo",IF(O188&lt;=30,"1-30 hari",IF(O188&lt;=60,"31-60 hari",IF(O188&lt;=90,"61-90 hari","90+ hari")))))</f>
        <v>Lunas</v>
      </c>
      <c r="Q188" s="50"/>
      <c r="R188" s="39" t="str">
        <f aca="false">IF(M188&lt;=0,"",IF(O188&gt;60,"1-Tinggi",IF(O188&gt;30,"2-Sedang",IF(O188&gt;0,"3-Rendah","4-Pantau"))))</f>
        <v/>
      </c>
      <c r="S188" s="39" t="str">
        <f aca="false">IF(AND(M188&gt;0,O188&gt;0),O188+M188/1000000000000+ROW()/1000000000000000,"")</f>
        <v/>
      </c>
      <c r="T188" s="39" t="str">
        <f aca="false">IF(J188="Belum ditukar",ROW(),"")</f>
        <v/>
      </c>
    </row>
    <row r="189" customFormat="false" ht="15" hidden="false" customHeight="false" outlineLevel="0" collapsed="false">
      <c r="A189" s="50" t="s">
        <v>434</v>
      </c>
      <c r="B189" s="51" t="n">
        <v>45698</v>
      </c>
      <c r="C189" s="50" t="s">
        <v>408</v>
      </c>
      <c r="D189" s="39" t="str">
        <f aca="false">INDEX(Master_Customer!$B$2:$B$126,MATCH(C189,Master_Customer!$A$2:$A$126,0))</f>
        <v>SURYA GARAGE</v>
      </c>
      <c r="E189" s="50" t="s">
        <v>30</v>
      </c>
      <c r="F189" s="52" t="n">
        <f aca="false">SUMIFS(Data_Penjualan!$G$2:$G$5998,Data_Penjualan!$A$2:$A$5998,A189)</f>
        <v>7820800</v>
      </c>
      <c r="G189" s="39" t="n">
        <f aca="false">IF(E189="KANTOR",0,INDEX(Master_Customer!$C$2:$C$126,MATCH(C189,Master_Customer!$A$2:$A$126,0)))</f>
        <v>45</v>
      </c>
      <c r="H189" s="53" t="n">
        <f aca="false">B189+G189</f>
        <v>45743</v>
      </c>
      <c r="I189" s="51" t="n">
        <v>45703</v>
      </c>
      <c r="J189" s="39" t="str">
        <f aca="false">IF(G189=0,"Tunai",IF(I189="","Belum ditukar","Sudah ditukar"))</f>
        <v>Sudah ditukar</v>
      </c>
      <c r="K189" s="54" t="n">
        <v>7820800</v>
      </c>
      <c r="L189" s="51" t="n">
        <v>45750</v>
      </c>
      <c r="M189" s="52" t="n">
        <f aca="false">F189-K189</f>
        <v>0</v>
      </c>
      <c r="N189" s="39" t="str">
        <f aca="false">IF(M189&lt;=0,"Lunas",IF(K189&gt;0,"Sebagian","Belum Bayar"))</f>
        <v>Lunas</v>
      </c>
      <c r="O189" s="39" t="n">
        <f aca="false">IF(M189&gt;0,MAX(0,Catatan!$B$3-H189),0)</f>
        <v>0</v>
      </c>
      <c r="P189" s="39" t="str">
        <f aca="false">IF(M189&lt;=0,"Lunas",IF(Catatan!$B$3&lt;=H189,"Belum Jatuh Tempo",IF(O189&lt;=30,"1-30 hari",IF(O189&lt;=60,"31-60 hari",IF(O189&lt;=90,"61-90 hari","90+ hari")))))</f>
        <v>Lunas</v>
      </c>
      <c r="Q189" s="50"/>
      <c r="R189" s="39" t="str">
        <f aca="false">IF(M189&lt;=0,"",IF(O189&gt;60,"1-Tinggi",IF(O189&gt;30,"2-Sedang",IF(O189&gt;0,"3-Rendah","4-Pantau"))))</f>
        <v/>
      </c>
      <c r="S189" s="39" t="str">
        <f aca="false">IF(AND(M189&gt;0,O189&gt;0),O189+M189/1000000000000+ROW()/1000000000000000,"")</f>
        <v/>
      </c>
      <c r="T189" s="39" t="str">
        <f aca="false">IF(J189="Belum ditukar",ROW(),"")</f>
        <v/>
      </c>
    </row>
    <row r="190" customFormat="false" ht="15" hidden="false" customHeight="false" outlineLevel="0" collapsed="false">
      <c r="A190" s="50" t="s">
        <v>435</v>
      </c>
      <c r="B190" s="51" t="n">
        <v>45698</v>
      </c>
      <c r="C190" s="50" t="s">
        <v>436</v>
      </c>
      <c r="D190" s="39" t="str">
        <f aca="false">INDEX(Master_Customer!$B$2:$B$126,MATCH(C190,Master_Customer!$A$2:$A$126,0))</f>
        <v>TIRTA AUTO</v>
      </c>
      <c r="E190" s="50" t="s">
        <v>30</v>
      </c>
      <c r="F190" s="52" t="n">
        <f aca="false">SUMIFS(Data_Penjualan!$G$2:$G$5998,Data_Penjualan!$A$2:$A$5998,A190)</f>
        <v>6383000</v>
      </c>
      <c r="G190" s="39" t="n">
        <f aca="false">IF(E190="KANTOR",0,INDEX(Master_Customer!$C$2:$C$126,MATCH(C190,Master_Customer!$A$2:$A$126,0)))</f>
        <v>14</v>
      </c>
      <c r="H190" s="53" t="n">
        <f aca="false">B190+G190</f>
        <v>45712</v>
      </c>
      <c r="I190" s="51" t="n">
        <v>45699</v>
      </c>
      <c r="J190" s="39" t="str">
        <f aca="false">IF(G190=0,"Tunai",IF(I190="","Belum ditukar","Sudah ditukar"))</f>
        <v>Sudah ditukar</v>
      </c>
      <c r="K190" s="54" t="n">
        <v>6383000</v>
      </c>
      <c r="L190" s="51" t="n">
        <v>45725</v>
      </c>
      <c r="M190" s="52" t="n">
        <f aca="false">F190-K190</f>
        <v>0</v>
      </c>
      <c r="N190" s="39" t="str">
        <f aca="false">IF(M190&lt;=0,"Lunas",IF(K190&gt;0,"Sebagian","Belum Bayar"))</f>
        <v>Lunas</v>
      </c>
      <c r="O190" s="39" t="n">
        <f aca="false">IF(M190&gt;0,MAX(0,Catatan!$B$3-H190),0)</f>
        <v>0</v>
      </c>
      <c r="P190" s="39" t="str">
        <f aca="false">IF(M190&lt;=0,"Lunas",IF(Catatan!$B$3&lt;=H190,"Belum Jatuh Tempo",IF(O190&lt;=30,"1-30 hari",IF(O190&lt;=60,"31-60 hari",IF(O190&lt;=90,"61-90 hari","90+ hari")))))</f>
        <v>Lunas</v>
      </c>
      <c r="Q190" s="50"/>
      <c r="R190" s="39" t="str">
        <f aca="false">IF(M190&lt;=0,"",IF(O190&gt;60,"1-Tinggi",IF(O190&gt;30,"2-Sedang",IF(O190&gt;0,"3-Rendah","4-Pantau"))))</f>
        <v/>
      </c>
      <c r="S190" s="39" t="str">
        <f aca="false">IF(AND(M190&gt;0,O190&gt;0),O190+M190/1000000000000+ROW()/1000000000000000,"")</f>
        <v/>
      </c>
      <c r="T190" s="39" t="str">
        <f aca="false">IF(J190="Belum ditukar",ROW(),"")</f>
        <v/>
      </c>
    </row>
    <row r="191" customFormat="false" ht="15" hidden="false" customHeight="false" outlineLevel="0" collapsed="false">
      <c r="A191" s="50" t="s">
        <v>437</v>
      </c>
      <c r="B191" s="51" t="n">
        <v>45698</v>
      </c>
      <c r="C191" s="50" t="s">
        <v>223</v>
      </c>
      <c r="D191" s="39" t="str">
        <f aca="false">INDEX(Master_Customer!$B$2:$B$126,MATCH(C191,Master_Customer!$A$2:$A$126,0))</f>
        <v>ABADI AUTO UTAMA</v>
      </c>
      <c r="E191" s="50" t="s">
        <v>31</v>
      </c>
      <c r="F191" s="52" t="n">
        <f aca="false">SUMIFS(Data_Penjualan!$G$2:$G$5998,Data_Penjualan!$A$2:$A$5998,A191)</f>
        <v>15852700</v>
      </c>
      <c r="G191" s="39" t="n">
        <f aca="false">IF(E191="KANTOR",0,INDEX(Master_Customer!$C$2:$C$126,MATCH(C191,Master_Customer!$A$2:$A$126,0)))</f>
        <v>14</v>
      </c>
      <c r="H191" s="53" t="n">
        <f aca="false">B191+G191</f>
        <v>45712</v>
      </c>
      <c r="I191" s="51" t="n">
        <v>45699</v>
      </c>
      <c r="J191" s="39" t="str">
        <f aca="false">IF(G191=0,"Tunai",IF(I191="","Belum ditukar","Sudah ditukar"))</f>
        <v>Sudah ditukar</v>
      </c>
      <c r="K191" s="54" t="n">
        <v>15852700</v>
      </c>
      <c r="L191" s="51" t="n">
        <v>45722</v>
      </c>
      <c r="M191" s="52" t="n">
        <f aca="false">F191-K191</f>
        <v>0</v>
      </c>
      <c r="N191" s="39" t="str">
        <f aca="false">IF(M191&lt;=0,"Lunas",IF(K191&gt;0,"Sebagian","Belum Bayar"))</f>
        <v>Lunas</v>
      </c>
      <c r="O191" s="39" t="n">
        <f aca="false">IF(M191&gt;0,MAX(0,Catatan!$B$3-H191),0)</f>
        <v>0</v>
      </c>
      <c r="P191" s="39" t="str">
        <f aca="false">IF(M191&lt;=0,"Lunas",IF(Catatan!$B$3&lt;=H191,"Belum Jatuh Tempo",IF(O191&lt;=30,"1-30 hari",IF(O191&lt;=60,"31-60 hari",IF(O191&lt;=90,"61-90 hari","90+ hari")))))</f>
        <v>Lunas</v>
      </c>
      <c r="Q191" s="50"/>
      <c r="R191" s="39" t="str">
        <f aca="false">IF(M191&lt;=0,"",IF(O191&gt;60,"1-Tinggi",IF(O191&gt;30,"2-Sedang",IF(O191&gt;0,"3-Rendah","4-Pantau"))))</f>
        <v/>
      </c>
      <c r="S191" s="39" t="str">
        <f aca="false">IF(AND(M191&gt;0,O191&gt;0),O191+M191/1000000000000+ROW()/1000000000000000,"")</f>
        <v/>
      </c>
      <c r="T191" s="39" t="str">
        <f aca="false">IF(J191="Belum ditukar",ROW(),"")</f>
        <v/>
      </c>
    </row>
    <row r="192" customFormat="false" ht="15" hidden="false" customHeight="false" outlineLevel="0" collapsed="false">
      <c r="A192" s="50" t="s">
        <v>438</v>
      </c>
      <c r="B192" s="51" t="n">
        <v>45699</v>
      </c>
      <c r="C192" s="50" t="s">
        <v>174</v>
      </c>
      <c r="D192" s="39" t="str">
        <f aca="false">INDEX(Master_Customer!$B$2:$B$126,MATCH(C192,Master_Customer!$A$2:$A$126,0))</f>
        <v>SUMBER TEKNIK SURYA</v>
      </c>
      <c r="E192" s="50" t="s">
        <v>31</v>
      </c>
      <c r="F192" s="52" t="n">
        <f aca="false">SUMIFS(Data_Penjualan!$G$2:$G$5998,Data_Penjualan!$A$2:$A$5998,A192)</f>
        <v>14094300</v>
      </c>
      <c r="G192" s="39" t="n">
        <f aca="false">IF(E192="KANTOR",0,INDEX(Master_Customer!$C$2:$C$126,MATCH(C192,Master_Customer!$A$2:$A$126,0)))</f>
        <v>30</v>
      </c>
      <c r="H192" s="53" t="n">
        <f aca="false">B192+G192</f>
        <v>45729</v>
      </c>
      <c r="I192" s="51" t="n">
        <v>45700</v>
      </c>
      <c r="J192" s="39" t="str">
        <f aca="false">IF(G192=0,"Tunai",IF(I192="","Belum ditukar","Sudah ditukar"))</f>
        <v>Sudah ditukar</v>
      </c>
      <c r="K192" s="54" t="n">
        <v>14094300</v>
      </c>
      <c r="L192" s="51" t="n">
        <v>45727</v>
      </c>
      <c r="M192" s="52" t="n">
        <f aca="false">F192-K192</f>
        <v>0</v>
      </c>
      <c r="N192" s="39" t="str">
        <f aca="false">IF(M192&lt;=0,"Lunas",IF(K192&gt;0,"Sebagian","Belum Bayar"))</f>
        <v>Lunas</v>
      </c>
      <c r="O192" s="39" t="n">
        <f aca="false">IF(M192&gt;0,MAX(0,Catatan!$B$3-H192),0)</f>
        <v>0</v>
      </c>
      <c r="P192" s="39" t="str">
        <f aca="false">IF(M192&lt;=0,"Lunas",IF(Catatan!$B$3&lt;=H192,"Belum Jatuh Tempo",IF(O192&lt;=30,"1-30 hari",IF(O192&lt;=60,"31-60 hari",IF(O192&lt;=90,"61-90 hari","90+ hari")))))</f>
        <v>Lunas</v>
      </c>
      <c r="Q192" s="50"/>
      <c r="R192" s="39" t="str">
        <f aca="false">IF(M192&lt;=0,"",IF(O192&gt;60,"1-Tinggi",IF(O192&gt;30,"2-Sedang",IF(O192&gt;0,"3-Rendah","4-Pantau"))))</f>
        <v/>
      </c>
      <c r="S192" s="39" t="str">
        <f aca="false">IF(AND(M192&gt;0,O192&gt;0),O192+M192/1000000000000+ROW()/1000000000000000,"")</f>
        <v/>
      </c>
      <c r="T192" s="39" t="str">
        <f aca="false">IF(J192="Belum ditukar",ROW(),"")</f>
        <v/>
      </c>
    </row>
    <row r="193" customFormat="false" ht="15" hidden="false" customHeight="false" outlineLevel="0" collapsed="false">
      <c r="A193" s="50" t="s">
        <v>439</v>
      </c>
      <c r="B193" s="51" t="n">
        <v>45699</v>
      </c>
      <c r="C193" s="50" t="s">
        <v>408</v>
      </c>
      <c r="D193" s="39" t="str">
        <f aca="false">INDEX(Master_Customer!$B$2:$B$126,MATCH(C193,Master_Customer!$A$2:$A$126,0))</f>
        <v>SURYA GARAGE</v>
      </c>
      <c r="E193" s="50" t="s">
        <v>32</v>
      </c>
      <c r="F193" s="52" t="n">
        <f aca="false">SUMIFS(Data_Penjualan!$G$2:$G$5998,Data_Penjualan!$A$2:$A$5998,A193)</f>
        <v>10365400</v>
      </c>
      <c r="G193" s="39" t="n">
        <f aca="false">IF(E193="KANTOR",0,INDEX(Master_Customer!$C$2:$C$126,MATCH(C193,Master_Customer!$A$2:$A$126,0)))</f>
        <v>0</v>
      </c>
      <c r="H193" s="53" t="n">
        <f aca="false">B193+G193</f>
        <v>45699</v>
      </c>
      <c r="J193" s="39" t="str">
        <f aca="false">IF(G193=0,"Tunai",IF(I193="","Belum ditukar","Sudah ditukar"))</f>
        <v>Tunai</v>
      </c>
      <c r="K193" s="54" t="n">
        <v>10365400</v>
      </c>
      <c r="L193" s="51" t="n">
        <v>45699</v>
      </c>
      <c r="M193" s="52" t="n">
        <f aca="false">F193-K193</f>
        <v>0</v>
      </c>
      <c r="N193" s="39" t="str">
        <f aca="false">IF(M193&lt;=0,"Lunas",IF(K193&gt;0,"Sebagian","Belum Bayar"))</f>
        <v>Lunas</v>
      </c>
      <c r="O193" s="39" t="n">
        <f aca="false">IF(M193&gt;0,MAX(0,Catatan!$B$3-H193),0)</f>
        <v>0</v>
      </c>
      <c r="P193" s="39" t="str">
        <f aca="false">IF(M193&lt;=0,"Lunas",IF(Catatan!$B$3&lt;=H193,"Belum Jatuh Tempo",IF(O193&lt;=30,"1-30 hari",IF(O193&lt;=60,"31-60 hari",IF(O193&lt;=90,"61-90 hari","90+ hari")))))</f>
        <v>Lunas</v>
      </c>
      <c r="Q193" s="50"/>
      <c r="R193" s="39" t="str">
        <f aca="false">IF(M193&lt;=0,"",IF(O193&gt;60,"1-Tinggi",IF(O193&gt;30,"2-Sedang",IF(O193&gt;0,"3-Rendah","4-Pantau"))))</f>
        <v/>
      </c>
      <c r="S193" s="39" t="str">
        <f aca="false">IF(AND(M193&gt;0,O193&gt;0),O193+M193/1000000000000+ROW()/1000000000000000,"")</f>
        <v/>
      </c>
      <c r="T193" s="39" t="str">
        <f aca="false">IF(J193="Belum ditukar",ROW(),"")</f>
        <v/>
      </c>
    </row>
    <row r="194" customFormat="false" ht="15" hidden="false" customHeight="false" outlineLevel="0" collapsed="false">
      <c r="A194" s="50" t="s">
        <v>440</v>
      </c>
      <c r="B194" s="51" t="n">
        <v>45700</v>
      </c>
      <c r="C194" s="50" t="s">
        <v>188</v>
      </c>
      <c r="D194" s="39" t="str">
        <f aca="false">INDEX(Master_Customer!$B$2:$B$126,MATCH(C194,Master_Customer!$A$2:$A$126,0))</f>
        <v>MAJU GARAGE TIRTA</v>
      </c>
      <c r="E194" s="50" t="s">
        <v>31</v>
      </c>
      <c r="F194" s="52" t="n">
        <f aca="false">SUMIFS(Data_Penjualan!$G$2:$G$5998,Data_Penjualan!$A$2:$A$5998,A194)</f>
        <v>2390700</v>
      </c>
      <c r="G194" s="39" t="n">
        <f aca="false">IF(E194="KANTOR",0,INDEX(Master_Customer!$C$2:$C$126,MATCH(C194,Master_Customer!$A$2:$A$126,0)))</f>
        <v>45</v>
      </c>
      <c r="H194" s="53" t="n">
        <f aca="false">B194+G194</f>
        <v>45745</v>
      </c>
      <c r="I194" s="51" t="n">
        <v>45704</v>
      </c>
      <c r="J194" s="39" t="str">
        <f aca="false">IF(G194=0,"Tunai",IF(I194="","Belum ditukar","Sudah ditukar"))</f>
        <v>Sudah ditukar</v>
      </c>
      <c r="K194" s="54" t="n">
        <v>2390700</v>
      </c>
      <c r="L194" s="51" t="n">
        <v>45763</v>
      </c>
      <c r="M194" s="52" t="n">
        <f aca="false">F194-K194</f>
        <v>0</v>
      </c>
      <c r="N194" s="39" t="str">
        <f aca="false">IF(M194&lt;=0,"Lunas",IF(K194&gt;0,"Sebagian","Belum Bayar"))</f>
        <v>Lunas</v>
      </c>
      <c r="O194" s="39" t="n">
        <f aca="false">IF(M194&gt;0,MAX(0,Catatan!$B$3-H194),0)</f>
        <v>0</v>
      </c>
      <c r="P194" s="39" t="str">
        <f aca="false">IF(M194&lt;=0,"Lunas",IF(Catatan!$B$3&lt;=H194,"Belum Jatuh Tempo",IF(O194&lt;=30,"1-30 hari",IF(O194&lt;=60,"31-60 hari",IF(O194&lt;=90,"61-90 hari","90+ hari")))))</f>
        <v>Lunas</v>
      </c>
      <c r="Q194" s="50"/>
      <c r="R194" s="39" t="str">
        <f aca="false">IF(M194&lt;=0,"",IF(O194&gt;60,"1-Tinggi",IF(O194&gt;30,"2-Sedang",IF(O194&gt;0,"3-Rendah","4-Pantau"))))</f>
        <v/>
      </c>
      <c r="S194" s="39" t="str">
        <f aca="false">IF(AND(M194&gt;0,O194&gt;0),O194+M194/1000000000000+ROW()/1000000000000000,"")</f>
        <v/>
      </c>
      <c r="T194" s="39" t="str">
        <f aca="false">IF(J194="Belum ditukar",ROW(),"")</f>
        <v/>
      </c>
    </row>
    <row r="195" customFormat="false" ht="15" hidden="false" customHeight="false" outlineLevel="0" collapsed="false">
      <c r="A195" s="50" t="s">
        <v>441</v>
      </c>
      <c r="B195" s="51" t="n">
        <v>45700</v>
      </c>
      <c r="C195" s="50" t="s">
        <v>249</v>
      </c>
      <c r="D195" s="39" t="str">
        <f aca="false">INDEX(Master_Customer!$B$2:$B$126,MATCH(C195,Master_Customer!$A$2:$A$126,0))</f>
        <v>SENTOSA MOTOR</v>
      </c>
      <c r="E195" s="50" t="s">
        <v>31</v>
      </c>
      <c r="F195" s="52" t="n">
        <f aca="false">SUMIFS(Data_Penjualan!$G$2:$G$5998,Data_Penjualan!$A$2:$A$5998,A195)</f>
        <v>12863100</v>
      </c>
      <c r="G195" s="39" t="n">
        <f aca="false">IF(E195="KANTOR",0,INDEX(Master_Customer!$C$2:$C$126,MATCH(C195,Master_Customer!$A$2:$A$126,0)))</f>
        <v>45</v>
      </c>
      <c r="H195" s="53" t="n">
        <f aca="false">B195+G195</f>
        <v>45745</v>
      </c>
      <c r="I195" s="51" t="n">
        <v>45705</v>
      </c>
      <c r="J195" s="39" t="str">
        <f aca="false">IF(G195=0,"Tunai",IF(I195="","Belum ditukar","Sudah ditukar"))</f>
        <v>Sudah ditukar</v>
      </c>
      <c r="K195" s="54" t="n">
        <v>12863100</v>
      </c>
      <c r="L195" s="51" t="n">
        <v>45753</v>
      </c>
      <c r="M195" s="52" t="n">
        <f aca="false">F195-K195</f>
        <v>0</v>
      </c>
      <c r="N195" s="39" t="str">
        <f aca="false">IF(M195&lt;=0,"Lunas",IF(K195&gt;0,"Sebagian","Belum Bayar"))</f>
        <v>Lunas</v>
      </c>
      <c r="O195" s="39" t="n">
        <f aca="false">IF(M195&gt;0,MAX(0,Catatan!$B$3-H195),0)</f>
        <v>0</v>
      </c>
      <c r="P195" s="39" t="str">
        <f aca="false">IF(M195&lt;=0,"Lunas",IF(Catatan!$B$3&lt;=H195,"Belum Jatuh Tempo",IF(O195&lt;=30,"1-30 hari",IF(O195&lt;=60,"31-60 hari",IF(O195&lt;=90,"61-90 hari","90+ hari")))))</f>
        <v>Lunas</v>
      </c>
      <c r="Q195" s="50"/>
      <c r="R195" s="39" t="str">
        <f aca="false">IF(M195&lt;=0,"",IF(O195&gt;60,"1-Tinggi",IF(O195&gt;30,"2-Sedang",IF(O195&gt;0,"3-Rendah","4-Pantau"))))</f>
        <v/>
      </c>
      <c r="S195" s="39" t="str">
        <f aca="false">IF(AND(M195&gt;0,O195&gt;0),O195+M195/1000000000000+ROW()/1000000000000000,"")</f>
        <v/>
      </c>
      <c r="T195" s="39" t="str">
        <f aca="false">IF(J195="Belum ditukar",ROW(),"")</f>
        <v/>
      </c>
    </row>
    <row r="196" customFormat="false" ht="15" hidden="false" customHeight="false" outlineLevel="0" collapsed="false">
      <c r="A196" s="50" t="s">
        <v>442</v>
      </c>
      <c r="B196" s="51" t="n">
        <v>45700</v>
      </c>
      <c r="C196" s="50" t="s">
        <v>369</v>
      </c>
      <c r="D196" s="39" t="str">
        <f aca="false">INDEX(Master_Customer!$B$2:$B$126,MATCH(C196,Master_Customer!$A$2:$A$126,0))</f>
        <v>UTAMA TEKNIK</v>
      </c>
      <c r="E196" s="50" t="s">
        <v>31</v>
      </c>
      <c r="F196" s="52" t="n">
        <f aca="false">SUMIFS(Data_Penjualan!$G$2:$G$5998,Data_Penjualan!$A$2:$A$5998,A196)</f>
        <v>21389500</v>
      </c>
      <c r="G196" s="39" t="n">
        <f aca="false">IF(E196="KANTOR",0,INDEX(Master_Customer!$C$2:$C$126,MATCH(C196,Master_Customer!$A$2:$A$126,0)))</f>
        <v>30</v>
      </c>
      <c r="H196" s="53" t="n">
        <f aca="false">B196+G196</f>
        <v>45730</v>
      </c>
      <c r="I196" s="51" t="n">
        <v>45701</v>
      </c>
      <c r="J196" s="39" t="str">
        <f aca="false">IF(G196=0,"Tunai",IF(I196="","Belum ditukar","Sudah ditukar"))</f>
        <v>Sudah ditukar</v>
      </c>
      <c r="K196" s="54" t="n">
        <v>21389500</v>
      </c>
      <c r="L196" s="51" t="n">
        <v>45739</v>
      </c>
      <c r="M196" s="52" t="n">
        <f aca="false">F196-K196</f>
        <v>0</v>
      </c>
      <c r="N196" s="39" t="str">
        <f aca="false">IF(M196&lt;=0,"Lunas",IF(K196&gt;0,"Sebagian","Belum Bayar"))</f>
        <v>Lunas</v>
      </c>
      <c r="O196" s="39" t="n">
        <f aca="false">IF(M196&gt;0,MAX(0,Catatan!$B$3-H196),0)</f>
        <v>0</v>
      </c>
      <c r="P196" s="39" t="str">
        <f aca="false">IF(M196&lt;=0,"Lunas",IF(Catatan!$B$3&lt;=H196,"Belum Jatuh Tempo",IF(O196&lt;=30,"1-30 hari",IF(O196&lt;=60,"31-60 hari",IF(O196&lt;=90,"61-90 hari","90+ hari")))))</f>
        <v>Lunas</v>
      </c>
      <c r="Q196" s="50"/>
      <c r="R196" s="39" t="str">
        <f aca="false">IF(M196&lt;=0,"",IF(O196&gt;60,"1-Tinggi",IF(O196&gt;30,"2-Sedang",IF(O196&gt;0,"3-Rendah","4-Pantau"))))</f>
        <v/>
      </c>
      <c r="S196" s="39" t="str">
        <f aca="false">IF(AND(M196&gt;0,O196&gt;0),O196+M196/1000000000000+ROW()/1000000000000000,"")</f>
        <v/>
      </c>
      <c r="T196" s="39" t="str">
        <f aca="false">IF(J196="Belum ditukar",ROW(),"")</f>
        <v/>
      </c>
    </row>
    <row r="197" customFormat="false" ht="15" hidden="false" customHeight="false" outlineLevel="0" collapsed="false">
      <c r="A197" s="50" t="s">
        <v>443</v>
      </c>
      <c r="B197" s="51" t="n">
        <v>45700</v>
      </c>
      <c r="C197" s="50" t="s">
        <v>177</v>
      </c>
      <c r="D197" s="39" t="str">
        <f aca="false">INDEX(Master_Customer!$B$2:$B$126,MATCH(C197,Master_Customer!$A$2:$A$126,0))</f>
        <v>PRIMA MOTOR LANCAR</v>
      </c>
      <c r="E197" s="50" t="s">
        <v>29</v>
      </c>
      <c r="F197" s="52" t="n">
        <f aca="false">SUMIFS(Data_Penjualan!$G$2:$G$5998,Data_Penjualan!$A$2:$A$5998,A197)</f>
        <v>21645100</v>
      </c>
      <c r="G197" s="39" t="n">
        <f aca="false">IF(E197="KANTOR",0,INDEX(Master_Customer!$C$2:$C$126,MATCH(C197,Master_Customer!$A$2:$A$126,0)))</f>
        <v>14</v>
      </c>
      <c r="H197" s="53" t="n">
        <f aca="false">B197+G197</f>
        <v>45714</v>
      </c>
      <c r="I197" s="51" t="n">
        <v>45702</v>
      </c>
      <c r="J197" s="39" t="str">
        <f aca="false">IF(G197=0,"Tunai",IF(I197="","Belum ditukar","Sudah ditukar"))</f>
        <v>Sudah ditukar</v>
      </c>
      <c r="K197" s="54" t="n">
        <v>21645100</v>
      </c>
      <c r="L197" s="51" t="n">
        <v>45705</v>
      </c>
      <c r="M197" s="52" t="n">
        <f aca="false">F197-K197</f>
        <v>0</v>
      </c>
      <c r="N197" s="39" t="str">
        <f aca="false">IF(M197&lt;=0,"Lunas",IF(K197&gt;0,"Sebagian","Belum Bayar"))</f>
        <v>Lunas</v>
      </c>
      <c r="O197" s="39" t="n">
        <f aca="false">IF(M197&gt;0,MAX(0,Catatan!$B$3-H197),0)</f>
        <v>0</v>
      </c>
      <c r="P197" s="39" t="str">
        <f aca="false">IF(M197&lt;=0,"Lunas",IF(Catatan!$B$3&lt;=H197,"Belum Jatuh Tempo",IF(O197&lt;=30,"1-30 hari",IF(O197&lt;=60,"31-60 hari",IF(O197&lt;=90,"61-90 hari","90+ hari")))))</f>
        <v>Lunas</v>
      </c>
      <c r="Q197" s="50"/>
      <c r="R197" s="39" t="str">
        <f aca="false">IF(M197&lt;=0,"",IF(O197&gt;60,"1-Tinggi",IF(O197&gt;30,"2-Sedang",IF(O197&gt;0,"3-Rendah","4-Pantau"))))</f>
        <v/>
      </c>
      <c r="S197" s="39" t="str">
        <f aca="false">IF(AND(M197&gt;0,O197&gt;0),O197+M197/1000000000000+ROW()/1000000000000000,"")</f>
        <v/>
      </c>
      <c r="T197" s="39" t="str">
        <f aca="false">IF(J197="Belum ditukar",ROW(),"")</f>
        <v/>
      </c>
    </row>
    <row r="198" customFormat="false" ht="15" hidden="false" customHeight="false" outlineLevel="0" collapsed="false">
      <c r="A198" s="50" t="s">
        <v>444</v>
      </c>
      <c r="B198" s="51" t="n">
        <v>45700</v>
      </c>
      <c r="C198" s="50" t="s">
        <v>191</v>
      </c>
      <c r="D198" s="39" t="str">
        <f aca="false">INDEX(Master_Customer!$B$2:$B$126,MATCH(C198,Master_Customer!$A$2:$A$126,0))</f>
        <v>SINAR AUTO BERKAH</v>
      </c>
      <c r="E198" s="50" t="s">
        <v>30</v>
      </c>
      <c r="F198" s="52" t="n">
        <f aca="false">SUMIFS(Data_Penjualan!$G$2:$G$5998,Data_Penjualan!$A$2:$A$5998,A198)</f>
        <v>10172600</v>
      </c>
      <c r="G198" s="39" t="n">
        <f aca="false">IF(E198="KANTOR",0,INDEX(Master_Customer!$C$2:$C$126,MATCH(C198,Master_Customer!$A$2:$A$126,0)))</f>
        <v>30</v>
      </c>
      <c r="H198" s="53" t="n">
        <f aca="false">B198+G198</f>
        <v>45730</v>
      </c>
      <c r="I198" s="51" t="n">
        <v>45705</v>
      </c>
      <c r="J198" s="39" t="str">
        <f aca="false">IF(G198=0,"Tunai",IF(I198="","Belum ditukar","Sudah ditukar"))</f>
        <v>Sudah ditukar</v>
      </c>
      <c r="K198" s="54" t="n">
        <v>10172600</v>
      </c>
      <c r="L198" s="51" t="n">
        <v>45742</v>
      </c>
      <c r="M198" s="52" t="n">
        <f aca="false">F198-K198</f>
        <v>0</v>
      </c>
      <c r="N198" s="39" t="str">
        <f aca="false">IF(M198&lt;=0,"Lunas",IF(K198&gt;0,"Sebagian","Belum Bayar"))</f>
        <v>Lunas</v>
      </c>
      <c r="O198" s="39" t="n">
        <f aca="false">IF(M198&gt;0,MAX(0,Catatan!$B$3-H198),0)</f>
        <v>0</v>
      </c>
      <c r="P198" s="39" t="str">
        <f aca="false">IF(M198&lt;=0,"Lunas",IF(Catatan!$B$3&lt;=H198,"Belum Jatuh Tempo",IF(O198&lt;=30,"1-30 hari",IF(O198&lt;=60,"31-60 hari",IF(O198&lt;=90,"61-90 hari","90+ hari")))))</f>
        <v>Lunas</v>
      </c>
      <c r="Q198" s="50"/>
      <c r="R198" s="39" t="str">
        <f aca="false">IF(M198&lt;=0,"",IF(O198&gt;60,"1-Tinggi",IF(O198&gt;30,"2-Sedang",IF(O198&gt;0,"3-Rendah","4-Pantau"))))</f>
        <v/>
      </c>
      <c r="S198" s="39" t="str">
        <f aca="false">IF(AND(M198&gt;0,O198&gt;0),O198+M198/1000000000000+ROW()/1000000000000000,"")</f>
        <v/>
      </c>
      <c r="T198" s="39" t="str">
        <f aca="false">IF(J198="Belum ditukar",ROW(),"")</f>
        <v/>
      </c>
    </row>
    <row r="199" customFormat="false" ht="15" hidden="false" customHeight="false" outlineLevel="0" collapsed="false">
      <c r="A199" s="50" t="s">
        <v>445</v>
      </c>
      <c r="B199" s="51" t="n">
        <v>45700</v>
      </c>
      <c r="C199" s="50" t="s">
        <v>193</v>
      </c>
      <c r="D199" s="39" t="str">
        <f aca="false">INDEX(Master_Customer!$B$2:$B$126,MATCH(C199,Master_Customer!$A$2:$A$126,0))</f>
        <v>BINTANG BENGKEL</v>
      </c>
      <c r="E199" s="50" t="s">
        <v>31</v>
      </c>
      <c r="F199" s="52" t="n">
        <f aca="false">SUMIFS(Data_Penjualan!$G$2:$G$5998,Data_Penjualan!$A$2:$A$5998,A199)</f>
        <v>10754300</v>
      </c>
      <c r="G199" s="39" t="n">
        <f aca="false">IF(E199="KANTOR",0,INDEX(Master_Customer!$C$2:$C$126,MATCH(C199,Master_Customer!$A$2:$A$126,0)))</f>
        <v>14</v>
      </c>
      <c r="H199" s="53" t="n">
        <f aca="false">B199+G199</f>
        <v>45714</v>
      </c>
      <c r="I199" s="51" t="n">
        <v>45703</v>
      </c>
      <c r="J199" s="39" t="str">
        <f aca="false">IF(G199=0,"Tunai",IF(I199="","Belum ditukar","Sudah ditukar"))</f>
        <v>Sudah ditukar</v>
      </c>
      <c r="K199" s="54" t="n">
        <v>10754300</v>
      </c>
      <c r="L199" s="51" t="n">
        <v>45727</v>
      </c>
      <c r="M199" s="52" t="n">
        <f aca="false">F199-K199</f>
        <v>0</v>
      </c>
      <c r="N199" s="39" t="str">
        <f aca="false">IF(M199&lt;=0,"Lunas",IF(K199&gt;0,"Sebagian","Belum Bayar"))</f>
        <v>Lunas</v>
      </c>
      <c r="O199" s="39" t="n">
        <f aca="false">IF(M199&gt;0,MAX(0,Catatan!$B$3-H199),0)</f>
        <v>0</v>
      </c>
      <c r="P199" s="39" t="str">
        <f aca="false">IF(M199&lt;=0,"Lunas",IF(Catatan!$B$3&lt;=H199,"Belum Jatuh Tempo",IF(O199&lt;=30,"1-30 hari",IF(O199&lt;=60,"31-60 hari",IF(O199&lt;=90,"61-90 hari","90+ hari")))))</f>
        <v>Lunas</v>
      </c>
      <c r="Q199" s="50"/>
      <c r="R199" s="39" t="str">
        <f aca="false">IF(M199&lt;=0,"",IF(O199&gt;60,"1-Tinggi",IF(O199&gt;30,"2-Sedang",IF(O199&gt;0,"3-Rendah","4-Pantau"))))</f>
        <v/>
      </c>
      <c r="S199" s="39" t="str">
        <f aca="false">IF(AND(M199&gt;0,O199&gt;0),O199+M199/1000000000000+ROW()/1000000000000000,"")</f>
        <v/>
      </c>
      <c r="T199" s="39" t="str">
        <f aca="false">IF(J199="Belum ditukar",ROW(),"")</f>
        <v/>
      </c>
    </row>
    <row r="200" customFormat="false" ht="15" hidden="false" customHeight="false" outlineLevel="0" collapsed="false">
      <c r="A200" s="50" t="s">
        <v>446</v>
      </c>
      <c r="B200" s="51" t="n">
        <v>45701</v>
      </c>
      <c r="C200" s="50" t="s">
        <v>447</v>
      </c>
      <c r="D200" s="39" t="str">
        <f aca="false">INDEX(Master_Customer!$B$2:$B$126,MATCH(C200,Master_Customer!$A$2:$A$126,0))</f>
        <v>PRIMA LUBRICANT</v>
      </c>
      <c r="E200" s="50" t="s">
        <v>28</v>
      </c>
      <c r="F200" s="52" t="n">
        <f aca="false">SUMIFS(Data_Penjualan!$G$2:$G$5998,Data_Penjualan!$A$2:$A$5998,A200)</f>
        <v>8557300</v>
      </c>
      <c r="G200" s="39" t="n">
        <f aca="false">IF(E200="KANTOR",0,INDEX(Master_Customer!$C$2:$C$126,MATCH(C200,Master_Customer!$A$2:$A$126,0)))</f>
        <v>30</v>
      </c>
      <c r="H200" s="53" t="n">
        <f aca="false">B200+G200</f>
        <v>45731</v>
      </c>
      <c r="I200" s="51" t="n">
        <v>45706</v>
      </c>
      <c r="J200" s="39" t="str">
        <f aca="false">IF(G200=0,"Tunai",IF(I200="","Belum ditukar","Sudah ditukar"))</f>
        <v>Sudah ditukar</v>
      </c>
      <c r="K200" s="54" t="n">
        <v>8557300</v>
      </c>
      <c r="L200" s="51" t="n">
        <v>45739</v>
      </c>
      <c r="M200" s="52" t="n">
        <f aca="false">F200-K200</f>
        <v>0</v>
      </c>
      <c r="N200" s="39" t="str">
        <f aca="false">IF(M200&lt;=0,"Lunas",IF(K200&gt;0,"Sebagian","Belum Bayar"))</f>
        <v>Lunas</v>
      </c>
      <c r="O200" s="39" t="n">
        <f aca="false">IF(M200&gt;0,MAX(0,Catatan!$B$3-H200),0)</f>
        <v>0</v>
      </c>
      <c r="P200" s="39" t="str">
        <f aca="false">IF(M200&lt;=0,"Lunas",IF(Catatan!$B$3&lt;=H200,"Belum Jatuh Tempo",IF(O200&lt;=30,"1-30 hari",IF(O200&lt;=60,"31-60 hari",IF(O200&lt;=90,"61-90 hari","90+ hari")))))</f>
        <v>Lunas</v>
      </c>
      <c r="Q200" s="50"/>
      <c r="R200" s="39" t="str">
        <f aca="false">IF(M200&lt;=0,"",IF(O200&gt;60,"1-Tinggi",IF(O200&gt;30,"2-Sedang",IF(O200&gt;0,"3-Rendah","4-Pantau"))))</f>
        <v/>
      </c>
      <c r="S200" s="39" t="str">
        <f aca="false">IF(AND(M200&gt;0,O200&gt;0),O200+M200/1000000000000+ROW()/1000000000000000,"")</f>
        <v/>
      </c>
      <c r="T200" s="39" t="str">
        <f aca="false">IF(J200="Belum ditukar",ROW(),"")</f>
        <v/>
      </c>
    </row>
    <row r="201" customFormat="false" ht="15" hidden="false" customHeight="false" outlineLevel="0" collapsed="false">
      <c r="A201" s="50" t="s">
        <v>448</v>
      </c>
      <c r="B201" s="51" t="n">
        <v>45701</v>
      </c>
      <c r="C201" s="50" t="s">
        <v>174</v>
      </c>
      <c r="D201" s="39" t="str">
        <f aca="false">INDEX(Master_Customer!$B$2:$B$126,MATCH(C201,Master_Customer!$A$2:$A$126,0))</f>
        <v>SUMBER TEKNIK SURYA</v>
      </c>
      <c r="E201" s="50" t="s">
        <v>31</v>
      </c>
      <c r="F201" s="52" t="n">
        <f aca="false">SUMIFS(Data_Penjualan!$G$2:$G$5998,Data_Penjualan!$A$2:$A$5998,A201)</f>
        <v>10274500</v>
      </c>
      <c r="G201" s="39" t="n">
        <f aca="false">IF(E201="KANTOR",0,INDEX(Master_Customer!$C$2:$C$126,MATCH(C201,Master_Customer!$A$2:$A$126,0)))</f>
        <v>30</v>
      </c>
      <c r="H201" s="53" t="n">
        <f aca="false">B201+G201</f>
        <v>45731</v>
      </c>
      <c r="I201" s="51" t="n">
        <v>45706</v>
      </c>
      <c r="J201" s="39" t="str">
        <f aca="false">IF(G201=0,"Tunai",IF(I201="","Belum ditukar","Sudah ditukar"))</f>
        <v>Sudah ditukar</v>
      </c>
      <c r="K201" s="54" t="n">
        <v>10274500</v>
      </c>
      <c r="L201" s="51" t="n">
        <v>45724</v>
      </c>
      <c r="M201" s="52" t="n">
        <f aca="false">F201-K201</f>
        <v>0</v>
      </c>
      <c r="N201" s="39" t="str">
        <f aca="false">IF(M201&lt;=0,"Lunas",IF(K201&gt;0,"Sebagian","Belum Bayar"))</f>
        <v>Lunas</v>
      </c>
      <c r="O201" s="39" t="n">
        <f aca="false">IF(M201&gt;0,MAX(0,Catatan!$B$3-H201),0)</f>
        <v>0</v>
      </c>
      <c r="P201" s="39" t="str">
        <f aca="false">IF(M201&lt;=0,"Lunas",IF(Catatan!$B$3&lt;=H201,"Belum Jatuh Tempo",IF(O201&lt;=30,"1-30 hari",IF(O201&lt;=60,"31-60 hari",IF(O201&lt;=90,"61-90 hari","90+ hari")))))</f>
        <v>Lunas</v>
      </c>
      <c r="Q201" s="50"/>
      <c r="R201" s="39" t="str">
        <f aca="false">IF(M201&lt;=0,"",IF(O201&gt;60,"1-Tinggi",IF(O201&gt;30,"2-Sedang",IF(O201&gt;0,"3-Rendah","4-Pantau"))))</f>
        <v/>
      </c>
      <c r="S201" s="39" t="str">
        <f aca="false">IF(AND(M201&gt;0,O201&gt;0),O201+M201/1000000000000+ROW()/1000000000000000,"")</f>
        <v/>
      </c>
      <c r="T201" s="39" t="str">
        <f aca="false">IF(J201="Belum ditukar",ROW(),"")</f>
        <v/>
      </c>
    </row>
    <row r="202" customFormat="false" ht="15" hidden="false" customHeight="false" outlineLevel="0" collapsed="false">
      <c r="A202" s="50" t="s">
        <v>449</v>
      </c>
      <c r="B202" s="51" t="n">
        <v>45701</v>
      </c>
      <c r="C202" s="50" t="s">
        <v>199</v>
      </c>
      <c r="D202" s="39" t="str">
        <f aca="false">INDEX(Master_Customer!$B$2:$B$126,MATCH(C202,Master_Customer!$A$2:$A$126,0))</f>
        <v>KARYA SPAREPART</v>
      </c>
      <c r="E202" s="50" t="s">
        <v>29</v>
      </c>
      <c r="F202" s="52" t="n">
        <f aca="false">SUMIFS(Data_Penjualan!$G$2:$G$5998,Data_Penjualan!$A$2:$A$5998,A202)</f>
        <v>10033700</v>
      </c>
      <c r="G202" s="39" t="n">
        <f aca="false">IF(E202="KANTOR",0,INDEX(Master_Customer!$C$2:$C$126,MATCH(C202,Master_Customer!$A$2:$A$126,0)))</f>
        <v>45</v>
      </c>
      <c r="H202" s="53" t="n">
        <f aca="false">B202+G202</f>
        <v>45746</v>
      </c>
      <c r="I202" s="51" t="n">
        <v>45704</v>
      </c>
      <c r="J202" s="39" t="str">
        <f aca="false">IF(G202=0,"Tunai",IF(I202="","Belum ditukar","Sudah ditukar"))</f>
        <v>Sudah ditukar</v>
      </c>
      <c r="K202" s="54" t="n">
        <v>10033700</v>
      </c>
      <c r="L202" s="51" t="n">
        <v>45740</v>
      </c>
      <c r="M202" s="52" t="n">
        <f aca="false">F202-K202</f>
        <v>0</v>
      </c>
      <c r="N202" s="39" t="str">
        <f aca="false">IF(M202&lt;=0,"Lunas",IF(K202&gt;0,"Sebagian","Belum Bayar"))</f>
        <v>Lunas</v>
      </c>
      <c r="O202" s="39" t="n">
        <f aca="false">IF(M202&gt;0,MAX(0,Catatan!$B$3-H202),0)</f>
        <v>0</v>
      </c>
      <c r="P202" s="39" t="str">
        <f aca="false">IF(M202&lt;=0,"Lunas",IF(Catatan!$B$3&lt;=H202,"Belum Jatuh Tempo",IF(O202&lt;=30,"1-30 hari",IF(O202&lt;=60,"31-60 hari",IF(O202&lt;=90,"61-90 hari","90+ hari")))))</f>
        <v>Lunas</v>
      </c>
      <c r="Q202" s="50"/>
      <c r="R202" s="39" t="str">
        <f aca="false">IF(M202&lt;=0,"",IF(O202&gt;60,"1-Tinggi",IF(O202&gt;30,"2-Sedang",IF(O202&gt;0,"3-Rendah","4-Pantau"))))</f>
        <v/>
      </c>
      <c r="S202" s="39" t="str">
        <f aca="false">IF(AND(M202&gt;0,O202&gt;0),O202+M202/1000000000000+ROW()/1000000000000000,"")</f>
        <v/>
      </c>
      <c r="T202" s="39" t="str">
        <f aca="false">IF(J202="Belum ditukar",ROW(),"")</f>
        <v/>
      </c>
    </row>
    <row r="203" customFormat="false" ht="15" hidden="false" customHeight="false" outlineLevel="0" collapsed="false">
      <c r="A203" s="50" t="s">
        <v>450</v>
      </c>
      <c r="B203" s="51" t="n">
        <v>45701</v>
      </c>
      <c r="C203" s="50" t="s">
        <v>168</v>
      </c>
      <c r="D203" s="39" t="str">
        <f aca="false">INDEX(Master_Customer!$B$2:$B$126,MATCH(C203,Master_Customer!$A$2:$A$126,0))</f>
        <v>JAYA LUBRICANT</v>
      </c>
      <c r="E203" s="50" t="s">
        <v>29</v>
      </c>
      <c r="F203" s="52" t="n">
        <f aca="false">SUMIFS(Data_Penjualan!$G$2:$G$5998,Data_Penjualan!$A$2:$A$5998,A203)</f>
        <v>7334500</v>
      </c>
      <c r="G203" s="39" t="n">
        <f aca="false">IF(E203="KANTOR",0,INDEX(Master_Customer!$C$2:$C$126,MATCH(C203,Master_Customer!$A$2:$A$126,0)))</f>
        <v>0</v>
      </c>
      <c r="H203" s="53" t="n">
        <f aca="false">B203+G203</f>
        <v>45701</v>
      </c>
      <c r="J203" s="39" t="str">
        <f aca="false">IF(G203=0,"Tunai",IF(I203="","Belum ditukar","Sudah ditukar"))</f>
        <v>Tunai</v>
      </c>
      <c r="K203" s="54" t="n">
        <v>7334500</v>
      </c>
      <c r="L203" s="51" t="n">
        <v>45701</v>
      </c>
      <c r="M203" s="52" t="n">
        <f aca="false">F203-K203</f>
        <v>0</v>
      </c>
      <c r="N203" s="39" t="str">
        <f aca="false">IF(M203&lt;=0,"Lunas",IF(K203&gt;0,"Sebagian","Belum Bayar"))</f>
        <v>Lunas</v>
      </c>
      <c r="O203" s="39" t="n">
        <f aca="false">IF(M203&gt;0,MAX(0,Catatan!$B$3-H203),0)</f>
        <v>0</v>
      </c>
      <c r="P203" s="39" t="str">
        <f aca="false">IF(M203&lt;=0,"Lunas",IF(Catatan!$B$3&lt;=H203,"Belum Jatuh Tempo",IF(O203&lt;=30,"1-30 hari",IF(O203&lt;=60,"31-60 hari",IF(O203&lt;=90,"61-90 hari","90+ hari")))))</f>
        <v>Lunas</v>
      </c>
      <c r="Q203" s="50"/>
      <c r="R203" s="39" t="str">
        <f aca="false">IF(M203&lt;=0,"",IF(O203&gt;60,"1-Tinggi",IF(O203&gt;30,"2-Sedang",IF(O203&gt;0,"3-Rendah","4-Pantau"))))</f>
        <v/>
      </c>
      <c r="S203" s="39" t="str">
        <f aca="false">IF(AND(M203&gt;0,O203&gt;0),O203+M203/1000000000000+ROW()/1000000000000000,"")</f>
        <v/>
      </c>
      <c r="T203" s="39" t="str">
        <f aca="false">IF(J203="Belum ditukar",ROW(),"")</f>
        <v/>
      </c>
    </row>
    <row r="204" customFormat="false" ht="15" hidden="false" customHeight="false" outlineLevel="0" collapsed="false">
      <c r="A204" s="50" t="s">
        <v>451</v>
      </c>
      <c r="B204" s="51" t="n">
        <v>45701</v>
      </c>
      <c r="C204" s="50" t="s">
        <v>174</v>
      </c>
      <c r="D204" s="39" t="str">
        <f aca="false">INDEX(Master_Customer!$B$2:$B$126,MATCH(C204,Master_Customer!$A$2:$A$126,0))</f>
        <v>SUMBER TEKNIK SURYA</v>
      </c>
      <c r="E204" s="50" t="s">
        <v>31</v>
      </c>
      <c r="F204" s="52" t="n">
        <f aca="false">SUMIFS(Data_Penjualan!$G$2:$G$5998,Data_Penjualan!$A$2:$A$5998,A204)</f>
        <v>24729600</v>
      </c>
      <c r="G204" s="39" t="n">
        <f aca="false">IF(E204="KANTOR",0,INDEX(Master_Customer!$C$2:$C$126,MATCH(C204,Master_Customer!$A$2:$A$126,0)))</f>
        <v>30</v>
      </c>
      <c r="H204" s="53" t="n">
        <f aca="false">B204+G204</f>
        <v>45731</v>
      </c>
      <c r="I204" s="51" t="n">
        <v>45703</v>
      </c>
      <c r="J204" s="39" t="str">
        <f aca="false">IF(G204=0,"Tunai",IF(I204="","Belum ditukar","Sudah ditukar"))</f>
        <v>Sudah ditukar</v>
      </c>
      <c r="K204" s="54" t="n">
        <v>24729600</v>
      </c>
      <c r="L204" s="51" t="n">
        <v>45737</v>
      </c>
      <c r="M204" s="52" t="n">
        <f aca="false">F204-K204</f>
        <v>0</v>
      </c>
      <c r="N204" s="39" t="str">
        <f aca="false">IF(M204&lt;=0,"Lunas",IF(K204&gt;0,"Sebagian","Belum Bayar"))</f>
        <v>Lunas</v>
      </c>
      <c r="O204" s="39" t="n">
        <f aca="false">IF(M204&gt;0,MAX(0,Catatan!$B$3-H204),0)</f>
        <v>0</v>
      </c>
      <c r="P204" s="39" t="str">
        <f aca="false">IF(M204&lt;=0,"Lunas",IF(Catatan!$B$3&lt;=H204,"Belum Jatuh Tempo",IF(O204&lt;=30,"1-30 hari",IF(O204&lt;=60,"31-60 hari",IF(O204&lt;=90,"61-90 hari","90+ hari")))))</f>
        <v>Lunas</v>
      </c>
      <c r="Q204" s="50"/>
      <c r="R204" s="39" t="str">
        <f aca="false">IF(M204&lt;=0,"",IF(O204&gt;60,"1-Tinggi",IF(O204&gt;30,"2-Sedang",IF(O204&gt;0,"3-Rendah","4-Pantau"))))</f>
        <v/>
      </c>
      <c r="S204" s="39" t="str">
        <f aca="false">IF(AND(M204&gt;0,O204&gt;0),O204+M204/1000000000000+ROW()/1000000000000000,"")</f>
        <v/>
      </c>
      <c r="T204" s="39" t="str">
        <f aca="false">IF(J204="Belum ditukar",ROW(),"")</f>
        <v/>
      </c>
    </row>
    <row r="205" customFormat="false" ht="15" hidden="false" customHeight="false" outlineLevel="0" collapsed="false">
      <c r="A205" s="50" t="s">
        <v>452</v>
      </c>
      <c r="B205" s="51" t="n">
        <v>45702</v>
      </c>
      <c r="C205" s="50" t="s">
        <v>166</v>
      </c>
      <c r="D205" s="39" t="str">
        <f aca="false">INDEX(Master_Customer!$B$2:$B$126,MATCH(C205,Master_Customer!$A$2:$A$126,0))</f>
        <v>SENTOSA SERVICE</v>
      </c>
      <c r="E205" s="50" t="s">
        <v>32</v>
      </c>
      <c r="F205" s="52" t="n">
        <f aca="false">SUMIFS(Data_Penjualan!$G$2:$G$5998,Data_Penjualan!$A$2:$A$5998,A205)</f>
        <v>8490700</v>
      </c>
      <c r="G205" s="39" t="n">
        <f aca="false">IF(E205="KANTOR",0,INDEX(Master_Customer!$C$2:$C$126,MATCH(C205,Master_Customer!$A$2:$A$126,0)))</f>
        <v>0</v>
      </c>
      <c r="H205" s="53" t="n">
        <f aca="false">B205+G205</f>
        <v>45702</v>
      </c>
      <c r="J205" s="39" t="str">
        <f aca="false">IF(G205=0,"Tunai",IF(I205="","Belum ditukar","Sudah ditukar"))</f>
        <v>Tunai</v>
      </c>
      <c r="K205" s="54" t="n">
        <v>8490700</v>
      </c>
      <c r="L205" s="51" t="n">
        <v>45702</v>
      </c>
      <c r="M205" s="52" t="n">
        <f aca="false">F205-K205</f>
        <v>0</v>
      </c>
      <c r="N205" s="39" t="str">
        <f aca="false">IF(M205&lt;=0,"Lunas",IF(K205&gt;0,"Sebagian","Belum Bayar"))</f>
        <v>Lunas</v>
      </c>
      <c r="O205" s="39" t="n">
        <f aca="false">IF(M205&gt;0,MAX(0,Catatan!$B$3-H205),0)</f>
        <v>0</v>
      </c>
      <c r="P205" s="39" t="str">
        <f aca="false">IF(M205&lt;=0,"Lunas",IF(Catatan!$B$3&lt;=H205,"Belum Jatuh Tempo",IF(O205&lt;=30,"1-30 hari",IF(O205&lt;=60,"31-60 hari",IF(O205&lt;=90,"61-90 hari","90+ hari")))))</f>
        <v>Lunas</v>
      </c>
      <c r="Q205" s="50"/>
      <c r="R205" s="39" t="str">
        <f aca="false">IF(M205&lt;=0,"",IF(O205&gt;60,"1-Tinggi",IF(O205&gt;30,"2-Sedang",IF(O205&gt;0,"3-Rendah","4-Pantau"))))</f>
        <v/>
      </c>
      <c r="S205" s="39" t="str">
        <f aca="false">IF(AND(M205&gt;0,O205&gt;0),O205+M205/1000000000000+ROW()/1000000000000000,"")</f>
        <v/>
      </c>
      <c r="T205" s="39" t="str">
        <f aca="false">IF(J205="Belum ditukar",ROW(),"")</f>
        <v/>
      </c>
    </row>
    <row r="206" customFormat="false" ht="15" hidden="false" customHeight="false" outlineLevel="0" collapsed="false">
      <c r="A206" s="50" t="s">
        <v>453</v>
      </c>
      <c r="B206" s="51" t="n">
        <v>45702</v>
      </c>
      <c r="C206" s="50" t="s">
        <v>211</v>
      </c>
      <c r="D206" s="39" t="str">
        <f aca="false">INDEX(Master_Customer!$B$2:$B$126,MATCH(C206,Master_Customer!$A$2:$A$126,0))</f>
        <v>PRIMA MOBIL</v>
      </c>
      <c r="E206" s="50" t="s">
        <v>30</v>
      </c>
      <c r="F206" s="52" t="n">
        <f aca="false">SUMIFS(Data_Penjualan!$G$2:$G$5998,Data_Penjualan!$A$2:$A$5998,A206)</f>
        <v>6021800</v>
      </c>
      <c r="G206" s="39" t="n">
        <f aca="false">IF(E206="KANTOR",0,INDEX(Master_Customer!$C$2:$C$126,MATCH(C206,Master_Customer!$A$2:$A$126,0)))</f>
        <v>0</v>
      </c>
      <c r="H206" s="53" t="n">
        <f aca="false">B206+G206</f>
        <v>45702</v>
      </c>
      <c r="J206" s="39" t="str">
        <f aca="false">IF(G206=0,"Tunai",IF(I206="","Belum ditukar","Sudah ditukar"))</f>
        <v>Tunai</v>
      </c>
      <c r="K206" s="54" t="n">
        <v>6021800</v>
      </c>
      <c r="L206" s="51" t="n">
        <v>45704</v>
      </c>
      <c r="M206" s="52" t="n">
        <f aca="false">F206-K206</f>
        <v>0</v>
      </c>
      <c r="N206" s="39" t="str">
        <f aca="false">IF(M206&lt;=0,"Lunas",IF(K206&gt;0,"Sebagian","Belum Bayar"))</f>
        <v>Lunas</v>
      </c>
      <c r="O206" s="39" t="n">
        <f aca="false">IF(M206&gt;0,MAX(0,Catatan!$B$3-H206),0)</f>
        <v>0</v>
      </c>
      <c r="P206" s="39" t="str">
        <f aca="false">IF(M206&lt;=0,"Lunas",IF(Catatan!$B$3&lt;=H206,"Belum Jatuh Tempo",IF(O206&lt;=30,"1-30 hari",IF(O206&lt;=60,"31-60 hari",IF(O206&lt;=90,"61-90 hari","90+ hari")))))</f>
        <v>Lunas</v>
      </c>
      <c r="Q206" s="50"/>
      <c r="R206" s="39" t="str">
        <f aca="false">IF(M206&lt;=0,"",IF(O206&gt;60,"1-Tinggi",IF(O206&gt;30,"2-Sedang",IF(O206&gt;0,"3-Rendah","4-Pantau"))))</f>
        <v/>
      </c>
      <c r="S206" s="39" t="str">
        <f aca="false">IF(AND(M206&gt;0,O206&gt;0),O206+M206/1000000000000+ROW()/1000000000000000,"")</f>
        <v/>
      </c>
      <c r="T206" s="39" t="str">
        <f aca="false">IF(J206="Belum ditukar",ROW(),"")</f>
        <v/>
      </c>
    </row>
    <row r="207" customFormat="false" ht="15" hidden="false" customHeight="false" outlineLevel="0" collapsed="false">
      <c r="A207" s="50" t="s">
        <v>454</v>
      </c>
      <c r="B207" s="51" t="n">
        <v>45702</v>
      </c>
      <c r="C207" s="50" t="s">
        <v>199</v>
      </c>
      <c r="D207" s="39" t="str">
        <f aca="false">INDEX(Master_Customer!$B$2:$B$126,MATCH(C207,Master_Customer!$A$2:$A$126,0))</f>
        <v>KARYA SPAREPART</v>
      </c>
      <c r="E207" s="50" t="s">
        <v>29</v>
      </c>
      <c r="F207" s="52" t="n">
        <f aca="false">SUMIFS(Data_Penjualan!$G$2:$G$5998,Data_Penjualan!$A$2:$A$5998,A207)</f>
        <v>5665100</v>
      </c>
      <c r="G207" s="39" t="n">
        <f aca="false">IF(E207="KANTOR",0,INDEX(Master_Customer!$C$2:$C$126,MATCH(C207,Master_Customer!$A$2:$A$126,0)))</f>
        <v>45</v>
      </c>
      <c r="H207" s="53" t="n">
        <f aca="false">B207+G207</f>
        <v>45747</v>
      </c>
      <c r="I207" s="51" t="n">
        <v>45706</v>
      </c>
      <c r="J207" s="39" t="str">
        <f aca="false">IF(G207=0,"Tunai",IF(I207="","Belum ditukar","Sudah ditukar"))</f>
        <v>Sudah ditukar</v>
      </c>
      <c r="K207" s="54" t="n">
        <v>5665100</v>
      </c>
      <c r="L207" s="51" t="n">
        <v>45741</v>
      </c>
      <c r="M207" s="52" t="n">
        <f aca="false">F207-K207</f>
        <v>0</v>
      </c>
      <c r="N207" s="39" t="str">
        <f aca="false">IF(M207&lt;=0,"Lunas",IF(K207&gt;0,"Sebagian","Belum Bayar"))</f>
        <v>Lunas</v>
      </c>
      <c r="O207" s="39" t="n">
        <f aca="false">IF(M207&gt;0,MAX(0,Catatan!$B$3-H207),0)</f>
        <v>0</v>
      </c>
      <c r="P207" s="39" t="str">
        <f aca="false">IF(M207&lt;=0,"Lunas",IF(Catatan!$B$3&lt;=H207,"Belum Jatuh Tempo",IF(O207&lt;=30,"1-30 hari",IF(O207&lt;=60,"31-60 hari",IF(O207&lt;=90,"61-90 hari","90+ hari")))))</f>
        <v>Lunas</v>
      </c>
      <c r="Q207" s="50"/>
      <c r="R207" s="39" t="str">
        <f aca="false">IF(M207&lt;=0,"",IF(O207&gt;60,"1-Tinggi",IF(O207&gt;30,"2-Sedang",IF(O207&gt;0,"3-Rendah","4-Pantau"))))</f>
        <v/>
      </c>
      <c r="S207" s="39" t="str">
        <f aca="false">IF(AND(M207&gt;0,O207&gt;0),O207+M207/1000000000000+ROW()/1000000000000000,"")</f>
        <v/>
      </c>
      <c r="T207" s="39" t="str">
        <f aca="false">IF(J207="Belum ditukar",ROW(),"")</f>
        <v/>
      </c>
    </row>
    <row r="208" customFormat="false" ht="15" hidden="false" customHeight="false" outlineLevel="0" collapsed="false">
      <c r="A208" s="50" t="s">
        <v>455</v>
      </c>
      <c r="B208" s="51" t="n">
        <v>45702</v>
      </c>
      <c r="C208" s="50" t="s">
        <v>447</v>
      </c>
      <c r="D208" s="39" t="str">
        <f aca="false">INDEX(Master_Customer!$B$2:$B$126,MATCH(C208,Master_Customer!$A$2:$A$126,0))</f>
        <v>PRIMA LUBRICANT</v>
      </c>
      <c r="E208" s="50" t="s">
        <v>28</v>
      </c>
      <c r="F208" s="52" t="n">
        <f aca="false">SUMIFS(Data_Penjualan!$G$2:$G$5998,Data_Penjualan!$A$2:$A$5998,A208)</f>
        <v>7223800</v>
      </c>
      <c r="G208" s="39" t="n">
        <f aca="false">IF(E208="KANTOR",0,INDEX(Master_Customer!$C$2:$C$126,MATCH(C208,Master_Customer!$A$2:$A$126,0)))</f>
        <v>30</v>
      </c>
      <c r="H208" s="53" t="n">
        <f aca="false">B208+G208</f>
        <v>45732</v>
      </c>
      <c r="I208" s="51" t="n">
        <v>45705</v>
      </c>
      <c r="J208" s="39" t="str">
        <f aca="false">IF(G208=0,"Tunai",IF(I208="","Belum ditukar","Sudah ditukar"))</f>
        <v>Sudah ditukar</v>
      </c>
      <c r="K208" s="54" t="n">
        <v>7223800</v>
      </c>
      <c r="L208" s="51" t="n">
        <v>45738</v>
      </c>
      <c r="M208" s="52" t="n">
        <f aca="false">F208-K208</f>
        <v>0</v>
      </c>
      <c r="N208" s="39" t="str">
        <f aca="false">IF(M208&lt;=0,"Lunas",IF(K208&gt;0,"Sebagian","Belum Bayar"))</f>
        <v>Lunas</v>
      </c>
      <c r="O208" s="39" t="n">
        <f aca="false">IF(M208&gt;0,MAX(0,Catatan!$B$3-H208),0)</f>
        <v>0</v>
      </c>
      <c r="P208" s="39" t="str">
        <f aca="false">IF(M208&lt;=0,"Lunas",IF(Catatan!$B$3&lt;=H208,"Belum Jatuh Tempo",IF(O208&lt;=30,"1-30 hari",IF(O208&lt;=60,"31-60 hari",IF(O208&lt;=90,"61-90 hari","90+ hari")))))</f>
        <v>Lunas</v>
      </c>
      <c r="Q208" s="50"/>
      <c r="R208" s="39" t="str">
        <f aca="false">IF(M208&lt;=0,"",IF(O208&gt;60,"1-Tinggi",IF(O208&gt;30,"2-Sedang",IF(O208&gt;0,"3-Rendah","4-Pantau"))))</f>
        <v/>
      </c>
      <c r="S208" s="39" t="str">
        <f aca="false">IF(AND(M208&gt;0,O208&gt;0),O208+M208/1000000000000+ROW()/1000000000000000,"")</f>
        <v/>
      </c>
      <c r="T208" s="39" t="str">
        <f aca="false">IF(J208="Belum ditukar",ROW(),"")</f>
        <v/>
      </c>
    </row>
    <row r="209" customFormat="false" ht="15" hidden="false" customHeight="false" outlineLevel="0" collapsed="false">
      <c r="A209" s="50" t="s">
        <v>456</v>
      </c>
      <c r="B209" s="51" t="n">
        <v>45702</v>
      </c>
      <c r="C209" s="50" t="s">
        <v>218</v>
      </c>
      <c r="D209" s="39" t="str">
        <f aca="false">INDEX(Master_Customer!$B$2:$B$126,MATCH(C209,Master_Customer!$A$2:$A$126,0))</f>
        <v>SURYA SERVICE LANCAR</v>
      </c>
      <c r="E209" s="50" t="s">
        <v>28</v>
      </c>
      <c r="F209" s="52" t="n">
        <f aca="false">SUMIFS(Data_Penjualan!$G$2:$G$5998,Data_Penjualan!$A$2:$A$5998,A209)</f>
        <v>3392900</v>
      </c>
      <c r="G209" s="39" t="n">
        <f aca="false">IF(E209="KANTOR",0,INDEX(Master_Customer!$C$2:$C$126,MATCH(C209,Master_Customer!$A$2:$A$126,0)))</f>
        <v>0</v>
      </c>
      <c r="H209" s="53" t="n">
        <f aca="false">B209+G209</f>
        <v>45702</v>
      </c>
      <c r="J209" s="39" t="str">
        <f aca="false">IF(G209=0,"Tunai",IF(I209="","Belum ditukar","Sudah ditukar"))</f>
        <v>Tunai</v>
      </c>
      <c r="K209" s="54" t="n">
        <v>3392900</v>
      </c>
      <c r="L209" s="51" t="n">
        <v>45702</v>
      </c>
      <c r="M209" s="52" t="n">
        <f aca="false">F209-K209</f>
        <v>0</v>
      </c>
      <c r="N209" s="39" t="str">
        <f aca="false">IF(M209&lt;=0,"Lunas",IF(K209&gt;0,"Sebagian","Belum Bayar"))</f>
        <v>Lunas</v>
      </c>
      <c r="O209" s="39" t="n">
        <f aca="false">IF(M209&gt;0,MAX(0,Catatan!$B$3-H209),0)</f>
        <v>0</v>
      </c>
      <c r="P209" s="39" t="str">
        <f aca="false">IF(M209&lt;=0,"Lunas",IF(Catatan!$B$3&lt;=H209,"Belum Jatuh Tempo",IF(O209&lt;=30,"1-30 hari",IF(O209&lt;=60,"31-60 hari",IF(O209&lt;=90,"61-90 hari","90+ hari")))))</f>
        <v>Lunas</v>
      </c>
      <c r="Q209" s="50"/>
      <c r="R209" s="39" t="str">
        <f aca="false">IF(M209&lt;=0,"",IF(O209&gt;60,"1-Tinggi",IF(O209&gt;30,"2-Sedang",IF(O209&gt;0,"3-Rendah","4-Pantau"))))</f>
        <v/>
      </c>
      <c r="S209" s="39" t="str">
        <f aca="false">IF(AND(M209&gt;0,O209&gt;0),O209+M209/1000000000000+ROW()/1000000000000000,"")</f>
        <v/>
      </c>
      <c r="T209" s="39" t="str">
        <f aca="false">IF(J209="Belum ditukar",ROW(),"")</f>
        <v/>
      </c>
    </row>
    <row r="210" customFormat="false" ht="15" hidden="false" customHeight="false" outlineLevel="0" collapsed="false">
      <c r="A210" s="50" t="s">
        <v>457</v>
      </c>
      <c r="B210" s="51" t="n">
        <v>45703</v>
      </c>
      <c r="C210" s="50" t="s">
        <v>241</v>
      </c>
      <c r="D210" s="39" t="str">
        <f aca="false">INDEX(Master_Customer!$B$2:$B$126,MATCH(C210,Master_Customer!$A$2:$A$126,0))</f>
        <v>GEMILANG GARAGE TIRTA</v>
      </c>
      <c r="E210" s="50" t="s">
        <v>29</v>
      </c>
      <c r="F210" s="52" t="n">
        <f aca="false">SUMIFS(Data_Penjualan!$G$2:$G$5998,Data_Penjualan!$A$2:$A$5998,A210)</f>
        <v>7095300</v>
      </c>
      <c r="G210" s="39" t="n">
        <f aca="false">IF(E210="KANTOR",0,INDEX(Master_Customer!$C$2:$C$126,MATCH(C210,Master_Customer!$A$2:$A$126,0)))</f>
        <v>14</v>
      </c>
      <c r="H210" s="53" t="n">
        <f aca="false">B210+G210</f>
        <v>45717</v>
      </c>
      <c r="I210" s="51" t="n">
        <v>45708</v>
      </c>
      <c r="J210" s="39" t="str">
        <f aca="false">IF(G210=0,"Tunai",IF(I210="","Belum ditukar","Sudah ditukar"))</f>
        <v>Sudah ditukar</v>
      </c>
      <c r="K210" s="54" t="n">
        <v>7095300</v>
      </c>
      <c r="L210" s="51" t="n">
        <v>45708</v>
      </c>
      <c r="M210" s="52" t="n">
        <f aca="false">F210-K210</f>
        <v>0</v>
      </c>
      <c r="N210" s="39" t="str">
        <f aca="false">IF(M210&lt;=0,"Lunas",IF(K210&gt;0,"Sebagian","Belum Bayar"))</f>
        <v>Lunas</v>
      </c>
      <c r="O210" s="39" t="n">
        <f aca="false">IF(M210&gt;0,MAX(0,Catatan!$B$3-H210),0)</f>
        <v>0</v>
      </c>
      <c r="P210" s="39" t="str">
        <f aca="false">IF(M210&lt;=0,"Lunas",IF(Catatan!$B$3&lt;=H210,"Belum Jatuh Tempo",IF(O210&lt;=30,"1-30 hari",IF(O210&lt;=60,"31-60 hari",IF(O210&lt;=90,"61-90 hari","90+ hari")))))</f>
        <v>Lunas</v>
      </c>
      <c r="Q210" s="50"/>
      <c r="R210" s="39" t="str">
        <f aca="false">IF(M210&lt;=0,"",IF(O210&gt;60,"1-Tinggi",IF(O210&gt;30,"2-Sedang",IF(O210&gt;0,"3-Rendah","4-Pantau"))))</f>
        <v/>
      </c>
      <c r="S210" s="39" t="str">
        <f aca="false">IF(AND(M210&gt;0,O210&gt;0),O210+M210/1000000000000+ROW()/1000000000000000,"")</f>
        <v/>
      </c>
      <c r="T210" s="39" t="str">
        <f aca="false">IF(J210="Belum ditukar",ROW(),"")</f>
        <v/>
      </c>
    </row>
    <row r="211" customFormat="false" ht="15" hidden="false" customHeight="false" outlineLevel="0" collapsed="false">
      <c r="A211" s="50" t="s">
        <v>458</v>
      </c>
      <c r="B211" s="51" t="n">
        <v>45703</v>
      </c>
      <c r="C211" s="50" t="s">
        <v>376</v>
      </c>
      <c r="D211" s="39" t="str">
        <f aca="false">INDEX(Master_Customer!$B$2:$B$126,MATCH(C211,Master_Customer!$A$2:$A$126,0))</f>
        <v>JAYA SPAREPART</v>
      </c>
      <c r="E211" s="50" t="s">
        <v>28</v>
      </c>
      <c r="F211" s="52" t="n">
        <f aca="false">SUMIFS(Data_Penjualan!$G$2:$G$5998,Data_Penjualan!$A$2:$A$5998,A211)</f>
        <v>7670600</v>
      </c>
      <c r="G211" s="39" t="n">
        <f aca="false">IF(E211="KANTOR",0,INDEX(Master_Customer!$C$2:$C$126,MATCH(C211,Master_Customer!$A$2:$A$126,0)))</f>
        <v>30</v>
      </c>
      <c r="H211" s="53" t="n">
        <f aca="false">B211+G211</f>
        <v>45733</v>
      </c>
      <c r="I211" s="51" t="n">
        <v>45706</v>
      </c>
      <c r="J211" s="39" t="str">
        <f aca="false">IF(G211=0,"Tunai",IF(I211="","Belum ditukar","Sudah ditukar"))</f>
        <v>Sudah ditukar</v>
      </c>
      <c r="K211" s="54" t="n">
        <v>7670600</v>
      </c>
      <c r="L211" s="51" t="n">
        <v>45762</v>
      </c>
      <c r="M211" s="52" t="n">
        <f aca="false">F211-K211</f>
        <v>0</v>
      </c>
      <c r="N211" s="39" t="str">
        <f aca="false">IF(M211&lt;=0,"Lunas",IF(K211&gt;0,"Sebagian","Belum Bayar"))</f>
        <v>Lunas</v>
      </c>
      <c r="O211" s="39" t="n">
        <f aca="false">IF(M211&gt;0,MAX(0,Catatan!$B$3-H211),0)</f>
        <v>0</v>
      </c>
      <c r="P211" s="39" t="str">
        <f aca="false">IF(M211&lt;=0,"Lunas",IF(Catatan!$B$3&lt;=H211,"Belum Jatuh Tempo",IF(O211&lt;=30,"1-30 hari",IF(O211&lt;=60,"31-60 hari",IF(O211&lt;=90,"61-90 hari","90+ hari")))))</f>
        <v>Lunas</v>
      </c>
      <c r="Q211" s="50"/>
      <c r="R211" s="39" t="str">
        <f aca="false">IF(M211&lt;=0,"",IF(O211&gt;60,"1-Tinggi",IF(O211&gt;30,"2-Sedang",IF(O211&gt;0,"3-Rendah","4-Pantau"))))</f>
        <v/>
      </c>
      <c r="S211" s="39" t="str">
        <f aca="false">IF(AND(M211&gt;0,O211&gt;0),O211+M211/1000000000000+ROW()/1000000000000000,"")</f>
        <v/>
      </c>
      <c r="T211" s="39" t="str">
        <f aca="false">IF(J211="Belum ditukar",ROW(),"")</f>
        <v/>
      </c>
    </row>
    <row r="212" customFormat="false" ht="15" hidden="false" customHeight="false" outlineLevel="0" collapsed="false">
      <c r="A212" s="50" t="s">
        <v>459</v>
      </c>
      <c r="B212" s="51" t="n">
        <v>45703</v>
      </c>
      <c r="C212" s="50" t="s">
        <v>410</v>
      </c>
      <c r="D212" s="39" t="str">
        <f aca="false">INDEX(Master_Customer!$B$2:$B$126,MATCH(C212,Master_Customer!$A$2:$A$126,0))</f>
        <v>BINTANG SERVICE</v>
      </c>
      <c r="E212" s="50" t="s">
        <v>28</v>
      </c>
      <c r="F212" s="52" t="n">
        <f aca="false">SUMIFS(Data_Penjualan!$G$2:$G$5998,Data_Penjualan!$A$2:$A$5998,A212)</f>
        <v>10371100</v>
      </c>
      <c r="G212" s="39" t="n">
        <f aca="false">IF(E212="KANTOR",0,INDEX(Master_Customer!$C$2:$C$126,MATCH(C212,Master_Customer!$A$2:$A$126,0)))</f>
        <v>14</v>
      </c>
      <c r="H212" s="53" t="n">
        <f aca="false">B212+G212</f>
        <v>45717</v>
      </c>
      <c r="I212" s="51" t="n">
        <v>45706</v>
      </c>
      <c r="J212" s="39" t="str">
        <f aca="false">IF(G212=0,"Tunai",IF(I212="","Belum ditukar","Sudah ditukar"))</f>
        <v>Sudah ditukar</v>
      </c>
      <c r="K212" s="54" t="n">
        <v>10371100</v>
      </c>
      <c r="L212" s="51" t="n">
        <v>45716</v>
      </c>
      <c r="M212" s="52" t="n">
        <f aca="false">F212-K212</f>
        <v>0</v>
      </c>
      <c r="N212" s="39" t="str">
        <f aca="false">IF(M212&lt;=0,"Lunas",IF(K212&gt;0,"Sebagian","Belum Bayar"))</f>
        <v>Lunas</v>
      </c>
      <c r="O212" s="39" t="n">
        <f aca="false">IF(M212&gt;0,MAX(0,Catatan!$B$3-H212),0)</f>
        <v>0</v>
      </c>
      <c r="P212" s="39" t="str">
        <f aca="false">IF(M212&lt;=0,"Lunas",IF(Catatan!$B$3&lt;=H212,"Belum Jatuh Tempo",IF(O212&lt;=30,"1-30 hari",IF(O212&lt;=60,"31-60 hari",IF(O212&lt;=90,"61-90 hari","90+ hari")))))</f>
        <v>Lunas</v>
      </c>
      <c r="Q212" s="50"/>
      <c r="R212" s="39" t="str">
        <f aca="false">IF(M212&lt;=0,"",IF(O212&gt;60,"1-Tinggi",IF(O212&gt;30,"2-Sedang",IF(O212&gt;0,"3-Rendah","4-Pantau"))))</f>
        <v/>
      </c>
      <c r="S212" s="39" t="str">
        <f aca="false">IF(AND(M212&gt;0,O212&gt;0),O212+M212/1000000000000+ROW()/1000000000000000,"")</f>
        <v/>
      </c>
      <c r="T212" s="39" t="str">
        <f aca="false">IF(J212="Belum ditukar",ROW(),"")</f>
        <v/>
      </c>
    </row>
    <row r="213" customFormat="false" ht="15" hidden="false" customHeight="false" outlineLevel="0" collapsed="false">
      <c r="A213" s="50" t="s">
        <v>460</v>
      </c>
      <c r="B213" s="51" t="n">
        <v>45705</v>
      </c>
      <c r="C213" s="50" t="s">
        <v>166</v>
      </c>
      <c r="D213" s="39" t="str">
        <f aca="false">INDEX(Master_Customer!$B$2:$B$126,MATCH(C213,Master_Customer!$A$2:$A$126,0))</f>
        <v>SENTOSA SERVICE</v>
      </c>
      <c r="E213" s="50" t="s">
        <v>32</v>
      </c>
      <c r="F213" s="52" t="n">
        <f aca="false">SUMIFS(Data_Penjualan!$G$2:$G$5998,Data_Penjualan!$A$2:$A$5998,A213)</f>
        <v>10431200</v>
      </c>
      <c r="G213" s="39" t="n">
        <f aca="false">IF(E213="KANTOR",0,INDEX(Master_Customer!$C$2:$C$126,MATCH(C213,Master_Customer!$A$2:$A$126,0)))</f>
        <v>0</v>
      </c>
      <c r="H213" s="53" t="n">
        <f aca="false">B213+G213</f>
        <v>45705</v>
      </c>
      <c r="J213" s="39" t="str">
        <f aca="false">IF(G213=0,"Tunai",IF(I213="","Belum ditukar","Sudah ditukar"))</f>
        <v>Tunai</v>
      </c>
      <c r="K213" s="54" t="n">
        <v>10431200</v>
      </c>
      <c r="L213" s="51" t="n">
        <v>45705</v>
      </c>
      <c r="M213" s="52" t="n">
        <f aca="false">F213-K213</f>
        <v>0</v>
      </c>
      <c r="N213" s="39" t="str">
        <f aca="false">IF(M213&lt;=0,"Lunas",IF(K213&gt;0,"Sebagian","Belum Bayar"))</f>
        <v>Lunas</v>
      </c>
      <c r="O213" s="39" t="n">
        <f aca="false">IF(M213&gt;0,MAX(0,Catatan!$B$3-H213),0)</f>
        <v>0</v>
      </c>
      <c r="P213" s="39" t="str">
        <f aca="false">IF(M213&lt;=0,"Lunas",IF(Catatan!$B$3&lt;=H213,"Belum Jatuh Tempo",IF(O213&lt;=30,"1-30 hari",IF(O213&lt;=60,"31-60 hari",IF(O213&lt;=90,"61-90 hari","90+ hari")))))</f>
        <v>Lunas</v>
      </c>
      <c r="Q213" s="50"/>
      <c r="R213" s="39" t="str">
        <f aca="false">IF(M213&lt;=0,"",IF(O213&gt;60,"1-Tinggi",IF(O213&gt;30,"2-Sedang",IF(O213&gt;0,"3-Rendah","4-Pantau"))))</f>
        <v/>
      </c>
      <c r="S213" s="39" t="str">
        <f aca="false">IF(AND(M213&gt;0,O213&gt;0),O213+M213/1000000000000+ROW()/1000000000000000,"")</f>
        <v/>
      </c>
      <c r="T213" s="39" t="str">
        <f aca="false">IF(J213="Belum ditukar",ROW(),"")</f>
        <v/>
      </c>
    </row>
    <row r="214" customFormat="false" ht="15" hidden="false" customHeight="false" outlineLevel="0" collapsed="false">
      <c r="A214" s="50" t="s">
        <v>461</v>
      </c>
      <c r="B214" s="51" t="n">
        <v>45705</v>
      </c>
      <c r="C214" s="50" t="s">
        <v>177</v>
      </c>
      <c r="D214" s="39" t="str">
        <f aca="false">INDEX(Master_Customer!$B$2:$B$126,MATCH(C214,Master_Customer!$A$2:$A$126,0))</f>
        <v>PRIMA MOTOR LANCAR</v>
      </c>
      <c r="E214" s="50" t="s">
        <v>29</v>
      </c>
      <c r="F214" s="52" t="n">
        <f aca="false">SUMIFS(Data_Penjualan!$G$2:$G$5998,Data_Penjualan!$A$2:$A$5998,A214)</f>
        <v>22365800</v>
      </c>
      <c r="G214" s="39" t="n">
        <f aca="false">IF(E214="KANTOR",0,INDEX(Master_Customer!$C$2:$C$126,MATCH(C214,Master_Customer!$A$2:$A$126,0)))</f>
        <v>14</v>
      </c>
      <c r="H214" s="53" t="n">
        <f aca="false">B214+G214</f>
        <v>45719</v>
      </c>
      <c r="I214" s="51" t="n">
        <v>45710</v>
      </c>
      <c r="J214" s="39" t="str">
        <f aca="false">IF(G214=0,"Tunai",IF(I214="","Belum ditukar","Sudah ditukar"))</f>
        <v>Sudah ditukar</v>
      </c>
      <c r="K214" s="54" t="n">
        <v>22365800</v>
      </c>
      <c r="L214" s="51" t="n">
        <v>45720</v>
      </c>
      <c r="M214" s="52" t="n">
        <f aca="false">F214-K214</f>
        <v>0</v>
      </c>
      <c r="N214" s="39" t="str">
        <f aca="false">IF(M214&lt;=0,"Lunas",IF(K214&gt;0,"Sebagian","Belum Bayar"))</f>
        <v>Lunas</v>
      </c>
      <c r="O214" s="39" t="n">
        <f aca="false">IF(M214&gt;0,MAX(0,Catatan!$B$3-H214),0)</f>
        <v>0</v>
      </c>
      <c r="P214" s="39" t="str">
        <f aca="false">IF(M214&lt;=0,"Lunas",IF(Catatan!$B$3&lt;=H214,"Belum Jatuh Tempo",IF(O214&lt;=30,"1-30 hari",IF(O214&lt;=60,"31-60 hari",IF(O214&lt;=90,"61-90 hari","90+ hari")))))</f>
        <v>Lunas</v>
      </c>
      <c r="Q214" s="50"/>
      <c r="R214" s="39" t="str">
        <f aca="false">IF(M214&lt;=0,"",IF(O214&gt;60,"1-Tinggi",IF(O214&gt;30,"2-Sedang",IF(O214&gt;0,"3-Rendah","4-Pantau"))))</f>
        <v/>
      </c>
      <c r="S214" s="39" t="str">
        <f aca="false">IF(AND(M214&gt;0,O214&gt;0),O214+M214/1000000000000+ROW()/1000000000000000,"")</f>
        <v/>
      </c>
      <c r="T214" s="39" t="str">
        <f aca="false">IF(J214="Belum ditukar",ROW(),"")</f>
        <v/>
      </c>
    </row>
    <row r="215" customFormat="false" ht="15" hidden="false" customHeight="false" outlineLevel="0" collapsed="false">
      <c r="A215" s="50" t="s">
        <v>462</v>
      </c>
      <c r="B215" s="51" t="n">
        <v>45705</v>
      </c>
      <c r="C215" s="50" t="s">
        <v>463</v>
      </c>
      <c r="D215" s="39" t="str">
        <f aca="false">INDEX(Master_Customer!$B$2:$B$126,MATCH(C215,Master_Customer!$A$2:$A$126,0))</f>
        <v>UTAMA TEKNIK ABADI</v>
      </c>
      <c r="E215" s="50" t="s">
        <v>30</v>
      </c>
      <c r="F215" s="52" t="n">
        <f aca="false">SUMIFS(Data_Penjualan!$G$2:$G$5998,Data_Penjualan!$A$2:$A$5998,A215)</f>
        <v>17255500</v>
      </c>
      <c r="G215" s="39" t="n">
        <f aca="false">IF(E215="KANTOR",0,INDEX(Master_Customer!$C$2:$C$126,MATCH(C215,Master_Customer!$A$2:$A$126,0)))</f>
        <v>30</v>
      </c>
      <c r="H215" s="53" t="n">
        <f aca="false">B215+G215</f>
        <v>45735</v>
      </c>
      <c r="I215" s="51" t="n">
        <v>45709</v>
      </c>
      <c r="J215" s="39" t="str">
        <f aca="false">IF(G215=0,"Tunai",IF(I215="","Belum ditukar","Sudah ditukar"))</f>
        <v>Sudah ditukar</v>
      </c>
      <c r="K215" s="54" t="n">
        <v>17255500</v>
      </c>
      <c r="L215" s="51" t="n">
        <v>45729</v>
      </c>
      <c r="M215" s="52" t="n">
        <f aca="false">F215-K215</f>
        <v>0</v>
      </c>
      <c r="N215" s="39" t="str">
        <f aca="false">IF(M215&lt;=0,"Lunas",IF(K215&gt;0,"Sebagian","Belum Bayar"))</f>
        <v>Lunas</v>
      </c>
      <c r="O215" s="39" t="n">
        <f aca="false">IF(M215&gt;0,MAX(0,Catatan!$B$3-H215),0)</f>
        <v>0</v>
      </c>
      <c r="P215" s="39" t="str">
        <f aca="false">IF(M215&lt;=0,"Lunas",IF(Catatan!$B$3&lt;=H215,"Belum Jatuh Tempo",IF(O215&lt;=30,"1-30 hari",IF(O215&lt;=60,"31-60 hari",IF(O215&lt;=90,"61-90 hari","90+ hari")))))</f>
        <v>Lunas</v>
      </c>
      <c r="Q215" s="50"/>
      <c r="R215" s="39" t="str">
        <f aca="false">IF(M215&lt;=0,"",IF(O215&gt;60,"1-Tinggi",IF(O215&gt;30,"2-Sedang",IF(O215&gt;0,"3-Rendah","4-Pantau"))))</f>
        <v/>
      </c>
      <c r="S215" s="39" t="str">
        <f aca="false">IF(AND(M215&gt;0,O215&gt;0),O215+M215/1000000000000+ROW()/1000000000000000,"")</f>
        <v/>
      </c>
      <c r="T215" s="39" t="str">
        <f aca="false">IF(J215="Belum ditukar",ROW(),"")</f>
        <v/>
      </c>
    </row>
    <row r="216" customFormat="false" ht="15" hidden="false" customHeight="false" outlineLevel="0" collapsed="false">
      <c r="A216" s="50" t="s">
        <v>464</v>
      </c>
      <c r="B216" s="51" t="n">
        <v>45705</v>
      </c>
      <c r="C216" s="50" t="s">
        <v>465</v>
      </c>
      <c r="D216" s="39" t="str">
        <f aca="false">INDEX(Master_Customer!$B$2:$B$126,MATCH(C216,Master_Customer!$A$2:$A$126,0))</f>
        <v>CAHAYA SERVICE BINTANG</v>
      </c>
      <c r="E216" s="50" t="s">
        <v>28</v>
      </c>
      <c r="F216" s="52" t="n">
        <f aca="false">SUMIFS(Data_Penjualan!$G$2:$G$5998,Data_Penjualan!$A$2:$A$5998,A216)</f>
        <v>15028900</v>
      </c>
      <c r="G216" s="39" t="n">
        <f aca="false">IF(E216="KANTOR",0,INDEX(Master_Customer!$C$2:$C$126,MATCH(C216,Master_Customer!$A$2:$A$126,0)))</f>
        <v>30</v>
      </c>
      <c r="H216" s="53" t="n">
        <f aca="false">B216+G216</f>
        <v>45735</v>
      </c>
      <c r="I216" s="51" t="n">
        <v>45709</v>
      </c>
      <c r="J216" s="39" t="str">
        <f aca="false">IF(G216=0,"Tunai",IF(I216="","Belum ditukar","Sudah ditukar"))</f>
        <v>Sudah ditukar</v>
      </c>
      <c r="K216" s="54" t="n">
        <v>15028900</v>
      </c>
      <c r="L216" s="51" t="n">
        <v>45733</v>
      </c>
      <c r="M216" s="52" t="n">
        <f aca="false">F216-K216</f>
        <v>0</v>
      </c>
      <c r="N216" s="39" t="str">
        <f aca="false">IF(M216&lt;=0,"Lunas",IF(K216&gt;0,"Sebagian","Belum Bayar"))</f>
        <v>Lunas</v>
      </c>
      <c r="O216" s="39" t="n">
        <f aca="false">IF(M216&gt;0,MAX(0,Catatan!$B$3-H216),0)</f>
        <v>0</v>
      </c>
      <c r="P216" s="39" t="str">
        <f aca="false">IF(M216&lt;=0,"Lunas",IF(Catatan!$B$3&lt;=H216,"Belum Jatuh Tempo",IF(O216&lt;=30,"1-30 hari",IF(O216&lt;=60,"31-60 hari",IF(O216&lt;=90,"61-90 hari","90+ hari")))))</f>
        <v>Lunas</v>
      </c>
      <c r="Q216" s="50"/>
      <c r="R216" s="39" t="str">
        <f aca="false">IF(M216&lt;=0,"",IF(O216&gt;60,"1-Tinggi",IF(O216&gt;30,"2-Sedang",IF(O216&gt;0,"3-Rendah","4-Pantau"))))</f>
        <v/>
      </c>
      <c r="S216" s="39" t="str">
        <f aca="false">IF(AND(M216&gt;0,O216&gt;0),O216+M216/1000000000000+ROW()/1000000000000000,"")</f>
        <v/>
      </c>
      <c r="T216" s="39" t="str">
        <f aca="false">IF(J216="Belum ditukar",ROW(),"")</f>
        <v/>
      </c>
    </row>
    <row r="217" customFormat="false" ht="15" hidden="false" customHeight="false" outlineLevel="0" collapsed="false">
      <c r="A217" s="50" t="s">
        <v>466</v>
      </c>
      <c r="B217" s="51" t="n">
        <v>45705</v>
      </c>
      <c r="C217" s="50" t="s">
        <v>467</v>
      </c>
      <c r="D217" s="39" t="str">
        <f aca="false">INDEX(Master_Customer!$B$2:$B$126,MATCH(C217,Master_Customer!$A$2:$A$126,0))</f>
        <v>LANCAR GARAGE UTAMA</v>
      </c>
      <c r="E217" s="50" t="s">
        <v>31</v>
      </c>
      <c r="F217" s="52" t="n">
        <f aca="false">SUMIFS(Data_Penjualan!$G$2:$G$5998,Data_Penjualan!$A$2:$A$5998,A217)</f>
        <v>7550000</v>
      </c>
      <c r="G217" s="39" t="n">
        <f aca="false">IF(E217="KANTOR",0,INDEX(Master_Customer!$C$2:$C$126,MATCH(C217,Master_Customer!$A$2:$A$126,0)))</f>
        <v>14</v>
      </c>
      <c r="H217" s="53" t="n">
        <f aca="false">B217+G217</f>
        <v>45719</v>
      </c>
      <c r="I217" s="51" t="n">
        <v>45706</v>
      </c>
      <c r="J217" s="39" t="str">
        <f aca="false">IF(G217=0,"Tunai",IF(I217="","Belum ditukar","Sudah ditukar"))</f>
        <v>Sudah ditukar</v>
      </c>
      <c r="K217" s="54" t="n">
        <v>7550000</v>
      </c>
      <c r="L217" s="51" t="n">
        <v>45836</v>
      </c>
      <c r="M217" s="52" t="n">
        <f aca="false">F217-K217</f>
        <v>0</v>
      </c>
      <c r="N217" s="39" t="str">
        <f aca="false">IF(M217&lt;=0,"Lunas",IF(K217&gt;0,"Sebagian","Belum Bayar"))</f>
        <v>Lunas</v>
      </c>
      <c r="O217" s="39" t="n">
        <f aca="false">IF(M217&gt;0,MAX(0,Catatan!$B$3-H217),0)</f>
        <v>0</v>
      </c>
      <c r="P217" s="39" t="str">
        <f aca="false">IF(M217&lt;=0,"Lunas",IF(Catatan!$B$3&lt;=H217,"Belum Jatuh Tempo",IF(O217&lt;=30,"1-30 hari",IF(O217&lt;=60,"31-60 hari",IF(O217&lt;=90,"61-90 hari","90+ hari")))))</f>
        <v>Lunas</v>
      </c>
      <c r="Q217" s="50"/>
      <c r="R217" s="39" t="str">
        <f aca="false">IF(M217&lt;=0,"",IF(O217&gt;60,"1-Tinggi",IF(O217&gt;30,"2-Sedang",IF(O217&gt;0,"3-Rendah","4-Pantau"))))</f>
        <v/>
      </c>
      <c r="S217" s="39" t="str">
        <f aca="false">IF(AND(M217&gt;0,O217&gt;0),O217+M217/1000000000000+ROW()/1000000000000000,"")</f>
        <v/>
      </c>
      <c r="T217" s="39" t="str">
        <f aca="false">IF(J217="Belum ditukar",ROW(),"")</f>
        <v/>
      </c>
    </row>
    <row r="218" customFormat="false" ht="15" hidden="false" customHeight="false" outlineLevel="0" collapsed="false">
      <c r="A218" s="50" t="s">
        <v>468</v>
      </c>
      <c r="B218" s="51" t="n">
        <v>45706</v>
      </c>
      <c r="C218" s="50" t="s">
        <v>469</v>
      </c>
      <c r="D218" s="39" t="str">
        <f aca="false">INDEX(Master_Customer!$B$2:$B$126,MATCH(C218,Master_Customer!$A$2:$A$126,0))</f>
        <v>MULIA AUTO CAHAYA</v>
      </c>
      <c r="E218" s="50" t="s">
        <v>31</v>
      </c>
      <c r="F218" s="52" t="n">
        <f aca="false">SUMIFS(Data_Penjualan!$G$2:$G$5998,Data_Penjualan!$A$2:$A$5998,A218)</f>
        <v>5873000</v>
      </c>
      <c r="G218" s="39" t="n">
        <f aca="false">IF(E218="KANTOR",0,INDEX(Master_Customer!$C$2:$C$126,MATCH(C218,Master_Customer!$A$2:$A$126,0)))</f>
        <v>45</v>
      </c>
      <c r="H218" s="53" t="n">
        <f aca="false">B218+G218</f>
        <v>45751</v>
      </c>
      <c r="I218" s="51" t="n">
        <v>45709</v>
      </c>
      <c r="J218" s="39" t="str">
        <f aca="false">IF(G218=0,"Tunai",IF(I218="","Belum ditukar","Sudah ditukar"))</f>
        <v>Sudah ditukar</v>
      </c>
      <c r="K218" s="54" t="n">
        <v>5873000</v>
      </c>
      <c r="L218" s="51" t="n">
        <v>45804</v>
      </c>
      <c r="M218" s="52" t="n">
        <f aca="false">F218-K218</f>
        <v>0</v>
      </c>
      <c r="N218" s="39" t="str">
        <f aca="false">IF(M218&lt;=0,"Lunas",IF(K218&gt;0,"Sebagian","Belum Bayar"))</f>
        <v>Lunas</v>
      </c>
      <c r="O218" s="39" t="n">
        <f aca="false">IF(M218&gt;0,MAX(0,Catatan!$B$3-H218),0)</f>
        <v>0</v>
      </c>
      <c r="P218" s="39" t="str">
        <f aca="false">IF(M218&lt;=0,"Lunas",IF(Catatan!$B$3&lt;=H218,"Belum Jatuh Tempo",IF(O218&lt;=30,"1-30 hari",IF(O218&lt;=60,"31-60 hari",IF(O218&lt;=90,"61-90 hari","90+ hari")))))</f>
        <v>Lunas</v>
      </c>
      <c r="Q218" s="50"/>
      <c r="R218" s="39" t="str">
        <f aca="false">IF(M218&lt;=0,"",IF(O218&gt;60,"1-Tinggi",IF(O218&gt;30,"2-Sedang",IF(O218&gt;0,"3-Rendah","4-Pantau"))))</f>
        <v/>
      </c>
      <c r="S218" s="39" t="str">
        <f aca="false">IF(AND(M218&gt;0,O218&gt;0),O218+M218/1000000000000+ROW()/1000000000000000,"")</f>
        <v/>
      </c>
      <c r="T218" s="39" t="str">
        <f aca="false">IF(J218="Belum ditukar",ROW(),"")</f>
        <v/>
      </c>
    </row>
    <row r="219" customFormat="false" ht="15" hidden="false" customHeight="false" outlineLevel="0" collapsed="false">
      <c r="A219" s="50" t="s">
        <v>470</v>
      </c>
      <c r="B219" s="51" t="n">
        <v>45706</v>
      </c>
      <c r="C219" s="50" t="s">
        <v>247</v>
      </c>
      <c r="D219" s="39" t="str">
        <f aca="false">INDEX(Master_Customer!$B$2:$B$126,MATCH(C219,Master_Customer!$A$2:$A$126,0))</f>
        <v>BINTANG LUBRICANT SURYA</v>
      </c>
      <c r="E219" s="50" t="s">
        <v>28</v>
      </c>
      <c r="F219" s="52" t="n">
        <f aca="false">SUMIFS(Data_Penjualan!$G$2:$G$5998,Data_Penjualan!$A$2:$A$5998,A219)</f>
        <v>15590700</v>
      </c>
      <c r="G219" s="39" t="n">
        <f aca="false">IF(E219="KANTOR",0,INDEX(Master_Customer!$C$2:$C$126,MATCH(C219,Master_Customer!$A$2:$A$126,0)))</f>
        <v>30</v>
      </c>
      <c r="H219" s="53" t="n">
        <f aca="false">B219+G219</f>
        <v>45736</v>
      </c>
      <c r="I219" s="51" t="n">
        <v>45707</v>
      </c>
      <c r="J219" s="39" t="str">
        <f aca="false">IF(G219=0,"Tunai",IF(I219="","Belum ditukar","Sudah ditukar"))</f>
        <v>Sudah ditukar</v>
      </c>
      <c r="K219" s="54" t="n">
        <v>15590700</v>
      </c>
      <c r="L219" s="51" t="n">
        <v>45738</v>
      </c>
      <c r="M219" s="52" t="n">
        <f aca="false">F219-K219</f>
        <v>0</v>
      </c>
      <c r="N219" s="39" t="str">
        <f aca="false">IF(M219&lt;=0,"Lunas",IF(K219&gt;0,"Sebagian","Belum Bayar"))</f>
        <v>Lunas</v>
      </c>
      <c r="O219" s="39" t="n">
        <f aca="false">IF(M219&gt;0,MAX(0,Catatan!$B$3-H219),0)</f>
        <v>0</v>
      </c>
      <c r="P219" s="39" t="str">
        <f aca="false">IF(M219&lt;=0,"Lunas",IF(Catatan!$B$3&lt;=H219,"Belum Jatuh Tempo",IF(O219&lt;=30,"1-30 hari",IF(O219&lt;=60,"31-60 hari",IF(O219&lt;=90,"61-90 hari","90+ hari")))))</f>
        <v>Lunas</v>
      </c>
      <c r="Q219" s="50"/>
      <c r="R219" s="39" t="str">
        <f aca="false">IF(M219&lt;=0,"",IF(O219&gt;60,"1-Tinggi",IF(O219&gt;30,"2-Sedang",IF(O219&gt;0,"3-Rendah","4-Pantau"))))</f>
        <v/>
      </c>
      <c r="S219" s="39" t="str">
        <f aca="false">IF(AND(M219&gt;0,O219&gt;0),O219+M219/1000000000000+ROW()/1000000000000000,"")</f>
        <v/>
      </c>
      <c r="T219" s="39" t="str">
        <f aca="false">IF(J219="Belum ditukar",ROW(),"")</f>
        <v/>
      </c>
    </row>
    <row r="220" customFormat="false" ht="15" hidden="false" customHeight="false" outlineLevel="0" collapsed="false">
      <c r="A220" s="50" t="s">
        <v>471</v>
      </c>
      <c r="B220" s="51" t="n">
        <v>45706</v>
      </c>
      <c r="C220" s="50" t="s">
        <v>419</v>
      </c>
      <c r="D220" s="39" t="str">
        <f aca="false">INDEX(Master_Customer!$B$2:$B$126,MATCH(C220,Master_Customer!$A$2:$A$126,0))</f>
        <v>UTAMA MOTOR</v>
      </c>
      <c r="E220" s="50" t="s">
        <v>30</v>
      </c>
      <c r="F220" s="52" t="n">
        <f aca="false">SUMIFS(Data_Penjualan!$G$2:$G$5998,Data_Penjualan!$A$2:$A$5998,A220)</f>
        <v>8323400</v>
      </c>
      <c r="G220" s="39" t="n">
        <f aca="false">IF(E220="KANTOR",0,INDEX(Master_Customer!$C$2:$C$126,MATCH(C220,Master_Customer!$A$2:$A$126,0)))</f>
        <v>14</v>
      </c>
      <c r="H220" s="53" t="n">
        <f aca="false">B220+G220</f>
        <v>45720</v>
      </c>
      <c r="I220" s="51" t="n">
        <v>45710</v>
      </c>
      <c r="J220" s="39" t="str">
        <f aca="false">IF(G220=0,"Tunai",IF(I220="","Belum ditukar","Sudah ditukar"))</f>
        <v>Sudah ditukar</v>
      </c>
      <c r="K220" s="54" t="n">
        <v>3270900</v>
      </c>
      <c r="L220" s="51" t="n">
        <v>45719</v>
      </c>
      <c r="M220" s="52" t="n">
        <f aca="false">F220-K220</f>
        <v>5052500</v>
      </c>
      <c r="N220" s="39" t="str">
        <f aca="false">IF(M220&lt;=0,"Lunas",IF(K220&gt;0,"Sebagian","Belum Bayar"))</f>
        <v>Sebagian</v>
      </c>
      <c r="O220" s="39" t="n">
        <f aca="false">IF(M220&gt;0,MAX(0,Catatan!$B$3-H220),0)</f>
        <v>302</v>
      </c>
      <c r="P220" s="39" t="str">
        <f aca="false">IF(M220&lt;=0,"Lunas",IF(Catatan!$B$3&lt;=H220,"Belum Jatuh Tempo",IF(O220&lt;=30,"1-30 hari",IF(O220&lt;=60,"31-60 hari",IF(O220&lt;=90,"61-90 hari","90+ hari")))))</f>
        <v>90+ hari</v>
      </c>
      <c r="Q220" s="50" t="s">
        <v>235</v>
      </c>
      <c r="R220" s="39" t="str">
        <f aca="false">IF(M220&lt;=0,"",IF(O220&gt;60,"1-Tinggi",IF(O220&gt;30,"2-Sedang",IF(O220&gt;0,"3-Rendah","4-Pantau"))))</f>
        <v>1-Tinggi</v>
      </c>
      <c r="S220" s="39" t="n">
        <f aca="false">IF(AND(M220&gt;0,O220&gt;0),O220+M220/1000000000000+ROW()/1000000000000000,"")</f>
        <v>302.0000050525</v>
      </c>
      <c r="T220" s="39" t="str">
        <f aca="false">IF(J220="Belum ditukar",ROW(),"")</f>
        <v/>
      </c>
    </row>
    <row r="221" customFormat="false" ht="15" hidden="false" customHeight="false" outlineLevel="0" collapsed="false">
      <c r="A221" s="50" t="s">
        <v>472</v>
      </c>
      <c r="B221" s="51" t="n">
        <v>45706</v>
      </c>
      <c r="C221" s="50" t="s">
        <v>191</v>
      </c>
      <c r="D221" s="39" t="str">
        <f aca="false">INDEX(Master_Customer!$B$2:$B$126,MATCH(C221,Master_Customer!$A$2:$A$126,0))</f>
        <v>SINAR AUTO BERKAH</v>
      </c>
      <c r="E221" s="50" t="s">
        <v>30</v>
      </c>
      <c r="F221" s="52" t="n">
        <f aca="false">SUMIFS(Data_Penjualan!$G$2:$G$5998,Data_Penjualan!$A$2:$A$5998,A221)</f>
        <v>4168400</v>
      </c>
      <c r="G221" s="39" t="n">
        <f aca="false">IF(E221="KANTOR",0,INDEX(Master_Customer!$C$2:$C$126,MATCH(C221,Master_Customer!$A$2:$A$126,0)))</f>
        <v>30</v>
      </c>
      <c r="H221" s="53" t="n">
        <f aca="false">B221+G221</f>
        <v>45736</v>
      </c>
      <c r="I221" s="51" t="n">
        <v>45711</v>
      </c>
      <c r="J221" s="39" t="str">
        <f aca="false">IF(G221=0,"Tunai",IF(I221="","Belum ditukar","Sudah ditukar"))</f>
        <v>Sudah ditukar</v>
      </c>
      <c r="K221" s="54" t="n">
        <v>4168400</v>
      </c>
      <c r="L221" s="51" t="n">
        <v>45792</v>
      </c>
      <c r="M221" s="52" t="n">
        <f aca="false">F221-K221</f>
        <v>0</v>
      </c>
      <c r="N221" s="39" t="str">
        <f aca="false">IF(M221&lt;=0,"Lunas",IF(K221&gt;0,"Sebagian","Belum Bayar"))</f>
        <v>Lunas</v>
      </c>
      <c r="O221" s="39" t="n">
        <f aca="false">IF(M221&gt;0,MAX(0,Catatan!$B$3-H221),0)</f>
        <v>0</v>
      </c>
      <c r="P221" s="39" t="str">
        <f aca="false">IF(M221&lt;=0,"Lunas",IF(Catatan!$B$3&lt;=H221,"Belum Jatuh Tempo",IF(O221&lt;=30,"1-30 hari",IF(O221&lt;=60,"31-60 hari",IF(O221&lt;=90,"61-90 hari","90+ hari")))))</f>
        <v>Lunas</v>
      </c>
      <c r="Q221" s="50"/>
      <c r="R221" s="39" t="str">
        <f aca="false">IF(M221&lt;=0,"",IF(O221&gt;60,"1-Tinggi",IF(O221&gt;30,"2-Sedang",IF(O221&gt;0,"3-Rendah","4-Pantau"))))</f>
        <v/>
      </c>
      <c r="S221" s="39" t="str">
        <f aca="false">IF(AND(M221&gt;0,O221&gt;0),O221+M221/1000000000000+ROW()/1000000000000000,"")</f>
        <v/>
      </c>
      <c r="T221" s="39" t="str">
        <f aca="false">IF(J221="Belum ditukar",ROW(),"")</f>
        <v/>
      </c>
    </row>
    <row r="222" customFormat="false" ht="15" hidden="false" customHeight="false" outlineLevel="0" collapsed="false">
      <c r="A222" s="50" t="s">
        <v>473</v>
      </c>
      <c r="B222" s="51" t="n">
        <v>45706</v>
      </c>
      <c r="C222" s="50" t="s">
        <v>410</v>
      </c>
      <c r="D222" s="39" t="str">
        <f aca="false">INDEX(Master_Customer!$B$2:$B$126,MATCH(C222,Master_Customer!$A$2:$A$126,0))</f>
        <v>BINTANG SERVICE</v>
      </c>
      <c r="E222" s="50" t="s">
        <v>28</v>
      </c>
      <c r="F222" s="52" t="n">
        <f aca="false">SUMIFS(Data_Penjualan!$G$2:$G$5998,Data_Penjualan!$A$2:$A$5998,A222)</f>
        <v>19872900</v>
      </c>
      <c r="G222" s="39" t="n">
        <f aca="false">IF(E222="KANTOR",0,INDEX(Master_Customer!$C$2:$C$126,MATCH(C222,Master_Customer!$A$2:$A$126,0)))</f>
        <v>14</v>
      </c>
      <c r="H222" s="53" t="n">
        <f aca="false">B222+G222</f>
        <v>45720</v>
      </c>
      <c r="I222" s="51" t="n">
        <v>45707</v>
      </c>
      <c r="J222" s="39" t="str">
        <f aca="false">IF(G222=0,"Tunai",IF(I222="","Belum ditukar","Sudah ditukar"))</f>
        <v>Sudah ditukar</v>
      </c>
      <c r="K222" s="54" t="n">
        <v>19872900</v>
      </c>
      <c r="L222" s="51" t="n">
        <v>45722</v>
      </c>
      <c r="M222" s="52" t="n">
        <f aca="false">F222-K222</f>
        <v>0</v>
      </c>
      <c r="N222" s="39" t="str">
        <f aca="false">IF(M222&lt;=0,"Lunas",IF(K222&gt;0,"Sebagian","Belum Bayar"))</f>
        <v>Lunas</v>
      </c>
      <c r="O222" s="39" t="n">
        <f aca="false">IF(M222&gt;0,MAX(0,Catatan!$B$3-H222),0)</f>
        <v>0</v>
      </c>
      <c r="P222" s="39" t="str">
        <f aca="false">IF(M222&lt;=0,"Lunas",IF(Catatan!$B$3&lt;=H222,"Belum Jatuh Tempo",IF(O222&lt;=30,"1-30 hari",IF(O222&lt;=60,"31-60 hari",IF(O222&lt;=90,"61-90 hari","90+ hari")))))</f>
        <v>Lunas</v>
      </c>
      <c r="Q222" s="50"/>
      <c r="R222" s="39" t="str">
        <f aca="false">IF(M222&lt;=0,"",IF(O222&gt;60,"1-Tinggi",IF(O222&gt;30,"2-Sedang",IF(O222&gt;0,"3-Rendah","4-Pantau"))))</f>
        <v/>
      </c>
      <c r="S222" s="39" t="str">
        <f aca="false">IF(AND(M222&gt;0,O222&gt;0),O222+M222/1000000000000+ROW()/1000000000000000,"")</f>
        <v/>
      </c>
      <c r="T222" s="39" t="str">
        <f aca="false">IF(J222="Belum ditukar",ROW(),"")</f>
        <v/>
      </c>
    </row>
    <row r="223" customFormat="false" ht="15" hidden="false" customHeight="false" outlineLevel="0" collapsed="false">
      <c r="A223" s="50" t="s">
        <v>474</v>
      </c>
      <c r="B223" s="51" t="n">
        <v>45706</v>
      </c>
      <c r="C223" s="50" t="s">
        <v>475</v>
      </c>
      <c r="D223" s="39" t="str">
        <f aca="false">INDEX(Master_Customer!$B$2:$B$126,MATCH(C223,Master_Customer!$A$2:$A$126,0))</f>
        <v>CAHAYA BENGKEL</v>
      </c>
      <c r="E223" s="50" t="s">
        <v>30</v>
      </c>
      <c r="F223" s="52" t="n">
        <f aca="false">SUMIFS(Data_Penjualan!$G$2:$G$5998,Data_Penjualan!$A$2:$A$5998,A223)</f>
        <v>7645300</v>
      </c>
      <c r="G223" s="39" t="n">
        <f aca="false">IF(E223="KANTOR",0,INDEX(Master_Customer!$C$2:$C$126,MATCH(C223,Master_Customer!$A$2:$A$126,0)))</f>
        <v>30</v>
      </c>
      <c r="H223" s="53" t="n">
        <f aca="false">B223+G223</f>
        <v>45736</v>
      </c>
      <c r="I223" s="51" t="n">
        <v>45707</v>
      </c>
      <c r="J223" s="39" t="str">
        <f aca="false">IF(G223=0,"Tunai",IF(I223="","Belum ditukar","Sudah ditukar"))</f>
        <v>Sudah ditukar</v>
      </c>
      <c r="K223" s="54" t="n">
        <v>7645300</v>
      </c>
      <c r="L223" s="51" t="n">
        <v>45734</v>
      </c>
      <c r="M223" s="52" t="n">
        <f aca="false">F223-K223</f>
        <v>0</v>
      </c>
      <c r="N223" s="39" t="str">
        <f aca="false">IF(M223&lt;=0,"Lunas",IF(K223&gt;0,"Sebagian","Belum Bayar"))</f>
        <v>Lunas</v>
      </c>
      <c r="O223" s="39" t="n">
        <f aca="false">IF(M223&gt;0,MAX(0,Catatan!$B$3-H223),0)</f>
        <v>0</v>
      </c>
      <c r="P223" s="39" t="str">
        <f aca="false">IF(M223&lt;=0,"Lunas",IF(Catatan!$B$3&lt;=H223,"Belum Jatuh Tempo",IF(O223&lt;=30,"1-30 hari",IF(O223&lt;=60,"31-60 hari",IF(O223&lt;=90,"61-90 hari","90+ hari")))))</f>
        <v>Lunas</v>
      </c>
      <c r="Q223" s="50"/>
      <c r="R223" s="39" t="str">
        <f aca="false">IF(M223&lt;=0,"",IF(O223&gt;60,"1-Tinggi",IF(O223&gt;30,"2-Sedang",IF(O223&gt;0,"3-Rendah","4-Pantau"))))</f>
        <v/>
      </c>
      <c r="S223" s="39" t="str">
        <f aca="false">IF(AND(M223&gt;0,O223&gt;0),O223+M223/1000000000000+ROW()/1000000000000000,"")</f>
        <v/>
      </c>
      <c r="T223" s="39" t="str">
        <f aca="false">IF(J223="Belum ditukar",ROW(),"")</f>
        <v/>
      </c>
    </row>
    <row r="224" customFormat="false" ht="15" hidden="false" customHeight="false" outlineLevel="0" collapsed="false">
      <c r="A224" s="50" t="s">
        <v>476</v>
      </c>
      <c r="B224" s="51" t="n">
        <v>45707</v>
      </c>
      <c r="C224" s="50" t="s">
        <v>410</v>
      </c>
      <c r="D224" s="39" t="str">
        <f aca="false">INDEX(Master_Customer!$B$2:$B$126,MATCH(C224,Master_Customer!$A$2:$A$126,0))</f>
        <v>BINTANG SERVICE</v>
      </c>
      <c r="E224" s="50" t="s">
        <v>28</v>
      </c>
      <c r="F224" s="52" t="n">
        <f aca="false">SUMIFS(Data_Penjualan!$G$2:$G$5998,Data_Penjualan!$A$2:$A$5998,A224)</f>
        <v>13253300</v>
      </c>
      <c r="G224" s="39" t="n">
        <f aca="false">IF(E224="KANTOR",0,INDEX(Master_Customer!$C$2:$C$126,MATCH(C224,Master_Customer!$A$2:$A$126,0)))</f>
        <v>14</v>
      </c>
      <c r="H224" s="53" t="n">
        <f aca="false">B224+G224</f>
        <v>45721</v>
      </c>
      <c r="I224" s="51" t="n">
        <v>45708</v>
      </c>
      <c r="J224" s="39" t="str">
        <f aca="false">IF(G224=0,"Tunai",IF(I224="","Belum ditukar","Sudah ditukar"))</f>
        <v>Sudah ditukar</v>
      </c>
      <c r="K224" s="54" t="n">
        <v>13253300</v>
      </c>
      <c r="L224" s="51" t="n">
        <v>45717</v>
      </c>
      <c r="M224" s="52" t="n">
        <f aca="false">F224-K224</f>
        <v>0</v>
      </c>
      <c r="N224" s="39" t="str">
        <f aca="false">IF(M224&lt;=0,"Lunas",IF(K224&gt;0,"Sebagian","Belum Bayar"))</f>
        <v>Lunas</v>
      </c>
      <c r="O224" s="39" t="n">
        <f aca="false">IF(M224&gt;0,MAX(0,Catatan!$B$3-H224),0)</f>
        <v>0</v>
      </c>
      <c r="P224" s="39" t="str">
        <f aca="false">IF(M224&lt;=0,"Lunas",IF(Catatan!$B$3&lt;=H224,"Belum Jatuh Tempo",IF(O224&lt;=30,"1-30 hari",IF(O224&lt;=60,"31-60 hari",IF(O224&lt;=90,"61-90 hari","90+ hari")))))</f>
        <v>Lunas</v>
      </c>
      <c r="Q224" s="50"/>
      <c r="R224" s="39" t="str">
        <f aca="false">IF(M224&lt;=0,"",IF(O224&gt;60,"1-Tinggi",IF(O224&gt;30,"2-Sedang",IF(O224&gt;0,"3-Rendah","4-Pantau"))))</f>
        <v/>
      </c>
      <c r="S224" s="39" t="str">
        <f aca="false">IF(AND(M224&gt;0,O224&gt;0),O224+M224/1000000000000+ROW()/1000000000000000,"")</f>
        <v/>
      </c>
      <c r="T224" s="39" t="str">
        <f aca="false">IF(J224="Belum ditukar",ROW(),"")</f>
        <v/>
      </c>
    </row>
    <row r="225" customFormat="false" ht="15" hidden="false" customHeight="false" outlineLevel="0" collapsed="false">
      <c r="A225" s="50" t="s">
        <v>477</v>
      </c>
      <c r="B225" s="51" t="n">
        <v>45707</v>
      </c>
      <c r="C225" s="50" t="s">
        <v>475</v>
      </c>
      <c r="D225" s="39" t="str">
        <f aca="false">INDEX(Master_Customer!$B$2:$B$126,MATCH(C225,Master_Customer!$A$2:$A$126,0))</f>
        <v>CAHAYA BENGKEL</v>
      </c>
      <c r="E225" s="50" t="s">
        <v>30</v>
      </c>
      <c r="F225" s="52" t="n">
        <f aca="false">SUMIFS(Data_Penjualan!$G$2:$G$5998,Data_Penjualan!$A$2:$A$5998,A225)</f>
        <v>26789300</v>
      </c>
      <c r="G225" s="39" t="n">
        <f aca="false">IF(E225="KANTOR",0,INDEX(Master_Customer!$C$2:$C$126,MATCH(C225,Master_Customer!$A$2:$A$126,0)))</f>
        <v>30</v>
      </c>
      <c r="H225" s="53" t="n">
        <f aca="false">B225+G225</f>
        <v>45737</v>
      </c>
      <c r="I225" s="51" t="n">
        <v>45708</v>
      </c>
      <c r="J225" s="39" t="str">
        <f aca="false">IF(G225=0,"Tunai",IF(I225="","Belum ditukar","Sudah ditukar"))</f>
        <v>Sudah ditukar</v>
      </c>
      <c r="K225" s="54" t="n">
        <v>26789300</v>
      </c>
      <c r="L225" s="51" t="n">
        <v>45736</v>
      </c>
      <c r="M225" s="52" t="n">
        <f aca="false">F225-K225</f>
        <v>0</v>
      </c>
      <c r="N225" s="39" t="str">
        <f aca="false">IF(M225&lt;=0,"Lunas",IF(K225&gt;0,"Sebagian","Belum Bayar"))</f>
        <v>Lunas</v>
      </c>
      <c r="O225" s="39" t="n">
        <f aca="false">IF(M225&gt;0,MAX(0,Catatan!$B$3-H225),0)</f>
        <v>0</v>
      </c>
      <c r="P225" s="39" t="str">
        <f aca="false">IF(M225&lt;=0,"Lunas",IF(Catatan!$B$3&lt;=H225,"Belum Jatuh Tempo",IF(O225&lt;=30,"1-30 hari",IF(O225&lt;=60,"31-60 hari",IF(O225&lt;=90,"61-90 hari","90+ hari")))))</f>
        <v>Lunas</v>
      </c>
      <c r="Q225" s="50"/>
      <c r="R225" s="39" t="str">
        <f aca="false">IF(M225&lt;=0,"",IF(O225&gt;60,"1-Tinggi",IF(O225&gt;30,"2-Sedang",IF(O225&gt;0,"3-Rendah","4-Pantau"))))</f>
        <v/>
      </c>
      <c r="S225" s="39" t="str">
        <f aca="false">IF(AND(M225&gt;0,O225&gt;0),O225+M225/1000000000000+ROW()/1000000000000000,"")</f>
        <v/>
      </c>
      <c r="T225" s="39" t="str">
        <f aca="false">IF(J225="Belum ditukar",ROW(),"")</f>
        <v/>
      </c>
    </row>
    <row r="226" customFormat="false" ht="15" hidden="false" customHeight="false" outlineLevel="0" collapsed="false">
      <c r="A226" s="50" t="s">
        <v>478</v>
      </c>
      <c r="B226" s="51" t="n">
        <v>45707</v>
      </c>
      <c r="C226" s="50" t="s">
        <v>479</v>
      </c>
      <c r="D226" s="39" t="str">
        <f aca="false">INDEX(Master_Customer!$B$2:$B$126,MATCH(C226,Master_Customer!$A$2:$A$126,0))</f>
        <v>TIRTA TEKNIK TIRTA</v>
      </c>
      <c r="E226" s="50" t="s">
        <v>30</v>
      </c>
      <c r="F226" s="52" t="n">
        <f aca="false">SUMIFS(Data_Penjualan!$G$2:$G$5998,Data_Penjualan!$A$2:$A$5998,A226)</f>
        <v>6412500</v>
      </c>
      <c r="G226" s="39" t="n">
        <f aca="false">IF(E226="KANTOR",0,INDEX(Master_Customer!$C$2:$C$126,MATCH(C226,Master_Customer!$A$2:$A$126,0)))</f>
        <v>30</v>
      </c>
      <c r="H226" s="53" t="n">
        <f aca="false">B226+G226</f>
        <v>45737</v>
      </c>
      <c r="I226" s="51" t="n">
        <v>45708</v>
      </c>
      <c r="J226" s="39" t="str">
        <f aca="false">IF(G226=0,"Tunai",IF(I226="","Belum ditukar","Sudah ditukar"))</f>
        <v>Sudah ditukar</v>
      </c>
      <c r="K226" s="54" t="n">
        <v>6412500</v>
      </c>
      <c r="L226" s="51" t="n">
        <v>45735</v>
      </c>
      <c r="M226" s="52" t="n">
        <f aca="false">F226-K226</f>
        <v>0</v>
      </c>
      <c r="N226" s="39" t="str">
        <f aca="false">IF(M226&lt;=0,"Lunas",IF(K226&gt;0,"Sebagian","Belum Bayar"))</f>
        <v>Lunas</v>
      </c>
      <c r="O226" s="39" t="n">
        <f aca="false">IF(M226&gt;0,MAX(0,Catatan!$B$3-H226),0)</f>
        <v>0</v>
      </c>
      <c r="P226" s="39" t="str">
        <f aca="false">IF(M226&lt;=0,"Lunas",IF(Catatan!$B$3&lt;=H226,"Belum Jatuh Tempo",IF(O226&lt;=30,"1-30 hari",IF(O226&lt;=60,"31-60 hari",IF(O226&lt;=90,"61-90 hari","90+ hari")))))</f>
        <v>Lunas</v>
      </c>
      <c r="Q226" s="50"/>
      <c r="R226" s="39" t="str">
        <f aca="false">IF(M226&lt;=0,"",IF(O226&gt;60,"1-Tinggi",IF(O226&gt;30,"2-Sedang",IF(O226&gt;0,"3-Rendah","4-Pantau"))))</f>
        <v/>
      </c>
      <c r="S226" s="39" t="str">
        <f aca="false">IF(AND(M226&gt;0,O226&gt;0),O226+M226/1000000000000+ROW()/1000000000000000,"")</f>
        <v/>
      </c>
      <c r="T226" s="39" t="str">
        <f aca="false">IF(J226="Belum ditukar",ROW(),"")</f>
        <v/>
      </c>
    </row>
    <row r="227" customFormat="false" ht="15" hidden="false" customHeight="false" outlineLevel="0" collapsed="false">
      <c r="A227" s="50" t="s">
        <v>480</v>
      </c>
      <c r="B227" s="51" t="n">
        <v>45707</v>
      </c>
      <c r="C227" s="50" t="s">
        <v>481</v>
      </c>
      <c r="D227" s="39" t="str">
        <f aca="false">INDEX(Master_Customer!$B$2:$B$126,MATCH(C227,Master_Customer!$A$2:$A$126,0))</f>
        <v>MITRA GARAGE</v>
      </c>
      <c r="E227" s="50" t="s">
        <v>28</v>
      </c>
      <c r="F227" s="52" t="n">
        <f aca="false">SUMIFS(Data_Penjualan!$G$2:$G$5998,Data_Penjualan!$A$2:$A$5998,A227)</f>
        <v>9387300</v>
      </c>
      <c r="G227" s="39" t="n">
        <f aca="false">IF(E227="KANTOR",0,INDEX(Master_Customer!$C$2:$C$126,MATCH(C227,Master_Customer!$A$2:$A$126,0)))</f>
        <v>45</v>
      </c>
      <c r="H227" s="53" t="n">
        <f aca="false">B227+G227</f>
        <v>45752</v>
      </c>
      <c r="I227" s="51" t="n">
        <v>45711</v>
      </c>
      <c r="J227" s="39" t="str">
        <f aca="false">IF(G227=0,"Tunai",IF(I227="","Belum ditukar","Sudah ditukar"))</f>
        <v>Sudah ditukar</v>
      </c>
      <c r="K227" s="54" t="n">
        <v>7178300</v>
      </c>
      <c r="L227" s="51" t="n">
        <v>45767</v>
      </c>
      <c r="M227" s="52" t="n">
        <f aca="false">F227-K227</f>
        <v>2209000</v>
      </c>
      <c r="N227" s="39" t="str">
        <f aca="false">IF(M227&lt;=0,"Lunas",IF(K227&gt;0,"Sebagian","Belum Bayar"))</f>
        <v>Sebagian</v>
      </c>
      <c r="O227" s="39" t="n">
        <f aca="false">IF(M227&gt;0,MAX(0,Catatan!$B$3-H227),0)</f>
        <v>270</v>
      </c>
      <c r="P227" s="39" t="str">
        <f aca="false">IF(M227&lt;=0,"Lunas",IF(Catatan!$B$3&lt;=H227,"Belum Jatuh Tempo",IF(O227&lt;=30,"1-30 hari",IF(O227&lt;=60,"31-60 hari",IF(O227&lt;=90,"61-90 hari","90+ hari")))))</f>
        <v>90+ hari</v>
      </c>
      <c r="Q227" s="50" t="s">
        <v>397</v>
      </c>
      <c r="R227" s="39" t="str">
        <f aca="false">IF(M227&lt;=0,"",IF(O227&gt;60,"1-Tinggi",IF(O227&gt;30,"2-Sedang",IF(O227&gt;0,"3-Rendah","4-Pantau"))))</f>
        <v>1-Tinggi</v>
      </c>
      <c r="S227" s="39" t="n">
        <f aca="false">IF(AND(M227&gt;0,O227&gt;0),O227+M227/1000000000000+ROW()/1000000000000000,"")</f>
        <v>270.000002209</v>
      </c>
      <c r="T227" s="39" t="str">
        <f aca="false">IF(J227="Belum ditukar",ROW(),"")</f>
        <v/>
      </c>
    </row>
    <row r="228" customFormat="false" ht="15" hidden="false" customHeight="false" outlineLevel="0" collapsed="false">
      <c r="A228" s="50" t="s">
        <v>482</v>
      </c>
      <c r="B228" s="51" t="n">
        <v>45707</v>
      </c>
      <c r="C228" s="50" t="s">
        <v>197</v>
      </c>
      <c r="D228" s="39" t="str">
        <f aca="false">INDEX(Master_Customer!$B$2:$B$126,MATCH(C228,Master_Customer!$A$2:$A$126,0))</f>
        <v>UTAMA LUBRICANT HARAPAN</v>
      </c>
      <c r="E228" s="50" t="s">
        <v>30</v>
      </c>
      <c r="F228" s="52" t="n">
        <f aca="false">SUMIFS(Data_Penjualan!$G$2:$G$5998,Data_Penjualan!$A$2:$A$5998,A228)</f>
        <v>8990000</v>
      </c>
      <c r="G228" s="39" t="n">
        <f aca="false">IF(E228="KANTOR",0,INDEX(Master_Customer!$C$2:$C$126,MATCH(C228,Master_Customer!$A$2:$A$126,0)))</f>
        <v>30</v>
      </c>
      <c r="H228" s="53" t="n">
        <f aca="false">B228+G228</f>
        <v>45737</v>
      </c>
      <c r="I228" s="51" t="n">
        <v>45708</v>
      </c>
      <c r="J228" s="39" t="str">
        <f aca="false">IF(G228=0,"Tunai",IF(I228="","Belum ditukar","Sudah ditukar"))</f>
        <v>Sudah ditukar</v>
      </c>
      <c r="K228" s="54" t="n">
        <v>8990000</v>
      </c>
      <c r="L228" s="51" t="n">
        <v>45743</v>
      </c>
      <c r="M228" s="52" t="n">
        <f aca="false">F228-K228</f>
        <v>0</v>
      </c>
      <c r="N228" s="39" t="str">
        <f aca="false">IF(M228&lt;=0,"Lunas",IF(K228&gt;0,"Sebagian","Belum Bayar"))</f>
        <v>Lunas</v>
      </c>
      <c r="O228" s="39" t="n">
        <f aca="false">IF(M228&gt;0,MAX(0,Catatan!$B$3-H228),0)</f>
        <v>0</v>
      </c>
      <c r="P228" s="39" t="str">
        <f aca="false">IF(M228&lt;=0,"Lunas",IF(Catatan!$B$3&lt;=H228,"Belum Jatuh Tempo",IF(O228&lt;=30,"1-30 hari",IF(O228&lt;=60,"31-60 hari",IF(O228&lt;=90,"61-90 hari","90+ hari")))))</f>
        <v>Lunas</v>
      </c>
      <c r="Q228" s="50"/>
      <c r="R228" s="39" t="str">
        <f aca="false">IF(M228&lt;=0,"",IF(O228&gt;60,"1-Tinggi",IF(O228&gt;30,"2-Sedang",IF(O228&gt;0,"3-Rendah","4-Pantau"))))</f>
        <v/>
      </c>
      <c r="S228" s="39" t="str">
        <f aca="false">IF(AND(M228&gt;0,O228&gt;0),O228+M228/1000000000000+ROW()/1000000000000000,"")</f>
        <v/>
      </c>
      <c r="T228" s="39" t="str">
        <f aca="false">IF(J228="Belum ditukar",ROW(),"")</f>
        <v/>
      </c>
    </row>
    <row r="229" customFormat="false" ht="15" hidden="false" customHeight="false" outlineLevel="0" collapsed="false">
      <c r="A229" s="50" t="s">
        <v>483</v>
      </c>
      <c r="B229" s="51" t="n">
        <v>45708</v>
      </c>
      <c r="C229" s="50" t="s">
        <v>179</v>
      </c>
      <c r="D229" s="39" t="str">
        <f aca="false">INDEX(Master_Customer!$B$2:$B$126,MATCH(C229,Master_Customer!$A$2:$A$126,0))</f>
        <v>BINTANG TEKNIK SURYA</v>
      </c>
      <c r="E229" s="50" t="s">
        <v>29</v>
      </c>
      <c r="F229" s="52" t="n">
        <f aca="false">SUMIFS(Data_Penjualan!$G$2:$G$5998,Data_Penjualan!$A$2:$A$5998,A229)</f>
        <v>13679300</v>
      </c>
      <c r="G229" s="39" t="n">
        <f aca="false">IF(E229="KANTOR",0,INDEX(Master_Customer!$C$2:$C$126,MATCH(C229,Master_Customer!$A$2:$A$126,0)))</f>
        <v>45</v>
      </c>
      <c r="H229" s="53" t="n">
        <f aca="false">B229+G229</f>
        <v>45753</v>
      </c>
      <c r="I229" s="51" t="n">
        <v>45709</v>
      </c>
      <c r="J229" s="39" t="str">
        <f aca="false">IF(G229=0,"Tunai",IF(I229="","Belum ditukar","Sudah ditukar"))</f>
        <v>Sudah ditukar</v>
      </c>
      <c r="K229" s="54" t="n">
        <v>13679300</v>
      </c>
      <c r="L229" s="51" t="n">
        <v>45749</v>
      </c>
      <c r="M229" s="52" t="n">
        <f aca="false">F229-K229</f>
        <v>0</v>
      </c>
      <c r="N229" s="39" t="str">
        <f aca="false">IF(M229&lt;=0,"Lunas",IF(K229&gt;0,"Sebagian","Belum Bayar"))</f>
        <v>Lunas</v>
      </c>
      <c r="O229" s="39" t="n">
        <f aca="false">IF(M229&gt;0,MAX(0,Catatan!$B$3-H229),0)</f>
        <v>0</v>
      </c>
      <c r="P229" s="39" t="str">
        <f aca="false">IF(M229&lt;=0,"Lunas",IF(Catatan!$B$3&lt;=H229,"Belum Jatuh Tempo",IF(O229&lt;=30,"1-30 hari",IF(O229&lt;=60,"31-60 hari",IF(O229&lt;=90,"61-90 hari","90+ hari")))))</f>
        <v>Lunas</v>
      </c>
      <c r="Q229" s="50"/>
      <c r="R229" s="39" t="str">
        <f aca="false">IF(M229&lt;=0,"",IF(O229&gt;60,"1-Tinggi",IF(O229&gt;30,"2-Sedang",IF(O229&gt;0,"3-Rendah","4-Pantau"))))</f>
        <v/>
      </c>
      <c r="S229" s="39" t="str">
        <f aca="false">IF(AND(M229&gt;0,O229&gt;0),O229+M229/1000000000000+ROW()/1000000000000000,"")</f>
        <v/>
      </c>
      <c r="T229" s="39" t="str">
        <f aca="false">IF(J229="Belum ditukar",ROW(),"")</f>
        <v/>
      </c>
    </row>
    <row r="230" customFormat="false" ht="15" hidden="false" customHeight="false" outlineLevel="0" collapsed="false">
      <c r="A230" s="50" t="s">
        <v>484</v>
      </c>
      <c r="B230" s="51" t="n">
        <v>45708</v>
      </c>
      <c r="C230" s="50" t="s">
        <v>247</v>
      </c>
      <c r="D230" s="39" t="str">
        <f aca="false">INDEX(Master_Customer!$B$2:$B$126,MATCH(C230,Master_Customer!$A$2:$A$126,0))</f>
        <v>BINTANG LUBRICANT SURYA</v>
      </c>
      <c r="E230" s="50" t="s">
        <v>28</v>
      </c>
      <c r="F230" s="52" t="n">
        <f aca="false">SUMIFS(Data_Penjualan!$G$2:$G$5998,Data_Penjualan!$A$2:$A$5998,A230)</f>
        <v>10003400</v>
      </c>
      <c r="G230" s="39" t="n">
        <f aca="false">IF(E230="KANTOR",0,INDEX(Master_Customer!$C$2:$C$126,MATCH(C230,Master_Customer!$A$2:$A$126,0)))</f>
        <v>30</v>
      </c>
      <c r="H230" s="53" t="n">
        <f aca="false">B230+G230</f>
        <v>45738</v>
      </c>
      <c r="I230" s="51" t="n">
        <v>45711</v>
      </c>
      <c r="J230" s="39" t="str">
        <f aca="false">IF(G230=0,"Tunai",IF(I230="","Belum ditukar","Sudah ditukar"))</f>
        <v>Sudah ditukar</v>
      </c>
      <c r="K230" s="54" t="n">
        <v>10003400</v>
      </c>
      <c r="L230" s="51" t="n">
        <v>45736</v>
      </c>
      <c r="M230" s="52" t="n">
        <f aca="false">F230-K230</f>
        <v>0</v>
      </c>
      <c r="N230" s="39" t="str">
        <f aca="false">IF(M230&lt;=0,"Lunas",IF(K230&gt;0,"Sebagian","Belum Bayar"))</f>
        <v>Lunas</v>
      </c>
      <c r="O230" s="39" t="n">
        <f aca="false">IF(M230&gt;0,MAX(0,Catatan!$B$3-H230),0)</f>
        <v>0</v>
      </c>
      <c r="P230" s="39" t="str">
        <f aca="false">IF(M230&lt;=0,"Lunas",IF(Catatan!$B$3&lt;=H230,"Belum Jatuh Tempo",IF(O230&lt;=30,"1-30 hari",IF(O230&lt;=60,"31-60 hari",IF(O230&lt;=90,"61-90 hari","90+ hari")))))</f>
        <v>Lunas</v>
      </c>
      <c r="Q230" s="50"/>
      <c r="R230" s="39" t="str">
        <f aca="false">IF(M230&lt;=0,"",IF(O230&gt;60,"1-Tinggi",IF(O230&gt;30,"2-Sedang",IF(O230&gt;0,"3-Rendah","4-Pantau"))))</f>
        <v/>
      </c>
      <c r="S230" s="39" t="str">
        <f aca="false">IF(AND(M230&gt;0,O230&gt;0),O230+M230/1000000000000+ROW()/1000000000000000,"")</f>
        <v/>
      </c>
      <c r="T230" s="39" t="str">
        <f aca="false">IF(J230="Belum ditukar",ROW(),"")</f>
        <v/>
      </c>
    </row>
    <row r="231" customFormat="false" ht="15" hidden="false" customHeight="false" outlineLevel="0" collapsed="false">
      <c r="A231" s="50" t="s">
        <v>485</v>
      </c>
      <c r="B231" s="51" t="n">
        <v>45709</v>
      </c>
      <c r="C231" s="50" t="s">
        <v>174</v>
      </c>
      <c r="D231" s="39" t="str">
        <f aca="false">INDEX(Master_Customer!$B$2:$B$126,MATCH(C231,Master_Customer!$A$2:$A$126,0))</f>
        <v>SUMBER TEKNIK SURYA</v>
      </c>
      <c r="E231" s="50" t="s">
        <v>31</v>
      </c>
      <c r="F231" s="52" t="n">
        <f aca="false">SUMIFS(Data_Penjualan!$G$2:$G$5998,Data_Penjualan!$A$2:$A$5998,A231)</f>
        <v>4983800</v>
      </c>
      <c r="G231" s="39" t="n">
        <f aca="false">IF(E231="KANTOR",0,INDEX(Master_Customer!$C$2:$C$126,MATCH(C231,Master_Customer!$A$2:$A$126,0)))</f>
        <v>30</v>
      </c>
      <c r="H231" s="53" t="n">
        <f aca="false">B231+G231</f>
        <v>45739</v>
      </c>
      <c r="I231" s="51" t="n">
        <v>45713</v>
      </c>
      <c r="J231" s="39" t="str">
        <f aca="false">IF(G231=0,"Tunai",IF(I231="","Belum ditukar","Sudah ditukar"))</f>
        <v>Sudah ditukar</v>
      </c>
      <c r="K231" s="54" t="n">
        <v>4983800</v>
      </c>
      <c r="L231" s="51" t="n">
        <v>45735</v>
      </c>
      <c r="M231" s="52" t="n">
        <f aca="false">F231-K231</f>
        <v>0</v>
      </c>
      <c r="N231" s="39" t="str">
        <f aca="false">IF(M231&lt;=0,"Lunas",IF(K231&gt;0,"Sebagian","Belum Bayar"))</f>
        <v>Lunas</v>
      </c>
      <c r="O231" s="39" t="n">
        <f aca="false">IF(M231&gt;0,MAX(0,Catatan!$B$3-H231),0)</f>
        <v>0</v>
      </c>
      <c r="P231" s="39" t="str">
        <f aca="false">IF(M231&lt;=0,"Lunas",IF(Catatan!$B$3&lt;=H231,"Belum Jatuh Tempo",IF(O231&lt;=30,"1-30 hari",IF(O231&lt;=60,"31-60 hari",IF(O231&lt;=90,"61-90 hari","90+ hari")))))</f>
        <v>Lunas</v>
      </c>
      <c r="Q231" s="50"/>
      <c r="R231" s="39" t="str">
        <f aca="false">IF(M231&lt;=0,"",IF(O231&gt;60,"1-Tinggi",IF(O231&gt;30,"2-Sedang",IF(O231&gt;0,"3-Rendah","4-Pantau"))))</f>
        <v/>
      </c>
      <c r="S231" s="39" t="str">
        <f aca="false">IF(AND(M231&gt;0,O231&gt;0),O231+M231/1000000000000+ROW()/1000000000000000,"")</f>
        <v/>
      </c>
      <c r="T231" s="39" t="str">
        <f aca="false">IF(J231="Belum ditukar",ROW(),"")</f>
        <v/>
      </c>
    </row>
    <row r="232" customFormat="false" ht="15" hidden="false" customHeight="false" outlineLevel="0" collapsed="false">
      <c r="A232" s="50" t="s">
        <v>486</v>
      </c>
      <c r="B232" s="51" t="n">
        <v>45709</v>
      </c>
      <c r="C232" s="50" t="s">
        <v>179</v>
      </c>
      <c r="D232" s="39" t="str">
        <f aca="false">INDEX(Master_Customer!$B$2:$B$126,MATCH(C232,Master_Customer!$A$2:$A$126,0))</f>
        <v>BINTANG TEKNIK SURYA</v>
      </c>
      <c r="E232" s="50" t="s">
        <v>29</v>
      </c>
      <c r="F232" s="52" t="n">
        <f aca="false">SUMIFS(Data_Penjualan!$G$2:$G$5998,Data_Penjualan!$A$2:$A$5998,A232)</f>
        <v>12597200</v>
      </c>
      <c r="G232" s="39" t="n">
        <f aca="false">IF(E232="KANTOR",0,INDEX(Master_Customer!$C$2:$C$126,MATCH(C232,Master_Customer!$A$2:$A$126,0)))</f>
        <v>45</v>
      </c>
      <c r="H232" s="53" t="n">
        <f aca="false">B232+G232</f>
        <v>45754</v>
      </c>
      <c r="I232" s="51" t="n">
        <v>45710</v>
      </c>
      <c r="J232" s="39" t="str">
        <f aca="false">IF(G232=0,"Tunai",IF(I232="","Belum ditukar","Sudah ditukar"))</f>
        <v>Sudah ditukar</v>
      </c>
      <c r="K232" s="54" t="n">
        <v>12597200</v>
      </c>
      <c r="L232" s="51" t="n">
        <v>45757</v>
      </c>
      <c r="M232" s="52" t="n">
        <f aca="false">F232-K232</f>
        <v>0</v>
      </c>
      <c r="N232" s="39" t="str">
        <f aca="false">IF(M232&lt;=0,"Lunas",IF(K232&gt;0,"Sebagian","Belum Bayar"))</f>
        <v>Lunas</v>
      </c>
      <c r="O232" s="39" t="n">
        <f aca="false">IF(M232&gt;0,MAX(0,Catatan!$B$3-H232),0)</f>
        <v>0</v>
      </c>
      <c r="P232" s="39" t="str">
        <f aca="false">IF(M232&lt;=0,"Lunas",IF(Catatan!$B$3&lt;=H232,"Belum Jatuh Tempo",IF(O232&lt;=30,"1-30 hari",IF(O232&lt;=60,"31-60 hari",IF(O232&lt;=90,"61-90 hari","90+ hari")))))</f>
        <v>Lunas</v>
      </c>
      <c r="Q232" s="50"/>
      <c r="R232" s="39" t="str">
        <f aca="false">IF(M232&lt;=0,"",IF(O232&gt;60,"1-Tinggi",IF(O232&gt;30,"2-Sedang",IF(O232&gt;0,"3-Rendah","4-Pantau"))))</f>
        <v/>
      </c>
      <c r="S232" s="39" t="str">
        <f aca="false">IF(AND(M232&gt;0,O232&gt;0),O232+M232/1000000000000+ROW()/1000000000000000,"")</f>
        <v/>
      </c>
      <c r="T232" s="39" t="str">
        <f aca="false">IF(J232="Belum ditukar",ROW(),"")</f>
        <v/>
      </c>
    </row>
    <row r="233" customFormat="false" ht="15" hidden="false" customHeight="false" outlineLevel="0" collapsed="false">
      <c r="A233" s="50" t="s">
        <v>487</v>
      </c>
      <c r="B233" s="51" t="n">
        <v>45709</v>
      </c>
      <c r="C233" s="50" t="s">
        <v>325</v>
      </c>
      <c r="D233" s="39" t="str">
        <f aca="false">INDEX(Master_Customer!$B$2:$B$126,MATCH(C233,Master_Customer!$A$2:$A$126,0))</f>
        <v>KARYA TEKNIK TIRTA</v>
      </c>
      <c r="E233" s="50" t="s">
        <v>31</v>
      </c>
      <c r="F233" s="52" t="n">
        <f aca="false">SUMIFS(Data_Penjualan!$G$2:$G$5998,Data_Penjualan!$A$2:$A$5998,A233)</f>
        <v>12208800</v>
      </c>
      <c r="G233" s="39" t="n">
        <f aca="false">IF(E233="KANTOR",0,INDEX(Master_Customer!$C$2:$C$126,MATCH(C233,Master_Customer!$A$2:$A$126,0)))</f>
        <v>14</v>
      </c>
      <c r="H233" s="53" t="n">
        <f aca="false">B233+G233</f>
        <v>45723</v>
      </c>
      <c r="I233" s="51" t="n">
        <v>45712</v>
      </c>
      <c r="J233" s="39" t="str">
        <f aca="false">IF(G233=0,"Tunai",IF(I233="","Belum ditukar","Sudah ditukar"))</f>
        <v>Sudah ditukar</v>
      </c>
      <c r="K233" s="54" t="n">
        <v>12208800</v>
      </c>
      <c r="L233" s="51" t="n">
        <v>45751</v>
      </c>
      <c r="M233" s="52" t="n">
        <f aca="false">F233-K233</f>
        <v>0</v>
      </c>
      <c r="N233" s="39" t="str">
        <f aca="false">IF(M233&lt;=0,"Lunas",IF(K233&gt;0,"Sebagian","Belum Bayar"))</f>
        <v>Lunas</v>
      </c>
      <c r="O233" s="39" t="n">
        <f aca="false">IF(M233&gt;0,MAX(0,Catatan!$B$3-H233),0)</f>
        <v>0</v>
      </c>
      <c r="P233" s="39" t="str">
        <f aca="false">IF(M233&lt;=0,"Lunas",IF(Catatan!$B$3&lt;=H233,"Belum Jatuh Tempo",IF(O233&lt;=30,"1-30 hari",IF(O233&lt;=60,"31-60 hari",IF(O233&lt;=90,"61-90 hari","90+ hari")))))</f>
        <v>Lunas</v>
      </c>
      <c r="Q233" s="50"/>
      <c r="R233" s="39" t="str">
        <f aca="false">IF(M233&lt;=0,"",IF(O233&gt;60,"1-Tinggi",IF(O233&gt;30,"2-Sedang",IF(O233&gt;0,"3-Rendah","4-Pantau"))))</f>
        <v/>
      </c>
      <c r="S233" s="39" t="str">
        <f aca="false">IF(AND(M233&gt;0,O233&gt;0),O233+M233/1000000000000+ROW()/1000000000000000,"")</f>
        <v/>
      </c>
      <c r="T233" s="39" t="str">
        <f aca="false">IF(J233="Belum ditukar",ROW(),"")</f>
        <v/>
      </c>
    </row>
    <row r="234" customFormat="false" ht="15" hidden="false" customHeight="false" outlineLevel="0" collapsed="false">
      <c r="A234" s="50" t="s">
        <v>488</v>
      </c>
      <c r="B234" s="51" t="n">
        <v>45709</v>
      </c>
      <c r="C234" s="50" t="s">
        <v>179</v>
      </c>
      <c r="D234" s="39" t="str">
        <f aca="false">INDEX(Master_Customer!$B$2:$B$126,MATCH(C234,Master_Customer!$A$2:$A$126,0))</f>
        <v>BINTANG TEKNIK SURYA</v>
      </c>
      <c r="E234" s="50" t="s">
        <v>29</v>
      </c>
      <c r="F234" s="52" t="n">
        <f aca="false">SUMIFS(Data_Penjualan!$G$2:$G$5998,Data_Penjualan!$A$2:$A$5998,A234)</f>
        <v>12011600</v>
      </c>
      <c r="G234" s="39" t="n">
        <f aca="false">IF(E234="KANTOR",0,INDEX(Master_Customer!$C$2:$C$126,MATCH(C234,Master_Customer!$A$2:$A$126,0)))</f>
        <v>45</v>
      </c>
      <c r="H234" s="53" t="n">
        <f aca="false">B234+G234</f>
        <v>45754</v>
      </c>
      <c r="I234" s="51" t="n">
        <v>45711</v>
      </c>
      <c r="J234" s="39" t="str">
        <f aca="false">IF(G234=0,"Tunai",IF(I234="","Belum ditukar","Sudah ditukar"))</f>
        <v>Sudah ditukar</v>
      </c>
      <c r="K234" s="54" t="n">
        <v>12011600</v>
      </c>
      <c r="L234" s="51" t="n">
        <v>45752</v>
      </c>
      <c r="M234" s="52" t="n">
        <f aca="false">F234-K234</f>
        <v>0</v>
      </c>
      <c r="N234" s="39" t="str">
        <f aca="false">IF(M234&lt;=0,"Lunas",IF(K234&gt;0,"Sebagian","Belum Bayar"))</f>
        <v>Lunas</v>
      </c>
      <c r="O234" s="39" t="n">
        <f aca="false">IF(M234&gt;0,MAX(0,Catatan!$B$3-H234),0)</f>
        <v>0</v>
      </c>
      <c r="P234" s="39" t="str">
        <f aca="false">IF(M234&lt;=0,"Lunas",IF(Catatan!$B$3&lt;=H234,"Belum Jatuh Tempo",IF(O234&lt;=30,"1-30 hari",IF(O234&lt;=60,"31-60 hari",IF(O234&lt;=90,"61-90 hari","90+ hari")))))</f>
        <v>Lunas</v>
      </c>
      <c r="Q234" s="50"/>
      <c r="R234" s="39" t="str">
        <f aca="false">IF(M234&lt;=0,"",IF(O234&gt;60,"1-Tinggi",IF(O234&gt;30,"2-Sedang",IF(O234&gt;0,"3-Rendah","4-Pantau"))))</f>
        <v/>
      </c>
      <c r="S234" s="39" t="str">
        <f aca="false">IF(AND(M234&gt;0,O234&gt;0),O234+M234/1000000000000+ROW()/1000000000000000,"")</f>
        <v/>
      </c>
      <c r="T234" s="39" t="str">
        <f aca="false">IF(J234="Belum ditukar",ROW(),"")</f>
        <v/>
      </c>
    </row>
    <row r="235" customFormat="false" ht="15" hidden="false" customHeight="false" outlineLevel="0" collapsed="false">
      <c r="A235" s="50" t="s">
        <v>489</v>
      </c>
      <c r="B235" s="51" t="n">
        <v>45709</v>
      </c>
      <c r="C235" s="50" t="s">
        <v>193</v>
      </c>
      <c r="D235" s="39" t="str">
        <f aca="false">INDEX(Master_Customer!$B$2:$B$126,MATCH(C235,Master_Customer!$A$2:$A$126,0))</f>
        <v>BINTANG BENGKEL</v>
      </c>
      <c r="E235" s="50" t="s">
        <v>31</v>
      </c>
      <c r="F235" s="52" t="n">
        <f aca="false">SUMIFS(Data_Penjualan!$G$2:$G$5998,Data_Penjualan!$A$2:$A$5998,A235)</f>
        <v>5132700</v>
      </c>
      <c r="G235" s="39" t="n">
        <f aca="false">IF(E235="KANTOR",0,INDEX(Master_Customer!$C$2:$C$126,MATCH(C235,Master_Customer!$A$2:$A$126,0)))</f>
        <v>14</v>
      </c>
      <c r="H235" s="53" t="n">
        <f aca="false">B235+G235</f>
        <v>45723</v>
      </c>
      <c r="I235" s="51" t="n">
        <v>45710</v>
      </c>
      <c r="J235" s="39" t="str">
        <f aca="false">IF(G235=0,"Tunai",IF(I235="","Belum ditukar","Sudah ditukar"))</f>
        <v>Sudah ditukar</v>
      </c>
      <c r="K235" s="54" t="n">
        <v>5132700</v>
      </c>
      <c r="L235" s="51" t="n">
        <v>45758</v>
      </c>
      <c r="M235" s="52" t="n">
        <f aca="false">F235-K235</f>
        <v>0</v>
      </c>
      <c r="N235" s="39" t="str">
        <f aca="false">IF(M235&lt;=0,"Lunas",IF(K235&gt;0,"Sebagian","Belum Bayar"))</f>
        <v>Lunas</v>
      </c>
      <c r="O235" s="39" t="n">
        <f aca="false">IF(M235&gt;0,MAX(0,Catatan!$B$3-H235),0)</f>
        <v>0</v>
      </c>
      <c r="P235" s="39" t="str">
        <f aca="false">IF(M235&lt;=0,"Lunas",IF(Catatan!$B$3&lt;=H235,"Belum Jatuh Tempo",IF(O235&lt;=30,"1-30 hari",IF(O235&lt;=60,"31-60 hari",IF(O235&lt;=90,"61-90 hari","90+ hari")))))</f>
        <v>Lunas</v>
      </c>
      <c r="Q235" s="50"/>
      <c r="R235" s="39" t="str">
        <f aca="false">IF(M235&lt;=0,"",IF(O235&gt;60,"1-Tinggi",IF(O235&gt;30,"2-Sedang",IF(O235&gt;0,"3-Rendah","4-Pantau"))))</f>
        <v/>
      </c>
      <c r="S235" s="39" t="str">
        <f aca="false">IF(AND(M235&gt;0,O235&gt;0),O235+M235/1000000000000+ROW()/1000000000000000,"")</f>
        <v/>
      </c>
      <c r="T235" s="39" t="str">
        <f aca="false">IF(J235="Belum ditukar",ROW(),"")</f>
        <v/>
      </c>
    </row>
    <row r="236" customFormat="false" ht="15" hidden="false" customHeight="false" outlineLevel="0" collapsed="false">
      <c r="A236" s="50" t="s">
        <v>490</v>
      </c>
      <c r="B236" s="51" t="n">
        <v>45709</v>
      </c>
      <c r="C236" s="50" t="s">
        <v>491</v>
      </c>
      <c r="D236" s="39" t="str">
        <f aca="false">INDEX(Master_Customer!$B$2:$B$126,MATCH(C236,Master_Customer!$A$2:$A$126,0))</f>
        <v>SINAR SERVICE</v>
      </c>
      <c r="E236" s="50" t="s">
        <v>31</v>
      </c>
      <c r="F236" s="52" t="n">
        <f aca="false">SUMIFS(Data_Penjualan!$G$2:$G$5998,Data_Penjualan!$A$2:$A$5998,A236)</f>
        <v>17793900</v>
      </c>
      <c r="G236" s="39" t="n">
        <f aca="false">IF(E236="KANTOR",0,INDEX(Master_Customer!$C$2:$C$126,MATCH(C236,Master_Customer!$A$2:$A$126,0)))</f>
        <v>0</v>
      </c>
      <c r="H236" s="53" t="n">
        <f aca="false">B236+G236</f>
        <v>45709</v>
      </c>
      <c r="J236" s="39" t="str">
        <f aca="false">IF(G236=0,"Tunai",IF(I236="","Belum ditukar","Sudah ditukar"))</f>
        <v>Tunai</v>
      </c>
      <c r="K236" s="54" t="n">
        <v>17793900</v>
      </c>
      <c r="L236" s="51" t="n">
        <v>45709</v>
      </c>
      <c r="M236" s="52" t="n">
        <f aca="false">F236-K236</f>
        <v>0</v>
      </c>
      <c r="N236" s="39" t="str">
        <f aca="false">IF(M236&lt;=0,"Lunas",IF(K236&gt;0,"Sebagian","Belum Bayar"))</f>
        <v>Lunas</v>
      </c>
      <c r="O236" s="39" t="n">
        <f aca="false">IF(M236&gt;0,MAX(0,Catatan!$B$3-H236),0)</f>
        <v>0</v>
      </c>
      <c r="P236" s="39" t="str">
        <f aca="false">IF(M236&lt;=0,"Lunas",IF(Catatan!$B$3&lt;=H236,"Belum Jatuh Tempo",IF(O236&lt;=30,"1-30 hari",IF(O236&lt;=60,"31-60 hari",IF(O236&lt;=90,"61-90 hari","90+ hari")))))</f>
        <v>Lunas</v>
      </c>
      <c r="Q236" s="50"/>
      <c r="R236" s="39" t="str">
        <f aca="false">IF(M236&lt;=0,"",IF(O236&gt;60,"1-Tinggi",IF(O236&gt;30,"2-Sedang",IF(O236&gt;0,"3-Rendah","4-Pantau"))))</f>
        <v/>
      </c>
      <c r="S236" s="39" t="str">
        <f aca="false">IF(AND(M236&gt;0,O236&gt;0),O236+M236/1000000000000+ROW()/1000000000000000,"")</f>
        <v/>
      </c>
      <c r="T236" s="39" t="str">
        <f aca="false">IF(J236="Belum ditukar",ROW(),"")</f>
        <v/>
      </c>
    </row>
    <row r="237" customFormat="false" ht="15" hidden="false" customHeight="false" outlineLevel="0" collapsed="false">
      <c r="A237" s="50" t="s">
        <v>492</v>
      </c>
      <c r="B237" s="51" t="n">
        <v>45710</v>
      </c>
      <c r="C237" s="50" t="s">
        <v>230</v>
      </c>
      <c r="D237" s="39" t="str">
        <f aca="false">INDEX(Master_Customer!$B$2:$B$126,MATCH(C237,Master_Customer!$A$2:$A$126,0))</f>
        <v>BINTANG MOBIL JAYA</v>
      </c>
      <c r="E237" s="50" t="s">
        <v>28</v>
      </c>
      <c r="F237" s="52" t="n">
        <f aca="false">SUMIFS(Data_Penjualan!$G$2:$G$5998,Data_Penjualan!$A$2:$A$5998,A237)</f>
        <v>16199400</v>
      </c>
      <c r="G237" s="39" t="n">
        <f aca="false">IF(E237="KANTOR",0,INDEX(Master_Customer!$C$2:$C$126,MATCH(C237,Master_Customer!$A$2:$A$126,0)))</f>
        <v>45</v>
      </c>
      <c r="H237" s="53" t="n">
        <f aca="false">B237+G237</f>
        <v>45755</v>
      </c>
      <c r="I237" s="51" t="n">
        <v>45711</v>
      </c>
      <c r="J237" s="39" t="str">
        <f aca="false">IF(G237=0,"Tunai",IF(I237="","Belum ditukar","Sudah ditukar"))</f>
        <v>Sudah ditukar</v>
      </c>
      <c r="K237" s="54" t="n">
        <v>16199400</v>
      </c>
      <c r="L237" s="51" t="n">
        <v>45767</v>
      </c>
      <c r="M237" s="52" t="n">
        <f aca="false">F237-K237</f>
        <v>0</v>
      </c>
      <c r="N237" s="39" t="str">
        <f aca="false">IF(M237&lt;=0,"Lunas",IF(K237&gt;0,"Sebagian","Belum Bayar"))</f>
        <v>Lunas</v>
      </c>
      <c r="O237" s="39" t="n">
        <f aca="false">IF(M237&gt;0,MAX(0,Catatan!$B$3-H237),0)</f>
        <v>0</v>
      </c>
      <c r="P237" s="39" t="str">
        <f aca="false">IF(M237&lt;=0,"Lunas",IF(Catatan!$B$3&lt;=H237,"Belum Jatuh Tempo",IF(O237&lt;=30,"1-30 hari",IF(O237&lt;=60,"31-60 hari",IF(O237&lt;=90,"61-90 hari","90+ hari")))))</f>
        <v>Lunas</v>
      </c>
      <c r="Q237" s="50"/>
      <c r="R237" s="39" t="str">
        <f aca="false">IF(M237&lt;=0,"",IF(O237&gt;60,"1-Tinggi",IF(O237&gt;30,"2-Sedang",IF(O237&gt;0,"3-Rendah","4-Pantau"))))</f>
        <v/>
      </c>
      <c r="S237" s="39" t="str">
        <f aca="false">IF(AND(M237&gt;0,O237&gt;0),O237+M237/1000000000000+ROW()/1000000000000000,"")</f>
        <v/>
      </c>
      <c r="T237" s="39" t="str">
        <f aca="false">IF(J237="Belum ditukar",ROW(),"")</f>
        <v/>
      </c>
    </row>
    <row r="238" customFormat="false" ht="15" hidden="false" customHeight="false" outlineLevel="0" collapsed="false">
      <c r="A238" s="50" t="s">
        <v>493</v>
      </c>
      <c r="B238" s="51" t="n">
        <v>45710</v>
      </c>
      <c r="C238" s="50" t="s">
        <v>172</v>
      </c>
      <c r="D238" s="39" t="str">
        <f aca="false">INDEX(Master_Customer!$B$2:$B$126,MATCH(C238,Master_Customer!$A$2:$A$126,0))</f>
        <v>SURYA GARAGE MITRA</v>
      </c>
      <c r="E238" s="50" t="s">
        <v>31</v>
      </c>
      <c r="F238" s="52" t="n">
        <f aca="false">SUMIFS(Data_Penjualan!$G$2:$G$5998,Data_Penjualan!$A$2:$A$5998,A238)</f>
        <v>8893900</v>
      </c>
      <c r="G238" s="39" t="n">
        <f aca="false">IF(E238="KANTOR",0,INDEX(Master_Customer!$C$2:$C$126,MATCH(C238,Master_Customer!$A$2:$A$126,0)))</f>
        <v>30</v>
      </c>
      <c r="H238" s="53" t="n">
        <f aca="false">B238+G238</f>
        <v>45740</v>
      </c>
      <c r="I238" s="51" t="n">
        <v>45713</v>
      </c>
      <c r="J238" s="39" t="str">
        <f aca="false">IF(G238=0,"Tunai",IF(I238="","Belum ditukar","Sudah ditukar"))</f>
        <v>Sudah ditukar</v>
      </c>
      <c r="K238" s="54" t="n">
        <v>8893900</v>
      </c>
      <c r="L238" s="51" t="n">
        <v>45738</v>
      </c>
      <c r="M238" s="52" t="n">
        <f aca="false">F238-K238</f>
        <v>0</v>
      </c>
      <c r="N238" s="39" t="str">
        <f aca="false">IF(M238&lt;=0,"Lunas",IF(K238&gt;0,"Sebagian","Belum Bayar"))</f>
        <v>Lunas</v>
      </c>
      <c r="O238" s="39" t="n">
        <f aca="false">IF(M238&gt;0,MAX(0,Catatan!$B$3-H238),0)</f>
        <v>0</v>
      </c>
      <c r="P238" s="39" t="str">
        <f aca="false">IF(M238&lt;=0,"Lunas",IF(Catatan!$B$3&lt;=H238,"Belum Jatuh Tempo",IF(O238&lt;=30,"1-30 hari",IF(O238&lt;=60,"31-60 hari",IF(O238&lt;=90,"61-90 hari","90+ hari")))))</f>
        <v>Lunas</v>
      </c>
      <c r="Q238" s="50"/>
      <c r="R238" s="39" t="str">
        <f aca="false">IF(M238&lt;=0,"",IF(O238&gt;60,"1-Tinggi",IF(O238&gt;30,"2-Sedang",IF(O238&gt;0,"3-Rendah","4-Pantau"))))</f>
        <v/>
      </c>
      <c r="S238" s="39" t="str">
        <f aca="false">IF(AND(M238&gt;0,O238&gt;0),O238+M238/1000000000000+ROW()/1000000000000000,"")</f>
        <v/>
      </c>
      <c r="T238" s="39" t="str">
        <f aca="false">IF(J238="Belum ditukar",ROW(),"")</f>
        <v/>
      </c>
    </row>
    <row r="239" customFormat="false" ht="15" hidden="false" customHeight="false" outlineLevel="0" collapsed="false">
      <c r="A239" s="50" t="s">
        <v>494</v>
      </c>
      <c r="B239" s="51" t="n">
        <v>45710</v>
      </c>
      <c r="C239" s="50" t="s">
        <v>205</v>
      </c>
      <c r="D239" s="39" t="str">
        <f aca="false">INDEX(Master_Customer!$B$2:$B$126,MATCH(C239,Master_Customer!$A$2:$A$126,0))</f>
        <v>BERKAH OLI</v>
      </c>
      <c r="E239" s="50" t="s">
        <v>28</v>
      </c>
      <c r="F239" s="52" t="n">
        <f aca="false">SUMIFS(Data_Penjualan!$G$2:$G$5998,Data_Penjualan!$A$2:$A$5998,A239)</f>
        <v>28844000</v>
      </c>
      <c r="G239" s="39" t="n">
        <f aca="false">IF(E239="KANTOR",0,INDEX(Master_Customer!$C$2:$C$126,MATCH(C239,Master_Customer!$A$2:$A$126,0)))</f>
        <v>0</v>
      </c>
      <c r="H239" s="53" t="n">
        <f aca="false">B239+G239</f>
        <v>45710</v>
      </c>
      <c r="J239" s="39" t="str">
        <f aca="false">IF(G239=0,"Tunai",IF(I239="","Belum ditukar","Sudah ditukar"))</f>
        <v>Tunai</v>
      </c>
      <c r="K239" s="54" t="n">
        <v>28844000</v>
      </c>
      <c r="L239" s="51" t="n">
        <v>45711</v>
      </c>
      <c r="M239" s="52" t="n">
        <f aca="false">F239-K239</f>
        <v>0</v>
      </c>
      <c r="N239" s="39" t="str">
        <f aca="false">IF(M239&lt;=0,"Lunas",IF(K239&gt;0,"Sebagian","Belum Bayar"))</f>
        <v>Lunas</v>
      </c>
      <c r="O239" s="39" t="n">
        <f aca="false">IF(M239&gt;0,MAX(0,Catatan!$B$3-H239),0)</f>
        <v>0</v>
      </c>
      <c r="P239" s="39" t="str">
        <f aca="false">IF(M239&lt;=0,"Lunas",IF(Catatan!$B$3&lt;=H239,"Belum Jatuh Tempo",IF(O239&lt;=30,"1-30 hari",IF(O239&lt;=60,"31-60 hari",IF(O239&lt;=90,"61-90 hari","90+ hari")))))</f>
        <v>Lunas</v>
      </c>
      <c r="Q239" s="50"/>
      <c r="R239" s="39" t="str">
        <f aca="false">IF(M239&lt;=0,"",IF(O239&gt;60,"1-Tinggi",IF(O239&gt;30,"2-Sedang",IF(O239&gt;0,"3-Rendah","4-Pantau"))))</f>
        <v/>
      </c>
      <c r="S239" s="39" t="str">
        <f aca="false">IF(AND(M239&gt;0,O239&gt;0),O239+M239/1000000000000+ROW()/1000000000000000,"")</f>
        <v/>
      </c>
      <c r="T239" s="39" t="str">
        <f aca="false">IF(J239="Belum ditukar",ROW(),"")</f>
        <v/>
      </c>
    </row>
    <row r="240" customFormat="false" ht="15" hidden="false" customHeight="false" outlineLevel="0" collapsed="false">
      <c r="A240" s="50" t="s">
        <v>495</v>
      </c>
      <c r="B240" s="51" t="n">
        <v>45710</v>
      </c>
      <c r="C240" s="50" t="s">
        <v>188</v>
      </c>
      <c r="D240" s="39" t="str">
        <f aca="false">INDEX(Master_Customer!$B$2:$B$126,MATCH(C240,Master_Customer!$A$2:$A$126,0))</f>
        <v>MAJU GARAGE TIRTA</v>
      </c>
      <c r="E240" s="50" t="s">
        <v>32</v>
      </c>
      <c r="F240" s="52" t="n">
        <f aca="false">SUMIFS(Data_Penjualan!$G$2:$G$5998,Data_Penjualan!$A$2:$A$5998,A240)</f>
        <v>17270800</v>
      </c>
      <c r="G240" s="39" t="n">
        <f aca="false">IF(E240="KANTOR",0,INDEX(Master_Customer!$C$2:$C$126,MATCH(C240,Master_Customer!$A$2:$A$126,0)))</f>
        <v>0</v>
      </c>
      <c r="H240" s="53" t="n">
        <f aca="false">B240+G240</f>
        <v>45710</v>
      </c>
      <c r="J240" s="39" t="str">
        <f aca="false">IF(G240=0,"Tunai",IF(I240="","Belum ditukar","Sudah ditukar"))</f>
        <v>Tunai</v>
      </c>
      <c r="K240" s="54" t="n">
        <v>17270800</v>
      </c>
      <c r="L240" s="51" t="n">
        <v>45710</v>
      </c>
      <c r="M240" s="52" t="n">
        <f aca="false">F240-K240</f>
        <v>0</v>
      </c>
      <c r="N240" s="39" t="str">
        <f aca="false">IF(M240&lt;=0,"Lunas",IF(K240&gt;0,"Sebagian","Belum Bayar"))</f>
        <v>Lunas</v>
      </c>
      <c r="O240" s="39" t="n">
        <f aca="false">IF(M240&gt;0,MAX(0,Catatan!$B$3-H240),0)</f>
        <v>0</v>
      </c>
      <c r="P240" s="39" t="str">
        <f aca="false">IF(M240&lt;=0,"Lunas",IF(Catatan!$B$3&lt;=H240,"Belum Jatuh Tempo",IF(O240&lt;=30,"1-30 hari",IF(O240&lt;=60,"31-60 hari",IF(O240&lt;=90,"61-90 hari","90+ hari")))))</f>
        <v>Lunas</v>
      </c>
      <c r="Q240" s="50"/>
      <c r="R240" s="39" t="str">
        <f aca="false">IF(M240&lt;=0,"",IF(O240&gt;60,"1-Tinggi",IF(O240&gt;30,"2-Sedang",IF(O240&gt;0,"3-Rendah","4-Pantau"))))</f>
        <v/>
      </c>
      <c r="S240" s="39" t="str">
        <f aca="false">IF(AND(M240&gt;0,O240&gt;0),O240+M240/1000000000000+ROW()/1000000000000000,"")</f>
        <v/>
      </c>
      <c r="T240" s="39" t="str">
        <f aca="false">IF(J240="Belum ditukar",ROW(),"")</f>
        <v/>
      </c>
    </row>
    <row r="241" customFormat="false" ht="15" hidden="false" customHeight="false" outlineLevel="0" collapsed="false">
      <c r="A241" s="50" t="s">
        <v>496</v>
      </c>
      <c r="B241" s="51" t="n">
        <v>45710</v>
      </c>
      <c r="C241" s="50" t="s">
        <v>298</v>
      </c>
      <c r="D241" s="39" t="str">
        <f aca="false">INDEX(Master_Customer!$B$2:$B$126,MATCH(C241,Master_Customer!$A$2:$A$126,0))</f>
        <v>BERKAH MOBIL MAKMUR</v>
      </c>
      <c r="E241" s="50" t="s">
        <v>31</v>
      </c>
      <c r="F241" s="52" t="n">
        <f aca="false">SUMIFS(Data_Penjualan!$G$2:$G$5998,Data_Penjualan!$A$2:$A$5998,A241)</f>
        <v>25044900</v>
      </c>
      <c r="G241" s="39" t="n">
        <f aca="false">IF(E241="KANTOR",0,INDEX(Master_Customer!$C$2:$C$126,MATCH(C241,Master_Customer!$A$2:$A$126,0)))</f>
        <v>14</v>
      </c>
      <c r="H241" s="53" t="n">
        <f aca="false">B241+G241</f>
        <v>45724</v>
      </c>
      <c r="I241" s="51" t="n">
        <v>45715</v>
      </c>
      <c r="J241" s="39" t="str">
        <f aca="false">IF(G241=0,"Tunai",IF(I241="","Belum ditukar","Sudah ditukar"))</f>
        <v>Sudah ditukar</v>
      </c>
      <c r="K241" s="54" t="n">
        <v>8997700</v>
      </c>
      <c r="L241" s="51" t="n">
        <v>45725</v>
      </c>
      <c r="M241" s="52" t="n">
        <f aca="false">F241-K241</f>
        <v>16047200</v>
      </c>
      <c r="N241" s="39" t="str">
        <f aca="false">IF(M241&lt;=0,"Lunas",IF(K241&gt;0,"Sebagian","Belum Bayar"))</f>
        <v>Sebagian</v>
      </c>
      <c r="O241" s="39" t="n">
        <f aca="false">IF(M241&gt;0,MAX(0,Catatan!$B$3-H241),0)</f>
        <v>298</v>
      </c>
      <c r="P241" s="39" t="str">
        <f aca="false">IF(M241&lt;=0,"Lunas",IF(Catatan!$B$3&lt;=H241,"Belum Jatuh Tempo",IF(O241&lt;=30,"1-30 hari",IF(O241&lt;=60,"31-60 hari",IF(O241&lt;=90,"61-90 hari","90+ hari")))))</f>
        <v>90+ hari</v>
      </c>
      <c r="Q241" s="50" t="s">
        <v>497</v>
      </c>
      <c r="R241" s="39" t="str">
        <f aca="false">IF(M241&lt;=0,"",IF(O241&gt;60,"1-Tinggi",IF(O241&gt;30,"2-Sedang",IF(O241&gt;0,"3-Rendah","4-Pantau"))))</f>
        <v>1-Tinggi</v>
      </c>
      <c r="S241" s="39" t="n">
        <f aca="false">IF(AND(M241&gt;0,O241&gt;0),O241+M241/1000000000000+ROW()/1000000000000000,"")</f>
        <v>298.0000160472</v>
      </c>
      <c r="T241" s="39" t="str">
        <f aca="false">IF(J241="Belum ditukar",ROW(),"")</f>
        <v/>
      </c>
    </row>
    <row r="242" customFormat="false" ht="15" hidden="false" customHeight="false" outlineLevel="0" collapsed="false">
      <c r="A242" s="50" t="s">
        <v>498</v>
      </c>
      <c r="B242" s="51" t="n">
        <v>45710</v>
      </c>
      <c r="C242" s="50" t="s">
        <v>203</v>
      </c>
      <c r="D242" s="39" t="str">
        <f aca="false">INDEX(Master_Customer!$B$2:$B$126,MATCH(C242,Master_Customer!$A$2:$A$126,0))</f>
        <v>BINTANG TEKNIK</v>
      </c>
      <c r="E242" s="50" t="s">
        <v>28</v>
      </c>
      <c r="F242" s="52" t="n">
        <f aca="false">SUMIFS(Data_Penjualan!$G$2:$G$5998,Data_Penjualan!$A$2:$A$5998,A242)</f>
        <v>21701300</v>
      </c>
      <c r="G242" s="39" t="n">
        <f aca="false">IF(E242="KANTOR",0,INDEX(Master_Customer!$C$2:$C$126,MATCH(C242,Master_Customer!$A$2:$A$126,0)))</f>
        <v>45</v>
      </c>
      <c r="H242" s="53" t="n">
        <f aca="false">B242+G242</f>
        <v>45755</v>
      </c>
      <c r="I242" s="51" t="n">
        <v>45715</v>
      </c>
      <c r="J242" s="39" t="str">
        <f aca="false">IF(G242=0,"Tunai",IF(I242="","Belum ditukar","Sudah ditukar"))</f>
        <v>Sudah ditukar</v>
      </c>
      <c r="K242" s="54" t="n">
        <v>21701300</v>
      </c>
      <c r="L242" s="51" t="n">
        <v>45775</v>
      </c>
      <c r="M242" s="52" t="n">
        <f aca="false">F242-K242</f>
        <v>0</v>
      </c>
      <c r="N242" s="39" t="str">
        <f aca="false">IF(M242&lt;=0,"Lunas",IF(K242&gt;0,"Sebagian","Belum Bayar"))</f>
        <v>Lunas</v>
      </c>
      <c r="O242" s="39" t="n">
        <f aca="false">IF(M242&gt;0,MAX(0,Catatan!$B$3-H242),0)</f>
        <v>0</v>
      </c>
      <c r="P242" s="39" t="str">
        <f aca="false">IF(M242&lt;=0,"Lunas",IF(Catatan!$B$3&lt;=H242,"Belum Jatuh Tempo",IF(O242&lt;=30,"1-30 hari",IF(O242&lt;=60,"31-60 hari",IF(O242&lt;=90,"61-90 hari","90+ hari")))))</f>
        <v>Lunas</v>
      </c>
      <c r="Q242" s="50"/>
      <c r="R242" s="39" t="str">
        <f aca="false">IF(M242&lt;=0,"",IF(O242&gt;60,"1-Tinggi",IF(O242&gt;30,"2-Sedang",IF(O242&gt;0,"3-Rendah","4-Pantau"))))</f>
        <v/>
      </c>
      <c r="S242" s="39" t="str">
        <f aca="false">IF(AND(M242&gt;0,O242&gt;0),O242+M242/1000000000000+ROW()/1000000000000000,"")</f>
        <v/>
      </c>
      <c r="T242" s="39" t="str">
        <f aca="false">IF(J242="Belum ditukar",ROW(),"")</f>
        <v/>
      </c>
    </row>
    <row r="243" customFormat="false" ht="15" hidden="false" customHeight="false" outlineLevel="0" collapsed="false">
      <c r="A243" s="50" t="s">
        <v>499</v>
      </c>
      <c r="B243" s="51" t="n">
        <v>45712</v>
      </c>
      <c r="C243" s="50" t="s">
        <v>197</v>
      </c>
      <c r="D243" s="39" t="str">
        <f aca="false">INDEX(Master_Customer!$B$2:$B$126,MATCH(C243,Master_Customer!$A$2:$A$126,0))</f>
        <v>UTAMA LUBRICANT HARAPAN</v>
      </c>
      <c r="E243" s="50" t="s">
        <v>30</v>
      </c>
      <c r="F243" s="52" t="n">
        <f aca="false">SUMIFS(Data_Penjualan!$G$2:$G$5998,Data_Penjualan!$A$2:$A$5998,A243)</f>
        <v>4344600</v>
      </c>
      <c r="G243" s="39" t="n">
        <f aca="false">IF(E243="KANTOR",0,INDEX(Master_Customer!$C$2:$C$126,MATCH(C243,Master_Customer!$A$2:$A$126,0)))</f>
        <v>30</v>
      </c>
      <c r="H243" s="53" t="n">
        <f aca="false">B243+G243</f>
        <v>45742</v>
      </c>
      <c r="I243" s="51" t="n">
        <v>45714</v>
      </c>
      <c r="J243" s="39" t="str">
        <f aca="false">IF(G243=0,"Tunai",IF(I243="","Belum ditukar","Sudah ditukar"))</f>
        <v>Sudah ditukar</v>
      </c>
      <c r="K243" s="54" t="n">
        <v>4344600</v>
      </c>
      <c r="L243" s="51" t="n">
        <v>45736</v>
      </c>
      <c r="M243" s="52" t="n">
        <f aca="false">F243-K243</f>
        <v>0</v>
      </c>
      <c r="N243" s="39" t="str">
        <f aca="false">IF(M243&lt;=0,"Lunas",IF(K243&gt;0,"Sebagian","Belum Bayar"))</f>
        <v>Lunas</v>
      </c>
      <c r="O243" s="39" t="n">
        <f aca="false">IF(M243&gt;0,MAX(0,Catatan!$B$3-H243),0)</f>
        <v>0</v>
      </c>
      <c r="P243" s="39" t="str">
        <f aca="false">IF(M243&lt;=0,"Lunas",IF(Catatan!$B$3&lt;=H243,"Belum Jatuh Tempo",IF(O243&lt;=30,"1-30 hari",IF(O243&lt;=60,"31-60 hari",IF(O243&lt;=90,"61-90 hari","90+ hari")))))</f>
        <v>Lunas</v>
      </c>
      <c r="Q243" s="50"/>
      <c r="R243" s="39" t="str">
        <f aca="false">IF(M243&lt;=0,"",IF(O243&gt;60,"1-Tinggi",IF(O243&gt;30,"2-Sedang",IF(O243&gt;0,"3-Rendah","4-Pantau"))))</f>
        <v/>
      </c>
      <c r="S243" s="39" t="str">
        <f aca="false">IF(AND(M243&gt;0,O243&gt;0),O243+M243/1000000000000+ROW()/1000000000000000,"")</f>
        <v/>
      </c>
      <c r="T243" s="39" t="str">
        <f aca="false">IF(J243="Belum ditukar",ROW(),"")</f>
        <v/>
      </c>
    </row>
    <row r="244" customFormat="false" ht="15" hidden="false" customHeight="false" outlineLevel="0" collapsed="false">
      <c r="A244" s="50" t="s">
        <v>500</v>
      </c>
      <c r="B244" s="51" t="n">
        <v>45712</v>
      </c>
      <c r="C244" s="50" t="s">
        <v>286</v>
      </c>
      <c r="D244" s="39" t="str">
        <f aca="false">INDEX(Master_Customer!$B$2:$B$126,MATCH(C244,Master_Customer!$A$2:$A$126,0))</f>
        <v>CAHAYA AUTO</v>
      </c>
      <c r="E244" s="50" t="s">
        <v>29</v>
      </c>
      <c r="F244" s="52" t="n">
        <f aca="false">SUMIFS(Data_Penjualan!$G$2:$G$5998,Data_Penjualan!$A$2:$A$5998,A244)</f>
        <v>25062900</v>
      </c>
      <c r="G244" s="39" t="n">
        <f aca="false">IF(E244="KANTOR",0,INDEX(Master_Customer!$C$2:$C$126,MATCH(C244,Master_Customer!$A$2:$A$126,0)))</f>
        <v>0</v>
      </c>
      <c r="H244" s="53" t="n">
        <f aca="false">B244+G244</f>
        <v>45712</v>
      </c>
      <c r="J244" s="39" t="str">
        <f aca="false">IF(G244=0,"Tunai",IF(I244="","Belum ditukar","Sudah ditukar"))</f>
        <v>Tunai</v>
      </c>
      <c r="K244" s="54" t="n">
        <v>25062900</v>
      </c>
      <c r="L244" s="51" t="n">
        <v>45712</v>
      </c>
      <c r="M244" s="52" t="n">
        <f aca="false">F244-K244</f>
        <v>0</v>
      </c>
      <c r="N244" s="39" t="str">
        <f aca="false">IF(M244&lt;=0,"Lunas",IF(K244&gt;0,"Sebagian","Belum Bayar"))</f>
        <v>Lunas</v>
      </c>
      <c r="O244" s="39" t="n">
        <f aca="false">IF(M244&gt;0,MAX(0,Catatan!$B$3-H244),0)</f>
        <v>0</v>
      </c>
      <c r="P244" s="39" t="str">
        <f aca="false">IF(M244&lt;=0,"Lunas",IF(Catatan!$B$3&lt;=H244,"Belum Jatuh Tempo",IF(O244&lt;=30,"1-30 hari",IF(O244&lt;=60,"31-60 hari",IF(O244&lt;=90,"61-90 hari","90+ hari")))))</f>
        <v>Lunas</v>
      </c>
      <c r="Q244" s="50"/>
      <c r="R244" s="39" t="str">
        <f aca="false">IF(M244&lt;=0,"",IF(O244&gt;60,"1-Tinggi",IF(O244&gt;30,"2-Sedang",IF(O244&gt;0,"3-Rendah","4-Pantau"))))</f>
        <v/>
      </c>
      <c r="S244" s="39" t="str">
        <f aca="false">IF(AND(M244&gt;0,O244&gt;0),O244+M244/1000000000000+ROW()/1000000000000000,"")</f>
        <v/>
      </c>
      <c r="T244" s="39" t="str">
        <f aca="false">IF(J244="Belum ditukar",ROW(),"")</f>
        <v/>
      </c>
    </row>
    <row r="245" customFormat="false" ht="15" hidden="false" customHeight="false" outlineLevel="0" collapsed="false">
      <c r="A245" s="50" t="s">
        <v>501</v>
      </c>
      <c r="B245" s="51" t="n">
        <v>45712</v>
      </c>
      <c r="C245" s="50" t="s">
        <v>249</v>
      </c>
      <c r="D245" s="39" t="str">
        <f aca="false">INDEX(Master_Customer!$B$2:$B$126,MATCH(C245,Master_Customer!$A$2:$A$126,0))</f>
        <v>SENTOSA MOTOR</v>
      </c>
      <c r="E245" s="50" t="s">
        <v>31</v>
      </c>
      <c r="F245" s="52" t="n">
        <f aca="false">SUMIFS(Data_Penjualan!$G$2:$G$5998,Data_Penjualan!$A$2:$A$5998,A245)</f>
        <v>12785600</v>
      </c>
      <c r="G245" s="39" t="n">
        <f aca="false">IF(E245="KANTOR",0,INDEX(Master_Customer!$C$2:$C$126,MATCH(C245,Master_Customer!$A$2:$A$126,0)))</f>
        <v>45</v>
      </c>
      <c r="H245" s="53" t="n">
        <f aca="false">B245+G245</f>
        <v>45757</v>
      </c>
      <c r="I245" s="51" t="n">
        <v>45713</v>
      </c>
      <c r="J245" s="39" t="str">
        <f aca="false">IF(G245=0,"Tunai",IF(I245="","Belum ditukar","Sudah ditukar"))</f>
        <v>Sudah ditukar</v>
      </c>
      <c r="K245" s="54" t="n">
        <v>12785600</v>
      </c>
      <c r="L245" s="51" t="n">
        <v>45775</v>
      </c>
      <c r="M245" s="52" t="n">
        <f aca="false">F245-K245</f>
        <v>0</v>
      </c>
      <c r="N245" s="39" t="str">
        <f aca="false">IF(M245&lt;=0,"Lunas",IF(K245&gt;0,"Sebagian","Belum Bayar"))</f>
        <v>Lunas</v>
      </c>
      <c r="O245" s="39" t="n">
        <f aca="false">IF(M245&gt;0,MAX(0,Catatan!$B$3-H245),0)</f>
        <v>0</v>
      </c>
      <c r="P245" s="39" t="str">
        <f aca="false">IF(M245&lt;=0,"Lunas",IF(Catatan!$B$3&lt;=H245,"Belum Jatuh Tempo",IF(O245&lt;=30,"1-30 hari",IF(O245&lt;=60,"31-60 hari",IF(O245&lt;=90,"61-90 hari","90+ hari")))))</f>
        <v>Lunas</v>
      </c>
      <c r="Q245" s="50"/>
      <c r="R245" s="39" t="str">
        <f aca="false">IF(M245&lt;=0,"",IF(O245&gt;60,"1-Tinggi",IF(O245&gt;30,"2-Sedang",IF(O245&gt;0,"3-Rendah","4-Pantau"))))</f>
        <v/>
      </c>
      <c r="S245" s="39" t="str">
        <f aca="false">IF(AND(M245&gt;0,O245&gt;0),O245+M245/1000000000000+ROW()/1000000000000000,"")</f>
        <v/>
      </c>
      <c r="T245" s="39" t="str">
        <f aca="false">IF(J245="Belum ditukar",ROW(),"")</f>
        <v/>
      </c>
    </row>
    <row r="246" customFormat="false" ht="15" hidden="false" customHeight="false" outlineLevel="0" collapsed="false">
      <c r="A246" s="50" t="s">
        <v>502</v>
      </c>
      <c r="B246" s="51" t="n">
        <v>45712</v>
      </c>
      <c r="C246" s="50" t="s">
        <v>293</v>
      </c>
      <c r="D246" s="39" t="str">
        <f aca="false">INDEX(Master_Customer!$B$2:$B$126,MATCH(C246,Master_Customer!$A$2:$A$126,0))</f>
        <v>SINAR LUBRICANT</v>
      </c>
      <c r="E246" s="50" t="s">
        <v>32</v>
      </c>
      <c r="F246" s="52" t="n">
        <f aca="false">SUMIFS(Data_Penjualan!$G$2:$G$5998,Data_Penjualan!$A$2:$A$5998,A246)</f>
        <v>9240100</v>
      </c>
      <c r="G246" s="39" t="n">
        <f aca="false">IF(E246="KANTOR",0,INDEX(Master_Customer!$C$2:$C$126,MATCH(C246,Master_Customer!$A$2:$A$126,0)))</f>
        <v>0</v>
      </c>
      <c r="H246" s="53" t="n">
        <f aca="false">B246+G246</f>
        <v>45712</v>
      </c>
      <c r="J246" s="39" t="str">
        <f aca="false">IF(G246=0,"Tunai",IF(I246="","Belum ditukar","Sudah ditukar"))</f>
        <v>Tunai</v>
      </c>
      <c r="K246" s="54" t="n">
        <v>9240100</v>
      </c>
      <c r="L246" s="51" t="n">
        <v>45712</v>
      </c>
      <c r="M246" s="52" t="n">
        <f aca="false">F246-K246</f>
        <v>0</v>
      </c>
      <c r="N246" s="39" t="str">
        <f aca="false">IF(M246&lt;=0,"Lunas",IF(K246&gt;0,"Sebagian","Belum Bayar"))</f>
        <v>Lunas</v>
      </c>
      <c r="O246" s="39" t="n">
        <f aca="false">IF(M246&gt;0,MAX(0,Catatan!$B$3-H246),0)</f>
        <v>0</v>
      </c>
      <c r="P246" s="39" t="str">
        <f aca="false">IF(M246&lt;=0,"Lunas",IF(Catatan!$B$3&lt;=H246,"Belum Jatuh Tempo",IF(O246&lt;=30,"1-30 hari",IF(O246&lt;=60,"31-60 hari",IF(O246&lt;=90,"61-90 hari","90+ hari")))))</f>
        <v>Lunas</v>
      </c>
      <c r="Q246" s="50"/>
      <c r="R246" s="39" t="str">
        <f aca="false">IF(M246&lt;=0,"",IF(O246&gt;60,"1-Tinggi",IF(O246&gt;30,"2-Sedang",IF(O246&gt;0,"3-Rendah","4-Pantau"))))</f>
        <v/>
      </c>
      <c r="S246" s="39" t="str">
        <f aca="false">IF(AND(M246&gt;0,O246&gt;0),O246+M246/1000000000000+ROW()/1000000000000000,"")</f>
        <v/>
      </c>
      <c r="T246" s="39" t="str">
        <f aca="false">IF(J246="Belum ditukar",ROW(),"")</f>
        <v/>
      </c>
    </row>
    <row r="247" customFormat="false" ht="15" hidden="false" customHeight="false" outlineLevel="0" collapsed="false">
      <c r="A247" s="50" t="s">
        <v>503</v>
      </c>
      <c r="B247" s="51" t="n">
        <v>45712</v>
      </c>
      <c r="C247" s="50" t="s">
        <v>239</v>
      </c>
      <c r="D247" s="39" t="str">
        <f aca="false">INDEX(Master_Customer!$B$2:$B$126,MATCH(C247,Master_Customer!$A$2:$A$126,0))</f>
        <v>MAJU SPAREPART UTAMA</v>
      </c>
      <c r="E247" s="50" t="s">
        <v>31</v>
      </c>
      <c r="F247" s="52" t="n">
        <f aca="false">SUMIFS(Data_Penjualan!$G$2:$G$5998,Data_Penjualan!$A$2:$A$5998,A247)</f>
        <v>16384400</v>
      </c>
      <c r="G247" s="39" t="n">
        <f aca="false">IF(E247="KANTOR",0,INDEX(Master_Customer!$C$2:$C$126,MATCH(C247,Master_Customer!$A$2:$A$126,0)))</f>
        <v>30</v>
      </c>
      <c r="H247" s="53" t="n">
        <f aca="false">B247+G247</f>
        <v>45742</v>
      </c>
      <c r="I247" s="51" t="n">
        <v>45717</v>
      </c>
      <c r="J247" s="39" t="str">
        <f aca="false">IF(G247=0,"Tunai",IF(I247="","Belum ditukar","Sudah ditukar"))</f>
        <v>Sudah ditukar</v>
      </c>
      <c r="K247" s="54" t="n">
        <v>16384400</v>
      </c>
      <c r="L247" s="51" t="n">
        <v>45749</v>
      </c>
      <c r="M247" s="52" t="n">
        <f aca="false">F247-K247</f>
        <v>0</v>
      </c>
      <c r="N247" s="39" t="str">
        <f aca="false">IF(M247&lt;=0,"Lunas",IF(K247&gt;0,"Sebagian","Belum Bayar"))</f>
        <v>Lunas</v>
      </c>
      <c r="O247" s="39" t="n">
        <f aca="false">IF(M247&gt;0,MAX(0,Catatan!$B$3-H247),0)</f>
        <v>0</v>
      </c>
      <c r="P247" s="39" t="str">
        <f aca="false">IF(M247&lt;=0,"Lunas",IF(Catatan!$B$3&lt;=H247,"Belum Jatuh Tempo",IF(O247&lt;=30,"1-30 hari",IF(O247&lt;=60,"31-60 hari",IF(O247&lt;=90,"61-90 hari","90+ hari")))))</f>
        <v>Lunas</v>
      </c>
      <c r="Q247" s="50"/>
      <c r="R247" s="39" t="str">
        <f aca="false">IF(M247&lt;=0,"",IF(O247&gt;60,"1-Tinggi",IF(O247&gt;30,"2-Sedang",IF(O247&gt;0,"3-Rendah","4-Pantau"))))</f>
        <v/>
      </c>
      <c r="S247" s="39" t="str">
        <f aca="false">IF(AND(M247&gt;0,O247&gt;0),O247+M247/1000000000000+ROW()/1000000000000000,"")</f>
        <v/>
      </c>
      <c r="T247" s="39" t="str">
        <f aca="false">IF(J247="Belum ditukar",ROW(),"")</f>
        <v/>
      </c>
    </row>
    <row r="248" customFormat="false" ht="15" hidden="false" customHeight="false" outlineLevel="0" collapsed="false">
      <c r="A248" s="50" t="s">
        <v>504</v>
      </c>
      <c r="B248" s="51" t="n">
        <v>45712</v>
      </c>
      <c r="C248" s="50" t="s">
        <v>505</v>
      </c>
      <c r="D248" s="39" t="str">
        <f aca="false">INDEX(Master_Customer!$B$2:$B$126,MATCH(C248,Master_Customer!$A$2:$A$126,0))</f>
        <v>GEMILANG OLI CAHAYA</v>
      </c>
      <c r="E248" s="50" t="s">
        <v>31</v>
      </c>
      <c r="F248" s="52" t="n">
        <f aca="false">SUMIFS(Data_Penjualan!$G$2:$G$5998,Data_Penjualan!$A$2:$A$5998,A248)</f>
        <v>7760300</v>
      </c>
      <c r="G248" s="39" t="n">
        <f aca="false">IF(E248="KANTOR",0,INDEX(Master_Customer!$C$2:$C$126,MATCH(C248,Master_Customer!$A$2:$A$126,0)))</f>
        <v>0</v>
      </c>
      <c r="H248" s="53" t="n">
        <f aca="false">B248+G248</f>
        <v>45712</v>
      </c>
      <c r="J248" s="39" t="str">
        <f aca="false">IF(G248=0,"Tunai",IF(I248="","Belum ditukar","Sudah ditukar"))</f>
        <v>Tunai</v>
      </c>
      <c r="K248" s="54" t="n">
        <v>7760300</v>
      </c>
      <c r="L248" s="51" t="n">
        <v>45712</v>
      </c>
      <c r="M248" s="52" t="n">
        <f aca="false">F248-K248</f>
        <v>0</v>
      </c>
      <c r="N248" s="39" t="str">
        <f aca="false">IF(M248&lt;=0,"Lunas",IF(K248&gt;0,"Sebagian","Belum Bayar"))</f>
        <v>Lunas</v>
      </c>
      <c r="O248" s="39" t="n">
        <f aca="false">IF(M248&gt;0,MAX(0,Catatan!$B$3-H248),0)</f>
        <v>0</v>
      </c>
      <c r="P248" s="39" t="str">
        <f aca="false">IF(M248&lt;=0,"Lunas",IF(Catatan!$B$3&lt;=H248,"Belum Jatuh Tempo",IF(O248&lt;=30,"1-30 hari",IF(O248&lt;=60,"31-60 hari",IF(O248&lt;=90,"61-90 hari","90+ hari")))))</f>
        <v>Lunas</v>
      </c>
      <c r="Q248" s="50"/>
      <c r="R248" s="39" t="str">
        <f aca="false">IF(M248&lt;=0,"",IF(O248&gt;60,"1-Tinggi",IF(O248&gt;30,"2-Sedang",IF(O248&gt;0,"3-Rendah","4-Pantau"))))</f>
        <v/>
      </c>
      <c r="S248" s="39" t="str">
        <f aca="false">IF(AND(M248&gt;0,O248&gt;0),O248+M248/1000000000000+ROW()/1000000000000000,"")</f>
        <v/>
      </c>
      <c r="T248" s="39" t="str">
        <f aca="false">IF(J248="Belum ditukar",ROW(),"")</f>
        <v/>
      </c>
    </row>
    <row r="249" customFormat="false" ht="15" hidden="false" customHeight="false" outlineLevel="0" collapsed="false">
      <c r="A249" s="50" t="s">
        <v>506</v>
      </c>
      <c r="B249" s="51" t="n">
        <v>45712</v>
      </c>
      <c r="C249" s="50" t="s">
        <v>286</v>
      </c>
      <c r="D249" s="39" t="str">
        <f aca="false">INDEX(Master_Customer!$B$2:$B$126,MATCH(C249,Master_Customer!$A$2:$A$126,0))</f>
        <v>CAHAYA AUTO</v>
      </c>
      <c r="E249" s="50" t="s">
        <v>29</v>
      </c>
      <c r="F249" s="52" t="n">
        <f aca="false">SUMIFS(Data_Penjualan!$G$2:$G$5998,Data_Penjualan!$A$2:$A$5998,A249)</f>
        <v>5960800</v>
      </c>
      <c r="G249" s="39" t="n">
        <f aca="false">IF(E249="KANTOR",0,INDEX(Master_Customer!$C$2:$C$126,MATCH(C249,Master_Customer!$A$2:$A$126,0)))</f>
        <v>0</v>
      </c>
      <c r="H249" s="53" t="n">
        <f aca="false">B249+G249</f>
        <v>45712</v>
      </c>
      <c r="J249" s="39" t="str">
        <f aca="false">IF(G249=0,"Tunai",IF(I249="","Belum ditukar","Sudah ditukar"))</f>
        <v>Tunai</v>
      </c>
      <c r="K249" s="54" t="n">
        <v>5960800</v>
      </c>
      <c r="L249" s="51" t="n">
        <v>45712</v>
      </c>
      <c r="M249" s="52" t="n">
        <f aca="false">F249-K249</f>
        <v>0</v>
      </c>
      <c r="N249" s="39" t="str">
        <f aca="false">IF(M249&lt;=0,"Lunas",IF(K249&gt;0,"Sebagian","Belum Bayar"))</f>
        <v>Lunas</v>
      </c>
      <c r="O249" s="39" t="n">
        <f aca="false">IF(M249&gt;0,MAX(0,Catatan!$B$3-H249),0)</f>
        <v>0</v>
      </c>
      <c r="P249" s="39" t="str">
        <f aca="false">IF(M249&lt;=0,"Lunas",IF(Catatan!$B$3&lt;=H249,"Belum Jatuh Tempo",IF(O249&lt;=30,"1-30 hari",IF(O249&lt;=60,"31-60 hari",IF(O249&lt;=90,"61-90 hari","90+ hari")))))</f>
        <v>Lunas</v>
      </c>
      <c r="Q249" s="50"/>
      <c r="R249" s="39" t="str">
        <f aca="false">IF(M249&lt;=0,"",IF(O249&gt;60,"1-Tinggi",IF(O249&gt;30,"2-Sedang",IF(O249&gt;0,"3-Rendah","4-Pantau"))))</f>
        <v/>
      </c>
      <c r="S249" s="39" t="str">
        <f aca="false">IF(AND(M249&gt;0,O249&gt;0),O249+M249/1000000000000+ROW()/1000000000000000,"")</f>
        <v/>
      </c>
      <c r="T249" s="39" t="str">
        <f aca="false">IF(J249="Belum ditukar",ROW(),"")</f>
        <v/>
      </c>
    </row>
    <row r="250" customFormat="false" ht="15" hidden="false" customHeight="false" outlineLevel="0" collapsed="false">
      <c r="A250" s="50" t="s">
        <v>507</v>
      </c>
      <c r="B250" s="51" t="n">
        <v>45713</v>
      </c>
      <c r="C250" s="50" t="s">
        <v>329</v>
      </c>
      <c r="D250" s="39" t="str">
        <f aca="false">INDEX(Master_Customer!$B$2:$B$126,MATCH(C250,Master_Customer!$A$2:$A$126,0))</f>
        <v>MAKMUR OLI</v>
      </c>
      <c r="E250" s="50" t="s">
        <v>28</v>
      </c>
      <c r="F250" s="52" t="n">
        <f aca="false">SUMIFS(Data_Penjualan!$G$2:$G$5998,Data_Penjualan!$A$2:$A$5998,A250)</f>
        <v>16609700</v>
      </c>
      <c r="G250" s="39" t="n">
        <f aca="false">IF(E250="KANTOR",0,INDEX(Master_Customer!$C$2:$C$126,MATCH(C250,Master_Customer!$A$2:$A$126,0)))</f>
        <v>45</v>
      </c>
      <c r="H250" s="53" t="n">
        <f aca="false">B250+G250</f>
        <v>45758</v>
      </c>
      <c r="I250" s="51" t="n">
        <v>45715</v>
      </c>
      <c r="J250" s="39" t="str">
        <f aca="false">IF(G250=0,"Tunai",IF(I250="","Belum ditukar","Sudah ditukar"))</f>
        <v>Sudah ditukar</v>
      </c>
      <c r="K250" s="54" t="n">
        <v>16609700</v>
      </c>
      <c r="L250" s="51" t="n">
        <v>45755</v>
      </c>
      <c r="M250" s="52" t="n">
        <f aca="false">F250-K250</f>
        <v>0</v>
      </c>
      <c r="N250" s="39" t="str">
        <f aca="false">IF(M250&lt;=0,"Lunas",IF(K250&gt;0,"Sebagian","Belum Bayar"))</f>
        <v>Lunas</v>
      </c>
      <c r="O250" s="39" t="n">
        <f aca="false">IF(M250&gt;0,MAX(0,Catatan!$B$3-H250),0)</f>
        <v>0</v>
      </c>
      <c r="P250" s="39" t="str">
        <f aca="false">IF(M250&lt;=0,"Lunas",IF(Catatan!$B$3&lt;=H250,"Belum Jatuh Tempo",IF(O250&lt;=30,"1-30 hari",IF(O250&lt;=60,"31-60 hari",IF(O250&lt;=90,"61-90 hari","90+ hari")))))</f>
        <v>Lunas</v>
      </c>
      <c r="Q250" s="50"/>
      <c r="R250" s="39" t="str">
        <f aca="false">IF(M250&lt;=0,"",IF(O250&gt;60,"1-Tinggi",IF(O250&gt;30,"2-Sedang",IF(O250&gt;0,"3-Rendah","4-Pantau"))))</f>
        <v/>
      </c>
      <c r="S250" s="39" t="str">
        <f aca="false">IF(AND(M250&gt;0,O250&gt;0),O250+M250/1000000000000+ROW()/1000000000000000,"")</f>
        <v/>
      </c>
      <c r="T250" s="39" t="str">
        <f aca="false">IF(J250="Belum ditukar",ROW(),"")</f>
        <v/>
      </c>
    </row>
    <row r="251" customFormat="false" ht="15" hidden="false" customHeight="false" outlineLevel="0" collapsed="false">
      <c r="A251" s="50" t="s">
        <v>508</v>
      </c>
      <c r="B251" s="51" t="n">
        <v>45713</v>
      </c>
      <c r="C251" s="50" t="s">
        <v>296</v>
      </c>
      <c r="D251" s="39" t="str">
        <f aca="false">INDEX(Master_Customer!$B$2:$B$126,MATCH(C251,Master_Customer!$A$2:$A$126,0))</f>
        <v>KARYA LUBRICANT MAJU</v>
      </c>
      <c r="E251" s="50" t="s">
        <v>29</v>
      </c>
      <c r="F251" s="52" t="n">
        <f aca="false">SUMIFS(Data_Penjualan!$G$2:$G$5998,Data_Penjualan!$A$2:$A$5998,A251)</f>
        <v>11774900</v>
      </c>
      <c r="G251" s="39" t="n">
        <f aca="false">IF(E251="KANTOR",0,INDEX(Master_Customer!$C$2:$C$126,MATCH(C251,Master_Customer!$A$2:$A$126,0)))</f>
        <v>14</v>
      </c>
      <c r="H251" s="53" t="n">
        <f aca="false">B251+G251</f>
        <v>45727</v>
      </c>
      <c r="I251" s="51" t="n">
        <v>45714</v>
      </c>
      <c r="J251" s="39" t="str">
        <f aca="false">IF(G251=0,"Tunai",IF(I251="","Belum ditukar","Sudah ditukar"))</f>
        <v>Sudah ditukar</v>
      </c>
      <c r="K251" s="54" t="n">
        <v>11774900</v>
      </c>
      <c r="L251" s="51" t="n">
        <v>45728</v>
      </c>
      <c r="M251" s="52" t="n">
        <f aca="false">F251-K251</f>
        <v>0</v>
      </c>
      <c r="N251" s="39" t="str">
        <f aca="false">IF(M251&lt;=0,"Lunas",IF(K251&gt;0,"Sebagian","Belum Bayar"))</f>
        <v>Lunas</v>
      </c>
      <c r="O251" s="39" t="n">
        <f aca="false">IF(M251&gt;0,MAX(0,Catatan!$B$3-H251),0)</f>
        <v>0</v>
      </c>
      <c r="P251" s="39" t="str">
        <f aca="false">IF(M251&lt;=0,"Lunas",IF(Catatan!$B$3&lt;=H251,"Belum Jatuh Tempo",IF(O251&lt;=30,"1-30 hari",IF(O251&lt;=60,"31-60 hari",IF(O251&lt;=90,"61-90 hari","90+ hari")))))</f>
        <v>Lunas</v>
      </c>
      <c r="Q251" s="50"/>
      <c r="R251" s="39" t="str">
        <f aca="false">IF(M251&lt;=0,"",IF(O251&gt;60,"1-Tinggi",IF(O251&gt;30,"2-Sedang",IF(O251&gt;0,"3-Rendah","4-Pantau"))))</f>
        <v/>
      </c>
      <c r="S251" s="39" t="str">
        <f aca="false">IF(AND(M251&gt;0,O251&gt;0),O251+M251/1000000000000+ROW()/1000000000000000,"")</f>
        <v/>
      </c>
      <c r="T251" s="39" t="str">
        <f aca="false">IF(J251="Belum ditukar",ROW(),"")</f>
        <v/>
      </c>
    </row>
    <row r="252" customFormat="false" ht="15" hidden="false" customHeight="false" outlineLevel="0" collapsed="false">
      <c r="A252" s="50" t="s">
        <v>509</v>
      </c>
      <c r="B252" s="51" t="n">
        <v>45713</v>
      </c>
      <c r="C252" s="50" t="s">
        <v>174</v>
      </c>
      <c r="D252" s="39" t="str">
        <f aca="false">INDEX(Master_Customer!$B$2:$B$126,MATCH(C252,Master_Customer!$A$2:$A$126,0))</f>
        <v>SUMBER TEKNIK SURYA</v>
      </c>
      <c r="E252" s="50" t="s">
        <v>31</v>
      </c>
      <c r="F252" s="52" t="n">
        <f aca="false">SUMIFS(Data_Penjualan!$G$2:$G$5998,Data_Penjualan!$A$2:$A$5998,A252)</f>
        <v>3575300</v>
      </c>
      <c r="G252" s="39" t="n">
        <f aca="false">IF(E252="KANTOR",0,INDEX(Master_Customer!$C$2:$C$126,MATCH(C252,Master_Customer!$A$2:$A$126,0)))</f>
        <v>30</v>
      </c>
      <c r="H252" s="53" t="n">
        <f aca="false">B252+G252</f>
        <v>45743</v>
      </c>
      <c r="I252" s="51" t="n">
        <v>45716</v>
      </c>
      <c r="J252" s="39" t="str">
        <f aca="false">IF(G252=0,"Tunai",IF(I252="","Belum ditukar","Sudah ditukar"))</f>
        <v>Sudah ditukar</v>
      </c>
      <c r="K252" s="54" t="n">
        <v>3575300</v>
      </c>
      <c r="L252" s="51" t="n">
        <v>45745</v>
      </c>
      <c r="M252" s="52" t="n">
        <f aca="false">F252-K252</f>
        <v>0</v>
      </c>
      <c r="N252" s="39" t="str">
        <f aca="false">IF(M252&lt;=0,"Lunas",IF(K252&gt;0,"Sebagian","Belum Bayar"))</f>
        <v>Lunas</v>
      </c>
      <c r="O252" s="39" t="n">
        <f aca="false">IF(M252&gt;0,MAX(0,Catatan!$B$3-H252),0)</f>
        <v>0</v>
      </c>
      <c r="P252" s="39" t="str">
        <f aca="false">IF(M252&lt;=0,"Lunas",IF(Catatan!$B$3&lt;=H252,"Belum Jatuh Tempo",IF(O252&lt;=30,"1-30 hari",IF(O252&lt;=60,"31-60 hari",IF(O252&lt;=90,"61-90 hari","90+ hari")))))</f>
        <v>Lunas</v>
      </c>
      <c r="Q252" s="50"/>
      <c r="R252" s="39" t="str">
        <f aca="false">IF(M252&lt;=0,"",IF(O252&gt;60,"1-Tinggi",IF(O252&gt;30,"2-Sedang",IF(O252&gt;0,"3-Rendah","4-Pantau"))))</f>
        <v/>
      </c>
      <c r="S252" s="39" t="str">
        <f aca="false">IF(AND(M252&gt;0,O252&gt;0),O252+M252/1000000000000+ROW()/1000000000000000,"")</f>
        <v/>
      </c>
      <c r="T252" s="39" t="str">
        <f aca="false">IF(J252="Belum ditukar",ROW(),"")</f>
        <v/>
      </c>
    </row>
    <row r="253" customFormat="false" ht="15" hidden="false" customHeight="false" outlineLevel="0" collapsed="false">
      <c r="A253" s="50" t="s">
        <v>510</v>
      </c>
      <c r="B253" s="51" t="n">
        <v>45713</v>
      </c>
      <c r="C253" s="50" t="s">
        <v>284</v>
      </c>
      <c r="D253" s="39" t="str">
        <f aca="false">INDEX(Master_Customer!$B$2:$B$126,MATCH(C253,Master_Customer!$A$2:$A$126,0))</f>
        <v>CAHAYA SPAREPART</v>
      </c>
      <c r="E253" s="50" t="s">
        <v>32</v>
      </c>
      <c r="F253" s="52" t="n">
        <f aca="false">SUMIFS(Data_Penjualan!$G$2:$G$5998,Data_Penjualan!$A$2:$A$5998,A253)</f>
        <v>4417200</v>
      </c>
      <c r="G253" s="39" t="n">
        <f aca="false">IF(E253="KANTOR",0,INDEX(Master_Customer!$C$2:$C$126,MATCH(C253,Master_Customer!$A$2:$A$126,0)))</f>
        <v>0</v>
      </c>
      <c r="H253" s="53" t="n">
        <f aca="false">B253+G253</f>
        <v>45713</v>
      </c>
      <c r="J253" s="39" t="str">
        <f aca="false">IF(G253=0,"Tunai",IF(I253="","Belum ditukar","Sudah ditukar"))</f>
        <v>Tunai</v>
      </c>
      <c r="K253" s="54" t="n">
        <v>4417200</v>
      </c>
      <c r="L253" s="51" t="n">
        <v>45713</v>
      </c>
      <c r="M253" s="52" t="n">
        <f aca="false">F253-K253</f>
        <v>0</v>
      </c>
      <c r="N253" s="39" t="str">
        <f aca="false">IF(M253&lt;=0,"Lunas",IF(K253&gt;0,"Sebagian","Belum Bayar"))</f>
        <v>Lunas</v>
      </c>
      <c r="O253" s="39" t="n">
        <f aca="false">IF(M253&gt;0,MAX(0,Catatan!$B$3-H253),0)</f>
        <v>0</v>
      </c>
      <c r="P253" s="39" t="str">
        <f aca="false">IF(M253&lt;=0,"Lunas",IF(Catatan!$B$3&lt;=H253,"Belum Jatuh Tempo",IF(O253&lt;=30,"1-30 hari",IF(O253&lt;=60,"31-60 hari",IF(O253&lt;=90,"61-90 hari","90+ hari")))))</f>
        <v>Lunas</v>
      </c>
      <c r="Q253" s="50"/>
      <c r="R253" s="39" t="str">
        <f aca="false">IF(M253&lt;=0,"",IF(O253&gt;60,"1-Tinggi",IF(O253&gt;30,"2-Sedang",IF(O253&gt;0,"3-Rendah","4-Pantau"))))</f>
        <v/>
      </c>
      <c r="S253" s="39" t="str">
        <f aca="false">IF(AND(M253&gt;0,O253&gt;0),O253+M253/1000000000000+ROW()/1000000000000000,"")</f>
        <v/>
      </c>
      <c r="T253" s="39" t="str">
        <f aca="false">IF(J253="Belum ditukar",ROW(),"")</f>
        <v/>
      </c>
    </row>
    <row r="254" customFormat="false" ht="15" hidden="false" customHeight="false" outlineLevel="0" collapsed="false">
      <c r="A254" s="50" t="s">
        <v>511</v>
      </c>
      <c r="B254" s="51" t="n">
        <v>45713</v>
      </c>
      <c r="C254" s="50" t="s">
        <v>243</v>
      </c>
      <c r="D254" s="39" t="str">
        <f aca="false">INDEX(Master_Customer!$B$2:$B$126,MATCH(C254,Master_Customer!$A$2:$A$126,0))</f>
        <v>SENTOSA LUBRICANT MULIA</v>
      </c>
      <c r="E254" s="50" t="s">
        <v>32</v>
      </c>
      <c r="F254" s="52" t="n">
        <f aca="false">SUMIFS(Data_Penjualan!$G$2:$G$5998,Data_Penjualan!$A$2:$A$5998,A254)</f>
        <v>8072600</v>
      </c>
      <c r="G254" s="39" t="n">
        <f aca="false">IF(E254="KANTOR",0,INDEX(Master_Customer!$C$2:$C$126,MATCH(C254,Master_Customer!$A$2:$A$126,0)))</f>
        <v>0</v>
      </c>
      <c r="H254" s="53" t="n">
        <f aca="false">B254+G254</f>
        <v>45713</v>
      </c>
      <c r="J254" s="39" t="str">
        <f aca="false">IF(G254=0,"Tunai",IF(I254="","Belum ditukar","Sudah ditukar"))</f>
        <v>Tunai</v>
      </c>
      <c r="K254" s="54" t="n">
        <v>8072600</v>
      </c>
      <c r="L254" s="51" t="n">
        <v>45713</v>
      </c>
      <c r="M254" s="52" t="n">
        <f aca="false">F254-K254</f>
        <v>0</v>
      </c>
      <c r="N254" s="39" t="str">
        <f aca="false">IF(M254&lt;=0,"Lunas",IF(K254&gt;0,"Sebagian","Belum Bayar"))</f>
        <v>Lunas</v>
      </c>
      <c r="O254" s="39" t="n">
        <f aca="false">IF(M254&gt;0,MAX(0,Catatan!$B$3-H254),0)</f>
        <v>0</v>
      </c>
      <c r="P254" s="39" t="str">
        <f aca="false">IF(M254&lt;=0,"Lunas",IF(Catatan!$B$3&lt;=H254,"Belum Jatuh Tempo",IF(O254&lt;=30,"1-30 hari",IF(O254&lt;=60,"31-60 hari",IF(O254&lt;=90,"61-90 hari","90+ hari")))))</f>
        <v>Lunas</v>
      </c>
      <c r="Q254" s="50"/>
      <c r="R254" s="39" t="str">
        <f aca="false">IF(M254&lt;=0,"",IF(O254&gt;60,"1-Tinggi",IF(O254&gt;30,"2-Sedang",IF(O254&gt;0,"3-Rendah","4-Pantau"))))</f>
        <v/>
      </c>
      <c r="S254" s="39" t="str">
        <f aca="false">IF(AND(M254&gt;0,O254&gt;0),O254+M254/1000000000000+ROW()/1000000000000000,"")</f>
        <v/>
      </c>
      <c r="T254" s="39" t="str">
        <f aca="false">IF(J254="Belum ditukar",ROW(),"")</f>
        <v/>
      </c>
    </row>
    <row r="255" customFormat="false" ht="15" hidden="false" customHeight="false" outlineLevel="0" collapsed="false">
      <c r="A255" s="50" t="s">
        <v>512</v>
      </c>
      <c r="B255" s="51" t="n">
        <v>45713</v>
      </c>
      <c r="C255" s="50" t="s">
        <v>505</v>
      </c>
      <c r="D255" s="39" t="str">
        <f aca="false">INDEX(Master_Customer!$B$2:$B$126,MATCH(C255,Master_Customer!$A$2:$A$126,0))</f>
        <v>GEMILANG OLI CAHAYA</v>
      </c>
      <c r="E255" s="50" t="s">
        <v>32</v>
      </c>
      <c r="F255" s="52" t="n">
        <f aca="false">SUMIFS(Data_Penjualan!$G$2:$G$5998,Data_Penjualan!$A$2:$A$5998,A255)</f>
        <v>7047400</v>
      </c>
      <c r="G255" s="39" t="n">
        <f aca="false">IF(E255="KANTOR",0,INDEX(Master_Customer!$C$2:$C$126,MATCH(C255,Master_Customer!$A$2:$A$126,0)))</f>
        <v>0</v>
      </c>
      <c r="H255" s="53" t="n">
        <f aca="false">B255+G255</f>
        <v>45713</v>
      </c>
      <c r="J255" s="39" t="str">
        <f aca="false">IF(G255=0,"Tunai",IF(I255="","Belum ditukar","Sudah ditukar"))</f>
        <v>Tunai</v>
      </c>
      <c r="K255" s="54" t="n">
        <v>7047400</v>
      </c>
      <c r="L255" s="51" t="n">
        <v>45713</v>
      </c>
      <c r="M255" s="52" t="n">
        <f aca="false">F255-K255</f>
        <v>0</v>
      </c>
      <c r="N255" s="39" t="str">
        <f aca="false">IF(M255&lt;=0,"Lunas",IF(K255&gt;0,"Sebagian","Belum Bayar"))</f>
        <v>Lunas</v>
      </c>
      <c r="O255" s="39" t="n">
        <f aca="false">IF(M255&gt;0,MAX(0,Catatan!$B$3-H255),0)</f>
        <v>0</v>
      </c>
      <c r="P255" s="39" t="str">
        <f aca="false">IF(M255&lt;=0,"Lunas",IF(Catatan!$B$3&lt;=H255,"Belum Jatuh Tempo",IF(O255&lt;=30,"1-30 hari",IF(O255&lt;=60,"31-60 hari",IF(O255&lt;=90,"61-90 hari","90+ hari")))))</f>
        <v>Lunas</v>
      </c>
      <c r="Q255" s="50"/>
      <c r="R255" s="39" t="str">
        <f aca="false">IF(M255&lt;=0,"",IF(O255&gt;60,"1-Tinggi",IF(O255&gt;30,"2-Sedang",IF(O255&gt;0,"3-Rendah","4-Pantau"))))</f>
        <v/>
      </c>
      <c r="S255" s="39" t="str">
        <f aca="false">IF(AND(M255&gt;0,O255&gt;0),O255+M255/1000000000000+ROW()/1000000000000000,"")</f>
        <v/>
      </c>
      <c r="T255" s="39" t="str">
        <f aca="false">IF(J255="Belum ditukar",ROW(),"")</f>
        <v/>
      </c>
    </row>
    <row r="256" customFormat="false" ht="15" hidden="false" customHeight="false" outlineLevel="0" collapsed="false">
      <c r="A256" s="50" t="s">
        <v>513</v>
      </c>
      <c r="B256" s="51" t="n">
        <v>45713</v>
      </c>
      <c r="C256" s="50" t="s">
        <v>205</v>
      </c>
      <c r="D256" s="39" t="str">
        <f aca="false">INDEX(Master_Customer!$B$2:$B$126,MATCH(C256,Master_Customer!$A$2:$A$126,0))</f>
        <v>BERKAH OLI</v>
      </c>
      <c r="E256" s="50" t="s">
        <v>28</v>
      </c>
      <c r="F256" s="52" t="n">
        <f aca="false">SUMIFS(Data_Penjualan!$G$2:$G$5998,Data_Penjualan!$A$2:$A$5998,A256)</f>
        <v>4706500</v>
      </c>
      <c r="G256" s="39" t="n">
        <f aca="false">IF(E256="KANTOR",0,INDEX(Master_Customer!$C$2:$C$126,MATCH(C256,Master_Customer!$A$2:$A$126,0)))</f>
        <v>0</v>
      </c>
      <c r="H256" s="53" t="n">
        <f aca="false">B256+G256</f>
        <v>45713</v>
      </c>
      <c r="J256" s="39" t="str">
        <f aca="false">IF(G256=0,"Tunai",IF(I256="","Belum ditukar","Sudah ditukar"))</f>
        <v>Tunai</v>
      </c>
      <c r="K256" s="54" t="n">
        <v>4706500</v>
      </c>
      <c r="L256" s="51" t="n">
        <v>45715</v>
      </c>
      <c r="M256" s="52" t="n">
        <f aca="false">F256-K256</f>
        <v>0</v>
      </c>
      <c r="N256" s="39" t="str">
        <f aca="false">IF(M256&lt;=0,"Lunas",IF(K256&gt;0,"Sebagian","Belum Bayar"))</f>
        <v>Lunas</v>
      </c>
      <c r="O256" s="39" t="n">
        <f aca="false">IF(M256&gt;0,MAX(0,Catatan!$B$3-H256),0)</f>
        <v>0</v>
      </c>
      <c r="P256" s="39" t="str">
        <f aca="false">IF(M256&lt;=0,"Lunas",IF(Catatan!$B$3&lt;=H256,"Belum Jatuh Tempo",IF(O256&lt;=30,"1-30 hari",IF(O256&lt;=60,"31-60 hari",IF(O256&lt;=90,"61-90 hari","90+ hari")))))</f>
        <v>Lunas</v>
      </c>
      <c r="Q256" s="50"/>
      <c r="R256" s="39" t="str">
        <f aca="false">IF(M256&lt;=0,"",IF(O256&gt;60,"1-Tinggi",IF(O256&gt;30,"2-Sedang",IF(O256&gt;0,"3-Rendah","4-Pantau"))))</f>
        <v/>
      </c>
      <c r="S256" s="39" t="str">
        <f aca="false">IF(AND(M256&gt;0,O256&gt;0),O256+M256/1000000000000+ROW()/1000000000000000,"")</f>
        <v/>
      </c>
      <c r="T256" s="39" t="str">
        <f aca="false">IF(J256="Belum ditukar",ROW(),"")</f>
        <v/>
      </c>
    </row>
    <row r="257" customFormat="false" ht="15" hidden="false" customHeight="false" outlineLevel="0" collapsed="false">
      <c r="A257" s="50" t="s">
        <v>514</v>
      </c>
      <c r="B257" s="51" t="n">
        <v>45714</v>
      </c>
      <c r="C257" s="50" t="s">
        <v>505</v>
      </c>
      <c r="D257" s="39" t="str">
        <f aca="false">INDEX(Master_Customer!$B$2:$B$126,MATCH(C257,Master_Customer!$A$2:$A$126,0))</f>
        <v>GEMILANG OLI CAHAYA</v>
      </c>
      <c r="E257" s="50" t="s">
        <v>31</v>
      </c>
      <c r="F257" s="52" t="n">
        <f aca="false">SUMIFS(Data_Penjualan!$G$2:$G$5998,Data_Penjualan!$A$2:$A$5998,A257)</f>
        <v>3089500</v>
      </c>
      <c r="G257" s="39" t="n">
        <f aca="false">IF(E257="KANTOR",0,INDEX(Master_Customer!$C$2:$C$126,MATCH(C257,Master_Customer!$A$2:$A$126,0)))</f>
        <v>0</v>
      </c>
      <c r="H257" s="53" t="n">
        <f aca="false">B257+G257</f>
        <v>45714</v>
      </c>
      <c r="J257" s="39" t="str">
        <f aca="false">IF(G257=0,"Tunai",IF(I257="","Belum ditukar","Sudah ditukar"))</f>
        <v>Tunai</v>
      </c>
      <c r="K257" s="54" t="n">
        <v>3089500</v>
      </c>
      <c r="L257" s="51" t="n">
        <v>45717</v>
      </c>
      <c r="M257" s="52" t="n">
        <f aca="false">F257-K257</f>
        <v>0</v>
      </c>
      <c r="N257" s="39" t="str">
        <f aca="false">IF(M257&lt;=0,"Lunas",IF(K257&gt;0,"Sebagian","Belum Bayar"))</f>
        <v>Lunas</v>
      </c>
      <c r="O257" s="39" t="n">
        <f aca="false">IF(M257&gt;0,MAX(0,Catatan!$B$3-H257),0)</f>
        <v>0</v>
      </c>
      <c r="P257" s="39" t="str">
        <f aca="false">IF(M257&lt;=0,"Lunas",IF(Catatan!$B$3&lt;=H257,"Belum Jatuh Tempo",IF(O257&lt;=30,"1-30 hari",IF(O257&lt;=60,"31-60 hari",IF(O257&lt;=90,"61-90 hari","90+ hari")))))</f>
        <v>Lunas</v>
      </c>
      <c r="Q257" s="50"/>
      <c r="R257" s="39" t="str">
        <f aca="false">IF(M257&lt;=0,"",IF(O257&gt;60,"1-Tinggi",IF(O257&gt;30,"2-Sedang",IF(O257&gt;0,"3-Rendah","4-Pantau"))))</f>
        <v/>
      </c>
      <c r="S257" s="39" t="str">
        <f aca="false">IF(AND(M257&gt;0,O257&gt;0),O257+M257/1000000000000+ROW()/1000000000000000,"")</f>
        <v/>
      </c>
      <c r="T257" s="39" t="str">
        <f aca="false">IF(J257="Belum ditukar",ROW(),"")</f>
        <v/>
      </c>
    </row>
    <row r="258" customFormat="false" ht="15" hidden="false" customHeight="false" outlineLevel="0" collapsed="false">
      <c r="A258" s="50" t="s">
        <v>515</v>
      </c>
      <c r="B258" s="51" t="n">
        <v>45714</v>
      </c>
      <c r="C258" s="50" t="s">
        <v>179</v>
      </c>
      <c r="D258" s="39" t="str">
        <f aca="false">INDEX(Master_Customer!$B$2:$B$126,MATCH(C258,Master_Customer!$A$2:$A$126,0))</f>
        <v>BINTANG TEKNIK SURYA</v>
      </c>
      <c r="E258" s="50" t="s">
        <v>32</v>
      </c>
      <c r="F258" s="52" t="n">
        <f aca="false">SUMIFS(Data_Penjualan!$G$2:$G$5998,Data_Penjualan!$A$2:$A$5998,A258)</f>
        <v>7041800</v>
      </c>
      <c r="G258" s="39" t="n">
        <f aca="false">IF(E258="KANTOR",0,INDEX(Master_Customer!$C$2:$C$126,MATCH(C258,Master_Customer!$A$2:$A$126,0)))</f>
        <v>0</v>
      </c>
      <c r="H258" s="53" t="n">
        <f aca="false">B258+G258</f>
        <v>45714</v>
      </c>
      <c r="J258" s="39" t="str">
        <f aca="false">IF(G258=0,"Tunai",IF(I258="","Belum ditukar","Sudah ditukar"))</f>
        <v>Tunai</v>
      </c>
      <c r="K258" s="54" t="n">
        <v>7041800</v>
      </c>
      <c r="L258" s="51" t="n">
        <v>45715</v>
      </c>
      <c r="M258" s="52" t="n">
        <f aca="false">F258-K258</f>
        <v>0</v>
      </c>
      <c r="N258" s="39" t="str">
        <f aca="false">IF(M258&lt;=0,"Lunas",IF(K258&gt;0,"Sebagian","Belum Bayar"))</f>
        <v>Lunas</v>
      </c>
      <c r="O258" s="39" t="n">
        <f aca="false">IF(M258&gt;0,MAX(0,Catatan!$B$3-H258),0)</f>
        <v>0</v>
      </c>
      <c r="P258" s="39" t="str">
        <f aca="false">IF(M258&lt;=0,"Lunas",IF(Catatan!$B$3&lt;=H258,"Belum Jatuh Tempo",IF(O258&lt;=30,"1-30 hari",IF(O258&lt;=60,"31-60 hari",IF(O258&lt;=90,"61-90 hari","90+ hari")))))</f>
        <v>Lunas</v>
      </c>
      <c r="Q258" s="50"/>
      <c r="R258" s="39" t="str">
        <f aca="false">IF(M258&lt;=0,"",IF(O258&gt;60,"1-Tinggi",IF(O258&gt;30,"2-Sedang",IF(O258&gt;0,"3-Rendah","4-Pantau"))))</f>
        <v/>
      </c>
      <c r="S258" s="39" t="str">
        <f aca="false">IF(AND(M258&gt;0,O258&gt;0),O258+M258/1000000000000+ROW()/1000000000000000,"")</f>
        <v/>
      </c>
      <c r="T258" s="39" t="str">
        <f aca="false">IF(J258="Belum ditukar",ROW(),"")</f>
        <v/>
      </c>
    </row>
    <row r="259" customFormat="false" ht="15" hidden="false" customHeight="false" outlineLevel="0" collapsed="false">
      <c r="A259" s="50" t="s">
        <v>516</v>
      </c>
      <c r="B259" s="51" t="n">
        <v>45714</v>
      </c>
      <c r="C259" s="50" t="s">
        <v>269</v>
      </c>
      <c r="D259" s="39" t="str">
        <f aca="false">INDEX(Master_Customer!$B$2:$B$126,MATCH(C259,Master_Customer!$A$2:$A$126,0))</f>
        <v>KARYA BENGKEL</v>
      </c>
      <c r="E259" s="50" t="s">
        <v>28</v>
      </c>
      <c r="F259" s="52" t="n">
        <f aca="false">SUMIFS(Data_Penjualan!$G$2:$G$5998,Data_Penjualan!$A$2:$A$5998,A259)</f>
        <v>13850600</v>
      </c>
      <c r="G259" s="39" t="n">
        <f aca="false">IF(E259="KANTOR",0,INDEX(Master_Customer!$C$2:$C$126,MATCH(C259,Master_Customer!$A$2:$A$126,0)))</f>
        <v>14</v>
      </c>
      <c r="H259" s="53" t="n">
        <f aca="false">B259+G259</f>
        <v>45728</v>
      </c>
      <c r="I259" s="51" t="n">
        <v>45718</v>
      </c>
      <c r="J259" s="39" t="str">
        <f aca="false">IF(G259=0,"Tunai",IF(I259="","Belum ditukar","Sudah ditukar"))</f>
        <v>Sudah ditukar</v>
      </c>
      <c r="K259" s="54" t="n">
        <v>13850600</v>
      </c>
      <c r="L259" s="51" t="n">
        <v>45738</v>
      </c>
      <c r="M259" s="52" t="n">
        <f aca="false">F259-K259</f>
        <v>0</v>
      </c>
      <c r="N259" s="39" t="str">
        <f aca="false">IF(M259&lt;=0,"Lunas",IF(K259&gt;0,"Sebagian","Belum Bayar"))</f>
        <v>Lunas</v>
      </c>
      <c r="O259" s="39" t="n">
        <f aca="false">IF(M259&gt;0,MAX(0,Catatan!$B$3-H259),0)</f>
        <v>0</v>
      </c>
      <c r="P259" s="39" t="str">
        <f aca="false">IF(M259&lt;=0,"Lunas",IF(Catatan!$B$3&lt;=H259,"Belum Jatuh Tempo",IF(O259&lt;=30,"1-30 hari",IF(O259&lt;=60,"31-60 hari",IF(O259&lt;=90,"61-90 hari","90+ hari")))))</f>
        <v>Lunas</v>
      </c>
      <c r="Q259" s="50"/>
      <c r="R259" s="39" t="str">
        <f aca="false">IF(M259&lt;=0,"",IF(O259&gt;60,"1-Tinggi",IF(O259&gt;30,"2-Sedang",IF(O259&gt;0,"3-Rendah","4-Pantau"))))</f>
        <v/>
      </c>
      <c r="S259" s="39" t="str">
        <f aca="false">IF(AND(M259&gt;0,O259&gt;0),O259+M259/1000000000000+ROW()/1000000000000000,"")</f>
        <v/>
      </c>
      <c r="T259" s="39" t="str">
        <f aca="false">IF(J259="Belum ditukar",ROW(),"")</f>
        <v/>
      </c>
    </row>
    <row r="260" customFormat="false" ht="15" hidden="false" customHeight="false" outlineLevel="0" collapsed="false">
      <c r="A260" s="50" t="s">
        <v>517</v>
      </c>
      <c r="B260" s="51" t="n">
        <v>45715</v>
      </c>
      <c r="C260" s="50" t="s">
        <v>188</v>
      </c>
      <c r="D260" s="39" t="str">
        <f aca="false">INDEX(Master_Customer!$B$2:$B$126,MATCH(C260,Master_Customer!$A$2:$A$126,0))</f>
        <v>MAJU GARAGE TIRTA</v>
      </c>
      <c r="E260" s="50" t="s">
        <v>32</v>
      </c>
      <c r="F260" s="52" t="n">
        <f aca="false">SUMIFS(Data_Penjualan!$G$2:$G$5998,Data_Penjualan!$A$2:$A$5998,A260)</f>
        <v>11783100</v>
      </c>
      <c r="G260" s="39" t="n">
        <f aca="false">IF(E260="KANTOR",0,INDEX(Master_Customer!$C$2:$C$126,MATCH(C260,Master_Customer!$A$2:$A$126,0)))</f>
        <v>0</v>
      </c>
      <c r="H260" s="53" t="n">
        <f aca="false">B260+G260</f>
        <v>45715</v>
      </c>
      <c r="J260" s="39" t="str">
        <f aca="false">IF(G260=0,"Tunai",IF(I260="","Belum ditukar","Sudah ditukar"))</f>
        <v>Tunai</v>
      </c>
      <c r="K260" s="54" t="n">
        <v>11783100</v>
      </c>
      <c r="L260" s="51" t="n">
        <v>45717</v>
      </c>
      <c r="M260" s="52" t="n">
        <f aca="false">F260-K260</f>
        <v>0</v>
      </c>
      <c r="N260" s="39" t="str">
        <f aca="false">IF(M260&lt;=0,"Lunas",IF(K260&gt;0,"Sebagian","Belum Bayar"))</f>
        <v>Lunas</v>
      </c>
      <c r="O260" s="39" t="n">
        <f aca="false">IF(M260&gt;0,MAX(0,Catatan!$B$3-H260),0)</f>
        <v>0</v>
      </c>
      <c r="P260" s="39" t="str">
        <f aca="false">IF(M260&lt;=0,"Lunas",IF(Catatan!$B$3&lt;=H260,"Belum Jatuh Tempo",IF(O260&lt;=30,"1-30 hari",IF(O260&lt;=60,"31-60 hari",IF(O260&lt;=90,"61-90 hari","90+ hari")))))</f>
        <v>Lunas</v>
      </c>
      <c r="Q260" s="50"/>
      <c r="R260" s="39" t="str">
        <f aca="false">IF(M260&lt;=0,"",IF(O260&gt;60,"1-Tinggi",IF(O260&gt;30,"2-Sedang",IF(O260&gt;0,"3-Rendah","4-Pantau"))))</f>
        <v/>
      </c>
      <c r="S260" s="39" t="str">
        <f aca="false">IF(AND(M260&gt;0,O260&gt;0),O260+M260/1000000000000+ROW()/1000000000000000,"")</f>
        <v/>
      </c>
      <c r="T260" s="39" t="str">
        <f aca="false">IF(J260="Belum ditukar",ROW(),"")</f>
        <v/>
      </c>
    </row>
    <row r="261" customFormat="false" ht="15" hidden="false" customHeight="false" outlineLevel="0" collapsed="false">
      <c r="A261" s="50" t="s">
        <v>518</v>
      </c>
      <c r="B261" s="51" t="n">
        <v>45715</v>
      </c>
      <c r="C261" s="50" t="s">
        <v>286</v>
      </c>
      <c r="D261" s="39" t="str">
        <f aca="false">INDEX(Master_Customer!$B$2:$B$126,MATCH(C261,Master_Customer!$A$2:$A$126,0))</f>
        <v>CAHAYA AUTO</v>
      </c>
      <c r="E261" s="50" t="s">
        <v>29</v>
      </c>
      <c r="F261" s="52" t="n">
        <f aca="false">SUMIFS(Data_Penjualan!$G$2:$G$5998,Data_Penjualan!$A$2:$A$5998,A261)</f>
        <v>8904600</v>
      </c>
      <c r="G261" s="39" t="n">
        <f aca="false">IF(E261="KANTOR",0,INDEX(Master_Customer!$C$2:$C$126,MATCH(C261,Master_Customer!$A$2:$A$126,0)))</f>
        <v>0</v>
      </c>
      <c r="H261" s="53" t="n">
        <f aca="false">B261+G261</f>
        <v>45715</v>
      </c>
      <c r="J261" s="39" t="str">
        <f aca="false">IF(G261=0,"Tunai",IF(I261="","Belum ditukar","Sudah ditukar"))</f>
        <v>Tunai</v>
      </c>
      <c r="K261" s="54" t="n">
        <v>8904600</v>
      </c>
      <c r="L261" s="51" t="n">
        <v>45715</v>
      </c>
      <c r="M261" s="52" t="n">
        <f aca="false">F261-K261</f>
        <v>0</v>
      </c>
      <c r="N261" s="39" t="str">
        <f aca="false">IF(M261&lt;=0,"Lunas",IF(K261&gt;0,"Sebagian","Belum Bayar"))</f>
        <v>Lunas</v>
      </c>
      <c r="O261" s="39" t="n">
        <f aca="false">IF(M261&gt;0,MAX(0,Catatan!$B$3-H261),0)</f>
        <v>0</v>
      </c>
      <c r="P261" s="39" t="str">
        <f aca="false">IF(M261&lt;=0,"Lunas",IF(Catatan!$B$3&lt;=H261,"Belum Jatuh Tempo",IF(O261&lt;=30,"1-30 hari",IF(O261&lt;=60,"31-60 hari",IF(O261&lt;=90,"61-90 hari","90+ hari")))))</f>
        <v>Lunas</v>
      </c>
      <c r="Q261" s="50"/>
      <c r="R261" s="39" t="str">
        <f aca="false">IF(M261&lt;=0,"",IF(O261&gt;60,"1-Tinggi",IF(O261&gt;30,"2-Sedang",IF(O261&gt;0,"3-Rendah","4-Pantau"))))</f>
        <v/>
      </c>
      <c r="S261" s="39" t="str">
        <f aca="false">IF(AND(M261&gt;0,O261&gt;0),O261+M261/1000000000000+ROW()/1000000000000000,"")</f>
        <v/>
      </c>
      <c r="T261" s="39" t="str">
        <f aca="false">IF(J261="Belum ditukar",ROW(),"")</f>
        <v/>
      </c>
    </row>
    <row r="262" customFormat="false" ht="15" hidden="false" customHeight="false" outlineLevel="0" collapsed="false">
      <c r="A262" s="50" t="s">
        <v>519</v>
      </c>
      <c r="B262" s="51" t="n">
        <v>45715</v>
      </c>
      <c r="C262" s="50" t="s">
        <v>177</v>
      </c>
      <c r="D262" s="39" t="str">
        <f aca="false">INDEX(Master_Customer!$B$2:$B$126,MATCH(C262,Master_Customer!$A$2:$A$126,0))</f>
        <v>PRIMA MOTOR LANCAR</v>
      </c>
      <c r="E262" s="50" t="s">
        <v>29</v>
      </c>
      <c r="F262" s="52" t="n">
        <f aca="false">SUMIFS(Data_Penjualan!$G$2:$G$5998,Data_Penjualan!$A$2:$A$5998,A262)</f>
        <v>8790200</v>
      </c>
      <c r="G262" s="39" t="n">
        <f aca="false">IF(E262="KANTOR",0,INDEX(Master_Customer!$C$2:$C$126,MATCH(C262,Master_Customer!$A$2:$A$126,0)))</f>
        <v>14</v>
      </c>
      <c r="H262" s="53" t="n">
        <f aca="false">B262+G262</f>
        <v>45729</v>
      </c>
      <c r="I262" s="51" t="n">
        <v>45716</v>
      </c>
      <c r="J262" s="39" t="str">
        <f aca="false">IF(G262=0,"Tunai",IF(I262="","Belum ditukar","Sudah ditukar"))</f>
        <v>Sudah ditukar</v>
      </c>
      <c r="K262" s="54" t="n">
        <v>2839400</v>
      </c>
      <c r="L262" s="51" t="n">
        <v>45739</v>
      </c>
      <c r="M262" s="52" t="n">
        <f aca="false">F262-K262</f>
        <v>5950800</v>
      </c>
      <c r="N262" s="39" t="str">
        <f aca="false">IF(M262&lt;=0,"Lunas",IF(K262&gt;0,"Sebagian","Belum Bayar"))</f>
        <v>Sebagian</v>
      </c>
      <c r="O262" s="39" t="n">
        <f aca="false">IF(M262&gt;0,MAX(0,Catatan!$B$3-H262),0)</f>
        <v>293</v>
      </c>
      <c r="P262" s="39" t="str">
        <f aca="false">IF(M262&lt;=0,"Lunas",IF(Catatan!$B$3&lt;=H262,"Belum Jatuh Tempo",IF(O262&lt;=30,"1-30 hari",IF(O262&lt;=60,"31-60 hari",IF(O262&lt;=90,"61-90 hari","90+ hari")))))</f>
        <v>90+ hari</v>
      </c>
      <c r="Q262" s="50" t="s">
        <v>397</v>
      </c>
      <c r="R262" s="39" t="str">
        <f aca="false">IF(M262&lt;=0,"",IF(O262&gt;60,"1-Tinggi",IF(O262&gt;30,"2-Sedang",IF(O262&gt;0,"3-Rendah","4-Pantau"))))</f>
        <v>1-Tinggi</v>
      </c>
      <c r="S262" s="39" t="n">
        <f aca="false">IF(AND(M262&gt;0,O262&gt;0),O262+M262/1000000000000+ROW()/1000000000000000,"")</f>
        <v>293.0000059508</v>
      </c>
      <c r="T262" s="39" t="str">
        <f aca="false">IF(J262="Belum ditukar",ROW(),"")</f>
        <v/>
      </c>
    </row>
    <row r="263" customFormat="false" ht="15" hidden="false" customHeight="false" outlineLevel="0" collapsed="false">
      <c r="A263" s="50" t="s">
        <v>520</v>
      </c>
      <c r="B263" s="51" t="n">
        <v>45715</v>
      </c>
      <c r="C263" s="50" t="s">
        <v>205</v>
      </c>
      <c r="D263" s="39" t="str">
        <f aca="false">INDEX(Master_Customer!$B$2:$B$126,MATCH(C263,Master_Customer!$A$2:$A$126,0))</f>
        <v>BERKAH OLI</v>
      </c>
      <c r="E263" s="50" t="s">
        <v>28</v>
      </c>
      <c r="F263" s="52" t="n">
        <f aca="false">SUMIFS(Data_Penjualan!$G$2:$G$5998,Data_Penjualan!$A$2:$A$5998,A263)</f>
        <v>12968300</v>
      </c>
      <c r="G263" s="39" t="n">
        <f aca="false">IF(E263="KANTOR",0,INDEX(Master_Customer!$C$2:$C$126,MATCH(C263,Master_Customer!$A$2:$A$126,0)))</f>
        <v>0</v>
      </c>
      <c r="H263" s="53" t="n">
        <f aca="false">B263+G263</f>
        <v>45715</v>
      </c>
      <c r="J263" s="39" t="str">
        <f aca="false">IF(G263=0,"Tunai",IF(I263="","Belum ditukar","Sudah ditukar"))</f>
        <v>Tunai</v>
      </c>
      <c r="K263" s="54" t="n">
        <v>12968300</v>
      </c>
      <c r="L263" s="51" t="n">
        <v>45716</v>
      </c>
      <c r="M263" s="52" t="n">
        <f aca="false">F263-K263</f>
        <v>0</v>
      </c>
      <c r="N263" s="39" t="str">
        <f aca="false">IF(M263&lt;=0,"Lunas",IF(K263&gt;0,"Sebagian","Belum Bayar"))</f>
        <v>Lunas</v>
      </c>
      <c r="O263" s="39" t="n">
        <f aca="false">IF(M263&gt;0,MAX(0,Catatan!$B$3-H263),0)</f>
        <v>0</v>
      </c>
      <c r="P263" s="39" t="str">
        <f aca="false">IF(M263&lt;=0,"Lunas",IF(Catatan!$B$3&lt;=H263,"Belum Jatuh Tempo",IF(O263&lt;=30,"1-30 hari",IF(O263&lt;=60,"31-60 hari",IF(O263&lt;=90,"61-90 hari","90+ hari")))))</f>
        <v>Lunas</v>
      </c>
      <c r="Q263" s="50"/>
      <c r="R263" s="39" t="str">
        <f aca="false">IF(M263&lt;=0,"",IF(O263&gt;60,"1-Tinggi",IF(O263&gt;30,"2-Sedang",IF(O263&gt;0,"3-Rendah","4-Pantau"))))</f>
        <v/>
      </c>
      <c r="S263" s="39" t="str">
        <f aca="false">IF(AND(M263&gt;0,O263&gt;0),O263+M263/1000000000000+ROW()/1000000000000000,"")</f>
        <v/>
      </c>
      <c r="T263" s="39" t="str">
        <f aca="false">IF(J263="Belum ditukar",ROW(),"")</f>
        <v/>
      </c>
    </row>
    <row r="264" customFormat="false" ht="15" hidden="false" customHeight="false" outlineLevel="0" collapsed="false">
      <c r="A264" s="50" t="s">
        <v>521</v>
      </c>
      <c r="B264" s="51" t="n">
        <v>45715</v>
      </c>
      <c r="C264" s="50" t="s">
        <v>174</v>
      </c>
      <c r="D264" s="39" t="str">
        <f aca="false">INDEX(Master_Customer!$B$2:$B$126,MATCH(C264,Master_Customer!$A$2:$A$126,0))</f>
        <v>SUMBER TEKNIK SURYA</v>
      </c>
      <c r="E264" s="50" t="s">
        <v>32</v>
      </c>
      <c r="F264" s="52" t="n">
        <f aca="false">SUMIFS(Data_Penjualan!$G$2:$G$5998,Data_Penjualan!$A$2:$A$5998,A264)</f>
        <v>5700200</v>
      </c>
      <c r="G264" s="39" t="n">
        <f aca="false">IF(E264="KANTOR",0,INDEX(Master_Customer!$C$2:$C$126,MATCH(C264,Master_Customer!$A$2:$A$126,0)))</f>
        <v>0</v>
      </c>
      <c r="H264" s="53" t="n">
        <f aca="false">B264+G264</f>
        <v>45715</v>
      </c>
      <c r="J264" s="39" t="str">
        <f aca="false">IF(G264=0,"Tunai",IF(I264="","Belum ditukar","Sudah ditukar"))</f>
        <v>Tunai</v>
      </c>
      <c r="K264" s="54" t="n">
        <v>5700200</v>
      </c>
      <c r="L264" s="51" t="n">
        <v>45715</v>
      </c>
      <c r="M264" s="52" t="n">
        <f aca="false">F264-K264</f>
        <v>0</v>
      </c>
      <c r="N264" s="39" t="str">
        <f aca="false">IF(M264&lt;=0,"Lunas",IF(K264&gt;0,"Sebagian","Belum Bayar"))</f>
        <v>Lunas</v>
      </c>
      <c r="O264" s="39" t="n">
        <f aca="false">IF(M264&gt;0,MAX(0,Catatan!$B$3-H264),0)</f>
        <v>0</v>
      </c>
      <c r="P264" s="39" t="str">
        <f aca="false">IF(M264&lt;=0,"Lunas",IF(Catatan!$B$3&lt;=H264,"Belum Jatuh Tempo",IF(O264&lt;=30,"1-30 hari",IF(O264&lt;=60,"31-60 hari",IF(O264&lt;=90,"61-90 hari","90+ hari")))))</f>
        <v>Lunas</v>
      </c>
      <c r="Q264" s="50"/>
      <c r="R264" s="39" t="str">
        <f aca="false">IF(M264&lt;=0,"",IF(O264&gt;60,"1-Tinggi",IF(O264&gt;30,"2-Sedang",IF(O264&gt;0,"3-Rendah","4-Pantau"))))</f>
        <v/>
      </c>
      <c r="S264" s="39" t="str">
        <f aca="false">IF(AND(M264&gt;0,O264&gt;0),O264+M264/1000000000000+ROW()/1000000000000000,"")</f>
        <v/>
      </c>
      <c r="T264" s="39" t="str">
        <f aca="false">IF(J264="Belum ditukar",ROW(),"")</f>
        <v/>
      </c>
    </row>
    <row r="265" customFormat="false" ht="15" hidden="false" customHeight="false" outlineLevel="0" collapsed="false">
      <c r="A265" s="50" t="s">
        <v>522</v>
      </c>
      <c r="B265" s="51" t="n">
        <v>45715</v>
      </c>
      <c r="C265" s="50" t="s">
        <v>523</v>
      </c>
      <c r="D265" s="39" t="str">
        <f aca="false">INDEX(Master_Customer!$B$2:$B$126,MATCH(C265,Master_Customer!$A$2:$A$126,0))</f>
        <v>PRIMA OLI MAKMUR</v>
      </c>
      <c r="E265" s="50" t="s">
        <v>30</v>
      </c>
      <c r="F265" s="52" t="n">
        <f aca="false">SUMIFS(Data_Penjualan!$G$2:$G$5998,Data_Penjualan!$A$2:$A$5998,A265)</f>
        <v>15050900</v>
      </c>
      <c r="G265" s="39" t="n">
        <f aca="false">IF(E265="KANTOR",0,INDEX(Master_Customer!$C$2:$C$126,MATCH(C265,Master_Customer!$A$2:$A$126,0)))</f>
        <v>45</v>
      </c>
      <c r="H265" s="53" t="n">
        <f aca="false">B265+G265</f>
        <v>45760</v>
      </c>
      <c r="I265" s="51" t="n">
        <v>45718</v>
      </c>
      <c r="J265" s="39" t="str">
        <f aca="false">IF(G265=0,"Tunai",IF(I265="","Belum ditukar","Sudah ditukar"))</f>
        <v>Sudah ditukar</v>
      </c>
      <c r="K265" s="54" t="n">
        <v>15050900</v>
      </c>
      <c r="L265" s="51" t="n">
        <v>45752</v>
      </c>
      <c r="M265" s="52" t="n">
        <f aca="false">F265-K265</f>
        <v>0</v>
      </c>
      <c r="N265" s="39" t="str">
        <f aca="false">IF(M265&lt;=0,"Lunas",IF(K265&gt;0,"Sebagian","Belum Bayar"))</f>
        <v>Lunas</v>
      </c>
      <c r="O265" s="39" t="n">
        <f aca="false">IF(M265&gt;0,MAX(0,Catatan!$B$3-H265),0)</f>
        <v>0</v>
      </c>
      <c r="P265" s="39" t="str">
        <f aca="false">IF(M265&lt;=0,"Lunas",IF(Catatan!$B$3&lt;=H265,"Belum Jatuh Tempo",IF(O265&lt;=30,"1-30 hari",IF(O265&lt;=60,"31-60 hari",IF(O265&lt;=90,"61-90 hari","90+ hari")))))</f>
        <v>Lunas</v>
      </c>
      <c r="Q265" s="50"/>
      <c r="R265" s="39" t="str">
        <f aca="false">IF(M265&lt;=0,"",IF(O265&gt;60,"1-Tinggi",IF(O265&gt;30,"2-Sedang",IF(O265&gt;0,"3-Rendah","4-Pantau"))))</f>
        <v/>
      </c>
      <c r="S265" s="39" t="str">
        <f aca="false">IF(AND(M265&gt;0,O265&gt;0),O265+M265/1000000000000+ROW()/1000000000000000,"")</f>
        <v/>
      </c>
      <c r="T265" s="39" t="str">
        <f aca="false">IF(J265="Belum ditukar",ROW(),"")</f>
        <v/>
      </c>
    </row>
    <row r="266" customFormat="false" ht="15" hidden="false" customHeight="false" outlineLevel="0" collapsed="false">
      <c r="A266" s="50" t="s">
        <v>524</v>
      </c>
      <c r="B266" s="51" t="n">
        <v>45715</v>
      </c>
      <c r="C266" s="50" t="s">
        <v>320</v>
      </c>
      <c r="D266" s="39" t="str">
        <f aca="false">INDEX(Master_Customer!$B$2:$B$126,MATCH(C266,Master_Customer!$A$2:$A$126,0))</f>
        <v>BINTANG OLI</v>
      </c>
      <c r="E266" s="50" t="s">
        <v>31</v>
      </c>
      <c r="F266" s="52" t="n">
        <f aca="false">SUMIFS(Data_Penjualan!$G$2:$G$5998,Data_Penjualan!$A$2:$A$5998,A266)</f>
        <v>17748500</v>
      </c>
      <c r="G266" s="39" t="n">
        <f aca="false">IF(E266="KANTOR",0,INDEX(Master_Customer!$C$2:$C$126,MATCH(C266,Master_Customer!$A$2:$A$126,0)))</f>
        <v>14</v>
      </c>
      <c r="H266" s="53" t="n">
        <f aca="false">B266+G266</f>
        <v>45729</v>
      </c>
      <c r="I266" s="51" t="n">
        <v>45718</v>
      </c>
      <c r="J266" s="39" t="str">
        <f aca="false">IF(G266=0,"Tunai",IF(I266="","Belum ditukar","Sudah ditukar"))</f>
        <v>Sudah ditukar</v>
      </c>
      <c r="K266" s="54" t="n">
        <v>17748500</v>
      </c>
      <c r="L266" s="51" t="n">
        <v>45830</v>
      </c>
      <c r="M266" s="52" t="n">
        <f aca="false">F266-K266</f>
        <v>0</v>
      </c>
      <c r="N266" s="39" t="str">
        <f aca="false">IF(M266&lt;=0,"Lunas",IF(K266&gt;0,"Sebagian","Belum Bayar"))</f>
        <v>Lunas</v>
      </c>
      <c r="O266" s="39" t="n">
        <f aca="false">IF(M266&gt;0,MAX(0,Catatan!$B$3-H266),0)</f>
        <v>0</v>
      </c>
      <c r="P266" s="39" t="str">
        <f aca="false">IF(M266&lt;=0,"Lunas",IF(Catatan!$B$3&lt;=H266,"Belum Jatuh Tempo",IF(O266&lt;=30,"1-30 hari",IF(O266&lt;=60,"31-60 hari",IF(O266&lt;=90,"61-90 hari","90+ hari")))))</f>
        <v>Lunas</v>
      </c>
      <c r="Q266" s="50"/>
      <c r="R266" s="39" t="str">
        <f aca="false">IF(M266&lt;=0,"",IF(O266&gt;60,"1-Tinggi",IF(O266&gt;30,"2-Sedang",IF(O266&gt;0,"3-Rendah","4-Pantau"))))</f>
        <v/>
      </c>
      <c r="S266" s="39" t="str">
        <f aca="false">IF(AND(M266&gt;0,O266&gt;0),O266+M266/1000000000000+ROW()/1000000000000000,"")</f>
        <v/>
      </c>
      <c r="T266" s="39" t="str">
        <f aca="false">IF(J266="Belum ditukar",ROW(),"")</f>
        <v/>
      </c>
    </row>
    <row r="267" customFormat="false" ht="15" hidden="false" customHeight="false" outlineLevel="0" collapsed="false">
      <c r="A267" s="50" t="s">
        <v>525</v>
      </c>
      <c r="B267" s="51" t="n">
        <v>45715</v>
      </c>
      <c r="C267" s="50" t="s">
        <v>261</v>
      </c>
      <c r="D267" s="39" t="str">
        <f aca="false">INDEX(Master_Customer!$B$2:$B$126,MATCH(C267,Master_Customer!$A$2:$A$126,0))</f>
        <v>SUMBER MOTOR UTAMA</v>
      </c>
      <c r="E267" s="50" t="s">
        <v>28</v>
      </c>
      <c r="F267" s="52" t="n">
        <f aca="false">SUMIFS(Data_Penjualan!$G$2:$G$5998,Data_Penjualan!$A$2:$A$5998,A267)</f>
        <v>14586800</v>
      </c>
      <c r="G267" s="39" t="n">
        <f aca="false">IF(E267="KANTOR",0,INDEX(Master_Customer!$C$2:$C$126,MATCH(C267,Master_Customer!$A$2:$A$126,0)))</f>
        <v>0</v>
      </c>
      <c r="H267" s="53" t="n">
        <f aca="false">B267+G267</f>
        <v>45715</v>
      </c>
      <c r="J267" s="39" t="str">
        <f aca="false">IF(G267=0,"Tunai",IF(I267="","Belum ditukar","Sudah ditukar"))</f>
        <v>Tunai</v>
      </c>
      <c r="K267" s="54" t="n">
        <v>14586800</v>
      </c>
      <c r="L267" s="51" t="n">
        <v>45717</v>
      </c>
      <c r="M267" s="52" t="n">
        <f aca="false">F267-K267</f>
        <v>0</v>
      </c>
      <c r="N267" s="39" t="str">
        <f aca="false">IF(M267&lt;=0,"Lunas",IF(K267&gt;0,"Sebagian","Belum Bayar"))</f>
        <v>Lunas</v>
      </c>
      <c r="O267" s="39" t="n">
        <f aca="false">IF(M267&gt;0,MAX(0,Catatan!$B$3-H267),0)</f>
        <v>0</v>
      </c>
      <c r="P267" s="39" t="str">
        <f aca="false">IF(M267&lt;=0,"Lunas",IF(Catatan!$B$3&lt;=H267,"Belum Jatuh Tempo",IF(O267&lt;=30,"1-30 hari",IF(O267&lt;=60,"31-60 hari",IF(O267&lt;=90,"61-90 hari","90+ hari")))))</f>
        <v>Lunas</v>
      </c>
      <c r="Q267" s="50"/>
      <c r="R267" s="39" t="str">
        <f aca="false">IF(M267&lt;=0,"",IF(O267&gt;60,"1-Tinggi",IF(O267&gt;30,"2-Sedang",IF(O267&gt;0,"3-Rendah","4-Pantau"))))</f>
        <v/>
      </c>
      <c r="S267" s="39" t="str">
        <f aca="false">IF(AND(M267&gt;0,O267&gt;0),O267+M267/1000000000000+ROW()/1000000000000000,"")</f>
        <v/>
      </c>
      <c r="T267" s="39" t="str">
        <f aca="false">IF(J267="Belum ditukar",ROW(),"")</f>
        <v/>
      </c>
    </row>
    <row r="268" customFormat="false" ht="15" hidden="false" customHeight="false" outlineLevel="0" collapsed="false">
      <c r="A268" s="50" t="s">
        <v>526</v>
      </c>
      <c r="B268" s="51" t="n">
        <v>45715</v>
      </c>
      <c r="C268" s="50" t="s">
        <v>527</v>
      </c>
      <c r="D268" s="39" t="str">
        <f aca="false">INDEX(Master_Customer!$B$2:$B$126,MATCH(C268,Master_Customer!$A$2:$A$126,0))</f>
        <v>BINTANG SPAREPART PRIMA</v>
      </c>
      <c r="E268" s="50" t="s">
        <v>30</v>
      </c>
      <c r="F268" s="52" t="n">
        <f aca="false">SUMIFS(Data_Penjualan!$G$2:$G$5998,Data_Penjualan!$A$2:$A$5998,A268)</f>
        <v>19051900</v>
      </c>
      <c r="G268" s="39" t="n">
        <f aca="false">IF(E268="KANTOR",0,INDEX(Master_Customer!$C$2:$C$126,MATCH(C268,Master_Customer!$A$2:$A$126,0)))</f>
        <v>14</v>
      </c>
      <c r="H268" s="53" t="n">
        <f aca="false">B268+G268</f>
        <v>45729</v>
      </c>
      <c r="I268" s="51" t="n">
        <v>45717</v>
      </c>
      <c r="J268" s="39" t="str">
        <f aca="false">IF(G268=0,"Tunai",IF(I268="","Belum ditukar","Sudah ditukar"))</f>
        <v>Sudah ditukar</v>
      </c>
      <c r="K268" s="54" t="n">
        <v>19051900</v>
      </c>
      <c r="L268" s="51" t="n">
        <v>45727</v>
      </c>
      <c r="M268" s="52" t="n">
        <f aca="false">F268-K268</f>
        <v>0</v>
      </c>
      <c r="N268" s="39" t="str">
        <f aca="false">IF(M268&lt;=0,"Lunas",IF(K268&gt;0,"Sebagian","Belum Bayar"))</f>
        <v>Lunas</v>
      </c>
      <c r="O268" s="39" t="n">
        <f aca="false">IF(M268&gt;0,MAX(0,Catatan!$B$3-H268),0)</f>
        <v>0</v>
      </c>
      <c r="P268" s="39" t="str">
        <f aca="false">IF(M268&lt;=0,"Lunas",IF(Catatan!$B$3&lt;=H268,"Belum Jatuh Tempo",IF(O268&lt;=30,"1-30 hari",IF(O268&lt;=60,"31-60 hari",IF(O268&lt;=90,"61-90 hari","90+ hari")))))</f>
        <v>Lunas</v>
      </c>
      <c r="Q268" s="50"/>
      <c r="R268" s="39" t="str">
        <f aca="false">IF(M268&lt;=0,"",IF(O268&gt;60,"1-Tinggi",IF(O268&gt;30,"2-Sedang",IF(O268&gt;0,"3-Rendah","4-Pantau"))))</f>
        <v/>
      </c>
      <c r="S268" s="39" t="str">
        <f aca="false">IF(AND(M268&gt;0,O268&gt;0),O268+M268/1000000000000+ROW()/1000000000000000,"")</f>
        <v/>
      </c>
      <c r="T268" s="39" t="str">
        <f aca="false">IF(J268="Belum ditukar",ROW(),"")</f>
        <v/>
      </c>
    </row>
    <row r="269" customFormat="false" ht="15" hidden="false" customHeight="false" outlineLevel="0" collapsed="false">
      <c r="A269" s="50" t="s">
        <v>528</v>
      </c>
      <c r="B269" s="51" t="n">
        <v>45715</v>
      </c>
      <c r="C269" s="50" t="s">
        <v>241</v>
      </c>
      <c r="D269" s="39" t="str">
        <f aca="false">INDEX(Master_Customer!$B$2:$B$126,MATCH(C269,Master_Customer!$A$2:$A$126,0))</f>
        <v>GEMILANG GARAGE TIRTA</v>
      </c>
      <c r="E269" s="50" t="s">
        <v>29</v>
      </c>
      <c r="F269" s="52" t="n">
        <f aca="false">SUMIFS(Data_Penjualan!$G$2:$G$5998,Data_Penjualan!$A$2:$A$5998,A269)</f>
        <v>13708600</v>
      </c>
      <c r="G269" s="39" t="n">
        <f aca="false">IF(E269="KANTOR",0,INDEX(Master_Customer!$C$2:$C$126,MATCH(C269,Master_Customer!$A$2:$A$126,0)))</f>
        <v>14</v>
      </c>
      <c r="H269" s="53" t="n">
        <f aca="false">B269+G269</f>
        <v>45729</v>
      </c>
      <c r="I269" s="51" t="n">
        <v>45720</v>
      </c>
      <c r="J269" s="39" t="str">
        <f aca="false">IF(G269=0,"Tunai",IF(I269="","Belum ditukar","Sudah ditukar"))</f>
        <v>Sudah ditukar</v>
      </c>
      <c r="K269" s="54" t="n">
        <v>13708600</v>
      </c>
      <c r="L269" s="51" t="n">
        <v>45727</v>
      </c>
      <c r="M269" s="52" t="n">
        <f aca="false">F269-K269</f>
        <v>0</v>
      </c>
      <c r="N269" s="39" t="str">
        <f aca="false">IF(M269&lt;=0,"Lunas",IF(K269&gt;0,"Sebagian","Belum Bayar"))</f>
        <v>Lunas</v>
      </c>
      <c r="O269" s="39" t="n">
        <f aca="false">IF(M269&gt;0,MAX(0,Catatan!$B$3-H269),0)</f>
        <v>0</v>
      </c>
      <c r="P269" s="39" t="str">
        <f aca="false">IF(M269&lt;=0,"Lunas",IF(Catatan!$B$3&lt;=H269,"Belum Jatuh Tempo",IF(O269&lt;=30,"1-30 hari",IF(O269&lt;=60,"31-60 hari",IF(O269&lt;=90,"61-90 hari","90+ hari")))))</f>
        <v>Lunas</v>
      </c>
      <c r="Q269" s="50"/>
      <c r="R269" s="39" t="str">
        <f aca="false">IF(M269&lt;=0,"",IF(O269&gt;60,"1-Tinggi",IF(O269&gt;30,"2-Sedang",IF(O269&gt;0,"3-Rendah","4-Pantau"))))</f>
        <v/>
      </c>
      <c r="S269" s="39" t="str">
        <f aca="false">IF(AND(M269&gt;0,O269&gt;0),O269+M269/1000000000000+ROW()/1000000000000000,"")</f>
        <v/>
      </c>
      <c r="T269" s="39" t="str">
        <f aca="false">IF(J269="Belum ditukar",ROW(),"")</f>
        <v/>
      </c>
    </row>
    <row r="270" customFormat="false" ht="15" hidden="false" customHeight="false" outlineLevel="0" collapsed="false">
      <c r="A270" s="50" t="s">
        <v>529</v>
      </c>
      <c r="B270" s="51" t="n">
        <v>45715</v>
      </c>
      <c r="C270" s="50" t="s">
        <v>239</v>
      </c>
      <c r="D270" s="39" t="str">
        <f aca="false">INDEX(Master_Customer!$B$2:$B$126,MATCH(C270,Master_Customer!$A$2:$A$126,0))</f>
        <v>MAJU SPAREPART UTAMA</v>
      </c>
      <c r="E270" s="50" t="s">
        <v>31</v>
      </c>
      <c r="F270" s="52" t="n">
        <f aca="false">SUMIFS(Data_Penjualan!$G$2:$G$5998,Data_Penjualan!$A$2:$A$5998,A270)</f>
        <v>6762000</v>
      </c>
      <c r="G270" s="39" t="n">
        <f aca="false">IF(E270="KANTOR",0,INDEX(Master_Customer!$C$2:$C$126,MATCH(C270,Master_Customer!$A$2:$A$126,0)))</f>
        <v>30</v>
      </c>
      <c r="H270" s="53" t="n">
        <f aca="false">B270+G270</f>
        <v>45745</v>
      </c>
      <c r="I270" s="51" t="n">
        <v>45716</v>
      </c>
      <c r="J270" s="39" t="str">
        <f aca="false">IF(G270=0,"Tunai",IF(I270="","Belum ditukar","Sudah ditukar"))</f>
        <v>Sudah ditukar</v>
      </c>
      <c r="K270" s="54" t="n">
        <v>6762000</v>
      </c>
      <c r="L270" s="51" t="n">
        <v>45746</v>
      </c>
      <c r="M270" s="52" t="n">
        <f aca="false">F270-K270</f>
        <v>0</v>
      </c>
      <c r="N270" s="39" t="str">
        <f aca="false">IF(M270&lt;=0,"Lunas",IF(K270&gt;0,"Sebagian","Belum Bayar"))</f>
        <v>Lunas</v>
      </c>
      <c r="O270" s="39" t="n">
        <f aca="false">IF(M270&gt;0,MAX(0,Catatan!$B$3-H270),0)</f>
        <v>0</v>
      </c>
      <c r="P270" s="39" t="str">
        <f aca="false">IF(M270&lt;=0,"Lunas",IF(Catatan!$B$3&lt;=H270,"Belum Jatuh Tempo",IF(O270&lt;=30,"1-30 hari",IF(O270&lt;=60,"31-60 hari",IF(O270&lt;=90,"61-90 hari","90+ hari")))))</f>
        <v>Lunas</v>
      </c>
      <c r="Q270" s="50"/>
      <c r="R270" s="39" t="str">
        <f aca="false">IF(M270&lt;=0,"",IF(O270&gt;60,"1-Tinggi",IF(O270&gt;30,"2-Sedang",IF(O270&gt;0,"3-Rendah","4-Pantau"))))</f>
        <v/>
      </c>
      <c r="S270" s="39" t="str">
        <f aca="false">IF(AND(M270&gt;0,O270&gt;0),O270+M270/1000000000000+ROW()/1000000000000000,"")</f>
        <v/>
      </c>
      <c r="T270" s="39" t="str">
        <f aca="false">IF(J270="Belum ditukar",ROW(),"")</f>
        <v/>
      </c>
    </row>
    <row r="271" customFormat="false" ht="15" hidden="false" customHeight="false" outlineLevel="0" collapsed="false">
      <c r="A271" s="50" t="s">
        <v>530</v>
      </c>
      <c r="B271" s="51" t="n">
        <v>45716</v>
      </c>
      <c r="C271" s="50" t="s">
        <v>177</v>
      </c>
      <c r="D271" s="39" t="str">
        <f aca="false">INDEX(Master_Customer!$B$2:$B$126,MATCH(C271,Master_Customer!$A$2:$A$126,0))</f>
        <v>PRIMA MOTOR LANCAR</v>
      </c>
      <c r="E271" s="50" t="s">
        <v>29</v>
      </c>
      <c r="F271" s="52" t="n">
        <f aca="false">SUMIFS(Data_Penjualan!$G$2:$G$5998,Data_Penjualan!$A$2:$A$5998,A271)</f>
        <v>9744700</v>
      </c>
      <c r="G271" s="39" t="n">
        <f aca="false">IF(E271="KANTOR",0,INDEX(Master_Customer!$C$2:$C$126,MATCH(C271,Master_Customer!$A$2:$A$126,0)))</f>
        <v>14</v>
      </c>
      <c r="H271" s="53" t="n">
        <f aca="false">B271+G271</f>
        <v>45730</v>
      </c>
      <c r="I271" s="51" t="n">
        <v>45720</v>
      </c>
      <c r="J271" s="39" t="str">
        <f aca="false">IF(G271=0,"Tunai",IF(I271="","Belum ditukar","Sudah ditukar"))</f>
        <v>Sudah ditukar</v>
      </c>
      <c r="K271" s="54" t="n">
        <v>9744700</v>
      </c>
      <c r="L271" s="51" t="n">
        <v>45721</v>
      </c>
      <c r="M271" s="52" t="n">
        <f aca="false">F271-K271</f>
        <v>0</v>
      </c>
      <c r="N271" s="39" t="str">
        <f aca="false">IF(M271&lt;=0,"Lunas",IF(K271&gt;0,"Sebagian","Belum Bayar"))</f>
        <v>Lunas</v>
      </c>
      <c r="O271" s="39" t="n">
        <f aca="false">IF(M271&gt;0,MAX(0,Catatan!$B$3-H271),0)</f>
        <v>0</v>
      </c>
      <c r="P271" s="39" t="str">
        <f aca="false">IF(M271&lt;=0,"Lunas",IF(Catatan!$B$3&lt;=H271,"Belum Jatuh Tempo",IF(O271&lt;=30,"1-30 hari",IF(O271&lt;=60,"31-60 hari",IF(O271&lt;=90,"61-90 hari","90+ hari")))))</f>
        <v>Lunas</v>
      </c>
      <c r="Q271" s="50"/>
      <c r="R271" s="39" t="str">
        <f aca="false">IF(M271&lt;=0,"",IF(O271&gt;60,"1-Tinggi",IF(O271&gt;30,"2-Sedang",IF(O271&gt;0,"3-Rendah","4-Pantau"))))</f>
        <v/>
      </c>
      <c r="S271" s="39" t="str">
        <f aca="false">IF(AND(M271&gt;0,O271&gt;0),O271+M271/1000000000000+ROW()/1000000000000000,"")</f>
        <v/>
      </c>
      <c r="T271" s="39" t="str">
        <f aca="false">IF(J271="Belum ditukar",ROW(),"")</f>
        <v/>
      </c>
    </row>
    <row r="272" customFormat="false" ht="15" hidden="false" customHeight="false" outlineLevel="0" collapsed="false">
      <c r="A272" s="50" t="s">
        <v>531</v>
      </c>
      <c r="B272" s="51" t="n">
        <v>45716</v>
      </c>
      <c r="C272" s="50" t="s">
        <v>179</v>
      </c>
      <c r="D272" s="39" t="str">
        <f aca="false">INDEX(Master_Customer!$B$2:$B$126,MATCH(C272,Master_Customer!$A$2:$A$126,0))</f>
        <v>BINTANG TEKNIK SURYA</v>
      </c>
      <c r="E272" s="50" t="s">
        <v>29</v>
      </c>
      <c r="F272" s="52" t="n">
        <f aca="false">SUMIFS(Data_Penjualan!$G$2:$G$5998,Data_Penjualan!$A$2:$A$5998,A272)</f>
        <v>1527700</v>
      </c>
      <c r="G272" s="39" t="n">
        <f aca="false">IF(E272="KANTOR",0,INDEX(Master_Customer!$C$2:$C$126,MATCH(C272,Master_Customer!$A$2:$A$126,0)))</f>
        <v>45</v>
      </c>
      <c r="H272" s="53" t="n">
        <f aca="false">B272+G272</f>
        <v>45761</v>
      </c>
      <c r="I272" s="51" t="n">
        <v>45718</v>
      </c>
      <c r="J272" s="39" t="str">
        <f aca="false">IF(G272=0,"Tunai",IF(I272="","Belum ditukar","Sudah ditukar"))</f>
        <v>Sudah ditukar</v>
      </c>
      <c r="K272" s="54" t="n">
        <v>1527700</v>
      </c>
      <c r="L272" s="51" t="n">
        <v>45758</v>
      </c>
      <c r="M272" s="52" t="n">
        <f aca="false">F272-K272</f>
        <v>0</v>
      </c>
      <c r="N272" s="39" t="str">
        <f aca="false">IF(M272&lt;=0,"Lunas",IF(K272&gt;0,"Sebagian","Belum Bayar"))</f>
        <v>Lunas</v>
      </c>
      <c r="O272" s="39" t="n">
        <f aca="false">IF(M272&gt;0,MAX(0,Catatan!$B$3-H272),0)</f>
        <v>0</v>
      </c>
      <c r="P272" s="39" t="str">
        <f aca="false">IF(M272&lt;=0,"Lunas",IF(Catatan!$B$3&lt;=H272,"Belum Jatuh Tempo",IF(O272&lt;=30,"1-30 hari",IF(O272&lt;=60,"31-60 hari",IF(O272&lt;=90,"61-90 hari","90+ hari")))))</f>
        <v>Lunas</v>
      </c>
      <c r="Q272" s="50"/>
      <c r="R272" s="39" t="str">
        <f aca="false">IF(M272&lt;=0,"",IF(O272&gt;60,"1-Tinggi",IF(O272&gt;30,"2-Sedang",IF(O272&gt;0,"3-Rendah","4-Pantau"))))</f>
        <v/>
      </c>
      <c r="S272" s="39" t="str">
        <f aca="false">IF(AND(M272&gt;0,O272&gt;0),O272+M272/1000000000000+ROW()/1000000000000000,"")</f>
        <v/>
      </c>
      <c r="T272" s="39" t="str">
        <f aca="false">IF(J272="Belum ditukar",ROW(),"")</f>
        <v/>
      </c>
    </row>
    <row r="273" customFormat="false" ht="15" hidden="false" customHeight="false" outlineLevel="0" collapsed="false">
      <c r="A273" s="50" t="s">
        <v>532</v>
      </c>
      <c r="B273" s="51" t="n">
        <v>45716</v>
      </c>
      <c r="C273" s="50" t="s">
        <v>174</v>
      </c>
      <c r="D273" s="39" t="str">
        <f aca="false">INDEX(Master_Customer!$B$2:$B$126,MATCH(C273,Master_Customer!$A$2:$A$126,0))</f>
        <v>SUMBER TEKNIK SURYA</v>
      </c>
      <c r="E273" s="50" t="s">
        <v>32</v>
      </c>
      <c r="F273" s="52" t="n">
        <f aca="false">SUMIFS(Data_Penjualan!$G$2:$G$5998,Data_Penjualan!$A$2:$A$5998,A273)</f>
        <v>10303000</v>
      </c>
      <c r="G273" s="39" t="n">
        <f aca="false">IF(E273="KANTOR",0,INDEX(Master_Customer!$C$2:$C$126,MATCH(C273,Master_Customer!$A$2:$A$126,0)))</f>
        <v>0</v>
      </c>
      <c r="H273" s="53" t="n">
        <f aca="false">B273+G273</f>
        <v>45716</v>
      </c>
      <c r="J273" s="39" t="str">
        <f aca="false">IF(G273=0,"Tunai",IF(I273="","Belum ditukar","Sudah ditukar"))</f>
        <v>Tunai</v>
      </c>
      <c r="K273" s="54" t="n">
        <v>10303000</v>
      </c>
      <c r="L273" s="51" t="n">
        <v>45716</v>
      </c>
      <c r="M273" s="52" t="n">
        <f aca="false">F273-K273</f>
        <v>0</v>
      </c>
      <c r="N273" s="39" t="str">
        <f aca="false">IF(M273&lt;=0,"Lunas",IF(K273&gt;0,"Sebagian","Belum Bayar"))</f>
        <v>Lunas</v>
      </c>
      <c r="O273" s="39" t="n">
        <f aca="false">IF(M273&gt;0,MAX(0,Catatan!$B$3-H273),0)</f>
        <v>0</v>
      </c>
      <c r="P273" s="39" t="str">
        <f aca="false">IF(M273&lt;=0,"Lunas",IF(Catatan!$B$3&lt;=H273,"Belum Jatuh Tempo",IF(O273&lt;=30,"1-30 hari",IF(O273&lt;=60,"31-60 hari",IF(O273&lt;=90,"61-90 hari","90+ hari")))))</f>
        <v>Lunas</v>
      </c>
      <c r="Q273" s="50"/>
      <c r="R273" s="39" t="str">
        <f aca="false">IF(M273&lt;=0,"",IF(O273&gt;60,"1-Tinggi",IF(O273&gt;30,"2-Sedang",IF(O273&gt;0,"3-Rendah","4-Pantau"))))</f>
        <v/>
      </c>
      <c r="S273" s="39" t="str">
        <f aca="false">IF(AND(M273&gt;0,O273&gt;0),O273+M273/1000000000000+ROW()/1000000000000000,"")</f>
        <v/>
      </c>
      <c r="T273" s="39" t="str">
        <f aca="false">IF(J273="Belum ditukar",ROW(),"")</f>
        <v/>
      </c>
    </row>
    <row r="274" customFormat="false" ht="15" hidden="false" customHeight="false" outlineLevel="0" collapsed="false">
      <c r="A274" s="50" t="s">
        <v>533</v>
      </c>
      <c r="B274" s="51" t="n">
        <v>45716</v>
      </c>
      <c r="C274" s="50" t="s">
        <v>230</v>
      </c>
      <c r="D274" s="39" t="str">
        <f aca="false">INDEX(Master_Customer!$B$2:$B$126,MATCH(C274,Master_Customer!$A$2:$A$126,0))</f>
        <v>BINTANG MOBIL JAYA</v>
      </c>
      <c r="E274" s="50" t="s">
        <v>28</v>
      </c>
      <c r="F274" s="52" t="n">
        <f aca="false">SUMIFS(Data_Penjualan!$G$2:$G$5998,Data_Penjualan!$A$2:$A$5998,A274)</f>
        <v>18085600</v>
      </c>
      <c r="G274" s="39" t="n">
        <f aca="false">IF(E274="KANTOR",0,INDEX(Master_Customer!$C$2:$C$126,MATCH(C274,Master_Customer!$A$2:$A$126,0)))</f>
        <v>45</v>
      </c>
      <c r="H274" s="53" t="n">
        <f aca="false">B274+G274</f>
        <v>45761</v>
      </c>
      <c r="I274" s="51" t="n">
        <v>45720</v>
      </c>
      <c r="J274" s="39" t="str">
        <f aca="false">IF(G274=0,"Tunai",IF(I274="","Belum ditukar","Sudah ditukar"))</f>
        <v>Sudah ditukar</v>
      </c>
      <c r="K274" s="54" t="n">
        <v>18085600</v>
      </c>
      <c r="L274" s="51" t="n">
        <v>45767</v>
      </c>
      <c r="M274" s="52" t="n">
        <f aca="false">F274-K274</f>
        <v>0</v>
      </c>
      <c r="N274" s="39" t="str">
        <f aca="false">IF(M274&lt;=0,"Lunas",IF(K274&gt;0,"Sebagian","Belum Bayar"))</f>
        <v>Lunas</v>
      </c>
      <c r="O274" s="39" t="n">
        <f aca="false">IF(M274&gt;0,MAX(0,Catatan!$B$3-H274),0)</f>
        <v>0</v>
      </c>
      <c r="P274" s="39" t="str">
        <f aca="false">IF(M274&lt;=0,"Lunas",IF(Catatan!$B$3&lt;=H274,"Belum Jatuh Tempo",IF(O274&lt;=30,"1-30 hari",IF(O274&lt;=60,"31-60 hari",IF(O274&lt;=90,"61-90 hari","90+ hari")))))</f>
        <v>Lunas</v>
      </c>
      <c r="Q274" s="50"/>
      <c r="R274" s="39" t="str">
        <f aca="false">IF(M274&lt;=0,"",IF(O274&gt;60,"1-Tinggi",IF(O274&gt;30,"2-Sedang",IF(O274&gt;0,"3-Rendah","4-Pantau"))))</f>
        <v/>
      </c>
      <c r="S274" s="39" t="str">
        <f aca="false">IF(AND(M274&gt;0,O274&gt;0),O274+M274/1000000000000+ROW()/1000000000000000,"")</f>
        <v/>
      </c>
      <c r="T274" s="39" t="str">
        <f aca="false">IF(J274="Belum ditukar",ROW(),"")</f>
        <v/>
      </c>
    </row>
    <row r="275" customFormat="false" ht="15" hidden="false" customHeight="false" outlineLevel="0" collapsed="false">
      <c r="A275" s="50" t="s">
        <v>534</v>
      </c>
      <c r="B275" s="51" t="n">
        <v>45716</v>
      </c>
      <c r="C275" s="50" t="s">
        <v>369</v>
      </c>
      <c r="D275" s="39" t="str">
        <f aca="false">INDEX(Master_Customer!$B$2:$B$126,MATCH(C275,Master_Customer!$A$2:$A$126,0))</f>
        <v>UTAMA TEKNIK</v>
      </c>
      <c r="E275" s="50" t="s">
        <v>31</v>
      </c>
      <c r="F275" s="52" t="n">
        <f aca="false">SUMIFS(Data_Penjualan!$G$2:$G$5998,Data_Penjualan!$A$2:$A$5998,A275)</f>
        <v>21315600</v>
      </c>
      <c r="G275" s="39" t="n">
        <f aca="false">IF(E275="KANTOR",0,INDEX(Master_Customer!$C$2:$C$126,MATCH(C275,Master_Customer!$A$2:$A$126,0)))</f>
        <v>30</v>
      </c>
      <c r="H275" s="53" t="n">
        <f aca="false">B275+G275</f>
        <v>45746</v>
      </c>
      <c r="I275" s="51" t="n">
        <v>45718</v>
      </c>
      <c r="J275" s="39" t="str">
        <f aca="false">IF(G275=0,"Tunai",IF(I275="","Belum ditukar","Sudah ditukar"))</f>
        <v>Sudah ditukar</v>
      </c>
      <c r="K275" s="54" t="n">
        <v>21315600</v>
      </c>
      <c r="L275" s="51" t="n">
        <v>45749</v>
      </c>
      <c r="M275" s="52" t="n">
        <f aca="false">F275-K275</f>
        <v>0</v>
      </c>
      <c r="N275" s="39" t="str">
        <f aca="false">IF(M275&lt;=0,"Lunas",IF(K275&gt;0,"Sebagian","Belum Bayar"))</f>
        <v>Lunas</v>
      </c>
      <c r="O275" s="39" t="n">
        <f aca="false">IF(M275&gt;0,MAX(0,Catatan!$B$3-H275),0)</f>
        <v>0</v>
      </c>
      <c r="P275" s="39" t="str">
        <f aca="false">IF(M275&lt;=0,"Lunas",IF(Catatan!$B$3&lt;=H275,"Belum Jatuh Tempo",IF(O275&lt;=30,"1-30 hari",IF(O275&lt;=60,"31-60 hari",IF(O275&lt;=90,"61-90 hari","90+ hari")))))</f>
        <v>Lunas</v>
      </c>
      <c r="Q275" s="50"/>
      <c r="R275" s="39" t="str">
        <f aca="false">IF(M275&lt;=0,"",IF(O275&gt;60,"1-Tinggi",IF(O275&gt;30,"2-Sedang",IF(O275&gt;0,"3-Rendah","4-Pantau"))))</f>
        <v/>
      </c>
      <c r="S275" s="39" t="str">
        <f aca="false">IF(AND(M275&gt;0,O275&gt;0),O275+M275/1000000000000+ROW()/1000000000000000,"")</f>
        <v/>
      </c>
      <c r="T275" s="39" t="str">
        <f aca="false">IF(J275="Belum ditukar",ROW(),"")</f>
        <v/>
      </c>
    </row>
    <row r="276" customFormat="false" ht="15" hidden="false" customHeight="false" outlineLevel="0" collapsed="false">
      <c r="A276" s="50" t="s">
        <v>535</v>
      </c>
      <c r="B276" s="51" t="n">
        <v>45717</v>
      </c>
      <c r="C276" s="50" t="s">
        <v>467</v>
      </c>
      <c r="D276" s="39" t="str">
        <f aca="false">INDEX(Master_Customer!$B$2:$B$126,MATCH(C276,Master_Customer!$A$2:$A$126,0))</f>
        <v>LANCAR GARAGE UTAMA</v>
      </c>
      <c r="E276" s="50" t="s">
        <v>31</v>
      </c>
      <c r="F276" s="52" t="n">
        <f aca="false">SUMIFS(Data_Penjualan!$G$2:$G$5998,Data_Penjualan!$A$2:$A$5998,A276)</f>
        <v>16983500</v>
      </c>
      <c r="G276" s="39" t="n">
        <f aca="false">IF(E276="KANTOR",0,INDEX(Master_Customer!$C$2:$C$126,MATCH(C276,Master_Customer!$A$2:$A$126,0)))</f>
        <v>14</v>
      </c>
      <c r="H276" s="53" t="n">
        <f aca="false">B276+G276</f>
        <v>45731</v>
      </c>
      <c r="I276" s="51" t="n">
        <v>45720</v>
      </c>
      <c r="J276" s="39" t="str">
        <f aca="false">IF(G276=0,"Tunai",IF(I276="","Belum ditukar","Sudah ditukar"))</f>
        <v>Sudah ditukar</v>
      </c>
      <c r="K276" s="54" t="n">
        <v>16983500</v>
      </c>
      <c r="L276" s="51" t="n">
        <v>45829</v>
      </c>
      <c r="M276" s="52" t="n">
        <f aca="false">F276-K276</f>
        <v>0</v>
      </c>
      <c r="N276" s="39" t="str">
        <f aca="false">IF(M276&lt;=0,"Lunas",IF(K276&gt;0,"Sebagian","Belum Bayar"))</f>
        <v>Lunas</v>
      </c>
      <c r="O276" s="39" t="n">
        <f aca="false">IF(M276&gt;0,MAX(0,Catatan!$B$3-H276),0)</f>
        <v>0</v>
      </c>
      <c r="P276" s="39" t="str">
        <f aca="false">IF(M276&lt;=0,"Lunas",IF(Catatan!$B$3&lt;=H276,"Belum Jatuh Tempo",IF(O276&lt;=30,"1-30 hari",IF(O276&lt;=60,"31-60 hari",IF(O276&lt;=90,"61-90 hari","90+ hari")))))</f>
        <v>Lunas</v>
      </c>
      <c r="Q276" s="50"/>
      <c r="R276" s="39" t="str">
        <f aca="false">IF(M276&lt;=0,"",IF(O276&gt;60,"1-Tinggi",IF(O276&gt;30,"2-Sedang",IF(O276&gt;0,"3-Rendah","4-Pantau"))))</f>
        <v/>
      </c>
      <c r="S276" s="39" t="str">
        <f aca="false">IF(AND(M276&gt;0,O276&gt;0),O276+M276/1000000000000+ROW()/1000000000000000,"")</f>
        <v/>
      </c>
      <c r="T276" s="39" t="str">
        <f aca="false">IF(J276="Belum ditukar",ROW(),"")</f>
        <v/>
      </c>
    </row>
    <row r="277" customFormat="false" ht="15" hidden="false" customHeight="false" outlineLevel="0" collapsed="false">
      <c r="A277" s="50" t="s">
        <v>536</v>
      </c>
      <c r="B277" s="51" t="n">
        <v>45717</v>
      </c>
      <c r="C277" s="50" t="s">
        <v>289</v>
      </c>
      <c r="D277" s="39" t="str">
        <f aca="false">INDEX(Master_Customer!$B$2:$B$126,MATCH(C277,Master_Customer!$A$2:$A$126,0))</f>
        <v>SINAR GARAGE</v>
      </c>
      <c r="E277" s="50" t="s">
        <v>28</v>
      </c>
      <c r="F277" s="52" t="n">
        <f aca="false">SUMIFS(Data_Penjualan!$G$2:$G$5998,Data_Penjualan!$A$2:$A$5998,A277)</f>
        <v>24393300</v>
      </c>
      <c r="G277" s="39" t="n">
        <f aca="false">IF(E277="KANTOR",0,INDEX(Master_Customer!$C$2:$C$126,MATCH(C277,Master_Customer!$A$2:$A$126,0)))</f>
        <v>30</v>
      </c>
      <c r="H277" s="53" t="n">
        <f aca="false">B277+G277</f>
        <v>45747</v>
      </c>
      <c r="I277" s="51" t="n">
        <v>45719</v>
      </c>
      <c r="J277" s="39" t="str">
        <f aca="false">IF(G277=0,"Tunai",IF(I277="","Belum ditukar","Sudah ditukar"))</f>
        <v>Sudah ditukar</v>
      </c>
      <c r="K277" s="54" t="n">
        <v>24393300</v>
      </c>
      <c r="L277" s="51" t="n">
        <v>45741</v>
      </c>
      <c r="M277" s="52" t="n">
        <f aca="false">F277-K277</f>
        <v>0</v>
      </c>
      <c r="N277" s="39" t="str">
        <f aca="false">IF(M277&lt;=0,"Lunas",IF(K277&gt;0,"Sebagian","Belum Bayar"))</f>
        <v>Lunas</v>
      </c>
      <c r="O277" s="39" t="n">
        <f aca="false">IF(M277&gt;0,MAX(0,Catatan!$B$3-H277),0)</f>
        <v>0</v>
      </c>
      <c r="P277" s="39" t="str">
        <f aca="false">IF(M277&lt;=0,"Lunas",IF(Catatan!$B$3&lt;=H277,"Belum Jatuh Tempo",IF(O277&lt;=30,"1-30 hari",IF(O277&lt;=60,"31-60 hari",IF(O277&lt;=90,"61-90 hari","90+ hari")))))</f>
        <v>Lunas</v>
      </c>
      <c r="Q277" s="50"/>
      <c r="R277" s="39" t="str">
        <f aca="false">IF(M277&lt;=0,"",IF(O277&gt;60,"1-Tinggi",IF(O277&gt;30,"2-Sedang",IF(O277&gt;0,"3-Rendah","4-Pantau"))))</f>
        <v/>
      </c>
      <c r="S277" s="39" t="str">
        <f aca="false">IF(AND(M277&gt;0,O277&gt;0),O277+M277/1000000000000+ROW()/1000000000000000,"")</f>
        <v/>
      </c>
      <c r="T277" s="39" t="str">
        <f aca="false">IF(J277="Belum ditukar",ROW(),"")</f>
        <v/>
      </c>
    </row>
    <row r="278" customFormat="false" ht="15" hidden="false" customHeight="false" outlineLevel="0" collapsed="false">
      <c r="A278" s="50" t="s">
        <v>537</v>
      </c>
      <c r="B278" s="51" t="n">
        <v>45717</v>
      </c>
      <c r="C278" s="50" t="s">
        <v>430</v>
      </c>
      <c r="D278" s="39" t="str">
        <f aca="false">INDEX(Master_Customer!$B$2:$B$126,MATCH(C278,Master_Customer!$A$2:$A$126,0))</f>
        <v>TIRTA MOBIL</v>
      </c>
      <c r="E278" s="50" t="s">
        <v>32</v>
      </c>
      <c r="F278" s="52" t="n">
        <f aca="false">SUMIFS(Data_Penjualan!$G$2:$G$5998,Data_Penjualan!$A$2:$A$5998,A278)</f>
        <v>15916400</v>
      </c>
      <c r="G278" s="39" t="n">
        <f aca="false">IF(E278="KANTOR",0,INDEX(Master_Customer!$C$2:$C$126,MATCH(C278,Master_Customer!$A$2:$A$126,0)))</f>
        <v>0</v>
      </c>
      <c r="H278" s="53" t="n">
        <f aca="false">B278+G278</f>
        <v>45717</v>
      </c>
      <c r="J278" s="39" t="str">
        <f aca="false">IF(G278=0,"Tunai",IF(I278="","Belum ditukar","Sudah ditukar"))</f>
        <v>Tunai</v>
      </c>
      <c r="K278" s="54" t="n">
        <v>15916400</v>
      </c>
      <c r="L278" s="51" t="n">
        <v>45717</v>
      </c>
      <c r="M278" s="52" t="n">
        <f aca="false">F278-K278</f>
        <v>0</v>
      </c>
      <c r="N278" s="39" t="str">
        <f aca="false">IF(M278&lt;=0,"Lunas",IF(K278&gt;0,"Sebagian","Belum Bayar"))</f>
        <v>Lunas</v>
      </c>
      <c r="O278" s="39" t="n">
        <f aca="false">IF(M278&gt;0,MAX(0,Catatan!$B$3-H278),0)</f>
        <v>0</v>
      </c>
      <c r="P278" s="39" t="str">
        <f aca="false">IF(M278&lt;=0,"Lunas",IF(Catatan!$B$3&lt;=H278,"Belum Jatuh Tempo",IF(O278&lt;=30,"1-30 hari",IF(O278&lt;=60,"31-60 hari",IF(O278&lt;=90,"61-90 hari","90+ hari")))))</f>
        <v>Lunas</v>
      </c>
      <c r="Q278" s="50"/>
      <c r="R278" s="39" t="str">
        <f aca="false">IF(M278&lt;=0,"",IF(O278&gt;60,"1-Tinggi",IF(O278&gt;30,"2-Sedang",IF(O278&gt;0,"3-Rendah","4-Pantau"))))</f>
        <v/>
      </c>
      <c r="S278" s="39" t="str">
        <f aca="false">IF(AND(M278&gt;0,O278&gt;0),O278+M278/1000000000000+ROW()/1000000000000000,"")</f>
        <v/>
      </c>
      <c r="T278" s="39" t="str">
        <f aca="false">IF(J278="Belum ditukar",ROW(),"")</f>
        <v/>
      </c>
    </row>
    <row r="279" customFormat="false" ht="15" hidden="false" customHeight="false" outlineLevel="0" collapsed="false">
      <c r="A279" s="50" t="s">
        <v>538</v>
      </c>
      <c r="B279" s="51" t="n">
        <v>45717</v>
      </c>
      <c r="C279" s="50" t="s">
        <v>207</v>
      </c>
      <c r="D279" s="39" t="str">
        <f aca="false">INDEX(Master_Customer!$B$2:$B$126,MATCH(C279,Master_Customer!$A$2:$A$126,0))</f>
        <v>MAKMUR AUTO HARAPAN</v>
      </c>
      <c r="E279" s="50" t="s">
        <v>29</v>
      </c>
      <c r="F279" s="52" t="n">
        <f aca="false">SUMIFS(Data_Penjualan!$G$2:$G$5998,Data_Penjualan!$A$2:$A$5998,A279)</f>
        <v>1873800</v>
      </c>
      <c r="G279" s="39" t="n">
        <f aca="false">IF(E279="KANTOR",0,INDEX(Master_Customer!$C$2:$C$126,MATCH(C279,Master_Customer!$A$2:$A$126,0)))</f>
        <v>30</v>
      </c>
      <c r="H279" s="53" t="n">
        <f aca="false">B279+G279</f>
        <v>45747</v>
      </c>
      <c r="I279" s="51" t="n">
        <v>45722</v>
      </c>
      <c r="J279" s="39" t="str">
        <f aca="false">IF(G279=0,"Tunai",IF(I279="","Belum ditukar","Sudah ditukar"))</f>
        <v>Sudah ditukar</v>
      </c>
      <c r="K279" s="54" t="n">
        <v>1873800</v>
      </c>
      <c r="L279" s="51" t="n">
        <v>45774</v>
      </c>
      <c r="M279" s="52" t="n">
        <f aca="false">F279-K279</f>
        <v>0</v>
      </c>
      <c r="N279" s="39" t="str">
        <f aca="false">IF(M279&lt;=0,"Lunas",IF(K279&gt;0,"Sebagian","Belum Bayar"))</f>
        <v>Lunas</v>
      </c>
      <c r="O279" s="39" t="n">
        <f aca="false">IF(M279&gt;0,MAX(0,Catatan!$B$3-H279),0)</f>
        <v>0</v>
      </c>
      <c r="P279" s="39" t="str">
        <f aca="false">IF(M279&lt;=0,"Lunas",IF(Catatan!$B$3&lt;=H279,"Belum Jatuh Tempo",IF(O279&lt;=30,"1-30 hari",IF(O279&lt;=60,"31-60 hari",IF(O279&lt;=90,"61-90 hari","90+ hari")))))</f>
        <v>Lunas</v>
      </c>
      <c r="Q279" s="50"/>
      <c r="R279" s="39" t="str">
        <f aca="false">IF(M279&lt;=0,"",IF(O279&gt;60,"1-Tinggi",IF(O279&gt;30,"2-Sedang",IF(O279&gt;0,"3-Rendah","4-Pantau"))))</f>
        <v/>
      </c>
      <c r="S279" s="39" t="str">
        <f aca="false">IF(AND(M279&gt;0,O279&gt;0),O279+M279/1000000000000+ROW()/1000000000000000,"")</f>
        <v/>
      </c>
      <c r="T279" s="39" t="str">
        <f aca="false">IF(J279="Belum ditukar",ROW(),"")</f>
        <v/>
      </c>
    </row>
    <row r="280" customFormat="false" ht="15" hidden="false" customHeight="false" outlineLevel="0" collapsed="false">
      <c r="A280" s="50" t="s">
        <v>539</v>
      </c>
      <c r="B280" s="51" t="n">
        <v>45717</v>
      </c>
      <c r="C280" s="50" t="s">
        <v>540</v>
      </c>
      <c r="D280" s="39" t="str">
        <f aca="false">INDEX(Master_Customer!$B$2:$B$126,MATCH(C280,Master_Customer!$A$2:$A$126,0))</f>
        <v>SURYA MOBIL</v>
      </c>
      <c r="E280" s="50" t="s">
        <v>31</v>
      </c>
      <c r="F280" s="52" t="n">
        <f aca="false">SUMIFS(Data_Penjualan!$G$2:$G$5998,Data_Penjualan!$A$2:$A$5998,A280)</f>
        <v>16266500</v>
      </c>
      <c r="G280" s="39" t="n">
        <f aca="false">IF(E280="KANTOR",0,INDEX(Master_Customer!$C$2:$C$126,MATCH(C280,Master_Customer!$A$2:$A$126,0)))</f>
        <v>30</v>
      </c>
      <c r="H280" s="53" t="n">
        <f aca="false">B280+G280</f>
        <v>45747</v>
      </c>
      <c r="I280" s="51" t="n">
        <v>45719</v>
      </c>
      <c r="J280" s="39" t="str">
        <f aca="false">IF(G280=0,"Tunai",IF(I280="","Belum ditukar","Sudah ditukar"))</f>
        <v>Sudah ditukar</v>
      </c>
      <c r="K280" s="54" t="n">
        <v>16266500</v>
      </c>
      <c r="L280" s="51" t="n">
        <v>45795</v>
      </c>
      <c r="M280" s="52" t="n">
        <f aca="false">F280-K280</f>
        <v>0</v>
      </c>
      <c r="N280" s="39" t="str">
        <f aca="false">IF(M280&lt;=0,"Lunas",IF(K280&gt;0,"Sebagian","Belum Bayar"))</f>
        <v>Lunas</v>
      </c>
      <c r="O280" s="39" t="n">
        <f aca="false">IF(M280&gt;0,MAX(0,Catatan!$B$3-H280),0)</f>
        <v>0</v>
      </c>
      <c r="P280" s="39" t="str">
        <f aca="false">IF(M280&lt;=0,"Lunas",IF(Catatan!$B$3&lt;=H280,"Belum Jatuh Tempo",IF(O280&lt;=30,"1-30 hari",IF(O280&lt;=60,"31-60 hari",IF(O280&lt;=90,"61-90 hari","90+ hari")))))</f>
        <v>Lunas</v>
      </c>
      <c r="Q280" s="50"/>
      <c r="R280" s="39" t="str">
        <f aca="false">IF(M280&lt;=0,"",IF(O280&gt;60,"1-Tinggi",IF(O280&gt;30,"2-Sedang",IF(O280&gt;0,"3-Rendah","4-Pantau"))))</f>
        <v/>
      </c>
      <c r="S280" s="39" t="str">
        <f aca="false">IF(AND(M280&gt;0,O280&gt;0),O280+M280/1000000000000+ROW()/1000000000000000,"")</f>
        <v/>
      </c>
      <c r="T280" s="39" t="str">
        <f aca="false">IF(J280="Belum ditukar",ROW(),"")</f>
        <v/>
      </c>
    </row>
    <row r="281" customFormat="false" ht="15" hidden="false" customHeight="false" outlineLevel="0" collapsed="false">
      <c r="A281" s="50" t="s">
        <v>541</v>
      </c>
      <c r="B281" s="51" t="n">
        <v>45717</v>
      </c>
      <c r="C281" s="50" t="s">
        <v>211</v>
      </c>
      <c r="D281" s="39" t="str">
        <f aca="false">INDEX(Master_Customer!$B$2:$B$126,MATCH(C281,Master_Customer!$A$2:$A$126,0))</f>
        <v>PRIMA MOBIL</v>
      </c>
      <c r="E281" s="50" t="s">
        <v>30</v>
      </c>
      <c r="F281" s="52" t="n">
        <f aca="false">SUMIFS(Data_Penjualan!$G$2:$G$5998,Data_Penjualan!$A$2:$A$5998,A281)</f>
        <v>3655600</v>
      </c>
      <c r="G281" s="39" t="n">
        <f aca="false">IF(E281="KANTOR",0,INDEX(Master_Customer!$C$2:$C$126,MATCH(C281,Master_Customer!$A$2:$A$126,0)))</f>
        <v>0</v>
      </c>
      <c r="H281" s="53" t="n">
        <f aca="false">B281+G281</f>
        <v>45717</v>
      </c>
      <c r="J281" s="39" t="str">
        <f aca="false">IF(G281=0,"Tunai",IF(I281="","Belum ditukar","Sudah ditukar"))</f>
        <v>Tunai</v>
      </c>
      <c r="K281" s="54" t="n">
        <v>3655600</v>
      </c>
      <c r="L281" s="51" t="n">
        <v>45717</v>
      </c>
      <c r="M281" s="52" t="n">
        <f aca="false">F281-K281</f>
        <v>0</v>
      </c>
      <c r="N281" s="39" t="str">
        <f aca="false">IF(M281&lt;=0,"Lunas",IF(K281&gt;0,"Sebagian","Belum Bayar"))</f>
        <v>Lunas</v>
      </c>
      <c r="O281" s="39" t="n">
        <f aca="false">IF(M281&gt;0,MAX(0,Catatan!$B$3-H281),0)</f>
        <v>0</v>
      </c>
      <c r="P281" s="39" t="str">
        <f aca="false">IF(M281&lt;=0,"Lunas",IF(Catatan!$B$3&lt;=H281,"Belum Jatuh Tempo",IF(O281&lt;=30,"1-30 hari",IF(O281&lt;=60,"31-60 hari",IF(O281&lt;=90,"61-90 hari","90+ hari")))))</f>
        <v>Lunas</v>
      </c>
      <c r="Q281" s="50"/>
      <c r="R281" s="39" t="str">
        <f aca="false">IF(M281&lt;=0,"",IF(O281&gt;60,"1-Tinggi",IF(O281&gt;30,"2-Sedang",IF(O281&gt;0,"3-Rendah","4-Pantau"))))</f>
        <v/>
      </c>
      <c r="S281" s="39" t="str">
        <f aca="false">IF(AND(M281&gt;0,O281&gt;0),O281+M281/1000000000000+ROW()/1000000000000000,"")</f>
        <v/>
      </c>
      <c r="T281" s="39" t="str">
        <f aca="false">IF(J281="Belum ditukar",ROW(),"")</f>
        <v/>
      </c>
    </row>
    <row r="282" customFormat="false" ht="15" hidden="false" customHeight="false" outlineLevel="0" collapsed="false">
      <c r="A282" s="50" t="s">
        <v>542</v>
      </c>
      <c r="B282" s="51" t="n">
        <v>45717</v>
      </c>
      <c r="C282" s="50" t="s">
        <v>211</v>
      </c>
      <c r="D282" s="39" t="str">
        <f aca="false">INDEX(Master_Customer!$B$2:$B$126,MATCH(C282,Master_Customer!$A$2:$A$126,0))</f>
        <v>PRIMA MOBIL</v>
      </c>
      <c r="E282" s="50" t="s">
        <v>30</v>
      </c>
      <c r="F282" s="52" t="n">
        <f aca="false">SUMIFS(Data_Penjualan!$G$2:$G$5998,Data_Penjualan!$A$2:$A$5998,A282)</f>
        <v>22616100</v>
      </c>
      <c r="G282" s="39" t="n">
        <f aca="false">IF(E282="KANTOR",0,INDEX(Master_Customer!$C$2:$C$126,MATCH(C282,Master_Customer!$A$2:$A$126,0)))</f>
        <v>0</v>
      </c>
      <c r="H282" s="53" t="n">
        <f aca="false">B282+G282</f>
        <v>45717</v>
      </c>
      <c r="J282" s="39" t="str">
        <f aca="false">IF(G282=0,"Tunai",IF(I282="","Belum ditukar","Sudah ditukar"))</f>
        <v>Tunai</v>
      </c>
      <c r="K282" s="54" t="n">
        <v>22616100</v>
      </c>
      <c r="L282" s="51" t="n">
        <v>45717</v>
      </c>
      <c r="M282" s="52" t="n">
        <f aca="false">F282-K282</f>
        <v>0</v>
      </c>
      <c r="N282" s="39" t="str">
        <f aca="false">IF(M282&lt;=0,"Lunas",IF(K282&gt;0,"Sebagian","Belum Bayar"))</f>
        <v>Lunas</v>
      </c>
      <c r="O282" s="39" t="n">
        <f aca="false">IF(M282&gt;0,MAX(0,Catatan!$B$3-H282),0)</f>
        <v>0</v>
      </c>
      <c r="P282" s="39" t="str">
        <f aca="false">IF(M282&lt;=0,"Lunas",IF(Catatan!$B$3&lt;=H282,"Belum Jatuh Tempo",IF(O282&lt;=30,"1-30 hari",IF(O282&lt;=60,"31-60 hari",IF(O282&lt;=90,"61-90 hari","90+ hari")))))</f>
        <v>Lunas</v>
      </c>
      <c r="Q282" s="50"/>
      <c r="R282" s="39" t="str">
        <f aca="false">IF(M282&lt;=0,"",IF(O282&gt;60,"1-Tinggi",IF(O282&gt;30,"2-Sedang",IF(O282&gt;0,"3-Rendah","4-Pantau"))))</f>
        <v/>
      </c>
      <c r="S282" s="39" t="str">
        <f aca="false">IF(AND(M282&gt;0,O282&gt;0),O282+M282/1000000000000+ROW()/1000000000000000,"")</f>
        <v/>
      </c>
      <c r="T282" s="39" t="str">
        <f aca="false">IF(J282="Belum ditukar",ROW(),"")</f>
        <v/>
      </c>
    </row>
    <row r="283" customFormat="false" ht="15" hidden="false" customHeight="false" outlineLevel="0" collapsed="false">
      <c r="A283" s="50" t="s">
        <v>543</v>
      </c>
      <c r="B283" s="51" t="n">
        <v>45717</v>
      </c>
      <c r="C283" s="50" t="s">
        <v>170</v>
      </c>
      <c r="D283" s="39" t="str">
        <f aca="false">INDEX(Master_Customer!$B$2:$B$126,MATCH(C283,Master_Customer!$A$2:$A$126,0))</f>
        <v>HARAPAN MOTOR</v>
      </c>
      <c r="E283" s="50" t="s">
        <v>30</v>
      </c>
      <c r="F283" s="52" t="n">
        <f aca="false">SUMIFS(Data_Penjualan!$G$2:$G$5998,Data_Penjualan!$A$2:$A$5998,A283)</f>
        <v>20909800</v>
      </c>
      <c r="G283" s="39" t="n">
        <f aca="false">IF(E283="KANTOR",0,INDEX(Master_Customer!$C$2:$C$126,MATCH(C283,Master_Customer!$A$2:$A$126,0)))</f>
        <v>45</v>
      </c>
      <c r="H283" s="53" t="n">
        <f aca="false">B283+G283</f>
        <v>45762</v>
      </c>
      <c r="I283" s="51" t="n">
        <v>45721</v>
      </c>
      <c r="J283" s="39" t="str">
        <f aca="false">IF(G283=0,"Tunai",IF(I283="","Belum ditukar","Sudah ditukar"))</f>
        <v>Sudah ditukar</v>
      </c>
      <c r="K283" s="54" t="n">
        <v>9126800</v>
      </c>
      <c r="L283" s="51" t="n">
        <v>45759</v>
      </c>
      <c r="M283" s="52" t="n">
        <f aca="false">F283-K283</f>
        <v>11783000</v>
      </c>
      <c r="N283" s="39" t="str">
        <f aca="false">IF(M283&lt;=0,"Lunas",IF(K283&gt;0,"Sebagian","Belum Bayar"))</f>
        <v>Sebagian</v>
      </c>
      <c r="O283" s="39" t="n">
        <f aca="false">IF(M283&gt;0,MAX(0,Catatan!$B$3-H283),0)</f>
        <v>260</v>
      </c>
      <c r="P283" s="39" t="str">
        <f aca="false">IF(M283&lt;=0,"Lunas",IF(Catatan!$B$3&lt;=H283,"Belum Jatuh Tempo",IF(O283&lt;=30,"1-30 hari",IF(O283&lt;=60,"31-60 hari",IF(O283&lt;=90,"61-90 hari","90+ hari")))))</f>
        <v>90+ hari</v>
      </c>
      <c r="Q283" s="50" t="s">
        <v>397</v>
      </c>
      <c r="R283" s="39" t="str">
        <f aca="false">IF(M283&lt;=0,"",IF(O283&gt;60,"1-Tinggi",IF(O283&gt;30,"2-Sedang",IF(O283&gt;0,"3-Rendah","4-Pantau"))))</f>
        <v>1-Tinggi</v>
      </c>
      <c r="S283" s="39" t="n">
        <f aca="false">IF(AND(M283&gt;0,O283&gt;0),O283+M283/1000000000000+ROW()/1000000000000000,"")</f>
        <v>260.000011783</v>
      </c>
      <c r="T283" s="39" t="str">
        <f aca="false">IF(J283="Belum ditukar",ROW(),"")</f>
        <v/>
      </c>
    </row>
    <row r="284" customFormat="false" ht="15" hidden="false" customHeight="false" outlineLevel="0" collapsed="false">
      <c r="A284" s="50" t="s">
        <v>544</v>
      </c>
      <c r="B284" s="51" t="n">
        <v>45719</v>
      </c>
      <c r="C284" s="50" t="s">
        <v>174</v>
      </c>
      <c r="D284" s="39" t="str">
        <f aca="false">INDEX(Master_Customer!$B$2:$B$126,MATCH(C284,Master_Customer!$A$2:$A$126,0))</f>
        <v>SUMBER TEKNIK SURYA</v>
      </c>
      <c r="E284" s="50" t="s">
        <v>31</v>
      </c>
      <c r="F284" s="52" t="n">
        <f aca="false">SUMIFS(Data_Penjualan!$G$2:$G$5998,Data_Penjualan!$A$2:$A$5998,A284)</f>
        <v>16386000</v>
      </c>
      <c r="G284" s="39" t="n">
        <f aca="false">IF(E284="KANTOR",0,INDEX(Master_Customer!$C$2:$C$126,MATCH(C284,Master_Customer!$A$2:$A$126,0)))</f>
        <v>30</v>
      </c>
      <c r="H284" s="53" t="n">
        <f aca="false">B284+G284</f>
        <v>45749</v>
      </c>
      <c r="I284" s="51" t="n">
        <v>45722</v>
      </c>
      <c r="J284" s="39" t="str">
        <f aca="false">IF(G284=0,"Tunai",IF(I284="","Belum ditukar","Sudah ditukar"))</f>
        <v>Sudah ditukar</v>
      </c>
      <c r="K284" s="54" t="n">
        <v>16386000</v>
      </c>
      <c r="L284" s="51" t="n">
        <v>45745</v>
      </c>
      <c r="M284" s="52" t="n">
        <f aca="false">F284-K284</f>
        <v>0</v>
      </c>
      <c r="N284" s="39" t="str">
        <f aca="false">IF(M284&lt;=0,"Lunas",IF(K284&gt;0,"Sebagian","Belum Bayar"))</f>
        <v>Lunas</v>
      </c>
      <c r="O284" s="39" t="n">
        <f aca="false">IF(M284&gt;0,MAX(0,Catatan!$B$3-H284),0)</f>
        <v>0</v>
      </c>
      <c r="P284" s="39" t="str">
        <f aca="false">IF(M284&lt;=0,"Lunas",IF(Catatan!$B$3&lt;=H284,"Belum Jatuh Tempo",IF(O284&lt;=30,"1-30 hari",IF(O284&lt;=60,"31-60 hari",IF(O284&lt;=90,"61-90 hari","90+ hari")))))</f>
        <v>Lunas</v>
      </c>
      <c r="Q284" s="50"/>
      <c r="R284" s="39" t="str">
        <f aca="false">IF(M284&lt;=0,"",IF(O284&gt;60,"1-Tinggi",IF(O284&gt;30,"2-Sedang",IF(O284&gt;0,"3-Rendah","4-Pantau"))))</f>
        <v/>
      </c>
      <c r="S284" s="39" t="str">
        <f aca="false">IF(AND(M284&gt;0,O284&gt;0),O284+M284/1000000000000+ROW()/1000000000000000,"")</f>
        <v/>
      </c>
      <c r="T284" s="39" t="str">
        <f aca="false">IF(J284="Belum ditukar",ROW(),"")</f>
        <v/>
      </c>
    </row>
    <row r="285" customFormat="false" ht="15" hidden="false" customHeight="false" outlineLevel="0" collapsed="false">
      <c r="A285" s="50" t="s">
        <v>545</v>
      </c>
      <c r="B285" s="51" t="n">
        <v>45719</v>
      </c>
      <c r="C285" s="50" t="s">
        <v>367</v>
      </c>
      <c r="D285" s="39" t="str">
        <f aca="false">INDEX(Master_Customer!$B$2:$B$126,MATCH(C285,Master_Customer!$A$2:$A$126,0))</f>
        <v>JAYA MOBIL SUMBER</v>
      </c>
      <c r="E285" s="50" t="s">
        <v>28</v>
      </c>
      <c r="F285" s="52" t="n">
        <f aca="false">SUMIFS(Data_Penjualan!$G$2:$G$5998,Data_Penjualan!$A$2:$A$5998,A285)</f>
        <v>8918500</v>
      </c>
      <c r="G285" s="39" t="n">
        <f aca="false">IF(E285="KANTOR",0,INDEX(Master_Customer!$C$2:$C$126,MATCH(C285,Master_Customer!$A$2:$A$126,0)))</f>
        <v>0</v>
      </c>
      <c r="H285" s="53" t="n">
        <f aca="false">B285+G285</f>
        <v>45719</v>
      </c>
      <c r="J285" s="39" t="str">
        <f aca="false">IF(G285=0,"Tunai",IF(I285="","Belum ditukar","Sudah ditukar"))</f>
        <v>Tunai</v>
      </c>
      <c r="K285" s="54" t="n">
        <v>8918500</v>
      </c>
      <c r="L285" s="51" t="n">
        <v>45721</v>
      </c>
      <c r="M285" s="52" t="n">
        <f aca="false">F285-K285</f>
        <v>0</v>
      </c>
      <c r="N285" s="39" t="str">
        <f aca="false">IF(M285&lt;=0,"Lunas",IF(K285&gt;0,"Sebagian","Belum Bayar"))</f>
        <v>Lunas</v>
      </c>
      <c r="O285" s="39" t="n">
        <f aca="false">IF(M285&gt;0,MAX(0,Catatan!$B$3-H285),0)</f>
        <v>0</v>
      </c>
      <c r="P285" s="39" t="str">
        <f aca="false">IF(M285&lt;=0,"Lunas",IF(Catatan!$B$3&lt;=H285,"Belum Jatuh Tempo",IF(O285&lt;=30,"1-30 hari",IF(O285&lt;=60,"31-60 hari",IF(O285&lt;=90,"61-90 hari","90+ hari")))))</f>
        <v>Lunas</v>
      </c>
      <c r="Q285" s="50"/>
      <c r="R285" s="39" t="str">
        <f aca="false">IF(M285&lt;=0,"",IF(O285&gt;60,"1-Tinggi",IF(O285&gt;30,"2-Sedang",IF(O285&gt;0,"3-Rendah","4-Pantau"))))</f>
        <v/>
      </c>
      <c r="S285" s="39" t="str">
        <f aca="false">IF(AND(M285&gt;0,O285&gt;0),O285+M285/1000000000000+ROW()/1000000000000000,"")</f>
        <v/>
      </c>
      <c r="T285" s="39" t="str">
        <f aca="false">IF(J285="Belum ditukar",ROW(),"")</f>
        <v/>
      </c>
    </row>
    <row r="286" customFormat="false" ht="15" hidden="false" customHeight="false" outlineLevel="0" collapsed="false">
      <c r="A286" s="50" t="s">
        <v>546</v>
      </c>
      <c r="B286" s="51" t="n">
        <v>45719</v>
      </c>
      <c r="C286" s="50" t="s">
        <v>174</v>
      </c>
      <c r="D286" s="39" t="str">
        <f aca="false">INDEX(Master_Customer!$B$2:$B$126,MATCH(C286,Master_Customer!$A$2:$A$126,0))</f>
        <v>SUMBER TEKNIK SURYA</v>
      </c>
      <c r="E286" s="50" t="s">
        <v>31</v>
      </c>
      <c r="F286" s="52" t="n">
        <f aca="false">SUMIFS(Data_Penjualan!$G$2:$G$5998,Data_Penjualan!$A$2:$A$5998,A286)</f>
        <v>12544400</v>
      </c>
      <c r="G286" s="39" t="n">
        <f aca="false">IF(E286="KANTOR",0,INDEX(Master_Customer!$C$2:$C$126,MATCH(C286,Master_Customer!$A$2:$A$126,0)))</f>
        <v>30</v>
      </c>
      <c r="H286" s="53" t="n">
        <f aca="false">B286+G286</f>
        <v>45749</v>
      </c>
      <c r="I286" s="51" t="n">
        <v>45720</v>
      </c>
      <c r="J286" s="39" t="str">
        <f aca="false">IF(G286=0,"Tunai",IF(I286="","Belum ditukar","Sudah ditukar"))</f>
        <v>Sudah ditukar</v>
      </c>
      <c r="K286" s="54" t="n">
        <v>12544400</v>
      </c>
      <c r="L286" s="51" t="n">
        <v>45751</v>
      </c>
      <c r="M286" s="52" t="n">
        <f aca="false">F286-K286</f>
        <v>0</v>
      </c>
      <c r="N286" s="39" t="str">
        <f aca="false">IF(M286&lt;=0,"Lunas",IF(K286&gt;0,"Sebagian","Belum Bayar"))</f>
        <v>Lunas</v>
      </c>
      <c r="O286" s="39" t="n">
        <f aca="false">IF(M286&gt;0,MAX(0,Catatan!$B$3-H286),0)</f>
        <v>0</v>
      </c>
      <c r="P286" s="39" t="str">
        <f aca="false">IF(M286&lt;=0,"Lunas",IF(Catatan!$B$3&lt;=H286,"Belum Jatuh Tempo",IF(O286&lt;=30,"1-30 hari",IF(O286&lt;=60,"31-60 hari",IF(O286&lt;=90,"61-90 hari","90+ hari")))))</f>
        <v>Lunas</v>
      </c>
      <c r="Q286" s="50"/>
      <c r="R286" s="39" t="str">
        <f aca="false">IF(M286&lt;=0,"",IF(O286&gt;60,"1-Tinggi",IF(O286&gt;30,"2-Sedang",IF(O286&gt;0,"3-Rendah","4-Pantau"))))</f>
        <v/>
      </c>
      <c r="S286" s="39" t="str">
        <f aca="false">IF(AND(M286&gt;0,O286&gt;0),O286+M286/1000000000000+ROW()/1000000000000000,"")</f>
        <v/>
      </c>
      <c r="T286" s="39" t="str">
        <f aca="false">IF(J286="Belum ditukar",ROW(),"")</f>
        <v/>
      </c>
    </row>
    <row r="287" customFormat="false" ht="15" hidden="false" customHeight="false" outlineLevel="0" collapsed="false">
      <c r="A287" s="50" t="s">
        <v>547</v>
      </c>
      <c r="B287" s="51" t="n">
        <v>45719</v>
      </c>
      <c r="C287" s="50" t="s">
        <v>251</v>
      </c>
      <c r="D287" s="39" t="str">
        <f aca="false">INDEX(Master_Customer!$B$2:$B$126,MATCH(C287,Master_Customer!$A$2:$A$126,0))</f>
        <v>MAJU SPAREPART</v>
      </c>
      <c r="E287" s="50" t="s">
        <v>29</v>
      </c>
      <c r="F287" s="52" t="n">
        <f aca="false">SUMIFS(Data_Penjualan!$G$2:$G$5998,Data_Penjualan!$A$2:$A$5998,A287)</f>
        <v>6558700</v>
      </c>
      <c r="G287" s="39" t="n">
        <f aca="false">IF(E287="KANTOR",0,INDEX(Master_Customer!$C$2:$C$126,MATCH(C287,Master_Customer!$A$2:$A$126,0)))</f>
        <v>45</v>
      </c>
      <c r="H287" s="53" t="n">
        <f aca="false">B287+G287</f>
        <v>45764</v>
      </c>
      <c r="I287" s="51" t="n">
        <v>45721</v>
      </c>
      <c r="J287" s="39" t="str">
        <f aca="false">IF(G287=0,"Tunai",IF(I287="","Belum ditukar","Sudah ditukar"))</f>
        <v>Sudah ditukar</v>
      </c>
      <c r="K287" s="54" t="n">
        <v>6558700</v>
      </c>
      <c r="L287" s="51" t="n">
        <v>45774</v>
      </c>
      <c r="M287" s="52" t="n">
        <f aca="false">F287-K287</f>
        <v>0</v>
      </c>
      <c r="N287" s="39" t="str">
        <f aca="false">IF(M287&lt;=0,"Lunas",IF(K287&gt;0,"Sebagian","Belum Bayar"))</f>
        <v>Lunas</v>
      </c>
      <c r="O287" s="39" t="n">
        <f aca="false">IF(M287&gt;0,MAX(0,Catatan!$B$3-H287),0)</f>
        <v>0</v>
      </c>
      <c r="P287" s="39" t="str">
        <f aca="false">IF(M287&lt;=0,"Lunas",IF(Catatan!$B$3&lt;=H287,"Belum Jatuh Tempo",IF(O287&lt;=30,"1-30 hari",IF(O287&lt;=60,"31-60 hari",IF(O287&lt;=90,"61-90 hari","90+ hari")))))</f>
        <v>Lunas</v>
      </c>
      <c r="Q287" s="50"/>
      <c r="R287" s="39" t="str">
        <f aca="false">IF(M287&lt;=0,"",IF(O287&gt;60,"1-Tinggi",IF(O287&gt;30,"2-Sedang",IF(O287&gt;0,"3-Rendah","4-Pantau"))))</f>
        <v/>
      </c>
      <c r="S287" s="39" t="str">
        <f aca="false">IF(AND(M287&gt;0,O287&gt;0),O287+M287/1000000000000+ROW()/1000000000000000,"")</f>
        <v/>
      </c>
      <c r="T287" s="39" t="str">
        <f aca="false">IF(J287="Belum ditukar",ROW(),"")</f>
        <v/>
      </c>
    </row>
    <row r="288" customFormat="false" ht="15" hidden="false" customHeight="false" outlineLevel="0" collapsed="false">
      <c r="A288" s="50" t="s">
        <v>548</v>
      </c>
      <c r="B288" s="51" t="n">
        <v>45720</v>
      </c>
      <c r="C288" s="50" t="s">
        <v>213</v>
      </c>
      <c r="D288" s="39" t="str">
        <f aca="false">INDEX(Master_Customer!$B$2:$B$126,MATCH(C288,Master_Customer!$A$2:$A$126,0))</f>
        <v>ABADI AUTO MAKMUR</v>
      </c>
      <c r="E288" s="50" t="s">
        <v>32</v>
      </c>
      <c r="F288" s="52" t="n">
        <f aca="false">SUMIFS(Data_Penjualan!$G$2:$G$5998,Data_Penjualan!$A$2:$A$5998,A288)</f>
        <v>11258300</v>
      </c>
      <c r="G288" s="39" t="n">
        <f aca="false">IF(E288="KANTOR",0,INDEX(Master_Customer!$C$2:$C$126,MATCH(C288,Master_Customer!$A$2:$A$126,0)))</f>
        <v>0</v>
      </c>
      <c r="H288" s="53" t="n">
        <f aca="false">B288+G288</f>
        <v>45720</v>
      </c>
      <c r="J288" s="39" t="str">
        <f aca="false">IF(G288=0,"Tunai",IF(I288="","Belum ditukar","Sudah ditukar"))</f>
        <v>Tunai</v>
      </c>
      <c r="K288" s="54" t="n">
        <v>11258300</v>
      </c>
      <c r="L288" s="51" t="n">
        <v>45723</v>
      </c>
      <c r="M288" s="52" t="n">
        <f aca="false">F288-K288</f>
        <v>0</v>
      </c>
      <c r="N288" s="39" t="str">
        <f aca="false">IF(M288&lt;=0,"Lunas",IF(K288&gt;0,"Sebagian","Belum Bayar"))</f>
        <v>Lunas</v>
      </c>
      <c r="O288" s="39" t="n">
        <f aca="false">IF(M288&gt;0,MAX(0,Catatan!$B$3-H288),0)</f>
        <v>0</v>
      </c>
      <c r="P288" s="39" t="str">
        <f aca="false">IF(M288&lt;=0,"Lunas",IF(Catatan!$B$3&lt;=H288,"Belum Jatuh Tempo",IF(O288&lt;=30,"1-30 hari",IF(O288&lt;=60,"31-60 hari",IF(O288&lt;=90,"61-90 hari","90+ hari")))))</f>
        <v>Lunas</v>
      </c>
      <c r="Q288" s="50"/>
      <c r="R288" s="39" t="str">
        <f aca="false">IF(M288&lt;=0,"",IF(O288&gt;60,"1-Tinggi",IF(O288&gt;30,"2-Sedang",IF(O288&gt;0,"3-Rendah","4-Pantau"))))</f>
        <v/>
      </c>
      <c r="S288" s="39" t="str">
        <f aca="false">IF(AND(M288&gt;0,O288&gt;0),O288+M288/1000000000000+ROW()/1000000000000000,"")</f>
        <v/>
      </c>
      <c r="T288" s="39" t="str">
        <f aca="false">IF(J288="Belum ditukar",ROW(),"")</f>
        <v/>
      </c>
    </row>
    <row r="289" customFormat="false" ht="15" hidden="false" customHeight="false" outlineLevel="0" collapsed="false">
      <c r="A289" s="50" t="s">
        <v>549</v>
      </c>
      <c r="B289" s="51" t="n">
        <v>45720</v>
      </c>
      <c r="C289" s="50" t="s">
        <v>205</v>
      </c>
      <c r="D289" s="39" t="str">
        <f aca="false">INDEX(Master_Customer!$B$2:$B$126,MATCH(C289,Master_Customer!$A$2:$A$126,0))</f>
        <v>BERKAH OLI</v>
      </c>
      <c r="E289" s="50" t="s">
        <v>28</v>
      </c>
      <c r="F289" s="52" t="n">
        <f aca="false">SUMIFS(Data_Penjualan!$G$2:$G$5998,Data_Penjualan!$A$2:$A$5998,A289)</f>
        <v>24447200</v>
      </c>
      <c r="G289" s="39" t="n">
        <f aca="false">IF(E289="KANTOR",0,INDEX(Master_Customer!$C$2:$C$126,MATCH(C289,Master_Customer!$A$2:$A$126,0)))</f>
        <v>0</v>
      </c>
      <c r="H289" s="53" t="n">
        <f aca="false">B289+G289</f>
        <v>45720</v>
      </c>
      <c r="J289" s="39" t="str">
        <f aca="false">IF(G289=0,"Tunai",IF(I289="","Belum ditukar","Sudah ditukar"))</f>
        <v>Tunai</v>
      </c>
      <c r="K289" s="54" t="n">
        <v>24447200</v>
      </c>
      <c r="L289" s="51" t="n">
        <v>45720</v>
      </c>
      <c r="M289" s="52" t="n">
        <f aca="false">F289-K289</f>
        <v>0</v>
      </c>
      <c r="N289" s="39" t="str">
        <f aca="false">IF(M289&lt;=0,"Lunas",IF(K289&gt;0,"Sebagian","Belum Bayar"))</f>
        <v>Lunas</v>
      </c>
      <c r="O289" s="39" t="n">
        <f aca="false">IF(M289&gt;0,MAX(0,Catatan!$B$3-H289),0)</f>
        <v>0</v>
      </c>
      <c r="P289" s="39" t="str">
        <f aca="false">IF(M289&lt;=0,"Lunas",IF(Catatan!$B$3&lt;=H289,"Belum Jatuh Tempo",IF(O289&lt;=30,"1-30 hari",IF(O289&lt;=60,"31-60 hari",IF(O289&lt;=90,"61-90 hari","90+ hari")))))</f>
        <v>Lunas</v>
      </c>
      <c r="Q289" s="50"/>
      <c r="R289" s="39" t="str">
        <f aca="false">IF(M289&lt;=0,"",IF(O289&gt;60,"1-Tinggi",IF(O289&gt;30,"2-Sedang",IF(O289&gt;0,"3-Rendah","4-Pantau"))))</f>
        <v/>
      </c>
      <c r="S289" s="39" t="str">
        <f aca="false">IF(AND(M289&gt;0,O289&gt;0),O289+M289/1000000000000+ROW()/1000000000000000,"")</f>
        <v/>
      </c>
      <c r="T289" s="39" t="str">
        <f aca="false">IF(J289="Belum ditukar",ROW(),"")</f>
        <v/>
      </c>
    </row>
    <row r="290" customFormat="false" ht="15" hidden="false" customHeight="false" outlineLevel="0" collapsed="false">
      <c r="A290" s="50" t="s">
        <v>550</v>
      </c>
      <c r="B290" s="51" t="n">
        <v>45720</v>
      </c>
      <c r="C290" s="50" t="s">
        <v>298</v>
      </c>
      <c r="D290" s="39" t="str">
        <f aca="false">INDEX(Master_Customer!$B$2:$B$126,MATCH(C290,Master_Customer!$A$2:$A$126,0))</f>
        <v>BERKAH MOBIL MAKMUR</v>
      </c>
      <c r="E290" s="50" t="s">
        <v>32</v>
      </c>
      <c r="F290" s="52" t="n">
        <f aca="false">SUMIFS(Data_Penjualan!$G$2:$G$5998,Data_Penjualan!$A$2:$A$5998,A290)</f>
        <v>19647100</v>
      </c>
      <c r="G290" s="39" t="n">
        <f aca="false">IF(E290="KANTOR",0,INDEX(Master_Customer!$C$2:$C$126,MATCH(C290,Master_Customer!$A$2:$A$126,0)))</f>
        <v>0</v>
      </c>
      <c r="H290" s="53" t="n">
        <f aca="false">B290+G290</f>
        <v>45720</v>
      </c>
      <c r="J290" s="39" t="str">
        <f aca="false">IF(G290=0,"Tunai",IF(I290="","Belum ditukar","Sudah ditukar"))</f>
        <v>Tunai</v>
      </c>
      <c r="K290" s="54" t="n">
        <v>19647100</v>
      </c>
      <c r="L290" s="51" t="n">
        <v>45720</v>
      </c>
      <c r="M290" s="52" t="n">
        <f aca="false">F290-K290</f>
        <v>0</v>
      </c>
      <c r="N290" s="39" t="str">
        <f aca="false">IF(M290&lt;=0,"Lunas",IF(K290&gt;0,"Sebagian","Belum Bayar"))</f>
        <v>Lunas</v>
      </c>
      <c r="O290" s="39" t="n">
        <f aca="false">IF(M290&gt;0,MAX(0,Catatan!$B$3-H290),0)</f>
        <v>0</v>
      </c>
      <c r="P290" s="39" t="str">
        <f aca="false">IF(M290&lt;=0,"Lunas",IF(Catatan!$B$3&lt;=H290,"Belum Jatuh Tempo",IF(O290&lt;=30,"1-30 hari",IF(O290&lt;=60,"31-60 hari",IF(O290&lt;=90,"61-90 hari","90+ hari")))))</f>
        <v>Lunas</v>
      </c>
      <c r="Q290" s="50"/>
      <c r="R290" s="39" t="str">
        <f aca="false">IF(M290&lt;=0,"",IF(O290&gt;60,"1-Tinggi",IF(O290&gt;30,"2-Sedang",IF(O290&gt;0,"3-Rendah","4-Pantau"))))</f>
        <v/>
      </c>
      <c r="S290" s="39" t="str">
        <f aca="false">IF(AND(M290&gt;0,O290&gt;0),O290+M290/1000000000000+ROW()/1000000000000000,"")</f>
        <v/>
      </c>
      <c r="T290" s="39" t="str">
        <f aca="false">IF(J290="Belum ditukar",ROW(),"")</f>
        <v/>
      </c>
    </row>
    <row r="291" customFormat="false" ht="15" hidden="false" customHeight="false" outlineLevel="0" collapsed="false">
      <c r="A291" s="50" t="s">
        <v>551</v>
      </c>
      <c r="B291" s="51" t="n">
        <v>45720</v>
      </c>
      <c r="C291" s="50" t="s">
        <v>188</v>
      </c>
      <c r="D291" s="39" t="str">
        <f aca="false">INDEX(Master_Customer!$B$2:$B$126,MATCH(C291,Master_Customer!$A$2:$A$126,0))</f>
        <v>MAJU GARAGE TIRTA</v>
      </c>
      <c r="E291" s="50" t="s">
        <v>31</v>
      </c>
      <c r="F291" s="52" t="n">
        <f aca="false">SUMIFS(Data_Penjualan!$G$2:$G$5998,Data_Penjualan!$A$2:$A$5998,A291)</f>
        <v>3186500</v>
      </c>
      <c r="G291" s="39" t="n">
        <f aca="false">IF(E291="KANTOR",0,INDEX(Master_Customer!$C$2:$C$126,MATCH(C291,Master_Customer!$A$2:$A$126,0)))</f>
        <v>45</v>
      </c>
      <c r="H291" s="53" t="n">
        <f aca="false">B291+G291</f>
        <v>45765</v>
      </c>
      <c r="I291" s="51" t="n">
        <v>45724</v>
      </c>
      <c r="J291" s="39" t="str">
        <f aca="false">IF(G291=0,"Tunai",IF(I291="","Belum ditukar","Sudah ditukar"))</f>
        <v>Sudah ditukar</v>
      </c>
      <c r="K291" s="54" t="n">
        <v>3186500</v>
      </c>
      <c r="L291" s="51" t="n">
        <v>45765</v>
      </c>
      <c r="M291" s="52" t="n">
        <f aca="false">F291-K291</f>
        <v>0</v>
      </c>
      <c r="N291" s="39" t="str">
        <f aca="false">IF(M291&lt;=0,"Lunas",IF(K291&gt;0,"Sebagian","Belum Bayar"))</f>
        <v>Lunas</v>
      </c>
      <c r="O291" s="39" t="n">
        <f aca="false">IF(M291&gt;0,MAX(0,Catatan!$B$3-H291),0)</f>
        <v>0</v>
      </c>
      <c r="P291" s="39" t="str">
        <f aca="false">IF(M291&lt;=0,"Lunas",IF(Catatan!$B$3&lt;=H291,"Belum Jatuh Tempo",IF(O291&lt;=30,"1-30 hari",IF(O291&lt;=60,"31-60 hari",IF(O291&lt;=90,"61-90 hari","90+ hari")))))</f>
        <v>Lunas</v>
      </c>
      <c r="Q291" s="50"/>
      <c r="R291" s="39" t="str">
        <f aca="false">IF(M291&lt;=0,"",IF(O291&gt;60,"1-Tinggi",IF(O291&gt;30,"2-Sedang",IF(O291&gt;0,"3-Rendah","4-Pantau"))))</f>
        <v/>
      </c>
      <c r="S291" s="39" t="str">
        <f aca="false">IF(AND(M291&gt;0,O291&gt;0),O291+M291/1000000000000+ROW()/1000000000000000,"")</f>
        <v/>
      </c>
      <c r="T291" s="39" t="str">
        <f aca="false">IF(J291="Belum ditukar",ROW(),"")</f>
        <v/>
      </c>
    </row>
    <row r="292" customFormat="false" ht="15" hidden="false" customHeight="false" outlineLevel="0" collapsed="false">
      <c r="A292" s="50" t="s">
        <v>552</v>
      </c>
      <c r="B292" s="51" t="n">
        <v>45720</v>
      </c>
      <c r="C292" s="50" t="s">
        <v>199</v>
      </c>
      <c r="D292" s="39" t="str">
        <f aca="false">INDEX(Master_Customer!$B$2:$B$126,MATCH(C292,Master_Customer!$A$2:$A$126,0))</f>
        <v>KARYA SPAREPART</v>
      </c>
      <c r="E292" s="50" t="s">
        <v>29</v>
      </c>
      <c r="F292" s="52" t="n">
        <f aca="false">SUMIFS(Data_Penjualan!$G$2:$G$5998,Data_Penjualan!$A$2:$A$5998,A292)</f>
        <v>13318000</v>
      </c>
      <c r="G292" s="39" t="n">
        <f aca="false">IF(E292="KANTOR",0,INDEX(Master_Customer!$C$2:$C$126,MATCH(C292,Master_Customer!$A$2:$A$126,0)))</f>
        <v>45</v>
      </c>
      <c r="H292" s="53" t="n">
        <f aca="false">B292+G292</f>
        <v>45765</v>
      </c>
      <c r="I292" s="51" t="n">
        <v>45721</v>
      </c>
      <c r="J292" s="39" t="str">
        <f aca="false">IF(G292=0,"Tunai",IF(I292="","Belum ditukar","Sudah ditukar"))</f>
        <v>Sudah ditukar</v>
      </c>
      <c r="K292" s="54" t="n">
        <v>13318000</v>
      </c>
      <c r="L292" s="51" t="n">
        <v>45773</v>
      </c>
      <c r="M292" s="52" t="n">
        <f aca="false">F292-K292</f>
        <v>0</v>
      </c>
      <c r="N292" s="39" t="str">
        <f aca="false">IF(M292&lt;=0,"Lunas",IF(K292&gt;0,"Sebagian","Belum Bayar"))</f>
        <v>Lunas</v>
      </c>
      <c r="O292" s="39" t="n">
        <f aca="false">IF(M292&gt;0,MAX(0,Catatan!$B$3-H292),0)</f>
        <v>0</v>
      </c>
      <c r="P292" s="39" t="str">
        <f aca="false">IF(M292&lt;=0,"Lunas",IF(Catatan!$B$3&lt;=H292,"Belum Jatuh Tempo",IF(O292&lt;=30,"1-30 hari",IF(O292&lt;=60,"31-60 hari",IF(O292&lt;=90,"61-90 hari","90+ hari")))))</f>
        <v>Lunas</v>
      </c>
      <c r="Q292" s="50"/>
      <c r="R292" s="39" t="str">
        <f aca="false">IF(M292&lt;=0,"",IF(O292&gt;60,"1-Tinggi",IF(O292&gt;30,"2-Sedang",IF(O292&gt;0,"3-Rendah","4-Pantau"))))</f>
        <v/>
      </c>
      <c r="S292" s="39" t="str">
        <f aca="false">IF(AND(M292&gt;0,O292&gt;0),O292+M292/1000000000000+ROW()/1000000000000000,"")</f>
        <v/>
      </c>
      <c r="T292" s="39" t="str">
        <f aca="false">IF(J292="Belum ditukar",ROW(),"")</f>
        <v/>
      </c>
    </row>
    <row r="293" customFormat="false" ht="15" hidden="false" customHeight="false" outlineLevel="0" collapsed="false">
      <c r="A293" s="50" t="s">
        <v>553</v>
      </c>
      <c r="B293" s="51" t="n">
        <v>45720</v>
      </c>
      <c r="C293" s="50" t="s">
        <v>430</v>
      </c>
      <c r="D293" s="39" t="str">
        <f aca="false">INDEX(Master_Customer!$B$2:$B$126,MATCH(C293,Master_Customer!$A$2:$A$126,0))</f>
        <v>TIRTA MOBIL</v>
      </c>
      <c r="E293" s="50" t="s">
        <v>28</v>
      </c>
      <c r="F293" s="52" t="n">
        <f aca="false">SUMIFS(Data_Penjualan!$G$2:$G$5998,Data_Penjualan!$A$2:$A$5998,A293)</f>
        <v>28663200</v>
      </c>
      <c r="G293" s="39" t="n">
        <f aca="false">IF(E293="KANTOR",0,INDEX(Master_Customer!$C$2:$C$126,MATCH(C293,Master_Customer!$A$2:$A$126,0)))</f>
        <v>30</v>
      </c>
      <c r="H293" s="53" t="n">
        <f aca="false">B293+G293</f>
        <v>45750</v>
      </c>
      <c r="I293" s="51" t="n">
        <v>45723</v>
      </c>
      <c r="J293" s="39" t="str">
        <f aca="false">IF(G293=0,"Tunai",IF(I293="","Belum ditukar","Sudah ditukar"))</f>
        <v>Sudah ditukar</v>
      </c>
      <c r="K293" s="54" t="n">
        <v>28663200</v>
      </c>
      <c r="L293" s="51" t="n">
        <v>45750</v>
      </c>
      <c r="M293" s="52" t="n">
        <f aca="false">F293-K293</f>
        <v>0</v>
      </c>
      <c r="N293" s="39" t="str">
        <f aca="false">IF(M293&lt;=0,"Lunas",IF(K293&gt;0,"Sebagian","Belum Bayar"))</f>
        <v>Lunas</v>
      </c>
      <c r="O293" s="39" t="n">
        <f aca="false">IF(M293&gt;0,MAX(0,Catatan!$B$3-H293),0)</f>
        <v>0</v>
      </c>
      <c r="P293" s="39" t="str">
        <f aca="false">IF(M293&lt;=0,"Lunas",IF(Catatan!$B$3&lt;=H293,"Belum Jatuh Tempo",IF(O293&lt;=30,"1-30 hari",IF(O293&lt;=60,"31-60 hari",IF(O293&lt;=90,"61-90 hari","90+ hari")))))</f>
        <v>Lunas</v>
      </c>
      <c r="Q293" s="50"/>
      <c r="R293" s="39" t="str">
        <f aca="false">IF(M293&lt;=0,"",IF(O293&gt;60,"1-Tinggi",IF(O293&gt;30,"2-Sedang",IF(O293&gt;0,"3-Rendah","4-Pantau"))))</f>
        <v/>
      </c>
      <c r="S293" s="39" t="str">
        <f aca="false">IF(AND(M293&gt;0,O293&gt;0),O293+M293/1000000000000+ROW()/1000000000000000,"")</f>
        <v/>
      </c>
      <c r="T293" s="39" t="str">
        <f aca="false">IF(J293="Belum ditukar",ROW(),"")</f>
        <v/>
      </c>
    </row>
    <row r="294" customFormat="false" ht="15" hidden="false" customHeight="false" outlineLevel="0" collapsed="false">
      <c r="A294" s="50" t="s">
        <v>554</v>
      </c>
      <c r="B294" s="51" t="n">
        <v>45720</v>
      </c>
      <c r="C294" s="50" t="s">
        <v>174</v>
      </c>
      <c r="D294" s="39" t="str">
        <f aca="false">INDEX(Master_Customer!$B$2:$B$126,MATCH(C294,Master_Customer!$A$2:$A$126,0))</f>
        <v>SUMBER TEKNIK SURYA</v>
      </c>
      <c r="E294" s="50" t="s">
        <v>31</v>
      </c>
      <c r="F294" s="52" t="n">
        <f aca="false">SUMIFS(Data_Penjualan!$G$2:$G$5998,Data_Penjualan!$A$2:$A$5998,A294)</f>
        <v>7737600</v>
      </c>
      <c r="G294" s="39" t="n">
        <f aca="false">IF(E294="KANTOR",0,INDEX(Master_Customer!$C$2:$C$126,MATCH(C294,Master_Customer!$A$2:$A$126,0)))</f>
        <v>30</v>
      </c>
      <c r="H294" s="53" t="n">
        <f aca="false">B294+G294</f>
        <v>45750</v>
      </c>
      <c r="I294" s="51" t="n">
        <v>45725</v>
      </c>
      <c r="J294" s="39" t="str">
        <f aca="false">IF(G294=0,"Tunai",IF(I294="","Belum ditukar","Sudah ditukar"))</f>
        <v>Sudah ditukar</v>
      </c>
      <c r="K294" s="54" t="n">
        <v>7737600</v>
      </c>
      <c r="L294" s="51" t="n">
        <v>45759</v>
      </c>
      <c r="M294" s="52" t="n">
        <f aca="false">F294-K294</f>
        <v>0</v>
      </c>
      <c r="N294" s="39" t="str">
        <f aca="false">IF(M294&lt;=0,"Lunas",IF(K294&gt;0,"Sebagian","Belum Bayar"))</f>
        <v>Lunas</v>
      </c>
      <c r="O294" s="39" t="n">
        <f aca="false">IF(M294&gt;0,MAX(0,Catatan!$B$3-H294),0)</f>
        <v>0</v>
      </c>
      <c r="P294" s="39" t="str">
        <f aca="false">IF(M294&lt;=0,"Lunas",IF(Catatan!$B$3&lt;=H294,"Belum Jatuh Tempo",IF(O294&lt;=30,"1-30 hari",IF(O294&lt;=60,"31-60 hari",IF(O294&lt;=90,"61-90 hari","90+ hari")))))</f>
        <v>Lunas</v>
      </c>
      <c r="Q294" s="50"/>
      <c r="R294" s="39" t="str">
        <f aca="false">IF(M294&lt;=0,"",IF(O294&gt;60,"1-Tinggi",IF(O294&gt;30,"2-Sedang",IF(O294&gt;0,"3-Rendah","4-Pantau"))))</f>
        <v/>
      </c>
      <c r="S294" s="39" t="str">
        <f aca="false">IF(AND(M294&gt;0,O294&gt;0),O294+M294/1000000000000+ROW()/1000000000000000,"")</f>
        <v/>
      </c>
      <c r="T294" s="39" t="str">
        <f aca="false">IF(J294="Belum ditukar",ROW(),"")</f>
        <v/>
      </c>
    </row>
    <row r="295" customFormat="false" ht="15" hidden="false" customHeight="false" outlineLevel="0" collapsed="false">
      <c r="A295" s="50" t="s">
        <v>555</v>
      </c>
      <c r="B295" s="51" t="n">
        <v>45721</v>
      </c>
      <c r="C295" s="50" t="s">
        <v>284</v>
      </c>
      <c r="D295" s="39" t="str">
        <f aca="false">INDEX(Master_Customer!$B$2:$B$126,MATCH(C295,Master_Customer!$A$2:$A$126,0))</f>
        <v>CAHAYA SPAREPART</v>
      </c>
      <c r="E295" s="50" t="s">
        <v>29</v>
      </c>
      <c r="F295" s="52" t="n">
        <f aca="false">SUMIFS(Data_Penjualan!$G$2:$G$5998,Data_Penjualan!$A$2:$A$5998,A295)</f>
        <v>13875500</v>
      </c>
      <c r="G295" s="39" t="n">
        <f aca="false">IF(E295="KANTOR",0,INDEX(Master_Customer!$C$2:$C$126,MATCH(C295,Master_Customer!$A$2:$A$126,0)))</f>
        <v>14</v>
      </c>
      <c r="H295" s="53" t="n">
        <f aca="false">B295+G295</f>
        <v>45735</v>
      </c>
      <c r="I295" s="51" t="n">
        <v>45724</v>
      </c>
      <c r="J295" s="39" t="str">
        <f aca="false">IF(G295=0,"Tunai",IF(I295="","Belum ditukar","Sudah ditukar"))</f>
        <v>Sudah ditukar</v>
      </c>
      <c r="K295" s="54" t="n">
        <v>13875500</v>
      </c>
      <c r="L295" s="51" t="n">
        <v>45745</v>
      </c>
      <c r="M295" s="52" t="n">
        <f aca="false">F295-K295</f>
        <v>0</v>
      </c>
      <c r="N295" s="39" t="str">
        <f aca="false">IF(M295&lt;=0,"Lunas",IF(K295&gt;0,"Sebagian","Belum Bayar"))</f>
        <v>Lunas</v>
      </c>
      <c r="O295" s="39" t="n">
        <f aca="false">IF(M295&gt;0,MAX(0,Catatan!$B$3-H295),0)</f>
        <v>0</v>
      </c>
      <c r="P295" s="39" t="str">
        <f aca="false">IF(M295&lt;=0,"Lunas",IF(Catatan!$B$3&lt;=H295,"Belum Jatuh Tempo",IF(O295&lt;=30,"1-30 hari",IF(O295&lt;=60,"31-60 hari",IF(O295&lt;=90,"61-90 hari","90+ hari")))))</f>
        <v>Lunas</v>
      </c>
      <c r="Q295" s="50"/>
      <c r="R295" s="39" t="str">
        <f aca="false">IF(M295&lt;=0,"",IF(O295&gt;60,"1-Tinggi",IF(O295&gt;30,"2-Sedang",IF(O295&gt;0,"3-Rendah","4-Pantau"))))</f>
        <v/>
      </c>
      <c r="S295" s="39" t="str">
        <f aca="false">IF(AND(M295&gt;0,O295&gt;0),O295+M295/1000000000000+ROW()/1000000000000000,"")</f>
        <v/>
      </c>
      <c r="T295" s="39" t="str">
        <f aca="false">IF(J295="Belum ditukar",ROW(),"")</f>
        <v/>
      </c>
    </row>
    <row r="296" customFormat="false" ht="15" hidden="false" customHeight="false" outlineLevel="0" collapsed="false">
      <c r="A296" s="50" t="s">
        <v>556</v>
      </c>
      <c r="B296" s="51" t="n">
        <v>45721</v>
      </c>
      <c r="C296" s="50" t="s">
        <v>166</v>
      </c>
      <c r="D296" s="39" t="str">
        <f aca="false">INDEX(Master_Customer!$B$2:$B$126,MATCH(C296,Master_Customer!$A$2:$A$126,0))</f>
        <v>SENTOSA SERVICE</v>
      </c>
      <c r="E296" s="50" t="s">
        <v>30</v>
      </c>
      <c r="F296" s="52" t="n">
        <f aca="false">SUMIFS(Data_Penjualan!$G$2:$G$5998,Data_Penjualan!$A$2:$A$5998,A296)</f>
        <v>8192000</v>
      </c>
      <c r="G296" s="39" t="n">
        <f aca="false">IF(E296="KANTOR",0,INDEX(Master_Customer!$C$2:$C$126,MATCH(C296,Master_Customer!$A$2:$A$126,0)))</f>
        <v>0</v>
      </c>
      <c r="H296" s="53" t="n">
        <f aca="false">B296+G296</f>
        <v>45721</v>
      </c>
      <c r="J296" s="39" t="str">
        <f aca="false">IF(G296=0,"Tunai",IF(I296="","Belum ditukar","Sudah ditukar"))</f>
        <v>Tunai</v>
      </c>
      <c r="K296" s="54" t="n">
        <v>8192000</v>
      </c>
      <c r="L296" s="51" t="n">
        <v>45721</v>
      </c>
      <c r="M296" s="52" t="n">
        <f aca="false">F296-K296</f>
        <v>0</v>
      </c>
      <c r="N296" s="39" t="str">
        <f aca="false">IF(M296&lt;=0,"Lunas",IF(K296&gt;0,"Sebagian","Belum Bayar"))</f>
        <v>Lunas</v>
      </c>
      <c r="O296" s="39" t="n">
        <f aca="false">IF(M296&gt;0,MAX(0,Catatan!$B$3-H296),0)</f>
        <v>0</v>
      </c>
      <c r="P296" s="39" t="str">
        <f aca="false">IF(M296&lt;=0,"Lunas",IF(Catatan!$B$3&lt;=H296,"Belum Jatuh Tempo",IF(O296&lt;=30,"1-30 hari",IF(O296&lt;=60,"31-60 hari",IF(O296&lt;=90,"61-90 hari","90+ hari")))))</f>
        <v>Lunas</v>
      </c>
      <c r="Q296" s="50"/>
      <c r="R296" s="39" t="str">
        <f aca="false">IF(M296&lt;=0,"",IF(O296&gt;60,"1-Tinggi",IF(O296&gt;30,"2-Sedang",IF(O296&gt;0,"3-Rendah","4-Pantau"))))</f>
        <v/>
      </c>
      <c r="S296" s="39" t="str">
        <f aca="false">IF(AND(M296&gt;0,O296&gt;0),O296+M296/1000000000000+ROW()/1000000000000000,"")</f>
        <v/>
      </c>
      <c r="T296" s="39" t="str">
        <f aca="false">IF(J296="Belum ditukar",ROW(),"")</f>
        <v/>
      </c>
    </row>
    <row r="297" customFormat="false" ht="15" hidden="false" customHeight="false" outlineLevel="0" collapsed="false">
      <c r="A297" s="50" t="s">
        <v>557</v>
      </c>
      <c r="B297" s="51" t="n">
        <v>45722</v>
      </c>
      <c r="C297" s="50" t="s">
        <v>199</v>
      </c>
      <c r="D297" s="39" t="str">
        <f aca="false">INDEX(Master_Customer!$B$2:$B$126,MATCH(C297,Master_Customer!$A$2:$A$126,0))</f>
        <v>KARYA SPAREPART</v>
      </c>
      <c r="E297" s="50" t="s">
        <v>29</v>
      </c>
      <c r="F297" s="52" t="n">
        <f aca="false">SUMIFS(Data_Penjualan!$G$2:$G$5998,Data_Penjualan!$A$2:$A$5998,A297)</f>
        <v>12863700</v>
      </c>
      <c r="G297" s="39" t="n">
        <f aca="false">IF(E297="KANTOR",0,INDEX(Master_Customer!$C$2:$C$126,MATCH(C297,Master_Customer!$A$2:$A$126,0)))</f>
        <v>45</v>
      </c>
      <c r="H297" s="53" t="n">
        <f aca="false">B297+G297</f>
        <v>45767</v>
      </c>
      <c r="I297" s="51" t="n">
        <v>45727</v>
      </c>
      <c r="J297" s="39" t="str">
        <f aca="false">IF(G297=0,"Tunai",IF(I297="","Belum ditukar","Sudah ditukar"))</f>
        <v>Sudah ditukar</v>
      </c>
      <c r="K297" s="54" t="n">
        <v>12863700</v>
      </c>
      <c r="L297" s="51" t="n">
        <v>45766</v>
      </c>
      <c r="M297" s="52" t="n">
        <f aca="false">F297-K297</f>
        <v>0</v>
      </c>
      <c r="N297" s="39" t="str">
        <f aca="false">IF(M297&lt;=0,"Lunas",IF(K297&gt;0,"Sebagian","Belum Bayar"))</f>
        <v>Lunas</v>
      </c>
      <c r="O297" s="39" t="n">
        <f aca="false">IF(M297&gt;0,MAX(0,Catatan!$B$3-H297),0)</f>
        <v>0</v>
      </c>
      <c r="P297" s="39" t="str">
        <f aca="false">IF(M297&lt;=0,"Lunas",IF(Catatan!$B$3&lt;=H297,"Belum Jatuh Tempo",IF(O297&lt;=30,"1-30 hari",IF(O297&lt;=60,"31-60 hari",IF(O297&lt;=90,"61-90 hari","90+ hari")))))</f>
        <v>Lunas</v>
      </c>
      <c r="Q297" s="50"/>
      <c r="R297" s="39" t="str">
        <f aca="false">IF(M297&lt;=0,"",IF(O297&gt;60,"1-Tinggi",IF(O297&gt;30,"2-Sedang",IF(O297&gt;0,"3-Rendah","4-Pantau"))))</f>
        <v/>
      </c>
      <c r="S297" s="39" t="str">
        <f aca="false">IF(AND(M297&gt;0,O297&gt;0),O297+M297/1000000000000+ROW()/1000000000000000,"")</f>
        <v/>
      </c>
      <c r="T297" s="39" t="str">
        <f aca="false">IF(J297="Belum ditukar",ROW(),"")</f>
        <v/>
      </c>
    </row>
    <row r="298" customFormat="false" ht="15" hidden="false" customHeight="false" outlineLevel="0" collapsed="false">
      <c r="A298" s="50" t="s">
        <v>558</v>
      </c>
      <c r="B298" s="51" t="n">
        <v>45723</v>
      </c>
      <c r="C298" s="50" t="s">
        <v>416</v>
      </c>
      <c r="D298" s="39" t="str">
        <f aca="false">INDEX(Master_Customer!$B$2:$B$126,MATCH(C298,Master_Customer!$A$2:$A$126,0))</f>
        <v>KARYA SERVICE</v>
      </c>
      <c r="E298" s="50" t="s">
        <v>30</v>
      </c>
      <c r="F298" s="52" t="n">
        <f aca="false">SUMIFS(Data_Penjualan!$G$2:$G$5998,Data_Penjualan!$A$2:$A$5998,A298)</f>
        <v>17066500</v>
      </c>
      <c r="G298" s="39" t="n">
        <f aca="false">IF(E298="KANTOR",0,INDEX(Master_Customer!$C$2:$C$126,MATCH(C298,Master_Customer!$A$2:$A$126,0)))</f>
        <v>0</v>
      </c>
      <c r="H298" s="53" t="n">
        <f aca="false">B298+G298</f>
        <v>45723</v>
      </c>
      <c r="J298" s="39" t="str">
        <f aca="false">IF(G298=0,"Tunai",IF(I298="","Belum ditukar","Sudah ditukar"))</f>
        <v>Tunai</v>
      </c>
      <c r="K298" s="54" t="n">
        <v>17066500</v>
      </c>
      <c r="L298" s="51" t="n">
        <v>45737</v>
      </c>
      <c r="M298" s="52" t="n">
        <f aca="false">F298-K298</f>
        <v>0</v>
      </c>
      <c r="N298" s="39" t="str">
        <f aca="false">IF(M298&lt;=0,"Lunas",IF(K298&gt;0,"Sebagian","Belum Bayar"))</f>
        <v>Lunas</v>
      </c>
      <c r="O298" s="39" t="n">
        <f aca="false">IF(M298&gt;0,MAX(0,Catatan!$B$3-H298),0)</f>
        <v>0</v>
      </c>
      <c r="P298" s="39" t="str">
        <f aca="false">IF(M298&lt;=0,"Lunas",IF(Catatan!$B$3&lt;=H298,"Belum Jatuh Tempo",IF(O298&lt;=30,"1-30 hari",IF(O298&lt;=60,"31-60 hari",IF(O298&lt;=90,"61-90 hari","90+ hari")))))</f>
        <v>Lunas</v>
      </c>
      <c r="Q298" s="50"/>
      <c r="R298" s="39" t="str">
        <f aca="false">IF(M298&lt;=0,"",IF(O298&gt;60,"1-Tinggi",IF(O298&gt;30,"2-Sedang",IF(O298&gt;0,"3-Rendah","4-Pantau"))))</f>
        <v/>
      </c>
      <c r="S298" s="39" t="str">
        <f aca="false">IF(AND(M298&gt;0,O298&gt;0),O298+M298/1000000000000+ROW()/1000000000000000,"")</f>
        <v/>
      </c>
      <c r="T298" s="39" t="str">
        <f aca="false">IF(J298="Belum ditukar",ROW(),"")</f>
        <v/>
      </c>
    </row>
    <row r="299" customFormat="false" ht="15" hidden="false" customHeight="false" outlineLevel="0" collapsed="false">
      <c r="A299" s="50" t="s">
        <v>559</v>
      </c>
      <c r="B299" s="51" t="n">
        <v>45723</v>
      </c>
      <c r="C299" s="50" t="s">
        <v>560</v>
      </c>
      <c r="D299" s="39" t="str">
        <f aca="false">INDEX(Master_Customer!$B$2:$B$126,MATCH(C299,Master_Customer!$A$2:$A$126,0))</f>
        <v>UTAMA TEKNIK MITRA</v>
      </c>
      <c r="E299" s="50" t="s">
        <v>30</v>
      </c>
      <c r="F299" s="52" t="n">
        <f aca="false">SUMIFS(Data_Penjualan!$G$2:$G$5998,Data_Penjualan!$A$2:$A$5998,A299)</f>
        <v>18051800</v>
      </c>
      <c r="G299" s="39" t="n">
        <f aca="false">IF(E299="KANTOR",0,INDEX(Master_Customer!$C$2:$C$126,MATCH(C299,Master_Customer!$A$2:$A$126,0)))</f>
        <v>30</v>
      </c>
      <c r="H299" s="53" t="n">
        <f aca="false">B299+G299</f>
        <v>45753</v>
      </c>
      <c r="I299" s="51" t="n">
        <v>45726</v>
      </c>
      <c r="J299" s="39" t="str">
        <f aca="false">IF(G299=0,"Tunai",IF(I299="","Belum ditukar","Sudah ditukar"))</f>
        <v>Sudah ditukar</v>
      </c>
      <c r="K299" s="54" t="n">
        <v>18051800</v>
      </c>
      <c r="L299" s="51" t="n">
        <v>45745</v>
      </c>
      <c r="M299" s="52" t="n">
        <f aca="false">F299-K299</f>
        <v>0</v>
      </c>
      <c r="N299" s="39" t="str">
        <f aca="false">IF(M299&lt;=0,"Lunas",IF(K299&gt;0,"Sebagian","Belum Bayar"))</f>
        <v>Lunas</v>
      </c>
      <c r="O299" s="39" t="n">
        <f aca="false">IF(M299&gt;0,MAX(0,Catatan!$B$3-H299),0)</f>
        <v>0</v>
      </c>
      <c r="P299" s="39" t="str">
        <f aca="false">IF(M299&lt;=0,"Lunas",IF(Catatan!$B$3&lt;=H299,"Belum Jatuh Tempo",IF(O299&lt;=30,"1-30 hari",IF(O299&lt;=60,"31-60 hari",IF(O299&lt;=90,"61-90 hari","90+ hari")))))</f>
        <v>Lunas</v>
      </c>
      <c r="Q299" s="50"/>
      <c r="R299" s="39" t="str">
        <f aca="false">IF(M299&lt;=0,"",IF(O299&gt;60,"1-Tinggi",IF(O299&gt;30,"2-Sedang",IF(O299&gt;0,"3-Rendah","4-Pantau"))))</f>
        <v/>
      </c>
      <c r="S299" s="39" t="str">
        <f aca="false">IF(AND(M299&gt;0,O299&gt;0),O299+M299/1000000000000+ROW()/1000000000000000,"")</f>
        <v/>
      </c>
      <c r="T299" s="39" t="str">
        <f aca="false">IF(J299="Belum ditukar",ROW(),"")</f>
        <v/>
      </c>
    </row>
    <row r="300" customFormat="false" ht="15" hidden="false" customHeight="false" outlineLevel="0" collapsed="false">
      <c r="A300" s="50" t="s">
        <v>561</v>
      </c>
      <c r="B300" s="51" t="n">
        <v>45723</v>
      </c>
      <c r="C300" s="50" t="s">
        <v>562</v>
      </c>
      <c r="D300" s="39" t="str">
        <f aca="false">INDEX(Master_Customer!$B$2:$B$126,MATCH(C300,Master_Customer!$A$2:$A$126,0))</f>
        <v>BERKAH SERVICE SENTOSA</v>
      </c>
      <c r="E300" s="50" t="s">
        <v>32</v>
      </c>
      <c r="F300" s="52" t="n">
        <f aca="false">SUMIFS(Data_Penjualan!$G$2:$G$5998,Data_Penjualan!$A$2:$A$5998,A300)</f>
        <v>17245100</v>
      </c>
      <c r="G300" s="39" t="n">
        <f aca="false">IF(E300="KANTOR",0,INDEX(Master_Customer!$C$2:$C$126,MATCH(C300,Master_Customer!$A$2:$A$126,0)))</f>
        <v>0</v>
      </c>
      <c r="H300" s="53" t="n">
        <f aca="false">B300+G300</f>
        <v>45723</v>
      </c>
      <c r="J300" s="39" t="str">
        <f aca="false">IF(G300=0,"Tunai",IF(I300="","Belum ditukar","Sudah ditukar"))</f>
        <v>Tunai</v>
      </c>
      <c r="K300" s="54" t="n">
        <v>17245100</v>
      </c>
      <c r="L300" s="51" t="n">
        <v>45724</v>
      </c>
      <c r="M300" s="52" t="n">
        <f aca="false">F300-K300</f>
        <v>0</v>
      </c>
      <c r="N300" s="39" t="str">
        <f aca="false">IF(M300&lt;=0,"Lunas",IF(K300&gt;0,"Sebagian","Belum Bayar"))</f>
        <v>Lunas</v>
      </c>
      <c r="O300" s="39" t="n">
        <f aca="false">IF(M300&gt;0,MAX(0,Catatan!$B$3-H300),0)</f>
        <v>0</v>
      </c>
      <c r="P300" s="39" t="str">
        <f aca="false">IF(M300&lt;=0,"Lunas",IF(Catatan!$B$3&lt;=H300,"Belum Jatuh Tempo",IF(O300&lt;=30,"1-30 hari",IF(O300&lt;=60,"31-60 hari",IF(O300&lt;=90,"61-90 hari","90+ hari")))))</f>
        <v>Lunas</v>
      </c>
      <c r="Q300" s="50"/>
      <c r="R300" s="39" t="str">
        <f aca="false">IF(M300&lt;=0,"",IF(O300&gt;60,"1-Tinggi",IF(O300&gt;30,"2-Sedang",IF(O300&gt;0,"3-Rendah","4-Pantau"))))</f>
        <v/>
      </c>
      <c r="S300" s="39" t="str">
        <f aca="false">IF(AND(M300&gt;0,O300&gt;0),O300+M300/1000000000000+ROW()/1000000000000000,"")</f>
        <v/>
      </c>
      <c r="T300" s="39" t="str">
        <f aca="false">IF(J300="Belum ditukar",ROW(),"")</f>
        <v/>
      </c>
    </row>
    <row r="301" customFormat="false" ht="15" hidden="false" customHeight="false" outlineLevel="0" collapsed="false">
      <c r="A301" s="50" t="s">
        <v>563</v>
      </c>
      <c r="B301" s="51" t="n">
        <v>45723</v>
      </c>
      <c r="C301" s="50" t="s">
        <v>188</v>
      </c>
      <c r="D301" s="39" t="str">
        <f aca="false">INDEX(Master_Customer!$B$2:$B$126,MATCH(C301,Master_Customer!$A$2:$A$126,0))</f>
        <v>MAJU GARAGE TIRTA</v>
      </c>
      <c r="E301" s="50" t="s">
        <v>31</v>
      </c>
      <c r="F301" s="52" t="n">
        <f aca="false">SUMIFS(Data_Penjualan!$G$2:$G$5998,Data_Penjualan!$A$2:$A$5998,A301)</f>
        <v>14390200</v>
      </c>
      <c r="G301" s="39" t="n">
        <f aca="false">IF(E301="KANTOR",0,INDEX(Master_Customer!$C$2:$C$126,MATCH(C301,Master_Customer!$A$2:$A$126,0)))</f>
        <v>45</v>
      </c>
      <c r="H301" s="53" t="n">
        <f aca="false">B301+G301</f>
        <v>45768</v>
      </c>
      <c r="I301" s="51" t="n">
        <v>45724</v>
      </c>
      <c r="J301" s="39" t="str">
        <f aca="false">IF(G301=0,"Tunai",IF(I301="","Belum ditukar","Sudah ditukar"))</f>
        <v>Sudah ditukar</v>
      </c>
      <c r="K301" s="54" t="n">
        <v>14390200</v>
      </c>
      <c r="L301" s="51" t="n">
        <v>45766</v>
      </c>
      <c r="M301" s="52" t="n">
        <f aca="false">F301-K301</f>
        <v>0</v>
      </c>
      <c r="N301" s="39" t="str">
        <f aca="false">IF(M301&lt;=0,"Lunas",IF(K301&gt;0,"Sebagian","Belum Bayar"))</f>
        <v>Lunas</v>
      </c>
      <c r="O301" s="39" t="n">
        <f aca="false">IF(M301&gt;0,MAX(0,Catatan!$B$3-H301),0)</f>
        <v>0</v>
      </c>
      <c r="P301" s="39" t="str">
        <f aca="false">IF(M301&lt;=0,"Lunas",IF(Catatan!$B$3&lt;=H301,"Belum Jatuh Tempo",IF(O301&lt;=30,"1-30 hari",IF(O301&lt;=60,"31-60 hari",IF(O301&lt;=90,"61-90 hari","90+ hari")))))</f>
        <v>Lunas</v>
      </c>
      <c r="Q301" s="50"/>
      <c r="R301" s="39" t="str">
        <f aca="false">IF(M301&lt;=0,"",IF(O301&gt;60,"1-Tinggi",IF(O301&gt;30,"2-Sedang",IF(O301&gt;0,"3-Rendah","4-Pantau"))))</f>
        <v/>
      </c>
      <c r="S301" s="39" t="str">
        <f aca="false">IF(AND(M301&gt;0,O301&gt;0),O301+M301/1000000000000+ROW()/1000000000000000,"")</f>
        <v/>
      </c>
      <c r="T301" s="39" t="str">
        <f aca="false">IF(J301="Belum ditukar",ROW(),"")</f>
        <v/>
      </c>
    </row>
    <row r="302" customFormat="false" ht="15" hidden="false" customHeight="false" outlineLevel="0" collapsed="false">
      <c r="A302" s="50" t="s">
        <v>564</v>
      </c>
      <c r="B302" s="51" t="n">
        <v>45723</v>
      </c>
      <c r="C302" s="50" t="s">
        <v>174</v>
      </c>
      <c r="D302" s="39" t="str">
        <f aca="false">INDEX(Master_Customer!$B$2:$B$126,MATCH(C302,Master_Customer!$A$2:$A$126,0))</f>
        <v>SUMBER TEKNIK SURYA</v>
      </c>
      <c r="E302" s="50" t="s">
        <v>31</v>
      </c>
      <c r="F302" s="52" t="n">
        <f aca="false">SUMIFS(Data_Penjualan!$G$2:$G$5998,Data_Penjualan!$A$2:$A$5998,A302)</f>
        <v>13359900</v>
      </c>
      <c r="G302" s="39" t="n">
        <f aca="false">IF(E302="KANTOR",0,INDEX(Master_Customer!$C$2:$C$126,MATCH(C302,Master_Customer!$A$2:$A$126,0)))</f>
        <v>30</v>
      </c>
      <c r="H302" s="53" t="n">
        <f aca="false">B302+G302</f>
        <v>45753</v>
      </c>
      <c r="I302" s="51" t="n">
        <v>45728</v>
      </c>
      <c r="J302" s="39" t="str">
        <f aca="false">IF(G302=0,"Tunai",IF(I302="","Belum ditukar","Sudah ditukar"))</f>
        <v>Sudah ditukar</v>
      </c>
      <c r="K302" s="54" t="n">
        <v>13359900</v>
      </c>
      <c r="L302" s="51" t="n">
        <v>45753</v>
      </c>
      <c r="M302" s="52" t="n">
        <f aca="false">F302-K302</f>
        <v>0</v>
      </c>
      <c r="N302" s="39" t="str">
        <f aca="false">IF(M302&lt;=0,"Lunas",IF(K302&gt;0,"Sebagian","Belum Bayar"))</f>
        <v>Lunas</v>
      </c>
      <c r="O302" s="39" t="n">
        <f aca="false">IF(M302&gt;0,MAX(0,Catatan!$B$3-H302),0)</f>
        <v>0</v>
      </c>
      <c r="P302" s="39" t="str">
        <f aca="false">IF(M302&lt;=0,"Lunas",IF(Catatan!$B$3&lt;=H302,"Belum Jatuh Tempo",IF(O302&lt;=30,"1-30 hari",IF(O302&lt;=60,"31-60 hari",IF(O302&lt;=90,"61-90 hari","90+ hari")))))</f>
        <v>Lunas</v>
      </c>
      <c r="Q302" s="50"/>
      <c r="R302" s="39" t="str">
        <f aca="false">IF(M302&lt;=0,"",IF(O302&gt;60,"1-Tinggi",IF(O302&gt;30,"2-Sedang",IF(O302&gt;0,"3-Rendah","4-Pantau"))))</f>
        <v/>
      </c>
      <c r="S302" s="39" t="str">
        <f aca="false">IF(AND(M302&gt;0,O302&gt;0),O302+M302/1000000000000+ROW()/1000000000000000,"")</f>
        <v/>
      </c>
      <c r="T302" s="39" t="str">
        <f aca="false">IF(J302="Belum ditukar",ROW(),"")</f>
        <v/>
      </c>
    </row>
    <row r="303" customFormat="false" ht="15" hidden="false" customHeight="false" outlineLevel="0" collapsed="false">
      <c r="A303" s="50" t="s">
        <v>565</v>
      </c>
      <c r="B303" s="51" t="n">
        <v>45723</v>
      </c>
      <c r="C303" s="50" t="s">
        <v>566</v>
      </c>
      <c r="D303" s="39" t="str">
        <f aca="false">INDEX(Master_Customer!$B$2:$B$126,MATCH(C303,Master_Customer!$A$2:$A$126,0))</f>
        <v>UTAMA OLI SUMBER</v>
      </c>
      <c r="E303" s="50" t="s">
        <v>28</v>
      </c>
      <c r="F303" s="52" t="n">
        <f aca="false">SUMIFS(Data_Penjualan!$G$2:$G$5998,Data_Penjualan!$A$2:$A$5998,A303)</f>
        <v>10512000</v>
      </c>
      <c r="G303" s="39" t="n">
        <f aca="false">IF(E303="KANTOR",0,INDEX(Master_Customer!$C$2:$C$126,MATCH(C303,Master_Customer!$A$2:$A$126,0)))</f>
        <v>14</v>
      </c>
      <c r="H303" s="53" t="n">
        <f aca="false">B303+G303</f>
        <v>45737</v>
      </c>
      <c r="I303" s="51" t="n">
        <v>45725</v>
      </c>
      <c r="J303" s="39" t="str">
        <f aca="false">IF(G303=0,"Tunai",IF(I303="","Belum ditukar","Sudah ditukar"))</f>
        <v>Sudah ditukar</v>
      </c>
      <c r="K303" s="54" t="n">
        <v>10512000</v>
      </c>
      <c r="L303" s="51" t="n">
        <v>45743</v>
      </c>
      <c r="M303" s="52" t="n">
        <f aca="false">F303-K303</f>
        <v>0</v>
      </c>
      <c r="N303" s="39" t="str">
        <f aca="false">IF(M303&lt;=0,"Lunas",IF(K303&gt;0,"Sebagian","Belum Bayar"))</f>
        <v>Lunas</v>
      </c>
      <c r="O303" s="39" t="n">
        <f aca="false">IF(M303&gt;0,MAX(0,Catatan!$B$3-H303),0)</f>
        <v>0</v>
      </c>
      <c r="P303" s="39" t="str">
        <f aca="false">IF(M303&lt;=0,"Lunas",IF(Catatan!$B$3&lt;=H303,"Belum Jatuh Tempo",IF(O303&lt;=30,"1-30 hari",IF(O303&lt;=60,"31-60 hari",IF(O303&lt;=90,"61-90 hari","90+ hari")))))</f>
        <v>Lunas</v>
      </c>
      <c r="Q303" s="50"/>
      <c r="R303" s="39" t="str">
        <f aca="false">IF(M303&lt;=0,"",IF(O303&gt;60,"1-Tinggi",IF(O303&gt;30,"2-Sedang",IF(O303&gt;0,"3-Rendah","4-Pantau"))))</f>
        <v/>
      </c>
      <c r="S303" s="39" t="str">
        <f aca="false">IF(AND(M303&gt;0,O303&gt;0),O303+M303/1000000000000+ROW()/1000000000000000,"")</f>
        <v/>
      </c>
      <c r="T303" s="39" t="str">
        <f aca="false">IF(J303="Belum ditukar",ROW(),"")</f>
        <v/>
      </c>
    </row>
    <row r="304" customFormat="false" ht="15" hidden="false" customHeight="false" outlineLevel="0" collapsed="false">
      <c r="A304" s="50" t="s">
        <v>567</v>
      </c>
      <c r="B304" s="51" t="n">
        <v>45723</v>
      </c>
      <c r="C304" s="50" t="s">
        <v>211</v>
      </c>
      <c r="D304" s="39" t="str">
        <f aca="false">INDEX(Master_Customer!$B$2:$B$126,MATCH(C304,Master_Customer!$A$2:$A$126,0))</f>
        <v>PRIMA MOBIL</v>
      </c>
      <c r="E304" s="50" t="s">
        <v>30</v>
      </c>
      <c r="F304" s="52" t="n">
        <f aca="false">SUMIFS(Data_Penjualan!$G$2:$G$5998,Data_Penjualan!$A$2:$A$5998,A304)</f>
        <v>4379400</v>
      </c>
      <c r="G304" s="39" t="n">
        <f aca="false">IF(E304="KANTOR",0,INDEX(Master_Customer!$C$2:$C$126,MATCH(C304,Master_Customer!$A$2:$A$126,0)))</f>
        <v>0</v>
      </c>
      <c r="H304" s="53" t="n">
        <f aca="false">B304+G304</f>
        <v>45723</v>
      </c>
      <c r="J304" s="39" t="str">
        <f aca="false">IF(G304=0,"Tunai",IF(I304="","Belum ditukar","Sudah ditukar"))</f>
        <v>Tunai</v>
      </c>
      <c r="K304" s="54" t="n">
        <v>4379400</v>
      </c>
      <c r="L304" s="51" t="n">
        <v>45723</v>
      </c>
      <c r="M304" s="52" t="n">
        <f aca="false">F304-K304</f>
        <v>0</v>
      </c>
      <c r="N304" s="39" t="str">
        <f aca="false">IF(M304&lt;=0,"Lunas",IF(K304&gt;0,"Sebagian","Belum Bayar"))</f>
        <v>Lunas</v>
      </c>
      <c r="O304" s="39" t="n">
        <f aca="false">IF(M304&gt;0,MAX(0,Catatan!$B$3-H304),0)</f>
        <v>0</v>
      </c>
      <c r="P304" s="39" t="str">
        <f aca="false">IF(M304&lt;=0,"Lunas",IF(Catatan!$B$3&lt;=H304,"Belum Jatuh Tempo",IF(O304&lt;=30,"1-30 hari",IF(O304&lt;=60,"31-60 hari",IF(O304&lt;=90,"61-90 hari","90+ hari")))))</f>
        <v>Lunas</v>
      </c>
      <c r="Q304" s="50"/>
      <c r="R304" s="39" t="str">
        <f aca="false">IF(M304&lt;=0,"",IF(O304&gt;60,"1-Tinggi",IF(O304&gt;30,"2-Sedang",IF(O304&gt;0,"3-Rendah","4-Pantau"))))</f>
        <v/>
      </c>
      <c r="S304" s="39" t="str">
        <f aca="false">IF(AND(M304&gt;0,O304&gt;0),O304+M304/1000000000000+ROW()/1000000000000000,"")</f>
        <v/>
      </c>
      <c r="T304" s="39" t="str">
        <f aca="false">IF(J304="Belum ditukar",ROW(),"")</f>
        <v/>
      </c>
    </row>
    <row r="305" customFormat="false" ht="15" hidden="false" customHeight="false" outlineLevel="0" collapsed="false">
      <c r="A305" s="50" t="s">
        <v>568</v>
      </c>
      <c r="B305" s="51" t="n">
        <v>45723</v>
      </c>
      <c r="C305" s="50" t="s">
        <v>358</v>
      </c>
      <c r="D305" s="39" t="str">
        <f aca="false">INDEX(Master_Customer!$B$2:$B$126,MATCH(C305,Master_Customer!$A$2:$A$126,0))</f>
        <v>HARAPAN TEKNIK</v>
      </c>
      <c r="E305" s="50" t="s">
        <v>31</v>
      </c>
      <c r="F305" s="52" t="n">
        <f aca="false">SUMIFS(Data_Penjualan!$G$2:$G$5998,Data_Penjualan!$A$2:$A$5998,A305)</f>
        <v>8347000</v>
      </c>
      <c r="G305" s="39" t="n">
        <f aca="false">IF(E305="KANTOR",0,INDEX(Master_Customer!$C$2:$C$126,MATCH(C305,Master_Customer!$A$2:$A$126,0)))</f>
        <v>0</v>
      </c>
      <c r="H305" s="53" t="n">
        <f aca="false">B305+G305</f>
        <v>45723</v>
      </c>
      <c r="J305" s="39" t="str">
        <f aca="false">IF(G305=0,"Tunai",IF(I305="","Belum ditukar","Sudah ditukar"))</f>
        <v>Tunai</v>
      </c>
      <c r="K305" s="54" t="n">
        <v>8347000</v>
      </c>
      <c r="L305" s="51" t="n">
        <v>45723</v>
      </c>
      <c r="M305" s="52" t="n">
        <f aca="false">F305-K305</f>
        <v>0</v>
      </c>
      <c r="N305" s="39" t="str">
        <f aca="false">IF(M305&lt;=0,"Lunas",IF(K305&gt;0,"Sebagian","Belum Bayar"))</f>
        <v>Lunas</v>
      </c>
      <c r="O305" s="39" t="n">
        <f aca="false">IF(M305&gt;0,MAX(0,Catatan!$B$3-H305),0)</f>
        <v>0</v>
      </c>
      <c r="P305" s="39" t="str">
        <f aca="false">IF(M305&lt;=0,"Lunas",IF(Catatan!$B$3&lt;=H305,"Belum Jatuh Tempo",IF(O305&lt;=30,"1-30 hari",IF(O305&lt;=60,"31-60 hari",IF(O305&lt;=90,"61-90 hari","90+ hari")))))</f>
        <v>Lunas</v>
      </c>
      <c r="Q305" s="50"/>
      <c r="R305" s="39" t="str">
        <f aca="false">IF(M305&lt;=0,"",IF(O305&gt;60,"1-Tinggi",IF(O305&gt;30,"2-Sedang",IF(O305&gt;0,"3-Rendah","4-Pantau"))))</f>
        <v/>
      </c>
      <c r="S305" s="39" t="str">
        <f aca="false">IF(AND(M305&gt;0,O305&gt;0),O305+M305/1000000000000+ROW()/1000000000000000,"")</f>
        <v/>
      </c>
      <c r="T305" s="39" t="str">
        <f aca="false">IF(J305="Belum ditukar",ROW(),"")</f>
        <v/>
      </c>
    </row>
    <row r="306" customFormat="false" ht="15" hidden="false" customHeight="false" outlineLevel="0" collapsed="false">
      <c r="A306" s="50" t="s">
        <v>569</v>
      </c>
      <c r="B306" s="51" t="n">
        <v>45723</v>
      </c>
      <c r="C306" s="50" t="s">
        <v>243</v>
      </c>
      <c r="D306" s="39" t="str">
        <f aca="false">INDEX(Master_Customer!$B$2:$B$126,MATCH(C306,Master_Customer!$A$2:$A$126,0))</f>
        <v>SENTOSA LUBRICANT MULIA</v>
      </c>
      <c r="E306" s="50" t="s">
        <v>30</v>
      </c>
      <c r="F306" s="52" t="n">
        <f aca="false">SUMIFS(Data_Penjualan!$G$2:$G$5998,Data_Penjualan!$A$2:$A$5998,A306)</f>
        <v>6199700</v>
      </c>
      <c r="G306" s="39" t="n">
        <f aca="false">IF(E306="KANTOR",0,INDEX(Master_Customer!$C$2:$C$126,MATCH(C306,Master_Customer!$A$2:$A$126,0)))</f>
        <v>45</v>
      </c>
      <c r="H306" s="53" t="n">
        <f aca="false">B306+G306</f>
        <v>45768</v>
      </c>
      <c r="I306" s="51" t="n">
        <v>45728</v>
      </c>
      <c r="J306" s="39" t="str">
        <f aca="false">IF(G306=0,"Tunai",IF(I306="","Belum ditukar","Sudah ditukar"))</f>
        <v>Sudah ditukar</v>
      </c>
      <c r="K306" s="54" t="n">
        <v>6199700</v>
      </c>
      <c r="L306" s="51" t="n">
        <v>45806</v>
      </c>
      <c r="M306" s="52" t="n">
        <f aca="false">F306-K306</f>
        <v>0</v>
      </c>
      <c r="N306" s="39" t="str">
        <f aca="false">IF(M306&lt;=0,"Lunas",IF(K306&gt;0,"Sebagian","Belum Bayar"))</f>
        <v>Lunas</v>
      </c>
      <c r="O306" s="39" t="n">
        <f aca="false">IF(M306&gt;0,MAX(0,Catatan!$B$3-H306),0)</f>
        <v>0</v>
      </c>
      <c r="P306" s="39" t="str">
        <f aca="false">IF(M306&lt;=0,"Lunas",IF(Catatan!$B$3&lt;=H306,"Belum Jatuh Tempo",IF(O306&lt;=30,"1-30 hari",IF(O306&lt;=60,"31-60 hari",IF(O306&lt;=90,"61-90 hari","90+ hari")))))</f>
        <v>Lunas</v>
      </c>
      <c r="Q306" s="50"/>
      <c r="R306" s="39" t="str">
        <f aca="false">IF(M306&lt;=0,"",IF(O306&gt;60,"1-Tinggi",IF(O306&gt;30,"2-Sedang",IF(O306&gt;0,"3-Rendah","4-Pantau"))))</f>
        <v/>
      </c>
      <c r="S306" s="39" t="str">
        <f aca="false">IF(AND(M306&gt;0,O306&gt;0),O306+M306/1000000000000+ROW()/1000000000000000,"")</f>
        <v/>
      </c>
      <c r="T306" s="39" t="str">
        <f aca="false">IF(J306="Belum ditukar",ROW(),"")</f>
        <v/>
      </c>
    </row>
    <row r="307" customFormat="false" ht="15" hidden="false" customHeight="false" outlineLevel="0" collapsed="false">
      <c r="A307" s="50" t="s">
        <v>570</v>
      </c>
      <c r="B307" s="51" t="n">
        <v>45723</v>
      </c>
      <c r="C307" s="50" t="s">
        <v>571</v>
      </c>
      <c r="D307" s="39" t="str">
        <f aca="false">INDEX(Master_Customer!$B$2:$B$126,MATCH(C307,Master_Customer!$A$2:$A$126,0))</f>
        <v>HARAPAN OLI TIRTA</v>
      </c>
      <c r="E307" s="50" t="s">
        <v>32</v>
      </c>
      <c r="F307" s="52" t="n">
        <f aca="false">SUMIFS(Data_Penjualan!$G$2:$G$5998,Data_Penjualan!$A$2:$A$5998,A307)</f>
        <v>18588400</v>
      </c>
      <c r="G307" s="39" t="n">
        <f aca="false">IF(E307="KANTOR",0,INDEX(Master_Customer!$C$2:$C$126,MATCH(C307,Master_Customer!$A$2:$A$126,0)))</f>
        <v>0</v>
      </c>
      <c r="H307" s="53" t="n">
        <f aca="false">B307+G307</f>
        <v>45723</v>
      </c>
      <c r="J307" s="39" t="str">
        <f aca="false">IF(G307=0,"Tunai",IF(I307="","Belum ditukar","Sudah ditukar"))</f>
        <v>Tunai</v>
      </c>
      <c r="K307" s="54" t="n">
        <v>18588400</v>
      </c>
      <c r="L307" s="51" t="n">
        <v>45724</v>
      </c>
      <c r="M307" s="52" t="n">
        <f aca="false">F307-K307</f>
        <v>0</v>
      </c>
      <c r="N307" s="39" t="str">
        <f aca="false">IF(M307&lt;=0,"Lunas",IF(K307&gt;0,"Sebagian","Belum Bayar"))</f>
        <v>Lunas</v>
      </c>
      <c r="O307" s="39" t="n">
        <f aca="false">IF(M307&gt;0,MAX(0,Catatan!$B$3-H307),0)</f>
        <v>0</v>
      </c>
      <c r="P307" s="39" t="str">
        <f aca="false">IF(M307&lt;=0,"Lunas",IF(Catatan!$B$3&lt;=H307,"Belum Jatuh Tempo",IF(O307&lt;=30,"1-30 hari",IF(O307&lt;=60,"31-60 hari",IF(O307&lt;=90,"61-90 hari","90+ hari")))))</f>
        <v>Lunas</v>
      </c>
      <c r="Q307" s="50"/>
      <c r="R307" s="39" t="str">
        <f aca="false">IF(M307&lt;=0,"",IF(O307&gt;60,"1-Tinggi",IF(O307&gt;30,"2-Sedang",IF(O307&gt;0,"3-Rendah","4-Pantau"))))</f>
        <v/>
      </c>
      <c r="S307" s="39" t="str">
        <f aca="false">IF(AND(M307&gt;0,O307&gt;0),O307+M307/1000000000000+ROW()/1000000000000000,"")</f>
        <v/>
      </c>
      <c r="T307" s="39" t="str">
        <f aca="false">IF(J307="Belum ditukar",ROW(),"")</f>
        <v/>
      </c>
    </row>
    <row r="308" customFormat="false" ht="15" hidden="false" customHeight="false" outlineLevel="0" collapsed="false">
      <c r="A308" s="50" t="s">
        <v>572</v>
      </c>
      <c r="B308" s="51" t="n">
        <v>45724</v>
      </c>
      <c r="C308" s="50" t="s">
        <v>527</v>
      </c>
      <c r="D308" s="39" t="str">
        <f aca="false">INDEX(Master_Customer!$B$2:$B$126,MATCH(C308,Master_Customer!$A$2:$A$126,0))</f>
        <v>BINTANG SPAREPART PRIMA</v>
      </c>
      <c r="E308" s="50" t="s">
        <v>30</v>
      </c>
      <c r="F308" s="52" t="n">
        <f aca="false">SUMIFS(Data_Penjualan!$G$2:$G$5998,Data_Penjualan!$A$2:$A$5998,A308)</f>
        <v>8165300</v>
      </c>
      <c r="G308" s="39" t="n">
        <f aca="false">IF(E308="KANTOR",0,INDEX(Master_Customer!$C$2:$C$126,MATCH(C308,Master_Customer!$A$2:$A$126,0)))</f>
        <v>14</v>
      </c>
      <c r="H308" s="53" t="n">
        <f aca="false">B308+G308</f>
        <v>45738</v>
      </c>
      <c r="I308" s="51" t="n">
        <v>45727</v>
      </c>
      <c r="J308" s="39" t="str">
        <f aca="false">IF(G308=0,"Tunai",IF(I308="","Belum ditukar","Sudah ditukar"))</f>
        <v>Sudah ditukar</v>
      </c>
      <c r="K308" s="54" t="n">
        <v>8165300</v>
      </c>
      <c r="L308" s="51" t="n">
        <v>45752</v>
      </c>
      <c r="M308" s="52" t="n">
        <f aca="false">F308-K308</f>
        <v>0</v>
      </c>
      <c r="N308" s="39" t="str">
        <f aca="false">IF(M308&lt;=0,"Lunas",IF(K308&gt;0,"Sebagian","Belum Bayar"))</f>
        <v>Lunas</v>
      </c>
      <c r="O308" s="39" t="n">
        <f aca="false">IF(M308&gt;0,MAX(0,Catatan!$B$3-H308),0)</f>
        <v>0</v>
      </c>
      <c r="P308" s="39" t="str">
        <f aca="false">IF(M308&lt;=0,"Lunas",IF(Catatan!$B$3&lt;=H308,"Belum Jatuh Tempo",IF(O308&lt;=30,"1-30 hari",IF(O308&lt;=60,"31-60 hari",IF(O308&lt;=90,"61-90 hari","90+ hari")))))</f>
        <v>Lunas</v>
      </c>
      <c r="Q308" s="50"/>
      <c r="R308" s="39" t="str">
        <f aca="false">IF(M308&lt;=0,"",IF(O308&gt;60,"1-Tinggi",IF(O308&gt;30,"2-Sedang",IF(O308&gt;0,"3-Rendah","4-Pantau"))))</f>
        <v/>
      </c>
      <c r="S308" s="39" t="str">
        <f aca="false">IF(AND(M308&gt;0,O308&gt;0),O308+M308/1000000000000+ROW()/1000000000000000,"")</f>
        <v/>
      </c>
      <c r="T308" s="39" t="str">
        <f aca="false">IF(J308="Belum ditukar",ROW(),"")</f>
        <v/>
      </c>
    </row>
    <row r="309" customFormat="false" ht="15" hidden="false" customHeight="false" outlineLevel="0" collapsed="false">
      <c r="A309" s="50" t="s">
        <v>573</v>
      </c>
      <c r="B309" s="51" t="n">
        <v>45724</v>
      </c>
      <c r="C309" s="50" t="s">
        <v>574</v>
      </c>
      <c r="D309" s="39" t="str">
        <f aca="false">INDEX(Master_Customer!$B$2:$B$126,MATCH(C309,Master_Customer!$A$2:$A$126,0))</f>
        <v>ABADI SERVICE ABADI</v>
      </c>
      <c r="E309" s="50" t="s">
        <v>29</v>
      </c>
      <c r="F309" s="52" t="n">
        <f aca="false">SUMIFS(Data_Penjualan!$G$2:$G$5998,Data_Penjualan!$A$2:$A$5998,A309)</f>
        <v>23028700</v>
      </c>
      <c r="G309" s="39" t="n">
        <f aca="false">IF(E309="KANTOR",0,INDEX(Master_Customer!$C$2:$C$126,MATCH(C309,Master_Customer!$A$2:$A$126,0)))</f>
        <v>30</v>
      </c>
      <c r="H309" s="53" t="n">
        <f aca="false">B309+G309</f>
        <v>45754</v>
      </c>
      <c r="I309" s="51" t="n">
        <v>45726</v>
      </c>
      <c r="J309" s="39" t="str">
        <f aca="false">IF(G309=0,"Tunai",IF(I309="","Belum ditukar","Sudah ditukar"))</f>
        <v>Sudah ditukar</v>
      </c>
      <c r="K309" s="54" t="n">
        <v>23028700</v>
      </c>
      <c r="L309" s="51" t="n">
        <v>45752</v>
      </c>
      <c r="M309" s="52" t="n">
        <f aca="false">F309-K309</f>
        <v>0</v>
      </c>
      <c r="N309" s="39" t="str">
        <f aca="false">IF(M309&lt;=0,"Lunas",IF(K309&gt;0,"Sebagian","Belum Bayar"))</f>
        <v>Lunas</v>
      </c>
      <c r="O309" s="39" t="n">
        <f aca="false">IF(M309&gt;0,MAX(0,Catatan!$B$3-H309),0)</f>
        <v>0</v>
      </c>
      <c r="P309" s="39" t="str">
        <f aca="false">IF(M309&lt;=0,"Lunas",IF(Catatan!$B$3&lt;=H309,"Belum Jatuh Tempo",IF(O309&lt;=30,"1-30 hari",IF(O309&lt;=60,"31-60 hari",IF(O309&lt;=90,"61-90 hari","90+ hari")))))</f>
        <v>Lunas</v>
      </c>
      <c r="Q309" s="50"/>
      <c r="R309" s="39" t="str">
        <f aca="false">IF(M309&lt;=0,"",IF(O309&gt;60,"1-Tinggi",IF(O309&gt;30,"2-Sedang",IF(O309&gt;0,"3-Rendah","4-Pantau"))))</f>
        <v/>
      </c>
      <c r="S309" s="39" t="str">
        <f aca="false">IF(AND(M309&gt;0,O309&gt;0),O309+M309/1000000000000+ROW()/1000000000000000,"")</f>
        <v/>
      </c>
      <c r="T309" s="39" t="str">
        <f aca="false">IF(J309="Belum ditukar",ROW(),"")</f>
        <v/>
      </c>
    </row>
    <row r="310" customFormat="false" ht="15" hidden="false" customHeight="false" outlineLevel="0" collapsed="false">
      <c r="A310" s="50" t="s">
        <v>575</v>
      </c>
      <c r="B310" s="51" t="n">
        <v>45724</v>
      </c>
      <c r="C310" s="50" t="s">
        <v>193</v>
      </c>
      <c r="D310" s="39" t="str">
        <f aca="false">INDEX(Master_Customer!$B$2:$B$126,MATCH(C310,Master_Customer!$A$2:$A$126,0))</f>
        <v>BINTANG BENGKEL</v>
      </c>
      <c r="E310" s="50" t="s">
        <v>32</v>
      </c>
      <c r="F310" s="52" t="n">
        <f aca="false">SUMIFS(Data_Penjualan!$G$2:$G$5998,Data_Penjualan!$A$2:$A$5998,A310)</f>
        <v>3271400</v>
      </c>
      <c r="G310" s="39" t="n">
        <f aca="false">IF(E310="KANTOR",0,INDEX(Master_Customer!$C$2:$C$126,MATCH(C310,Master_Customer!$A$2:$A$126,0)))</f>
        <v>0</v>
      </c>
      <c r="H310" s="53" t="n">
        <f aca="false">B310+G310</f>
        <v>45724</v>
      </c>
      <c r="J310" s="39" t="str">
        <f aca="false">IF(G310=0,"Tunai",IF(I310="","Belum ditukar","Sudah ditukar"))</f>
        <v>Tunai</v>
      </c>
      <c r="K310" s="54" t="n">
        <v>3271400</v>
      </c>
      <c r="L310" s="51" t="n">
        <v>45724</v>
      </c>
      <c r="M310" s="52" t="n">
        <f aca="false">F310-K310</f>
        <v>0</v>
      </c>
      <c r="N310" s="39" t="str">
        <f aca="false">IF(M310&lt;=0,"Lunas",IF(K310&gt;0,"Sebagian","Belum Bayar"))</f>
        <v>Lunas</v>
      </c>
      <c r="O310" s="39" t="n">
        <f aca="false">IF(M310&gt;0,MAX(0,Catatan!$B$3-H310),0)</f>
        <v>0</v>
      </c>
      <c r="P310" s="39" t="str">
        <f aca="false">IF(M310&lt;=0,"Lunas",IF(Catatan!$B$3&lt;=H310,"Belum Jatuh Tempo",IF(O310&lt;=30,"1-30 hari",IF(O310&lt;=60,"31-60 hari",IF(O310&lt;=90,"61-90 hari","90+ hari")))))</f>
        <v>Lunas</v>
      </c>
      <c r="Q310" s="50"/>
      <c r="R310" s="39" t="str">
        <f aca="false">IF(M310&lt;=0,"",IF(O310&gt;60,"1-Tinggi",IF(O310&gt;30,"2-Sedang",IF(O310&gt;0,"3-Rendah","4-Pantau"))))</f>
        <v/>
      </c>
      <c r="S310" s="39" t="str">
        <f aca="false">IF(AND(M310&gt;0,O310&gt;0),O310+M310/1000000000000+ROW()/1000000000000000,"")</f>
        <v/>
      </c>
      <c r="T310" s="39" t="str">
        <f aca="false">IF(J310="Belum ditukar",ROW(),"")</f>
        <v/>
      </c>
    </row>
    <row r="311" customFormat="false" ht="15" hidden="false" customHeight="false" outlineLevel="0" collapsed="false">
      <c r="A311" s="50" t="s">
        <v>576</v>
      </c>
      <c r="B311" s="51" t="n">
        <v>45724</v>
      </c>
      <c r="C311" s="50" t="s">
        <v>269</v>
      </c>
      <c r="D311" s="39" t="str">
        <f aca="false">INDEX(Master_Customer!$B$2:$B$126,MATCH(C311,Master_Customer!$A$2:$A$126,0))</f>
        <v>KARYA BENGKEL</v>
      </c>
      <c r="E311" s="50" t="s">
        <v>28</v>
      </c>
      <c r="F311" s="52" t="n">
        <f aca="false">SUMIFS(Data_Penjualan!$G$2:$G$5998,Data_Penjualan!$A$2:$A$5998,A311)</f>
        <v>4919000</v>
      </c>
      <c r="G311" s="39" t="n">
        <f aca="false">IF(E311="KANTOR",0,INDEX(Master_Customer!$C$2:$C$126,MATCH(C311,Master_Customer!$A$2:$A$126,0)))</f>
        <v>14</v>
      </c>
      <c r="H311" s="53" t="n">
        <f aca="false">B311+G311</f>
        <v>45738</v>
      </c>
      <c r="I311" s="51" t="n">
        <v>45729</v>
      </c>
      <c r="J311" s="39" t="str">
        <f aca="false">IF(G311=0,"Tunai",IF(I311="","Belum ditukar","Sudah ditukar"))</f>
        <v>Sudah ditukar</v>
      </c>
      <c r="K311" s="54" t="n">
        <v>4919000</v>
      </c>
      <c r="L311" s="51" t="n">
        <v>45730</v>
      </c>
      <c r="M311" s="52" t="n">
        <f aca="false">F311-K311</f>
        <v>0</v>
      </c>
      <c r="N311" s="39" t="str">
        <f aca="false">IF(M311&lt;=0,"Lunas",IF(K311&gt;0,"Sebagian","Belum Bayar"))</f>
        <v>Lunas</v>
      </c>
      <c r="O311" s="39" t="n">
        <f aca="false">IF(M311&gt;0,MAX(0,Catatan!$B$3-H311),0)</f>
        <v>0</v>
      </c>
      <c r="P311" s="39" t="str">
        <f aca="false">IF(M311&lt;=0,"Lunas",IF(Catatan!$B$3&lt;=H311,"Belum Jatuh Tempo",IF(O311&lt;=30,"1-30 hari",IF(O311&lt;=60,"31-60 hari",IF(O311&lt;=90,"61-90 hari","90+ hari")))))</f>
        <v>Lunas</v>
      </c>
      <c r="Q311" s="50"/>
      <c r="R311" s="39" t="str">
        <f aca="false">IF(M311&lt;=0,"",IF(O311&gt;60,"1-Tinggi",IF(O311&gt;30,"2-Sedang",IF(O311&gt;0,"3-Rendah","4-Pantau"))))</f>
        <v/>
      </c>
      <c r="S311" s="39" t="str">
        <f aca="false">IF(AND(M311&gt;0,O311&gt;0),O311+M311/1000000000000+ROW()/1000000000000000,"")</f>
        <v/>
      </c>
      <c r="T311" s="39" t="str">
        <f aca="false">IF(J311="Belum ditukar",ROW(),"")</f>
        <v/>
      </c>
    </row>
    <row r="312" customFormat="false" ht="15" hidden="false" customHeight="false" outlineLevel="0" collapsed="false">
      <c r="A312" s="50" t="s">
        <v>577</v>
      </c>
      <c r="B312" s="51" t="n">
        <v>45726</v>
      </c>
      <c r="C312" s="50" t="s">
        <v>216</v>
      </c>
      <c r="D312" s="39" t="str">
        <f aca="false">INDEX(Master_Customer!$B$2:$B$126,MATCH(C312,Master_Customer!$A$2:$A$126,0))</f>
        <v>SINAR MOTOR UTAMA</v>
      </c>
      <c r="E312" s="50" t="s">
        <v>30</v>
      </c>
      <c r="F312" s="52" t="n">
        <f aca="false">SUMIFS(Data_Penjualan!$G$2:$G$5998,Data_Penjualan!$A$2:$A$5998,A312)</f>
        <v>16727600</v>
      </c>
      <c r="G312" s="39" t="n">
        <f aca="false">IF(E312="KANTOR",0,INDEX(Master_Customer!$C$2:$C$126,MATCH(C312,Master_Customer!$A$2:$A$126,0)))</f>
        <v>0</v>
      </c>
      <c r="H312" s="53" t="n">
        <f aca="false">B312+G312</f>
        <v>45726</v>
      </c>
      <c r="J312" s="39" t="str">
        <f aca="false">IF(G312=0,"Tunai",IF(I312="","Belum ditukar","Sudah ditukar"))</f>
        <v>Tunai</v>
      </c>
      <c r="K312" s="54" t="n">
        <v>16727600</v>
      </c>
      <c r="L312" s="51" t="n">
        <v>45726</v>
      </c>
      <c r="M312" s="52" t="n">
        <f aca="false">F312-K312</f>
        <v>0</v>
      </c>
      <c r="N312" s="39" t="str">
        <f aca="false">IF(M312&lt;=0,"Lunas",IF(K312&gt;0,"Sebagian","Belum Bayar"))</f>
        <v>Lunas</v>
      </c>
      <c r="O312" s="39" t="n">
        <f aca="false">IF(M312&gt;0,MAX(0,Catatan!$B$3-H312),0)</f>
        <v>0</v>
      </c>
      <c r="P312" s="39" t="str">
        <f aca="false">IF(M312&lt;=0,"Lunas",IF(Catatan!$B$3&lt;=H312,"Belum Jatuh Tempo",IF(O312&lt;=30,"1-30 hari",IF(O312&lt;=60,"31-60 hari",IF(O312&lt;=90,"61-90 hari","90+ hari")))))</f>
        <v>Lunas</v>
      </c>
      <c r="Q312" s="50"/>
      <c r="R312" s="39" t="str">
        <f aca="false">IF(M312&lt;=0,"",IF(O312&gt;60,"1-Tinggi",IF(O312&gt;30,"2-Sedang",IF(O312&gt;0,"3-Rendah","4-Pantau"))))</f>
        <v/>
      </c>
      <c r="S312" s="39" t="str">
        <f aca="false">IF(AND(M312&gt;0,O312&gt;0),O312+M312/1000000000000+ROW()/1000000000000000,"")</f>
        <v/>
      </c>
      <c r="T312" s="39" t="str">
        <f aca="false">IF(J312="Belum ditukar",ROW(),"")</f>
        <v/>
      </c>
    </row>
    <row r="313" customFormat="false" ht="15" hidden="false" customHeight="false" outlineLevel="0" collapsed="false">
      <c r="A313" s="50" t="s">
        <v>578</v>
      </c>
      <c r="B313" s="51" t="n">
        <v>45726</v>
      </c>
      <c r="C313" s="50" t="s">
        <v>211</v>
      </c>
      <c r="D313" s="39" t="str">
        <f aca="false">INDEX(Master_Customer!$B$2:$B$126,MATCH(C313,Master_Customer!$A$2:$A$126,0))</f>
        <v>PRIMA MOBIL</v>
      </c>
      <c r="E313" s="50" t="s">
        <v>30</v>
      </c>
      <c r="F313" s="52" t="n">
        <f aca="false">SUMIFS(Data_Penjualan!$G$2:$G$5998,Data_Penjualan!$A$2:$A$5998,A313)</f>
        <v>15013700</v>
      </c>
      <c r="G313" s="39" t="n">
        <f aca="false">IF(E313="KANTOR",0,INDEX(Master_Customer!$C$2:$C$126,MATCH(C313,Master_Customer!$A$2:$A$126,0)))</f>
        <v>0</v>
      </c>
      <c r="H313" s="53" t="n">
        <f aca="false">B313+G313</f>
        <v>45726</v>
      </c>
      <c r="J313" s="39" t="str">
        <f aca="false">IF(G313=0,"Tunai",IF(I313="","Belum ditukar","Sudah ditukar"))</f>
        <v>Tunai</v>
      </c>
      <c r="K313" s="54" t="n">
        <v>15013700</v>
      </c>
      <c r="L313" s="51" t="n">
        <v>45726</v>
      </c>
      <c r="M313" s="52" t="n">
        <f aca="false">F313-K313</f>
        <v>0</v>
      </c>
      <c r="N313" s="39" t="str">
        <f aca="false">IF(M313&lt;=0,"Lunas",IF(K313&gt;0,"Sebagian","Belum Bayar"))</f>
        <v>Lunas</v>
      </c>
      <c r="O313" s="39" t="n">
        <f aca="false">IF(M313&gt;0,MAX(0,Catatan!$B$3-H313),0)</f>
        <v>0</v>
      </c>
      <c r="P313" s="39" t="str">
        <f aca="false">IF(M313&lt;=0,"Lunas",IF(Catatan!$B$3&lt;=H313,"Belum Jatuh Tempo",IF(O313&lt;=30,"1-30 hari",IF(O313&lt;=60,"31-60 hari",IF(O313&lt;=90,"61-90 hari","90+ hari")))))</f>
        <v>Lunas</v>
      </c>
      <c r="Q313" s="50"/>
      <c r="R313" s="39" t="str">
        <f aca="false">IF(M313&lt;=0,"",IF(O313&gt;60,"1-Tinggi",IF(O313&gt;30,"2-Sedang",IF(O313&gt;0,"3-Rendah","4-Pantau"))))</f>
        <v/>
      </c>
      <c r="S313" s="39" t="str">
        <f aca="false">IF(AND(M313&gt;0,O313&gt;0),O313+M313/1000000000000+ROW()/1000000000000000,"")</f>
        <v/>
      </c>
      <c r="T313" s="39" t="str">
        <f aca="false">IF(J313="Belum ditukar",ROW(),"")</f>
        <v/>
      </c>
    </row>
    <row r="314" customFormat="false" ht="15" hidden="false" customHeight="false" outlineLevel="0" collapsed="false">
      <c r="A314" s="50" t="s">
        <v>579</v>
      </c>
      <c r="B314" s="51" t="n">
        <v>45726</v>
      </c>
      <c r="C314" s="50" t="s">
        <v>234</v>
      </c>
      <c r="D314" s="39" t="str">
        <f aca="false">INDEX(Master_Customer!$B$2:$B$126,MATCH(C314,Master_Customer!$A$2:$A$126,0))</f>
        <v>CAHAYA OLI</v>
      </c>
      <c r="E314" s="50" t="s">
        <v>28</v>
      </c>
      <c r="F314" s="52" t="n">
        <f aca="false">SUMIFS(Data_Penjualan!$G$2:$G$5998,Data_Penjualan!$A$2:$A$5998,A314)</f>
        <v>13543800</v>
      </c>
      <c r="G314" s="39" t="n">
        <f aca="false">IF(E314="KANTOR",0,INDEX(Master_Customer!$C$2:$C$126,MATCH(C314,Master_Customer!$A$2:$A$126,0)))</f>
        <v>30</v>
      </c>
      <c r="H314" s="53" t="n">
        <f aca="false">B314+G314</f>
        <v>45756</v>
      </c>
      <c r="I314" s="51" t="n">
        <v>45729</v>
      </c>
      <c r="J314" s="39" t="str">
        <f aca="false">IF(G314=0,"Tunai",IF(I314="","Belum ditukar","Sudah ditukar"))</f>
        <v>Sudah ditukar</v>
      </c>
      <c r="K314" s="54" t="n">
        <v>13543800</v>
      </c>
      <c r="L314" s="51" t="n">
        <v>45755</v>
      </c>
      <c r="M314" s="52" t="n">
        <f aca="false">F314-K314</f>
        <v>0</v>
      </c>
      <c r="N314" s="39" t="str">
        <f aca="false">IF(M314&lt;=0,"Lunas",IF(K314&gt;0,"Sebagian","Belum Bayar"))</f>
        <v>Lunas</v>
      </c>
      <c r="O314" s="39" t="n">
        <f aca="false">IF(M314&gt;0,MAX(0,Catatan!$B$3-H314),0)</f>
        <v>0</v>
      </c>
      <c r="P314" s="39" t="str">
        <f aca="false">IF(M314&lt;=0,"Lunas",IF(Catatan!$B$3&lt;=H314,"Belum Jatuh Tempo",IF(O314&lt;=30,"1-30 hari",IF(O314&lt;=60,"31-60 hari",IF(O314&lt;=90,"61-90 hari","90+ hari")))))</f>
        <v>Lunas</v>
      </c>
      <c r="Q314" s="50"/>
      <c r="R314" s="39" t="str">
        <f aca="false">IF(M314&lt;=0,"",IF(O314&gt;60,"1-Tinggi",IF(O314&gt;30,"2-Sedang",IF(O314&gt;0,"3-Rendah","4-Pantau"))))</f>
        <v/>
      </c>
      <c r="S314" s="39" t="str">
        <f aca="false">IF(AND(M314&gt;0,O314&gt;0),O314+M314/1000000000000+ROW()/1000000000000000,"")</f>
        <v/>
      </c>
      <c r="T314" s="39" t="str">
        <f aca="false">IF(J314="Belum ditukar",ROW(),"")</f>
        <v/>
      </c>
    </row>
    <row r="315" customFormat="false" ht="15" hidden="false" customHeight="false" outlineLevel="0" collapsed="false">
      <c r="A315" s="50" t="s">
        <v>580</v>
      </c>
      <c r="B315" s="51" t="n">
        <v>45726</v>
      </c>
      <c r="C315" s="50" t="s">
        <v>228</v>
      </c>
      <c r="D315" s="39" t="str">
        <f aca="false">INDEX(Master_Customer!$B$2:$B$126,MATCH(C315,Master_Customer!$A$2:$A$126,0))</f>
        <v>MAKMUR SERVICE JAYA</v>
      </c>
      <c r="E315" s="50" t="s">
        <v>29</v>
      </c>
      <c r="F315" s="52" t="n">
        <f aca="false">SUMIFS(Data_Penjualan!$G$2:$G$5998,Data_Penjualan!$A$2:$A$5998,A315)</f>
        <v>4943500</v>
      </c>
      <c r="G315" s="39" t="n">
        <f aca="false">IF(E315="KANTOR",0,INDEX(Master_Customer!$C$2:$C$126,MATCH(C315,Master_Customer!$A$2:$A$126,0)))</f>
        <v>30</v>
      </c>
      <c r="H315" s="53" t="n">
        <f aca="false">B315+G315</f>
        <v>45756</v>
      </c>
      <c r="I315" s="51" t="n">
        <v>45728</v>
      </c>
      <c r="J315" s="39" t="str">
        <f aca="false">IF(G315=0,"Tunai",IF(I315="","Belum ditukar","Sudah ditukar"))</f>
        <v>Sudah ditukar</v>
      </c>
      <c r="K315" s="54" t="n">
        <v>4943500</v>
      </c>
      <c r="L315" s="51" t="n">
        <v>45785</v>
      </c>
      <c r="M315" s="52" t="n">
        <f aca="false">F315-K315</f>
        <v>0</v>
      </c>
      <c r="N315" s="39" t="str">
        <f aca="false">IF(M315&lt;=0,"Lunas",IF(K315&gt;0,"Sebagian","Belum Bayar"))</f>
        <v>Lunas</v>
      </c>
      <c r="O315" s="39" t="n">
        <f aca="false">IF(M315&gt;0,MAX(0,Catatan!$B$3-H315),0)</f>
        <v>0</v>
      </c>
      <c r="P315" s="39" t="str">
        <f aca="false">IF(M315&lt;=0,"Lunas",IF(Catatan!$B$3&lt;=H315,"Belum Jatuh Tempo",IF(O315&lt;=30,"1-30 hari",IF(O315&lt;=60,"31-60 hari",IF(O315&lt;=90,"61-90 hari","90+ hari")))))</f>
        <v>Lunas</v>
      </c>
      <c r="Q315" s="50"/>
      <c r="R315" s="39" t="str">
        <f aca="false">IF(M315&lt;=0,"",IF(O315&gt;60,"1-Tinggi",IF(O315&gt;30,"2-Sedang",IF(O315&gt;0,"3-Rendah","4-Pantau"))))</f>
        <v/>
      </c>
      <c r="S315" s="39" t="str">
        <f aca="false">IF(AND(M315&gt;0,O315&gt;0),O315+M315/1000000000000+ROW()/1000000000000000,"")</f>
        <v/>
      </c>
      <c r="T315" s="39" t="str">
        <f aca="false">IF(J315="Belum ditukar",ROW(),"")</f>
        <v/>
      </c>
    </row>
    <row r="316" customFormat="false" ht="15" hidden="false" customHeight="false" outlineLevel="0" collapsed="false">
      <c r="A316" s="50" t="s">
        <v>581</v>
      </c>
      <c r="B316" s="51" t="n">
        <v>45726</v>
      </c>
      <c r="C316" s="50" t="s">
        <v>298</v>
      </c>
      <c r="D316" s="39" t="str">
        <f aca="false">INDEX(Master_Customer!$B$2:$B$126,MATCH(C316,Master_Customer!$A$2:$A$126,0))</f>
        <v>BERKAH MOBIL MAKMUR</v>
      </c>
      <c r="E316" s="50" t="s">
        <v>31</v>
      </c>
      <c r="F316" s="52" t="n">
        <f aca="false">SUMIFS(Data_Penjualan!$G$2:$G$5998,Data_Penjualan!$A$2:$A$5998,A316)</f>
        <v>14720500</v>
      </c>
      <c r="G316" s="39" t="n">
        <f aca="false">IF(E316="KANTOR",0,INDEX(Master_Customer!$C$2:$C$126,MATCH(C316,Master_Customer!$A$2:$A$126,0)))</f>
        <v>14</v>
      </c>
      <c r="H316" s="53" t="n">
        <f aca="false">B316+G316</f>
        <v>45740</v>
      </c>
      <c r="I316" s="51" t="n">
        <v>45729</v>
      </c>
      <c r="J316" s="39" t="str">
        <f aca="false">IF(G316=0,"Tunai",IF(I316="","Belum ditukar","Sudah ditukar"))</f>
        <v>Sudah ditukar</v>
      </c>
      <c r="K316" s="54" t="n">
        <v>14720500</v>
      </c>
      <c r="L316" s="51" t="n">
        <v>45761</v>
      </c>
      <c r="M316" s="52" t="n">
        <f aca="false">F316-K316</f>
        <v>0</v>
      </c>
      <c r="N316" s="39" t="str">
        <f aca="false">IF(M316&lt;=0,"Lunas",IF(K316&gt;0,"Sebagian","Belum Bayar"))</f>
        <v>Lunas</v>
      </c>
      <c r="O316" s="39" t="n">
        <f aca="false">IF(M316&gt;0,MAX(0,Catatan!$B$3-H316),0)</f>
        <v>0</v>
      </c>
      <c r="P316" s="39" t="str">
        <f aca="false">IF(M316&lt;=0,"Lunas",IF(Catatan!$B$3&lt;=H316,"Belum Jatuh Tempo",IF(O316&lt;=30,"1-30 hari",IF(O316&lt;=60,"31-60 hari",IF(O316&lt;=90,"61-90 hari","90+ hari")))))</f>
        <v>Lunas</v>
      </c>
      <c r="Q316" s="50"/>
      <c r="R316" s="39" t="str">
        <f aca="false">IF(M316&lt;=0,"",IF(O316&gt;60,"1-Tinggi",IF(O316&gt;30,"2-Sedang",IF(O316&gt;0,"3-Rendah","4-Pantau"))))</f>
        <v/>
      </c>
      <c r="S316" s="39" t="str">
        <f aca="false">IF(AND(M316&gt;0,O316&gt;0),O316+M316/1000000000000+ROW()/1000000000000000,"")</f>
        <v/>
      </c>
      <c r="T316" s="39" t="str">
        <f aca="false">IF(J316="Belum ditukar",ROW(),"")</f>
        <v/>
      </c>
    </row>
    <row r="317" customFormat="false" ht="15" hidden="false" customHeight="false" outlineLevel="0" collapsed="false">
      <c r="A317" s="50" t="s">
        <v>582</v>
      </c>
      <c r="B317" s="51" t="n">
        <v>45727</v>
      </c>
      <c r="C317" s="50" t="s">
        <v>213</v>
      </c>
      <c r="D317" s="39" t="str">
        <f aca="false">INDEX(Master_Customer!$B$2:$B$126,MATCH(C317,Master_Customer!$A$2:$A$126,0))</f>
        <v>ABADI AUTO MAKMUR</v>
      </c>
      <c r="E317" s="50" t="s">
        <v>30</v>
      </c>
      <c r="F317" s="52" t="n">
        <f aca="false">SUMIFS(Data_Penjualan!$G$2:$G$5998,Data_Penjualan!$A$2:$A$5998,A317)</f>
        <v>27072300</v>
      </c>
      <c r="G317" s="39" t="n">
        <f aca="false">IF(E317="KANTOR",0,INDEX(Master_Customer!$C$2:$C$126,MATCH(C317,Master_Customer!$A$2:$A$126,0)))</f>
        <v>30</v>
      </c>
      <c r="H317" s="53" t="n">
        <f aca="false">B317+G317</f>
        <v>45757</v>
      </c>
      <c r="I317" s="51" t="n">
        <v>45728</v>
      </c>
      <c r="J317" s="39" t="str">
        <f aca="false">IF(G317=0,"Tunai",IF(I317="","Belum ditukar","Sudah ditukar"))</f>
        <v>Sudah ditukar</v>
      </c>
      <c r="K317" s="54" t="n">
        <v>27072300</v>
      </c>
      <c r="L317" s="51" t="n">
        <v>45756</v>
      </c>
      <c r="M317" s="52" t="n">
        <f aca="false">F317-K317</f>
        <v>0</v>
      </c>
      <c r="N317" s="39" t="str">
        <f aca="false">IF(M317&lt;=0,"Lunas",IF(K317&gt;0,"Sebagian","Belum Bayar"))</f>
        <v>Lunas</v>
      </c>
      <c r="O317" s="39" t="n">
        <f aca="false">IF(M317&gt;0,MAX(0,Catatan!$B$3-H317),0)</f>
        <v>0</v>
      </c>
      <c r="P317" s="39" t="str">
        <f aca="false">IF(M317&lt;=0,"Lunas",IF(Catatan!$B$3&lt;=H317,"Belum Jatuh Tempo",IF(O317&lt;=30,"1-30 hari",IF(O317&lt;=60,"31-60 hari",IF(O317&lt;=90,"61-90 hari","90+ hari")))))</f>
        <v>Lunas</v>
      </c>
      <c r="Q317" s="50"/>
      <c r="R317" s="39" t="str">
        <f aca="false">IF(M317&lt;=0,"",IF(O317&gt;60,"1-Tinggi",IF(O317&gt;30,"2-Sedang",IF(O317&gt;0,"3-Rendah","4-Pantau"))))</f>
        <v/>
      </c>
      <c r="S317" s="39" t="str">
        <f aca="false">IF(AND(M317&gt;0,O317&gt;0),O317+M317/1000000000000+ROW()/1000000000000000,"")</f>
        <v/>
      </c>
      <c r="T317" s="39" t="str">
        <f aca="false">IF(J317="Belum ditukar",ROW(),"")</f>
        <v/>
      </c>
    </row>
    <row r="318" customFormat="false" ht="15" hidden="false" customHeight="false" outlineLevel="0" collapsed="false">
      <c r="A318" s="50" t="s">
        <v>583</v>
      </c>
      <c r="B318" s="51" t="n">
        <v>45727</v>
      </c>
      <c r="C318" s="50" t="s">
        <v>403</v>
      </c>
      <c r="D318" s="39" t="str">
        <f aca="false">INDEX(Master_Customer!$B$2:$B$126,MATCH(C318,Master_Customer!$A$2:$A$126,0))</f>
        <v>BINTANG TEKNIK HARAPAN</v>
      </c>
      <c r="E318" s="50" t="s">
        <v>32</v>
      </c>
      <c r="F318" s="52" t="n">
        <f aca="false">SUMIFS(Data_Penjualan!$G$2:$G$5998,Data_Penjualan!$A$2:$A$5998,A318)</f>
        <v>16423000</v>
      </c>
      <c r="G318" s="39" t="n">
        <f aca="false">IF(E318="KANTOR",0,INDEX(Master_Customer!$C$2:$C$126,MATCH(C318,Master_Customer!$A$2:$A$126,0)))</f>
        <v>0</v>
      </c>
      <c r="H318" s="53" t="n">
        <f aca="false">B318+G318</f>
        <v>45727</v>
      </c>
      <c r="J318" s="39" t="str">
        <f aca="false">IF(G318=0,"Tunai",IF(I318="","Belum ditukar","Sudah ditukar"))</f>
        <v>Tunai</v>
      </c>
      <c r="K318" s="54" t="n">
        <v>16423000</v>
      </c>
      <c r="L318" s="51" t="n">
        <v>45728</v>
      </c>
      <c r="M318" s="52" t="n">
        <f aca="false">F318-K318</f>
        <v>0</v>
      </c>
      <c r="N318" s="39" t="str">
        <f aca="false">IF(M318&lt;=0,"Lunas",IF(K318&gt;0,"Sebagian","Belum Bayar"))</f>
        <v>Lunas</v>
      </c>
      <c r="O318" s="39" t="n">
        <f aca="false">IF(M318&gt;0,MAX(0,Catatan!$B$3-H318),0)</f>
        <v>0</v>
      </c>
      <c r="P318" s="39" t="str">
        <f aca="false">IF(M318&lt;=0,"Lunas",IF(Catatan!$B$3&lt;=H318,"Belum Jatuh Tempo",IF(O318&lt;=30,"1-30 hari",IF(O318&lt;=60,"31-60 hari",IF(O318&lt;=90,"61-90 hari","90+ hari")))))</f>
        <v>Lunas</v>
      </c>
      <c r="Q318" s="50"/>
      <c r="R318" s="39" t="str">
        <f aca="false">IF(M318&lt;=0,"",IF(O318&gt;60,"1-Tinggi",IF(O318&gt;30,"2-Sedang",IF(O318&gt;0,"3-Rendah","4-Pantau"))))</f>
        <v/>
      </c>
      <c r="S318" s="39" t="str">
        <f aca="false">IF(AND(M318&gt;0,O318&gt;0),O318+M318/1000000000000+ROW()/1000000000000000,"")</f>
        <v/>
      </c>
      <c r="T318" s="39" t="str">
        <f aca="false">IF(J318="Belum ditukar",ROW(),"")</f>
        <v/>
      </c>
    </row>
    <row r="319" customFormat="false" ht="15" hidden="false" customHeight="false" outlineLevel="0" collapsed="false">
      <c r="A319" s="50" t="s">
        <v>584</v>
      </c>
      <c r="B319" s="51" t="n">
        <v>45728</v>
      </c>
      <c r="C319" s="50" t="s">
        <v>491</v>
      </c>
      <c r="D319" s="39" t="str">
        <f aca="false">INDEX(Master_Customer!$B$2:$B$126,MATCH(C319,Master_Customer!$A$2:$A$126,0))</f>
        <v>SINAR SERVICE</v>
      </c>
      <c r="E319" s="50" t="s">
        <v>31</v>
      </c>
      <c r="F319" s="52" t="n">
        <f aca="false">SUMIFS(Data_Penjualan!$G$2:$G$5998,Data_Penjualan!$A$2:$A$5998,A319)</f>
        <v>6116700</v>
      </c>
      <c r="G319" s="39" t="n">
        <f aca="false">IF(E319="KANTOR",0,INDEX(Master_Customer!$C$2:$C$126,MATCH(C319,Master_Customer!$A$2:$A$126,0)))</f>
        <v>0</v>
      </c>
      <c r="H319" s="53" t="n">
        <f aca="false">B319+G319</f>
        <v>45728</v>
      </c>
      <c r="J319" s="39" t="str">
        <f aca="false">IF(G319=0,"Tunai",IF(I319="","Belum ditukar","Sudah ditukar"))</f>
        <v>Tunai</v>
      </c>
      <c r="K319" s="54" t="n">
        <v>6116700</v>
      </c>
      <c r="L319" s="51" t="n">
        <v>45728</v>
      </c>
      <c r="M319" s="52" t="n">
        <f aca="false">F319-K319</f>
        <v>0</v>
      </c>
      <c r="N319" s="39" t="str">
        <f aca="false">IF(M319&lt;=0,"Lunas",IF(K319&gt;0,"Sebagian","Belum Bayar"))</f>
        <v>Lunas</v>
      </c>
      <c r="O319" s="39" t="n">
        <f aca="false">IF(M319&gt;0,MAX(0,Catatan!$B$3-H319),0)</f>
        <v>0</v>
      </c>
      <c r="P319" s="39" t="str">
        <f aca="false">IF(M319&lt;=0,"Lunas",IF(Catatan!$B$3&lt;=H319,"Belum Jatuh Tempo",IF(O319&lt;=30,"1-30 hari",IF(O319&lt;=60,"31-60 hari",IF(O319&lt;=90,"61-90 hari","90+ hari")))))</f>
        <v>Lunas</v>
      </c>
      <c r="Q319" s="50"/>
      <c r="R319" s="39" t="str">
        <f aca="false">IF(M319&lt;=0,"",IF(O319&gt;60,"1-Tinggi",IF(O319&gt;30,"2-Sedang",IF(O319&gt;0,"3-Rendah","4-Pantau"))))</f>
        <v/>
      </c>
      <c r="S319" s="39" t="str">
        <f aca="false">IF(AND(M319&gt;0,O319&gt;0),O319+M319/1000000000000+ROW()/1000000000000000,"")</f>
        <v/>
      </c>
      <c r="T319" s="39" t="str">
        <f aca="false">IF(J319="Belum ditukar",ROW(),"")</f>
        <v/>
      </c>
    </row>
    <row r="320" customFormat="false" ht="15" hidden="false" customHeight="false" outlineLevel="0" collapsed="false">
      <c r="A320" s="50" t="s">
        <v>585</v>
      </c>
      <c r="B320" s="51" t="n">
        <v>45728</v>
      </c>
      <c r="C320" s="50" t="s">
        <v>243</v>
      </c>
      <c r="D320" s="39" t="str">
        <f aca="false">INDEX(Master_Customer!$B$2:$B$126,MATCH(C320,Master_Customer!$A$2:$A$126,0))</f>
        <v>SENTOSA LUBRICANT MULIA</v>
      </c>
      <c r="E320" s="50" t="s">
        <v>30</v>
      </c>
      <c r="F320" s="52" t="n">
        <f aca="false">SUMIFS(Data_Penjualan!$G$2:$G$5998,Data_Penjualan!$A$2:$A$5998,A320)</f>
        <v>8150400</v>
      </c>
      <c r="G320" s="39" t="n">
        <f aca="false">IF(E320="KANTOR",0,INDEX(Master_Customer!$C$2:$C$126,MATCH(C320,Master_Customer!$A$2:$A$126,0)))</f>
        <v>45</v>
      </c>
      <c r="H320" s="53" t="n">
        <f aca="false">B320+G320</f>
        <v>45773</v>
      </c>
      <c r="I320" s="51" t="n">
        <v>45733</v>
      </c>
      <c r="J320" s="39" t="str">
        <f aca="false">IF(G320=0,"Tunai",IF(I320="","Belum ditukar","Sudah ditukar"))</f>
        <v>Sudah ditukar</v>
      </c>
      <c r="K320" s="54" t="n">
        <v>8150400</v>
      </c>
      <c r="L320" s="51" t="n">
        <v>45801</v>
      </c>
      <c r="M320" s="52" t="n">
        <f aca="false">F320-K320</f>
        <v>0</v>
      </c>
      <c r="N320" s="39" t="str">
        <f aca="false">IF(M320&lt;=0,"Lunas",IF(K320&gt;0,"Sebagian","Belum Bayar"))</f>
        <v>Lunas</v>
      </c>
      <c r="O320" s="39" t="n">
        <f aca="false">IF(M320&gt;0,MAX(0,Catatan!$B$3-H320),0)</f>
        <v>0</v>
      </c>
      <c r="P320" s="39" t="str">
        <f aca="false">IF(M320&lt;=0,"Lunas",IF(Catatan!$B$3&lt;=H320,"Belum Jatuh Tempo",IF(O320&lt;=30,"1-30 hari",IF(O320&lt;=60,"31-60 hari",IF(O320&lt;=90,"61-90 hari","90+ hari")))))</f>
        <v>Lunas</v>
      </c>
      <c r="Q320" s="50"/>
      <c r="R320" s="39" t="str">
        <f aca="false">IF(M320&lt;=0,"",IF(O320&gt;60,"1-Tinggi",IF(O320&gt;30,"2-Sedang",IF(O320&gt;0,"3-Rendah","4-Pantau"))))</f>
        <v/>
      </c>
      <c r="S320" s="39" t="str">
        <f aca="false">IF(AND(M320&gt;0,O320&gt;0),O320+M320/1000000000000+ROW()/1000000000000000,"")</f>
        <v/>
      </c>
      <c r="T320" s="39" t="str">
        <f aca="false">IF(J320="Belum ditukar",ROW(),"")</f>
        <v/>
      </c>
    </row>
    <row r="321" customFormat="false" ht="15" hidden="false" customHeight="false" outlineLevel="0" collapsed="false">
      <c r="A321" s="50" t="s">
        <v>586</v>
      </c>
      <c r="B321" s="51" t="n">
        <v>45728</v>
      </c>
      <c r="C321" s="50" t="s">
        <v>574</v>
      </c>
      <c r="D321" s="39" t="str">
        <f aca="false">INDEX(Master_Customer!$B$2:$B$126,MATCH(C321,Master_Customer!$A$2:$A$126,0))</f>
        <v>ABADI SERVICE ABADI</v>
      </c>
      <c r="E321" s="50" t="s">
        <v>29</v>
      </c>
      <c r="F321" s="52" t="n">
        <f aca="false">SUMIFS(Data_Penjualan!$G$2:$G$5998,Data_Penjualan!$A$2:$A$5998,A321)</f>
        <v>7583600</v>
      </c>
      <c r="G321" s="39" t="n">
        <f aca="false">IF(E321="KANTOR",0,INDEX(Master_Customer!$C$2:$C$126,MATCH(C321,Master_Customer!$A$2:$A$126,0)))</f>
        <v>30</v>
      </c>
      <c r="H321" s="53" t="n">
        <f aca="false">B321+G321</f>
        <v>45758</v>
      </c>
      <c r="I321" s="51" t="n">
        <v>45730</v>
      </c>
      <c r="J321" s="39" t="str">
        <f aca="false">IF(G321=0,"Tunai",IF(I321="","Belum ditukar","Sudah ditukar"))</f>
        <v>Sudah ditukar</v>
      </c>
      <c r="K321" s="54" t="n">
        <v>7583600</v>
      </c>
      <c r="L321" s="51" t="n">
        <v>45764</v>
      </c>
      <c r="M321" s="52" t="n">
        <f aca="false">F321-K321</f>
        <v>0</v>
      </c>
      <c r="N321" s="39" t="str">
        <f aca="false">IF(M321&lt;=0,"Lunas",IF(K321&gt;0,"Sebagian","Belum Bayar"))</f>
        <v>Lunas</v>
      </c>
      <c r="O321" s="39" t="n">
        <f aca="false">IF(M321&gt;0,MAX(0,Catatan!$B$3-H321),0)</f>
        <v>0</v>
      </c>
      <c r="P321" s="39" t="str">
        <f aca="false">IF(M321&lt;=0,"Lunas",IF(Catatan!$B$3&lt;=H321,"Belum Jatuh Tempo",IF(O321&lt;=30,"1-30 hari",IF(O321&lt;=60,"31-60 hari",IF(O321&lt;=90,"61-90 hari","90+ hari")))))</f>
        <v>Lunas</v>
      </c>
      <c r="Q321" s="50"/>
      <c r="R321" s="39" t="str">
        <f aca="false">IF(M321&lt;=0,"",IF(O321&gt;60,"1-Tinggi",IF(O321&gt;30,"2-Sedang",IF(O321&gt;0,"3-Rendah","4-Pantau"))))</f>
        <v/>
      </c>
      <c r="S321" s="39" t="str">
        <f aca="false">IF(AND(M321&gt;0,O321&gt;0),O321+M321/1000000000000+ROW()/1000000000000000,"")</f>
        <v/>
      </c>
      <c r="T321" s="39" t="str">
        <f aca="false">IF(J321="Belum ditukar",ROW(),"")</f>
        <v/>
      </c>
    </row>
    <row r="322" customFormat="false" ht="15" hidden="false" customHeight="false" outlineLevel="0" collapsed="false">
      <c r="A322" s="50" t="s">
        <v>587</v>
      </c>
      <c r="B322" s="51" t="n">
        <v>45728</v>
      </c>
      <c r="C322" s="50" t="s">
        <v>166</v>
      </c>
      <c r="D322" s="39" t="str">
        <f aca="false">INDEX(Master_Customer!$B$2:$B$126,MATCH(C322,Master_Customer!$A$2:$A$126,0))</f>
        <v>SENTOSA SERVICE</v>
      </c>
      <c r="E322" s="50" t="s">
        <v>30</v>
      </c>
      <c r="F322" s="52" t="n">
        <f aca="false">SUMIFS(Data_Penjualan!$G$2:$G$5998,Data_Penjualan!$A$2:$A$5998,A322)</f>
        <v>2422100</v>
      </c>
      <c r="G322" s="39" t="n">
        <f aca="false">IF(E322="KANTOR",0,INDEX(Master_Customer!$C$2:$C$126,MATCH(C322,Master_Customer!$A$2:$A$126,0)))</f>
        <v>0</v>
      </c>
      <c r="H322" s="53" t="n">
        <f aca="false">B322+G322</f>
        <v>45728</v>
      </c>
      <c r="J322" s="39" t="str">
        <f aca="false">IF(G322=0,"Tunai",IF(I322="","Belum ditukar","Sudah ditukar"))</f>
        <v>Tunai</v>
      </c>
      <c r="K322" s="54" t="n">
        <v>2422100</v>
      </c>
      <c r="L322" s="51" t="n">
        <v>45729</v>
      </c>
      <c r="M322" s="52" t="n">
        <f aca="false">F322-K322</f>
        <v>0</v>
      </c>
      <c r="N322" s="39" t="str">
        <f aca="false">IF(M322&lt;=0,"Lunas",IF(K322&gt;0,"Sebagian","Belum Bayar"))</f>
        <v>Lunas</v>
      </c>
      <c r="O322" s="39" t="n">
        <f aca="false">IF(M322&gt;0,MAX(0,Catatan!$B$3-H322),0)</f>
        <v>0</v>
      </c>
      <c r="P322" s="39" t="str">
        <f aca="false">IF(M322&lt;=0,"Lunas",IF(Catatan!$B$3&lt;=H322,"Belum Jatuh Tempo",IF(O322&lt;=30,"1-30 hari",IF(O322&lt;=60,"31-60 hari",IF(O322&lt;=90,"61-90 hari","90+ hari")))))</f>
        <v>Lunas</v>
      </c>
      <c r="Q322" s="50"/>
      <c r="R322" s="39" t="str">
        <f aca="false">IF(M322&lt;=0,"",IF(O322&gt;60,"1-Tinggi",IF(O322&gt;30,"2-Sedang",IF(O322&gt;0,"3-Rendah","4-Pantau"))))</f>
        <v/>
      </c>
      <c r="S322" s="39" t="str">
        <f aca="false">IF(AND(M322&gt;0,O322&gt;0),O322+M322/1000000000000+ROW()/1000000000000000,"")</f>
        <v/>
      </c>
      <c r="T322" s="39" t="str">
        <f aca="false">IF(J322="Belum ditukar",ROW(),"")</f>
        <v/>
      </c>
    </row>
    <row r="323" customFormat="false" ht="15" hidden="false" customHeight="false" outlineLevel="0" collapsed="false">
      <c r="A323" s="50" t="s">
        <v>588</v>
      </c>
      <c r="B323" s="51" t="n">
        <v>45729</v>
      </c>
      <c r="C323" s="50" t="s">
        <v>168</v>
      </c>
      <c r="D323" s="39" t="str">
        <f aca="false">INDEX(Master_Customer!$B$2:$B$126,MATCH(C323,Master_Customer!$A$2:$A$126,0))</f>
        <v>JAYA LUBRICANT</v>
      </c>
      <c r="E323" s="50" t="s">
        <v>32</v>
      </c>
      <c r="F323" s="52" t="n">
        <f aca="false">SUMIFS(Data_Penjualan!$G$2:$G$5998,Data_Penjualan!$A$2:$A$5998,A323)</f>
        <v>4636800</v>
      </c>
      <c r="G323" s="39" t="n">
        <f aca="false">IF(E323="KANTOR",0,INDEX(Master_Customer!$C$2:$C$126,MATCH(C323,Master_Customer!$A$2:$A$126,0)))</f>
        <v>0</v>
      </c>
      <c r="H323" s="53" t="n">
        <f aca="false">B323+G323</f>
        <v>45729</v>
      </c>
      <c r="J323" s="39" t="str">
        <f aca="false">IF(G323=0,"Tunai",IF(I323="","Belum ditukar","Sudah ditukar"))</f>
        <v>Tunai</v>
      </c>
      <c r="K323" s="54" t="n">
        <v>4636800</v>
      </c>
      <c r="L323" s="51" t="n">
        <v>45730</v>
      </c>
      <c r="M323" s="52" t="n">
        <f aca="false">F323-K323</f>
        <v>0</v>
      </c>
      <c r="N323" s="39" t="str">
        <f aca="false">IF(M323&lt;=0,"Lunas",IF(K323&gt;0,"Sebagian","Belum Bayar"))</f>
        <v>Lunas</v>
      </c>
      <c r="O323" s="39" t="n">
        <f aca="false">IF(M323&gt;0,MAX(0,Catatan!$B$3-H323),0)</f>
        <v>0</v>
      </c>
      <c r="P323" s="39" t="str">
        <f aca="false">IF(M323&lt;=0,"Lunas",IF(Catatan!$B$3&lt;=H323,"Belum Jatuh Tempo",IF(O323&lt;=30,"1-30 hari",IF(O323&lt;=60,"31-60 hari",IF(O323&lt;=90,"61-90 hari","90+ hari")))))</f>
        <v>Lunas</v>
      </c>
      <c r="Q323" s="50"/>
      <c r="R323" s="39" t="str">
        <f aca="false">IF(M323&lt;=0,"",IF(O323&gt;60,"1-Tinggi",IF(O323&gt;30,"2-Sedang",IF(O323&gt;0,"3-Rendah","4-Pantau"))))</f>
        <v/>
      </c>
      <c r="S323" s="39" t="str">
        <f aca="false">IF(AND(M323&gt;0,O323&gt;0),O323+M323/1000000000000+ROW()/1000000000000000,"")</f>
        <v/>
      </c>
      <c r="T323" s="39" t="str">
        <f aca="false">IF(J323="Belum ditukar",ROW(),"")</f>
        <v/>
      </c>
    </row>
    <row r="324" customFormat="false" ht="15" hidden="false" customHeight="false" outlineLevel="0" collapsed="false">
      <c r="A324" s="50" t="s">
        <v>589</v>
      </c>
      <c r="B324" s="51" t="n">
        <v>45729</v>
      </c>
      <c r="C324" s="50" t="s">
        <v>590</v>
      </c>
      <c r="D324" s="39" t="str">
        <f aca="false">INDEX(Master_Customer!$B$2:$B$126,MATCH(C324,Master_Customer!$A$2:$A$126,0))</f>
        <v>BINTANG MOTOR</v>
      </c>
      <c r="E324" s="50" t="s">
        <v>30</v>
      </c>
      <c r="F324" s="52" t="n">
        <f aca="false">SUMIFS(Data_Penjualan!$G$2:$G$5998,Data_Penjualan!$A$2:$A$5998,A324)</f>
        <v>12059300</v>
      </c>
      <c r="G324" s="39" t="n">
        <f aca="false">IF(E324="KANTOR",0,INDEX(Master_Customer!$C$2:$C$126,MATCH(C324,Master_Customer!$A$2:$A$126,0)))</f>
        <v>30</v>
      </c>
      <c r="H324" s="53" t="n">
        <f aca="false">B324+G324</f>
        <v>45759</v>
      </c>
      <c r="I324" s="51" t="n">
        <v>45733</v>
      </c>
      <c r="J324" s="39" t="str">
        <f aca="false">IF(G324=0,"Tunai",IF(I324="","Belum ditukar","Sudah ditukar"))</f>
        <v>Sudah ditukar</v>
      </c>
      <c r="K324" s="54" t="n">
        <v>12059300</v>
      </c>
      <c r="L324" s="51" t="n">
        <v>45752</v>
      </c>
      <c r="M324" s="52" t="n">
        <f aca="false">F324-K324</f>
        <v>0</v>
      </c>
      <c r="N324" s="39" t="str">
        <f aca="false">IF(M324&lt;=0,"Lunas",IF(K324&gt;0,"Sebagian","Belum Bayar"))</f>
        <v>Lunas</v>
      </c>
      <c r="O324" s="39" t="n">
        <f aca="false">IF(M324&gt;0,MAX(0,Catatan!$B$3-H324),0)</f>
        <v>0</v>
      </c>
      <c r="P324" s="39" t="str">
        <f aca="false">IF(M324&lt;=0,"Lunas",IF(Catatan!$B$3&lt;=H324,"Belum Jatuh Tempo",IF(O324&lt;=30,"1-30 hari",IF(O324&lt;=60,"31-60 hari",IF(O324&lt;=90,"61-90 hari","90+ hari")))))</f>
        <v>Lunas</v>
      </c>
      <c r="Q324" s="50"/>
      <c r="R324" s="39" t="str">
        <f aca="false">IF(M324&lt;=0,"",IF(O324&gt;60,"1-Tinggi",IF(O324&gt;30,"2-Sedang",IF(O324&gt;0,"3-Rendah","4-Pantau"))))</f>
        <v/>
      </c>
      <c r="S324" s="39" t="str">
        <f aca="false">IF(AND(M324&gt;0,O324&gt;0),O324+M324/1000000000000+ROW()/1000000000000000,"")</f>
        <v/>
      </c>
      <c r="T324" s="39" t="str">
        <f aca="false">IF(J324="Belum ditukar",ROW(),"")</f>
        <v/>
      </c>
    </row>
    <row r="325" customFormat="false" ht="15" hidden="false" customHeight="false" outlineLevel="0" collapsed="false">
      <c r="A325" s="50" t="s">
        <v>591</v>
      </c>
      <c r="B325" s="51" t="n">
        <v>45729</v>
      </c>
      <c r="C325" s="50" t="s">
        <v>166</v>
      </c>
      <c r="D325" s="39" t="str">
        <f aca="false">INDEX(Master_Customer!$B$2:$B$126,MATCH(C325,Master_Customer!$A$2:$A$126,0))</f>
        <v>SENTOSA SERVICE</v>
      </c>
      <c r="E325" s="50" t="s">
        <v>32</v>
      </c>
      <c r="F325" s="52" t="n">
        <f aca="false">SUMIFS(Data_Penjualan!$G$2:$G$5998,Data_Penjualan!$A$2:$A$5998,A325)</f>
        <v>16799000</v>
      </c>
      <c r="G325" s="39" t="n">
        <f aca="false">IF(E325="KANTOR",0,INDEX(Master_Customer!$C$2:$C$126,MATCH(C325,Master_Customer!$A$2:$A$126,0)))</f>
        <v>0</v>
      </c>
      <c r="H325" s="53" t="n">
        <f aca="false">B325+G325</f>
        <v>45729</v>
      </c>
      <c r="J325" s="39" t="str">
        <f aca="false">IF(G325=0,"Tunai",IF(I325="","Belum ditukar","Sudah ditukar"))</f>
        <v>Tunai</v>
      </c>
      <c r="K325" s="54" t="n">
        <v>16799000</v>
      </c>
      <c r="L325" s="51" t="n">
        <v>45729</v>
      </c>
      <c r="M325" s="52" t="n">
        <f aca="false">F325-K325</f>
        <v>0</v>
      </c>
      <c r="N325" s="39" t="str">
        <f aca="false">IF(M325&lt;=0,"Lunas",IF(K325&gt;0,"Sebagian","Belum Bayar"))</f>
        <v>Lunas</v>
      </c>
      <c r="O325" s="39" t="n">
        <f aca="false">IF(M325&gt;0,MAX(0,Catatan!$B$3-H325),0)</f>
        <v>0</v>
      </c>
      <c r="P325" s="39" t="str">
        <f aca="false">IF(M325&lt;=0,"Lunas",IF(Catatan!$B$3&lt;=H325,"Belum Jatuh Tempo",IF(O325&lt;=30,"1-30 hari",IF(O325&lt;=60,"31-60 hari",IF(O325&lt;=90,"61-90 hari","90+ hari")))))</f>
        <v>Lunas</v>
      </c>
      <c r="Q325" s="50"/>
      <c r="R325" s="39" t="str">
        <f aca="false">IF(M325&lt;=0,"",IF(O325&gt;60,"1-Tinggi",IF(O325&gt;30,"2-Sedang",IF(O325&gt;0,"3-Rendah","4-Pantau"))))</f>
        <v/>
      </c>
      <c r="S325" s="39" t="str">
        <f aca="false">IF(AND(M325&gt;0,O325&gt;0),O325+M325/1000000000000+ROW()/1000000000000000,"")</f>
        <v/>
      </c>
      <c r="T325" s="39" t="str">
        <f aca="false">IF(J325="Belum ditukar",ROW(),"")</f>
        <v/>
      </c>
    </row>
    <row r="326" customFormat="false" ht="15" hidden="false" customHeight="false" outlineLevel="0" collapsed="false">
      <c r="A326" s="50" t="s">
        <v>592</v>
      </c>
      <c r="B326" s="51" t="n">
        <v>45729</v>
      </c>
      <c r="C326" s="50" t="s">
        <v>166</v>
      </c>
      <c r="D326" s="39" t="str">
        <f aca="false">INDEX(Master_Customer!$B$2:$B$126,MATCH(C326,Master_Customer!$A$2:$A$126,0))</f>
        <v>SENTOSA SERVICE</v>
      </c>
      <c r="E326" s="50" t="s">
        <v>32</v>
      </c>
      <c r="F326" s="52" t="n">
        <f aca="false">SUMIFS(Data_Penjualan!$G$2:$G$5998,Data_Penjualan!$A$2:$A$5998,A326)</f>
        <v>1438700</v>
      </c>
      <c r="G326" s="39" t="n">
        <f aca="false">IF(E326="KANTOR",0,INDEX(Master_Customer!$C$2:$C$126,MATCH(C326,Master_Customer!$A$2:$A$126,0)))</f>
        <v>0</v>
      </c>
      <c r="H326" s="53" t="n">
        <f aca="false">B326+G326</f>
        <v>45729</v>
      </c>
      <c r="J326" s="39" t="str">
        <f aca="false">IF(G326=0,"Tunai",IF(I326="","Belum ditukar","Sudah ditukar"))</f>
        <v>Tunai</v>
      </c>
      <c r="K326" s="54" t="n">
        <v>1438700</v>
      </c>
      <c r="L326" s="51" t="n">
        <v>45729</v>
      </c>
      <c r="M326" s="52" t="n">
        <f aca="false">F326-K326</f>
        <v>0</v>
      </c>
      <c r="N326" s="39" t="str">
        <f aca="false">IF(M326&lt;=0,"Lunas",IF(K326&gt;0,"Sebagian","Belum Bayar"))</f>
        <v>Lunas</v>
      </c>
      <c r="O326" s="39" t="n">
        <f aca="false">IF(M326&gt;0,MAX(0,Catatan!$B$3-H326),0)</f>
        <v>0</v>
      </c>
      <c r="P326" s="39" t="str">
        <f aca="false">IF(M326&lt;=0,"Lunas",IF(Catatan!$B$3&lt;=H326,"Belum Jatuh Tempo",IF(O326&lt;=30,"1-30 hari",IF(O326&lt;=60,"31-60 hari",IF(O326&lt;=90,"61-90 hari","90+ hari")))))</f>
        <v>Lunas</v>
      </c>
      <c r="Q326" s="50"/>
      <c r="R326" s="39" t="str">
        <f aca="false">IF(M326&lt;=0,"",IF(O326&gt;60,"1-Tinggi",IF(O326&gt;30,"2-Sedang",IF(O326&gt;0,"3-Rendah","4-Pantau"))))</f>
        <v/>
      </c>
      <c r="S326" s="39" t="str">
        <f aca="false">IF(AND(M326&gt;0,O326&gt;0),O326+M326/1000000000000+ROW()/1000000000000000,"")</f>
        <v/>
      </c>
      <c r="T326" s="39" t="str">
        <f aca="false">IF(J326="Belum ditukar",ROW(),"")</f>
        <v/>
      </c>
    </row>
    <row r="327" customFormat="false" ht="15" hidden="false" customHeight="false" outlineLevel="0" collapsed="false">
      <c r="A327" s="50" t="s">
        <v>593</v>
      </c>
      <c r="B327" s="51" t="n">
        <v>45729</v>
      </c>
      <c r="C327" s="50" t="s">
        <v>197</v>
      </c>
      <c r="D327" s="39" t="str">
        <f aca="false">INDEX(Master_Customer!$B$2:$B$126,MATCH(C327,Master_Customer!$A$2:$A$126,0))</f>
        <v>UTAMA LUBRICANT HARAPAN</v>
      </c>
      <c r="E327" s="50" t="s">
        <v>30</v>
      </c>
      <c r="F327" s="52" t="n">
        <f aca="false">SUMIFS(Data_Penjualan!$G$2:$G$5998,Data_Penjualan!$A$2:$A$5998,A327)</f>
        <v>5953100</v>
      </c>
      <c r="G327" s="39" t="n">
        <f aca="false">IF(E327="KANTOR",0,INDEX(Master_Customer!$C$2:$C$126,MATCH(C327,Master_Customer!$A$2:$A$126,0)))</f>
        <v>30</v>
      </c>
      <c r="H327" s="53" t="n">
        <f aca="false">B327+G327</f>
        <v>45759</v>
      </c>
      <c r="I327" s="51" t="n">
        <v>45733</v>
      </c>
      <c r="J327" s="39" t="str">
        <f aca="false">IF(G327=0,"Tunai",IF(I327="","Belum ditukar","Sudah ditukar"))</f>
        <v>Sudah ditukar</v>
      </c>
      <c r="K327" s="54" t="n">
        <v>5953100</v>
      </c>
      <c r="L327" s="51" t="n">
        <v>45760</v>
      </c>
      <c r="M327" s="52" t="n">
        <f aca="false">F327-K327</f>
        <v>0</v>
      </c>
      <c r="N327" s="39" t="str">
        <f aca="false">IF(M327&lt;=0,"Lunas",IF(K327&gt;0,"Sebagian","Belum Bayar"))</f>
        <v>Lunas</v>
      </c>
      <c r="O327" s="39" t="n">
        <f aca="false">IF(M327&gt;0,MAX(0,Catatan!$B$3-H327),0)</f>
        <v>0</v>
      </c>
      <c r="P327" s="39" t="str">
        <f aca="false">IF(M327&lt;=0,"Lunas",IF(Catatan!$B$3&lt;=H327,"Belum Jatuh Tempo",IF(O327&lt;=30,"1-30 hari",IF(O327&lt;=60,"31-60 hari",IF(O327&lt;=90,"61-90 hari","90+ hari")))))</f>
        <v>Lunas</v>
      </c>
      <c r="Q327" s="50"/>
      <c r="R327" s="39" t="str">
        <f aca="false">IF(M327&lt;=0,"",IF(O327&gt;60,"1-Tinggi",IF(O327&gt;30,"2-Sedang",IF(O327&gt;0,"3-Rendah","4-Pantau"))))</f>
        <v/>
      </c>
      <c r="S327" s="39" t="str">
        <f aca="false">IF(AND(M327&gt;0,O327&gt;0),O327+M327/1000000000000+ROW()/1000000000000000,"")</f>
        <v/>
      </c>
      <c r="T327" s="39" t="str">
        <f aca="false">IF(J327="Belum ditukar",ROW(),"")</f>
        <v/>
      </c>
    </row>
    <row r="328" customFormat="false" ht="15" hidden="false" customHeight="false" outlineLevel="0" collapsed="false">
      <c r="A328" s="50" t="s">
        <v>594</v>
      </c>
      <c r="B328" s="51" t="n">
        <v>45730</v>
      </c>
      <c r="C328" s="50" t="s">
        <v>191</v>
      </c>
      <c r="D328" s="39" t="str">
        <f aca="false">INDEX(Master_Customer!$B$2:$B$126,MATCH(C328,Master_Customer!$A$2:$A$126,0))</f>
        <v>SINAR AUTO BERKAH</v>
      </c>
      <c r="E328" s="50" t="s">
        <v>30</v>
      </c>
      <c r="F328" s="52" t="n">
        <f aca="false">SUMIFS(Data_Penjualan!$G$2:$G$5998,Data_Penjualan!$A$2:$A$5998,A328)</f>
        <v>16504800</v>
      </c>
      <c r="G328" s="39" t="n">
        <f aca="false">IF(E328="KANTOR",0,INDEX(Master_Customer!$C$2:$C$126,MATCH(C328,Master_Customer!$A$2:$A$126,0)))</f>
        <v>30</v>
      </c>
      <c r="H328" s="53" t="n">
        <f aca="false">B328+G328</f>
        <v>45760</v>
      </c>
      <c r="I328" s="51" t="n">
        <v>45733</v>
      </c>
      <c r="J328" s="39" t="str">
        <f aca="false">IF(G328=0,"Tunai",IF(I328="","Belum ditukar","Sudah ditukar"))</f>
        <v>Sudah ditukar</v>
      </c>
      <c r="K328" s="54" t="n">
        <v>16504800</v>
      </c>
      <c r="L328" s="51" t="n">
        <v>45795</v>
      </c>
      <c r="M328" s="52" t="n">
        <f aca="false">F328-K328</f>
        <v>0</v>
      </c>
      <c r="N328" s="39" t="str">
        <f aca="false">IF(M328&lt;=0,"Lunas",IF(K328&gt;0,"Sebagian","Belum Bayar"))</f>
        <v>Lunas</v>
      </c>
      <c r="O328" s="39" t="n">
        <f aca="false">IF(M328&gt;0,MAX(0,Catatan!$B$3-H328),0)</f>
        <v>0</v>
      </c>
      <c r="P328" s="39" t="str">
        <f aca="false">IF(M328&lt;=0,"Lunas",IF(Catatan!$B$3&lt;=H328,"Belum Jatuh Tempo",IF(O328&lt;=30,"1-30 hari",IF(O328&lt;=60,"31-60 hari",IF(O328&lt;=90,"61-90 hari","90+ hari")))))</f>
        <v>Lunas</v>
      </c>
      <c r="Q328" s="50"/>
      <c r="R328" s="39" t="str">
        <f aca="false">IF(M328&lt;=0,"",IF(O328&gt;60,"1-Tinggi",IF(O328&gt;30,"2-Sedang",IF(O328&gt;0,"3-Rendah","4-Pantau"))))</f>
        <v/>
      </c>
      <c r="S328" s="39" t="str">
        <f aca="false">IF(AND(M328&gt;0,O328&gt;0),O328+M328/1000000000000+ROW()/1000000000000000,"")</f>
        <v/>
      </c>
      <c r="T328" s="39" t="str">
        <f aca="false">IF(J328="Belum ditukar",ROW(),"")</f>
        <v/>
      </c>
    </row>
    <row r="329" customFormat="false" ht="15" hidden="false" customHeight="false" outlineLevel="0" collapsed="false">
      <c r="A329" s="50" t="s">
        <v>595</v>
      </c>
      <c r="B329" s="51" t="n">
        <v>45730</v>
      </c>
      <c r="C329" s="50" t="s">
        <v>193</v>
      </c>
      <c r="D329" s="39" t="str">
        <f aca="false">INDEX(Master_Customer!$B$2:$B$126,MATCH(C329,Master_Customer!$A$2:$A$126,0))</f>
        <v>BINTANG BENGKEL</v>
      </c>
      <c r="E329" s="50" t="s">
        <v>31</v>
      </c>
      <c r="F329" s="52" t="n">
        <f aca="false">SUMIFS(Data_Penjualan!$G$2:$G$5998,Data_Penjualan!$A$2:$A$5998,A329)</f>
        <v>5583400</v>
      </c>
      <c r="G329" s="39" t="n">
        <f aca="false">IF(E329="KANTOR",0,INDEX(Master_Customer!$C$2:$C$126,MATCH(C329,Master_Customer!$A$2:$A$126,0)))</f>
        <v>14</v>
      </c>
      <c r="H329" s="53" t="n">
        <f aca="false">B329+G329</f>
        <v>45744</v>
      </c>
      <c r="I329" s="51" t="n">
        <v>45734</v>
      </c>
      <c r="J329" s="39" t="str">
        <f aca="false">IF(G329=0,"Tunai",IF(I329="","Belum ditukar","Sudah ditukar"))</f>
        <v>Sudah ditukar</v>
      </c>
      <c r="K329" s="54" t="n">
        <v>5583400</v>
      </c>
      <c r="L329" s="51" t="n">
        <v>45816</v>
      </c>
      <c r="M329" s="52" t="n">
        <f aca="false">F329-K329</f>
        <v>0</v>
      </c>
      <c r="N329" s="39" t="str">
        <f aca="false">IF(M329&lt;=0,"Lunas",IF(K329&gt;0,"Sebagian","Belum Bayar"))</f>
        <v>Lunas</v>
      </c>
      <c r="O329" s="39" t="n">
        <f aca="false">IF(M329&gt;0,MAX(0,Catatan!$B$3-H329),0)</f>
        <v>0</v>
      </c>
      <c r="P329" s="39" t="str">
        <f aca="false">IF(M329&lt;=0,"Lunas",IF(Catatan!$B$3&lt;=H329,"Belum Jatuh Tempo",IF(O329&lt;=30,"1-30 hari",IF(O329&lt;=60,"31-60 hari",IF(O329&lt;=90,"61-90 hari","90+ hari")))))</f>
        <v>Lunas</v>
      </c>
      <c r="Q329" s="50"/>
      <c r="R329" s="39" t="str">
        <f aca="false">IF(M329&lt;=0,"",IF(O329&gt;60,"1-Tinggi",IF(O329&gt;30,"2-Sedang",IF(O329&gt;0,"3-Rendah","4-Pantau"))))</f>
        <v/>
      </c>
      <c r="S329" s="39" t="str">
        <f aca="false">IF(AND(M329&gt;0,O329&gt;0),O329+M329/1000000000000+ROW()/1000000000000000,"")</f>
        <v/>
      </c>
      <c r="T329" s="39" t="str">
        <f aca="false">IF(J329="Belum ditukar",ROW(),"")</f>
        <v/>
      </c>
    </row>
    <row r="330" customFormat="false" ht="15" hidden="false" customHeight="false" outlineLevel="0" collapsed="false">
      <c r="A330" s="50" t="s">
        <v>596</v>
      </c>
      <c r="B330" s="51" t="n">
        <v>45731</v>
      </c>
      <c r="C330" s="50" t="s">
        <v>170</v>
      </c>
      <c r="D330" s="39" t="str">
        <f aca="false">INDEX(Master_Customer!$B$2:$B$126,MATCH(C330,Master_Customer!$A$2:$A$126,0))</f>
        <v>HARAPAN MOTOR</v>
      </c>
      <c r="E330" s="50" t="s">
        <v>30</v>
      </c>
      <c r="F330" s="52" t="n">
        <f aca="false">SUMIFS(Data_Penjualan!$G$2:$G$5998,Data_Penjualan!$A$2:$A$5998,A330)</f>
        <v>19673600</v>
      </c>
      <c r="G330" s="39" t="n">
        <f aca="false">IF(E330="KANTOR",0,INDEX(Master_Customer!$C$2:$C$126,MATCH(C330,Master_Customer!$A$2:$A$126,0)))</f>
        <v>45</v>
      </c>
      <c r="H330" s="53" t="n">
        <f aca="false">B330+G330</f>
        <v>45776</v>
      </c>
      <c r="I330" s="51" t="n">
        <v>45733</v>
      </c>
      <c r="J330" s="39" t="str">
        <f aca="false">IF(G330=0,"Tunai",IF(I330="","Belum ditukar","Sudah ditukar"))</f>
        <v>Sudah ditukar</v>
      </c>
      <c r="K330" s="54" t="n">
        <v>19673600</v>
      </c>
      <c r="L330" s="51" t="n">
        <v>45775</v>
      </c>
      <c r="M330" s="52" t="n">
        <f aca="false">F330-K330</f>
        <v>0</v>
      </c>
      <c r="N330" s="39" t="str">
        <f aca="false">IF(M330&lt;=0,"Lunas",IF(K330&gt;0,"Sebagian","Belum Bayar"))</f>
        <v>Lunas</v>
      </c>
      <c r="O330" s="39" t="n">
        <f aca="false">IF(M330&gt;0,MAX(0,Catatan!$B$3-H330),0)</f>
        <v>0</v>
      </c>
      <c r="P330" s="39" t="str">
        <f aca="false">IF(M330&lt;=0,"Lunas",IF(Catatan!$B$3&lt;=H330,"Belum Jatuh Tempo",IF(O330&lt;=30,"1-30 hari",IF(O330&lt;=60,"31-60 hari",IF(O330&lt;=90,"61-90 hari","90+ hari")))))</f>
        <v>Lunas</v>
      </c>
      <c r="Q330" s="50"/>
      <c r="R330" s="39" t="str">
        <f aca="false">IF(M330&lt;=0,"",IF(O330&gt;60,"1-Tinggi",IF(O330&gt;30,"2-Sedang",IF(O330&gt;0,"3-Rendah","4-Pantau"))))</f>
        <v/>
      </c>
      <c r="S330" s="39" t="str">
        <f aca="false">IF(AND(M330&gt;0,O330&gt;0),O330+M330/1000000000000+ROW()/1000000000000000,"")</f>
        <v/>
      </c>
      <c r="T330" s="39" t="str">
        <f aca="false">IF(J330="Belum ditukar",ROW(),"")</f>
        <v/>
      </c>
    </row>
    <row r="331" customFormat="false" ht="15" hidden="false" customHeight="false" outlineLevel="0" collapsed="false">
      <c r="A331" s="50" t="s">
        <v>597</v>
      </c>
      <c r="B331" s="51" t="n">
        <v>45731</v>
      </c>
      <c r="C331" s="50" t="s">
        <v>369</v>
      </c>
      <c r="D331" s="39" t="str">
        <f aca="false">INDEX(Master_Customer!$B$2:$B$126,MATCH(C331,Master_Customer!$A$2:$A$126,0))</f>
        <v>UTAMA TEKNIK</v>
      </c>
      <c r="E331" s="50" t="s">
        <v>31</v>
      </c>
      <c r="F331" s="52" t="n">
        <f aca="false">SUMIFS(Data_Penjualan!$G$2:$G$5998,Data_Penjualan!$A$2:$A$5998,A331)</f>
        <v>8919400</v>
      </c>
      <c r="G331" s="39" t="n">
        <f aca="false">IF(E331="KANTOR",0,INDEX(Master_Customer!$C$2:$C$126,MATCH(C331,Master_Customer!$A$2:$A$126,0)))</f>
        <v>30</v>
      </c>
      <c r="H331" s="53" t="n">
        <f aca="false">B331+G331</f>
        <v>45761</v>
      </c>
      <c r="I331" s="51" t="n">
        <v>45735</v>
      </c>
      <c r="J331" s="39" t="str">
        <f aca="false">IF(G331=0,"Tunai",IF(I331="","Belum ditukar","Sudah ditukar"))</f>
        <v>Sudah ditukar</v>
      </c>
      <c r="K331" s="54" t="n">
        <v>8919400</v>
      </c>
      <c r="L331" s="51" t="n">
        <v>45760</v>
      </c>
      <c r="M331" s="52" t="n">
        <f aca="false">F331-K331</f>
        <v>0</v>
      </c>
      <c r="N331" s="39" t="str">
        <f aca="false">IF(M331&lt;=0,"Lunas",IF(K331&gt;0,"Sebagian","Belum Bayar"))</f>
        <v>Lunas</v>
      </c>
      <c r="O331" s="39" t="n">
        <f aca="false">IF(M331&gt;0,MAX(0,Catatan!$B$3-H331),0)</f>
        <v>0</v>
      </c>
      <c r="P331" s="39" t="str">
        <f aca="false">IF(M331&lt;=0,"Lunas",IF(Catatan!$B$3&lt;=H331,"Belum Jatuh Tempo",IF(O331&lt;=30,"1-30 hari",IF(O331&lt;=60,"31-60 hari",IF(O331&lt;=90,"61-90 hari","90+ hari")))))</f>
        <v>Lunas</v>
      </c>
      <c r="Q331" s="50"/>
      <c r="R331" s="39" t="str">
        <f aca="false">IF(M331&lt;=0,"",IF(O331&gt;60,"1-Tinggi",IF(O331&gt;30,"2-Sedang",IF(O331&gt;0,"3-Rendah","4-Pantau"))))</f>
        <v/>
      </c>
      <c r="S331" s="39" t="str">
        <f aca="false">IF(AND(M331&gt;0,O331&gt;0),O331+M331/1000000000000+ROW()/1000000000000000,"")</f>
        <v/>
      </c>
      <c r="T331" s="39" t="str">
        <f aca="false">IF(J331="Belum ditukar",ROW(),"")</f>
        <v/>
      </c>
    </row>
    <row r="332" customFormat="false" ht="15" hidden="false" customHeight="false" outlineLevel="0" collapsed="false">
      <c r="A332" s="50" t="s">
        <v>598</v>
      </c>
      <c r="B332" s="51" t="n">
        <v>45731</v>
      </c>
      <c r="C332" s="50" t="s">
        <v>211</v>
      </c>
      <c r="D332" s="39" t="str">
        <f aca="false">INDEX(Master_Customer!$B$2:$B$126,MATCH(C332,Master_Customer!$A$2:$A$126,0))</f>
        <v>PRIMA MOBIL</v>
      </c>
      <c r="E332" s="50" t="s">
        <v>30</v>
      </c>
      <c r="F332" s="52" t="n">
        <f aca="false">SUMIFS(Data_Penjualan!$G$2:$G$5998,Data_Penjualan!$A$2:$A$5998,A332)</f>
        <v>6829400</v>
      </c>
      <c r="G332" s="39" t="n">
        <f aca="false">IF(E332="KANTOR",0,INDEX(Master_Customer!$C$2:$C$126,MATCH(C332,Master_Customer!$A$2:$A$126,0)))</f>
        <v>0</v>
      </c>
      <c r="H332" s="53" t="n">
        <f aca="false">B332+G332</f>
        <v>45731</v>
      </c>
      <c r="J332" s="39" t="str">
        <f aca="false">IF(G332=0,"Tunai",IF(I332="","Belum ditukar","Sudah ditukar"))</f>
        <v>Tunai</v>
      </c>
      <c r="K332" s="54" t="n">
        <v>6829400</v>
      </c>
      <c r="L332" s="51" t="n">
        <v>45731</v>
      </c>
      <c r="M332" s="52" t="n">
        <f aca="false">F332-K332</f>
        <v>0</v>
      </c>
      <c r="N332" s="39" t="str">
        <f aca="false">IF(M332&lt;=0,"Lunas",IF(K332&gt;0,"Sebagian","Belum Bayar"))</f>
        <v>Lunas</v>
      </c>
      <c r="O332" s="39" t="n">
        <f aca="false">IF(M332&gt;0,MAX(0,Catatan!$B$3-H332),0)</f>
        <v>0</v>
      </c>
      <c r="P332" s="39" t="str">
        <f aca="false">IF(M332&lt;=0,"Lunas",IF(Catatan!$B$3&lt;=H332,"Belum Jatuh Tempo",IF(O332&lt;=30,"1-30 hari",IF(O332&lt;=60,"31-60 hari",IF(O332&lt;=90,"61-90 hari","90+ hari")))))</f>
        <v>Lunas</v>
      </c>
      <c r="Q332" s="50"/>
      <c r="R332" s="39" t="str">
        <f aca="false">IF(M332&lt;=0,"",IF(O332&gt;60,"1-Tinggi",IF(O332&gt;30,"2-Sedang",IF(O332&gt;0,"3-Rendah","4-Pantau"))))</f>
        <v/>
      </c>
      <c r="S332" s="39" t="str">
        <f aca="false">IF(AND(M332&gt;0,O332&gt;0),O332+M332/1000000000000+ROW()/1000000000000000,"")</f>
        <v/>
      </c>
      <c r="T332" s="39" t="str">
        <f aca="false">IF(J332="Belum ditukar",ROW(),"")</f>
        <v/>
      </c>
    </row>
    <row r="333" customFormat="false" ht="15" hidden="false" customHeight="false" outlineLevel="0" collapsed="false">
      <c r="A333" s="50" t="s">
        <v>599</v>
      </c>
      <c r="B333" s="51" t="n">
        <v>45731</v>
      </c>
      <c r="C333" s="50" t="s">
        <v>191</v>
      </c>
      <c r="D333" s="39" t="str">
        <f aca="false">INDEX(Master_Customer!$B$2:$B$126,MATCH(C333,Master_Customer!$A$2:$A$126,0))</f>
        <v>SINAR AUTO BERKAH</v>
      </c>
      <c r="E333" s="50" t="s">
        <v>30</v>
      </c>
      <c r="F333" s="52" t="n">
        <f aca="false">SUMIFS(Data_Penjualan!$G$2:$G$5998,Data_Penjualan!$A$2:$A$5998,A333)</f>
        <v>7529000</v>
      </c>
      <c r="G333" s="39" t="n">
        <f aca="false">IF(E333="KANTOR",0,INDEX(Master_Customer!$C$2:$C$126,MATCH(C333,Master_Customer!$A$2:$A$126,0)))</f>
        <v>30</v>
      </c>
      <c r="H333" s="53" t="n">
        <f aca="false">B333+G333</f>
        <v>45761</v>
      </c>
      <c r="I333" s="51" t="n">
        <v>45736</v>
      </c>
      <c r="J333" s="39" t="str">
        <f aca="false">IF(G333=0,"Tunai",IF(I333="","Belum ditukar","Sudah ditukar"))</f>
        <v>Sudah ditukar</v>
      </c>
      <c r="K333" s="54" t="n">
        <v>7529000</v>
      </c>
      <c r="L333" s="51" t="n">
        <v>45837</v>
      </c>
      <c r="M333" s="52" t="n">
        <f aca="false">F333-K333</f>
        <v>0</v>
      </c>
      <c r="N333" s="39" t="str">
        <f aca="false">IF(M333&lt;=0,"Lunas",IF(K333&gt;0,"Sebagian","Belum Bayar"))</f>
        <v>Lunas</v>
      </c>
      <c r="O333" s="39" t="n">
        <f aca="false">IF(M333&gt;0,MAX(0,Catatan!$B$3-H333),0)</f>
        <v>0</v>
      </c>
      <c r="P333" s="39" t="str">
        <f aca="false">IF(M333&lt;=0,"Lunas",IF(Catatan!$B$3&lt;=H333,"Belum Jatuh Tempo",IF(O333&lt;=30,"1-30 hari",IF(O333&lt;=60,"31-60 hari",IF(O333&lt;=90,"61-90 hari","90+ hari")))))</f>
        <v>Lunas</v>
      </c>
      <c r="Q333" s="50"/>
      <c r="R333" s="39" t="str">
        <f aca="false">IF(M333&lt;=0,"",IF(O333&gt;60,"1-Tinggi",IF(O333&gt;30,"2-Sedang",IF(O333&gt;0,"3-Rendah","4-Pantau"))))</f>
        <v/>
      </c>
      <c r="S333" s="39" t="str">
        <f aca="false">IF(AND(M333&gt;0,O333&gt;0),O333+M333/1000000000000+ROW()/1000000000000000,"")</f>
        <v/>
      </c>
      <c r="T333" s="39" t="str">
        <f aca="false">IF(J333="Belum ditukar",ROW(),"")</f>
        <v/>
      </c>
    </row>
    <row r="334" customFormat="false" ht="15" hidden="false" customHeight="false" outlineLevel="0" collapsed="false">
      <c r="A334" s="50" t="s">
        <v>600</v>
      </c>
      <c r="B334" s="51" t="n">
        <v>45731</v>
      </c>
      <c r="C334" s="50" t="s">
        <v>419</v>
      </c>
      <c r="D334" s="39" t="str">
        <f aca="false">INDEX(Master_Customer!$B$2:$B$126,MATCH(C334,Master_Customer!$A$2:$A$126,0))</f>
        <v>UTAMA MOTOR</v>
      </c>
      <c r="E334" s="50" t="s">
        <v>30</v>
      </c>
      <c r="F334" s="52" t="n">
        <f aca="false">SUMIFS(Data_Penjualan!$G$2:$G$5998,Data_Penjualan!$A$2:$A$5998,A334)</f>
        <v>18744300</v>
      </c>
      <c r="G334" s="39" t="n">
        <f aca="false">IF(E334="KANTOR",0,INDEX(Master_Customer!$C$2:$C$126,MATCH(C334,Master_Customer!$A$2:$A$126,0)))</f>
        <v>14</v>
      </c>
      <c r="H334" s="53" t="n">
        <f aca="false">B334+G334</f>
        <v>45745</v>
      </c>
      <c r="I334" s="51" t="n">
        <v>45732</v>
      </c>
      <c r="J334" s="39" t="str">
        <f aca="false">IF(G334=0,"Tunai",IF(I334="","Belum ditukar","Sudah ditukar"))</f>
        <v>Sudah ditukar</v>
      </c>
      <c r="K334" s="54" t="n">
        <v>18744300</v>
      </c>
      <c r="L334" s="51" t="n">
        <v>45744</v>
      </c>
      <c r="M334" s="52" t="n">
        <f aca="false">F334-K334</f>
        <v>0</v>
      </c>
      <c r="N334" s="39" t="str">
        <f aca="false">IF(M334&lt;=0,"Lunas",IF(K334&gt;0,"Sebagian","Belum Bayar"))</f>
        <v>Lunas</v>
      </c>
      <c r="O334" s="39" t="n">
        <f aca="false">IF(M334&gt;0,MAX(0,Catatan!$B$3-H334),0)</f>
        <v>0</v>
      </c>
      <c r="P334" s="39" t="str">
        <f aca="false">IF(M334&lt;=0,"Lunas",IF(Catatan!$B$3&lt;=H334,"Belum Jatuh Tempo",IF(O334&lt;=30,"1-30 hari",IF(O334&lt;=60,"31-60 hari",IF(O334&lt;=90,"61-90 hari","90+ hari")))))</f>
        <v>Lunas</v>
      </c>
      <c r="Q334" s="50"/>
      <c r="R334" s="39" t="str">
        <f aca="false">IF(M334&lt;=0,"",IF(O334&gt;60,"1-Tinggi",IF(O334&gt;30,"2-Sedang",IF(O334&gt;0,"3-Rendah","4-Pantau"))))</f>
        <v/>
      </c>
      <c r="S334" s="39" t="str">
        <f aca="false">IF(AND(M334&gt;0,O334&gt;0),O334+M334/1000000000000+ROW()/1000000000000000,"")</f>
        <v/>
      </c>
      <c r="T334" s="39" t="str">
        <f aca="false">IF(J334="Belum ditukar",ROW(),"")</f>
        <v/>
      </c>
    </row>
    <row r="335" customFormat="false" ht="15" hidden="false" customHeight="false" outlineLevel="0" collapsed="false">
      <c r="A335" s="50" t="s">
        <v>601</v>
      </c>
      <c r="B335" s="51" t="n">
        <v>45731</v>
      </c>
      <c r="C335" s="50" t="s">
        <v>369</v>
      </c>
      <c r="D335" s="39" t="str">
        <f aca="false">INDEX(Master_Customer!$B$2:$B$126,MATCH(C335,Master_Customer!$A$2:$A$126,0))</f>
        <v>UTAMA TEKNIK</v>
      </c>
      <c r="E335" s="50" t="s">
        <v>31</v>
      </c>
      <c r="F335" s="52" t="n">
        <f aca="false">SUMIFS(Data_Penjualan!$G$2:$G$5998,Data_Penjualan!$A$2:$A$5998,A335)</f>
        <v>24172100</v>
      </c>
      <c r="G335" s="39" t="n">
        <f aca="false">IF(E335="KANTOR",0,INDEX(Master_Customer!$C$2:$C$126,MATCH(C335,Master_Customer!$A$2:$A$126,0)))</f>
        <v>30</v>
      </c>
      <c r="H335" s="53" t="n">
        <f aca="false">B335+G335</f>
        <v>45761</v>
      </c>
      <c r="I335" s="51" t="n">
        <v>45734</v>
      </c>
      <c r="J335" s="39" t="str">
        <f aca="false">IF(G335=0,"Tunai",IF(I335="","Belum ditukar","Sudah ditukar"))</f>
        <v>Sudah ditukar</v>
      </c>
      <c r="K335" s="54" t="n">
        <v>24172100</v>
      </c>
      <c r="L335" s="51" t="n">
        <v>45758</v>
      </c>
      <c r="M335" s="52" t="n">
        <f aca="false">F335-K335</f>
        <v>0</v>
      </c>
      <c r="N335" s="39" t="str">
        <f aca="false">IF(M335&lt;=0,"Lunas",IF(K335&gt;0,"Sebagian","Belum Bayar"))</f>
        <v>Lunas</v>
      </c>
      <c r="O335" s="39" t="n">
        <f aca="false">IF(M335&gt;0,MAX(0,Catatan!$B$3-H335),0)</f>
        <v>0</v>
      </c>
      <c r="P335" s="39" t="str">
        <f aca="false">IF(M335&lt;=0,"Lunas",IF(Catatan!$B$3&lt;=H335,"Belum Jatuh Tempo",IF(O335&lt;=30,"1-30 hari",IF(O335&lt;=60,"31-60 hari",IF(O335&lt;=90,"61-90 hari","90+ hari")))))</f>
        <v>Lunas</v>
      </c>
      <c r="Q335" s="50"/>
      <c r="R335" s="39" t="str">
        <f aca="false">IF(M335&lt;=0,"",IF(O335&gt;60,"1-Tinggi",IF(O335&gt;30,"2-Sedang",IF(O335&gt;0,"3-Rendah","4-Pantau"))))</f>
        <v/>
      </c>
      <c r="S335" s="39" t="str">
        <f aca="false">IF(AND(M335&gt;0,O335&gt;0),O335+M335/1000000000000+ROW()/1000000000000000,"")</f>
        <v/>
      </c>
      <c r="T335" s="39" t="str">
        <f aca="false">IF(J335="Belum ditukar",ROW(),"")</f>
        <v/>
      </c>
    </row>
    <row r="336" customFormat="false" ht="15" hidden="false" customHeight="false" outlineLevel="0" collapsed="false">
      <c r="A336" s="50" t="s">
        <v>602</v>
      </c>
      <c r="B336" s="51" t="n">
        <v>45733</v>
      </c>
      <c r="C336" s="50" t="s">
        <v>317</v>
      </c>
      <c r="D336" s="39" t="str">
        <f aca="false">INDEX(Master_Customer!$B$2:$B$126,MATCH(C336,Master_Customer!$A$2:$A$126,0))</f>
        <v>MAKMUR MOTOR JAYA</v>
      </c>
      <c r="E336" s="50" t="s">
        <v>29</v>
      </c>
      <c r="F336" s="52" t="n">
        <f aca="false">SUMIFS(Data_Penjualan!$G$2:$G$5998,Data_Penjualan!$A$2:$A$5998,A336)</f>
        <v>11588600</v>
      </c>
      <c r="G336" s="39" t="n">
        <f aca="false">IF(E336="KANTOR",0,INDEX(Master_Customer!$C$2:$C$126,MATCH(C336,Master_Customer!$A$2:$A$126,0)))</f>
        <v>0</v>
      </c>
      <c r="H336" s="53" t="n">
        <f aca="false">B336+G336</f>
        <v>45733</v>
      </c>
      <c r="J336" s="39" t="str">
        <f aca="false">IF(G336=0,"Tunai",IF(I336="","Belum ditukar","Sudah ditukar"))</f>
        <v>Tunai</v>
      </c>
      <c r="K336" s="54" t="n">
        <v>11588600</v>
      </c>
      <c r="L336" s="51" t="n">
        <v>45733</v>
      </c>
      <c r="M336" s="52" t="n">
        <f aca="false">F336-K336</f>
        <v>0</v>
      </c>
      <c r="N336" s="39" t="str">
        <f aca="false">IF(M336&lt;=0,"Lunas",IF(K336&gt;0,"Sebagian","Belum Bayar"))</f>
        <v>Lunas</v>
      </c>
      <c r="O336" s="39" t="n">
        <f aca="false">IF(M336&gt;0,MAX(0,Catatan!$B$3-H336),0)</f>
        <v>0</v>
      </c>
      <c r="P336" s="39" t="str">
        <f aca="false">IF(M336&lt;=0,"Lunas",IF(Catatan!$B$3&lt;=H336,"Belum Jatuh Tempo",IF(O336&lt;=30,"1-30 hari",IF(O336&lt;=60,"31-60 hari",IF(O336&lt;=90,"61-90 hari","90+ hari")))))</f>
        <v>Lunas</v>
      </c>
      <c r="Q336" s="50"/>
      <c r="R336" s="39" t="str">
        <f aca="false">IF(M336&lt;=0,"",IF(O336&gt;60,"1-Tinggi",IF(O336&gt;30,"2-Sedang",IF(O336&gt;0,"3-Rendah","4-Pantau"))))</f>
        <v/>
      </c>
      <c r="S336" s="39" t="str">
        <f aca="false">IF(AND(M336&gt;0,O336&gt;0),O336+M336/1000000000000+ROW()/1000000000000000,"")</f>
        <v/>
      </c>
      <c r="T336" s="39" t="str">
        <f aca="false">IF(J336="Belum ditukar",ROW(),"")</f>
        <v/>
      </c>
    </row>
    <row r="337" customFormat="false" ht="15" hidden="false" customHeight="false" outlineLevel="0" collapsed="false">
      <c r="A337" s="50" t="s">
        <v>603</v>
      </c>
      <c r="B337" s="51" t="n">
        <v>45733</v>
      </c>
      <c r="C337" s="50" t="s">
        <v>278</v>
      </c>
      <c r="D337" s="39" t="str">
        <f aca="false">INDEX(Master_Customer!$B$2:$B$126,MATCH(C337,Master_Customer!$A$2:$A$126,0))</f>
        <v>SURYA MOTOR</v>
      </c>
      <c r="E337" s="50" t="s">
        <v>31</v>
      </c>
      <c r="F337" s="52" t="n">
        <f aca="false">SUMIFS(Data_Penjualan!$G$2:$G$5998,Data_Penjualan!$A$2:$A$5998,A337)</f>
        <v>22710000</v>
      </c>
      <c r="G337" s="39" t="n">
        <f aca="false">IF(E337="KANTOR",0,INDEX(Master_Customer!$C$2:$C$126,MATCH(C337,Master_Customer!$A$2:$A$126,0)))</f>
        <v>14</v>
      </c>
      <c r="H337" s="53" t="n">
        <f aca="false">B337+G337</f>
        <v>45747</v>
      </c>
      <c r="I337" s="51" t="n">
        <v>45736</v>
      </c>
      <c r="J337" s="39" t="str">
        <f aca="false">IF(G337=0,"Tunai",IF(I337="","Belum ditukar","Sudah ditukar"))</f>
        <v>Sudah ditukar</v>
      </c>
      <c r="K337" s="54" t="n">
        <v>22710000</v>
      </c>
      <c r="L337" s="51" t="n">
        <v>45739</v>
      </c>
      <c r="M337" s="52" t="n">
        <f aca="false">F337-K337</f>
        <v>0</v>
      </c>
      <c r="N337" s="39" t="str">
        <f aca="false">IF(M337&lt;=0,"Lunas",IF(K337&gt;0,"Sebagian","Belum Bayar"))</f>
        <v>Lunas</v>
      </c>
      <c r="O337" s="39" t="n">
        <f aca="false">IF(M337&gt;0,MAX(0,Catatan!$B$3-H337),0)</f>
        <v>0</v>
      </c>
      <c r="P337" s="39" t="str">
        <f aca="false">IF(M337&lt;=0,"Lunas",IF(Catatan!$B$3&lt;=H337,"Belum Jatuh Tempo",IF(O337&lt;=30,"1-30 hari",IF(O337&lt;=60,"31-60 hari",IF(O337&lt;=90,"61-90 hari","90+ hari")))))</f>
        <v>Lunas</v>
      </c>
      <c r="Q337" s="50"/>
      <c r="R337" s="39" t="str">
        <f aca="false">IF(M337&lt;=0,"",IF(O337&gt;60,"1-Tinggi",IF(O337&gt;30,"2-Sedang",IF(O337&gt;0,"3-Rendah","4-Pantau"))))</f>
        <v/>
      </c>
      <c r="S337" s="39" t="str">
        <f aca="false">IF(AND(M337&gt;0,O337&gt;0),O337+M337/1000000000000+ROW()/1000000000000000,"")</f>
        <v/>
      </c>
      <c r="T337" s="39" t="str">
        <f aca="false">IF(J337="Belum ditukar",ROW(),"")</f>
        <v/>
      </c>
    </row>
    <row r="338" customFormat="false" ht="15" hidden="false" customHeight="false" outlineLevel="0" collapsed="false">
      <c r="A338" s="50" t="s">
        <v>604</v>
      </c>
      <c r="B338" s="51" t="n">
        <v>45733</v>
      </c>
      <c r="C338" s="50" t="s">
        <v>271</v>
      </c>
      <c r="D338" s="39" t="str">
        <f aca="false">INDEX(Master_Customer!$B$2:$B$126,MATCH(C338,Master_Customer!$A$2:$A$126,0))</f>
        <v>CAHAYA MOTOR</v>
      </c>
      <c r="E338" s="50" t="s">
        <v>28</v>
      </c>
      <c r="F338" s="52" t="n">
        <f aca="false">SUMIFS(Data_Penjualan!$G$2:$G$5998,Data_Penjualan!$A$2:$A$5998,A338)</f>
        <v>3434800</v>
      </c>
      <c r="G338" s="39" t="n">
        <f aca="false">IF(E338="KANTOR",0,INDEX(Master_Customer!$C$2:$C$126,MATCH(C338,Master_Customer!$A$2:$A$126,0)))</f>
        <v>14</v>
      </c>
      <c r="H338" s="53" t="n">
        <f aca="false">B338+G338</f>
        <v>45747</v>
      </c>
      <c r="I338" s="51" t="n">
        <v>45736</v>
      </c>
      <c r="J338" s="39" t="str">
        <f aca="false">IF(G338=0,"Tunai",IF(I338="","Belum ditukar","Sudah ditukar"))</f>
        <v>Sudah ditukar</v>
      </c>
      <c r="K338" s="54" t="n">
        <v>3434800</v>
      </c>
      <c r="L338" s="51" t="n">
        <v>45739</v>
      </c>
      <c r="M338" s="52" t="n">
        <f aca="false">F338-K338</f>
        <v>0</v>
      </c>
      <c r="N338" s="39" t="str">
        <f aca="false">IF(M338&lt;=0,"Lunas",IF(K338&gt;0,"Sebagian","Belum Bayar"))</f>
        <v>Lunas</v>
      </c>
      <c r="O338" s="39" t="n">
        <f aca="false">IF(M338&gt;0,MAX(0,Catatan!$B$3-H338),0)</f>
        <v>0</v>
      </c>
      <c r="P338" s="39" t="str">
        <f aca="false">IF(M338&lt;=0,"Lunas",IF(Catatan!$B$3&lt;=H338,"Belum Jatuh Tempo",IF(O338&lt;=30,"1-30 hari",IF(O338&lt;=60,"31-60 hari",IF(O338&lt;=90,"61-90 hari","90+ hari")))))</f>
        <v>Lunas</v>
      </c>
      <c r="Q338" s="50"/>
      <c r="R338" s="39" t="str">
        <f aca="false">IF(M338&lt;=0,"",IF(O338&gt;60,"1-Tinggi",IF(O338&gt;30,"2-Sedang",IF(O338&gt;0,"3-Rendah","4-Pantau"))))</f>
        <v/>
      </c>
      <c r="S338" s="39" t="str">
        <f aca="false">IF(AND(M338&gt;0,O338&gt;0),O338+M338/1000000000000+ROW()/1000000000000000,"")</f>
        <v/>
      </c>
      <c r="T338" s="39" t="str">
        <f aca="false">IF(J338="Belum ditukar",ROW(),"")</f>
        <v/>
      </c>
    </row>
    <row r="339" customFormat="false" ht="15" hidden="false" customHeight="false" outlineLevel="0" collapsed="false">
      <c r="A339" s="50" t="s">
        <v>605</v>
      </c>
      <c r="B339" s="51" t="n">
        <v>45733</v>
      </c>
      <c r="C339" s="50" t="s">
        <v>203</v>
      </c>
      <c r="D339" s="39" t="str">
        <f aca="false">INDEX(Master_Customer!$B$2:$B$126,MATCH(C339,Master_Customer!$A$2:$A$126,0))</f>
        <v>BINTANG TEKNIK</v>
      </c>
      <c r="E339" s="50" t="s">
        <v>32</v>
      </c>
      <c r="F339" s="52" t="n">
        <f aca="false">SUMIFS(Data_Penjualan!$G$2:$G$5998,Data_Penjualan!$A$2:$A$5998,A339)</f>
        <v>3694000</v>
      </c>
      <c r="G339" s="39" t="n">
        <f aca="false">IF(E339="KANTOR",0,INDEX(Master_Customer!$C$2:$C$126,MATCH(C339,Master_Customer!$A$2:$A$126,0)))</f>
        <v>0</v>
      </c>
      <c r="H339" s="53" t="n">
        <f aca="false">B339+G339</f>
        <v>45733</v>
      </c>
      <c r="J339" s="39" t="str">
        <f aca="false">IF(G339=0,"Tunai",IF(I339="","Belum ditukar","Sudah ditukar"))</f>
        <v>Tunai</v>
      </c>
      <c r="K339" s="54" t="n">
        <v>3694000</v>
      </c>
      <c r="L339" s="51" t="n">
        <v>45733</v>
      </c>
      <c r="M339" s="52" t="n">
        <f aca="false">F339-K339</f>
        <v>0</v>
      </c>
      <c r="N339" s="39" t="str">
        <f aca="false">IF(M339&lt;=0,"Lunas",IF(K339&gt;0,"Sebagian","Belum Bayar"))</f>
        <v>Lunas</v>
      </c>
      <c r="O339" s="39" t="n">
        <f aca="false">IF(M339&gt;0,MAX(0,Catatan!$B$3-H339),0)</f>
        <v>0</v>
      </c>
      <c r="P339" s="39" t="str">
        <f aca="false">IF(M339&lt;=0,"Lunas",IF(Catatan!$B$3&lt;=H339,"Belum Jatuh Tempo",IF(O339&lt;=30,"1-30 hari",IF(O339&lt;=60,"31-60 hari",IF(O339&lt;=90,"61-90 hari","90+ hari")))))</f>
        <v>Lunas</v>
      </c>
      <c r="Q339" s="50"/>
      <c r="R339" s="39" t="str">
        <f aca="false">IF(M339&lt;=0,"",IF(O339&gt;60,"1-Tinggi",IF(O339&gt;30,"2-Sedang",IF(O339&gt;0,"3-Rendah","4-Pantau"))))</f>
        <v/>
      </c>
      <c r="S339" s="39" t="str">
        <f aca="false">IF(AND(M339&gt;0,O339&gt;0),O339+M339/1000000000000+ROW()/1000000000000000,"")</f>
        <v/>
      </c>
      <c r="T339" s="39" t="str">
        <f aca="false">IF(J339="Belum ditukar",ROW(),"")</f>
        <v/>
      </c>
    </row>
    <row r="340" customFormat="false" ht="15" hidden="false" customHeight="false" outlineLevel="0" collapsed="false">
      <c r="A340" s="50" t="s">
        <v>606</v>
      </c>
      <c r="B340" s="51" t="n">
        <v>45733</v>
      </c>
      <c r="C340" s="50" t="s">
        <v>447</v>
      </c>
      <c r="D340" s="39" t="str">
        <f aca="false">INDEX(Master_Customer!$B$2:$B$126,MATCH(C340,Master_Customer!$A$2:$A$126,0))</f>
        <v>PRIMA LUBRICANT</v>
      </c>
      <c r="E340" s="50" t="s">
        <v>32</v>
      </c>
      <c r="F340" s="52" t="n">
        <f aca="false">SUMIFS(Data_Penjualan!$G$2:$G$5998,Data_Penjualan!$A$2:$A$5998,A340)</f>
        <v>28332500</v>
      </c>
      <c r="G340" s="39" t="n">
        <f aca="false">IF(E340="KANTOR",0,INDEX(Master_Customer!$C$2:$C$126,MATCH(C340,Master_Customer!$A$2:$A$126,0)))</f>
        <v>0</v>
      </c>
      <c r="H340" s="53" t="n">
        <f aca="false">B340+G340</f>
        <v>45733</v>
      </c>
      <c r="J340" s="39" t="str">
        <f aca="false">IF(G340=0,"Tunai",IF(I340="","Belum ditukar","Sudah ditukar"))</f>
        <v>Tunai</v>
      </c>
      <c r="K340" s="54" t="n">
        <v>28332500</v>
      </c>
      <c r="L340" s="51" t="n">
        <v>45734</v>
      </c>
      <c r="M340" s="52" t="n">
        <f aca="false">F340-K340</f>
        <v>0</v>
      </c>
      <c r="N340" s="39" t="str">
        <f aca="false">IF(M340&lt;=0,"Lunas",IF(K340&gt;0,"Sebagian","Belum Bayar"))</f>
        <v>Lunas</v>
      </c>
      <c r="O340" s="39" t="n">
        <f aca="false">IF(M340&gt;0,MAX(0,Catatan!$B$3-H340),0)</f>
        <v>0</v>
      </c>
      <c r="P340" s="39" t="str">
        <f aca="false">IF(M340&lt;=0,"Lunas",IF(Catatan!$B$3&lt;=H340,"Belum Jatuh Tempo",IF(O340&lt;=30,"1-30 hari",IF(O340&lt;=60,"31-60 hari",IF(O340&lt;=90,"61-90 hari","90+ hari")))))</f>
        <v>Lunas</v>
      </c>
      <c r="Q340" s="50"/>
      <c r="R340" s="39" t="str">
        <f aca="false">IF(M340&lt;=0,"",IF(O340&gt;60,"1-Tinggi",IF(O340&gt;30,"2-Sedang",IF(O340&gt;0,"3-Rendah","4-Pantau"))))</f>
        <v/>
      </c>
      <c r="S340" s="39" t="str">
        <f aca="false">IF(AND(M340&gt;0,O340&gt;0),O340+M340/1000000000000+ROW()/1000000000000000,"")</f>
        <v/>
      </c>
      <c r="T340" s="39" t="str">
        <f aca="false">IF(J340="Belum ditukar",ROW(),"")</f>
        <v/>
      </c>
    </row>
    <row r="341" customFormat="false" ht="15" hidden="false" customHeight="false" outlineLevel="0" collapsed="false">
      <c r="A341" s="50" t="s">
        <v>607</v>
      </c>
      <c r="B341" s="51" t="n">
        <v>45733</v>
      </c>
      <c r="C341" s="50" t="s">
        <v>177</v>
      </c>
      <c r="D341" s="39" t="str">
        <f aca="false">INDEX(Master_Customer!$B$2:$B$126,MATCH(C341,Master_Customer!$A$2:$A$126,0))</f>
        <v>PRIMA MOTOR LANCAR</v>
      </c>
      <c r="E341" s="50" t="s">
        <v>29</v>
      </c>
      <c r="F341" s="52" t="n">
        <f aca="false">SUMIFS(Data_Penjualan!$G$2:$G$5998,Data_Penjualan!$A$2:$A$5998,A341)</f>
        <v>7012400</v>
      </c>
      <c r="G341" s="39" t="n">
        <f aca="false">IF(E341="KANTOR",0,INDEX(Master_Customer!$C$2:$C$126,MATCH(C341,Master_Customer!$A$2:$A$126,0)))</f>
        <v>14</v>
      </c>
      <c r="H341" s="53" t="n">
        <f aca="false">B341+G341</f>
        <v>45747</v>
      </c>
      <c r="I341" s="51" t="n">
        <v>45738</v>
      </c>
      <c r="J341" s="39" t="str">
        <f aca="false">IF(G341=0,"Tunai",IF(I341="","Belum ditukar","Sudah ditukar"))</f>
        <v>Sudah ditukar</v>
      </c>
      <c r="K341" s="54" t="n">
        <v>7012400</v>
      </c>
      <c r="L341" s="51" t="n">
        <v>45745</v>
      </c>
      <c r="M341" s="52" t="n">
        <f aca="false">F341-K341</f>
        <v>0</v>
      </c>
      <c r="N341" s="39" t="str">
        <f aca="false">IF(M341&lt;=0,"Lunas",IF(K341&gt;0,"Sebagian","Belum Bayar"))</f>
        <v>Lunas</v>
      </c>
      <c r="O341" s="39" t="n">
        <f aca="false">IF(M341&gt;0,MAX(0,Catatan!$B$3-H341),0)</f>
        <v>0</v>
      </c>
      <c r="P341" s="39" t="str">
        <f aca="false">IF(M341&lt;=0,"Lunas",IF(Catatan!$B$3&lt;=H341,"Belum Jatuh Tempo",IF(O341&lt;=30,"1-30 hari",IF(O341&lt;=60,"31-60 hari",IF(O341&lt;=90,"61-90 hari","90+ hari")))))</f>
        <v>Lunas</v>
      </c>
      <c r="Q341" s="50"/>
      <c r="R341" s="39" t="str">
        <f aca="false">IF(M341&lt;=0,"",IF(O341&gt;60,"1-Tinggi",IF(O341&gt;30,"2-Sedang",IF(O341&gt;0,"3-Rendah","4-Pantau"))))</f>
        <v/>
      </c>
      <c r="S341" s="39" t="str">
        <f aca="false">IF(AND(M341&gt;0,O341&gt;0),O341+M341/1000000000000+ROW()/1000000000000000,"")</f>
        <v/>
      </c>
      <c r="T341" s="39" t="str">
        <f aca="false">IF(J341="Belum ditukar",ROW(),"")</f>
        <v/>
      </c>
    </row>
    <row r="342" customFormat="false" ht="15" hidden="false" customHeight="false" outlineLevel="0" collapsed="false">
      <c r="A342" s="50" t="s">
        <v>608</v>
      </c>
      <c r="B342" s="51" t="n">
        <v>45733</v>
      </c>
      <c r="C342" s="50" t="s">
        <v>174</v>
      </c>
      <c r="D342" s="39" t="str">
        <f aca="false">INDEX(Master_Customer!$B$2:$B$126,MATCH(C342,Master_Customer!$A$2:$A$126,0))</f>
        <v>SUMBER TEKNIK SURYA</v>
      </c>
      <c r="E342" s="50" t="s">
        <v>31</v>
      </c>
      <c r="F342" s="52" t="n">
        <f aca="false">SUMIFS(Data_Penjualan!$G$2:$G$5998,Data_Penjualan!$A$2:$A$5998,A342)</f>
        <v>3205200</v>
      </c>
      <c r="G342" s="39" t="n">
        <f aca="false">IF(E342="KANTOR",0,INDEX(Master_Customer!$C$2:$C$126,MATCH(C342,Master_Customer!$A$2:$A$126,0)))</f>
        <v>30</v>
      </c>
      <c r="H342" s="53" t="n">
        <f aca="false">B342+G342</f>
        <v>45763</v>
      </c>
      <c r="I342" s="51" t="n">
        <v>45735</v>
      </c>
      <c r="J342" s="39" t="str">
        <f aca="false">IF(G342=0,"Tunai",IF(I342="","Belum ditukar","Sudah ditukar"))</f>
        <v>Sudah ditukar</v>
      </c>
      <c r="K342" s="54" t="n">
        <v>3205200</v>
      </c>
      <c r="L342" s="51" t="n">
        <v>45758</v>
      </c>
      <c r="M342" s="52" t="n">
        <f aca="false">F342-K342</f>
        <v>0</v>
      </c>
      <c r="N342" s="39" t="str">
        <f aca="false">IF(M342&lt;=0,"Lunas",IF(K342&gt;0,"Sebagian","Belum Bayar"))</f>
        <v>Lunas</v>
      </c>
      <c r="O342" s="39" t="n">
        <f aca="false">IF(M342&gt;0,MAX(0,Catatan!$B$3-H342),0)</f>
        <v>0</v>
      </c>
      <c r="P342" s="39" t="str">
        <f aca="false">IF(M342&lt;=0,"Lunas",IF(Catatan!$B$3&lt;=H342,"Belum Jatuh Tempo",IF(O342&lt;=30,"1-30 hari",IF(O342&lt;=60,"31-60 hari",IF(O342&lt;=90,"61-90 hari","90+ hari")))))</f>
        <v>Lunas</v>
      </c>
      <c r="Q342" s="50"/>
      <c r="R342" s="39" t="str">
        <f aca="false">IF(M342&lt;=0,"",IF(O342&gt;60,"1-Tinggi",IF(O342&gt;30,"2-Sedang",IF(O342&gt;0,"3-Rendah","4-Pantau"))))</f>
        <v/>
      </c>
      <c r="S342" s="39" t="str">
        <f aca="false">IF(AND(M342&gt;0,O342&gt;0),O342+M342/1000000000000+ROW()/1000000000000000,"")</f>
        <v/>
      </c>
      <c r="T342" s="39" t="str">
        <f aca="false">IF(J342="Belum ditukar",ROW(),"")</f>
        <v/>
      </c>
    </row>
    <row r="343" customFormat="false" ht="15" hidden="false" customHeight="false" outlineLevel="0" collapsed="false">
      <c r="A343" s="50" t="s">
        <v>609</v>
      </c>
      <c r="B343" s="51" t="n">
        <v>45733</v>
      </c>
      <c r="C343" s="50" t="s">
        <v>410</v>
      </c>
      <c r="D343" s="39" t="str">
        <f aca="false">INDEX(Master_Customer!$B$2:$B$126,MATCH(C343,Master_Customer!$A$2:$A$126,0))</f>
        <v>BINTANG SERVICE</v>
      </c>
      <c r="E343" s="50" t="s">
        <v>28</v>
      </c>
      <c r="F343" s="52" t="n">
        <f aca="false">SUMIFS(Data_Penjualan!$G$2:$G$5998,Data_Penjualan!$A$2:$A$5998,A343)</f>
        <v>12950100</v>
      </c>
      <c r="G343" s="39" t="n">
        <f aca="false">IF(E343="KANTOR",0,INDEX(Master_Customer!$C$2:$C$126,MATCH(C343,Master_Customer!$A$2:$A$126,0)))</f>
        <v>14</v>
      </c>
      <c r="H343" s="53" t="n">
        <f aca="false">B343+G343</f>
        <v>45747</v>
      </c>
      <c r="I343" s="51" t="n">
        <v>45737</v>
      </c>
      <c r="J343" s="39" t="str">
        <f aca="false">IF(G343=0,"Tunai",IF(I343="","Belum ditukar","Sudah ditukar"))</f>
        <v>Sudah ditukar</v>
      </c>
      <c r="K343" s="54" t="n">
        <v>12950100</v>
      </c>
      <c r="L343" s="51" t="n">
        <v>45745</v>
      </c>
      <c r="M343" s="52" t="n">
        <f aca="false">F343-K343</f>
        <v>0</v>
      </c>
      <c r="N343" s="39" t="str">
        <f aca="false">IF(M343&lt;=0,"Lunas",IF(K343&gt;0,"Sebagian","Belum Bayar"))</f>
        <v>Lunas</v>
      </c>
      <c r="O343" s="39" t="n">
        <f aca="false">IF(M343&gt;0,MAX(0,Catatan!$B$3-H343),0)</f>
        <v>0</v>
      </c>
      <c r="P343" s="39" t="str">
        <f aca="false">IF(M343&lt;=0,"Lunas",IF(Catatan!$B$3&lt;=H343,"Belum Jatuh Tempo",IF(O343&lt;=30,"1-30 hari",IF(O343&lt;=60,"31-60 hari",IF(O343&lt;=90,"61-90 hari","90+ hari")))))</f>
        <v>Lunas</v>
      </c>
      <c r="Q343" s="50"/>
      <c r="R343" s="39" t="str">
        <f aca="false">IF(M343&lt;=0,"",IF(O343&gt;60,"1-Tinggi",IF(O343&gt;30,"2-Sedang",IF(O343&gt;0,"3-Rendah","4-Pantau"))))</f>
        <v/>
      </c>
      <c r="S343" s="39" t="str">
        <f aca="false">IF(AND(M343&gt;0,O343&gt;0),O343+M343/1000000000000+ROW()/1000000000000000,"")</f>
        <v/>
      </c>
      <c r="T343" s="39" t="str">
        <f aca="false">IF(J343="Belum ditukar",ROW(),"")</f>
        <v/>
      </c>
    </row>
    <row r="344" customFormat="false" ht="15" hidden="false" customHeight="false" outlineLevel="0" collapsed="false">
      <c r="A344" s="50" t="s">
        <v>610</v>
      </c>
      <c r="B344" s="51" t="n">
        <v>45734</v>
      </c>
      <c r="C344" s="50" t="s">
        <v>611</v>
      </c>
      <c r="D344" s="39" t="str">
        <f aca="false">INDEX(Master_Customer!$B$2:$B$126,MATCH(C344,Master_Customer!$A$2:$A$126,0))</f>
        <v>MULIA MOBIL MITRA</v>
      </c>
      <c r="E344" s="50" t="s">
        <v>31</v>
      </c>
      <c r="F344" s="52" t="n">
        <f aca="false">SUMIFS(Data_Penjualan!$G$2:$G$5998,Data_Penjualan!$A$2:$A$5998,A344)</f>
        <v>5010300</v>
      </c>
      <c r="G344" s="39" t="n">
        <f aca="false">IF(E344="KANTOR",0,INDEX(Master_Customer!$C$2:$C$126,MATCH(C344,Master_Customer!$A$2:$A$126,0)))</f>
        <v>14</v>
      </c>
      <c r="H344" s="53" t="n">
        <f aca="false">B344+G344</f>
        <v>45748</v>
      </c>
      <c r="I344" s="51" t="n">
        <v>45738</v>
      </c>
      <c r="J344" s="39" t="str">
        <f aca="false">IF(G344=0,"Tunai",IF(I344="","Belum ditukar","Sudah ditukar"))</f>
        <v>Sudah ditukar</v>
      </c>
      <c r="K344" s="54" t="n">
        <v>5010300</v>
      </c>
      <c r="L344" s="51" t="n">
        <v>45743</v>
      </c>
      <c r="M344" s="52" t="n">
        <f aca="false">F344-K344</f>
        <v>0</v>
      </c>
      <c r="N344" s="39" t="str">
        <f aca="false">IF(M344&lt;=0,"Lunas",IF(K344&gt;0,"Sebagian","Belum Bayar"))</f>
        <v>Lunas</v>
      </c>
      <c r="O344" s="39" t="n">
        <f aca="false">IF(M344&gt;0,MAX(0,Catatan!$B$3-H344),0)</f>
        <v>0</v>
      </c>
      <c r="P344" s="39" t="str">
        <f aca="false">IF(M344&lt;=0,"Lunas",IF(Catatan!$B$3&lt;=H344,"Belum Jatuh Tempo",IF(O344&lt;=30,"1-30 hari",IF(O344&lt;=60,"31-60 hari",IF(O344&lt;=90,"61-90 hari","90+ hari")))))</f>
        <v>Lunas</v>
      </c>
      <c r="Q344" s="50"/>
      <c r="R344" s="39" t="str">
        <f aca="false">IF(M344&lt;=0,"",IF(O344&gt;60,"1-Tinggi",IF(O344&gt;30,"2-Sedang",IF(O344&gt;0,"3-Rendah","4-Pantau"))))</f>
        <v/>
      </c>
      <c r="S344" s="39" t="str">
        <f aca="false">IF(AND(M344&gt;0,O344&gt;0),O344+M344/1000000000000+ROW()/1000000000000000,"")</f>
        <v/>
      </c>
      <c r="T344" s="39" t="str">
        <f aca="false">IF(J344="Belum ditukar",ROW(),"")</f>
        <v/>
      </c>
    </row>
    <row r="345" customFormat="false" ht="15" hidden="false" customHeight="false" outlineLevel="0" collapsed="false">
      <c r="A345" s="50" t="s">
        <v>612</v>
      </c>
      <c r="B345" s="51" t="n">
        <v>45734</v>
      </c>
      <c r="C345" s="50" t="s">
        <v>168</v>
      </c>
      <c r="D345" s="39" t="str">
        <f aca="false">INDEX(Master_Customer!$B$2:$B$126,MATCH(C345,Master_Customer!$A$2:$A$126,0))</f>
        <v>JAYA LUBRICANT</v>
      </c>
      <c r="E345" s="50" t="s">
        <v>29</v>
      </c>
      <c r="F345" s="52" t="n">
        <f aca="false">SUMIFS(Data_Penjualan!$G$2:$G$5998,Data_Penjualan!$A$2:$A$5998,A345)</f>
        <v>3715900</v>
      </c>
      <c r="G345" s="39" t="n">
        <f aca="false">IF(E345="KANTOR",0,INDEX(Master_Customer!$C$2:$C$126,MATCH(C345,Master_Customer!$A$2:$A$126,0)))</f>
        <v>0</v>
      </c>
      <c r="H345" s="53" t="n">
        <f aca="false">B345+G345</f>
        <v>45734</v>
      </c>
      <c r="J345" s="39" t="str">
        <f aca="false">IF(G345=0,"Tunai",IF(I345="","Belum ditukar","Sudah ditukar"))</f>
        <v>Tunai</v>
      </c>
      <c r="K345" s="54" t="n">
        <v>3715900</v>
      </c>
      <c r="L345" s="51" t="n">
        <v>45734</v>
      </c>
      <c r="M345" s="52" t="n">
        <f aca="false">F345-K345</f>
        <v>0</v>
      </c>
      <c r="N345" s="39" t="str">
        <f aca="false">IF(M345&lt;=0,"Lunas",IF(K345&gt;0,"Sebagian","Belum Bayar"))</f>
        <v>Lunas</v>
      </c>
      <c r="O345" s="39" t="n">
        <f aca="false">IF(M345&gt;0,MAX(0,Catatan!$B$3-H345),0)</f>
        <v>0</v>
      </c>
      <c r="P345" s="39" t="str">
        <f aca="false">IF(M345&lt;=0,"Lunas",IF(Catatan!$B$3&lt;=H345,"Belum Jatuh Tempo",IF(O345&lt;=30,"1-30 hari",IF(O345&lt;=60,"31-60 hari",IF(O345&lt;=90,"61-90 hari","90+ hari")))))</f>
        <v>Lunas</v>
      </c>
      <c r="Q345" s="50"/>
      <c r="R345" s="39" t="str">
        <f aca="false">IF(M345&lt;=0,"",IF(O345&gt;60,"1-Tinggi",IF(O345&gt;30,"2-Sedang",IF(O345&gt;0,"3-Rendah","4-Pantau"))))</f>
        <v/>
      </c>
      <c r="S345" s="39" t="str">
        <f aca="false">IF(AND(M345&gt;0,O345&gt;0),O345+M345/1000000000000+ROW()/1000000000000000,"")</f>
        <v/>
      </c>
      <c r="T345" s="39" t="str">
        <f aca="false">IF(J345="Belum ditukar",ROW(),"")</f>
        <v/>
      </c>
    </row>
    <row r="346" customFormat="false" ht="15" hidden="false" customHeight="false" outlineLevel="0" collapsed="false">
      <c r="A346" s="50" t="s">
        <v>613</v>
      </c>
      <c r="B346" s="51" t="n">
        <v>45734</v>
      </c>
      <c r="C346" s="50" t="s">
        <v>228</v>
      </c>
      <c r="D346" s="39" t="str">
        <f aca="false">INDEX(Master_Customer!$B$2:$B$126,MATCH(C346,Master_Customer!$A$2:$A$126,0))</f>
        <v>MAKMUR SERVICE JAYA</v>
      </c>
      <c r="E346" s="50" t="s">
        <v>29</v>
      </c>
      <c r="F346" s="52" t="n">
        <f aca="false">SUMIFS(Data_Penjualan!$G$2:$G$5998,Data_Penjualan!$A$2:$A$5998,A346)</f>
        <v>19409700</v>
      </c>
      <c r="G346" s="39" t="n">
        <f aca="false">IF(E346="KANTOR",0,INDEX(Master_Customer!$C$2:$C$126,MATCH(C346,Master_Customer!$A$2:$A$126,0)))</f>
        <v>30</v>
      </c>
      <c r="H346" s="53" t="n">
        <f aca="false">B346+G346</f>
        <v>45764</v>
      </c>
      <c r="I346" s="51" t="n">
        <v>45735</v>
      </c>
      <c r="J346" s="39" t="str">
        <f aca="false">IF(G346=0,"Tunai",IF(I346="","Belum ditukar","Sudah ditukar"))</f>
        <v>Sudah ditukar</v>
      </c>
      <c r="K346" s="54" t="n">
        <v>19409700</v>
      </c>
      <c r="L346" s="51" t="n">
        <v>45778</v>
      </c>
      <c r="M346" s="52" t="n">
        <f aca="false">F346-K346</f>
        <v>0</v>
      </c>
      <c r="N346" s="39" t="str">
        <f aca="false">IF(M346&lt;=0,"Lunas",IF(K346&gt;0,"Sebagian","Belum Bayar"))</f>
        <v>Lunas</v>
      </c>
      <c r="O346" s="39" t="n">
        <f aca="false">IF(M346&gt;0,MAX(0,Catatan!$B$3-H346),0)</f>
        <v>0</v>
      </c>
      <c r="P346" s="39" t="str">
        <f aca="false">IF(M346&lt;=0,"Lunas",IF(Catatan!$B$3&lt;=H346,"Belum Jatuh Tempo",IF(O346&lt;=30,"1-30 hari",IF(O346&lt;=60,"31-60 hari",IF(O346&lt;=90,"61-90 hari","90+ hari")))))</f>
        <v>Lunas</v>
      </c>
      <c r="Q346" s="50"/>
      <c r="R346" s="39" t="str">
        <f aca="false">IF(M346&lt;=0,"",IF(O346&gt;60,"1-Tinggi",IF(O346&gt;30,"2-Sedang",IF(O346&gt;0,"3-Rendah","4-Pantau"))))</f>
        <v/>
      </c>
      <c r="S346" s="39" t="str">
        <f aca="false">IF(AND(M346&gt;0,O346&gt;0),O346+M346/1000000000000+ROW()/1000000000000000,"")</f>
        <v/>
      </c>
      <c r="T346" s="39" t="str">
        <f aca="false">IF(J346="Belum ditukar",ROW(),"")</f>
        <v/>
      </c>
    </row>
    <row r="347" customFormat="false" ht="15" hidden="false" customHeight="false" outlineLevel="0" collapsed="false">
      <c r="A347" s="50" t="s">
        <v>614</v>
      </c>
      <c r="B347" s="51" t="n">
        <v>45734</v>
      </c>
      <c r="C347" s="50" t="s">
        <v>491</v>
      </c>
      <c r="D347" s="39" t="str">
        <f aca="false">INDEX(Master_Customer!$B$2:$B$126,MATCH(C347,Master_Customer!$A$2:$A$126,0))</f>
        <v>SINAR SERVICE</v>
      </c>
      <c r="E347" s="50" t="s">
        <v>31</v>
      </c>
      <c r="F347" s="52" t="n">
        <f aca="false">SUMIFS(Data_Penjualan!$G$2:$G$5998,Data_Penjualan!$A$2:$A$5998,A347)</f>
        <v>5749600</v>
      </c>
      <c r="G347" s="39" t="n">
        <f aca="false">IF(E347="KANTOR",0,INDEX(Master_Customer!$C$2:$C$126,MATCH(C347,Master_Customer!$A$2:$A$126,0)))</f>
        <v>0</v>
      </c>
      <c r="H347" s="53" t="n">
        <f aca="false">B347+G347</f>
        <v>45734</v>
      </c>
      <c r="J347" s="39" t="str">
        <f aca="false">IF(G347=0,"Tunai",IF(I347="","Belum ditukar","Sudah ditukar"))</f>
        <v>Tunai</v>
      </c>
      <c r="K347" s="54" t="n">
        <v>5749600</v>
      </c>
      <c r="L347" s="51" t="n">
        <v>45734</v>
      </c>
      <c r="M347" s="52" t="n">
        <f aca="false">F347-K347</f>
        <v>0</v>
      </c>
      <c r="N347" s="39" t="str">
        <f aca="false">IF(M347&lt;=0,"Lunas",IF(K347&gt;0,"Sebagian","Belum Bayar"))</f>
        <v>Lunas</v>
      </c>
      <c r="O347" s="39" t="n">
        <f aca="false">IF(M347&gt;0,MAX(0,Catatan!$B$3-H347),0)</f>
        <v>0</v>
      </c>
      <c r="P347" s="39" t="str">
        <f aca="false">IF(M347&lt;=0,"Lunas",IF(Catatan!$B$3&lt;=H347,"Belum Jatuh Tempo",IF(O347&lt;=30,"1-30 hari",IF(O347&lt;=60,"31-60 hari",IF(O347&lt;=90,"61-90 hari","90+ hari")))))</f>
        <v>Lunas</v>
      </c>
      <c r="Q347" s="50"/>
      <c r="R347" s="39" t="str">
        <f aca="false">IF(M347&lt;=0,"",IF(O347&gt;60,"1-Tinggi",IF(O347&gt;30,"2-Sedang",IF(O347&gt;0,"3-Rendah","4-Pantau"))))</f>
        <v/>
      </c>
      <c r="S347" s="39" t="str">
        <f aca="false">IF(AND(M347&gt;0,O347&gt;0),O347+M347/1000000000000+ROW()/1000000000000000,"")</f>
        <v/>
      </c>
      <c r="T347" s="39" t="str">
        <f aca="false">IF(J347="Belum ditukar",ROW(),"")</f>
        <v/>
      </c>
    </row>
    <row r="348" customFormat="false" ht="15" hidden="false" customHeight="false" outlineLevel="0" collapsed="false">
      <c r="A348" s="50" t="s">
        <v>615</v>
      </c>
      <c r="B348" s="51" t="n">
        <v>45734</v>
      </c>
      <c r="C348" s="50" t="s">
        <v>205</v>
      </c>
      <c r="D348" s="39" t="str">
        <f aca="false">INDEX(Master_Customer!$B$2:$B$126,MATCH(C348,Master_Customer!$A$2:$A$126,0))</f>
        <v>BERKAH OLI</v>
      </c>
      <c r="E348" s="50" t="s">
        <v>32</v>
      </c>
      <c r="F348" s="52" t="n">
        <f aca="false">SUMIFS(Data_Penjualan!$G$2:$G$5998,Data_Penjualan!$A$2:$A$5998,A348)</f>
        <v>5865600</v>
      </c>
      <c r="G348" s="39" t="n">
        <f aca="false">IF(E348="KANTOR",0,INDEX(Master_Customer!$C$2:$C$126,MATCH(C348,Master_Customer!$A$2:$A$126,0)))</f>
        <v>0</v>
      </c>
      <c r="H348" s="53" t="n">
        <f aca="false">B348+G348</f>
        <v>45734</v>
      </c>
      <c r="J348" s="39" t="str">
        <f aca="false">IF(G348=0,"Tunai",IF(I348="","Belum ditukar","Sudah ditukar"))</f>
        <v>Tunai</v>
      </c>
      <c r="K348" s="54" t="n">
        <v>5865600</v>
      </c>
      <c r="L348" s="51" t="n">
        <v>45734</v>
      </c>
      <c r="M348" s="52" t="n">
        <f aca="false">F348-K348</f>
        <v>0</v>
      </c>
      <c r="N348" s="39" t="str">
        <f aca="false">IF(M348&lt;=0,"Lunas",IF(K348&gt;0,"Sebagian","Belum Bayar"))</f>
        <v>Lunas</v>
      </c>
      <c r="O348" s="39" t="n">
        <f aca="false">IF(M348&gt;0,MAX(0,Catatan!$B$3-H348),0)</f>
        <v>0</v>
      </c>
      <c r="P348" s="39" t="str">
        <f aca="false">IF(M348&lt;=0,"Lunas",IF(Catatan!$B$3&lt;=H348,"Belum Jatuh Tempo",IF(O348&lt;=30,"1-30 hari",IF(O348&lt;=60,"31-60 hari",IF(O348&lt;=90,"61-90 hari","90+ hari")))))</f>
        <v>Lunas</v>
      </c>
      <c r="Q348" s="50"/>
      <c r="R348" s="39" t="str">
        <f aca="false">IF(M348&lt;=0,"",IF(O348&gt;60,"1-Tinggi",IF(O348&gt;30,"2-Sedang",IF(O348&gt;0,"3-Rendah","4-Pantau"))))</f>
        <v/>
      </c>
      <c r="S348" s="39" t="str">
        <f aca="false">IF(AND(M348&gt;0,O348&gt;0),O348+M348/1000000000000+ROW()/1000000000000000,"")</f>
        <v/>
      </c>
      <c r="T348" s="39" t="str">
        <f aca="false">IF(J348="Belum ditukar",ROW(),"")</f>
        <v/>
      </c>
    </row>
    <row r="349" customFormat="false" ht="15" hidden="false" customHeight="false" outlineLevel="0" collapsed="false">
      <c r="A349" s="50" t="s">
        <v>616</v>
      </c>
      <c r="B349" s="51" t="n">
        <v>45734</v>
      </c>
      <c r="C349" s="50" t="s">
        <v>168</v>
      </c>
      <c r="D349" s="39" t="str">
        <f aca="false">INDEX(Master_Customer!$B$2:$B$126,MATCH(C349,Master_Customer!$A$2:$A$126,0))</f>
        <v>JAYA LUBRICANT</v>
      </c>
      <c r="E349" s="50" t="s">
        <v>32</v>
      </c>
      <c r="F349" s="52" t="n">
        <f aca="false">SUMIFS(Data_Penjualan!$G$2:$G$5998,Data_Penjualan!$A$2:$A$5998,A349)</f>
        <v>10708300</v>
      </c>
      <c r="G349" s="39" t="n">
        <f aca="false">IF(E349="KANTOR",0,INDEX(Master_Customer!$C$2:$C$126,MATCH(C349,Master_Customer!$A$2:$A$126,0)))</f>
        <v>0</v>
      </c>
      <c r="H349" s="53" t="n">
        <f aca="false">B349+G349</f>
        <v>45734</v>
      </c>
      <c r="J349" s="39" t="str">
        <f aca="false">IF(G349=0,"Tunai",IF(I349="","Belum ditukar","Sudah ditukar"))</f>
        <v>Tunai</v>
      </c>
      <c r="K349" s="54" t="n">
        <v>10708300</v>
      </c>
      <c r="L349" s="51" t="n">
        <v>45734</v>
      </c>
      <c r="M349" s="52" t="n">
        <f aca="false">F349-K349</f>
        <v>0</v>
      </c>
      <c r="N349" s="39" t="str">
        <f aca="false">IF(M349&lt;=0,"Lunas",IF(K349&gt;0,"Sebagian","Belum Bayar"))</f>
        <v>Lunas</v>
      </c>
      <c r="O349" s="39" t="n">
        <f aca="false">IF(M349&gt;0,MAX(0,Catatan!$B$3-H349),0)</f>
        <v>0</v>
      </c>
      <c r="P349" s="39" t="str">
        <f aca="false">IF(M349&lt;=0,"Lunas",IF(Catatan!$B$3&lt;=H349,"Belum Jatuh Tempo",IF(O349&lt;=30,"1-30 hari",IF(O349&lt;=60,"31-60 hari",IF(O349&lt;=90,"61-90 hari","90+ hari")))))</f>
        <v>Lunas</v>
      </c>
      <c r="Q349" s="50"/>
      <c r="R349" s="39" t="str">
        <f aca="false">IF(M349&lt;=0,"",IF(O349&gt;60,"1-Tinggi",IF(O349&gt;30,"2-Sedang",IF(O349&gt;0,"3-Rendah","4-Pantau"))))</f>
        <v/>
      </c>
      <c r="S349" s="39" t="str">
        <f aca="false">IF(AND(M349&gt;0,O349&gt;0),O349+M349/1000000000000+ROW()/1000000000000000,"")</f>
        <v/>
      </c>
      <c r="T349" s="39" t="str">
        <f aca="false">IF(J349="Belum ditukar",ROW(),"")</f>
        <v/>
      </c>
    </row>
    <row r="350" customFormat="false" ht="15" hidden="false" customHeight="false" outlineLevel="0" collapsed="false">
      <c r="A350" s="50" t="s">
        <v>617</v>
      </c>
      <c r="B350" s="51" t="n">
        <v>45734</v>
      </c>
      <c r="C350" s="50" t="s">
        <v>241</v>
      </c>
      <c r="D350" s="39" t="str">
        <f aca="false">INDEX(Master_Customer!$B$2:$B$126,MATCH(C350,Master_Customer!$A$2:$A$126,0))</f>
        <v>GEMILANG GARAGE TIRTA</v>
      </c>
      <c r="E350" s="50" t="s">
        <v>32</v>
      </c>
      <c r="F350" s="52" t="n">
        <f aca="false">SUMIFS(Data_Penjualan!$G$2:$G$5998,Data_Penjualan!$A$2:$A$5998,A350)</f>
        <v>8264900</v>
      </c>
      <c r="G350" s="39" t="n">
        <f aca="false">IF(E350="KANTOR",0,INDEX(Master_Customer!$C$2:$C$126,MATCH(C350,Master_Customer!$A$2:$A$126,0)))</f>
        <v>0</v>
      </c>
      <c r="H350" s="53" t="n">
        <f aca="false">B350+G350</f>
        <v>45734</v>
      </c>
      <c r="J350" s="39" t="str">
        <f aca="false">IF(G350=0,"Tunai",IF(I350="","Belum ditukar","Sudah ditukar"))</f>
        <v>Tunai</v>
      </c>
      <c r="K350" s="54" t="n">
        <v>8264900</v>
      </c>
      <c r="L350" s="51" t="n">
        <v>45736</v>
      </c>
      <c r="M350" s="52" t="n">
        <f aca="false">F350-K350</f>
        <v>0</v>
      </c>
      <c r="N350" s="39" t="str">
        <f aca="false">IF(M350&lt;=0,"Lunas",IF(K350&gt;0,"Sebagian","Belum Bayar"))</f>
        <v>Lunas</v>
      </c>
      <c r="O350" s="39" t="n">
        <f aca="false">IF(M350&gt;0,MAX(0,Catatan!$B$3-H350),0)</f>
        <v>0</v>
      </c>
      <c r="P350" s="39" t="str">
        <f aca="false">IF(M350&lt;=0,"Lunas",IF(Catatan!$B$3&lt;=H350,"Belum Jatuh Tempo",IF(O350&lt;=30,"1-30 hari",IF(O350&lt;=60,"31-60 hari",IF(O350&lt;=90,"61-90 hari","90+ hari")))))</f>
        <v>Lunas</v>
      </c>
      <c r="Q350" s="50"/>
      <c r="R350" s="39" t="str">
        <f aca="false">IF(M350&lt;=0,"",IF(O350&gt;60,"1-Tinggi",IF(O350&gt;30,"2-Sedang",IF(O350&gt;0,"3-Rendah","4-Pantau"))))</f>
        <v/>
      </c>
      <c r="S350" s="39" t="str">
        <f aca="false">IF(AND(M350&gt;0,O350&gt;0),O350+M350/1000000000000+ROW()/1000000000000000,"")</f>
        <v/>
      </c>
      <c r="T350" s="39" t="str">
        <f aca="false">IF(J350="Belum ditukar",ROW(),"")</f>
        <v/>
      </c>
    </row>
    <row r="351" customFormat="false" ht="15" hidden="false" customHeight="false" outlineLevel="0" collapsed="false">
      <c r="A351" s="50" t="s">
        <v>618</v>
      </c>
      <c r="B351" s="51" t="n">
        <v>45734</v>
      </c>
      <c r="C351" s="50" t="s">
        <v>416</v>
      </c>
      <c r="D351" s="39" t="str">
        <f aca="false">INDEX(Master_Customer!$B$2:$B$126,MATCH(C351,Master_Customer!$A$2:$A$126,0))</f>
        <v>KARYA SERVICE</v>
      </c>
      <c r="E351" s="50" t="s">
        <v>30</v>
      </c>
      <c r="F351" s="52" t="n">
        <f aca="false">SUMIFS(Data_Penjualan!$G$2:$G$5998,Data_Penjualan!$A$2:$A$5998,A351)</f>
        <v>14244400</v>
      </c>
      <c r="G351" s="39" t="n">
        <f aca="false">IF(E351="KANTOR",0,INDEX(Master_Customer!$C$2:$C$126,MATCH(C351,Master_Customer!$A$2:$A$126,0)))</f>
        <v>0</v>
      </c>
      <c r="H351" s="53" t="n">
        <f aca="false">B351+G351</f>
        <v>45734</v>
      </c>
      <c r="J351" s="39" t="str">
        <f aca="false">IF(G351=0,"Tunai",IF(I351="","Belum ditukar","Sudah ditukar"))</f>
        <v>Tunai</v>
      </c>
      <c r="K351" s="54" t="n">
        <v>14244400</v>
      </c>
      <c r="L351" s="51" t="n">
        <v>45749</v>
      </c>
      <c r="M351" s="52" t="n">
        <f aca="false">F351-K351</f>
        <v>0</v>
      </c>
      <c r="N351" s="39" t="str">
        <f aca="false">IF(M351&lt;=0,"Lunas",IF(K351&gt;0,"Sebagian","Belum Bayar"))</f>
        <v>Lunas</v>
      </c>
      <c r="O351" s="39" t="n">
        <f aca="false">IF(M351&gt;0,MAX(0,Catatan!$B$3-H351),0)</f>
        <v>0</v>
      </c>
      <c r="P351" s="39" t="str">
        <f aca="false">IF(M351&lt;=0,"Lunas",IF(Catatan!$B$3&lt;=H351,"Belum Jatuh Tempo",IF(O351&lt;=30,"1-30 hari",IF(O351&lt;=60,"31-60 hari",IF(O351&lt;=90,"61-90 hari","90+ hari")))))</f>
        <v>Lunas</v>
      </c>
      <c r="Q351" s="50"/>
      <c r="R351" s="39" t="str">
        <f aca="false">IF(M351&lt;=0,"",IF(O351&gt;60,"1-Tinggi",IF(O351&gt;30,"2-Sedang",IF(O351&gt;0,"3-Rendah","4-Pantau"))))</f>
        <v/>
      </c>
      <c r="S351" s="39" t="str">
        <f aca="false">IF(AND(M351&gt;0,O351&gt;0),O351+M351/1000000000000+ROW()/1000000000000000,"")</f>
        <v/>
      </c>
      <c r="T351" s="39" t="str">
        <f aca="false">IF(J351="Belum ditukar",ROW(),"")</f>
        <v/>
      </c>
    </row>
    <row r="352" customFormat="false" ht="15" hidden="false" customHeight="false" outlineLevel="0" collapsed="false">
      <c r="A352" s="50" t="s">
        <v>619</v>
      </c>
      <c r="B352" s="51" t="n">
        <v>45735</v>
      </c>
      <c r="C352" s="50" t="s">
        <v>174</v>
      </c>
      <c r="D352" s="39" t="str">
        <f aca="false">INDEX(Master_Customer!$B$2:$B$126,MATCH(C352,Master_Customer!$A$2:$A$126,0))</f>
        <v>SUMBER TEKNIK SURYA</v>
      </c>
      <c r="E352" s="50" t="s">
        <v>31</v>
      </c>
      <c r="F352" s="52" t="n">
        <f aca="false">SUMIFS(Data_Penjualan!$G$2:$G$5998,Data_Penjualan!$A$2:$A$5998,A352)</f>
        <v>24679600</v>
      </c>
      <c r="G352" s="39" t="n">
        <f aca="false">IF(E352="KANTOR",0,INDEX(Master_Customer!$C$2:$C$126,MATCH(C352,Master_Customer!$A$2:$A$126,0)))</f>
        <v>30</v>
      </c>
      <c r="H352" s="53" t="n">
        <f aca="false">B352+G352</f>
        <v>45765</v>
      </c>
      <c r="I352" s="51" t="n">
        <v>45740</v>
      </c>
      <c r="J352" s="39" t="str">
        <f aca="false">IF(G352=0,"Tunai",IF(I352="","Belum ditukar","Sudah ditukar"))</f>
        <v>Sudah ditukar</v>
      </c>
      <c r="K352" s="54" t="n">
        <v>24679600</v>
      </c>
      <c r="L352" s="51" t="n">
        <v>45766</v>
      </c>
      <c r="M352" s="52" t="n">
        <f aca="false">F352-K352</f>
        <v>0</v>
      </c>
      <c r="N352" s="39" t="str">
        <f aca="false">IF(M352&lt;=0,"Lunas",IF(K352&gt;0,"Sebagian","Belum Bayar"))</f>
        <v>Lunas</v>
      </c>
      <c r="O352" s="39" t="n">
        <f aca="false">IF(M352&gt;0,MAX(0,Catatan!$B$3-H352),0)</f>
        <v>0</v>
      </c>
      <c r="P352" s="39" t="str">
        <f aca="false">IF(M352&lt;=0,"Lunas",IF(Catatan!$B$3&lt;=H352,"Belum Jatuh Tempo",IF(O352&lt;=30,"1-30 hari",IF(O352&lt;=60,"31-60 hari",IF(O352&lt;=90,"61-90 hari","90+ hari")))))</f>
        <v>Lunas</v>
      </c>
      <c r="Q352" s="50"/>
      <c r="R352" s="39" t="str">
        <f aca="false">IF(M352&lt;=0,"",IF(O352&gt;60,"1-Tinggi",IF(O352&gt;30,"2-Sedang",IF(O352&gt;0,"3-Rendah","4-Pantau"))))</f>
        <v/>
      </c>
      <c r="S352" s="39" t="str">
        <f aca="false">IF(AND(M352&gt;0,O352&gt;0),O352+M352/1000000000000+ROW()/1000000000000000,"")</f>
        <v/>
      </c>
      <c r="T352" s="39" t="str">
        <f aca="false">IF(J352="Belum ditukar",ROW(),"")</f>
        <v/>
      </c>
    </row>
    <row r="353" customFormat="false" ht="15" hidden="false" customHeight="false" outlineLevel="0" collapsed="false">
      <c r="A353" s="50" t="s">
        <v>620</v>
      </c>
      <c r="B353" s="51" t="n">
        <v>45735</v>
      </c>
      <c r="C353" s="50" t="s">
        <v>179</v>
      </c>
      <c r="D353" s="39" t="str">
        <f aca="false">INDEX(Master_Customer!$B$2:$B$126,MATCH(C353,Master_Customer!$A$2:$A$126,0))</f>
        <v>BINTANG TEKNIK SURYA</v>
      </c>
      <c r="E353" s="50" t="s">
        <v>29</v>
      </c>
      <c r="F353" s="52" t="n">
        <f aca="false">SUMIFS(Data_Penjualan!$G$2:$G$5998,Data_Penjualan!$A$2:$A$5998,A353)</f>
        <v>7954500</v>
      </c>
      <c r="G353" s="39" t="n">
        <f aca="false">IF(E353="KANTOR",0,INDEX(Master_Customer!$C$2:$C$126,MATCH(C353,Master_Customer!$A$2:$A$126,0)))</f>
        <v>45</v>
      </c>
      <c r="H353" s="53" t="n">
        <f aca="false">B353+G353</f>
        <v>45780</v>
      </c>
      <c r="I353" s="51" t="n">
        <v>45736</v>
      </c>
      <c r="J353" s="39" t="str">
        <f aca="false">IF(G353=0,"Tunai",IF(I353="","Belum ditukar","Sudah ditukar"))</f>
        <v>Sudah ditukar</v>
      </c>
      <c r="K353" s="54" t="n">
        <v>7954500</v>
      </c>
      <c r="L353" s="51" t="n">
        <v>45779</v>
      </c>
      <c r="M353" s="52" t="n">
        <f aca="false">F353-K353</f>
        <v>0</v>
      </c>
      <c r="N353" s="39" t="str">
        <f aca="false">IF(M353&lt;=0,"Lunas",IF(K353&gt;0,"Sebagian","Belum Bayar"))</f>
        <v>Lunas</v>
      </c>
      <c r="O353" s="39" t="n">
        <f aca="false">IF(M353&gt;0,MAX(0,Catatan!$B$3-H353),0)</f>
        <v>0</v>
      </c>
      <c r="P353" s="39" t="str">
        <f aca="false">IF(M353&lt;=0,"Lunas",IF(Catatan!$B$3&lt;=H353,"Belum Jatuh Tempo",IF(O353&lt;=30,"1-30 hari",IF(O353&lt;=60,"31-60 hari",IF(O353&lt;=90,"61-90 hari","90+ hari")))))</f>
        <v>Lunas</v>
      </c>
      <c r="Q353" s="50"/>
      <c r="R353" s="39" t="str">
        <f aca="false">IF(M353&lt;=0,"",IF(O353&gt;60,"1-Tinggi",IF(O353&gt;30,"2-Sedang",IF(O353&gt;0,"3-Rendah","4-Pantau"))))</f>
        <v/>
      </c>
      <c r="S353" s="39" t="str">
        <f aca="false">IF(AND(M353&gt;0,O353&gt;0),O353+M353/1000000000000+ROW()/1000000000000000,"")</f>
        <v/>
      </c>
      <c r="T353" s="39" t="str">
        <f aca="false">IF(J353="Belum ditukar",ROW(),"")</f>
        <v/>
      </c>
    </row>
    <row r="354" customFormat="false" ht="15" hidden="false" customHeight="false" outlineLevel="0" collapsed="false">
      <c r="A354" s="50" t="s">
        <v>621</v>
      </c>
      <c r="B354" s="51" t="n">
        <v>45735</v>
      </c>
      <c r="C354" s="50" t="s">
        <v>289</v>
      </c>
      <c r="D354" s="39" t="str">
        <f aca="false">INDEX(Master_Customer!$B$2:$B$126,MATCH(C354,Master_Customer!$A$2:$A$126,0))</f>
        <v>SINAR GARAGE</v>
      </c>
      <c r="E354" s="50" t="s">
        <v>28</v>
      </c>
      <c r="F354" s="52" t="n">
        <f aca="false">SUMIFS(Data_Penjualan!$G$2:$G$5998,Data_Penjualan!$A$2:$A$5998,A354)</f>
        <v>10861900</v>
      </c>
      <c r="G354" s="39" t="n">
        <f aca="false">IF(E354="KANTOR",0,INDEX(Master_Customer!$C$2:$C$126,MATCH(C354,Master_Customer!$A$2:$A$126,0)))</f>
        <v>30</v>
      </c>
      <c r="H354" s="53" t="n">
        <f aca="false">B354+G354</f>
        <v>45765</v>
      </c>
      <c r="I354" s="51" t="n">
        <v>45740</v>
      </c>
      <c r="J354" s="39" t="str">
        <f aca="false">IF(G354=0,"Tunai",IF(I354="","Belum ditukar","Sudah ditukar"))</f>
        <v>Sudah ditukar</v>
      </c>
      <c r="K354" s="54" t="n">
        <v>10861900</v>
      </c>
      <c r="L354" s="51" t="n">
        <v>45765</v>
      </c>
      <c r="M354" s="52" t="n">
        <f aca="false">F354-K354</f>
        <v>0</v>
      </c>
      <c r="N354" s="39" t="str">
        <f aca="false">IF(M354&lt;=0,"Lunas",IF(K354&gt;0,"Sebagian","Belum Bayar"))</f>
        <v>Lunas</v>
      </c>
      <c r="O354" s="39" t="n">
        <f aca="false">IF(M354&gt;0,MAX(0,Catatan!$B$3-H354),0)</f>
        <v>0</v>
      </c>
      <c r="P354" s="39" t="str">
        <f aca="false">IF(M354&lt;=0,"Lunas",IF(Catatan!$B$3&lt;=H354,"Belum Jatuh Tempo",IF(O354&lt;=30,"1-30 hari",IF(O354&lt;=60,"31-60 hari",IF(O354&lt;=90,"61-90 hari","90+ hari")))))</f>
        <v>Lunas</v>
      </c>
      <c r="Q354" s="50"/>
      <c r="R354" s="39" t="str">
        <f aca="false">IF(M354&lt;=0,"",IF(O354&gt;60,"1-Tinggi",IF(O354&gt;30,"2-Sedang",IF(O354&gt;0,"3-Rendah","4-Pantau"))))</f>
        <v/>
      </c>
      <c r="S354" s="39" t="str">
        <f aca="false">IF(AND(M354&gt;0,O354&gt;0),O354+M354/1000000000000+ROW()/1000000000000000,"")</f>
        <v/>
      </c>
      <c r="T354" s="39" t="str">
        <f aca="false">IF(J354="Belum ditukar",ROW(),"")</f>
        <v/>
      </c>
    </row>
    <row r="355" customFormat="false" ht="15" hidden="false" customHeight="false" outlineLevel="0" collapsed="false">
      <c r="A355" s="50" t="s">
        <v>622</v>
      </c>
      <c r="B355" s="51" t="n">
        <v>45736</v>
      </c>
      <c r="C355" s="50" t="s">
        <v>166</v>
      </c>
      <c r="D355" s="39" t="str">
        <f aca="false">INDEX(Master_Customer!$B$2:$B$126,MATCH(C355,Master_Customer!$A$2:$A$126,0))</f>
        <v>SENTOSA SERVICE</v>
      </c>
      <c r="E355" s="50" t="s">
        <v>30</v>
      </c>
      <c r="F355" s="52" t="n">
        <f aca="false">SUMIFS(Data_Penjualan!$G$2:$G$5998,Data_Penjualan!$A$2:$A$5998,A355)</f>
        <v>6291600</v>
      </c>
      <c r="G355" s="39" t="n">
        <f aca="false">IF(E355="KANTOR",0,INDEX(Master_Customer!$C$2:$C$126,MATCH(C355,Master_Customer!$A$2:$A$126,0)))</f>
        <v>0</v>
      </c>
      <c r="H355" s="53" t="n">
        <f aca="false">B355+G355</f>
        <v>45736</v>
      </c>
      <c r="J355" s="39" t="str">
        <f aca="false">IF(G355=0,"Tunai",IF(I355="","Belum ditukar","Sudah ditukar"))</f>
        <v>Tunai</v>
      </c>
      <c r="K355" s="54" t="n">
        <v>6291600</v>
      </c>
      <c r="L355" s="51" t="n">
        <v>45736</v>
      </c>
      <c r="M355" s="52" t="n">
        <f aca="false">F355-K355</f>
        <v>0</v>
      </c>
      <c r="N355" s="39" t="str">
        <f aca="false">IF(M355&lt;=0,"Lunas",IF(K355&gt;0,"Sebagian","Belum Bayar"))</f>
        <v>Lunas</v>
      </c>
      <c r="O355" s="39" t="n">
        <f aca="false">IF(M355&gt;0,MAX(0,Catatan!$B$3-H355),0)</f>
        <v>0</v>
      </c>
      <c r="P355" s="39" t="str">
        <f aca="false">IF(M355&lt;=0,"Lunas",IF(Catatan!$B$3&lt;=H355,"Belum Jatuh Tempo",IF(O355&lt;=30,"1-30 hari",IF(O355&lt;=60,"31-60 hari",IF(O355&lt;=90,"61-90 hari","90+ hari")))))</f>
        <v>Lunas</v>
      </c>
      <c r="Q355" s="50"/>
      <c r="R355" s="39" t="str">
        <f aca="false">IF(M355&lt;=0,"",IF(O355&gt;60,"1-Tinggi",IF(O355&gt;30,"2-Sedang",IF(O355&gt;0,"3-Rendah","4-Pantau"))))</f>
        <v/>
      </c>
      <c r="S355" s="39" t="str">
        <f aca="false">IF(AND(M355&gt;0,O355&gt;0),O355+M355/1000000000000+ROW()/1000000000000000,"")</f>
        <v/>
      </c>
      <c r="T355" s="39" t="str">
        <f aca="false">IF(J355="Belum ditukar",ROW(),"")</f>
        <v/>
      </c>
    </row>
    <row r="356" customFormat="false" ht="15" hidden="false" customHeight="false" outlineLevel="0" collapsed="false">
      <c r="A356" s="50" t="s">
        <v>623</v>
      </c>
      <c r="B356" s="51" t="n">
        <v>45736</v>
      </c>
      <c r="C356" s="50" t="s">
        <v>174</v>
      </c>
      <c r="D356" s="39" t="str">
        <f aca="false">INDEX(Master_Customer!$B$2:$B$126,MATCH(C356,Master_Customer!$A$2:$A$126,0))</f>
        <v>SUMBER TEKNIK SURYA</v>
      </c>
      <c r="E356" s="50" t="s">
        <v>31</v>
      </c>
      <c r="F356" s="52" t="n">
        <f aca="false">SUMIFS(Data_Penjualan!$G$2:$G$5998,Data_Penjualan!$A$2:$A$5998,A356)</f>
        <v>11612200</v>
      </c>
      <c r="G356" s="39" t="n">
        <f aca="false">IF(E356="KANTOR",0,INDEX(Master_Customer!$C$2:$C$126,MATCH(C356,Master_Customer!$A$2:$A$126,0)))</f>
        <v>30</v>
      </c>
      <c r="H356" s="53" t="n">
        <f aca="false">B356+G356</f>
        <v>45766</v>
      </c>
      <c r="I356" s="51" t="n">
        <v>45737</v>
      </c>
      <c r="J356" s="39" t="str">
        <f aca="false">IF(G356=0,"Tunai",IF(I356="","Belum ditukar","Sudah ditukar"))</f>
        <v>Sudah ditukar</v>
      </c>
      <c r="K356" s="54" t="n">
        <v>11612200</v>
      </c>
      <c r="L356" s="51" t="n">
        <v>45760</v>
      </c>
      <c r="M356" s="52" t="n">
        <f aca="false">F356-K356</f>
        <v>0</v>
      </c>
      <c r="N356" s="39" t="str">
        <f aca="false">IF(M356&lt;=0,"Lunas",IF(K356&gt;0,"Sebagian","Belum Bayar"))</f>
        <v>Lunas</v>
      </c>
      <c r="O356" s="39" t="n">
        <f aca="false">IF(M356&gt;0,MAX(0,Catatan!$B$3-H356),0)</f>
        <v>0</v>
      </c>
      <c r="P356" s="39" t="str">
        <f aca="false">IF(M356&lt;=0,"Lunas",IF(Catatan!$B$3&lt;=H356,"Belum Jatuh Tempo",IF(O356&lt;=30,"1-30 hari",IF(O356&lt;=60,"31-60 hari",IF(O356&lt;=90,"61-90 hari","90+ hari")))))</f>
        <v>Lunas</v>
      </c>
      <c r="Q356" s="50"/>
      <c r="R356" s="39" t="str">
        <f aca="false">IF(M356&lt;=0,"",IF(O356&gt;60,"1-Tinggi",IF(O356&gt;30,"2-Sedang",IF(O356&gt;0,"3-Rendah","4-Pantau"))))</f>
        <v/>
      </c>
      <c r="S356" s="39" t="str">
        <f aca="false">IF(AND(M356&gt;0,O356&gt;0),O356+M356/1000000000000+ROW()/1000000000000000,"")</f>
        <v/>
      </c>
      <c r="T356" s="39" t="str">
        <f aca="false">IF(J356="Belum ditukar",ROW(),"")</f>
        <v/>
      </c>
    </row>
    <row r="357" customFormat="false" ht="15" hidden="false" customHeight="false" outlineLevel="0" collapsed="false">
      <c r="A357" s="50" t="s">
        <v>624</v>
      </c>
      <c r="B357" s="51" t="n">
        <v>45736</v>
      </c>
      <c r="C357" s="50" t="s">
        <v>447</v>
      </c>
      <c r="D357" s="39" t="str">
        <f aca="false">INDEX(Master_Customer!$B$2:$B$126,MATCH(C357,Master_Customer!$A$2:$A$126,0))</f>
        <v>PRIMA LUBRICANT</v>
      </c>
      <c r="E357" s="50" t="s">
        <v>28</v>
      </c>
      <c r="F357" s="52" t="n">
        <f aca="false">SUMIFS(Data_Penjualan!$G$2:$G$5998,Data_Penjualan!$A$2:$A$5998,A357)</f>
        <v>3423600</v>
      </c>
      <c r="G357" s="39" t="n">
        <f aca="false">IF(E357="KANTOR",0,INDEX(Master_Customer!$C$2:$C$126,MATCH(C357,Master_Customer!$A$2:$A$126,0)))</f>
        <v>30</v>
      </c>
      <c r="H357" s="53" t="n">
        <f aca="false">B357+G357</f>
        <v>45766</v>
      </c>
      <c r="I357" s="51" t="n">
        <v>45740</v>
      </c>
      <c r="J357" s="39" t="str">
        <f aca="false">IF(G357=0,"Tunai",IF(I357="","Belum ditukar","Sudah ditukar"))</f>
        <v>Sudah ditukar</v>
      </c>
      <c r="K357" s="54" t="n">
        <v>3423600</v>
      </c>
      <c r="L357" s="51" t="n">
        <v>45774</v>
      </c>
      <c r="M357" s="52" t="n">
        <f aca="false">F357-K357</f>
        <v>0</v>
      </c>
      <c r="N357" s="39" t="str">
        <f aca="false">IF(M357&lt;=0,"Lunas",IF(K357&gt;0,"Sebagian","Belum Bayar"))</f>
        <v>Lunas</v>
      </c>
      <c r="O357" s="39" t="n">
        <f aca="false">IF(M357&gt;0,MAX(0,Catatan!$B$3-H357),0)</f>
        <v>0</v>
      </c>
      <c r="P357" s="39" t="str">
        <f aca="false">IF(M357&lt;=0,"Lunas",IF(Catatan!$B$3&lt;=H357,"Belum Jatuh Tempo",IF(O357&lt;=30,"1-30 hari",IF(O357&lt;=60,"31-60 hari",IF(O357&lt;=90,"61-90 hari","90+ hari")))))</f>
        <v>Lunas</v>
      </c>
      <c r="Q357" s="50"/>
      <c r="R357" s="39" t="str">
        <f aca="false">IF(M357&lt;=0,"",IF(O357&gt;60,"1-Tinggi",IF(O357&gt;30,"2-Sedang",IF(O357&gt;0,"3-Rendah","4-Pantau"))))</f>
        <v/>
      </c>
      <c r="S357" s="39" t="str">
        <f aca="false">IF(AND(M357&gt;0,O357&gt;0),O357+M357/1000000000000+ROW()/1000000000000000,"")</f>
        <v/>
      </c>
      <c r="T357" s="39" t="str">
        <f aca="false">IF(J357="Belum ditukar",ROW(),"")</f>
        <v/>
      </c>
    </row>
    <row r="358" customFormat="false" ht="15" hidden="false" customHeight="false" outlineLevel="0" collapsed="false">
      <c r="A358" s="50" t="s">
        <v>625</v>
      </c>
      <c r="B358" s="51" t="n">
        <v>45736</v>
      </c>
      <c r="C358" s="50" t="s">
        <v>329</v>
      </c>
      <c r="D358" s="39" t="str">
        <f aca="false">INDEX(Master_Customer!$B$2:$B$126,MATCH(C358,Master_Customer!$A$2:$A$126,0))</f>
        <v>MAKMUR OLI</v>
      </c>
      <c r="E358" s="50" t="s">
        <v>28</v>
      </c>
      <c r="F358" s="52" t="n">
        <f aca="false">SUMIFS(Data_Penjualan!$G$2:$G$5998,Data_Penjualan!$A$2:$A$5998,A358)</f>
        <v>7729100</v>
      </c>
      <c r="G358" s="39" t="n">
        <f aca="false">IF(E358="KANTOR",0,INDEX(Master_Customer!$C$2:$C$126,MATCH(C358,Master_Customer!$A$2:$A$126,0)))</f>
        <v>45</v>
      </c>
      <c r="H358" s="53" t="n">
        <f aca="false">B358+G358</f>
        <v>45781</v>
      </c>
      <c r="I358" s="51" t="n">
        <v>45738</v>
      </c>
      <c r="J358" s="39" t="str">
        <f aca="false">IF(G358=0,"Tunai",IF(I358="","Belum ditukar","Sudah ditukar"))</f>
        <v>Sudah ditukar</v>
      </c>
      <c r="K358" s="54" t="n">
        <v>7729100</v>
      </c>
      <c r="L358" s="51" t="n">
        <v>45840</v>
      </c>
      <c r="M358" s="52" t="n">
        <f aca="false">F358-K358</f>
        <v>0</v>
      </c>
      <c r="N358" s="39" t="str">
        <f aca="false">IF(M358&lt;=0,"Lunas",IF(K358&gt;0,"Sebagian","Belum Bayar"))</f>
        <v>Lunas</v>
      </c>
      <c r="O358" s="39" t="n">
        <f aca="false">IF(M358&gt;0,MAX(0,Catatan!$B$3-H358),0)</f>
        <v>0</v>
      </c>
      <c r="P358" s="39" t="str">
        <f aca="false">IF(M358&lt;=0,"Lunas",IF(Catatan!$B$3&lt;=H358,"Belum Jatuh Tempo",IF(O358&lt;=30,"1-30 hari",IF(O358&lt;=60,"31-60 hari",IF(O358&lt;=90,"61-90 hari","90+ hari")))))</f>
        <v>Lunas</v>
      </c>
      <c r="Q358" s="50"/>
      <c r="R358" s="39" t="str">
        <f aca="false">IF(M358&lt;=0,"",IF(O358&gt;60,"1-Tinggi",IF(O358&gt;30,"2-Sedang",IF(O358&gt;0,"3-Rendah","4-Pantau"))))</f>
        <v/>
      </c>
      <c r="S358" s="39" t="str">
        <f aca="false">IF(AND(M358&gt;0,O358&gt;0),O358+M358/1000000000000+ROW()/1000000000000000,"")</f>
        <v/>
      </c>
      <c r="T358" s="39" t="str">
        <f aca="false">IF(J358="Belum ditukar",ROW(),"")</f>
        <v/>
      </c>
    </row>
    <row r="359" customFormat="false" ht="15" hidden="false" customHeight="false" outlineLevel="0" collapsed="false">
      <c r="A359" s="50" t="s">
        <v>626</v>
      </c>
      <c r="B359" s="51" t="n">
        <v>45736</v>
      </c>
      <c r="C359" s="50" t="s">
        <v>174</v>
      </c>
      <c r="D359" s="39" t="str">
        <f aca="false">INDEX(Master_Customer!$B$2:$B$126,MATCH(C359,Master_Customer!$A$2:$A$126,0))</f>
        <v>SUMBER TEKNIK SURYA</v>
      </c>
      <c r="E359" s="50" t="s">
        <v>31</v>
      </c>
      <c r="F359" s="52" t="n">
        <f aca="false">SUMIFS(Data_Penjualan!$G$2:$G$5998,Data_Penjualan!$A$2:$A$5998,A359)</f>
        <v>5762200</v>
      </c>
      <c r="G359" s="39" t="n">
        <f aca="false">IF(E359="KANTOR",0,INDEX(Master_Customer!$C$2:$C$126,MATCH(C359,Master_Customer!$A$2:$A$126,0)))</f>
        <v>30</v>
      </c>
      <c r="H359" s="53" t="n">
        <f aca="false">B359+G359</f>
        <v>45766</v>
      </c>
      <c r="I359" s="51" t="n">
        <v>45739</v>
      </c>
      <c r="J359" s="39" t="str">
        <f aca="false">IF(G359=0,"Tunai",IF(I359="","Belum ditukar","Sudah ditukar"))</f>
        <v>Sudah ditukar</v>
      </c>
      <c r="K359" s="54" t="n">
        <v>5762200</v>
      </c>
      <c r="L359" s="51" t="n">
        <v>45768</v>
      </c>
      <c r="M359" s="52" t="n">
        <f aca="false">F359-K359</f>
        <v>0</v>
      </c>
      <c r="N359" s="39" t="str">
        <f aca="false">IF(M359&lt;=0,"Lunas",IF(K359&gt;0,"Sebagian","Belum Bayar"))</f>
        <v>Lunas</v>
      </c>
      <c r="O359" s="39" t="n">
        <f aca="false">IF(M359&gt;0,MAX(0,Catatan!$B$3-H359),0)</f>
        <v>0</v>
      </c>
      <c r="P359" s="39" t="str">
        <f aca="false">IF(M359&lt;=0,"Lunas",IF(Catatan!$B$3&lt;=H359,"Belum Jatuh Tempo",IF(O359&lt;=30,"1-30 hari",IF(O359&lt;=60,"31-60 hari",IF(O359&lt;=90,"61-90 hari","90+ hari")))))</f>
        <v>Lunas</v>
      </c>
      <c r="Q359" s="50"/>
      <c r="R359" s="39" t="str">
        <f aca="false">IF(M359&lt;=0,"",IF(O359&gt;60,"1-Tinggi",IF(O359&gt;30,"2-Sedang",IF(O359&gt;0,"3-Rendah","4-Pantau"))))</f>
        <v/>
      </c>
      <c r="S359" s="39" t="str">
        <f aca="false">IF(AND(M359&gt;0,O359&gt;0),O359+M359/1000000000000+ROW()/1000000000000000,"")</f>
        <v/>
      </c>
      <c r="T359" s="39" t="str">
        <f aca="false">IF(J359="Belum ditukar",ROW(),"")</f>
        <v/>
      </c>
    </row>
    <row r="360" customFormat="false" ht="15" hidden="false" customHeight="false" outlineLevel="0" collapsed="false">
      <c r="A360" s="50" t="s">
        <v>627</v>
      </c>
      <c r="B360" s="51" t="n">
        <v>45736</v>
      </c>
      <c r="C360" s="50" t="s">
        <v>271</v>
      </c>
      <c r="D360" s="39" t="str">
        <f aca="false">INDEX(Master_Customer!$B$2:$B$126,MATCH(C360,Master_Customer!$A$2:$A$126,0))</f>
        <v>CAHAYA MOTOR</v>
      </c>
      <c r="E360" s="50" t="s">
        <v>28</v>
      </c>
      <c r="F360" s="52" t="n">
        <f aca="false">SUMIFS(Data_Penjualan!$G$2:$G$5998,Data_Penjualan!$A$2:$A$5998,A360)</f>
        <v>17546000</v>
      </c>
      <c r="G360" s="39" t="n">
        <f aca="false">IF(E360="KANTOR",0,INDEX(Master_Customer!$C$2:$C$126,MATCH(C360,Master_Customer!$A$2:$A$126,0)))</f>
        <v>14</v>
      </c>
      <c r="H360" s="53" t="n">
        <f aca="false">B360+G360</f>
        <v>45750</v>
      </c>
      <c r="I360" s="51" t="n">
        <v>45738</v>
      </c>
      <c r="J360" s="39" t="str">
        <f aca="false">IF(G360=0,"Tunai",IF(I360="","Belum ditukar","Sudah ditukar"))</f>
        <v>Sudah ditukar</v>
      </c>
      <c r="K360" s="54" t="n">
        <v>17546000</v>
      </c>
      <c r="L360" s="51" t="n">
        <v>45743</v>
      </c>
      <c r="M360" s="52" t="n">
        <f aca="false">F360-K360</f>
        <v>0</v>
      </c>
      <c r="N360" s="39" t="str">
        <f aca="false">IF(M360&lt;=0,"Lunas",IF(K360&gt;0,"Sebagian","Belum Bayar"))</f>
        <v>Lunas</v>
      </c>
      <c r="O360" s="39" t="n">
        <f aca="false">IF(M360&gt;0,MAX(0,Catatan!$B$3-H360),0)</f>
        <v>0</v>
      </c>
      <c r="P360" s="39" t="str">
        <f aca="false">IF(M360&lt;=0,"Lunas",IF(Catatan!$B$3&lt;=H360,"Belum Jatuh Tempo",IF(O360&lt;=30,"1-30 hari",IF(O360&lt;=60,"31-60 hari",IF(O360&lt;=90,"61-90 hari","90+ hari")))))</f>
        <v>Lunas</v>
      </c>
      <c r="Q360" s="50"/>
      <c r="R360" s="39" t="str">
        <f aca="false">IF(M360&lt;=0,"",IF(O360&gt;60,"1-Tinggi",IF(O360&gt;30,"2-Sedang",IF(O360&gt;0,"3-Rendah","4-Pantau"))))</f>
        <v/>
      </c>
      <c r="S360" s="39" t="str">
        <f aca="false">IF(AND(M360&gt;0,O360&gt;0),O360+M360/1000000000000+ROW()/1000000000000000,"")</f>
        <v/>
      </c>
      <c r="T360" s="39" t="str">
        <f aca="false">IF(J360="Belum ditukar",ROW(),"")</f>
        <v/>
      </c>
    </row>
    <row r="361" customFormat="false" ht="15" hidden="false" customHeight="false" outlineLevel="0" collapsed="false">
      <c r="A361" s="50" t="s">
        <v>628</v>
      </c>
      <c r="B361" s="51" t="n">
        <v>45736</v>
      </c>
      <c r="C361" s="50" t="s">
        <v>216</v>
      </c>
      <c r="D361" s="39" t="str">
        <f aca="false">INDEX(Master_Customer!$B$2:$B$126,MATCH(C361,Master_Customer!$A$2:$A$126,0))</f>
        <v>SINAR MOTOR UTAMA</v>
      </c>
      <c r="E361" s="50" t="s">
        <v>30</v>
      </c>
      <c r="F361" s="52" t="n">
        <f aca="false">SUMIFS(Data_Penjualan!$G$2:$G$5998,Data_Penjualan!$A$2:$A$5998,A361)</f>
        <v>11971100</v>
      </c>
      <c r="G361" s="39" t="n">
        <f aca="false">IF(E361="KANTOR",0,INDEX(Master_Customer!$C$2:$C$126,MATCH(C361,Master_Customer!$A$2:$A$126,0)))</f>
        <v>0</v>
      </c>
      <c r="H361" s="53" t="n">
        <f aca="false">B361+G361</f>
        <v>45736</v>
      </c>
      <c r="J361" s="39" t="str">
        <f aca="false">IF(G361=0,"Tunai",IF(I361="","Belum ditukar","Sudah ditukar"))</f>
        <v>Tunai</v>
      </c>
      <c r="K361" s="54" t="n">
        <v>11971100</v>
      </c>
      <c r="L361" s="51" t="n">
        <v>45736</v>
      </c>
      <c r="M361" s="52" t="n">
        <f aca="false">F361-K361</f>
        <v>0</v>
      </c>
      <c r="N361" s="39" t="str">
        <f aca="false">IF(M361&lt;=0,"Lunas",IF(K361&gt;0,"Sebagian","Belum Bayar"))</f>
        <v>Lunas</v>
      </c>
      <c r="O361" s="39" t="n">
        <f aca="false">IF(M361&gt;0,MAX(0,Catatan!$B$3-H361),0)</f>
        <v>0</v>
      </c>
      <c r="P361" s="39" t="str">
        <f aca="false">IF(M361&lt;=0,"Lunas",IF(Catatan!$B$3&lt;=H361,"Belum Jatuh Tempo",IF(O361&lt;=30,"1-30 hari",IF(O361&lt;=60,"31-60 hari",IF(O361&lt;=90,"61-90 hari","90+ hari")))))</f>
        <v>Lunas</v>
      </c>
      <c r="Q361" s="50"/>
      <c r="R361" s="39" t="str">
        <f aca="false">IF(M361&lt;=0,"",IF(O361&gt;60,"1-Tinggi",IF(O361&gt;30,"2-Sedang",IF(O361&gt;0,"3-Rendah","4-Pantau"))))</f>
        <v/>
      </c>
      <c r="S361" s="39" t="str">
        <f aca="false">IF(AND(M361&gt;0,O361&gt;0),O361+M361/1000000000000+ROW()/1000000000000000,"")</f>
        <v/>
      </c>
      <c r="T361" s="39" t="str">
        <f aca="false">IF(J361="Belum ditukar",ROW(),"")</f>
        <v/>
      </c>
    </row>
    <row r="362" customFormat="false" ht="15" hidden="false" customHeight="false" outlineLevel="0" collapsed="false">
      <c r="A362" s="50" t="s">
        <v>629</v>
      </c>
      <c r="B362" s="51" t="n">
        <v>45737</v>
      </c>
      <c r="C362" s="50" t="s">
        <v>199</v>
      </c>
      <c r="D362" s="39" t="str">
        <f aca="false">INDEX(Master_Customer!$B$2:$B$126,MATCH(C362,Master_Customer!$A$2:$A$126,0))</f>
        <v>KARYA SPAREPART</v>
      </c>
      <c r="E362" s="50" t="s">
        <v>29</v>
      </c>
      <c r="F362" s="52" t="n">
        <f aca="false">SUMIFS(Data_Penjualan!$G$2:$G$5998,Data_Penjualan!$A$2:$A$5998,A362)</f>
        <v>9965300</v>
      </c>
      <c r="G362" s="39" t="n">
        <f aca="false">IF(E362="KANTOR",0,INDEX(Master_Customer!$C$2:$C$126,MATCH(C362,Master_Customer!$A$2:$A$126,0)))</f>
        <v>45</v>
      </c>
      <c r="H362" s="53" t="n">
        <f aca="false">B362+G362</f>
        <v>45782</v>
      </c>
      <c r="I362" s="51" t="n">
        <v>45741</v>
      </c>
      <c r="J362" s="39" t="str">
        <f aca="false">IF(G362=0,"Tunai",IF(I362="","Belum ditukar","Sudah ditukar"))</f>
        <v>Sudah ditukar</v>
      </c>
      <c r="K362" s="54" t="n">
        <v>9965300</v>
      </c>
      <c r="L362" s="51" t="n">
        <v>45776</v>
      </c>
      <c r="M362" s="52" t="n">
        <f aca="false">F362-K362</f>
        <v>0</v>
      </c>
      <c r="N362" s="39" t="str">
        <f aca="false">IF(M362&lt;=0,"Lunas",IF(K362&gt;0,"Sebagian","Belum Bayar"))</f>
        <v>Lunas</v>
      </c>
      <c r="O362" s="39" t="n">
        <f aca="false">IF(M362&gt;0,MAX(0,Catatan!$B$3-H362),0)</f>
        <v>0</v>
      </c>
      <c r="P362" s="39" t="str">
        <f aca="false">IF(M362&lt;=0,"Lunas",IF(Catatan!$B$3&lt;=H362,"Belum Jatuh Tempo",IF(O362&lt;=30,"1-30 hari",IF(O362&lt;=60,"31-60 hari",IF(O362&lt;=90,"61-90 hari","90+ hari")))))</f>
        <v>Lunas</v>
      </c>
      <c r="Q362" s="50"/>
      <c r="R362" s="39" t="str">
        <f aca="false">IF(M362&lt;=0,"",IF(O362&gt;60,"1-Tinggi",IF(O362&gt;30,"2-Sedang",IF(O362&gt;0,"3-Rendah","4-Pantau"))))</f>
        <v/>
      </c>
      <c r="S362" s="39" t="str">
        <f aca="false">IF(AND(M362&gt;0,O362&gt;0),O362+M362/1000000000000+ROW()/1000000000000000,"")</f>
        <v/>
      </c>
      <c r="T362" s="39" t="str">
        <f aca="false">IF(J362="Belum ditukar",ROW(),"")</f>
        <v/>
      </c>
    </row>
    <row r="363" customFormat="false" ht="15" hidden="false" customHeight="false" outlineLevel="0" collapsed="false">
      <c r="A363" s="50" t="s">
        <v>630</v>
      </c>
      <c r="B363" s="51" t="n">
        <v>45737</v>
      </c>
      <c r="C363" s="50" t="s">
        <v>166</v>
      </c>
      <c r="D363" s="39" t="str">
        <f aca="false">INDEX(Master_Customer!$B$2:$B$126,MATCH(C363,Master_Customer!$A$2:$A$126,0))</f>
        <v>SENTOSA SERVICE</v>
      </c>
      <c r="E363" s="50" t="s">
        <v>30</v>
      </c>
      <c r="F363" s="52" t="n">
        <f aca="false">SUMIFS(Data_Penjualan!$G$2:$G$5998,Data_Penjualan!$A$2:$A$5998,A363)</f>
        <v>13669200</v>
      </c>
      <c r="G363" s="39" t="n">
        <f aca="false">IF(E363="KANTOR",0,INDEX(Master_Customer!$C$2:$C$126,MATCH(C363,Master_Customer!$A$2:$A$126,0)))</f>
        <v>0</v>
      </c>
      <c r="H363" s="53" t="n">
        <f aca="false">B363+G363</f>
        <v>45737</v>
      </c>
      <c r="J363" s="39" t="str">
        <f aca="false">IF(G363=0,"Tunai",IF(I363="","Belum ditukar","Sudah ditukar"))</f>
        <v>Tunai</v>
      </c>
      <c r="K363" s="54" t="n">
        <v>13669200</v>
      </c>
      <c r="L363" s="51" t="n">
        <v>45738</v>
      </c>
      <c r="M363" s="52" t="n">
        <f aca="false">F363-K363</f>
        <v>0</v>
      </c>
      <c r="N363" s="39" t="str">
        <f aca="false">IF(M363&lt;=0,"Lunas",IF(K363&gt;0,"Sebagian","Belum Bayar"))</f>
        <v>Lunas</v>
      </c>
      <c r="O363" s="39" t="n">
        <f aca="false">IF(M363&gt;0,MAX(0,Catatan!$B$3-H363),0)</f>
        <v>0</v>
      </c>
      <c r="P363" s="39" t="str">
        <f aca="false">IF(M363&lt;=0,"Lunas",IF(Catatan!$B$3&lt;=H363,"Belum Jatuh Tempo",IF(O363&lt;=30,"1-30 hari",IF(O363&lt;=60,"31-60 hari",IF(O363&lt;=90,"61-90 hari","90+ hari")))))</f>
        <v>Lunas</v>
      </c>
      <c r="Q363" s="50"/>
      <c r="R363" s="39" t="str">
        <f aca="false">IF(M363&lt;=0,"",IF(O363&gt;60,"1-Tinggi",IF(O363&gt;30,"2-Sedang",IF(O363&gt;0,"3-Rendah","4-Pantau"))))</f>
        <v/>
      </c>
      <c r="S363" s="39" t="str">
        <f aca="false">IF(AND(M363&gt;0,O363&gt;0),O363+M363/1000000000000+ROW()/1000000000000000,"")</f>
        <v/>
      </c>
      <c r="T363" s="39" t="str">
        <f aca="false">IF(J363="Belum ditukar",ROW(),"")</f>
        <v/>
      </c>
    </row>
    <row r="364" customFormat="false" ht="15" hidden="false" customHeight="false" outlineLevel="0" collapsed="false">
      <c r="A364" s="50" t="s">
        <v>631</v>
      </c>
      <c r="B364" s="51" t="n">
        <v>45737</v>
      </c>
      <c r="C364" s="50" t="s">
        <v>540</v>
      </c>
      <c r="D364" s="39" t="str">
        <f aca="false">INDEX(Master_Customer!$B$2:$B$126,MATCH(C364,Master_Customer!$A$2:$A$126,0))</f>
        <v>SURYA MOBIL</v>
      </c>
      <c r="E364" s="50" t="s">
        <v>31</v>
      </c>
      <c r="F364" s="52" t="n">
        <f aca="false">SUMIFS(Data_Penjualan!$G$2:$G$5998,Data_Penjualan!$A$2:$A$5998,A364)</f>
        <v>9514000</v>
      </c>
      <c r="G364" s="39" t="n">
        <f aca="false">IF(E364="KANTOR",0,INDEX(Master_Customer!$C$2:$C$126,MATCH(C364,Master_Customer!$A$2:$A$126,0)))</f>
        <v>30</v>
      </c>
      <c r="H364" s="53" t="n">
        <f aca="false">B364+G364</f>
        <v>45767</v>
      </c>
      <c r="I364" s="51" t="n">
        <v>45741</v>
      </c>
      <c r="J364" s="39" t="str">
        <f aca="false">IF(G364=0,"Tunai",IF(I364="","Belum ditukar","Sudah ditukar"))</f>
        <v>Sudah ditukar</v>
      </c>
      <c r="K364" s="54" t="n">
        <v>9514000</v>
      </c>
      <c r="L364" s="51" t="n">
        <v>45753</v>
      </c>
      <c r="M364" s="52" t="n">
        <f aca="false">F364-K364</f>
        <v>0</v>
      </c>
      <c r="N364" s="39" t="str">
        <f aca="false">IF(M364&lt;=0,"Lunas",IF(K364&gt;0,"Sebagian","Belum Bayar"))</f>
        <v>Lunas</v>
      </c>
      <c r="O364" s="39" t="n">
        <f aca="false">IF(M364&gt;0,MAX(0,Catatan!$B$3-H364),0)</f>
        <v>0</v>
      </c>
      <c r="P364" s="39" t="str">
        <f aca="false">IF(M364&lt;=0,"Lunas",IF(Catatan!$B$3&lt;=H364,"Belum Jatuh Tempo",IF(O364&lt;=30,"1-30 hari",IF(O364&lt;=60,"31-60 hari",IF(O364&lt;=90,"61-90 hari","90+ hari")))))</f>
        <v>Lunas</v>
      </c>
      <c r="Q364" s="50"/>
      <c r="R364" s="39" t="str">
        <f aca="false">IF(M364&lt;=0,"",IF(O364&gt;60,"1-Tinggi",IF(O364&gt;30,"2-Sedang",IF(O364&gt;0,"3-Rendah","4-Pantau"))))</f>
        <v/>
      </c>
      <c r="S364" s="39" t="str">
        <f aca="false">IF(AND(M364&gt;0,O364&gt;0),O364+M364/1000000000000+ROW()/1000000000000000,"")</f>
        <v/>
      </c>
      <c r="T364" s="39" t="str">
        <f aca="false">IF(J364="Belum ditukar",ROW(),"")</f>
        <v/>
      </c>
    </row>
    <row r="365" customFormat="false" ht="15" hidden="false" customHeight="false" outlineLevel="0" collapsed="false">
      <c r="A365" s="50" t="s">
        <v>632</v>
      </c>
      <c r="B365" s="51" t="n">
        <v>45737</v>
      </c>
      <c r="C365" s="50" t="s">
        <v>286</v>
      </c>
      <c r="D365" s="39" t="str">
        <f aca="false">INDEX(Master_Customer!$B$2:$B$126,MATCH(C365,Master_Customer!$A$2:$A$126,0))</f>
        <v>CAHAYA AUTO</v>
      </c>
      <c r="E365" s="50" t="s">
        <v>29</v>
      </c>
      <c r="F365" s="52" t="n">
        <f aca="false">SUMIFS(Data_Penjualan!$G$2:$G$5998,Data_Penjualan!$A$2:$A$5998,A365)</f>
        <v>11728700</v>
      </c>
      <c r="G365" s="39" t="n">
        <f aca="false">IF(E365="KANTOR",0,INDEX(Master_Customer!$C$2:$C$126,MATCH(C365,Master_Customer!$A$2:$A$126,0)))</f>
        <v>0</v>
      </c>
      <c r="H365" s="53" t="n">
        <f aca="false">B365+G365</f>
        <v>45737</v>
      </c>
      <c r="J365" s="39" t="str">
        <f aca="false">IF(G365=0,"Tunai",IF(I365="","Belum ditukar","Sudah ditukar"))</f>
        <v>Tunai</v>
      </c>
      <c r="K365" s="54" t="n">
        <v>11728700</v>
      </c>
      <c r="L365" s="51" t="n">
        <v>45737</v>
      </c>
      <c r="M365" s="52" t="n">
        <f aca="false">F365-K365</f>
        <v>0</v>
      </c>
      <c r="N365" s="39" t="str">
        <f aca="false">IF(M365&lt;=0,"Lunas",IF(K365&gt;0,"Sebagian","Belum Bayar"))</f>
        <v>Lunas</v>
      </c>
      <c r="O365" s="39" t="n">
        <f aca="false">IF(M365&gt;0,MAX(0,Catatan!$B$3-H365),0)</f>
        <v>0</v>
      </c>
      <c r="P365" s="39" t="str">
        <f aca="false">IF(M365&lt;=0,"Lunas",IF(Catatan!$B$3&lt;=H365,"Belum Jatuh Tempo",IF(O365&lt;=30,"1-30 hari",IF(O365&lt;=60,"31-60 hari",IF(O365&lt;=90,"61-90 hari","90+ hari")))))</f>
        <v>Lunas</v>
      </c>
      <c r="Q365" s="50"/>
      <c r="R365" s="39" t="str">
        <f aca="false">IF(M365&lt;=0,"",IF(O365&gt;60,"1-Tinggi",IF(O365&gt;30,"2-Sedang",IF(O365&gt;0,"3-Rendah","4-Pantau"))))</f>
        <v/>
      </c>
      <c r="S365" s="39" t="str">
        <f aca="false">IF(AND(M365&gt;0,O365&gt;0),O365+M365/1000000000000+ROW()/1000000000000000,"")</f>
        <v/>
      </c>
      <c r="T365" s="39" t="str">
        <f aca="false">IF(J365="Belum ditukar",ROW(),"")</f>
        <v/>
      </c>
    </row>
    <row r="366" customFormat="false" ht="15" hidden="false" customHeight="false" outlineLevel="0" collapsed="false">
      <c r="A366" s="50" t="s">
        <v>633</v>
      </c>
      <c r="B366" s="51" t="n">
        <v>45738</v>
      </c>
      <c r="C366" s="50" t="s">
        <v>634</v>
      </c>
      <c r="D366" s="39" t="str">
        <f aca="false">INDEX(Master_Customer!$B$2:$B$126,MATCH(C366,Master_Customer!$A$2:$A$126,0))</f>
        <v>TIRTA GARAGE</v>
      </c>
      <c r="E366" s="50" t="s">
        <v>29</v>
      </c>
      <c r="F366" s="52" t="n">
        <f aca="false">SUMIFS(Data_Penjualan!$G$2:$G$5998,Data_Penjualan!$A$2:$A$5998,A366)</f>
        <v>6806100</v>
      </c>
      <c r="G366" s="39" t="n">
        <f aca="false">IF(E366="KANTOR",0,INDEX(Master_Customer!$C$2:$C$126,MATCH(C366,Master_Customer!$A$2:$A$126,0)))</f>
        <v>30</v>
      </c>
      <c r="H366" s="53" t="n">
        <f aca="false">B366+G366</f>
        <v>45768</v>
      </c>
      <c r="I366" s="51" t="n">
        <v>45741</v>
      </c>
      <c r="J366" s="39" t="str">
        <f aca="false">IF(G366=0,"Tunai",IF(I366="","Belum ditukar","Sudah ditukar"))</f>
        <v>Sudah ditukar</v>
      </c>
      <c r="K366" s="54" t="n">
        <v>6806100</v>
      </c>
      <c r="L366" s="51" t="n">
        <v>45768</v>
      </c>
      <c r="M366" s="52" t="n">
        <f aca="false">F366-K366</f>
        <v>0</v>
      </c>
      <c r="N366" s="39" t="str">
        <f aca="false">IF(M366&lt;=0,"Lunas",IF(K366&gt;0,"Sebagian","Belum Bayar"))</f>
        <v>Lunas</v>
      </c>
      <c r="O366" s="39" t="n">
        <f aca="false">IF(M366&gt;0,MAX(0,Catatan!$B$3-H366),0)</f>
        <v>0</v>
      </c>
      <c r="P366" s="39" t="str">
        <f aca="false">IF(M366&lt;=0,"Lunas",IF(Catatan!$B$3&lt;=H366,"Belum Jatuh Tempo",IF(O366&lt;=30,"1-30 hari",IF(O366&lt;=60,"31-60 hari",IF(O366&lt;=90,"61-90 hari","90+ hari")))))</f>
        <v>Lunas</v>
      </c>
      <c r="Q366" s="50"/>
      <c r="R366" s="39" t="str">
        <f aca="false">IF(M366&lt;=0,"",IF(O366&gt;60,"1-Tinggi",IF(O366&gt;30,"2-Sedang",IF(O366&gt;0,"3-Rendah","4-Pantau"))))</f>
        <v/>
      </c>
      <c r="S366" s="39" t="str">
        <f aca="false">IF(AND(M366&gt;0,O366&gt;0),O366+M366/1000000000000+ROW()/1000000000000000,"")</f>
        <v/>
      </c>
      <c r="T366" s="39" t="str">
        <f aca="false">IF(J366="Belum ditukar",ROW(),"")</f>
        <v/>
      </c>
    </row>
    <row r="367" customFormat="false" ht="15" hidden="false" customHeight="false" outlineLevel="0" collapsed="false">
      <c r="A367" s="50" t="s">
        <v>635</v>
      </c>
      <c r="B367" s="51" t="n">
        <v>45738</v>
      </c>
      <c r="C367" s="50" t="s">
        <v>419</v>
      </c>
      <c r="D367" s="39" t="str">
        <f aca="false">INDEX(Master_Customer!$B$2:$B$126,MATCH(C367,Master_Customer!$A$2:$A$126,0))</f>
        <v>UTAMA MOTOR</v>
      </c>
      <c r="E367" s="50" t="s">
        <v>30</v>
      </c>
      <c r="F367" s="52" t="n">
        <f aca="false">SUMIFS(Data_Penjualan!$G$2:$G$5998,Data_Penjualan!$A$2:$A$5998,A367)</f>
        <v>6511300</v>
      </c>
      <c r="G367" s="39" t="n">
        <f aca="false">IF(E367="KANTOR",0,INDEX(Master_Customer!$C$2:$C$126,MATCH(C367,Master_Customer!$A$2:$A$126,0)))</f>
        <v>14</v>
      </c>
      <c r="H367" s="53" t="n">
        <f aca="false">B367+G367</f>
        <v>45752</v>
      </c>
      <c r="I367" s="51" t="n">
        <v>45739</v>
      </c>
      <c r="J367" s="39" t="str">
        <f aca="false">IF(G367=0,"Tunai",IF(I367="","Belum ditukar","Sudah ditukar"))</f>
        <v>Sudah ditukar</v>
      </c>
      <c r="K367" s="54" t="n">
        <v>6511300</v>
      </c>
      <c r="L367" s="51" t="n">
        <v>45746</v>
      </c>
      <c r="M367" s="52" t="n">
        <f aca="false">F367-K367</f>
        <v>0</v>
      </c>
      <c r="N367" s="39" t="str">
        <f aca="false">IF(M367&lt;=0,"Lunas",IF(K367&gt;0,"Sebagian","Belum Bayar"))</f>
        <v>Lunas</v>
      </c>
      <c r="O367" s="39" t="n">
        <f aca="false">IF(M367&gt;0,MAX(0,Catatan!$B$3-H367),0)</f>
        <v>0</v>
      </c>
      <c r="P367" s="39" t="str">
        <f aca="false">IF(M367&lt;=0,"Lunas",IF(Catatan!$B$3&lt;=H367,"Belum Jatuh Tempo",IF(O367&lt;=30,"1-30 hari",IF(O367&lt;=60,"31-60 hari",IF(O367&lt;=90,"61-90 hari","90+ hari")))))</f>
        <v>Lunas</v>
      </c>
      <c r="Q367" s="50"/>
      <c r="R367" s="39" t="str">
        <f aca="false">IF(M367&lt;=0,"",IF(O367&gt;60,"1-Tinggi",IF(O367&gt;30,"2-Sedang",IF(O367&gt;0,"3-Rendah","4-Pantau"))))</f>
        <v/>
      </c>
      <c r="S367" s="39" t="str">
        <f aca="false">IF(AND(M367&gt;0,O367&gt;0),O367+M367/1000000000000+ROW()/1000000000000000,"")</f>
        <v/>
      </c>
      <c r="T367" s="39" t="str">
        <f aca="false">IF(J367="Belum ditukar",ROW(),"")</f>
        <v/>
      </c>
    </row>
    <row r="368" customFormat="false" ht="15" hidden="false" customHeight="false" outlineLevel="0" collapsed="false">
      <c r="A368" s="50" t="s">
        <v>636</v>
      </c>
      <c r="B368" s="51" t="n">
        <v>45738</v>
      </c>
      <c r="C368" s="50" t="s">
        <v>199</v>
      </c>
      <c r="D368" s="39" t="str">
        <f aca="false">INDEX(Master_Customer!$B$2:$B$126,MATCH(C368,Master_Customer!$A$2:$A$126,0))</f>
        <v>KARYA SPAREPART</v>
      </c>
      <c r="E368" s="50" t="s">
        <v>32</v>
      </c>
      <c r="F368" s="52" t="n">
        <f aca="false">SUMIFS(Data_Penjualan!$G$2:$G$5998,Data_Penjualan!$A$2:$A$5998,A368)</f>
        <v>6555900</v>
      </c>
      <c r="G368" s="39" t="n">
        <f aca="false">IF(E368="KANTOR",0,INDEX(Master_Customer!$C$2:$C$126,MATCH(C368,Master_Customer!$A$2:$A$126,0)))</f>
        <v>0</v>
      </c>
      <c r="H368" s="53" t="n">
        <f aca="false">B368+G368</f>
        <v>45738</v>
      </c>
      <c r="J368" s="39" t="str">
        <f aca="false">IF(G368=0,"Tunai",IF(I368="","Belum ditukar","Sudah ditukar"))</f>
        <v>Tunai</v>
      </c>
      <c r="K368" s="54" t="n">
        <v>6555900</v>
      </c>
      <c r="L368" s="51" t="n">
        <v>45738</v>
      </c>
      <c r="M368" s="52" t="n">
        <f aca="false">F368-K368</f>
        <v>0</v>
      </c>
      <c r="N368" s="39" t="str">
        <f aca="false">IF(M368&lt;=0,"Lunas",IF(K368&gt;0,"Sebagian","Belum Bayar"))</f>
        <v>Lunas</v>
      </c>
      <c r="O368" s="39" t="n">
        <f aca="false">IF(M368&gt;0,MAX(0,Catatan!$B$3-H368),0)</f>
        <v>0</v>
      </c>
      <c r="P368" s="39" t="str">
        <f aca="false">IF(M368&lt;=0,"Lunas",IF(Catatan!$B$3&lt;=H368,"Belum Jatuh Tempo",IF(O368&lt;=30,"1-30 hari",IF(O368&lt;=60,"31-60 hari",IF(O368&lt;=90,"61-90 hari","90+ hari")))))</f>
        <v>Lunas</v>
      </c>
      <c r="Q368" s="50"/>
      <c r="R368" s="39" t="str">
        <f aca="false">IF(M368&lt;=0,"",IF(O368&gt;60,"1-Tinggi",IF(O368&gt;30,"2-Sedang",IF(O368&gt;0,"3-Rendah","4-Pantau"))))</f>
        <v/>
      </c>
      <c r="S368" s="39" t="str">
        <f aca="false">IF(AND(M368&gt;0,O368&gt;0),O368+M368/1000000000000+ROW()/1000000000000000,"")</f>
        <v/>
      </c>
      <c r="T368" s="39" t="str">
        <f aca="false">IF(J368="Belum ditukar",ROW(),"")</f>
        <v/>
      </c>
    </row>
    <row r="369" customFormat="false" ht="15" hidden="false" customHeight="false" outlineLevel="0" collapsed="false">
      <c r="A369" s="50" t="s">
        <v>637</v>
      </c>
      <c r="B369" s="51" t="n">
        <v>45738</v>
      </c>
      <c r="C369" s="50" t="s">
        <v>191</v>
      </c>
      <c r="D369" s="39" t="str">
        <f aca="false">INDEX(Master_Customer!$B$2:$B$126,MATCH(C369,Master_Customer!$A$2:$A$126,0))</f>
        <v>SINAR AUTO BERKAH</v>
      </c>
      <c r="E369" s="50" t="s">
        <v>30</v>
      </c>
      <c r="F369" s="52" t="n">
        <f aca="false">SUMIFS(Data_Penjualan!$G$2:$G$5998,Data_Penjualan!$A$2:$A$5998,A369)</f>
        <v>18031300</v>
      </c>
      <c r="G369" s="39" t="n">
        <f aca="false">IF(E369="KANTOR",0,INDEX(Master_Customer!$C$2:$C$126,MATCH(C369,Master_Customer!$A$2:$A$126,0)))</f>
        <v>30</v>
      </c>
      <c r="H369" s="53" t="n">
        <f aca="false">B369+G369</f>
        <v>45768</v>
      </c>
      <c r="I369" s="51" t="n">
        <v>45741</v>
      </c>
      <c r="J369" s="39" t="str">
        <f aca="false">IF(G369=0,"Tunai",IF(I369="","Belum ditukar","Sudah ditukar"))</f>
        <v>Sudah ditukar</v>
      </c>
      <c r="K369" s="54" t="n">
        <v>18031300</v>
      </c>
      <c r="L369" s="51" t="n">
        <v>45809</v>
      </c>
      <c r="M369" s="52" t="n">
        <f aca="false">F369-K369</f>
        <v>0</v>
      </c>
      <c r="N369" s="39" t="str">
        <f aca="false">IF(M369&lt;=0,"Lunas",IF(K369&gt;0,"Sebagian","Belum Bayar"))</f>
        <v>Lunas</v>
      </c>
      <c r="O369" s="39" t="n">
        <f aca="false">IF(M369&gt;0,MAX(0,Catatan!$B$3-H369),0)</f>
        <v>0</v>
      </c>
      <c r="P369" s="39" t="str">
        <f aca="false">IF(M369&lt;=0,"Lunas",IF(Catatan!$B$3&lt;=H369,"Belum Jatuh Tempo",IF(O369&lt;=30,"1-30 hari",IF(O369&lt;=60,"31-60 hari",IF(O369&lt;=90,"61-90 hari","90+ hari")))))</f>
        <v>Lunas</v>
      </c>
      <c r="Q369" s="50"/>
      <c r="R369" s="39" t="str">
        <f aca="false">IF(M369&lt;=0,"",IF(O369&gt;60,"1-Tinggi",IF(O369&gt;30,"2-Sedang",IF(O369&gt;0,"3-Rendah","4-Pantau"))))</f>
        <v/>
      </c>
      <c r="S369" s="39" t="str">
        <f aca="false">IF(AND(M369&gt;0,O369&gt;0),O369+M369/1000000000000+ROW()/1000000000000000,"")</f>
        <v/>
      </c>
      <c r="T369" s="39" t="str">
        <f aca="false">IF(J369="Belum ditukar",ROW(),"")</f>
        <v/>
      </c>
    </row>
    <row r="370" customFormat="false" ht="15" hidden="false" customHeight="false" outlineLevel="0" collapsed="false">
      <c r="A370" s="50" t="s">
        <v>638</v>
      </c>
      <c r="B370" s="51" t="n">
        <v>45738</v>
      </c>
      <c r="C370" s="50" t="s">
        <v>166</v>
      </c>
      <c r="D370" s="39" t="str">
        <f aca="false">INDEX(Master_Customer!$B$2:$B$126,MATCH(C370,Master_Customer!$A$2:$A$126,0))</f>
        <v>SENTOSA SERVICE</v>
      </c>
      <c r="E370" s="50" t="s">
        <v>30</v>
      </c>
      <c r="F370" s="52" t="n">
        <f aca="false">SUMIFS(Data_Penjualan!$G$2:$G$5998,Data_Penjualan!$A$2:$A$5998,A370)</f>
        <v>15687800</v>
      </c>
      <c r="G370" s="39" t="n">
        <f aca="false">IF(E370="KANTOR",0,INDEX(Master_Customer!$C$2:$C$126,MATCH(C370,Master_Customer!$A$2:$A$126,0)))</f>
        <v>0</v>
      </c>
      <c r="H370" s="53" t="n">
        <f aca="false">B370+G370</f>
        <v>45738</v>
      </c>
      <c r="J370" s="39" t="str">
        <f aca="false">IF(G370=0,"Tunai",IF(I370="","Belum ditukar","Sudah ditukar"))</f>
        <v>Tunai</v>
      </c>
      <c r="K370" s="54" t="n">
        <v>15687800</v>
      </c>
      <c r="L370" s="51" t="n">
        <v>45738</v>
      </c>
      <c r="M370" s="52" t="n">
        <f aca="false">F370-K370</f>
        <v>0</v>
      </c>
      <c r="N370" s="39" t="str">
        <f aca="false">IF(M370&lt;=0,"Lunas",IF(K370&gt;0,"Sebagian","Belum Bayar"))</f>
        <v>Lunas</v>
      </c>
      <c r="O370" s="39" t="n">
        <f aca="false">IF(M370&gt;0,MAX(0,Catatan!$B$3-H370),0)</f>
        <v>0</v>
      </c>
      <c r="P370" s="39" t="str">
        <f aca="false">IF(M370&lt;=0,"Lunas",IF(Catatan!$B$3&lt;=H370,"Belum Jatuh Tempo",IF(O370&lt;=30,"1-30 hari",IF(O370&lt;=60,"31-60 hari",IF(O370&lt;=90,"61-90 hari","90+ hari")))))</f>
        <v>Lunas</v>
      </c>
      <c r="Q370" s="50"/>
      <c r="R370" s="39" t="str">
        <f aca="false">IF(M370&lt;=0,"",IF(O370&gt;60,"1-Tinggi",IF(O370&gt;30,"2-Sedang",IF(O370&gt;0,"3-Rendah","4-Pantau"))))</f>
        <v/>
      </c>
      <c r="S370" s="39" t="str">
        <f aca="false">IF(AND(M370&gt;0,O370&gt;0),O370+M370/1000000000000+ROW()/1000000000000000,"")</f>
        <v/>
      </c>
      <c r="T370" s="39" t="str">
        <f aca="false">IF(J370="Belum ditukar",ROW(),"")</f>
        <v/>
      </c>
    </row>
    <row r="371" customFormat="false" ht="15" hidden="false" customHeight="false" outlineLevel="0" collapsed="false">
      <c r="A371" s="50" t="s">
        <v>639</v>
      </c>
      <c r="B371" s="51" t="n">
        <v>45738</v>
      </c>
      <c r="C371" s="50" t="s">
        <v>640</v>
      </c>
      <c r="D371" s="39" t="str">
        <f aca="false">INDEX(Master_Customer!$B$2:$B$126,MATCH(C371,Master_Customer!$A$2:$A$126,0))</f>
        <v>MULIA AUTO</v>
      </c>
      <c r="E371" s="50" t="s">
        <v>30</v>
      </c>
      <c r="F371" s="52" t="n">
        <f aca="false">SUMIFS(Data_Penjualan!$G$2:$G$5998,Data_Penjualan!$A$2:$A$5998,A371)</f>
        <v>4031900</v>
      </c>
      <c r="G371" s="39" t="n">
        <f aca="false">IF(E371="KANTOR",0,INDEX(Master_Customer!$C$2:$C$126,MATCH(C371,Master_Customer!$A$2:$A$126,0)))</f>
        <v>30</v>
      </c>
      <c r="H371" s="53" t="n">
        <f aca="false">B371+G371</f>
        <v>45768</v>
      </c>
      <c r="I371" s="51" t="n">
        <v>45740</v>
      </c>
      <c r="J371" s="39" t="str">
        <f aca="false">IF(G371=0,"Tunai",IF(I371="","Belum ditukar","Sudah ditukar"))</f>
        <v>Sudah ditukar</v>
      </c>
      <c r="K371" s="54" t="n">
        <v>4031900</v>
      </c>
      <c r="L371" s="51" t="n">
        <v>45762</v>
      </c>
      <c r="M371" s="52" t="n">
        <f aca="false">F371-K371</f>
        <v>0</v>
      </c>
      <c r="N371" s="39" t="str">
        <f aca="false">IF(M371&lt;=0,"Lunas",IF(K371&gt;0,"Sebagian","Belum Bayar"))</f>
        <v>Lunas</v>
      </c>
      <c r="O371" s="39" t="n">
        <f aca="false">IF(M371&gt;0,MAX(0,Catatan!$B$3-H371),0)</f>
        <v>0</v>
      </c>
      <c r="P371" s="39" t="str">
        <f aca="false">IF(M371&lt;=0,"Lunas",IF(Catatan!$B$3&lt;=H371,"Belum Jatuh Tempo",IF(O371&lt;=30,"1-30 hari",IF(O371&lt;=60,"31-60 hari",IF(O371&lt;=90,"61-90 hari","90+ hari")))))</f>
        <v>Lunas</v>
      </c>
      <c r="Q371" s="50"/>
      <c r="R371" s="39" t="str">
        <f aca="false">IF(M371&lt;=0,"",IF(O371&gt;60,"1-Tinggi",IF(O371&gt;30,"2-Sedang",IF(O371&gt;0,"3-Rendah","4-Pantau"))))</f>
        <v/>
      </c>
      <c r="S371" s="39" t="str">
        <f aca="false">IF(AND(M371&gt;0,O371&gt;0),O371+M371/1000000000000+ROW()/1000000000000000,"")</f>
        <v/>
      </c>
      <c r="T371" s="39" t="str">
        <f aca="false">IF(J371="Belum ditukar",ROW(),"")</f>
        <v/>
      </c>
    </row>
    <row r="372" customFormat="false" ht="15" hidden="false" customHeight="false" outlineLevel="0" collapsed="false">
      <c r="A372" s="50" t="s">
        <v>641</v>
      </c>
      <c r="B372" s="51" t="n">
        <v>45740</v>
      </c>
      <c r="C372" s="50" t="s">
        <v>358</v>
      </c>
      <c r="D372" s="39" t="str">
        <f aca="false">INDEX(Master_Customer!$B$2:$B$126,MATCH(C372,Master_Customer!$A$2:$A$126,0))</f>
        <v>HARAPAN TEKNIK</v>
      </c>
      <c r="E372" s="50" t="s">
        <v>31</v>
      </c>
      <c r="F372" s="52" t="n">
        <f aca="false">SUMIFS(Data_Penjualan!$G$2:$G$5998,Data_Penjualan!$A$2:$A$5998,A372)</f>
        <v>2811900</v>
      </c>
      <c r="G372" s="39" t="n">
        <f aca="false">IF(E372="KANTOR",0,INDEX(Master_Customer!$C$2:$C$126,MATCH(C372,Master_Customer!$A$2:$A$126,0)))</f>
        <v>0</v>
      </c>
      <c r="H372" s="53" t="n">
        <f aca="false">B372+G372</f>
        <v>45740</v>
      </c>
      <c r="J372" s="39" t="str">
        <f aca="false">IF(G372=0,"Tunai",IF(I372="","Belum ditukar","Sudah ditukar"))</f>
        <v>Tunai</v>
      </c>
      <c r="K372" s="54" t="n">
        <v>2811900</v>
      </c>
      <c r="L372" s="51" t="n">
        <v>45740</v>
      </c>
      <c r="M372" s="52" t="n">
        <f aca="false">F372-K372</f>
        <v>0</v>
      </c>
      <c r="N372" s="39" t="str">
        <f aca="false">IF(M372&lt;=0,"Lunas",IF(K372&gt;0,"Sebagian","Belum Bayar"))</f>
        <v>Lunas</v>
      </c>
      <c r="O372" s="39" t="n">
        <f aca="false">IF(M372&gt;0,MAX(0,Catatan!$B$3-H372),0)</f>
        <v>0</v>
      </c>
      <c r="P372" s="39" t="str">
        <f aca="false">IF(M372&lt;=0,"Lunas",IF(Catatan!$B$3&lt;=H372,"Belum Jatuh Tempo",IF(O372&lt;=30,"1-30 hari",IF(O372&lt;=60,"31-60 hari",IF(O372&lt;=90,"61-90 hari","90+ hari")))))</f>
        <v>Lunas</v>
      </c>
      <c r="Q372" s="50"/>
      <c r="R372" s="39" t="str">
        <f aca="false">IF(M372&lt;=0,"",IF(O372&gt;60,"1-Tinggi",IF(O372&gt;30,"2-Sedang",IF(O372&gt;0,"3-Rendah","4-Pantau"))))</f>
        <v/>
      </c>
      <c r="S372" s="39" t="str">
        <f aca="false">IF(AND(M372&gt;0,O372&gt;0),O372+M372/1000000000000+ROW()/1000000000000000,"")</f>
        <v/>
      </c>
      <c r="T372" s="39" t="str">
        <f aca="false">IF(J372="Belum ditukar",ROW(),"")</f>
        <v/>
      </c>
    </row>
    <row r="373" customFormat="false" ht="15" hidden="false" customHeight="false" outlineLevel="0" collapsed="false">
      <c r="A373" s="50" t="s">
        <v>642</v>
      </c>
      <c r="B373" s="51" t="n">
        <v>45740</v>
      </c>
      <c r="C373" s="50" t="s">
        <v>475</v>
      </c>
      <c r="D373" s="39" t="str">
        <f aca="false">INDEX(Master_Customer!$B$2:$B$126,MATCH(C373,Master_Customer!$A$2:$A$126,0))</f>
        <v>CAHAYA BENGKEL</v>
      </c>
      <c r="E373" s="50" t="s">
        <v>30</v>
      </c>
      <c r="F373" s="52" t="n">
        <f aca="false">SUMIFS(Data_Penjualan!$G$2:$G$5998,Data_Penjualan!$A$2:$A$5998,A373)</f>
        <v>4916200</v>
      </c>
      <c r="G373" s="39" t="n">
        <f aca="false">IF(E373="KANTOR",0,INDEX(Master_Customer!$C$2:$C$126,MATCH(C373,Master_Customer!$A$2:$A$126,0)))</f>
        <v>30</v>
      </c>
      <c r="H373" s="53" t="n">
        <f aca="false">B373+G373</f>
        <v>45770</v>
      </c>
      <c r="I373" s="51" t="n">
        <v>45743</v>
      </c>
      <c r="J373" s="39" t="str">
        <f aca="false">IF(G373=0,"Tunai",IF(I373="","Belum ditukar","Sudah ditukar"))</f>
        <v>Sudah ditukar</v>
      </c>
      <c r="K373" s="54" t="n">
        <v>4916200</v>
      </c>
      <c r="L373" s="51" t="n">
        <v>45778</v>
      </c>
      <c r="M373" s="52" t="n">
        <f aca="false">F373-K373</f>
        <v>0</v>
      </c>
      <c r="N373" s="39" t="str">
        <f aca="false">IF(M373&lt;=0,"Lunas",IF(K373&gt;0,"Sebagian","Belum Bayar"))</f>
        <v>Lunas</v>
      </c>
      <c r="O373" s="39" t="n">
        <f aca="false">IF(M373&gt;0,MAX(0,Catatan!$B$3-H373),0)</f>
        <v>0</v>
      </c>
      <c r="P373" s="39" t="str">
        <f aca="false">IF(M373&lt;=0,"Lunas",IF(Catatan!$B$3&lt;=H373,"Belum Jatuh Tempo",IF(O373&lt;=30,"1-30 hari",IF(O373&lt;=60,"31-60 hari",IF(O373&lt;=90,"61-90 hari","90+ hari")))))</f>
        <v>Lunas</v>
      </c>
      <c r="Q373" s="50"/>
      <c r="R373" s="39" t="str">
        <f aca="false">IF(M373&lt;=0,"",IF(O373&gt;60,"1-Tinggi",IF(O373&gt;30,"2-Sedang",IF(O373&gt;0,"3-Rendah","4-Pantau"))))</f>
        <v/>
      </c>
      <c r="S373" s="39" t="str">
        <f aca="false">IF(AND(M373&gt;0,O373&gt;0),O373+M373/1000000000000+ROW()/1000000000000000,"")</f>
        <v/>
      </c>
      <c r="T373" s="39" t="str">
        <f aca="false">IF(J373="Belum ditukar",ROW(),"")</f>
        <v/>
      </c>
    </row>
    <row r="374" customFormat="false" ht="15" hidden="false" customHeight="false" outlineLevel="0" collapsed="false">
      <c r="A374" s="50" t="s">
        <v>643</v>
      </c>
      <c r="B374" s="51" t="n">
        <v>45740</v>
      </c>
      <c r="C374" s="50" t="s">
        <v>211</v>
      </c>
      <c r="D374" s="39" t="str">
        <f aca="false">INDEX(Master_Customer!$B$2:$B$126,MATCH(C374,Master_Customer!$A$2:$A$126,0))</f>
        <v>PRIMA MOBIL</v>
      </c>
      <c r="E374" s="50" t="s">
        <v>30</v>
      </c>
      <c r="F374" s="52" t="n">
        <f aca="false">SUMIFS(Data_Penjualan!$G$2:$G$5998,Data_Penjualan!$A$2:$A$5998,A374)</f>
        <v>7165900</v>
      </c>
      <c r="G374" s="39" t="n">
        <f aca="false">IF(E374="KANTOR",0,INDEX(Master_Customer!$C$2:$C$126,MATCH(C374,Master_Customer!$A$2:$A$126,0)))</f>
        <v>0</v>
      </c>
      <c r="H374" s="53" t="n">
        <f aca="false">B374+G374</f>
        <v>45740</v>
      </c>
      <c r="J374" s="39" t="str">
        <f aca="false">IF(G374=0,"Tunai",IF(I374="","Belum ditukar","Sudah ditukar"))</f>
        <v>Tunai</v>
      </c>
      <c r="K374" s="54" t="n">
        <v>7165900</v>
      </c>
      <c r="L374" s="51" t="n">
        <v>45740</v>
      </c>
      <c r="M374" s="52" t="n">
        <f aca="false">F374-K374</f>
        <v>0</v>
      </c>
      <c r="N374" s="39" t="str">
        <f aca="false">IF(M374&lt;=0,"Lunas",IF(K374&gt;0,"Sebagian","Belum Bayar"))</f>
        <v>Lunas</v>
      </c>
      <c r="O374" s="39" t="n">
        <f aca="false">IF(M374&gt;0,MAX(0,Catatan!$B$3-H374),0)</f>
        <v>0</v>
      </c>
      <c r="P374" s="39" t="str">
        <f aca="false">IF(M374&lt;=0,"Lunas",IF(Catatan!$B$3&lt;=H374,"Belum Jatuh Tempo",IF(O374&lt;=30,"1-30 hari",IF(O374&lt;=60,"31-60 hari",IF(O374&lt;=90,"61-90 hari","90+ hari")))))</f>
        <v>Lunas</v>
      </c>
      <c r="Q374" s="50"/>
      <c r="R374" s="39" t="str">
        <f aca="false">IF(M374&lt;=0,"",IF(O374&gt;60,"1-Tinggi",IF(O374&gt;30,"2-Sedang",IF(O374&gt;0,"3-Rendah","4-Pantau"))))</f>
        <v/>
      </c>
      <c r="S374" s="39" t="str">
        <f aca="false">IF(AND(M374&gt;0,O374&gt;0),O374+M374/1000000000000+ROW()/1000000000000000,"")</f>
        <v/>
      </c>
      <c r="T374" s="39" t="str">
        <f aca="false">IF(J374="Belum ditukar",ROW(),"")</f>
        <v/>
      </c>
    </row>
    <row r="375" customFormat="false" ht="15" hidden="false" customHeight="false" outlineLevel="0" collapsed="false">
      <c r="A375" s="50" t="s">
        <v>644</v>
      </c>
      <c r="B375" s="51" t="n">
        <v>45740</v>
      </c>
      <c r="C375" s="50" t="s">
        <v>562</v>
      </c>
      <c r="D375" s="39" t="str">
        <f aca="false">INDEX(Master_Customer!$B$2:$B$126,MATCH(C375,Master_Customer!$A$2:$A$126,0))</f>
        <v>BERKAH SERVICE SENTOSA</v>
      </c>
      <c r="E375" s="50" t="s">
        <v>28</v>
      </c>
      <c r="F375" s="52" t="n">
        <f aca="false">SUMIFS(Data_Penjualan!$G$2:$G$5998,Data_Penjualan!$A$2:$A$5998,A375)</f>
        <v>12753000</v>
      </c>
      <c r="G375" s="39" t="n">
        <f aca="false">IF(E375="KANTOR",0,INDEX(Master_Customer!$C$2:$C$126,MATCH(C375,Master_Customer!$A$2:$A$126,0)))</f>
        <v>14</v>
      </c>
      <c r="H375" s="53" t="n">
        <f aca="false">B375+G375</f>
        <v>45754</v>
      </c>
      <c r="I375" s="51" t="n">
        <v>45741</v>
      </c>
      <c r="J375" s="39" t="str">
        <f aca="false">IF(G375=0,"Tunai",IF(I375="","Belum ditukar","Sudah ditukar"))</f>
        <v>Sudah ditukar</v>
      </c>
      <c r="K375" s="54" t="n">
        <v>12753000</v>
      </c>
      <c r="L375" s="51" t="n">
        <v>45774</v>
      </c>
      <c r="M375" s="52" t="n">
        <f aca="false">F375-K375</f>
        <v>0</v>
      </c>
      <c r="N375" s="39" t="str">
        <f aca="false">IF(M375&lt;=0,"Lunas",IF(K375&gt;0,"Sebagian","Belum Bayar"))</f>
        <v>Lunas</v>
      </c>
      <c r="O375" s="39" t="n">
        <f aca="false">IF(M375&gt;0,MAX(0,Catatan!$B$3-H375),0)</f>
        <v>0</v>
      </c>
      <c r="P375" s="39" t="str">
        <f aca="false">IF(M375&lt;=0,"Lunas",IF(Catatan!$B$3&lt;=H375,"Belum Jatuh Tempo",IF(O375&lt;=30,"1-30 hari",IF(O375&lt;=60,"31-60 hari",IF(O375&lt;=90,"61-90 hari","90+ hari")))))</f>
        <v>Lunas</v>
      </c>
      <c r="Q375" s="50"/>
      <c r="R375" s="39" t="str">
        <f aca="false">IF(M375&lt;=0,"",IF(O375&gt;60,"1-Tinggi",IF(O375&gt;30,"2-Sedang",IF(O375&gt;0,"3-Rendah","4-Pantau"))))</f>
        <v/>
      </c>
      <c r="S375" s="39" t="str">
        <f aca="false">IF(AND(M375&gt;0,O375&gt;0),O375+M375/1000000000000+ROW()/1000000000000000,"")</f>
        <v/>
      </c>
      <c r="T375" s="39" t="str">
        <f aca="false">IF(J375="Belum ditukar",ROW(),"")</f>
        <v/>
      </c>
    </row>
    <row r="376" customFormat="false" ht="15" hidden="false" customHeight="false" outlineLevel="0" collapsed="false">
      <c r="A376" s="50" t="s">
        <v>645</v>
      </c>
      <c r="B376" s="51" t="n">
        <v>45740</v>
      </c>
      <c r="C376" s="50" t="s">
        <v>247</v>
      </c>
      <c r="D376" s="39" t="str">
        <f aca="false">INDEX(Master_Customer!$B$2:$B$126,MATCH(C376,Master_Customer!$A$2:$A$126,0))</f>
        <v>BINTANG LUBRICANT SURYA</v>
      </c>
      <c r="E376" s="50" t="s">
        <v>28</v>
      </c>
      <c r="F376" s="52" t="n">
        <f aca="false">SUMIFS(Data_Penjualan!$G$2:$G$5998,Data_Penjualan!$A$2:$A$5998,A376)</f>
        <v>17936400</v>
      </c>
      <c r="G376" s="39" t="n">
        <f aca="false">IF(E376="KANTOR",0,INDEX(Master_Customer!$C$2:$C$126,MATCH(C376,Master_Customer!$A$2:$A$126,0)))</f>
        <v>30</v>
      </c>
      <c r="H376" s="53" t="n">
        <f aca="false">B376+G376</f>
        <v>45770</v>
      </c>
      <c r="I376" s="51" t="n">
        <v>45743</v>
      </c>
      <c r="J376" s="39" t="str">
        <f aca="false">IF(G376=0,"Tunai",IF(I376="","Belum ditukar","Sudah ditukar"))</f>
        <v>Sudah ditukar</v>
      </c>
      <c r="K376" s="54" t="n">
        <v>17936400</v>
      </c>
      <c r="L376" s="51" t="n">
        <v>45771</v>
      </c>
      <c r="M376" s="52" t="n">
        <f aca="false">F376-K376</f>
        <v>0</v>
      </c>
      <c r="N376" s="39" t="str">
        <f aca="false">IF(M376&lt;=0,"Lunas",IF(K376&gt;0,"Sebagian","Belum Bayar"))</f>
        <v>Lunas</v>
      </c>
      <c r="O376" s="39" t="n">
        <f aca="false">IF(M376&gt;0,MAX(0,Catatan!$B$3-H376),0)</f>
        <v>0</v>
      </c>
      <c r="P376" s="39" t="str">
        <f aca="false">IF(M376&lt;=0,"Lunas",IF(Catatan!$B$3&lt;=H376,"Belum Jatuh Tempo",IF(O376&lt;=30,"1-30 hari",IF(O376&lt;=60,"31-60 hari",IF(O376&lt;=90,"61-90 hari","90+ hari")))))</f>
        <v>Lunas</v>
      </c>
      <c r="Q376" s="50"/>
      <c r="R376" s="39" t="str">
        <f aca="false">IF(M376&lt;=0,"",IF(O376&gt;60,"1-Tinggi",IF(O376&gt;30,"2-Sedang",IF(O376&gt;0,"3-Rendah","4-Pantau"))))</f>
        <v/>
      </c>
      <c r="S376" s="39" t="str">
        <f aca="false">IF(AND(M376&gt;0,O376&gt;0),O376+M376/1000000000000+ROW()/1000000000000000,"")</f>
        <v/>
      </c>
      <c r="T376" s="39" t="str">
        <f aca="false">IF(J376="Belum ditukar",ROW(),"")</f>
        <v/>
      </c>
    </row>
    <row r="377" customFormat="false" ht="15" hidden="false" customHeight="false" outlineLevel="0" collapsed="false">
      <c r="A377" s="50" t="s">
        <v>646</v>
      </c>
      <c r="B377" s="51" t="n">
        <v>45740</v>
      </c>
      <c r="C377" s="50" t="s">
        <v>475</v>
      </c>
      <c r="D377" s="39" t="str">
        <f aca="false">INDEX(Master_Customer!$B$2:$B$126,MATCH(C377,Master_Customer!$A$2:$A$126,0))</f>
        <v>CAHAYA BENGKEL</v>
      </c>
      <c r="E377" s="50" t="s">
        <v>30</v>
      </c>
      <c r="F377" s="52" t="n">
        <f aca="false">SUMIFS(Data_Penjualan!$G$2:$G$5998,Data_Penjualan!$A$2:$A$5998,A377)</f>
        <v>12492900</v>
      </c>
      <c r="G377" s="39" t="n">
        <f aca="false">IF(E377="KANTOR",0,INDEX(Master_Customer!$C$2:$C$126,MATCH(C377,Master_Customer!$A$2:$A$126,0)))</f>
        <v>30</v>
      </c>
      <c r="H377" s="53" t="n">
        <f aca="false">B377+G377</f>
        <v>45770</v>
      </c>
      <c r="I377" s="51" t="n">
        <v>45744</v>
      </c>
      <c r="J377" s="39" t="str">
        <f aca="false">IF(G377=0,"Tunai",IF(I377="","Belum ditukar","Sudah ditukar"))</f>
        <v>Sudah ditukar</v>
      </c>
      <c r="K377" s="54" t="n">
        <v>12492900</v>
      </c>
      <c r="L377" s="51" t="n">
        <v>45793</v>
      </c>
      <c r="M377" s="52" t="n">
        <f aca="false">F377-K377</f>
        <v>0</v>
      </c>
      <c r="N377" s="39" t="str">
        <f aca="false">IF(M377&lt;=0,"Lunas",IF(K377&gt;0,"Sebagian","Belum Bayar"))</f>
        <v>Lunas</v>
      </c>
      <c r="O377" s="39" t="n">
        <f aca="false">IF(M377&gt;0,MAX(0,Catatan!$B$3-H377),0)</f>
        <v>0</v>
      </c>
      <c r="P377" s="39" t="str">
        <f aca="false">IF(M377&lt;=0,"Lunas",IF(Catatan!$B$3&lt;=H377,"Belum Jatuh Tempo",IF(O377&lt;=30,"1-30 hari",IF(O377&lt;=60,"31-60 hari",IF(O377&lt;=90,"61-90 hari","90+ hari")))))</f>
        <v>Lunas</v>
      </c>
      <c r="Q377" s="50"/>
      <c r="R377" s="39" t="str">
        <f aca="false">IF(M377&lt;=0,"",IF(O377&gt;60,"1-Tinggi",IF(O377&gt;30,"2-Sedang",IF(O377&gt;0,"3-Rendah","4-Pantau"))))</f>
        <v/>
      </c>
      <c r="S377" s="39" t="str">
        <f aca="false">IF(AND(M377&gt;0,O377&gt;0),O377+M377/1000000000000+ROW()/1000000000000000,"")</f>
        <v/>
      </c>
      <c r="T377" s="39" t="str">
        <f aca="false">IF(J377="Belum ditukar",ROW(),"")</f>
        <v/>
      </c>
    </row>
    <row r="378" customFormat="false" ht="15" hidden="false" customHeight="false" outlineLevel="0" collapsed="false">
      <c r="A378" s="50" t="s">
        <v>647</v>
      </c>
      <c r="B378" s="51" t="n">
        <v>45740</v>
      </c>
      <c r="C378" s="50" t="s">
        <v>179</v>
      </c>
      <c r="D378" s="39" t="str">
        <f aca="false">INDEX(Master_Customer!$B$2:$B$126,MATCH(C378,Master_Customer!$A$2:$A$126,0))</f>
        <v>BINTANG TEKNIK SURYA</v>
      </c>
      <c r="E378" s="50" t="s">
        <v>32</v>
      </c>
      <c r="F378" s="52" t="n">
        <f aca="false">SUMIFS(Data_Penjualan!$G$2:$G$5998,Data_Penjualan!$A$2:$A$5998,A378)</f>
        <v>1150200</v>
      </c>
      <c r="G378" s="39" t="n">
        <f aca="false">IF(E378="KANTOR",0,INDEX(Master_Customer!$C$2:$C$126,MATCH(C378,Master_Customer!$A$2:$A$126,0)))</f>
        <v>0</v>
      </c>
      <c r="H378" s="53" t="n">
        <f aca="false">B378+G378</f>
        <v>45740</v>
      </c>
      <c r="J378" s="39" t="str">
        <f aca="false">IF(G378=0,"Tunai",IF(I378="","Belum ditukar","Sudah ditukar"))</f>
        <v>Tunai</v>
      </c>
      <c r="K378" s="54" t="n">
        <v>1150200</v>
      </c>
      <c r="L378" s="51" t="n">
        <v>45740</v>
      </c>
      <c r="M378" s="52" t="n">
        <f aca="false">F378-K378</f>
        <v>0</v>
      </c>
      <c r="N378" s="39" t="str">
        <f aca="false">IF(M378&lt;=0,"Lunas",IF(K378&gt;0,"Sebagian","Belum Bayar"))</f>
        <v>Lunas</v>
      </c>
      <c r="O378" s="39" t="n">
        <f aca="false">IF(M378&gt;0,MAX(0,Catatan!$B$3-H378),0)</f>
        <v>0</v>
      </c>
      <c r="P378" s="39" t="str">
        <f aca="false">IF(M378&lt;=0,"Lunas",IF(Catatan!$B$3&lt;=H378,"Belum Jatuh Tempo",IF(O378&lt;=30,"1-30 hari",IF(O378&lt;=60,"31-60 hari",IF(O378&lt;=90,"61-90 hari","90+ hari")))))</f>
        <v>Lunas</v>
      </c>
      <c r="Q378" s="50"/>
      <c r="R378" s="39" t="str">
        <f aca="false">IF(M378&lt;=0,"",IF(O378&gt;60,"1-Tinggi",IF(O378&gt;30,"2-Sedang",IF(O378&gt;0,"3-Rendah","4-Pantau"))))</f>
        <v/>
      </c>
      <c r="S378" s="39" t="str">
        <f aca="false">IF(AND(M378&gt;0,O378&gt;0),O378+M378/1000000000000+ROW()/1000000000000000,"")</f>
        <v/>
      </c>
      <c r="T378" s="39" t="str">
        <f aca="false">IF(J378="Belum ditukar",ROW(),"")</f>
        <v/>
      </c>
    </row>
    <row r="379" customFormat="false" ht="15" hidden="false" customHeight="false" outlineLevel="0" collapsed="false">
      <c r="A379" s="50" t="s">
        <v>648</v>
      </c>
      <c r="B379" s="51" t="n">
        <v>45741</v>
      </c>
      <c r="C379" s="50" t="s">
        <v>225</v>
      </c>
      <c r="D379" s="39" t="str">
        <f aca="false">INDEX(Master_Customer!$B$2:$B$126,MATCH(C379,Master_Customer!$A$2:$A$126,0))</f>
        <v>KARYA LUBRICANT ABADI</v>
      </c>
      <c r="E379" s="50" t="s">
        <v>32</v>
      </c>
      <c r="F379" s="52" t="n">
        <f aca="false">SUMIFS(Data_Penjualan!$G$2:$G$5998,Data_Penjualan!$A$2:$A$5998,A379)</f>
        <v>6026100</v>
      </c>
      <c r="G379" s="39" t="n">
        <f aca="false">IF(E379="KANTOR",0,INDEX(Master_Customer!$C$2:$C$126,MATCH(C379,Master_Customer!$A$2:$A$126,0)))</f>
        <v>0</v>
      </c>
      <c r="H379" s="53" t="n">
        <f aca="false">B379+G379</f>
        <v>45741</v>
      </c>
      <c r="J379" s="39" t="str">
        <f aca="false">IF(G379=0,"Tunai",IF(I379="","Belum ditukar","Sudah ditukar"))</f>
        <v>Tunai</v>
      </c>
      <c r="K379" s="54" t="n">
        <v>6026100</v>
      </c>
      <c r="L379" s="51" t="n">
        <v>45741</v>
      </c>
      <c r="M379" s="52" t="n">
        <f aca="false">F379-K379</f>
        <v>0</v>
      </c>
      <c r="N379" s="39" t="str">
        <f aca="false">IF(M379&lt;=0,"Lunas",IF(K379&gt;0,"Sebagian","Belum Bayar"))</f>
        <v>Lunas</v>
      </c>
      <c r="O379" s="39" t="n">
        <f aca="false">IF(M379&gt;0,MAX(0,Catatan!$B$3-H379),0)</f>
        <v>0</v>
      </c>
      <c r="P379" s="39" t="str">
        <f aca="false">IF(M379&lt;=0,"Lunas",IF(Catatan!$B$3&lt;=H379,"Belum Jatuh Tempo",IF(O379&lt;=30,"1-30 hari",IF(O379&lt;=60,"31-60 hari",IF(O379&lt;=90,"61-90 hari","90+ hari")))))</f>
        <v>Lunas</v>
      </c>
      <c r="Q379" s="50"/>
      <c r="R379" s="39" t="str">
        <f aca="false">IF(M379&lt;=0,"",IF(O379&gt;60,"1-Tinggi",IF(O379&gt;30,"2-Sedang",IF(O379&gt;0,"3-Rendah","4-Pantau"))))</f>
        <v/>
      </c>
      <c r="S379" s="39" t="str">
        <f aca="false">IF(AND(M379&gt;0,O379&gt;0),O379+M379/1000000000000+ROW()/1000000000000000,"")</f>
        <v/>
      </c>
      <c r="T379" s="39" t="str">
        <f aca="false">IF(J379="Belum ditukar",ROW(),"")</f>
        <v/>
      </c>
    </row>
    <row r="380" customFormat="false" ht="15" hidden="false" customHeight="false" outlineLevel="0" collapsed="false">
      <c r="A380" s="50" t="s">
        <v>649</v>
      </c>
      <c r="B380" s="51" t="n">
        <v>45741</v>
      </c>
      <c r="C380" s="50" t="s">
        <v>408</v>
      </c>
      <c r="D380" s="39" t="str">
        <f aca="false">INDEX(Master_Customer!$B$2:$B$126,MATCH(C380,Master_Customer!$A$2:$A$126,0))</f>
        <v>SURYA GARAGE</v>
      </c>
      <c r="E380" s="50" t="s">
        <v>30</v>
      </c>
      <c r="F380" s="52" t="n">
        <f aca="false">SUMIFS(Data_Penjualan!$G$2:$G$5998,Data_Penjualan!$A$2:$A$5998,A380)</f>
        <v>15505000</v>
      </c>
      <c r="G380" s="39" t="n">
        <f aca="false">IF(E380="KANTOR",0,INDEX(Master_Customer!$C$2:$C$126,MATCH(C380,Master_Customer!$A$2:$A$126,0)))</f>
        <v>45</v>
      </c>
      <c r="H380" s="53" t="n">
        <f aca="false">B380+G380</f>
        <v>45786</v>
      </c>
      <c r="I380" s="51" t="n">
        <v>45743</v>
      </c>
      <c r="J380" s="39" t="str">
        <f aca="false">IF(G380=0,"Tunai",IF(I380="","Belum ditukar","Sudah ditukar"))</f>
        <v>Sudah ditukar</v>
      </c>
      <c r="K380" s="54" t="n">
        <v>15505000</v>
      </c>
      <c r="L380" s="51" t="n">
        <v>45819</v>
      </c>
      <c r="M380" s="52" t="n">
        <f aca="false">F380-K380</f>
        <v>0</v>
      </c>
      <c r="N380" s="39" t="str">
        <f aca="false">IF(M380&lt;=0,"Lunas",IF(K380&gt;0,"Sebagian","Belum Bayar"))</f>
        <v>Lunas</v>
      </c>
      <c r="O380" s="39" t="n">
        <f aca="false">IF(M380&gt;0,MAX(0,Catatan!$B$3-H380),0)</f>
        <v>0</v>
      </c>
      <c r="P380" s="39" t="str">
        <f aca="false">IF(M380&lt;=0,"Lunas",IF(Catatan!$B$3&lt;=H380,"Belum Jatuh Tempo",IF(O380&lt;=30,"1-30 hari",IF(O380&lt;=60,"31-60 hari",IF(O380&lt;=90,"61-90 hari","90+ hari")))))</f>
        <v>Lunas</v>
      </c>
      <c r="Q380" s="50"/>
      <c r="R380" s="39" t="str">
        <f aca="false">IF(M380&lt;=0,"",IF(O380&gt;60,"1-Tinggi",IF(O380&gt;30,"2-Sedang",IF(O380&gt;0,"3-Rendah","4-Pantau"))))</f>
        <v/>
      </c>
      <c r="S380" s="39" t="str">
        <f aca="false">IF(AND(M380&gt;0,O380&gt;0),O380+M380/1000000000000+ROW()/1000000000000000,"")</f>
        <v/>
      </c>
      <c r="T380" s="39" t="str">
        <f aca="false">IF(J380="Belum ditukar",ROW(),"")</f>
        <v/>
      </c>
    </row>
    <row r="381" customFormat="false" ht="15" hidden="false" customHeight="false" outlineLevel="0" collapsed="false">
      <c r="A381" s="50" t="s">
        <v>650</v>
      </c>
      <c r="B381" s="51" t="n">
        <v>45741</v>
      </c>
      <c r="C381" s="50" t="s">
        <v>193</v>
      </c>
      <c r="D381" s="39" t="str">
        <f aca="false">INDEX(Master_Customer!$B$2:$B$126,MATCH(C381,Master_Customer!$A$2:$A$126,0))</f>
        <v>BINTANG BENGKEL</v>
      </c>
      <c r="E381" s="50" t="s">
        <v>31</v>
      </c>
      <c r="F381" s="52" t="n">
        <f aca="false">SUMIFS(Data_Penjualan!$G$2:$G$5998,Data_Penjualan!$A$2:$A$5998,A381)</f>
        <v>2821500</v>
      </c>
      <c r="G381" s="39" t="n">
        <f aca="false">IF(E381="KANTOR",0,INDEX(Master_Customer!$C$2:$C$126,MATCH(C381,Master_Customer!$A$2:$A$126,0)))</f>
        <v>14</v>
      </c>
      <c r="H381" s="53" t="n">
        <f aca="false">B381+G381</f>
        <v>45755</v>
      </c>
      <c r="I381" s="51" t="n">
        <v>45746</v>
      </c>
      <c r="J381" s="39" t="str">
        <f aca="false">IF(G381=0,"Tunai",IF(I381="","Belum ditukar","Sudah ditukar"))</f>
        <v>Sudah ditukar</v>
      </c>
      <c r="K381" s="54" t="n">
        <v>2821500</v>
      </c>
      <c r="L381" s="51" t="n">
        <v>45760</v>
      </c>
      <c r="M381" s="52" t="n">
        <f aca="false">F381-K381</f>
        <v>0</v>
      </c>
      <c r="N381" s="39" t="str">
        <f aca="false">IF(M381&lt;=0,"Lunas",IF(K381&gt;0,"Sebagian","Belum Bayar"))</f>
        <v>Lunas</v>
      </c>
      <c r="O381" s="39" t="n">
        <f aca="false">IF(M381&gt;0,MAX(0,Catatan!$B$3-H381),0)</f>
        <v>0</v>
      </c>
      <c r="P381" s="39" t="str">
        <f aca="false">IF(M381&lt;=0,"Lunas",IF(Catatan!$B$3&lt;=H381,"Belum Jatuh Tempo",IF(O381&lt;=30,"1-30 hari",IF(O381&lt;=60,"31-60 hari",IF(O381&lt;=90,"61-90 hari","90+ hari")))))</f>
        <v>Lunas</v>
      </c>
      <c r="Q381" s="50"/>
      <c r="R381" s="39" t="str">
        <f aca="false">IF(M381&lt;=0,"",IF(O381&gt;60,"1-Tinggi",IF(O381&gt;30,"2-Sedang",IF(O381&gt;0,"3-Rendah","4-Pantau"))))</f>
        <v/>
      </c>
      <c r="S381" s="39" t="str">
        <f aca="false">IF(AND(M381&gt;0,O381&gt;0),O381+M381/1000000000000+ROW()/1000000000000000,"")</f>
        <v/>
      </c>
      <c r="T381" s="39" t="str">
        <f aca="false">IF(J381="Belum ditukar",ROW(),"")</f>
        <v/>
      </c>
    </row>
    <row r="382" customFormat="false" ht="15" hidden="false" customHeight="false" outlineLevel="0" collapsed="false">
      <c r="A382" s="50" t="s">
        <v>651</v>
      </c>
      <c r="B382" s="51" t="n">
        <v>45742</v>
      </c>
      <c r="C382" s="50" t="s">
        <v>216</v>
      </c>
      <c r="D382" s="39" t="str">
        <f aca="false">INDEX(Master_Customer!$B$2:$B$126,MATCH(C382,Master_Customer!$A$2:$A$126,0))</f>
        <v>SINAR MOTOR UTAMA</v>
      </c>
      <c r="E382" s="50" t="s">
        <v>30</v>
      </c>
      <c r="F382" s="52" t="n">
        <f aca="false">SUMIFS(Data_Penjualan!$G$2:$G$5998,Data_Penjualan!$A$2:$A$5998,A382)</f>
        <v>1164800</v>
      </c>
      <c r="G382" s="39" t="n">
        <f aca="false">IF(E382="KANTOR",0,INDEX(Master_Customer!$C$2:$C$126,MATCH(C382,Master_Customer!$A$2:$A$126,0)))</f>
        <v>0</v>
      </c>
      <c r="H382" s="53" t="n">
        <f aca="false">B382+G382</f>
        <v>45742</v>
      </c>
      <c r="J382" s="39" t="str">
        <f aca="false">IF(G382=0,"Tunai",IF(I382="","Belum ditukar","Sudah ditukar"))</f>
        <v>Tunai</v>
      </c>
      <c r="K382" s="54" t="n">
        <v>1164800</v>
      </c>
      <c r="L382" s="51" t="n">
        <v>45742</v>
      </c>
      <c r="M382" s="52" t="n">
        <f aca="false">F382-K382</f>
        <v>0</v>
      </c>
      <c r="N382" s="39" t="str">
        <f aca="false">IF(M382&lt;=0,"Lunas",IF(K382&gt;0,"Sebagian","Belum Bayar"))</f>
        <v>Lunas</v>
      </c>
      <c r="O382" s="39" t="n">
        <f aca="false">IF(M382&gt;0,MAX(0,Catatan!$B$3-H382),0)</f>
        <v>0</v>
      </c>
      <c r="P382" s="39" t="str">
        <f aca="false">IF(M382&lt;=0,"Lunas",IF(Catatan!$B$3&lt;=H382,"Belum Jatuh Tempo",IF(O382&lt;=30,"1-30 hari",IF(O382&lt;=60,"31-60 hari",IF(O382&lt;=90,"61-90 hari","90+ hari")))))</f>
        <v>Lunas</v>
      </c>
      <c r="Q382" s="50"/>
      <c r="R382" s="39" t="str">
        <f aca="false">IF(M382&lt;=0,"",IF(O382&gt;60,"1-Tinggi",IF(O382&gt;30,"2-Sedang",IF(O382&gt;0,"3-Rendah","4-Pantau"))))</f>
        <v/>
      </c>
      <c r="S382" s="39" t="str">
        <f aca="false">IF(AND(M382&gt;0,O382&gt;0),O382+M382/1000000000000+ROW()/1000000000000000,"")</f>
        <v/>
      </c>
      <c r="T382" s="39" t="str">
        <f aca="false">IF(J382="Belum ditukar",ROW(),"")</f>
        <v/>
      </c>
    </row>
    <row r="383" customFormat="false" ht="15" hidden="false" customHeight="false" outlineLevel="0" collapsed="false">
      <c r="A383" s="50" t="s">
        <v>652</v>
      </c>
      <c r="B383" s="51" t="n">
        <v>45742</v>
      </c>
      <c r="C383" s="50" t="s">
        <v>223</v>
      </c>
      <c r="D383" s="39" t="str">
        <f aca="false">INDEX(Master_Customer!$B$2:$B$126,MATCH(C383,Master_Customer!$A$2:$A$126,0))</f>
        <v>ABADI AUTO UTAMA</v>
      </c>
      <c r="E383" s="50" t="s">
        <v>31</v>
      </c>
      <c r="F383" s="52" t="n">
        <f aca="false">SUMIFS(Data_Penjualan!$G$2:$G$5998,Data_Penjualan!$A$2:$A$5998,A383)</f>
        <v>6731900</v>
      </c>
      <c r="G383" s="39" t="n">
        <f aca="false">IF(E383="KANTOR",0,INDEX(Master_Customer!$C$2:$C$126,MATCH(C383,Master_Customer!$A$2:$A$126,0)))</f>
        <v>14</v>
      </c>
      <c r="H383" s="53" t="n">
        <f aca="false">B383+G383</f>
        <v>45756</v>
      </c>
      <c r="I383" s="51" t="n">
        <v>45746</v>
      </c>
      <c r="J383" s="39" t="str">
        <f aca="false">IF(G383=0,"Tunai",IF(I383="","Belum ditukar","Sudah ditukar"))</f>
        <v>Sudah ditukar</v>
      </c>
      <c r="K383" s="54" t="n">
        <v>6731900</v>
      </c>
      <c r="L383" s="51" t="n">
        <v>45823</v>
      </c>
      <c r="M383" s="52" t="n">
        <f aca="false">F383-K383</f>
        <v>0</v>
      </c>
      <c r="N383" s="39" t="str">
        <f aca="false">IF(M383&lt;=0,"Lunas",IF(K383&gt;0,"Sebagian","Belum Bayar"))</f>
        <v>Lunas</v>
      </c>
      <c r="O383" s="39" t="n">
        <f aca="false">IF(M383&gt;0,MAX(0,Catatan!$B$3-H383),0)</f>
        <v>0</v>
      </c>
      <c r="P383" s="39" t="str">
        <f aca="false">IF(M383&lt;=0,"Lunas",IF(Catatan!$B$3&lt;=H383,"Belum Jatuh Tempo",IF(O383&lt;=30,"1-30 hari",IF(O383&lt;=60,"31-60 hari",IF(O383&lt;=90,"61-90 hari","90+ hari")))))</f>
        <v>Lunas</v>
      </c>
      <c r="Q383" s="50"/>
      <c r="R383" s="39" t="str">
        <f aca="false">IF(M383&lt;=0,"",IF(O383&gt;60,"1-Tinggi",IF(O383&gt;30,"2-Sedang",IF(O383&gt;0,"3-Rendah","4-Pantau"))))</f>
        <v/>
      </c>
      <c r="S383" s="39" t="str">
        <f aca="false">IF(AND(M383&gt;0,O383&gt;0),O383+M383/1000000000000+ROW()/1000000000000000,"")</f>
        <v/>
      </c>
      <c r="T383" s="39" t="str">
        <f aca="false">IF(J383="Belum ditukar",ROW(),"")</f>
        <v/>
      </c>
    </row>
    <row r="384" customFormat="false" ht="15" hidden="false" customHeight="false" outlineLevel="0" collapsed="false">
      <c r="A384" s="50" t="s">
        <v>653</v>
      </c>
      <c r="B384" s="51" t="n">
        <v>45742</v>
      </c>
      <c r="C384" s="50" t="s">
        <v>349</v>
      </c>
      <c r="D384" s="39" t="str">
        <f aca="false">INDEX(Master_Customer!$B$2:$B$126,MATCH(C384,Master_Customer!$A$2:$A$126,0))</f>
        <v>MITRA GARAGE MULIA</v>
      </c>
      <c r="E384" s="50" t="s">
        <v>28</v>
      </c>
      <c r="F384" s="52" t="n">
        <f aca="false">SUMIFS(Data_Penjualan!$G$2:$G$5998,Data_Penjualan!$A$2:$A$5998,A384)</f>
        <v>5171100</v>
      </c>
      <c r="G384" s="39" t="n">
        <f aca="false">IF(E384="KANTOR",0,INDEX(Master_Customer!$C$2:$C$126,MATCH(C384,Master_Customer!$A$2:$A$126,0)))</f>
        <v>14</v>
      </c>
      <c r="H384" s="53" t="n">
        <f aca="false">B384+G384</f>
        <v>45756</v>
      </c>
      <c r="I384" s="51" t="n">
        <v>45746</v>
      </c>
      <c r="J384" s="39" t="str">
        <f aca="false">IF(G384=0,"Tunai",IF(I384="","Belum ditukar","Sudah ditukar"))</f>
        <v>Sudah ditukar</v>
      </c>
      <c r="K384" s="54" t="n">
        <v>5171100</v>
      </c>
      <c r="L384" s="51" t="n">
        <v>45801</v>
      </c>
      <c r="M384" s="52" t="n">
        <f aca="false">F384-K384</f>
        <v>0</v>
      </c>
      <c r="N384" s="39" t="str">
        <f aca="false">IF(M384&lt;=0,"Lunas",IF(K384&gt;0,"Sebagian","Belum Bayar"))</f>
        <v>Lunas</v>
      </c>
      <c r="O384" s="39" t="n">
        <f aca="false">IF(M384&gt;0,MAX(0,Catatan!$B$3-H384),0)</f>
        <v>0</v>
      </c>
      <c r="P384" s="39" t="str">
        <f aca="false">IF(M384&lt;=0,"Lunas",IF(Catatan!$B$3&lt;=H384,"Belum Jatuh Tempo",IF(O384&lt;=30,"1-30 hari",IF(O384&lt;=60,"31-60 hari",IF(O384&lt;=90,"61-90 hari","90+ hari")))))</f>
        <v>Lunas</v>
      </c>
      <c r="Q384" s="50"/>
      <c r="R384" s="39" t="str">
        <f aca="false">IF(M384&lt;=0,"",IF(O384&gt;60,"1-Tinggi",IF(O384&gt;30,"2-Sedang",IF(O384&gt;0,"3-Rendah","4-Pantau"))))</f>
        <v/>
      </c>
      <c r="S384" s="39" t="str">
        <f aca="false">IF(AND(M384&gt;0,O384&gt;0),O384+M384/1000000000000+ROW()/1000000000000000,"")</f>
        <v/>
      </c>
      <c r="T384" s="39" t="str">
        <f aca="false">IF(J384="Belum ditukar",ROW(),"")</f>
        <v/>
      </c>
    </row>
    <row r="385" customFormat="false" ht="15" hidden="false" customHeight="false" outlineLevel="0" collapsed="false">
      <c r="A385" s="50" t="s">
        <v>654</v>
      </c>
      <c r="B385" s="51" t="n">
        <v>45742</v>
      </c>
      <c r="C385" s="50" t="s">
        <v>416</v>
      </c>
      <c r="D385" s="39" t="str">
        <f aca="false">INDEX(Master_Customer!$B$2:$B$126,MATCH(C385,Master_Customer!$A$2:$A$126,0))</f>
        <v>KARYA SERVICE</v>
      </c>
      <c r="E385" s="50" t="s">
        <v>32</v>
      </c>
      <c r="F385" s="52" t="n">
        <f aca="false">SUMIFS(Data_Penjualan!$G$2:$G$5998,Data_Penjualan!$A$2:$A$5998,A385)</f>
        <v>16060700</v>
      </c>
      <c r="G385" s="39" t="n">
        <f aca="false">IF(E385="KANTOR",0,INDEX(Master_Customer!$C$2:$C$126,MATCH(C385,Master_Customer!$A$2:$A$126,0)))</f>
        <v>0</v>
      </c>
      <c r="H385" s="53" t="n">
        <f aca="false">B385+G385</f>
        <v>45742</v>
      </c>
      <c r="J385" s="39" t="str">
        <f aca="false">IF(G385=0,"Tunai",IF(I385="","Belum ditukar","Sudah ditukar"))</f>
        <v>Tunai</v>
      </c>
      <c r="K385" s="54" t="n">
        <v>16060700</v>
      </c>
      <c r="L385" s="51" t="n">
        <v>45755</v>
      </c>
      <c r="M385" s="52" t="n">
        <f aca="false">F385-K385</f>
        <v>0</v>
      </c>
      <c r="N385" s="39" t="str">
        <f aca="false">IF(M385&lt;=0,"Lunas",IF(K385&gt;0,"Sebagian","Belum Bayar"))</f>
        <v>Lunas</v>
      </c>
      <c r="O385" s="39" t="n">
        <f aca="false">IF(M385&gt;0,MAX(0,Catatan!$B$3-H385),0)</f>
        <v>0</v>
      </c>
      <c r="P385" s="39" t="str">
        <f aca="false">IF(M385&lt;=0,"Lunas",IF(Catatan!$B$3&lt;=H385,"Belum Jatuh Tempo",IF(O385&lt;=30,"1-30 hari",IF(O385&lt;=60,"31-60 hari",IF(O385&lt;=90,"61-90 hari","90+ hari")))))</f>
        <v>Lunas</v>
      </c>
      <c r="Q385" s="50"/>
      <c r="R385" s="39" t="str">
        <f aca="false">IF(M385&lt;=0,"",IF(O385&gt;60,"1-Tinggi",IF(O385&gt;30,"2-Sedang",IF(O385&gt;0,"3-Rendah","4-Pantau"))))</f>
        <v/>
      </c>
      <c r="S385" s="39" t="str">
        <f aca="false">IF(AND(M385&gt;0,O385&gt;0),O385+M385/1000000000000+ROW()/1000000000000000,"")</f>
        <v/>
      </c>
      <c r="T385" s="39" t="str">
        <f aca="false">IF(J385="Belum ditukar",ROW(),"")</f>
        <v/>
      </c>
    </row>
    <row r="386" customFormat="false" ht="15" hidden="false" customHeight="false" outlineLevel="0" collapsed="false">
      <c r="A386" s="50" t="s">
        <v>655</v>
      </c>
      <c r="B386" s="51" t="n">
        <v>45742</v>
      </c>
      <c r="C386" s="50" t="s">
        <v>188</v>
      </c>
      <c r="D386" s="39" t="str">
        <f aca="false">INDEX(Master_Customer!$B$2:$B$126,MATCH(C386,Master_Customer!$A$2:$A$126,0))</f>
        <v>MAJU GARAGE TIRTA</v>
      </c>
      <c r="E386" s="50" t="s">
        <v>31</v>
      </c>
      <c r="F386" s="52" t="n">
        <f aca="false">SUMIFS(Data_Penjualan!$G$2:$G$5998,Data_Penjualan!$A$2:$A$5998,A386)</f>
        <v>15002300</v>
      </c>
      <c r="G386" s="39" t="n">
        <f aca="false">IF(E386="KANTOR",0,INDEX(Master_Customer!$C$2:$C$126,MATCH(C386,Master_Customer!$A$2:$A$126,0)))</f>
        <v>45</v>
      </c>
      <c r="H386" s="53" t="n">
        <f aca="false">B386+G386</f>
        <v>45787</v>
      </c>
      <c r="I386" s="51" t="n">
        <v>45746</v>
      </c>
      <c r="J386" s="39" t="str">
        <f aca="false">IF(G386=0,"Tunai",IF(I386="","Belum ditukar","Sudah ditukar"))</f>
        <v>Sudah ditukar</v>
      </c>
      <c r="K386" s="54" t="n">
        <v>15002300</v>
      </c>
      <c r="L386" s="51" t="n">
        <v>45792</v>
      </c>
      <c r="M386" s="52" t="n">
        <f aca="false">F386-K386</f>
        <v>0</v>
      </c>
      <c r="N386" s="39" t="str">
        <f aca="false">IF(M386&lt;=0,"Lunas",IF(K386&gt;0,"Sebagian","Belum Bayar"))</f>
        <v>Lunas</v>
      </c>
      <c r="O386" s="39" t="n">
        <f aca="false">IF(M386&gt;0,MAX(0,Catatan!$B$3-H386),0)</f>
        <v>0</v>
      </c>
      <c r="P386" s="39" t="str">
        <f aca="false">IF(M386&lt;=0,"Lunas",IF(Catatan!$B$3&lt;=H386,"Belum Jatuh Tempo",IF(O386&lt;=30,"1-30 hari",IF(O386&lt;=60,"31-60 hari",IF(O386&lt;=90,"61-90 hari","90+ hari")))))</f>
        <v>Lunas</v>
      </c>
      <c r="Q386" s="50"/>
      <c r="R386" s="39" t="str">
        <f aca="false">IF(M386&lt;=0,"",IF(O386&gt;60,"1-Tinggi",IF(O386&gt;30,"2-Sedang",IF(O386&gt;0,"3-Rendah","4-Pantau"))))</f>
        <v/>
      </c>
      <c r="S386" s="39" t="str">
        <f aca="false">IF(AND(M386&gt;0,O386&gt;0),O386+M386/1000000000000+ROW()/1000000000000000,"")</f>
        <v/>
      </c>
      <c r="T386" s="39" t="str">
        <f aca="false">IF(J386="Belum ditukar",ROW(),"")</f>
        <v/>
      </c>
    </row>
    <row r="387" customFormat="false" ht="15" hidden="false" customHeight="false" outlineLevel="0" collapsed="false">
      <c r="A387" s="50" t="s">
        <v>656</v>
      </c>
      <c r="B387" s="51" t="n">
        <v>45743</v>
      </c>
      <c r="C387" s="50" t="s">
        <v>481</v>
      </c>
      <c r="D387" s="39" t="str">
        <f aca="false">INDEX(Master_Customer!$B$2:$B$126,MATCH(C387,Master_Customer!$A$2:$A$126,0))</f>
        <v>MITRA GARAGE</v>
      </c>
      <c r="E387" s="50" t="s">
        <v>28</v>
      </c>
      <c r="F387" s="52" t="n">
        <f aca="false">SUMIFS(Data_Penjualan!$G$2:$G$5998,Data_Penjualan!$A$2:$A$5998,A387)</f>
        <v>20153100</v>
      </c>
      <c r="G387" s="39" t="n">
        <f aca="false">IF(E387="KANTOR",0,INDEX(Master_Customer!$C$2:$C$126,MATCH(C387,Master_Customer!$A$2:$A$126,0)))</f>
        <v>45</v>
      </c>
      <c r="H387" s="53" t="n">
        <f aca="false">B387+G387</f>
        <v>45788</v>
      </c>
      <c r="I387" s="51" t="n">
        <v>45746</v>
      </c>
      <c r="J387" s="39" t="str">
        <f aca="false">IF(G387=0,"Tunai",IF(I387="","Belum ditukar","Sudah ditukar"))</f>
        <v>Sudah ditukar</v>
      </c>
      <c r="K387" s="54" t="n">
        <v>20153100</v>
      </c>
      <c r="L387" s="51" t="n">
        <v>45793</v>
      </c>
      <c r="M387" s="52" t="n">
        <f aca="false">F387-K387</f>
        <v>0</v>
      </c>
      <c r="N387" s="39" t="str">
        <f aca="false">IF(M387&lt;=0,"Lunas",IF(K387&gt;0,"Sebagian","Belum Bayar"))</f>
        <v>Lunas</v>
      </c>
      <c r="O387" s="39" t="n">
        <f aca="false">IF(M387&gt;0,MAX(0,Catatan!$B$3-H387),0)</f>
        <v>0</v>
      </c>
      <c r="P387" s="39" t="str">
        <f aca="false">IF(M387&lt;=0,"Lunas",IF(Catatan!$B$3&lt;=H387,"Belum Jatuh Tempo",IF(O387&lt;=30,"1-30 hari",IF(O387&lt;=60,"31-60 hari",IF(O387&lt;=90,"61-90 hari","90+ hari")))))</f>
        <v>Lunas</v>
      </c>
      <c r="Q387" s="50"/>
      <c r="R387" s="39" t="str">
        <f aca="false">IF(M387&lt;=0,"",IF(O387&gt;60,"1-Tinggi",IF(O387&gt;30,"2-Sedang",IF(O387&gt;0,"3-Rendah","4-Pantau"))))</f>
        <v/>
      </c>
      <c r="S387" s="39" t="str">
        <f aca="false">IF(AND(M387&gt;0,O387&gt;0),O387+M387/1000000000000+ROW()/1000000000000000,"")</f>
        <v/>
      </c>
      <c r="T387" s="39" t="str">
        <f aca="false">IF(J387="Belum ditukar",ROW(),"")</f>
        <v/>
      </c>
    </row>
    <row r="388" customFormat="false" ht="15" hidden="false" customHeight="false" outlineLevel="0" collapsed="false">
      <c r="A388" s="50" t="s">
        <v>657</v>
      </c>
      <c r="B388" s="51" t="n">
        <v>45743</v>
      </c>
      <c r="C388" s="50" t="s">
        <v>243</v>
      </c>
      <c r="D388" s="39" t="str">
        <f aca="false">INDEX(Master_Customer!$B$2:$B$126,MATCH(C388,Master_Customer!$A$2:$A$126,0))</f>
        <v>SENTOSA LUBRICANT MULIA</v>
      </c>
      <c r="E388" s="50" t="s">
        <v>30</v>
      </c>
      <c r="F388" s="52" t="n">
        <f aca="false">SUMIFS(Data_Penjualan!$G$2:$G$5998,Data_Penjualan!$A$2:$A$5998,A388)</f>
        <v>16267800</v>
      </c>
      <c r="G388" s="39" t="n">
        <f aca="false">IF(E388="KANTOR",0,INDEX(Master_Customer!$C$2:$C$126,MATCH(C388,Master_Customer!$A$2:$A$126,0)))</f>
        <v>45</v>
      </c>
      <c r="H388" s="53" t="n">
        <f aca="false">B388+G388</f>
        <v>45788</v>
      </c>
      <c r="I388" s="51" t="n">
        <v>45747</v>
      </c>
      <c r="J388" s="39" t="str">
        <f aca="false">IF(G388=0,"Tunai",IF(I388="","Belum ditukar","Sudah ditukar"))</f>
        <v>Sudah ditukar</v>
      </c>
      <c r="K388" s="54" t="n">
        <v>16267800</v>
      </c>
      <c r="L388" s="51" t="n">
        <v>45824</v>
      </c>
      <c r="M388" s="52" t="n">
        <f aca="false">F388-K388</f>
        <v>0</v>
      </c>
      <c r="N388" s="39" t="str">
        <f aca="false">IF(M388&lt;=0,"Lunas",IF(K388&gt;0,"Sebagian","Belum Bayar"))</f>
        <v>Lunas</v>
      </c>
      <c r="O388" s="39" t="n">
        <f aca="false">IF(M388&gt;0,MAX(0,Catatan!$B$3-H388),0)</f>
        <v>0</v>
      </c>
      <c r="P388" s="39" t="str">
        <f aca="false">IF(M388&lt;=0,"Lunas",IF(Catatan!$B$3&lt;=H388,"Belum Jatuh Tempo",IF(O388&lt;=30,"1-30 hari",IF(O388&lt;=60,"31-60 hari",IF(O388&lt;=90,"61-90 hari","90+ hari")))))</f>
        <v>Lunas</v>
      </c>
      <c r="Q388" s="50"/>
      <c r="R388" s="39" t="str">
        <f aca="false">IF(M388&lt;=0,"",IF(O388&gt;60,"1-Tinggi",IF(O388&gt;30,"2-Sedang",IF(O388&gt;0,"3-Rendah","4-Pantau"))))</f>
        <v/>
      </c>
      <c r="S388" s="39" t="str">
        <f aca="false">IF(AND(M388&gt;0,O388&gt;0),O388+M388/1000000000000+ROW()/1000000000000000,"")</f>
        <v/>
      </c>
      <c r="T388" s="39" t="str">
        <f aca="false">IF(J388="Belum ditukar",ROW(),"")</f>
        <v/>
      </c>
    </row>
    <row r="389" customFormat="false" ht="15" hidden="false" customHeight="false" outlineLevel="0" collapsed="false">
      <c r="A389" s="50" t="s">
        <v>658</v>
      </c>
      <c r="B389" s="51" t="n">
        <v>45743</v>
      </c>
      <c r="C389" s="50" t="s">
        <v>213</v>
      </c>
      <c r="D389" s="39" t="str">
        <f aca="false">INDEX(Master_Customer!$B$2:$B$126,MATCH(C389,Master_Customer!$A$2:$A$126,0))</f>
        <v>ABADI AUTO MAKMUR</v>
      </c>
      <c r="E389" s="50" t="s">
        <v>30</v>
      </c>
      <c r="F389" s="52" t="n">
        <f aca="false">SUMIFS(Data_Penjualan!$G$2:$G$5998,Data_Penjualan!$A$2:$A$5998,A389)</f>
        <v>26843900</v>
      </c>
      <c r="G389" s="39" t="n">
        <f aca="false">IF(E389="KANTOR",0,INDEX(Master_Customer!$C$2:$C$126,MATCH(C389,Master_Customer!$A$2:$A$126,0)))</f>
        <v>30</v>
      </c>
      <c r="H389" s="53" t="n">
        <f aca="false">B389+G389</f>
        <v>45773</v>
      </c>
      <c r="I389" s="51" t="n">
        <v>45747</v>
      </c>
      <c r="J389" s="39" t="str">
        <f aca="false">IF(G389=0,"Tunai",IF(I389="","Belum ditukar","Sudah ditukar"))</f>
        <v>Sudah ditukar</v>
      </c>
      <c r="K389" s="54" t="n">
        <v>26843900</v>
      </c>
      <c r="L389" s="51" t="n">
        <v>45768</v>
      </c>
      <c r="M389" s="52" t="n">
        <f aca="false">F389-K389</f>
        <v>0</v>
      </c>
      <c r="N389" s="39" t="str">
        <f aca="false">IF(M389&lt;=0,"Lunas",IF(K389&gt;0,"Sebagian","Belum Bayar"))</f>
        <v>Lunas</v>
      </c>
      <c r="O389" s="39" t="n">
        <f aca="false">IF(M389&gt;0,MAX(0,Catatan!$B$3-H389),0)</f>
        <v>0</v>
      </c>
      <c r="P389" s="39" t="str">
        <f aca="false">IF(M389&lt;=0,"Lunas",IF(Catatan!$B$3&lt;=H389,"Belum Jatuh Tempo",IF(O389&lt;=30,"1-30 hari",IF(O389&lt;=60,"31-60 hari",IF(O389&lt;=90,"61-90 hari","90+ hari")))))</f>
        <v>Lunas</v>
      </c>
      <c r="Q389" s="50"/>
      <c r="R389" s="39" t="str">
        <f aca="false">IF(M389&lt;=0,"",IF(O389&gt;60,"1-Tinggi",IF(O389&gt;30,"2-Sedang",IF(O389&gt;0,"3-Rendah","4-Pantau"))))</f>
        <v/>
      </c>
      <c r="S389" s="39" t="str">
        <f aca="false">IF(AND(M389&gt;0,O389&gt;0),O389+M389/1000000000000+ROW()/1000000000000000,"")</f>
        <v/>
      </c>
      <c r="T389" s="39" t="str">
        <f aca="false">IF(J389="Belum ditukar",ROW(),"")</f>
        <v/>
      </c>
    </row>
    <row r="390" customFormat="false" ht="15" hidden="false" customHeight="false" outlineLevel="0" collapsed="false">
      <c r="A390" s="50" t="s">
        <v>659</v>
      </c>
      <c r="B390" s="51" t="n">
        <v>45743</v>
      </c>
      <c r="C390" s="50" t="s">
        <v>416</v>
      </c>
      <c r="D390" s="39" t="str">
        <f aca="false">INDEX(Master_Customer!$B$2:$B$126,MATCH(C390,Master_Customer!$A$2:$A$126,0))</f>
        <v>KARYA SERVICE</v>
      </c>
      <c r="E390" s="50" t="s">
        <v>30</v>
      </c>
      <c r="F390" s="52" t="n">
        <f aca="false">SUMIFS(Data_Penjualan!$G$2:$G$5998,Data_Penjualan!$A$2:$A$5998,A390)</f>
        <v>4570300</v>
      </c>
      <c r="G390" s="39" t="n">
        <f aca="false">IF(E390="KANTOR",0,INDEX(Master_Customer!$C$2:$C$126,MATCH(C390,Master_Customer!$A$2:$A$126,0)))</f>
        <v>0</v>
      </c>
      <c r="H390" s="53" t="n">
        <f aca="false">B390+G390</f>
        <v>45743</v>
      </c>
      <c r="J390" s="39" t="str">
        <f aca="false">IF(G390=0,"Tunai",IF(I390="","Belum ditukar","Sudah ditukar"))</f>
        <v>Tunai</v>
      </c>
      <c r="K390" s="54" t="n">
        <v>4570300</v>
      </c>
      <c r="L390" s="51" t="n">
        <v>45759</v>
      </c>
      <c r="M390" s="52" t="n">
        <f aca="false">F390-K390</f>
        <v>0</v>
      </c>
      <c r="N390" s="39" t="str">
        <f aca="false">IF(M390&lt;=0,"Lunas",IF(K390&gt;0,"Sebagian","Belum Bayar"))</f>
        <v>Lunas</v>
      </c>
      <c r="O390" s="39" t="n">
        <f aca="false">IF(M390&gt;0,MAX(0,Catatan!$B$3-H390),0)</f>
        <v>0</v>
      </c>
      <c r="P390" s="39" t="str">
        <f aca="false">IF(M390&lt;=0,"Lunas",IF(Catatan!$B$3&lt;=H390,"Belum Jatuh Tempo",IF(O390&lt;=30,"1-30 hari",IF(O390&lt;=60,"31-60 hari",IF(O390&lt;=90,"61-90 hari","90+ hari")))))</f>
        <v>Lunas</v>
      </c>
      <c r="Q390" s="50"/>
      <c r="R390" s="39" t="str">
        <f aca="false">IF(M390&lt;=0,"",IF(O390&gt;60,"1-Tinggi",IF(O390&gt;30,"2-Sedang",IF(O390&gt;0,"3-Rendah","4-Pantau"))))</f>
        <v/>
      </c>
      <c r="S390" s="39" t="str">
        <f aca="false">IF(AND(M390&gt;0,O390&gt;0),O390+M390/1000000000000+ROW()/1000000000000000,"")</f>
        <v/>
      </c>
      <c r="T390" s="39" t="str">
        <f aca="false">IF(J390="Belum ditukar",ROW(),"")</f>
        <v/>
      </c>
    </row>
    <row r="391" customFormat="false" ht="15" hidden="false" customHeight="false" outlineLevel="0" collapsed="false">
      <c r="A391" s="50" t="s">
        <v>660</v>
      </c>
      <c r="B391" s="51" t="n">
        <v>45743</v>
      </c>
      <c r="C391" s="50" t="s">
        <v>562</v>
      </c>
      <c r="D391" s="39" t="str">
        <f aca="false">INDEX(Master_Customer!$B$2:$B$126,MATCH(C391,Master_Customer!$A$2:$A$126,0))</f>
        <v>BERKAH SERVICE SENTOSA</v>
      </c>
      <c r="E391" s="50" t="s">
        <v>28</v>
      </c>
      <c r="F391" s="52" t="n">
        <f aca="false">SUMIFS(Data_Penjualan!$G$2:$G$5998,Data_Penjualan!$A$2:$A$5998,A391)</f>
        <v>4837500</v>
      </c>
      <c r="G391" s="39" t="n">
        <f aca="false">IF(E391="KANTOR",0,INDEX(Master_Customer!$C$2:$C$126,MATCH(C391,Master_Customer!$A$2:$A$126,0)))</f>
        <v>14</v>
      </c>
      <c r="H391" s="53" t="n">
        <f aca="false">B391+G391</f>
        <v>45757</v>
      </c>
      <c r="I391" s="51" t="n">
        <v>45748</v>
      </c>
      <c r="J391" s="39" t="str">
        <f aca="false">IF(G391=0,"Tunai",IF(I391="","Belum ditukar","Sudah ditukar"))</f>
        <v>Sudah ditukar</v>
      </c>
      <c r="K391" s="54" t="n">
        <v>4837500</v>
      </c>
      <c r="L391" s="51" t="n">
        <v>45769</v>
      </c>
      <c r="M391" s="52" t="n">
        <f aca="false">F391-K391</f>
        <v>0</v>
      </c>
      <c r="N391" s="39" t="str">
        <f aca="false">IF(M391&lt;=0,"Lunas",IF(K391&gt;0,"Sebagian","Belum Bayar"))</f>
        <v>Lunas</v>
      </c>
      <c r="O391" s="39" t="n">
        <f aca="false">IF(M391&gt;0,MAX(0,Catatan!$B$3-H391),0)</f>
        <v>0</v>
      </c>
      <c r="P391" s="39" t="str">
        <f aca="false">IF(M391&lt;=0,"Lunas",IF(Catatan!$B$3&lt;=H391,"Belum Jatuh Tempo",IF(O391&lt;=30,"1-30 hari",IF(O391&lt;=60,"31-60 hari",IF(O391&lt;=90,"61-90 hari","90+ hari")))))</f>
        <v>Lunas</v>
      </c>
      <c r="Q391" s="50"/>
      <c r="R391" s="39" t="str">
        <f aca="false">IF(M391&lt;=0,"",IF(O391&gt;60,"1-Tinggi",IF(O391&gt;30,"2-Sedang",IF(O391&gt;0,"3-Rendah","4-Pantau"))))</f>
        <v/>
      </c>
      <c r="S391" s="39" t="str">
        <f aca="false">IF(AND(M391&gt;0,O391&gt;0),O391+M391/1000000000000+ROW()/1000000000000000,"")</f>
        <v/>
      </c>
      <c r="T391" s="39" t="str">
        <f aca="false">IF(J391="Belum ditukar",ROW(),"")</f>
        <v/>
      </c>
    </row>
    <row r="392" customFormat="false" ht="15" hidden="false" customHeight="false" outlineLevel="0" collapsed="false">
      <c r="A392" s="50" t="s">
        <v>661</v>
      </c>
      <c r="B392" s="51" t="n">
        <v>45743</v>
      </c>
      <c r="C392" s="50" t="s">
        <v>216</v>
      </c>
      <c r="D392" s="39" t="str">
        <f aca="false">INDEX(Master_Customer!$B$2:$B$126,MATCH(C392,Master_Customer!$A$2:$A$126,0))</f>
        <v>SINAR MOTOR UTAMA</v>
      </c>
      <c r="E392" s="50" t="s">
        <v>30</v>
      </c>
      <c r="F392" s="52" t="n">
        <f aca="false">SUMIFS(Data_Penjualan!$G$2:$G$5998,Data_Penjualan!$A$2:$A$5998,A392)</f>
        <v>20367700</v>
      </c>
      <c r="G392" s="39" t="n">
        <f aca="false">IF(E392="KANTOR",0,INDEX(Master_Customer!$C$2:$C$126,MATCH(C392,Master_Customer!$A$2:$A$126,0)))</f>
        <v>0</v>
      </c>
      <c r="H392" s="53" t="n">
        <f aca="false">B392+G392</f>
        <v>45743</v>
      </c>
      <c r="J392" s="39" t="str">
        <f aca="false">IF(G392=0,"Tunai",IF(I392="","Belum ditukar","Sudah ditukar"))</f>
        <v>Tunai</v>
      </c>
      <c r="K392" s="54" t="n">
        <v>20367700</v>
      </c>
      <c r="L392" s="51" t="n">
        <v>45743</v>
      </c>
      <c r="M392" s="52" t="n">
        <f aca="false">F392-K392</f>
        <v>0</v>
      </c>
      <c r="N392" s="39" t="str">
        <f aca="false">IF(M392&lt;=0,"Lunas",IF(K392&gt;0,"Sebagian","Belum Bayar"))</f>
        <v>Lunas</v>
      </c>
      <c r="O392" s="39" t="n">
        <f aca="false">IF(M392&gt;0,MAX(0,Catatan!$B$3-H392),0)</f>
        <v>0</v>
      </c>
      <c r="P392" s="39" t="str">
        <f aca="false">IF(M392&lt;=0,"Lunas",IF(Catatan!$B$3&lt;=H392,"Belum Jatuh Tempo",IF(O392&lt;=30,"1-30 hari",IF(O392&lt;=60,"31-60 hari",IF(O392&lt;=90,"61-90 hari","90+ hari")))))</f>
        <v>Lunas</v>
      </c>
      <c r="Q392" s="50"/>
      <c r="R392" s="39" t="str">
        <f aca="false">IF(M392&lt;=0,"",IF(O392&gt;60,"1-Tinggi",IF(O392&gt;30,"2-Sedang",IF(O392&gt;0,"3-Rendah","4-Pantau"))))</f>
        <v/>
      </c>
      <c r="S392" s="39" t="str">
        <f aca="false">IF(AND(M392&gt;0,O392&gt;0),O392+M392/1000000000000+ROW()/1000000000000000,"")</f>
        <v/>
      </c>
      <c r="T392" s="39" t="str">
        <f aca="false">IF(J392="Belum ditukar",ROW(),"")</f>
        <v/>
      </c>
    </row>
    <row r="393" customFormat="false" ht="15" hidden="false" customHeight="false" outlineLevel="0" collapsed="false">
      <c r="A393" s="50" t="s">
        <v>662</v>
      </c>
      <c r="B393" s="51" t="n">
        <v>45743</v>
      </c>
      <c r="C393" s="50" t="s">
        <v>286</v>
      </c>
      <c r="D393" s="39" t="str">
        <f aca="false">INDEX(Master_Customer!$B$2:$B$126,MATCH(C393,Master_Customer!$A$2:$A$126,0))</f>
        <v>CAHAYA AUTO</v>
      </c>
      <c r="E393" s="50" t="s">
        <v>32</v>
      </c>
      <c r="F393" s="52" t="n">
        <f aca="false">SUMIFS(Data_Penjualan!$G$2:$G$5998,Data_Penjualan!$A$2:$A$5998,A393)</f>
        <v>10337900</v>
      </c>
      <c r="G393" s="39" t="n">
        <f aca="false">IF(E393="KANTOR",0,INDEX(Master_Customer!$C$2:$C$126,MATCH(C393,Master_Customer!$A$2:$A$126,0)))</f>
        <v>0</v>
      </c>
      <c r="H393" s="53" t="n">
        <f aca="false">B393+G393</f>
        <v>45743</v>
      </c>
      <c r="J393" s="39" t="str">
        <f aca="false">IF(G393=0,"Tunai",IF(I393="","Belum ditukar","Sudah ditukar"))</f>
        <v>Tunai</v>
      </c>
      <c r="K393" s="54" t="n">
        <v>10337900</v>
      </c>
      <c r="L393" s="51" t="n">
        <v>45743</v>
      </c>
      <c r="M393" s="52" t="n">
        <f aca="false">F393-K393</f>
        <v>0</v>
      </c>
      <c r="N393" s="39" t="str">
        <f aca="false">IF(M393&lt;=0,"Lunas",IF(K393&gt;0,"Sebagian","Belum Bayar"))</f>
        <v>Lunas</v>
      </c>
      <c r="O393" s="39" t="n">
        <f aca="false">IF(M393&gt;0,MAX(0,Catatan!$B$3-H393),0)</f>
        <v>0</v>
      </c>
      <c r="P393" s="39" t="str">
        <f aca="false">IF(M393&lt;=0,"Lunas",IF(Catatan!$B$3&lt;=H393,"Belum Jatuh Tempo",IF(O393&lt;=30,"1-30 hari",IF(O393&lt;=60,"31-60 hari",IF(O393&lt;=90,"61-90 hari","90+ hari")))))</f>
        <v>Lunas</v>
      </c>
      <c r="Q393" s="50"/>
      <c r="R393" s="39" t="str">
        <f aca="false">IF(M393&lt;=0,"",IF(O393&gt;60,"1-Tinggi",IF(O393&gt;30,"2-Sedang",IF(O393&gt;0,"3-Rendah","4-Pantau"))))</f>
        <v/>
      </c>
      <c r="S393" s="39" t="str">
        <f aca="false">IF(AND(M393&gt;0,O393&gt;0),O393+M393/1000000000000+ROW()/1000000000000000,"")</f>
        <v/>
      </c>
      <c r="T393" s="39" t="str">
        <f aca="false">IF(J393="Belum ditukar",ROW(),"")</f>
        <v/>
      </c>
    </row>
    <row r="394" customFormat="false" ht="15" hidden="false" customHeight="false" outlineLevel="0" collapsed="false">
      <c r="A394" s="50" t="s">
        <v>663</v>
      </c>
      <c r="B394" s="51" t="n">
        <v>45744</v>
      </c>
      <c r="C394" s="50" t="s">
        <v>166</v>
      </c>
      <c r="D394" s="39" t="str">
        <f aca="false">INDEX(Master_Customer!$B$2:$B$126,MATCH(C394,Master_Customer!$A$2:$A$126,0))</f>
        <v>SENTOSA SERVICE</v>
      </c>
      <c r="E394" s="50" t="s">
        <v>30</v>
      </c>
      <c r="F394" s="52" t="n">
        <f aca="false">SUMIFS(Data_Penjualan!$G$2:$G$5998,Data_Penjualan!$A$2:$A$5998,A394)</f>
        <v>4924200</v>
      </c>
      <c r="G394" s="39" t="n">
        <f aca="false">IF(E394="KANTOR",0,INDEX(Master_Customer!$C$2:$C$126,MATCH(C394,Master_Customer!$A$2:$A$126,0)))</f>
        <v>0</v>
      </c>
      <c r="H394" s="53" t="n">
        <f aca="false">B394+G394</f>
        <v>45744</v>
      </c>
      <c r="J394" s="39" t="str">
        <f aca="false">IF(G394=0,"Tunai",IF(I394="","Belum ditukar","Sudah ditukar"))</f>
        <v>Tunai</v>
      </c>
      <c r="K394" s="54" t="n">
        <v>4924200</v>
      </c>
      <c r="L394" s="51" t="n">
        <v>45746</v>
      </c>
      <c r="M394" s="52" t="n">
        <f aca="false">F394-K394</f>
        <v>0</v>
      </c>
      <c r="N394" s="39" t="str">
        <f aca="false">IF(M394&lt;=0,"Lunas",IF(K394&gt;0,"Sebagian","Belum Bayar"))</f>
        <v>Lunas</v>
      </c>
      <c r="O394" s="39" t="n">
        <f aca="false">IF(M394&gt;0,MAX(0,Catatan!$B$3-H394),0)</f>
        <v>0</v>
      </c>
      <c r="P394" s="39" t="str">
        <f aca="false">IF(M394&lt;=0,"Lunas",IF(Catatan!$B$3&lt;=H394,"Belum Jatuh Tempo",IF(O394&lt;=30,"1-30 hari",IF(O394&lt;=60,"31-60 hari",IF(O394&lt;=90,"61-90 hari","90+ hari")))))</f>
        <v>Lunas</v>
      </c>
      <c r="Q394" s="50"/>
      <c r="R394" s="39" t="str">
        <f aca="false">IF(M394&lt;=0,"",IF(O394&gt;60,"1-Tinggi",IF(O394&gt;30,"2-Sedang",IF(O394&gt;0,"3-Rendah","4-Pantau"))))</f>
        <v/>
      </c>
      <c r="S394" s="39" t="str">
        <f aca="false">IF(AND(M394&gt;0,O394&gt;0),O394+M394/1000000000000+ROW()/1000000000000000,"")</f>
        <v/>
      </c>
      <c r="T394" s="39" t="str">
        <f aca="false">IF(J394="Belum ditukar",ROW(),"")</f>
        <v/>
      </c>
    </row>
    <row r="395" customFormat="false" ht="15" hidden="false" customHeight="false" outlineLevel="0" collapsed="false">
      <c r="A395" s="50" t="s">
        <v>664</v>
      </c>
      <c r="B395" s="51" t="n">
        <v>45744</v>
      </c>
      <c r="C395" s="50" t="s">
        <v>225</v>
      </c>
      <c r="D395" s="39" t="str">
        <f aca="false">INDEX(Master_Customer!$B$2:$B$126,MATCH(C395,Master_Customer!$A$2:$A$126,0))</f>
        <v>KARYA LUBRICANT ABADI</v>
      </c>
      <c r="E395" s="50" t="s">
        <v>30</v>
      </c>
      <c r="F395" s="52" t="n">
        <f aca="false">SUMIFS(Data_Penjualan!$G$2:$G$5998,Data_Penjualan!$A$2:$A$5998,A395)</f>
        <v>2441400</v>
      </c>
      <c r="G395" s="39" t="n">
        <f aca="false">IF(E395="KANTOR",0,INDEX(Master_Customer!$C$2:$C$126,MATCH(C395,Master_Customer!$A$2:$A$126,0)))</f>
        <v>0</v>
      </c>
      <c r="H395" s="53" t="n">
        <f aca="false">B395+G395</f>
        <v>45744</v>
      </c>
      <c r="J395" s="39" t="str">
        <f aca="false">IF(G395=0,"Tunai",IF(I395="","Belum ditukar","Sudah ditukar"))</f>
        <v>Tunai</v>
      </c>
      <c r="K395" s="54" t="n">
        <v>2441400</v>
      </c>
      <c r="L395" s="51" t="n">
        <v>45744</v>
      </c>
      <c r="M395" s="52" t="n">
        <f aca="false">F395-K395</f>
        <v>0</v>
      </c>
      <c r="N395" s="39" t="str">
        <f aca="false">IF(M395&lt;=0,"Lunas",IF(K395&gt;0,"Sebagian","Belum Bayar"))</f>
        <v>Lunas</v>
      </c>
      <c r="O395" s="39" t="n">
        <f aca="false">IF(M395&gt;0,MAX(0,Catatan!$B$3-H395),0)</f>
        <v>0</v>
      </c>
      <c r="P395" s="39" t="str">
        <f aca="false">IF(M395&lt;=0,"Lunas",IF(Catatan!$B$3&lt;=H395,"Belum Jatuh Tempo",IF(O395&lt;=30,"1-30 hari",IF(O395&lt;=60,"31-60 hari",IF(O395&lt;=90,"61-90 hari","90+ hari")))))</f>
        <v>Lunas</v>
      </c>
      <c r="Q395" s="50"/>
      <c r="R395" s="39" t="str">
        <f aca="false">IF(M395&lt;=0,"",IF(O395&gt;60,"1-Tinggi",IF(O395&gt;30,"2-Sedang",IF(O395&gt;0,"3-Rendah","4-Pantau"))))</f>
        <v/>
      </c>
      <c r="S395" s="39" t="str">
        <f aca="false">IF(AND(M395&gt;0,O395&gt;0),O395+M395/1000000000000+ROW()/1000000000000000,"")</f>
        <v/>
      </c>
      <c r="T395" s="39" t="str">
        <f aca="false">IF(J395="Belum ditukar",ROW(),"")</f>
        <v/>
      </c>
    </row>
    <row r="396" customFormat="false" ht="15" hidden="false" customHeight="false" outlineLevel="0" collapsed="false">
      <c r="A396" s="50" t="s">
        <v>665</v>
      </c>
      <c r="B396" s="51" t="n">
        <v>45744</v>
      </c>
      <c r="C396" s="50" t="s">
        <v>666</v>
      </c>
      <c r="D396" s="39" t="str">
        <f aca="false">INDEX(Master_Customer!$B$2:$B$126,MATCH(C396,Master_Customer!$A$2:$A$126,0))</f>
        <v>SUMBER MOTOR</v>
      </c>
      <c r="E396" s="50" t="s">
        <v>32</v>
      </c>
      <c r="F396" s="52" t="n">
        <f aca="false">SUMIFS(Data_Penjualan!$G$2:$G$5998,Data_Penjualan!$A$2:$A$5998,A396)</f>
        <v>12492800</v>
      </c>
      <c r="G396" s="39" t="n">
        <f aca="false">IF(E396="KANTOR",0,INDEX(Master_Customer!$C$2:$C$126,MATCH(C396,Master_Customer!$A$2:$A$126,0)))</f>
        <v>0</v>
      </c>
      <c r="H396" s="53" t="n">
        <f aca="false">B396+G396</f>
        <v>45744</v>
      </c>
      <c r="J396" s="39" t="str">
        <f aca="false">IF(G396=0,"Tunai",IF(I396="","Belum ditukar","Sudah ditukar"))</f>
        <v>Tunai</v>
      </c>
      <c r="K396" s="54" t="n">
        <v>12492800</v>
      </c>
      <c r="L396" s="51" t="n">
        <v>45744</v>
      </c>
      <c r="M396" s="52" t="n">
        <f aca="false">F396-K396</f>
        <v>0</v>
      </c>
      <c r="N396" s="39" t="str">
        <f aca="false">IF(M396&lt;=0,"Lunas",IF(K396&gt;0,"Sebagian","Belum Bayar"))</f>
        <v>Lunas</v>
      </c>
      <c r="O396" s="39" t="n">
        <f aca="false">IF(M396&gt;0,MAX(0,Catatan!$B$3-H396),0)</f>
        <v>0</v>
      </c>
      <c r="P396" s="39" t="str">
        <f aca="false">IF(M396&lt;=0,"Lunas",IF(Catatan!$B$3&lt;=H396,"Belum Jatuh Tempo",IF(O396&lt;=30,"1-30 hari",IF(O396&lt;=60,"31-60 hari",IF(O396&lt;=90,"61-90 hari","90+ hari")))))</f>
        <v>Lunas</v>
      </c>
      <c r="Q396" s="50"/>
      <c r="R396" s="39" t="str">
        <f aca="false">IF(M396&lt;=0,"",IF(O396&gt;60,"1-Tinggi",IF(O396&gt;30,"2-Sedang",IF(O396&gt;0,"3-Rendah","4-Pantau"))))</f>
        <v/>
      </c>
      <c r="S396" s="39" t="str">
        <f aca="false">IF(AND(M396&gt;0,O396&gt;0),O396+M396/1000000000000+ROW()/1000000000000000,"")</f>
        <v/>
      </c>
      <c r="T396" s="39" t="str">
        <f aca="false">IF(J396="Belum ditukar",ROW(),"")</f>
        <v/>
      </c>
    </row>
    <row r="397" customFormat="false" ht="15" hidden="false" customHeight="false" outlineLevel="0" collapsed="false">
      <c r="A397" s="50" t="s">
        <v>667</v>
      </c>
      <c r="B397" s="51" t="n">
        <v>45744</v>
      </c>
      <c r="C397" s="50" t="s">
        <v>211</v>
      </c>
      <c r="D397" s="39" t="str">
        <f aca="false">INDEX(Master_Customer!$B$2:$B$126,MATCH(C397,Master_Customer!$A$2:$A$126,0))</f>
        <v>PRIMA MOBIL</v>
      </c>
      <c r="E397" s="50" t="s">
        <v>30</v>
      </c>
      <c r="F397" s="52" t="n">
        <f aca="false">SUMIFS(Data_Penjualan!$G$2:$G$5998,Data_Penjualan!$A$2:$A$5998,A397)</f>
        <v>12150500</v>
      </c>
      <c r="G397" s="39" t="n">
        <f aca="false">IF(E397="KANTOR",0,INDEX(Master_Customer!$C$2:$C$126,MATCH(C397,Master_Customer!$A$2:$A$126,0)))</f>
        <v>0</v>
      </c>
      <c r="H397" s="53" t="n">
        <f aca="false">B397+G397</f>
        <v>45744</v>
      </c>
      <c r="J397" s="39" t="str">
        <f aca="false">IF(G397=0,"Tunai",IF(I397="","Belum ditukar","Sudah ditukar"))</f>
        <v>Tunai</v>
      </c>
      <c r="K397" s="54" t="n">
        <v>12150500</v>
      </c>
      <c r="L397" s="51" t="n">
        <v>45744</v>
      </c>
      <c r="M397" s="52" t="n">
        <f aca="false">F397-K397</f>
        <v>0</v>
      </c>
      <c r="N397" s="39" t="str">
        <f aca="false">IF(M397&lt;=0,"Lunas",IF(K397&gt;0,"Sebagian","Belum Bayar"))</f>
        <v>Lunas</v>
      </c>
      <c r="O397" s="39" t="n">
        <f aca="false">IF(M397&gt;0,MAX(0,Catatan!$B$3-H397),0)</f>
        <v>0</v>
      </c>
      <c r="P397" s="39" t="str">
        <f aca="false">IF(M397&lt;=0,"Lunas",IF(Catatan!$B$3&lt;=H397,"Belum Jatuh Tempo",IF(O397&lt;=30,"1-30 hari",IF(O397&lt;=60,"31-60 hari",IF(O397&lt;=90,"61-90 hari","90+ hari")))))</f>
        <v>Lunas</v>
      </c>
      <c r="Q397" s="50"/>
      <c r="R397" s="39" t="str">
        <f aca="false">IF(M397&lt;=0,"",IF(O397&gt;60,"1-Tinggi",IF(O397&gt;30,"2-Sedang",IF(O397&gt;0,"3-Rendah","4-Pantau"))))</f>
        <v/>
      </c>
      <c r="S397" s="39" t="str">
        <f aca="false">IF(AND(M397&gt;0,O397&gt;0),O397+M397/1000000000000+ROW()/1000000000000000,"")</f>
        <v/>
      </c>
      <c r="T397" s="39" t="str">
        <f aca="false">IF(J397="Belum ditukar",ROW(),"")</f>
        <v/>
      </c>
    </row>
    <row r="398" customFormat="false" ht="15" hidden="false" customHeight="false" outlineLevel="0" collapsed="false">
      <c r="A398" s="50" t="s">
        <v>668</v>
      </c>
      <c r="B398" s="51" t="n">
        <v>45744</v>
      </c>
      <c r="C398" s="50" t="s">
        <v>247</v>
      </c>
      <c r="D398" s="39" t="str">
        <f aca="false">INDEX(Master_Customer!$B$2:$B$126,MATCH(C398,Master_Customer!$A$2:$A$126,0))</f>
        <v>BINTANG LUBRICANT SURYA</v>
      </c>
      <c r="E398" s="50" t="s">
        <v>28</v>
      </c>
      <c r="F398" s="52" t="n">
        <f aca="false">SUMIFS(Data_Penjualan!$G$2:$G$5998,Data_Penjualan!$A$2:$A$5998,A398)</f>
        <v>15235100</v>
      </c>
      <c r="G398" s="39" t="n">
        <f aca="false">IF(E398="KANTOR",0,INDEX(Master_Customer!$C$2:$C$126,MATCH(C398,Master_Customer!$A$2:$A$126,0)))</f>
        <v>30</v>
      </c>
      <c r="H398" s="53" t="n">
        <f aca="false">B398+G398</f>
        <v>45774</v>
      </c>
      <c r="I398" s="51" t="n">
        <v>45745</v>
      </c>
      <c r="J398" s="39" t="str">
        <f aca="false">IF(G398=0,"Tunai",IF(I398="","Belum ditukar","Sudah ditukar"))</f>
        <v>Sudah ditukar</v>
      </c>
      <c r="K398" s="54" t="n">
        <v>15235100</v>
      </c>
      <c r="L398" s="51" t="n">
        <v>45775</v>
      </c>
      <c r="M398" s="52" t="n">
        <f aca="false">F398-K398</f>
        <v>0</v>
      </c>
      <c r="N398" s="39" t="str">
        <f aca="false">IF(M398&lt;=0,"Lunas",IF(K398&gt;0,"Sebagian","Belum Bayar"))</f>
        <v>Lunas</v>
      </c>
      <c r="O398" s="39" t="n">
        <f aca="false">IF(M398&gt;0,MAX(0,Catatan!$B$3-H398),0)</f>
        <v>0</v>
      </c>
      <c r="P398" s="39" t="str">
        <f aca="false">IF(M398&lt;=0,"Lunas",IF(Catatan!$B$3&lt;=H398,"Belum Jatuh Tempo",IF(O398&lt;=30,"1-30 hari",IF(O398&lt;=60,"31-60 hari",IF(O398&lt;=90,"61-90 hari","90+ hari")))))</f>
        <v>Lunas</v>
      </c>
      <c r="Q398" s="50"/>
      <c r="R398" s="39" t="str">
        <f aca="false">IF(M398&lt;=0,"",IF(O398&gt;60,"1-Tinggi",IF(O398&gt;30,"2-Sedang",IF(O398&gt;0,"3-Rendah","4-Pantau"))))</f>
        <v/>
      </c>
      <c r="S398" s="39" t="str">
        <f aca="false">IF(AND(M398&gt;0,O398&gt;0),O398+M398/1000000000000+ROW()/1000000000000000,"")</f>
        <v/>
      </c>
      <c r="T398" s="39" t="str">
        <f aca="false">IF(J398="Belum ditukar",ROW(),"")</f>
        <v/>
      </c>
    </row>
    <row r="399" customFormat="false" ht="15" hidden="false" customHeight="false" outlineLevel="0" collapsed="false">
      <c r="A399" s="50" t="s">
        <v>669</v>
      </c>
      <c r="B399" s="51" t="n">
        <v>45744</v>
      </c>
      <c r="C399" s="50" t="s">
        <v>296</v>
      </c>
      <c r="D399" s="39" t="str">
        <f aca="false">INDEX(Master_Customer!$B$2:$B$126,MATCH(C399,Master_Customer!$A$2:$A$126,0))</f>
        <v>KARYA LUBRICANT MAJU</v>
      </c>
      <c r="E399" s="50" t="s">
        <v>29</v>
      </c>
      <c r="F399" s="52" t="n">
        <f aca="false">SUMIFS(Data_Penjualan!$G$2:$G$5998,Data_Penjualan!$A$2:$A$5998,A399)</f>
        <v>11959600</v>
      </c>
      <c r="G399" s="39" t="n">
        <f aca="false">IF(E399="KANTOR",0,INDEX(Master_Customer!$C$2:$C$126,MATCH(C399,Master_Customer!$A$2:$A$126,0)))</f>
        <v>14</v>
      </c>
      <c r="H399" s="53" t="n">
        <f aca="false">B399+G399</f>
        <v>45758</v>
      </c>
      <c r="I399" s="51" t="n">
        <v>45749</v>
      </c>
      <c r="J399" s="39" t="str">
        <f aca="false">IF(G399=0,"Tunai",IF(I399="","Belum ditukar","Sudah ditukar"))</f>
        <v>Sudah ditukar</v>
      </c>
      <c r="K399" s="54" t="n">
        <v>11959600</v>
      </c>
      <c r="L399" s="51" t="n">
        <v>45754</v>
      </c>
      <c r="M399" s="52" t="n">
        <f aca="false">F399-K399</f>
        <v>0</v>
      </c>
      <c r="N399" s="39" t="str">
        <f aca="false">IF(M399&lt;=0,"Lunas",IF(K399&gt;0,"Sebagian","Belum Bayar"))</f>
        <v>Lunas</v>
      </c>
      <c r="O399" s="39" t="n">
        <f aca="false">IF(M399&gt;0,MAX(0,Catatan!$B$3-H399),0)</f>
        <v>0</v>
      </c>
      <c r="P399" s="39" t="str">
        <f aca="false">IF(M399&lt;=0,"Lunas",IF(Catatan!$B$3&lt;=H399,"Belum Jatuh Tempo",IF(O399&lt;=30,"1-30 hari",IF(O399&lt;=60,"31-60 hari",IF(O399&lt;=90,"61-90 hari","90+ hari")))))</f>
        <v>Lunas</v>
      </c>
      <c r="Q399" s="50"/>
      <c r="R399" s="39" t="str">
        <f aca="false">IF(M399&lt;=0,"",IF(O399&gt;60,"1-Tinggi",IF(O399&gt;30,"2-Sedang",IF(O399&gt;0,"3-Rendah","4-Pantau"))))</f>
        <v/>
      </c>
      <c r="S399" s="39" t="str">
        <f aca="false">IF(AND(M399&gt;0,O399&gt;0),O399+M399/1000000000000+ROW()/1000000000000000,"")</f>
        <v/>
      </c>
      <c r="T399" s="39" t="str">
        <f aca="false">IF(J399="Belum ditukar",ROW(),"")</f>
        <v/>
      </c>
    </row>
    <row r="400" customFormat="false" ht="15" hidden="false" customHeight="false" outlineLevel="0" collapsed="false">
      <c r="A400" s="50" t="s">
        <v>670</v>
      </c>
      <c r="B400" s="51" t="n">
        <v>45745</v>
      </c>
      <c r="C400" s="50" t="s">
        <v>234</v>
      </c>
      <c r="D400" s="39" t="str">
        <f aca="false">INDEX(Master_Customer!$B$2:$B$126,MATCH(C400,Master_Customer!$A$2:$A$126,0))</f>
        <v>CAHAYA OLI</v>
      </c>
      <c r="E400" s="50" t="s">
        <v>28</v>
      </c>
      <c r="F400" s="52" t="n">
        <f aca="false">SUMIFS(Data_Penjualan!$G$2:$G$5998,Data_Penjualan!$A$2:$A$5998,A400)</f>
        <v>13217500</v>
      </c>
      <c r="G400" s="39" t="n">
        <f aca="false">IF(E400="KANTOR",0,INDEX(Master_Customer!$C$2:$C$126,MATCH(C400,Master_Customer!$A$2:$A$126,0)))</f>
        <v>30</v>
      </c>
      <c r="H400" s="53" t="n">
        <f aca="false">B400+G400</f>
        <v>45775</v>
      </c>
      <c r="I400" s="51" t="n">
        <v>45749</v>
      </c>
      <c r="J400" s="39" t="str">
        <f aca="false">IF(G400=0,"Tunai",IF(I400="","Belum ditukar","Sudah ditukar"))</f>
        <v>Sudah ditukar</v>
      </c>
      <c r="K400" s="54" t="n">
        <v>13217500</v>
      </c>
      <c r="L400" s="51" t="n">
        <v>45777</v>
      </c>
      <c r="M400" s="52" t="n">
        <f aca="false">F400-K400</f>
        <v>0</v>
      </c>
      <c r="N400" s="39" t="str">
        <f aca="false">IF(M400&lt;=0,"Lunas",IF(K400&gt;0,"Sebagian","Belum Bayar"))</f>
        <v>Lunas</v>
      </c>
      <c r="O400" s="39" t="n">
        <f aca="false">IF(M400&gt;0,MAX(0,Catatan!$B$3-H400),0)</f>
        <v>0</v>
      </c>
      <c r="P400" s="39" t="str">
        <f aca="false">IF(M400&lt;=0,"Lunas",IF(Catatan!$B$3&lt;=H400,"Belum Jatuh Tempo",IF(O400&lt;=30,"1-30 hari",IF(O400&lt;=60,"31-60 hari",IF(O400&lt;=90,"61-90 hari","90+ hari")))))</f>
        <v>Lunas</v>
      </c>
      <c r="Q400" s="50"/>
      <c r="R400" s="39" t="str">
        <f aca="false">IF(M400&lt;=0,"",IF(O400&gt;60,"1-Tinggi",IF(O400&gt;30,"2-Sedang",IF(O400&gt;0,"3-Rendah","4-Pantau"))))</f>
        <v/>
      </c>
      <c r="S400" s="39" t="str">
        <f aca="false">IF(AND(M400&gt;0,O400&gt;0),O400+M400/1000000000000+ROW()/1000000000000000,"")</f>
        <v/>
      </c>
      <c r="T400" s="39" t="str">
        <f aca="false">IF(J400="Belum ditukar",ROW(),"")</f>
        <v/>
      </c>
    </row>
    <row r="401" customFormat="false" ht="15" hidden="false" customHeight="false" outlineLevel="0" collapsed="false">
      <c r="A401" s="50" t="s">
        <v>671</v>
      </c>
      <c r="B401" s="51" t="n">
        <v>45745</v>
      </c>
      <c r="C401" s="50" t="s">
        <v>289</v>
      </c>
      <c r="D401" s="39" t="str">
        <f aca="false">INDEX(Master_Customer!$B$2:$B$126,MATCH(C401,Master_Customer!$A$2:$A$126,0))</f>
        <v>SINAR GARAGE</v>
      </c>
      <c r="E401" s="50" t="s">
        <v>28</v>
      </c>
      <c r="F401" s="52" t="n">
        <f aca="false">SUMIFS(Data_Penjualan!$G$2:$G$5998,Data_Penjualan!$A$2:$A$5998,A401)</f>
        <v>7389600</v>
      </c>
      <c r="G401" s="39" t="n">
        <f aca="false">IF(E401="KANTOR",0,INDEX(Master_Customer!$C$2:$C$126,MATCH(C401,Master_Customer!$A$2:$A$126,0)))</f>
        <v>30</v>
      </c>
      <c r="H401" s="53" t="n">
        <f aca="false">B401+G401</f>
        <v>45775</v>
      </c>
      <c r="I401" s="51" t="n">
        <v>45749</v>
      </c>
      <c r="J401" s="39" t="str">
        <f aca="false">IF(G401=0,"Tunai",IF(I401="","Belum ditukar","Sudah ditukar"))</f>
        <v>Sudah ditukar</v>
      </c>
      <c r="K401" s="54" t="n">
        <v>7389600</v>
      </c>
      <c r="L401" s="51" t="n">
        <v>45767</v>
      </c>
      <c r="M401" s="52" t="n">
        <f aca="false">F401-K401</f>
        <v>0</v>
      </c>
      <c r="N401" s="39" t="str">
        <f aca="false">IF(M401&lt;=0,"Lunas",IF(K401&gt;0,"Sebagian","Belum Bayar"))</f>
        <v>Lunas</v>
      </c>
      <c r="O401" s="39" t="n">
        <f aca="false">IF(M401&gt;0,MAX(0,Catatan!$B$3-H401),0)</f>
        <v>0</v>
      </c>
      <c r="P401" s="39" t="str">
        <f aca="false">IF(M401&lt;=0,"Lunas",IF(Catatan!$B$3&lt;=H401,"Belum Jatuh Tempo",IF(O401&lt;=30,"1-30 hari",IF(O401&lt;=60,"31-60 hari",IF(O401&lt;=90,"61-90 hari","90+ hari")))))</f>
        <v>Lunas</v>
      </c>
      <c r="Q401" s="50"/>
      <c r="R401" s="39" t="str">
        <f aca="false">IF(M401&lt;=0,"",IF(O401&gt;60,"1-Tinggi",IF(O401&gt;30,"2-Sedang",IF(O401&gt;0,"3-Rendah","4-Pantau"))))</f>
        <v/>
      </c>
      <c r="S401" s="39" t="str">
        <f aca="false">IF(AND(M401&gt;0,O401&gt;0),O401+M401/1000000000000+ROW()/1000000000000000,"")</f>
        <v/>
      </c>
      <c r="T401" s="39" t="str">
        <f aca="false">IF(J401="Belum ditukar",ROW(),"")</f>
        <v/>
      </c>
    </row>
    <row r="402" customFormat="false" ht="15" hidden="false" customHeight="false" outlineLevel="0" collapsed="false">
      <c r="A402" s="50" t="s">
        <v>672</v>
      </c>
      <c r="B402" s="51" t="n">
        <v>45745</v>
      </c>
      <c r="C402" s="50" t="s">
        <v>416</v>
      </c>
      <c r="D402" s="39" t="str">
        <f aca="false">INDEX(Master_Customer!$B$2:$B$126,MATCH(C402,Master_Customer!$A$2:$A$126,0))</f>
        <v>KARYA SERVICE</v>
      </c>
      <c r="E402" s="50" t="s">
        <v>30</v>
      </c>
      <c r="F402" s="52" t="n">
        <f aca="false">SUMIFS(Data_Penjualan!$G$2:$G$5998,Data_Penjualan!$A$2:$A$5998,A402)</f>
        <v>14340900</v>
      </c>
      <c r="G402" s="39" t="n">
        <f aca="false">IF(E402="KANTOR",0,INDEX(Master_Customer!$C$2:$C$126,MATCH(C402,Master_Customer!$A$2:$A$126,0)))</f>
        <v>0</v>
      </c>
      <c r="H402" s="53" t="n">
        <f aca="false">B402+G402</f>
        <v>45745</v>
      </c>
      <c r="J402" s="39" t="str">
        <f aca="false">IF(G402=0,"Tunai",IF(I402="","Belum ditukar","Sudah ditukar"))</f>
        <v>Tunai</v>
      </c>
      <c r="K402" s="54" t="n">
        <v>14340900</v>
      </c>
      <c r="L402" s="51" t="n">
        <v>45806</v>
      </c>
      <c r="M402" s="52" t="n">
        <f aca="false">F402-K402</f>
        <v>0</v>
      </c>
      <c r="N402" s="39" t="str">
        <f aca="false">IF(M402&lt;=0,"Lunas",IF(K402&gt;0,"Sebagian","Belum Bayar"))</f>
        <v>Lunas</v>
      </c>
      <c r="O402" s="39" t="n">
        <f aca="false">IF(M402&gt;0,MAX(0,Catatan!$B$3-H402),0)</f>
        <v>0</v>
      </c>
      <c r="P402" s="39" t="str">
        <f aca="false">IF(M402&lt;=0,"Lunas",IF(Catatan!$B$3&lt;=H402,"Belum Jatuh Tempo",IF(O402&lt;=30,"1-30 hari",IF(O402&lt;=60,"31-60 hari",IF(O402&lt;=90,"61-90 hari","90+ hari")))))</f>
        <v>Lunas</v>
      </c>
      <c r="Q402" s="50"/>
      <c r="R402" s="39" t="str">
        <f aca="false">IF(M402&lt;=0,"",IF(O402&gt;60,"1-Tinggi",IF(O402&gt;30,"2-Sedang",IF(O402&gt;0,"3-Rendah","4-Pantau"))))</f>
        <v/>
      </c>
      <c r="S402" s="39" t="str">
        <f aca="false">IF(AND(M402&gt;0,O402&gt;0),O402+M402/1000000000000+ROW()/1000000000000000,"")</f>
        <v/>
      </c>
      <c r="T402" s="39" t="str">
        <f aca="false">IF(J402="Belum ditukar",ROW(),"")</f>
        <v/>
      </c>
    </row>
    <row r="403" customFormat="false" ht="15" hidden="false" customHeight="false" outlineLevel="0" collapsed="false">
      <c r="A403" s="50" t="s">
        <v>673</v>
      </c>
      <c r="B403" s="51" t="n">
        <v>45745</v>
      </c>
      <c r="C403" s="50" t="s">
        <v>247</v>
      </c>
      <c r="D403" s="39" t="str">
        <f aca="false">INDEX(Master_Customer!$B$2:$B$126,MATCH(C403,Master_Customer!$A$2:$A$126,0))</f>
        <v>BINTANG LUBRICANT SURYA</v>
      </c>
      <c r="E403" s="50" t="s">
        <v>28</v>
      </c>
      <c r="F403" s="52" t="n">
        <f aca="false">SUMIFS(Data_Penjualan!$G$2:$G$5998,Data_Penjualan!$A$2:$A$5998,A403)</f>
        <v>8639200</v>
      </c>
      <c r="G403" s="39" t="n">
        <f aca="false">IF(E403="KANTOR",0,INDEX(Master_Customer!$C$2:$C$126,MATCH(C403,Master_Customer!$A$2:$A$126,0)))</f>
        <v>30</v>
      </c>
      <c r="H403" s="53" t="n">
        <f aca="false">B403+G403</f>
        <v>45775</v>
      </c>
      <c r="I403" s="51" t="n">
        <v>45746</v>
      </c>
      <c r="J403" s="39" t="str">
        <f aca="false">IF(G403=0,"Tunai",IF(I403="","Belum ditukar","Sudah ditukar"))</f>
        <v>Sudah ditukar</v>
      </c>
      <c r="K403" s="54" t="n">
        <v>8639200</v>
      </c>
      <c r="L403" s="51" t="n">
        <v>45774</v>
      </c>
      <c r="M403" s="52" t="n">
        <f aca="false">F403-K403</f>
        <v>0</v>
      </c>
      <c r="N403" s="39" t="str">
        <f aca="false">IF(M403&lt;=0,"Lunas",IF(K403&gt;0,"Sebagian","Belum Bayar"))</f>
        <v>Lunas</v>
      </c>
      <c r="O403" s="39" t="n">
        <f aca="false">IF(M403&gt;0,MAX(0,Catatan!$B$3-H403),0)</f>
        <v>0</v>
      </c>
      <c r="P403" s="39" t="str">
        <f aca="false">IF(M403&lt;=0,"Lunas",IF(Catatan!$B$3&lt;=H403,"Belum Jatuh Tempo",IF(O403&lt;=30,"1-30 hari",IF(O403&lt;=60,"31-60 hari",IF(O403&lt;=90,"61-90 hari","90+ hari")))))</f>
        <v>Lunas</v>
      </c>
      <c r="Q403" s="50"/>
      <c r="R403" s="39" t="str">
        <f aca="false">IF(M403&lt;=0,"",IF(O403&gt;60,"1-Tinggi",IF(O403&gt;30,"2-Sedang",IF(O403&gt;0,"3-Rendah","4-Pantau"))))</f>
        <v/>
      </c>
      <c r="S403" s="39" t="str">
        <f aca="false">IF(AND(M403&gt;0,O403&gt;0),O403+M403/1000000000000+ROW()/1000000000000000,"")</f>
        <v/>
      </c>
      <c r="T403" s="39" t="str">
        <f aca="false">IF(J403="Belum ditukar",ROW(),"")</f>
        <v/>
      </c>
    </row>
    <row r="404" customFormat="false" ht="15" hidden="false" customHeight="false" outlineLevel="0" collapsed="false">
      <c r="A404" s="50" t="s">
        <v>674</v>
      </c>
      <c r="B404" s="51" t="n">
        <v>45745</v>
      </c>
      <c r="C404" s="50" t="s">
        <v>271</v>
      </c>
      <c r="D404" s="39" t="str">
        <f aca="false">INDEX(Master_Customer!$B$2:$B$126,MATCH(C404,Master_Customer!$A$2:$A$126,0))</f>
        <v>CAHAYA MOTOR</v>
      </c>
      <c r="E404" s="50" t="s">
        <v>28</v>
      </c>
      <c r="F404" s="52" t="n">
        <f aca="false">SUMIFS(Data_Penjualan!$G$2:$G$5998,Data_Penjualan!$A$2:$A$5998,A404)</f>
        <v>4702300</v>
      </c>
      <c r="G404" s="39" t="n">
        <f aca="false">IF(E404="KANTOR",0,INDEX(Master_Customer!$C$2:$C$126,MATCH(C404,Master_Customer!$A$2:$A$126,0)))</f>
        <v>14</v>
      </c>
      <c r="H404" s="53" t="n">
        <f aca="false">B404+G404</f>
        <v>45759</v>
      </c>
      <c r="I404" s="51" t="n">
        <v>45748</v>
      </c>
      <c r="J404" s="39" t="str">
        <f aca="false">IF(G404=0,"Tunai",IF(I404="","Belum ditukar","Sudah ditukar"))</f>
        <v>Sudah ditukar</v>
      </c>
      <c r="K404" s="54" t="n">
        <v>4702300</v>
      </c>
      <c r="L404" s="51" t="n">
        <v>45752</v>
      </c>
      <c r="M404" s="52" t="n">
        <f aca="false">F404-K404</f>
        <v>0</v>
      </c>
      <c r="N404" s="39" t="str">
        <f aca="false">IF(M404&lt;=0,"Lunas",IF(K404&gt;0,"Sebagian","Belum Bayar"))</f>
        <v>Lunas</v>
      </c>
      <c r="O404" s="39" t="n">
        <f aca="false">IF(M404&gt;0,MAX(0,Catatan!$B$3-H404),0)</f>
        <v>0</v>
      </c>
      <c r="P404" s="39" t="str">
        <f aca="false">IF(M404&lt;=0,"Lunas",IF(Catatan!$B$3&lt;=H404,"Belum Jatuh Tempo",IF(O404&lt;=30,"1-30 hari",IF(O404&lt;=60,"31-60 hari",IF(O404&lt;=90,"61-90 hari","90+ hari")))))</f>
        <v>Lunas</v>
      </c>
      <c r="Q404" s="50"/>
      <c r="R404" s="39" t="str">
        <f aca="false">IF(M404&lt;=0,"",IF(O404&gt;60,"1-Tinggi",IF(O404&gt;30,"2-Sedang",IF(O404&gt;0,"3-Rendah","4-Pantau"))))</f>
        <v/>
      </c>
      <c r="S404" s="39" t="str">
        <f aca="false">IF(AND(M404&gt;0,O404&gt;0),O404+M404/1000000000000+ROW()/1000000000000000,"")</f>
        <v/>
      </c>
      <c r="T404" s="39" t="str">
        <f aca="false">IF(J404="Belum ditukar",ROW(),"")</f>
        <v/>
      </c>
    </row>
    <row r="405" customFormat="false" ht="15" hidden="false" customHeight="false" outlineLevel="0" collapsed="false">
      <c r="A405" s="50" t="s">
        <v>675</v>
      </c>
      <c r="B405" s="51" t="n">
        <v>45745</v>
      </c>
      <c r="C405" s="50" t="s">
        <v>259</v>
      </c>
      <c r="D405" s="39" t="str">
        <f aca="false">INDEX(Master_Customer!$B$2:$B$126,MATCH(C405,Master_Customer!$A$2:$A$126,0))</f>
        <v>LANCAR OLI</v>
      </c>
      <c r="E405" s="50" t="s">
        <v>32</v>
      </c>
      <c r="F405" s="52" t="n">
        <f aca="false">SUMIFS(Data_Penjualan!$G$2:$G$5998,Data_Penjualan!$A$2:$A$5998,A405)</f>
        <v>5605200</v>
      </c>
      <c r="G405" s="39" t="n">
        <f aca="false">IF(E405="KANTOR",0,INDEX(Master_Customer!$C$2:$C$126,MATCH(C405,Master_Customer!$A$2:$A$126,0)))</f>
        <v>0</v>
      </c>
      <c r="H405" s="53" t="n">
        <f aca="false">B405+G405</f>
        <v>45745</v>
      </c>
      <c r="J405" s="39" t="str">
        <f aca="false">IF(G405=0,"Tunai",IF(I405="","Belum ditukar","Sudah ditukar"))</f>
        <v>Tunai</v>
      </c>
      <c r="K405" s="54" t="n">
        <v>5605200</v>
      </c>
      <c r="L405" s="51" t="n">
        <v>45745</v>
      </c>
      <c r="M405" s="52" t="n">
        <f aca="false">F405-K405</f>
        <v>0</v>
      </c>
      <c r="N405" s="39" t="str">
        <f aca="false">IF(M405&lt;=0,"Lunas",IF(K405&gt;0,"Sebagian","Belum Bayar"))</f>
        <v>Lunas</v>
      </c>
      <c r="O405" s="39" t="n">
        <f aca="false">IF(M405&gt;0,MAX(0,Catatan!$B$3-H405),0)</f>
        <v>0</v>
      </c>
      <c r="P405" s="39" t="str">
        <f aca="false">IF(M405&lt;=0,"Lunas",IF(Catatan!$B$3&lt;=H405,"Belum Jatuh Tempo",IF(O405&lt;=30,"1-30 hari",IF(O405&lt;=60,"31-60 hari",IF(O405&lt;=90,"61-90 hari","90+ hari")))))</f>
        <v>Lunas</v>
      </c>
      <c r="Q405" s="50"/>
      <c r="R405" s="39" t="str">
        <f aca="false">IF(M405&lt;=0,"",IF(O405&gt;60,"1-Tinggi",IF(O405&gt;30,"2-Sedang",IF(O405&gt;0,"3-Rendah","4-Pantau"))))</f>
        <v/>
      </c>
      <c r="S405" s="39" t="str">
        <f aca="false">IF(AND(M405&gt;0,O405&gt;0),O405+M405/1000000000000+ROW()/1000000000000000,"")</f>
        <v/>
      </c>
      <c r="T405" s="39" t="str">
        <f aca="false">IF(J405="Belum ditukar",ROW(),"")</f>
        <v/>
      </c>
    </row>
    <row r="406" customFormat="false" ht="15" hidden="false" customHeight="false" outlineLevel="0" collapsed="false">
      <c r="A406" s="50" t="s">
        <v>676</v>
      </c>
      <c r="B406" s="51" t="n">
        <v>45745</v>
      </c>
      <c r="C406" s="50" t="s">
        <v>174</v>
      </c>
      <c r="D406" s="39" t="str">
        <f aca="false">INDEX(Master_Customer!$B$2:$B$126,MATCH(C406,Master_Customer!$A$2:$A$126,0))</f>
        <v>SUMBER TEKNIK SURYA</v>
      </c>
      <c r="E406" s="50" t="s">
        <v>31</v>
      </c>
      <c r="F406" s="52" t="n">
        <f aca="false">SUMIFS(Data_Penjualan!$G$2:$G$5998,Data_Penjualan!$A$2:$A$5998,A406)</f>
        <v>20583100</v>
      </c>
      <c r="G406" s="39" t="n">
        <f aca="false">IF(E406="KANTOR",0,INDEX(Master_Customer!$C$2:$C$126,MATCH(C406,Master_Customer!$A$2:$A$126,0)))</f>
        <v>30</v>
      </c>
      <c r="H406" s="53" t="n">
        <f aca="false">B406+G406</f>
        <v>45775</v>
      </c>
      <c r="I406" s="51" t="n">
        <v>45749</v>
      </c>
      <c r="J406" s="39" t="str">
        <f aca="false">IF(G406=0,"Tunai",IF(I406="","Belum ditukar","Sudah ditukar"))</f>
        <v>Sudah ditukar</v>
      </c>
      <c r="K406" s="54" t="n">
        <v>20583100</v>
      </c>
      <c r="L406" s="51" t="n">
        <v>45777</v>
      </c>
      <c r="M406" s="52" t="n">
        <f aca="false">F406-K406</f>
        <v>0</v>
      </c>
      <c r="N406" s="39" t="str">
        <f aca="false">IF(M406&lt;=0,"Lunas",IF(K406&gt;0,"Sebagian","Belum Bayar"))</f>
        <v>Lunas</v>
      </c>
      <c r="O406" s="39" t="n">
        <f aca="false">IF(M406&gt;0,MAX(0,Catatan!$B$3-H406),0)</f>
        <v>0</v>
      </c>
      <c r="P406" s="39" t="str">
        <f aca="false">IF(M406&lt;=0,"Lunas",IF(Catatan!$B$3&lt;=H406,"Belum Jatuh Tempo",IF(O406&lt;=30,"1-30 hari",IF(O406&lt;=60,"31-60 hari",IF(O406&lt;=90,"61-90 hari","90+ hari")))))</f>
        <v>Lunas</v>
      </c>
      <c r="Q406" s="50"/>
      <c r="R406" s="39" t="str">
        <f aca="false">IF(M406&lt;=0,"",IF(O406&gt;60,"1-Tinggi",IF(O406&gt;30,"2-Sedang",IF(O406&gt;0,"3-Rendah","4-Pantau"))))</f>
        <v/>
      </c>
      <c r="S406" s="39" t="str">
        <f aca="false">IF(AND(M406&gt;0,O406&gt;0),O406+M406/1000000000000+ROW()/1000000000000000,"")</f>
        <v/>
      </c>
      <c r="T406" s="39" t="str">
        <f aca="false">IF(J406="Belum ditukar",ROW(),"")</f>
        <v/>
      </c>
    </row>
    <row r="407" customFormat="false" ht="15" hidden="false" customHeight="false" outlineLevel="0" collapsed="false">
      <c r="A407" s="50" t="s">
        <v>677</v>
      </c>
      <c r="B407" s="51" t="n">
        <v>45747</v>
      </c>
      <c r="C407" s="50" t="s">
        <v>179</v>
      </c>
      <c r="D407" s="39" t="str">
        <f aca="false">INDEX(Master_Customer!$B$2:$B$126,MATCH(C407,Master_Customer!$A$2:$A$126,0))</f>
        <v>BINTANG TEKNIK SURYA</v>
      </c>
      <c r="E407" s="50" t="s">
        <v>29</v>
      </c>
      <c r="F407" s="52" t="n">
        <f aca="false">SUMIFS(Data_Penjualan!$G$2:$G$5998,Data_Penjualan!$A$2:$A$5998,A407)</f>
        <v>5243800</v>
      </c>
      <c r="G407" s="39" t="n">
        <f aca="false">IF(E407="KANTOR",0,INDEX(Master_Customer!$C$2:$C$126,MATCH(C407,Master_Customer!$A$2:$A$126,0)))</f>
        <v>45</v>
      </c>
      <c r="H407" s="53" t="n">
        <f aca="false">B407+G407</f>
        <v>45792</v>
      </c>
      <c r="I407" s="51" t="n">
        <v>45751</v>
      </c>
      <c r="J407" s="39" t="str">
        <f aca="false">IF(G407=0,"Tunai",IF(I407="","Belum ditukar","Sudah ditukar"))</f>
        <v>Sudah ditukar</v>
      </c>
      <c r="K407" s="54" t="n">
        <v>5243800</v>
      </c>
      <c r="L407" s="51" t="n">
        <v>45784</v>
      </c>
      <c r="M407" s="52" t="n">
        <f aca="false">F407-K407</f>
        <v>0</v>
      </c>
      <c r="N407" s="39" t="str">
        <f aca="false">IF(M407&lt;=0,"Lunas",IF(K407&gt;0,"Sebagian","Belum Bayar"))</f>
        <v>Lunas</v>
      </c>
      <c r="O407" s="39" t="n">
        <f aca="false">IF(M407&gt;0,MAX(0,Catatan!$B$3-H407),0)</f>
        <v>0</v>
      </c>
      <c r="P407" s="39" t="str">
        <f aca="false">IF(M407&lt;=0,"Lunas",IF(Catatan!$B$3&lt;=H407,"Belum Jatuh Tempo",IF(O407&lt;=30,"1-30 hari",IF(O407&lt;=60,"31-60 hari",IF(O407&lt;=90,"61-90 hari","90+ hari")))))</f>
        <v>Lunas</v>
      </c>
      <c r="Q407" s="50"/>
      <c r="R407" s="39" t="str">
        <f aca="false">IF(M407&lt;=0,"",IF(O407&gt;60,"1-Tinggi",IF(O407&gt;30,"2-Sedang",IF(O407&gt;0,"3-Rendah","4-Pantau"))))</f>
        <v/>
      </c>
      <c r="S407" s="39" t="str">
        <f aca="false">IF(AND(M407&gt;0,O407&gt;0),O407+M407/1000000000000+ROW()/1000000000000000,"")</f>
        <v/>
      </c>
      <c r="T407" s="39" t="str">
        <f aca="false">IF(J407="Belum ditukar",ROW(),"")</f>
        <v/>
      </c>
    </row>
    <row r="408" customFormat="false" ht="15" hidden="false" customHeight="false" outlineLevel="0" collapsed="false">
      <c r="A408" s="50" t="s">
        <v>678</v>
      </c>
      <c r="B408" s="51" t="n">
        <v>45747</v>
      </c>
      <c r="C408" s="50" t="s">
        <v>181</v>
      </c>
      <c r="D408" s="39" t="str">
        <f aca="false">INDEX(Master_Customer!$B$2:$B$126,MATCH(C408,Master_Customer!$A$2:$A$126,0))</f>
        <v>PRIMA GARAGE</v>
      </c>
      <c r="E408" s="50" t="s">
        <v>29</v>
      </c>
      <c r="F408" s="52" t="n">
        <f aca="false">SUMIFS(Data_Penjualan!$G$2:$G$5998,Data_Penjualan!$A$2:$A$5998,A408)</f>
        <v>5792000</v>
      </c>
      <c r="G408" s="39" t="n">
        <f aca="false">IF(E408="KANTOR",0,INDEX(Master_Customer!$C$2:$C$126,MATCH(C408,Master_Customer!$A$2:$A$126,0)))</f>
        <v>14</v>
      </c>
      <c r="H408" s="53" t="n">
        <f aca="false">B408+G408</f>
        <v>45761</v>
      </c>
      <c r="I408" s="51" t="n">
        <v>45748</v>
      </c>
      <c r="J408" s="39" t="str">
        <f aca="false">IF(G408=0,"Tunai",IF(I408="","Belum ditukar","Sudah ditukar"))</f>
        <v>Sudah ditukar</v>
      </c>
      <c r="K408" s="54" t="n">
        <v>5792000</v>
      </c>
      <c r="L408" s="51" t="n">
        <v>45761</v>
      </c>
      <c r="M408" s="52" t="n">
        <f aca="false">F408-K408</f>
        <v>0</v>
      </c>
      <c r="N408" s="39" t="str">
        <f aca="false">IF(M408&lt;=0,"Lunas",IF(K408&gt;0,"Sebagian","Belum Bayar"))</f>
        <v>Lunas</v>
      </c>
      <c r="O408" s="39" t="n">
        <f aca="false">IF(M408&gt;0,MAX(0,Catatan!$B$3-H408),0)</f>
        <v>0</v>
      </c>
      <c r="P408" s="39" t="str">
        <f aca="false">IF(M408&lt;=0,"Lunas",IF(Catatan!$B$3&lt;=H408,"Belum Jatuh Tempo",IF(O408&lt;=30,"1-30 hari",IF(O408&lt;=60,"31-60 hari",IF(O408&lt;=90,"61-90 hari","90+ hari")))))</f>
        <v>Lunas</v>
      </c>
      <c r="Q408" s="50"/>
      <c r="R408" s="39" t="str">
        <f aca="false">IF(M408&lt;=0,"",IF(O408&gt;60,"1-Tinggi",IF(O408&gt;30,"2-Sedang",IF(O408&gt;0,"3-Rendah","4-Pantau"))))</f>
        <v/>
      </c>
      <c r="S408" s="39" t="str">
        <f aca="false">IF(AND(M408&gt;0,O408&gt;0),O408+M408/1000000000000+ROW()/1000000000000000,"")</f>
        <v/>
      </c>
      <c r="T408" s="39" t="str">
        <f aca="false">IF(J408="Belum ditukar",ROW(),"")</f>
        <v/>
      </c>
    </row>
    <row r="409" customFormat="false" ht="15" hidden="false" customHeight="false" outlineLevel="0" collapsed="false">
      <c r="A409" s="50" t="s">
        <v>679</v>
      </c>
      <c r="B409" s="51" t="n">
        <v>45747</v>
      </c>
      <c r="C409" s="50" t="s">
        <v>447</v>
      </c>
      <c r="D409" s="39" t="str">
        <f aca="false">INDEX(Master_Customer!$B$2:$B$126,MATCH(C409,Master_Customer!$A$2:$A$126,0))</f>
        <v>PRIMA LUBRICANT</v>
      </c>
      <c r="E409" s="50" t="s">
        <v>28</v>
      </c>
      <c r="F409" s="52" t="n">
        <f aca="false">SUMIFS(Data_Penjualan!$G$2:$G$5998,Data_Penjualan!$A$2:$A$5998,A409)</f>
        <v>2110500</v>
      </c>
      <c r="G409" s="39" t="n">
        <f aca="false">IF(E409="KANTOR",0,INDEX(Master_Customer!$C$2:$C$126,MATCH(C409,Master_Customer!$A$2:$A$126,0)))</f>
        <v>30</v>
      </c>
      <c r="H409" s="53" t="n">
        <f aca="false">B409+G409</f>
        <v>45777</v>
      </c>
      <c r="I409" s="51" t="n">
        <v>45749</v>
      </c>
      <c r="J409" s="39" t="str">
        <f aca="false">IF(G409=0,"Tunai",IF(I409="","Belum ditukar","Sudah ditukar"))</f>
        <v>Sudah ditukar</v>
      </c>
      <c r="K409" s="54" t="n">
        <v>2110500</v>
      </c>
      <c r="L409" s="51" t="n">
        <v>45792</v>
      </c>
      <c r="M409" s="52" t="n">
        <f aca="false">F409-K409</f>
        <v>0</v>
      </c>
      <c r="N409" s="39" t="str">
        <f aca="false">IF(M409&lt;=0,"Lunas",IF(K409&gt;0,"Sebagian","Belum Bayar"))</f>
        <v>Lunas</v>
      </c>
      <c r="O409" s="39" t="n">
        <f aca="false">IF(M409&gt;0,MAX(0,Catatan!$B$3-H409),0)</f>
        <v>0</v>
      </c>
      <c r="P409" s="39" t="str">
        <f aca="false">IF(M409&lt;=0,"Lunas",IF(Catatan!$B$3&lt;=H409,"Belum Jatuh Tempo",IF(O409&lt;=30,"1-30 hari",IF(O409&lt;=60,"31-60 hari",IF(O409&lt;=90,"61-90 hari","90+ hari")))))</f>
        <v>Lunas</v>
      </c>
      <c r="Q409" s="50"/>
      <c r="R409" s="39" t="str">
        <f aca="false">IF(M409&lt;=0,"",IF(O409&gt;60,"1-Tinggi",IF(O409&gt;30,"2-Sedang",IF(O409&gt;0,"3-Rendah","4-Pantau"))))</f>
        <v/>
      </c>
      <c r="S409" s="39" t="str">
        <f aca="false">IF(AND(M409&gt;0,O409&gt;0),O409+M409/1000000000000+ROW()/1000000000000000,"")</f>
        <v/>
      </c>
      <c r="T409" s="39" t="str">
        <f aca="false">IF(J409="Belum ditukar",ROW(),"")</f>
        <v/>
      </c>
    </row>
    <row r="410" customFormat="false" ht="15" hidden="false" customHeight="false" outlineLevel="0" collapsed="false">
      <c r="A410" s="50" t="s">
        <v>680</v>
      </c>
      <c r="B410" s="51" t="n">
        <v>45747</v>
      </c>
      <c r="C410" s="50" t="s">
        <v>681</v>
      </c>
      <c r="D410" s="39" t="str">
        <f aca="false">INDEX(Master_Customer!$B$2:$B$126,MATCH(C410,Master_Customer!$A$2:$A$126,0))</f>
        <v>GEMILANG TEKNIK</v>
      </c>
      <c r="E410" s="50" t="s">
        <v>29</v>
      </c>
      <c r="F410" s="52" t="n">
        <f aca="false">SUMIFS(Data_Penjualan!$G$2:$G$5998,Data_Penjualan!$A$2:$A$5998,A410)</f>
        <v>12005700</v>
      </c>
      <c r="G410" s="39" t="n">
        <f aca="false">IF(E410="KANTOR",0,INDEX(Master_Customer!$C$2:$C$126,MATCH(C410,Master_Customer!$A$2:$A$126,0)))</f>
        <v>30</v>
      </c>
      <c r="H410" s="53" t="n">
        <f aca="false">B410+G410</f>
        <v>45777</v>
      </c>
      <c r="I410" s="51" t="n">
        <v>45749</v>
      </c>
      <c r="J410" s="39" t="str">
        <f aca="false">IF(G410=0,"Tunai",IF(I410="","Belum ditukar","Sudah ditukar"))</f>
        <v>Sudah ditukar</v>
      </c>
      <c r="K410" s="54" t="n">
        <v>4111300</v>
      </c>
      <c r="L410" s="51" t="n">
        <v>45775</v>
      </c>
      <c r="M410" s="52" t="n">
        <f aca="false">F410-K410</f>
        <v>7894400</v>
      </c>
      <c r="N410" s="39" t="str">
        <f aca="false">IF(M410&lt;=0,"Lunas",IF(K410&gt;0,"Sebagian","Belum Bayar"))</f>
        <v>Sebagian</v>
      </c>
      <c r="O410" s="39" t="n">
        <f aca="false">IF(M410&gt;0,MAX(0,Catatan!$B$3-H410),0)</f>
        <v>245</v>
      </c>
      <c r="P410" s="39" t="str">
        <f aca="false">IF(M410&lt;=0,"Lunas",IF(Catatan!$B$3&lt;=H410,"Belum Jatuh Tempo",IF(O410&lt;=30,"1-30 hari",IF(O410&lt;=60,"31-60 hari",IF(O410&lt;=90,"61-90 hari","90+ hari")))))</f>
        <v>90+ hari</v>
      </c>
      <c r="Q410" s="50" t="s">
        <v>397</v>
      </c>
      <c r="R410" s="39" t="str">
        <f aca="false">IF(M410&lt;=0,"",IF(O410&gt;60,"1-Tinggi",IF(O410&gt;30,"2-Sedang",IF(O410&gt;0,"3-Rendah","4-Pantau"))))</f>
        <v>1-Tinggi</v>
      </c>
      <c r="S410" s="39" t="n">
        <f aca="false">IF(AND(M410&gt;0,O410&gt;0),O410+M410/1000000000000+ROW()/1000000000000000,"")</f>
        <v>245.0000078944</v>
      </c>
      <c r="T410" s="39" t="str">
        <f aca="false">IF(J410="Belum ditukar",ROW(),"")</f>
        <v/>
      </c>
    </row>
    <row r="411" customFormat="false" ht="15" hidden="false" customHeight="false" outlineLevel="0" collapsed="false">
      <c r="A411" s="50" t="s">
        <v>682</v>
      </c>
      <c r="B411" s="51" t="n">
        <v>45747</v>
      </c>
      <c r="C411" s="50" t="s">
        <v>177</v>
      </c>
      <c r="D411" s="39" t="str">
        <f aca="false">INDEX(Master_Customer!$B$2:$B$126,MATCH(C411,Master_Customer!$A$2:$A$126,0))</f>
        <v>PRIMA MOTOR LANCAR</v>
      </c>
      <c r="E411" s="50" t="s">
        <v>29</v>
      </c>
      <c r="F411" s="52" t="n">
        <f aca="false">SUMIFS(Data_Penjualan!$G$2:$G$5998,Data_Penjualan!$A$2:$A$5998,A411)</f>
        <v>7572200</v>
      </c>
      <c r="G411" s="39" t="n">
        <f aca="false">IF(E411="KANTOR",0,INDEX(Master_Customer!$C$2:$C$126,MATCH(C411,Master_Customer!$A$2:$A$126,0)))</f>
        <v>14</v>
      </c>
      <c r="H411" s="53" t="n">
        <f aca="false">B411+G411</f>
        <v>45761</v>
      </c>
      <c r="I411" s="51" t="n">
        <v>45749</v>
      </c>
      <c r="J411" s="39" t="str">
        <f aca="false">IF(G411=0,"Tunai",IF(I411="","Belum ditukar","Sudah ditukar"))</f>
        <v>Sudah ditukar</v>
      </c>
      <c r="K411" s="54" t="n">
        <v>7572200</v>
      </c>
      <c r="L411" s="51" t="n">
        <v>45764</v>
      </c>
      <c r="M411" s="52" t="n">
        <f aca="false">F411-K411</f>
        <v>0</v>
      </c>
      <c r="N411" s="39" t="str">
        <f aca="false">IF(M411&lt;=0,"Lunas",IF(K411&gt;0,"Sebagian","Belum Bayar"))</f>
        <v>Lunas</v>
      </c>
      <c r="O411" s="39" t="n">
        <f aca="false">IF(M411&gt;0,MAX(0,Catatan!$B$3-H411),0)</f>
        <v>0</v>
      </c>
      <c r="P411" s="39" t="str">
        <f aca="false">IF(M411&lt;=0,"Lunas",IF(Catatan!$B$3&lt;=H411,"Belum Jatuh Tempo",IF(O411&lt;=30,"1-30 hari",IF(O411&lt;=60,"31-60 hari",IF(O411&lt;=90,"61-90 hari","90+ hari")))))</f>
        <v>Lunas</v>
      </c>
      <c r="Q411" s="50"/>
      <c r="R411" s="39" t="str">
        <f aca="false">IF(M411&lt;=0,"",IF(O411&gt;60,"1-Tinggi",IF(O411&gt;30,"2-Sedang",IF(O411&gt;0,"3-Rendah","4-Pantau"))))</f>
        <v/>
      </c>
      <c r="S411" s="39" t="str">
        <f aca="false">IF(AND(M411&gt;0,O411&gt;0),O411+M411/1000000000000+ROW()/1000000000000000,"")</f>
        <v/>
      </c>
      <c r="T411" s="39" t="str">
        <f aca="false">IF(J411="Belum ditukar",ROW(),"")</f>
        <v/>
      </c>
    </row>
    <row r="412" customFormat="false" ht="15" hidden="false" customHeight="false" outlineLevel="0" collapsed="false">
      <c r="A412" s="50" t="s">
        <v>683</v>
      </c>
      <c r="B412" s="51" t="n">
        <v>45747</v>
      </c>
      <c r="C412" s="50" t="s">
        <v>223</v>
      </c>
      <c r="D412" s="39" t="str">
        <f aca="false">INDEX(Master_Customer!$B$2:$B$126,MATCH(C412,Master_Customer!$A$2:$A$126,0))</f>
        <v>ABADI AUTO UTAMA</v>
      </c>
      <c r="E412" s="50" t="s">
        <v>31</v>
      </c>
      <c r="F412" s="52" t="n">
        <f aca="false">SUMIFS(Data_Penjualan!$G$2:$G$5998,Data_Penjualan!$A$2:$A$5998,A412)</f>
        <v>4452700</v>
      </c>
      <c r="G412" s="39" t="n">
        <f aca="false">IF(E412="KANTOR",0,INDEX(Master_Customer!$C$2:$C$126,MATCH(C412,Master_Customer!$A$2:$A$126,0)))</f>
        <v>14</v>
      </c>
      <c r="H412" s="53" t="n">
        <f aca="false">B412+G412</f>
        <v>45761</v>
      </c>
      <c r="I412" s="51" t="n">
        <v>45752</v>
      </c>
      <c r="J412" s="39" t="str">
        <f aca="false">IF(G412=0,"Tunai",IF(I412="","Belum ditukar","Sudah ditukar"))</f>
        <v>Sudah ditukar</v>
      </c>
      <c r="K412" s="54" t="n">
        <v>4452700</v>
      </c>
      <c r="L412" s="51" t="n">
        <v>45790</v>
      </c>
      <c r="M412" s="52" t="n">
        <f aca="false">F412-K412</f>
        <v>0</v>
      </c>
      <c r="N412" s="39" t="str">
        <f aca="false">IF(M412&lt;=0,"Lunas",IF(K412&gt;0,"Sebagian","Belum Bayar"))</f>
        <v>Lunas</v>
      </c>
      <c r="O412" s="39" t="n">
        <f aca="false">IF(M412&gt;0,MAX(0,Catatan!$B$3-H412),0)</f>
        <v>0</v>
      </c>
      <c r="P412" s="39" t="str">
        <f aca="false">IF(M412&lt;=0,"Lunas",IF(Catatan!$B$3&lt;=H412,"Belum Jatuh Tempo",IF(O412&lt;=30,"1-30 hari",IF(O412&lt;=60,"31-60 hari",IF(O412&lt;=90,"61-90 hari","90+ hari")))))</f>
        <v>Lunas</v>
      </c>
      <c r="Q412" s="50"/>
      <c r="R412" s="39" t="str">
        <f aca="false">IF(M412&lt;=0,"",IF(O412&gt;60,"1-Tinggi",IF(O412&gt;30,"2-Sedang",IF(O412&gt;0,"3-Rendah","4-Pantau"))))</f>
        <v/>
      </c>
      <c r="S412" s="39" t="str">
        <f aca="false">IF(AND(M412&gt;0,O412&gt;0),O412+M412/1000000000000+ROW()/1000000000000000,"")</f>
        <v/>
      </c>
      <c r="T412" s="39" t="str">
        <f aca="false">IF(J412="Belum ditukar",ROW(),"")</f>
        <v/>
      </c>
    </row>
    <row r="413" customFormat="false" ht="15" hidden="false" customHeight="false" outlineLevel="0" collapsed="false">
      <c r="A413" s="50" t="s">
        <v>684</v>
      </c>
      <c r="B413" s="51" t="n">
        <v>45747</v>
      </c>
      <c r="C413" s="50" t="s">
        <v>199</v>
      </c>
      <c r="D413" s="39" t="str">
        <f aca="false">INDEX(Master_Customer!$B$2:$B$126,MATCH(C413,Master_Customer!$A$2:$A$126,0))</f>
        <v>KARYA SPAREPART</v>
      </c>
      <c r="E413" s="50" t="s">
        <v>32</v>
      </c>
      <c r="F413" s="52" t="n">
        <f aca="false">SUMIFS(Data_Penjualan!$G$2:$G$5998,Data_Penjualan!$A$2:$A$5998,A413)</f>
        <v>16035400</v>
      </c>
      <c r="G413" s="39" t="n">
        <f aca="false">IF(E413="KANTOR",0,INDEX(Master_Customer!$C$2:$C$126,MATCH(C413,Master_Customer!$A$2:$A$126,0)))</f>
        <v>0</v>
      </c>
      <c r="H413" s="53" t="n">
        <f aca="false">B413+G413</f>
        <v>45747</v>
      </c>
      <c r="J413" s="39" t="str">
        <f aca="false">IF(G413=0,"Tunai",IF(I413="","Belum ditukar","Sudah ditukar"))</f>
        <v>Tunai</v>
      </c>
      <c r="K413" s="54" t="n">
        <v>16035400</v>
      </c>
      <c r="L413" s="51" t="n">
        <v>45748</v>
      </c>
      <c r="M413" s="52" t="n">
        <f aca="false">F413-K413</f>
        <v>0</v>
      </c>
      <c r="N413" s="39" t="str">
        <f aca="false">IF(M413&lt;=0,"Lunas",IF(K413&gt;0,"Sebagian","Belum Bayar"))</f>
        <v>Lunas</v>
      </c>
      <c r="O413" s="39" t="n">
        <f aca="false">IF(M413&gt;0,MAX(0,Catatan!$B$3-H413),0)</f>
        <v>0</v>
      </c>
      <c r="P413" s="39" t="str">
        <f aca="false">IF(M413&lt;=0,"Lunas",IF(Catatan!$B$3&lt;=H413,"Belum Jatuh Tempo",IF(O413&lt;=30,"1-30 hari",IF(O413&lt;=60,"31-60 hari",IF(O413&lt;=90,"61-90 hari","90+ hari")))))</f>
        <v>Lunas</v>
      </c>
      <c r="Q413" s="50"/>
      <c r="R413" s="39" t="str">
        <f aca="false">IF(M413&lt;=0,"",IF(O413&gt;60,"1-Tinggi",IF(O413&gt;30,"2-Sedang",IF(O413&gt;0,"3-Rendah","4-Pantau"))))</f>
        <v/>
      </c>
      <c r="S413" s="39" t="str">
        <f aca="false">IF(AND(M413&gt;0,O413&gt;0),O413+M413/1000000000000+ROW()/1000000000000000,"")</f>
        <v/>
      </c>
      <c r="T413" s="39" t="str">
        <f aca="false">IF(J413="Belum ditukar",ROW(),"")</f>
        <v/>
      </c>
    </row>
    <row r="414" customFormat="false" ht="15" hidden="false" customHeight="false" outlineLevel="0" collapsed="false">
      <c r="A414" s="50" t="s">
        <v>685</v>
      </c>
      <c r="B414" s="51" t="n">
        <v>45748</v>
      </c>
      <c r="C414" s="50" t="s">
        <v>469</v>
      </c>
      <c r="D414" s="39" t="str">
        <f aca="false">INDEX(Master_Customer!$B$2:$B$126,MATCH(C414,Master_Customer!$A$2:$A$126,0))</f>
        <v>MULIA AUTO CAHAYA</v>
      </c>
      <c r="E414" s="50" t="s">
        <v>32</v>
      </c>
      <c r="F414" s="52" t="n">
        <f aca="false">SUMIFS(Data_Penjualan!$G$2:$G$5998,Data_Penjualan!$A$2:$A$5998,A414)</f>
        <v>6890600</v>
      </c>
      <c r="G414" s="39" t="n">
        <f aca="false">IF(E414="KANTOR",0,INDEX(Master_Customer!$C$2:$C$126,MATCH(C414,Master_Customer!$A$2:$A$126,0)))</f>
        <v>0</v>
      </c>
      <c r="H414" s="53" t="n">
        <f aca="false">B414+G414</f>
        <v>45748</v>
      </c>
      <c r="J414" s="39" t="str">
        <f aca="false">IF(G414=0,"Tunai",IF(I414="","Belum ditukar","Sudah ditukar"))</f>
        <v>Tunai</v>
      </c>
      <c r="K414" s="54" t="n">
        <v>6890600</v>
      </c>
      <c r="L414" s="51" t="n">
        <v>45748</v>
      </c>
      <c r="M414" s="52" t="n">
        <f aca="false">F414-K414</f>
        <v>0</v>
      </c>
      <c r="N414" s="39" t="str">
        <f aca="false">IF(M414&lt;=0,"Lunas",IF(K414&gt;0,"Sebagian","Belum Bayar"))</f>
        <v>Lunas</v>
      </c>
      <c r="O414" s="39" t="n">
        <f aca="false">IF(M414&gt;0,MAX(0,Catatan!$B$3-H414),0)</f>
        <v>0</v>
      </c>
      <c r="P414" s="39" t="str">
        <f aca="false">IF(M414&lt;=0,"Lunas",IF(Catatan!$B$3&lt;=H414,"Belum Jatuh Tempo",IF(O414&lt;=30,"1-30 hari",IF(O414&lt;=60,"31-60 hari",IF(O414&lt;=90,"61-90 hari","90+ hari")))))</f>
        <v>Lunas</v>
      </c>
      <c r="Q414" s="50"/>
      <c r="R414" s="39" t="str">
        <f aca="false">IF(M414&lt;=0,"",IF(O414&gt;60,"1-Tinggi",IF(O414&gt;30,"2-Sedang",IF(O414&gt;0,"3-Rendah","4-Pantau"))))</f>
        <v/>
      </c>
      <c r="S414" s="39" t="str">
        <f aca="false">IF(AND(M414&gt;0,O414&gt;0),O414+M414/1000000000000+ROW()/1000000000000000,"")</f>
        <v/>
      </c>
      <c r="T414" s="39" t="str">
        <f aca="false">IF(J414="Belum ditukar",ROW(),"")</f>
        <v/>
      </c>
    </row>
    <row r="415" customFormat="false" ht="15" hidden="false" customHeight="false" outlineLevel="0" collapsed="false">
      <c r="A415" s="50" t="s">
        <v>686</v>
      </c>
      <c r="B415" s="51" t="n">
        <v>45748</v>
      </c>
      <c r="C415" s="50" t="s">
        <v>179</v>
      </c>
      <c r="D415" s="39" t="str">
        <f aca="false">INDEX(Master_Customer!$B$2:$B$126,MATCH(C415,Master_Customer!$A$2:$A$126,0))</f>
        <v>BINTANG TEKNIK SURYA</v>
      </c>
      <c r="E415" s="50" t="s">
        <v>29</v>
      </c>
      <c r="F415" s="52" t="n">
        <f aca="false">SUMIFS(Data_Penjualan!$G$2:$G$5998,Data_Penjualan!$A$2:$A$5998,A415)</f>
        <v>5108500</v>
      </c>
      <c r="G415" s="39" t="n">
        <f aca="false">IF(E415="KANTOR",0,INDEX(Master_Customer!$C$2:$C$126,MATCH(C415,Master_Customer!$A$2:$A$126,0)))</f>
        <v>45</v>
      </c>
      <c r="H415" s="53" t="n">
        <f aca="false">B415+G415</f>
        <v>45793</v>
      </c>
      <c r="I415" s="51" t="n">
        <v>45751</v>
      </c>
      <c r="J415" s="39" t="str">
        <f aca="false">IF(G415=0,"Tunai",IF(I415="","Belum ditukar","Sudah ditukar"))</f>
        <v>Sudah ditukar</v>
      </c>
      <c r="K415" s="54" t="n">
        <v>5108500</v>
      </c>
      <c r="L415" s="51" t="n">
        <v>45789</v>
      </c>
      <c r="M415" s="52" t="n">
        <f aca="false">F415-K415</f>
        <v>0</v>
      </c>
      <c r="N415" s="39" t="str">
        <f aca="false">IF(M415&lt;=0,"Lunas",IF(K415&gt;0,"Sebagian","Belum Bayar"))</f>
        <v>Lunas</v>
      </c>
      <c r="O415" s="39" t="n">
        <f aca="false">IF(M415&gt;0,MAX(0,Catatan!$B$3-H415),0)</f>
        <v>0</v>
      </c>
      <c r="P415" s="39" t="str">
        <f aca="false">IF(M415&lt;=0,"Lunas",IF(Catatan!$B$3&lt;=H415,"Belum Jatuh Tempo",IF(O415&lt;=30,"1-30 hari",IF(O415&lt;=60,"31-60 hari",IF(O415&lt;=90,"61-90 hari","90+ hari")))))</f>
        <v>Lunas</v>
      </c>
      <c r="Q415" s="50"/>
      <c r="R415" s="39" t="str">
        <f aca="false">IF(M415&lt;=0,"",IF(O415&gt;60,"1-Tinggi",IF(O415&gt;30,"2-Sedang",IF(O415&gt;0,"3-Rendah","4-Pantau"))))</f>
        <v/>
      </c>
      <c r="S415" s="39" t="str">
        <f aca="false">IF(AND(M415&gt;0,O415&gt;0),O415+M415/1000000000000+ROW()/1000000000000000,"")</f>
        <v/>
      </c>
      <c r="T415" s="39" t="str">
        <f aca="false">IF(J415="Belum ditukar",ROW(),"")</f>
        <v/>
      </c>
    </row>
    <row r="416" customFormat="false" ht="15" hidden="false" customHeight="false" outlineLevel="0" collapsed="false">
      <c r="A416" s="50" t="s">
        <v>687</v>
      </c>
      <c r="B416" s="51" t="n">
        <v>45748</v>
      </c>
      <c r="C416" s="50" t="s">
        <v>188</v>
      </c>
      <c r="D416" s="39" t="str">
        <f aca="false">INDEX(Master_Customer!$B$2:$B$126,MATCH(C416,Master_Customer!$A$2:$A$126,0))</f>
        <v>MAJU GARAGE TIRTA</v>
      </c>
      <c r="E416" s="50" t="s">
        <v>32</v>
      </c>
      <c r="F416" s="52" t="n">
        <f aca="false">SUMIFS(Data_Penjualan!$G$2:$G$5998,Data_Penjualan!$A$2:$A$5998,A416)</f>
        <v>7400900</v>
      </c>
      <c r="G416" s="39" t="n">
        <f aca="false">IF(E416="KANTOR",0,INDEX(Master_Customer!$C$2:$C$126,MATCH(C416,Master_Customer!$A$2:$A$126,0)))</f>
        <v>0</v>
      </c>
      <c r="H416" s="53" t="n">
        <f aca="false">B416+G416</f>
        <v>45748</v>
      </c>
      <c r="J416" s="39" t="str">
        <f aca="false">IF(G416=0,"Tunai",IF(I416="","Belum ditukar","Sudah ditukar"))</f>
        <v>Tunai</v>
      </c>
      <c r="K416" s="54" t="n">
        <v>7400900</v>
      </c>
      <c r="L416" s="51" t="n">
        <v>45749</v>
      </c>
      <c r="M416" s="52" t="n">
        <f aca="false">F416-K416</f>
        <v>0</v>
      </c>
      <c r="N416" s="39" t="str">
        <f aca="false">IF(M416&lt;=0,"Lunas",IF(K416&gt;0,"Sebagian","Belum Bayar"))</f>
        <v>Lunas</v>
      </c>
      <c r="O416" s="39" t="n">
        <f aca="false">IF(M416&gt;0,MAX(0,Catatan!$B$3-H416),0)</f>
        <v>0</v>
      </c>
      <c r="P416" s="39" t="str">
        <f aca="false">IF(M416&lt;=0,"Lunas",IF(Catatan!$B$3&lt;=H416,"Belum Jatuh Tempo",IF(O416&lt;=30,"1-30 hari",IF(O416&lt;=60,"31-60 hari",IF(O416&lt;=90,"61-90 hari","90+ hari")))))</f>
        <v>Lunas</v>
      </c>
      <c r="Q416" s="50"/>
      <c r="R416" s="39" t="str">
        <f aca="false">IF(M416&lt;=0,"",IF(O416&gt;60,"1-Tinggi",IF(O416&gt;30,"2-Sedang",IF(O416&gt;0,"3-Rendah","4-Pantau"))))</f>
        <v/>
      </c>
      <c r="S416" s="39" t="str">
        <f aca="false">IF(AND(M416&gt;0,O416&gt;0),O416+M416/1000000000000+ROW()/1000000000000000,"")</f>
        <v/>
      </c>
      <c r="T416" s="39" t="str">
        <f aca="false">IF(J416="Belum ditukar",ROW(),"")</f>
        <v/>
      </c>
    </row>
    <row r="417" customFormat="false" ht="15" hidden="false" customHeight="false" outlineLevel="0" collapsed="false">
      <c r="A417" s="50" t="s">
        <v>688</v>
      </c>
      <c r="B417" s="51" t="n">
        <v>45749</v>
      </c>
      <c r="C417" s="50" t="s">
        <v>174</v>
      </c>
      <c r="D417" s="39" t="str">
        <f aca="false">INDEX(Master_Customer!$B$2:$B$126,MATCH(C417,Master_Customer!$A$2:$A$126,0))</f>
        <v>SUMBER TEKNIK SURYA</v>
      </c>
      <c r="E417" s="50" t="s">
        <v>31</v>
      </c>
      <c r="F417" s="52" t="n">
        <f aca="false">SUMIFS(Data_Penjualan!$G$2:$G$5998,Data_Penjualan!$A$2:$A$5998,A417)</f>
        <v>11554200</v>
      </c>
      <c r="G417" s="39" t="n">
        <f aca="false">IF(E417="KANTOR",0,INDEX(Master_Customer!$C$2:$C$126,MATCH(C417,Master_Customer!$A$2:$A$126,0)))</f>
        <v>30</v>
      </c>
      <c r="H417" s="53" t="n">
        <f aca="false">B417+G417</f>
        <v>45779</v>
      </c>
      <c r="I417" s="51" t="n">
        <v>45753</v>
      </c>
      <c r="J417" s="39" t="str">
        <f aca="false">IF(G417=0,"Tunai",IF(I417="","Belum ditukar","Sudah ditukar"))</f>
        <v>Sudah ditukar</v>
      </c>
      <c r="K417" s="54" t="n">
        <v>11554200</v>
      </c>
      <c r="L417" s="51" t="n">
        <v>45774</v>
      </c>
      <c r="M417" s="52" t="n">
        <f aca="false">F417-K417</f>
        <v>0</v>
      </c>
      <c r="N417" s="39" t="str">
        <f aca="false">IF(M417&lt;=0,"Lunas",IF(K417&gt;0,"Sebagian","Belum Bayar"))</f>
        <v>Lunas</v>
      </c>
      <c r="O417" s="39" t="n">
        <f aca="false">IF(M417&gt;0,MAX(0,Catatan!$B$3-H417),0)</f>
        <v>0</v>
      </c>
      <c r="P417" s="39" t="str">
        <f aca="false">IF(M417&lt;=0,"Lunas",IF(Catatan!$B$3&lt;=H417,"Belum Jatuh Tempo",IF(O417&lt;=30,"1-30 hari",IF(O417&lt;=60,"31-60 hari",IF(O417&lt;=90,"61-90 hari","90+ hari")))))</f>
        <v>Lunas</v>
      </c>
      <c r="Q417" s="50"/>
      <c r="R417" s="39" t="str">
        <f aca="false">IF(M417&lt;=0,"",IF(O417&gt;60,"1-Tinggi",IF(O417&gt;30,"2-Sedang",IF(O417&gt;0,"3-Rendah","4-Pantau"))))</f>
        <v/>
      </c>
      <c r="S417" s="39" t="str">
        <f aca="false">IF(AND(M417&gt;0,O417&gt;0),O417+M417/1000000000000+ROW()/1000000000000000,"")</f>
        <v/>
      </c>
      <c r="T417" s="39" t="str">
        <f aca="false">IF(J417="Belum ditukar",ROW(),"")</f>
        <v/>
      </c>
    </row>
    <row r="418" customFormat="false" ht="15" hidden="false" customHeight="false" outlineLevel="0" collapsed="false">
      <c r="A418" s="50" t="s">
        <v>689</v>
      </c>
      <c r="B418" s="51" t="n">
        <v>45749</v>
      </c>
      <c r="C418" s="50" t="s">
        <v>191</v>
      </c>
      <c r="D418" s="39" t="str">
        <f aca="false">INDEX(Master_Customer!$B$2:$B$126,MATCH(C418,Master_Customer!$A$2:$A$126,0))</f>
        <v>SINAR AUTO BERKAH</v>
      </c>
      <c r="E418" s="50" t="s">
        <v>32</v>
      </c>
      <c r="F418" s="52" t="n">
        <f aca="false">SUMIFS(Data_Penjualan!$G$2:$G$5998,Data_Penjualan!$A$2:$A$5998,A418)</f>
        <v>2270600</v>
      </c>
      <c r="G418" s="39" t="n">
        <f aca="false">IF(E418="KANTOR",0,INDEX(Master_Customer!$C$2:$C$126,MATCH(C418,Master_Customer!$A$2:$A$126,0)))</f>
        <v>0</v>
      </c>
      <c r="H418" s="53" t="n">
        <f aca="false">B418+G418</f>
        <v>45749</v>
      </c>
      <c r="J418" s="39" t="str">
        <f aca="false">IF(G418=0,"Tunai",IF(I418="","Belum ditukar","Sudah ditukar"))</f>
        <v>Tunai</v>
      </c>
      <c r="K418" s="54" t="n">
        <v>2270600</v>
      </c>
      <c r="L418" s="51" t="n">
        <v>45750</v>
      </c>
      <c r="M418" s="52" t="n">
        <f aca="false">F418-K418</f>
        <v>0</v>
      </c>
      <c r="N418" s="39" t="str">
        <f aca="false">IF(M418&lt;=0,"Lunas",IF(K418&gt;0,"Sebagian","Belum Bayar"))</f>
        <v>Lunas</v>
      </c>
      <c r="O418" s="39" t="n">
        <f aca="false">IF(M418&gt;0,MAX(0,Catatan!$B$3-H418),0)</f>
        <v>0</v>
      </c>
      <c r="P418" s="39" t="str">
        <f aca="false">IF(M418&lt;=0,"Lunas",IF(Catatan!$B$3&lt;=H418,"Belum Jatuh Tempo",IF(O418&lt;=30,"1-30 hari",IF(O418&lt;=60,"31-60 hari",IF(O418&lt;=90,"61-90 hari","90+ hari")))))</f>
        <v>Lunas</v>
      </c>
      <c r="Q418" s="50"/>
      <c r="R418" s="39" t="str">
        <f aca="false">IF(M418&lt;=0,"",IF(O418&gt;60,"1-Tinggi",IF(O418&gt;30,"2-Sedang",IF(O418&gt;0,"3-Rendah","4-Pantau"))))</f>
        <v/>
      </c>
      <c r="S418" s="39" t="str">
        <f aca="false">IF(AND(M418&gt;0,O418&gt;0),O418+M418/1000000000000+ROW()/1000000000000000,"")</f>
        <v/>
      </c>
      <c r="T418" s="39" t="str">
        <f aca="false">IF(J418="Belum ditukar",ROW(),"")</f>
        <v/>
      </c>
    </row>
    <row r="419" customFormat="false" ht="15" hidden="false" customHeight="false" outlineLevel="0" collapsed="false">
      <c r="A419" s="50" t="s">
        <v>690</v>
      </c>
      <c r="B419" s="51" t="n">
        <v>45749</v>
      </c>
      <c r="C419" s="50" t="s">
        <v>166</v>
      </c>
      <c r="D419" s="39" t="str">
        <f aca="false">INDEX(Master_Customer!$B$2:$B$126,MATCH(C419,Master_Customer!$A$2:$A$126,0))</f>
        <v>SENTOSA SERVICE</v>
      </c>
      <c r="E419" s="50" t="s">
        <v>30</v>
      </c>
      <c r="F419" s="52" t="n">
        <f aca="false">SUMIFS(Data_Penjualan!$G$2:$G$5998,Data_Penjualan!$A$2:$A$5998,A419)</f>
        <v>14831600</v>
      </c>
      <c r="G419" s="39" t="n">
        <f aca="false">IF(E419="KANTOR",0,INDEX(Master_Customer!$C$2:$C$126,MATCH(C419,Master_Customer!$A$2:$A$126,0)))</f>
        <v>0</v>
      </c>
      <c r="H419" s="53" t="n">
        <f aca="false">B419+G419</f>
        <v>45749</v>
      </c>
      <c r="J419" s="39" t="str">
        <f aca="false">IF(G419=0,"Tunai",IF(I419="","Belum ditukar","Sudah ditukar"))</f>
        <v>Tunai</v>
      </c>
      <c r="K419" s="54" t="n">
        <v>14831600</v>
      </c>
      <c r="L419" s="51" t="n">
        <v>45749</v>
      </c>
      <c r="M419" s="52" t="n">
        <f aca="false">F419-K419</f>
        <v>0</v>
      </c>
      <c r="N419" s="39" t="str">
        <f aca="false">IF(M419&lt;=0,"Lunas",IF(K419&gt;0,"Sebagian","Belum Bayar"))</f>
        <v>Lunas</v>
      </c>
      <c r="O419" s="39" t="n">
        <f aca="false">IF(M419&gt;0,MAX(0,Catatan!$B$3-H419),0)</f>
        <v>0</v>
      </c>
      <c r="P419" s="39" t="str">
        <f aca="false">IF(M419&lt;=0,"Lunas",IF(Catatan!$B$3&lt;=H419,"Belum Jatuh Tempo",IF(O419&lt;=30,"1-30 hari",IF(O419&lt;=60,"31-60 hari",IF(O419&lt;=90,"61-90 hari","90+ hari")))))</f>
        <v>Lunas</v>
      </c>
      <c r="Q419" s="50"/>
      <c r="R419" s="39" t="str">
        <f aca="false">IF(M419&lt;=0,"",IF(O419&gt;60,"1-Tinggi",IF(O419&gt;30,"2-Sedang",IF(O419&gt;0,"3-Rendah","4-Pantau"))))</f>
        <v/>
      </c>
      <c r="S419" s="39" t="str">
        <f aca="false">IF(AND(M419&gt;0,O419&gt;0),O419+M419/1000000000000+ROW()/1000000000000000,"")</f>
        <v/>
      </c>
      <c r="T419" s="39" t="str">
        <f aca="false">IF(J419="Belum ditukar",ROW(),"")</f>
        <v/>
      </c>
    </row>
    <row r="420" customFormat="false" ht="15" hidden="false" customHeight="false" outlineLevel="0" collapsed="false">
      <c r="A420" s="50" t="s">
        <v>691</v>
      </c>
      <c r="B420" s="51" t="n">
        <v>45749</v>
      </c>
      <c r="C420" s="50" t="s">
        <v>298</v>
      </c>
      <c r="D420" s="39" t="str">
        <f aca="false">INDEX(Master_Customer!$B$2:$B$126,MATCH(C420,Master_Customer!$A$2:$A$126,0))</f>
        <v>BERKAH MOBIL MAKMUR</v>
      </c>
      <c r="E420" s="50" t="s">
        <v>31</v>
      </c>
      <c r="F420" s="52" t="n">
        <f aca="false">SUMIFS(Data_Penjualan!$G$2:$G$5998,Data_Penjualan!$A$2:$A$5998,A420)</f>
        <v>9879900</v>
      </c>
      <c r="G420" s="39" t="n">
        <f aca="false">IF(E420="KANTOR",0,INDEX(Master_Customer!$C$2:$C$126,MATCH(C420,Master_Customer!$A$2:$A$126,0)))</f>
        <v>14</v>
      </c>
      <c r="H420" s="53" t="n">
        <f aca="false">B420+G420</f>
        <v>45763</v>
      </c>
      <c r="I420" s="51" t="n">
        <v>45754</v>
      </c>
      <c r="J420" s="39" t="str">
        <f aca="false">IF(G420=0,"Tunai",IF(I420="","Belum ditukar","Sudah ditukar"))</f>
        <v>Sudah ditukar</v>
      </c>
      <c r="K420" s="54" t="n">
        <v>9879900</v>
      </c>
      <c r="L420" s="51" t="n">
        <v>45791</v>
      </c>
      <c r="M420" s="52" t="n">
        <f aca="false">F420-K420</f>
        <v>0</v>
      </c>
      <c r="N420" s="39" t="str">
        <f aca="false">IF(M420&lt;=0,"Lunas",IF(K420&gt;0,"Sebagian","Belum Bayar"))</f>
        <v>Lunas</v>
      </c>
      <c r="O420" s="39" t="n">
        <f aca="false">IF(M420&gt;0,MAX(0,Catatan!$B$3-H420),0)</f>
        <v>0</v>
      </c>
      <c r="P420" s="39" t="str">
        <f aca="false">IF(M420&lt;=0,"Lunas",IF(Catatan!$B$3&lt;=H420,"Belum Jatuh Tempo",IF(O420&lt;=30,"1-30 hari",IF(O420&lt;=60,"31-60 hari",IF(O420&lt;=90,"61-90 hari","90+ hari")))))</f>
        <v>Lunas</v>
      </c>
      <c r="Q420" s="50"/>
      <c r="R420" s="39" t="str">
        <f aca="false">IF(M420&lt;=0,"",IF(O420&gt;60,"1-Tinggi",IF(O420&gt;30,"2-Sedang",IF(O420&gt;0,"3-Rendah","4-Pantau"))))</f>
        <v/>
      </c>
      <c r="S420" s="39" t="str">
        <f aca="false">IF(AND(M420&gt;0,O420&gt;0),O420+M420/1000000000000+ROW()/1000000000000000,"")</f>
        <v/>
      </c>
      <c r="T420" s="39" t="str">
        <f aca="false">IF(J420="Belum ditukar",ROW(),"")</f>
        <v/>
      </c>
    </row>
    <row r="421" customFormat="false" ht="15" hidden="false" customHeight="false" outlineLevel="0" collapsed="false">
      <c r="A421" s="50" t="s">
        <v>692</v>
      </c>
      <c r="B421" s="51" t="n">
        <v>45749</v>
      </c>
      <c r="C421" s="50" t="s">
        <v>693</v>
      </c>
      <c r="D421" s="39" t="str">
        <f aca="false">INDEX(Master_Customer!$B$2:$B$126,MATCH(C421,Master_Customer!$A$2:$A$126,0))</f>
        <v>SUMBER OLI GEMILANG</v>
      </c>
      <c r="E421" s="50" t="s">
        <v>30</v>
      </c>
      <c r="F421" s="52" t="n">
        <f aca="false">SUMIFS(Data_Penjualan!$G$2:$G$5998,Data_Penjualan!$A$2:$A$5998,A421)</f>
        <v>17851900</v>
      </c>
      <c r="G421" s="39" t="n">
        <f aca="false">IF(E421="KANTOR",0,INDEX(Master_Customer!$C$2:$C$126,MATCH(C421,Master_Customer!$A$2:$A$126,0)))</f>
        <v>30</v>
      </c>
      <c r="H421" s="53" t="n">
        <f aca="false">B421+G421</f>
        <v>45779</v>
      </c>
      <c r="I421" s="51" t="n">
        <v>45750</v>
      </c>
      <c r="J421" s="39" t="str">
        <f aca="false">IF(G421=0,"Tunai",IF(I421="","Belum ditukar","Sudah ditukar"))</f>
        <v>Sudah ditukar</v>
      </c>
      <c r="K421" s="54" t="n">
        <v>17851900</v>
      </c>
      <c r="L421" s="51" t="n">
        <v>45787</v>
      </c>
      <c r="M421" s="52" t="n">
        <f aca="false">F421-K421</f>
        <v>0</v>
      </c>
      <c r="N421" s="39" t="str">
        <f aca="false">IF(M421&lt;=0,"Lunas",IF(K421&gt;0,"Sebagian","Belum Bayar"))</f>
        <v>Lunas</v>
      </c>
      <c r="O421" s="39" t="n">
        <f aca="false">IF(M421&gt;0,MAX(0,Catatan!$B$3-H421),0)</f>
        <v>0</v>
      </c>
      <c r="P421" s="39" t="str">
        <f aca="false">IF(M421&lt;=0,"Lunas",IF(Catatan!$B$3&lt;=H421,"Belum Jatuh Tempo",IF(O421&lt;=30,"1-30 hari",IF(O421&lt;=60,"31-60 hari",IF(O421&lt;=90,"61-90 hari","90+ hari")))))</f>
        <v>Lunas</v>
      </c>
      <c r="Q421" s="50"/>
      <c r="R421" s="39" t="str">
        <f aca="false">IF(M421&lt;=0,"",IF(O421&gt;60,"1-Tinggi",IF(O421&gt;30,"2-Sedang",IF(O421&gt;0,"3-Rendah","4-Pantau"))))</f>
        <v/>
      </c>
      <c r="S421" s="39" t="str">
        <f aca="false">IF(AND(M421&gt;0,O421&gt;0),O421+M421/1000000000000+ROW()/1000000000000000,"")</f>
        <v/>
      </c>
      <c r="T421" s="39" t="str">
        <f aca="false">IF(J421="Belum ditukar",ROW(),"")</f>
        <v/>
      </c>
    </row>
    <row r="422" customFormat="false" ht="15" hidden="false" customHeight="false" outlineLevel="0" collapsed="false">
      <c r="A422" s="50" t="s">
        <v>694</v>
      </c>
      <c r="B422" s="51" t="n">
        <v>45749</v>
      </c>
      <c r="C422" s="50" t="s">
        <v>216</v>
      </c>
      <c r="D422" s="39" t="str">
        <f aca="false">INDEX(Master_Customer!$B$2:$B$126,MATCH(C422,Master_Customer!$A$2:$A$126,0))</f>
        <v>SINAR MOTOR UTAMA</v>
      </c>
      <c r="E422" s="50" t="s">
        <v>30</v>
      </c>
      <c r="F422" s="52" t="n">
        <f aca="false">SUMIFS(Data_Penjualan!$G$2:$G$5998,Data_Penjualan!$A$2:$A$5998,A422)</f>
        <v>27584400</v>
      </c>
      <c r="G422" s="39" t="n">
        <f aca="false">IF(E422="KANTOR",0,INDEX(Master_Customer!$C$2:$C$126,MATCH(C422,Master_Customer!$A$2:$A$126,0)))</f>
        <v>0</v>
      </c>
      <c r="H422" s="53" t="n">
        <f aca="false">B422+G422</f>
        <v>45749</v>
      </c>
      <c r="J422" s="39" t="str">
        <f aca="false">IF(G422=0,"Tunai",IF(I422="","Belum ditukar","Sudah ditukar"))</f>
        <v>Tunai</v>
      </c>
      <c r="K422" s="54" t="n">
        <v>27584400</v>
      </c>
      <c r="L422" s="51" t="n">
        <v>45749</v>
      </c>
      <c r="M422" s="52" t="n">
        <f aca="false">F422-K422</f>
        <v>0</v>
      </c>
      <c r="N422" s="39" t="str">
        <f aca="false">IF(M422&lt;=0,"Lunas",IF(K422&gt;0,"Sebagian","Belum Bayar"))</f>
        <v>Lunas</v>
      </c>
      <c r="O422" s="39" t="n">
        <f aca="false">IF(M422&gt;0,MAX(0,Catatan!$B$3-H422),0)</f>
        <v>0</v>
      </c>
      <c r="P422" s="39" t="str">
        <f aca="false">IF(M422&lt;=0,"Lunas",IF(Catatan!$B$3&lt;=H422,"Belum Jatuh Tempo",IF(O422&lt;=30,"1-30 hari",IF(O422&lt;=60,"31-60 hari",IF(O422&lt;=90,"61-90 hari","90+ hari")))))</f>
        <v>Lunas</v>
      </c>
      <c r="Q422" s="50"/>
      <c r="R422" s="39" t="str">
        <f aca="false">IF(M422&lt;=0,"",IF(O422&gt;60,"1-Tinggi",IF(O422&gt;30,"2-Sedang",IF(O422&gt;0,"3-Rendah","4-Pantau"))))</f>
        <v/>
      </c>
      <c r="S422" s="39" t="str">
        <f aca="false">IF(AND(M422&gt;0,O422&gt;0),O422+M422/1000000000000+ROW()/1000000000000000,"")</f>
        <v/>
      </c>
      <c r="T422" s="39" t="str">
        <f aca="false">IF(J422="Belum ditukar",ROW(),"")</f>
        <v/>
      </c>
    </row>
    <row r="423" customFormat="false" ht="15" hidden="false" customHeight="false" outlineLevel="0" collapsed="false">
      <c r="A423" s="50" t="s">
        <v>695</v>
      </c>
      <c r="B423" s="51" t="n">
        <v>45749</v>
      </c>
      <c r="C423" s="50" t="s">
        <v>298</v>
      </c>
      <c r="D423" s="39" t="str">
        <f aca="false">INDEX(Master_Customer!$B$2:$B$126,MATCH(C423,Master_Customer!$A$2:$A$126,0))</f>
        <v>BERKAH MOBIL MAKMUR</v>
      </c>
      <c r="E423" s="50" t="s">
        <v>32</v>
      </c>
      <c r="F423" s="52" t="n">
        <f aca="false">SUMIFS(Data_Penjualan!$G$2:$G$5998,Data_Penjualan!$A$2:$A$5998,A423)</f>
        <v>28936000</v>
      </c>
      <c r="G423" s="39" t="n">
        <f aca="false">IF(E423="KANTOR",0,INDEX(Master_Customer!$C$2:$C$126,MATCH(C423,Master_Customer!$A$2:$A$126,0)))</f>
        <v>0</v>
      </c>
      <c r="H423" s="53" t="n">
        <f aca="false">B423+G423</f>
        <v>45749</v>
      </c>
      <c r="J423" s="39" t="str">
        <f aca="false">IF(G423=0,"Tunai",IF(I423="","Belum ditukar","Sudah ditukar"))</f>
        <v>Tunai</v>
      </c>
      <c r="K423" s="54" t="n">
        <v>28936000</v>
      </c>
      <c r="L423" s="51" t="n">
        <v>45750</v>
      </c>
      <c r="M423" s="52" t="n">
        <f aca="false">F423-K423</f>
        <v>0</v>
      </c>
      <c r="N423" s="39" t="str">
        <f aca="false">IF(M423&lt;=0,"Lunas",IF(K423&gt;0,"Sebagian","Belum Bayar"))</f>
        <v>Lunas</v>
      </c>
      <c r="O423" s="39" t="n">
        <f aca="false">IF(M423&gt;0,MAX(0,Catatan!$B$3-H423),0)</f>
        <v>0</v>
      </c>
      <c r="P423" s="39" t="str">
        <f aca="false">IF(M423&lt;=0,"Lunas",IF(Catatan!$B$3&lt;=H423,"Belum Jatuh Tempo",IF(O423&lt;=30,"1-30 hari",IF(O423&lt;=60,"31-60 hari",IF(O423&lt;=90,"61-90 hari","90+ hari")))))</f>
        <v>Lunas</v>
      </c>
      <c r="Q423" s="50"/>
      <c r="R423" s="39" t="str">
        <f aca="false">IF(M423&lt;=0,"",IF(O423&gt;60,"1-Tinggi",IF(O423&gt;30,"2-Sedang",IF(O423&gt;0,"3-Rendah","4-Pantau"))))</f>
        <v/>
      </c>
      <c r="S423" s="39" t="str">
        <f aca="false">IF(AND(M423&gt;0,O423&gt;0),O423+M423/1000000000000+ROW()/1000000000000000,"")</f>
        <v/>
      </c>
      <c r="T423" s="39" t="str">
        <f aca="false">IF(J423="Belum ditukar",ROW(),"")</f>
        <v/>
      </c>
    </row>
    <row r="424" customFormat="false" ht="15" hidden="false" customHeight="false" outlineLevel="0" collapsed="false">
      <c r="A424" s="50" t="s">
        <v>696</v>
      </c>
      <c r="B424" s="51" t="n">
        <v>45750</v>
      </c>
      <c r="C424" s="50" t="s">
        <v>320</v>
      </c>
      <c r="D424" s="39" t="str">
        <f aca="false">INDEX(Master_Customer!$B$2:$B$126,MATCH(C424,Master_Customer!$A$2:$A$126,0))</f>
        <v>BINTANG OLI</v>
      </c>
      <c r="E424" s="50" t="s">
        <v>32</v>
      </c>
      <c r="F424" s="52" t="n">
        <f aca="false">SUMIFS(Data_Penjualan!$G$2:$G$5998,Data_Penjualan!$A$2:$A$5998,A424)</f>
        <v>32759800</v>
      </c>
      <c r="G424" s="39" t="n">
        <f aca="false">IF(E424="KANTOR",0,INDEX(Master_Customer!$C$2:$C$126,MATCH(C424,Master_Customer!$A$2:$A$126,0)))</f>
        <v>0</v>
      </c>
      <c r="H424" s="53" t="n">
        <f aca="false">B424+G424</f>
        <v>45750</v>
      </c>
      <c r="J424" s="39" t="str">
        <f aca="false">IF(G424=0,"Tunai",IF(I424="","Belum ditukar","Sudah ditukar"))</f>
        <v>Tunai</v>
      </c>
      <c r="K424" s="54" t="n">
        <v>32759800</v>
      </c>
      <c r="L424" s="51" t="n">
        <v>45764</v>
      </c>
      <c r="M424" s="52" t="n">
        <f aca="false">F424-K424</f>
        <v>0</v>
      </c>
      <c r="N424" s="39" t="str">
        <f aca="false">IF(M424&lt;=0,"Lunas",IF(K424&gt;0,"Sebagian","Belum Bayar"))</f>
        <v>Lunas</v>
      </c>
      <c r="O424" s="39" t="n">
        <f aca="false">IF(M424&gt;0,MAX(0,Catatan!$B$3-H424),0)</f>
        <v>0</v>
      </c>
      <c r="P424" s="39" t="str">
        <f aca="false">IF(M424&lt;=0,"Lunas",IF(Catatan!$B$3&lt;=H424,"Belum Jatuh Tempo",IF(O424&lt;=30,"1-30 hari",IF(O424&lt;=60,"31-60 hari",IF(O424&lt;=90,"61-90 hari","90+ hari")))))</f>
        <v>Lunas</v>
      </c>
      <c r="Q424" s="50"/>
      <c r="R424" s="39" t="str">
        <f aca="false">IF(M424&lt;=0,"",IF(O424&gt;60,"1-Tinggi",IF(O424&gt;30,"2-Sedang",IF(O424&gt;0,"3-Rendah","4-Pantau"))))</f>
        <v/>
      </c>
      <c r="S424" s="39" t="str">
        <f aca="false">IF(AND(M424&gt;0,O424&gt;0),O424+M424/1000000000000+ROW()/1000000000000000,"")</f>
        <v/>
      </c>
      <c r="T424" s="39" t="str">
        <f aca="false">IF(J424="Belum ditukar",ROW(),"")</f>
        <v/>
      </c>
    </row>
    <row r="425" customFormat="false" ht="15" hidden="false" customHeight="false" outlineLevel="0" collapsed="false">
      <c r="A425" s="50" t="s">
        <v>697</v>
      </c>
      <c r="B425" s="51" t="n">
        <v>45750</v>
      </c>
      <c r="C425" s="50" t="s">
        <v>223</v>
      </c>
      <c r="D425" s="39" t="str">
        <f aca="false">INDEX(Master_Customer!$B$2:$B$126,MATCH(C425,Master_Customer!$A$2:$A$126,0))</f>
        <v>ABADI AUTO UTAMA</v>
      </c>
      <c r="E425" s="50" t="s">
        <v>31</v>
      </c>
      <c r="F425" s="52" t="n">
        <f aca="false">SUMIFS(Data_Penjualan!$G$2:$G$5998,Data_Penjualan!$A$2:$A$5998,A425)</f>
        <v>1923700</v>
      </c>
      <c r="G425" s="39" t="n">
        <f aca="false">IF(E425="KANTOR",0,INDEX(Master_Customer!$C$2:$C$126,MATCH(C425,Master_Customer!$A$2:$A$126,0)))</f>
        <v>14</v>
      </c>
      <c r="H425" s="53" t="n">
        <f aca="false">B425+G425</f>
        <v>45764</v>
      </c>
      <c r="I425" s="51" t="n">
        <v>45751</v>
      </c>
      <c r="J425" s="39" t="str">
        <f aca="false">IF(G425=0,"Tunai",IF(I425="","Belum ditukar","Sudah ditukar"))</f>
        <v>Sudah ditukar</v>
      </c>
      <c r="K425" s="54" t="n">
        <v>1923700</v>
      </c>
      <c r="L425" s="51" t="n">
        <v>45828</v>
      </c>
      <c r="M425" s="52" t="n">
        <f aca="false">F425-K425</f>
        <v>0</v>
      </c>
      <c r="N425" s="39" t="str">
        <f aca="false">IF(M425&lt;=0,"Lunas",IF(K425&gt;0,"Sebagian","Belum Bayar"))</f>
        <v>Lunas</v>
      </c>
      <c r="O425" s="39" t="n">
        <f aca="false">IF(M425&gt;0,MAX(0,Catatan!$B$3-H425),0)</f>
        <v>0</v>
      </c>
      <c r="P425" s="39" t="str">
        <f aca="false">IF(M425&lt;=0,"Lunas",IF(Catatan!$B$3&lt;=H425,"Belum Jatuh Tempo",IF(O425&lt;=30,"1-30 hari",IF(O425&lt;=60,"31-60 hari",IF(O425&lt;=90,"61-90 hari","90+ hari")))))</f>
        <v>Lunas</v>
      </c>
      <c r="Q425" s="50"/>
      <c r="R425" s="39" t="str">
        <f aca="false">IF(M425&lt;=0,"",IF(O425&gt;60,"1-Tinggi",IF(O425&gt;30,"2-Sedang",IF(O425&gt;0,"3-Rendah","4-Pantau"))))</f>
        <v/>
      </c>
      <c r="S425" s="39" t="str">
        <f aca="false">IF(AND(M425&gt;0,O425&gt;0),O425+M425/1000000000000+ROW()/1000000000000000,"")</f>
        <v/>
      </c>
      <c r="T425" s="39" t="str">
        <f aca="false">IF(J425="Belum ditukar",ROW(),"")</f>
        <v/>
      </c>
    </row>
    <row r="426" customFormat="false" ht="15" hidden="false" customHeight="false" outlineLevel="0" collapsed="false">
      <c r="A426" s="50" t="s">
        <v>698</v>
      </c>
      <c r="B426" s="51" t="n">
        <v>45750</v>
      </c>
      <c r="C426" s="50" t="s">
        <v>243</v>
      </c>
      <c r="D426" s="39" t="str">
        <f aca="false">INDEX(Master_Customer!$B$2:$B$126,MATCH(C426,Master_Customer!$A$2:$A$126,0))</f>
        <v>SENTOSA LUBRICANT MULIA</v>
      </c>
      <c r="E426" s="50" t="s">
        <v>30</v>
      </c>
      <c r="F426" s="52" t="n">
        <f aca="false">SUMIFS(Data_Penjualan!$G$2:$G$5998,Data_Penjualan!$A$2:$A$5998,A426)</f>
        <v>5058100</v>
      </c>
      <c r="G426" s="39" t="n">
        <f aca="false">IF(E426="KANTOR",0,INDEX(Master_Customer!$C$2:$C$126,MATCH(C426,Master_Customer!$A$2:$A$126,0)))</f>
        <v>45</v>
      </c>
      <c r="H426" s="53" t="n">
        <f aca="false">B426+G426</f>
        <v>45795</v>
      </c>
      <c r="I426" s="51" t="n">
        <v>45752</v>
      </c>
      <c r="J426" s="39" t="str">
        <f aca="false">IF(G426=0,"Tunai",IF(I426="","Belum ditukar","Sudah ditukar"))</f>
        <v>Sudah ditukar</v>
      </c>
      <c r="K426" s="54" t="n">
        <v>5058100</v>
      </c>
      <c r="L426" s="51" t="n">
        <v>45840</v>
      </c>
      <c r="M426" s="52" t="n">
        <f aca="false">F426-K426</f>
        <v>0</v>
      </c>
      <c r="N426" s="39" t="str">
        <f aca="false">IF(M426&lt;=0,"Lunas",IF(K426&gt;0,"Sebagian","Belum Bayar"))</f>
        <v>Lunas</v>
      </c>
      <c r="O426" s="39" t="n">
        <f aca="false">IF(M426&gt;0,MAX(0,Catatan!$B$3-H426),0)</f>
        <v>0</v>
      </c>
      <c r="P426" s="39" t="str">
        <f aca="false">IF(M426&lt;=0,"Lunas",IF(Catatan!$B$3&lt;=H426,"Belum Jatuh Tempo",IF(O426&lt;=30,"1-30 hari",IF(O426&lt;=60,"31-60 hari",IF(O426&lt;=90,"61-90 hari","90+ hari")))))</f>
        <v>Lunas</v>
      </c>
      <c r="Q426" s="50"/>
      <c r="R426" s="39" t="str">
        <f aca="false">IF(M426&lt;=0,"",IF(O426&gt;60,"1-Tinggi",IF(O426&gt;30,"2-Sedang",IF(O426&gt;0,"3-Rendah","4-Pantau"))))</f>
        <v/>
      </c>
      <c r="S426" s="39" t="str">
        <f aca="false">IF(AND(M426&gt;0,O426&gt;0),O426+M426/1000000000000+ROW()/1000000000000000,"")</f>
        <v/>
      </c>
      <c r="T426" s="39" t="str">
        <f aca="false">IF(J426="Belum ditukar",ROW(),"")</f>
        <v/>
      </c>
    </row>
    <row r="427" customFormat="false" ht="15" hidden="false" customHeight="false" outlineLevel="0" collapsed="false">
      <c r="A427" s="50" t="s">
        <v>699</v>
      </c>
      <c r="B427" s="51" t="n">
        <v>45750</v>
      </c>
      <c r="C427" s="50" t="s">
        <v>256</v>
      </c>
      <c r="D427" s="39" t="str">
        <f aca="false">INDEX(Master_Customer!$B$2:$B$126,MATCH(C427,Master_Customer!$A$2:$A$126,0))</f>
        <v>HARAPAN SPAREPART</v>
      </c>
      <c r="E427" s="50" t="s">
        <v>31</v>
      </c>
      <c r="F427" s="52" t="n">
        <f aca="false">SUMIFS(Data_Penjualan!$G$2:$G$5998,Data_Penjualan!$A$2:$A$5998,A427)</f>
        <v>15546500</v>
      </c>
      <c r="G427" s="39" t="n">
        <f aca="false">IF(E427="KANTOR",0,INDEX(Master_Customer!$C$2:$C$126,MATCH(C427,Master_Customer!$A$2:$A$126,0)))</f>
        <v>45</v>
      </c>
      <c r="H427" s="53" t="n">
        <f aca="false">B427+G427</f>
        <v>45795</v>
      </c>
      <c r="I427" s="51" t="n">
        <v>45755</v>
      </c>
      <c r="J427" s="39" t="str">
        <f aca="false">IF(G427=0,"Tunai",IF(I427="","Belum ditukar","Sudah ditukar"))</f>
        <v>Sudah ditukar</v>
      </c>
      <c r="K427" s="54" t="n">
        <v>15546500</v>
      </c>
      <c r="L427" s="51" t="n">
        <v>45790</v>
      </c>
      <c r="M427" s="52" t="n">
        <f aca="false">F427-K427</f>
        <v>0</v>
      </c>
      <c r="N427" s="39" t="str">
        <f aca="false">IF(M427&lt;=0,"Lunas",IF(K427&gt;0,"Sebagian","Belum Bayar"))</f>
        <v>Lunas</v>
      </c>
      <c r="O427" s="39" t="n">
        <f aca="false">IF(M427&gt;0,MAX(0,Catatan!$B$3-H427),0)</f>
        <v>0</v>
      </c>
      <c r="P427" s="39" t="str">
        <f aca="false">IF(M427&lt;=0,"Lunas",IF(Catatan!$B$3&lt;=H427,"Belum Jatuh Tempo",IF(O427&lt;=30,"1-30 hari",IF(O427&lt;=60,"31-60 hari",IF(O427&lt;=90,"61-90 hari","90+ hari")))))</f>
        <v>Lunas</v>
      </c>
      <c r="Q427" s="50"/>
      <c r="R427" s="39" t="str">
        <f aca="false">IF(M427&lt;=0,"",IF(O427&gt;60,"1-Tinggi",IF(O427&gt;30,"2-Sedang",IF(O427&gt;0,"3-Rendah","4-Pantau"))))</f>
        <v/>
      </c>
      <c r="S427" s="39" t="str">
        <f aca="false">IF(AND(M427&gt;0,O427&gt;0),O427+M427/1000000000000+ROW()/1000000000000000,"")</f>
        <v/>
      </c>
      <c r="T427" s="39" t="str">
        <f aca="false">IF(J427="Belum ditukar",ROW(),"")</f>
        <v/>
      </c>
    </row>
    <row r="428" customFormat="false" ht="15" hidden="false" customHeight="false" outlineLevel="0" collapsed="false">
      <c r="A428" s="50" t="s">
        <v>700</v>
      </c>
      <c r="B428" s="51" t="n">
        <v>45751</v>
      </c>
      <c r="C428" s="50" t="s">
        <v>195</v>
      </c>
      <c r="D428" s="39" t="str">
        <f aca="false">INDEX(Master_Customer!$B$2:$B$126,MATCH(C428,Master_Customer!$A$2:$A$126,0))</f>
        <v>KARYA LUBRICANT BINTANG</v>
      </c>
      <c r="E428" s="50" t="s">
        <v>30</v>
      </c>
      <c r="F428" s="52" t="n">
        <f aca="false">SUMIFS(Data_Penjualan!$G$2:$G$5998,Data_Penjualan!$A$2:$A$5998,A428)</f>
        <v>10787900</v>
      </c>
      <c r="G428" s="39" t="n">
        <f aca="false">IF(E428="KANTOR",0,INDEX(Master_Customer!$C$2:$C$126,MATCH(C428,Master_Customer!$A$2:$A$126,0)))</f>
        <v>14</v>
      </c>
      <c r="H428" s="53" t="n">
        <f aca="false">B428+G428</f>
        <v>45765</v>
      </c>
      <c r="I428" s="51" t="n">
        <v>45756</v>
      </c>
      <c r="J428" s="39" t="str">
        <f aca="false">IF(G428=0,"Tunai",IF(I428="","Belum ditukar","Sudah ditukar"))</f>
        <v>Sudah ditukar</v>
      </c>
      <c r="K428" s="54" t="n">
        <v>10787900</v>
      </c>
      <c r="L428" s="51" t="n">
        <v>45763</v>
      </c>
      <c r="M428" s="52" t="n">
        <f aca="false">F428-K428</f>
        <v>0</v>
      </c>
      <c r="N428" s="39" t="str">
        <f aca="false">IF(M428&lt;=0,"Lunas",IF(K428&gt;0,"Sebagian","Belum Bayar"))</f>
        <v>Lunas</v>
      </c>
      <c r="O428" s="39" t="n">
        <f aca="false">IF(M428&gt;0,MAX(0,Catatan!$B$3-H428),0)</f>
        <v>0</v>
      </c>
      <c r="P428" s="39" t="str">
        <f aca="false">IF(M428&lt;=0,"Lunas",IF(Catatan!$B$3&lt;=H428,"Belum Jatuh Tempo",IF(O428&lt;=30,"1-30 hari",IF(O428&lt;=60,"31-60 hari",IF(O428&lt;=90,"61-90 hari","90+ hari")))))</f>
        <v>Lunas</v>
      </c>
      <c r="Q428" s="50"/>
      <c r="R428" s="39" t="str">
        <f aca="false">IF(M428&lt;=0,"",IF(O428&gt;60,"1-Tinggi",IF(O428&gt;30,"2-Sedang",IF(O428&gt;0,"3-Rendah","4-Pantau"))))</f>
        <v/>
      </c>
      <c r="S428" s="39" t="str">
        <f aca="false">IF(AND(M428&gt;0,O428&gt;0),O428+M428/1000000000000+ROW()/1000000000000000,"")</f>
        <v/>
      </c>
      <c r="T428" s="39" t="str">
        <f aca="false">IF(J428="Belum ditukar",ROW(),"")</f>
        <v/>
      </c>
    </row>
    <row r="429" customFormat="false" ht="15" hidden="false" customHeight="false" outlineLevel="0" collapsed="false">
      <c r="A429" s="50" t="s">
        <v>701</v>
      </c>
      <c r="B429" s="51" t="n">
        <v>45751</v>
      </c>
      <c r="C429" s="50" t="s">
        <v>188</v>
      </c>
      <c r="D429" s="39" t="str">
        <f aca="false">INDEX(Master_Customer!$B$2:$B$126,MATCH(C429,Master_Customer!$A$2:$A$126,0))</f>
        <v>MAJU GARAGE TIRTA</v>
      </c>
      <c r="E429" s="50" t="s">
        <v>32</v>
      </c>
      <c r="F429" s="52" t="n">
        <f aca="false">SUMIFS(Data_Penjualan!$G$2:$G$5998,Data_Penjualan!$A$2:$A$5998,A429)</f>
        <v>7687900</v>
      </c>
      <c r="G429" s="39" t="n">
        <f aca="false">IF(E429="KANTOR",0,INDEX(Master_Customer!$C$2:$C$126,MATCH(C429,Master_Customer!$A$2:$A$126,0)))</f>
        <v>0</v>
      </c>
      <c r="H429" s="53" t="n">
        <f aca="false">B429+G429</f>
        <v>45751</v>
      </c>
      <c r="J429" s="39" t="str">
        <f aca="false">IF(G429=0,"Tunai",IF(I429="","Belum ditukar","Sudah ditukar"))</f>
        <v>Tunai</v>
      </c>
      <c r="K429" s="54" t="n">
        <v>7687900</v>
      </c>
      <c r="L429" s="51" t="n">
        <v>45751</v>
      </c>
      <c r="M429" s="52" t="n">
        <f aca="false">F429-K429</f>
        <v>0</v>
      </c>
      <c r="N429" s="39" t="str">
        <f aca="false">IF(M429&lt;=0,"Lunas",IF(K429&gt;0,"Sebagian","Belum Bayar"))</f>
        <v>Lunas</v>
      </c>
      <c r="O429" s="39" t="n">
        <f aca="false">IF(M429&gt;0,MAX(0,Catatan!$B$3-H429),0)</f>
        <v>0</v>
      </c>
      <c r="P429" s="39" t="str">
        <f aca="false">IF(M429&lt;=0,"Lunas",IF(Catatan!$B$3&lt;=H429,"Belum Jatuh Tempo",IF(O429&lt;=30,"1-30 hari",IF(O429&lt;=60,"31-60 hari",IF(O429&lt;=90,"61-90 hari","90+ hari")))))</f>
        <v>Lunas</v>
      </c>
      <c r="Q429" s="50"/>
      <c r="R429" s="39" t="str">
        <f aca="false">IF(M429&lt;=0,"",IF(O429&gt;60,"1-Tinggi",IF(O429&gt;30,"2-Sedang",IF(O429&gt;0,"3-Rendah","4-Pantau"))))</f>
        <v/>
      </c>
      <c r="S429" s="39" t="str">
        <f aca="false">IF(AND(M429&gt;0,O429&gt;0),O429+M429/1000000000000+ROW()/1000000000000000,"")</f>
        <v/>
      </c>
      <c r="T429" s="39" t="str">
        <f aca="false">IF(J429="Belum ditukar",ROW(),"")</f>
        <v/>
      </c>
    </row>
    <row r="430" customFormat="false" ht="15" hidden="false" customHeight="false" outlineLevel="0" collapsed="false">
      <c r="A430" s="50" t="s">
        <v>702</v>
      </c>
      <c r="B430" s="51" t="n">
        <v>45751</v>
      </c>
      <c r="C430" s="50" t="s">
        <v>197</v>
      </c>
      <c r="D430" s="39" t="str">
        <f aca="false">INDEX(Master_Customer!$B$2:$B$126,MATCH(C430,Master_Customer!$A$2:$A$126,0))</f>
        <v>UTAMA LUBRICANT HARAPAN</v>
      </c>
      <c r="E430" s="50" t="s">
        <v>30</v>
      </c>
      <c r="F430" s="52" t="n">
        <f aca="false">SUMIFS(Data_Penjualan!$G$2:$G$5998,Data_Penjualan!$A$2:$A$5998,A430)</f>
        <v>6784100</v>
      </c>
      <c r="G430" s="39" t="n">
        <f aca="false">IF(E430="KANTOR",0,INDEX(Master_Customer!$C$2:$C$126,MATCH(C430,Master_Customer!$A$2:$A$126,0)))</f>
        <v>30</v>
      </c>
      <c r="H430" s="53" t="n">
        <f aca="false">B430+G430</f>
        <v>45781</v>
      </c>
      <c r="I430" s="51" t="n">
        <v>45753</v>
      </c>
      <c r="J430" s="39" t="str">
        <f aca="false">IF(G430=0,"Tunai",IF(I430="","Belum ditukar","Sudah ditukar"))</f>
        <v>Sudah ditukar</v>
      </c>
      <c r="K430" s="54" t="n">
        <v>6784100</v>
      </c>
      <c r="L430" s="51" t="n">
        <v>45779</v>
      </c>
      <c r="M430" s="52" t="n">
        <f aca="false">F430-K430</f>
        <v>0</v>
      </c>
      <c r="N430" s="39" t="str">
        <f aca="false">IF(M430&lt;=0,"Lunas",IF(K430&gt;0,"Sebagian","Belum Bayar"))</f>
        <v>Lunas</v>
      </c>
      <c r="O430" s="39" t="n">
        <f aca="false">IF(M430&gt;0,MAX(0,Catatan!$B$3-H430),0)</f>
        <v>0</v>
      </c>
      <c r="P430" s="39" t="str">
        <f aca="false">IF(M430&lt;=0,"Lunas",IF(Catatan!$B$3&lt;=H430,"Belum Jatuh Tempo",IF(O430&lt;=30,"1-30 hari",IF(O430&lt;=60,"31-60 hari",IF(O430&lt;=90,"61-90 hari","90+ hari")))))</f>
        <v>Lunas</v>
      </c>
      <c r="Q430" s="50"/>
      <c r="R430" s="39" t="str">
        <f aca="false">IF(M430&lt;=0,"",IF(O430&gt;60,"1-Tinggi",IF(O430&gt;30,"2-Sedang",IF(O430&gt;0,"3-Rendah","4-Pantau"))))</f>
        <v/>
      </c>
      <c r="S430" s="39" t="str">
        <f aca="false">IF(AND(M430&gt;0,O430&gt;0),O430+M430/1000000000000+ROW()/1000000000000000,"")</f>
        <v/>
      </c>
      <c r="T430" s="39" t="str">
        <f aca="false">IF(J430="Belum ditukar",ROW(),"")</f>
        <v/>
      </c>
    </row>
    <row r="431" customFormat="false" ht="15" hidden="false" customHeight="false" outlineLevel="0" collapsed="false">
      <c r="A431" s="50" t="s">
        <v>703</v>
      </c>
      <c r="B431" s="51" t="n">
        <v>45751</v>
      </c>
      <c r="C431" s="50" t="s">
        <v>358</v>
      </c>
      <c r="D431" s="39" t="str">
        <f aca="false">INDEX(Master_Customer!$B$2:$B$126,MATCH(C431,Master_Customer!$A$2:$A$126,0))</f>
        <v>HARAPAN TEKNIK</v>
      </c>
      <c r="E431" s="50" t="s">
        <v>32</v>
      </c>
      <c r="F431" s="52" t="n">
        <f aca="false">SUMIFS(Data_Penjualan!$G$2:$G$5998,Data_Penjualan!$A$2:$A$5998,A431)</f>
        <v>9970700</v>
      </c>
      <c r="G431" s="39" t="n">
        <f aca="false">IF(E431="KANTOR",0,INDEX(Master_Customer!$C$2:$C$126,MATCH(C431,Master_Customer!$A$2:$A$126,0)))</f>
        <v>0</v>
      </c>
      <c r="H431" s="53" t="n">
        <f aca="false">B431+G431</f>
        <v>45751</v>
      </c>
      <c r="J431" s="39" t="str">
        <f aca="false">IF(G431=0,"Tunai",IF(I431="","Belum ditukar","Sudah ditukar"))</f>
        <v>Tunai</v>
      </c>
      <c r="K431" s="54" t="n">
        <v>9970700</v>
      </c>
      <c r="L431" s="51" t="n">
        <v>45751</v>
      </c>
      <c r="M431" s="52" t="n">
        <f aca="false">F431-K431</f>
        <v>0</v>
      </c>
      <c r="N431" s="39" t="str">
        <f aca="false">IF(M431&lt;=0,"Lunas",IF(K431&gt;0,"Sebagian","Belum Bayar"))</f>
        <v>Lunas</v>
      </c>
      <c r="O431" s="39" t="n">
        <f aca="false">IF(M431&gt;0,MAX(0,Catatan!$B$3-H431),0)</f>
        <v>0</v>
      </c>
      <c r="P431" s="39" t="str">
        <f aca="false">IF(M431&lt;=0,"Lunas",IF(Catatan!$B$3&lt;=H431,"Belum Jatuh Tempo",IF(O431&lt;=30,"1-30 hari",IF(O431&lt;=60,"31-60 hari",IF(O431&lt;=90,"61-90 hari","90+ hari")))))</f>
        <v>Lunas</v>
      </c>
      <c r="Q431" s="50"/>
      <c r="R431" s="39" t="str">
        <f aca="false">IF(M431&lt;=0,"",IF(O431&gt;60,"1-Tinggi",IF(O431&gt;30,"2-Sedang",IF(O431&gt;0,"3-Rendah","4-Pantau"))))</f>
        <v/>
      </c>
      <c r="S431" s="39" t="str">
        <f aca="false">IF(AND(M431&gt;0,O431&gt;0),O431+M431/1000000000000+ROW()/1000000000000000,"")</f>
        <v/>
      </c>
      <c r="T431" s="39" t="str">
        <f aca="false">IF(J431="Belum ditukar",ROW(),"")</f>
        <v/>
      </c>
    </row>
    <row r="432" customFormat="false" ht="15" hidden="false" customHeight="false" outlineLevel="0" collapsed="false">
      <c r="A432" s="50" t="s">
        <v>704</v>
      </c>
      <c r="B432" s="51" t="n">
        <v>45751</v>
      </c>
      <c r="C432" s="50" t="s">
        <v>358</v>
      </c>
      <c r="D432" s="39" t="str">
        <f aca="false">INDEX(Master_Customer!$B$2:$B$126,MATCH(C432,Master_Customer!$A$2:$A$126,0))</f>
        <v>HARAPAN TEKNIK</v>
      </c>
      <c r="E432" s="50" t="s">
        <v>32</v>
      </c>
      <c r="F432" s="52" t="n">
        <f aca="false">SUMIFS(Data_Penjualan!$G$2:$G$5998,Data_Penjualan!$A$2:$A$5998,A432)</f>
        <v>8681900</v>
      </c>
      <c r="G432" s="39" t="n">
        <f aca="false">IF(E432="KANTOR",0,INDEX(Master_Customer!$C$2:$C$126,MATCH(C432,Master_Customer!$A$2:$A$126,0)))</f>
        <v>0</v>
      </c>
      <c r="H432" s="53" t="n">
        <f aca="false">B432+G432</f>
        <v>45751</v>
      </c>
      <c r="J432" s="39" t="str">
        <f aca="false">IF(G432=0,"Tunai",IF(I432="","Belum ditukar","Sudah ditukar"))</f>
        <v>Tunai</v>
      </c>
      <c r="K432" s="54" t="n">
        <v>8681900</v>
      </c>
      <c r="L432" s="51" t="n">
        <v>45751</v>
      </c>
      <c r="M432" s="52" t="n">
        <f aca="false">F432-K432</f>
        <v>0</v>
      </c>
      <c r="N432" s="39" t="str">
        <f aca="false">IF(M432&lt;=0,"Lunas",IF(K432&gt;0,"Sebagian","Belum Bayar"))</f>
        <v>Lunas</v>
      </c>
      <c r="O432" s="39" t="n">
        <f aca="false">IF(M432&gt;0,MAX(0,Catatan!$B$3-H432),0)</f>
        <v>0</v>
      </c>
      <c r="P432" s="39" t="str">
        <f aca="false">IF(M432&lt;=0,"Lunas",IF(Catatan!$B$3&lt;=H432,"Belum Jatuh Tempo",IF(O432&lt;=30,"1-30 hari",IF(O432&lt;=60,"31-60 hari",IF(O432&lt;=90,"61-90 hari","90+ hari")))))</f>
        <v>Lunas</v>
      </c>
      <c r="Q432" s="50"/>
      <c r="R432" s="39" t="str">
        <f aca="false">IF(M432&lt;=0,"",IF(O432&gt;60,"1-Tinggi",IF(O432&gt;30,"2-Sedang",IF(O432&gt;0,"3-Rendah","4-Pantau"))))</f>
        <v/>
      </c>
      <c r="S432" s="39" t="str">
        <f aca="false">IF(AND(M432&gt;0,O432&gt;0),O432+M432/1000000000000+ROW()/1000000000000000,"")</f>
        <v/>
      </c>
      <c r="T432" s="39" t="str">
        <f aca="false">IF(J432="Belum ditukar",ROW(),"")</f>
        <v/>
      </c>
    </row>
    <row r="433" customFormat="false" ht="15" hidden="false" customHeight="false" outlineLevel="0" collapsed="false">
      <c r="A433" s="50" t="s">
        <v>705</v>
      </c>
      <c r="B433" s="51" t="n">
        <v>45752</v>
      </c>
      <c r="C433" s="50" t="s">
        <v>447</v>
      </c>
      <c r="D433" s="39" t="str">
        <f aca="false">INDEX(Master_Customer!$B$2:$B$126,MATCH(C433,Master_Customer!$A$2:$A$126,0))</f>
        <v>PRIMA LUBRICANT</v>
      </c>
      <c r="E433" s="50" t="s">
        <v>28</v>
      </c>
      <c r="F433" s="52" t="n">
        <f aca="false">SUMIFS(Data_Penjualan!$G$2:$G$5998,Data_Penjualan!$A$2:$A$5998,A433)</f>
        <v>12296200</v>
      </c>
      <c r="G433" s="39" t="n">
        <f aca="false">IF(E433="KANTOR",0,INDEX(Master_Customer!$C$2:$C$126,MATCH(C433,Master_Customer!$A$2:$A$126,0)))</f>
        <v>30</v>
      </c>
      <c r="H433" s="53" t="n">
        <f aca="false">B433+G433</f>
        <v>45782</v>
      </c>
      <c r="I433" s="51" t="n">
        <v>45755</v>
      </c>
      <c r="J433" s="39" t="str">
        <f aca="false">IF(G433=0,"Tunai",IF(I433="","Belum ditukar","Sudah ditukar"))</f>
        <v>Sudah ditukar</v>
      </c>
      <c r="K433" s="54" t="n">
        <v>12296200</v>
      </c>
      <c r="L433" s="51" t="n">
        <v>45786</v>
      </c>
      <c r="M433" s="52" t="n">
        <f aca="false">F433-K433</f>
        <v>0</v>
      </c>
      <c r="N433" s="39" t="str">
        <f aca="false">IF(M433&lt;=0,"Lunas",IF(K433&gt;0,"Sebagian","Belum Bayar"))</f>
        <v>Lunas</v>
      </c>
      <c r="O433" s="39" t="n">
        <f aca="false">IF(M433&gt;0,MAX(0,Catatan!$B$3-H433),0)</f>
        <v>0</v>
      </c>
      <c r="P433" s="39" t="str">
        <f aca="false">IF(M433&lt;=0,"Lunas",IF(Catatan!$B$3&lt;=H433,"Belum Jatuh Tempo",IF(O433&lt;=30,"1-30 hari",IF(O433&lt;=60,"31-60 hari",IF(O433&lt;=90,"61-90 hari","90+ hari")))))</f>
        <v>Lunas</v>
      </c>
      <c r="Q433" s="50"/>
      <c r="R433" s="39" t="str">
        <f aca="false">IF(M433&lt;=0,"",IF(O433&gt;60,"1-Tinggi",IF(O433&gt;30,"2-Sedang",IF(O433&gt;0,"3-Rendah","4-Pantau"))))</f>
        <v/>
      </c>
      <c r="S433" s="39" t="str">
        <f aca="false">IF(AND(M433&gt;0,O433&gt;0),O433+M433/1000000000000+ROW()/1000000000000000,"")</f>
        <v/>
      </c>
      <c r="T433" s="39" t="str">
        <f aca="false">IF(J433="Belum ditukar",ROW(),"")</f>
        <v/>
      </c>
    </row>
    <row r="434" customFormat="false" ht="15" hidden="false" customHeight="false" outlineLevel="0" collapsed="false">
      <c r="A434" s="50" t="s">
        <v>706</v>
      </c>
      <c r="B434" s="51" t="n">
        <v>45752</v>
      </c>
      <c r="C434" s="50" t="s">
        <v>170</v>
      </c>
      <c r="D434" s="39" t="str">
        <f aca="false">INDEX(Master_Customer!$B$2:$B$126,MATCH(C434,Master_Customer!$A$2:$A$126,0))</f>
        <v>HARAPAN MOTOR</v>
      </c>
      <c r="E434" s="50" t="s">
        <v>30</v>
      </c>
      <c r="F434" s="52" t="n">
        <f aca="false">SUMIFS(Data_Penjualan!$G$2:$G$5998,Data_Penjualan!$A$2:$A$5998,A434)</f>
        <v>8852500</v>
      </c>
      <c r="G434" s="39" t="n">
        <f aca="false">IF(E434="KANTOR",0,INDEX(Master_Customer!$C$2:$C$126,MATCH(C434,Master_Customer!$A$2:$A$126,0)))</f>
        <v>45</v>
      </c>
      <c r="H434" s="53" t="n">
        <f aca="false">B434+G434</f>
        <v>45797</v>
      </c>
      <c r="I434" s="51" t="n">
        <v>45756</v>
      </c>
      <c r="J434" s="39" t="str">
        <f aca="false">IF(G434=0,"Tunai",IF(I434="","Belum ditukar","Sudah ditukar"))</f>
        <v>Sudah ditukar</v>
      </c>
      <c r="K434" s="54" t="n">
        <v>8852500</v>
      </c>
      <c r="L434" s="51" t="n">
        <v>45800</v>
      </c>
      <c r="M434" s="52" t="n">
        <f aca="false">F434-K434</f>
        <v>0</v>
      </c>
      <c r="N434" s="39" t="str">
        <f aca="false">IF(M434&lt;=0,"Lunas",IF(K434&gt;0,"Sebagian","Belum Bayar"))</f>
        <v>Lunas</v>
      </c>
      <c r="O434" s="39" t="n">
        <f aca="false">IF(M434&gt;0,MAX(0,Catatan!$B$3-H434),0)</f>
        <v>0</v>
      </c>
      <c r="P434" s="39" t="str">
        <f aca="false">IF(M434&lt;=0,"Lunas",IF(Catatan!$B$3&lt;=H434,"Belum Jatuh Tempo",IF(O434&lt;=30,"1-30 hari",IF(O434&lt;=60,"31-60 hari",IF(O434&lt;=90,"61-90 hari","90+ hari")))))</f>
        <v>Lunas</v>
      </c>
      <c r="Q434" s="50"/>
      <c r="R434" s="39" t="str">
        <f aca="false">IF(M434&lt;=0,"",IF(O434&gt;60,"1-Tinggi",IF(O434&gt;30,"2-Sedang",IF(O434&gt;0,"3-Rendah","4-Pantau"))))</f>
        <v/>
      </c>
      <c r="S434" s="39" t="str">
        <f aca="false">IF(AND(M434&gt;0,O434&gt;0),O434+M434/1000000000000+ROW()/1000000000000000,"")</f>
        <v/>
      </c>
      <c r="T434" s="39" t="str">
        <f aca="false">IF(J434="Belum ditukar",ROW(),"")</f>
        <v/>
      </c>
    </row>
    <row r="435" customFormat="false" ht="15" hidden="false" customHeight="false" outlineLevel="0" collapsed="false">
      <c r="A435" s="50" t="s">
        <v>707</v>
      </c>
      <c r="B435" s="51" t="n">
        <v>45752</v>
      </c>
      <c r="C435" s="50" t="s">
        <v>271</v>
      </c>
      <c r="D435" s="39" t="str">
        <f aca="false">INDEX(Master_Customer!$B$2:$B$126,MATCH(C435,Master_Customer!$A$2:$A$126,0))</f>
        <v>CAHAYA MOTOR</v>
      </c>
      <c r="E435" s="50" t="s">
        <v>28</v>
      </c>
      <c r="F435" s="52" t="n">
        <f aca="false">SUMIFS(Data_Penjualan!$G$2:$G$5998,Data_Penjualan!$A$2:$A$5998,A435)</f>
        <v>892800</v>
      </c>
      <c r="G435" s="39" t="n">
        <f aca="false">IF(E435="KANTOR",0,INDEX(Master_Customer!$C$2:$C$126,MATCH(C435,Master_Customer!$A$2:$A$126,0)))</f>
        <v>14</v>
      </c>
      <c r="H435" s="53" t="n">
        <f aca="false">B435+G435</f>
        <v>45766</v>
      </c>
      <c r="I435" s="51" t="n">
        <v>45754</v>
      </c>
      <c r="J435" s="39" t="str">
        <f aca="false">IF(G435=0,"Tunai",IF(I435="","Belum ditukar","Sudah ditukar"))</f>
        <v>Sudah ditukar</v>
      </c>
      <c r="K435" s="54" t="n">
        <v>892800</v>
      </c>
      <c r="L435" s="51" t="n">
        <v>45758</v>
      </c>
      <c r="M435" s="52" t="n">
        <f aca="false">F435-K435</f>
        <v>0</v>
      </c>
      <c r="N435" s="39" t="str">
        <f aca="false">IF(M435&lt;=0,"Lunas",IF(K435&gt;0,"Sebagian","Belum Bayar"))</f>
        <v>Lunas</v>
      </c>
      <c r="O435" s="39" t="n">
        <f aca="false">IF(M435&gt;0,MAX(0,Catatan!$B$3-H435),0)</f>
        <v>0</v>
      </c>
      <c r="P435" s="39" t="str">
        <f aca="false">IF(M435&lt;=0,"Lunas",IF(Catatan!$B$3&lt;=H435,"Belum Jatuh Tempo",IF(O435&lt;=30,"1-30 hari",IF(O435&lt;=60,"31-60 hari",IF(O435&lt;=90,"61-90 hari","90+ hari")))))</f>
        <v>Lunas</v>
      </c>
      <c r="Q435" s="50"/>
      <c r="R435" s="39" t="str">
        <f aca="false">IF(M435&lt;=0,"",IF(O435&gt;60,"1-Tinggi",IF(O435&gt;30,"2-Sedang",IF(O435&gt;0,"3-Rendah","4-Pantau"))))</f>
        <v/>
      </c>
      <c r="S435" s="39" t="str">
        <f aca="false">IF(AND(M435&gt;0,O435&gt;0),O435+M435/1000000000000+ROW()/1000000000000000,"")</f>
        <v/>
      </c>
      <c r="T435" s="39" t="str">
        <f aca="false">IF(J435="Belum ditukar",ROW(),"")</f>
        <v/>
      </c>
    </row>
    <row r="436" customFormat="false" ht="15" hidden="false" customHeight="false" outlineLevel="0" collapsed="false">
      <c r="A436" s="50" t="s">
        <v>708</v>
      </c>
      <c r="B436" s="51" t="n">
        <v>45752</v>
      </c>
      <c r="C436" s="50" t="s">
        <v>358</v>
      </c>
      <c r="D436" s="39" t="str">
        <f aca="false">INDEX(Master_Customer!$B$2:$B$126,MATCH(C436,Master_Customer!$A$2:$A$126,0))</f>
        <v>HARAPAN TEKNIK</v>
      </c>
      <c r="E436" s="50" t="s">
        <v>32</v>
      </c>
      <c r="F436" s="52" t="n">
        <f aca="false">SUMIFS(Data_Penjualan!$G$2:$G$5998,Data_Penjualan!$A$2:$A$5998,A436)</f>
        <v>15158600</v>
      </c>
      <c r="G436" s="39" t="n">
        <f aca="false">IF(E436="KANTOR",0,INDEX(Master_Customer!$C$2:$C$126,MATCH(C436,Master_Customer!$A$2:$A$126,0)))</f>
        <v>0</v>
      </c>
      <c r="H436" s="53" t="n">
        <f aca="false">B436+G436</f>
        <v>45752</v>
      </c>
      <c r="J436" s="39" t="str">
        <f aca="false">IF(G436=0,"Tunai",IF(I436="","Belum ditukar","Sudah ditukar"))</f>
        <v>Tunai</v>
      </c>
      <c r="K436" s="54" t="n">
        <v>15158600</v>
      </c>
      <c r="L436" s="51" t="n">
        <v>45752</v>
      </c>
      <c r="M436" s="52" t="n">
        <f aca="false">F436-K436</f>
        <v>0</v>
      </c>
      <c r="N436" s="39" t="str">
        <f aca="false">IF(M436&lt;=0,"Lunas",IF(K436&gt;0,"Sebagian","Belum Bayar"))</f>
        <v>Lunas</v>
      </c>
      <c r="O436" s="39" t="n">
        <f aca="false">IF(M436&gt;0,MAX(0,Catatan!$B$3-H436),0)</f>
        <v>0</v>
      </c>
      <c r="P436" s="39" t="str">
        <f aca="false">IF(M436&lt;=0,"Lunas",IF(Catatan!$B$3&lt;=H436,"Belum Jatuh Tempo",IF(O436&lt;=30,"1-30 hari",IF(O436&lt;=60,"31-60 hari",IF(O436&lt;=90,"61-90 hari","90+ hari")))))</f>
        <v>Lunas</v>
      </c>
      <c r="Q436" s="50"/>
      <c r="R436" s="39" t="str">
        <f aca="false">IF(M436&lt;=0,"",IF(O436&gt;60,"1-Tinggi",IF(O436&gt;30,"2-Sedang",IF(O436&gt;0,"3-Rendah","4-Pantau"))))</f>
        <v/>
      </c>
      <c r="S436" s="39" t="str">
        <f aca="false">IF(AND(M436&gt;0,O436&gt;0),O436+M436/1000000000000+ROW()/1000000000000000,"")</f>
        <v/>
      </c>
      <c r="T436" s="39" t="str">
        <f aca="false">IF(J436="Belum ditukar",ROW(),"")</f>
        <v/>
      </c>
    </row>
    <row r="437" customFormat="false" ht="15" hidden="false" customHeight="false" outlineLevel="0" collapsed="false">
      <c r="A437" s="50" t="s">
        <v>709</v>
      </c>
      <c r="B437" s="51" t="n">
        <v>45752</v>
      </c>
      <c r="C437" s="50" t="s">
        <v>317</v>
      </c>
      <c r="D437" s="39" t="str">
        <f aca="false">INDEX(Master_Customer!$B$2:$B$126,MATCH(C437,Master_Customer!$A$2:$A$126,0))</f>
        <v>MAKMUR MOTOR JAYA</v>
      </c>
      <c r="E437" s="50" t="s">
        <v>29</v>
      </c>
      <c r="F437" s="52" t="n">
        <f aca="false">SUMIFS(Data_Penjualan!$G$2:$G$5998,Data_Penjualan!$A$2:$A$5998,A437)</f>
        <v>6576200</v>
      </c>
      <c r="G437" s="39" t="n">
        <f aca="false">IF(E437="KANTOR",0,INDEX(Master_Customer!$C$2:$C$126,MATCH(C437,Master_Customer!$A$2:$A$126,0)))</f>
        <v>0</v>
      </c>
      <c r="H437" s="53" t="n">
        <f aca="false">B437+G437</f>
        <v>45752</v>
      </c>
      <c r="J437" s="39" t="str">
        <f aca="false">IF(G437=0,"Tunai",IF(I437="","Belum ditukar","Sudah ditukar"))</f>
        <v>Tunai</v>
      </c>
      <c r="K437" s="54" t="n">
        <v>6576200</v>
      </c>
      <c r="L437" s="51" t="n">
        <v>45752</v>
      </c>
      <c r="M437" s="52" t="n">
        <f aca="false">F437-K437</f>
        <v>0</v>
      </c>
      <c r="N437" s="39" t="str">
        <f aca="false">IF(M437&lt;=0,"Lunas",IF(K437&gt;0,"Sebagian","Belum Bayar"))</f>
        <v>Lunas</v>
      </c>
      <c r="O437" s="39" t="n">
        <f aca="false">IF(M437&gt;0,MAX(0,Catatan!$B$3-H437),0)</f>
        <v>0</v>
      </c>
      <c r="P437" s="39" t="str">
        <f aca="false">IF(M437&lt;=0,"Lunas",IF(Catatan!$B$3&lt;=H437,"Belum Jatuh Tempo",IF(O437&lt;=30,"1-30 hari",IF(O437&lt;=60,"31-60 hari",IF(O437&lt;=90,"61-90 hari","90+ hari")))))</f>
        <v>Lunas</v>
      </c>
      <c r="Q437" s="50"/>
      <c r="R437" s="39" t="str">
        <f aca="false">IF(M437&lt;=0,"",IF(O437&gt;60,"1-Tinggi",IF(O437&gt;30,"2-Sedang",IF(O437&gt;0,"3-Rendah","4-Pantau"))))</f>
        <v/>
      </c>
      <c r="S437" s="39" t="str">
        <f aca="false">IF(AND(M437&gt;0,O437&gt;0),O437+M437/1000000000000+ROW()/1000000000000000,"")</f>
        <v/>
      </c>
      <c r="T437" s="39" t="str">
        <f aca="false">IF(J437="Belum ditukar",ROW(),"")</f>
        <v/>
      </c>
    </row>
    <row r="438" customFormat="false" ht="15" hidden="false" customHeight="false" outlineLevel="0" collapsed="false">
      <c r="A438" s="50" t="s">
        <v>710</v>
      </c>
      <c r="B438" s="51" t="n">
        <v>45752</v>
      </c>
      <c r="C438" s="50" t="s">
        <v>562</v>
      </c>
      <c r="D438" s="39" t="str">
        <f aca="false">INDEX(Master_Customer!$B$2:$B$126,MATCH(C438,Master_Customer!$A$2:$A$126,0))</f>
        <v>BERKAH SERVICE SENTOSA</v>
      </c>
      <c r="E438" s="50" t="s">
        <v>28</v>
      </c>
      <c r="F438" s="52" t="n">
        <f aca="false">SUMIFS(Data_Penjualan!$G$2:$G$5998,Data_Penjualan!$A$2:$A$5998,A438)</f>
        <v>7105600</v>
      </c>
      <c r="G438" s="39" t="n">
        <f aca="false">IF(E438="KANTOR",0,INDEX(Master_Customer!$C$2:$C$126,MATCH(C438,Master_Customer!$A$2:$A$126,0)))</f>
        <v>14</v>
      </c>
      <c r="H438" s="53" t="n">
        <f aca="false">B438+G438</f>
        <v>45766</v>
      </c>
      <c r="I438" s="51" t="n">
        <v>45753</v>
      </c>
      <c r="J438" s="39" t="str">
        <f aca="false">IF(G438=0,"Tunai",IF(I438="","Belum ditukar","Sudah ditukar"))</f>
        <v>Sudah ditukar</v>
      </c>
      <c r="K438" s="54" t="n">
        <v>7105600</v>
      </c>
      <c r="L438" s="51" t="n">
        <v>45778</v>
      </c>
      <c r="M438" s="52" t="n">
        <f aca="false">F438-K438</f>
        <v>0</v>
      </c>
      <c r="N438" s="39" t="str">
        <f aca="false">IF(M438&lt;=0,"Lunas",IF(K438&gt;0,"Sebagian","Belum Bayar"))</f>
        <v>Lunas</v>
      </c>
      <c r="O438" s="39" t="n">
        <f aca="false">IF(M438&gt;0,MAX(0,Catatan!$B$3-H438),0)</f>
        <v>0</v>
      </c>
      <c r="P438" s="39" t="str">
        <f aca="false">IF(M438&lt;=0,"Lunas",IF(Catatan!$B$3&lt;=H438,"Belum Jatuh Tempo",IF(O438&lt;=30,"1-30 hari",IF(O438&lt;=60,"31-60 hari",IF(O438&lt;=90,"61-90 hari","90+ hari")))))</f>
        <v>Lunas</v>
      </c>
      <c r="Q438" s="50"/>
      <c r="R438" s="39" t="str">
        <f aca="false">IF(M438&lt;=0,"",IF(O438&gt;60,"1-Tinggi",IF(O438&gt;30,"2-Sedang",IF(O438&gt;0,"3-Rendah","4-Pantau"))))</f>
        <v/>
      </c>
      <c r="S438" s="39" t="str">
        <f aca="false">IF(AND(M438&gt;0,O438&gt;0),O438+M438/1000000000000+ROW()/1000000000000000,"")</f>
        <v/>
      </c>
      <c r="T438" s="39" t="str">
        <f aca="false">IF(J438="Belum ditukar",ROW(),"")</f>
        <v/>
      </c>
    </row>
    <row r="439" customFormat="false" ht="15" hidden="false" customHeight="false" outlineLevel="0" collapsed="false">
      <c r="A439" s="50" t="s">
        <v>711</v>
      </c>
      <c r="B439" s="51" t="n">
        <v>45754</v>
      </c>
      <c r="C439" s="50" t="s">
        <v>174</v>
      </c>
      <c r="D439" s="39" t="str">
        <f aca="false">INDEX(Master_Customer!$B$2:$B$126,MATCH(C439,Master_Customer!$A$2:$A$126,0))</f>
        <v>SUMBER TEKNIK SURYA</v>
      </c>
      <c r="E439" s="50" t="s">
        <v>31</v>
      </c>
      <c r="F439" s="52" t="n">
        <f aca="false">SUMIFS(Data_Penjualan!$G$2:$G$5998,Data_Penjualan!$A$2:$A$5998,A439)</f>
        <v>9094400</v>
      </c>
      <c r="G439" s="39" t="n">
        <f aca="false">IF(E439="KANTOR",0,INDEX(Master_Customer!$C$2:$C$126,MATCH(C439,Master_Customer!$A$2:$A$126,0)))</f>
        <v>30</v>
      </c>
      <c r="H439" s="53" t="n">
        <f aca="false">B439+G439</f>
        <v>45784</v>
      </c>
      <c r="I439" s="51" t="n">
        <v>45759</v>
      </c>
      <c r="J439" s="39" t="str">
        <f aca="false">IF(G439=0,"Tunai",IF(I439="","Belum ditukar","Sudah ditukar"))</f>
        <v>Sudah ditukar</v>
      </c>
      <c r="K439" s="54" t="n">
        <v>3951500</v>
      </c>
      <c r="L439" s="51" t="n">
        <v>45785</v>
      </c>
      <c r="M439" s="52" t="n">
        <f aca="false">F439-K439</f>
        <v>5142900</v>
      </c>
      <c r="N439" s="39" t="str">
        <f aca="false">IF(M439&lt;=0,"Lunas",IF(K439&gt;0,"Sebagian","Belum Bayar"))</f>
        <v>Sebagian</v>
      </c>
      <c r="O439" s="39" t="n">
        <f aca="false">IF(M439&gt;0,MAX(0,Catatan!$B$3-H439),0)</f>
        <v>238</v>
      </c>
      <c r="P439" s="39" t="str">
        <f aca="false">IF(M439&lt;=0,"Lunas",IF(Catatan!$B$3&lt;=H439,"Belum Jatuh Tempo",IF(O439&lt;=30,"1-30 hari",IF(O439&lt;=60,"31-60 hari",IF(O439&lt;=90,"61-90 hari","90+ hari")))))</f>
        <v>90+ hari</v>
      </c>
      <c r="Q439" s="50" t="s">
        <v>712</v>
      </c>
      <c r="R439" s="39" t="str">
        <f aca="false">IF(M439&lt;=0,"",IF(O439&gt;60,"1-Tinggi",IF(O439&gt;30,"2-Sedang",IF(O439&gt;0,"3-Rendah","4-Pantau"))))</f>
        <v>1-Tinggi</v>
      </c>
      <c r="S439" s="39" t="n">
        <f aca="false">IF(AND(M439&gt;0,O439&gt;0),O439+M439/1000000000000+ROW()/1000000000000000,"")</f>
        <v>238.0000051429</v>
      </c>
      <c r="T439" s="39" t="str">
        <f aca="false">IF(J439="Belum ditukar",ROW(),"")</f>
        <v/>
      </c>
    </row>
    <row r="440" customFormat="false" ht="15" hidden="false" customHeight="false" outlineLevel="0" collapsed="false">
      <c r="A440" s="50" t="s">
        <v>713</v>
      </c>
      <c r="B440" s="51" t="n">
        <v>45754</v>
      </c>
      <c r="C440" s="50" t="s">
        <v>714</v>
      </c>
      <c r="D440" s="39" t="str">
        <f aca="false">INDEX(Master_Customer!$B$2:$B$126,MATCH(C440,Master_Customer!$A$2:$A$126,0))</f>
        <v>KARYA MOBIL CAHAYA</v>
      </c>
      <c r="E440" s="50" t="s">
        <v>31</v>
      </c>
      <c r="F440" s="52" t="n">
        <f aca="false">SUMIFS(Data_Penjualan!$G$2:$G$5998,Data_Penjualan!$A$2:$A$5998,A440)</f>
        <v>11497000</v>
      </c>
      <c r="G440" s="39" t="n">
        <f aca="false">IF(E440="KANTOR",0,INDEX(Master_Customer!$C$2:$C$126,MATCH(C440,Master_Customer!$A$2:$A$126,0)))</f>
        <v>30</v>
      </c>
      <c r="H440" s="53" t="n">
        <f aca="false">B440+G440</f>
        <v>45784</v>
      </c>
      <c r="I440" s="51" t="n">
        <v>45758</v>
      </c>
      <c r="J440" s="39" t="str">
        <f aca="false">IF(G440=0,"Tunai",IF(I440="","Belum ditukar","Sudah ditukar"))</f>
        <v>Sudah ditukar</v>
      </c>
      <c r="K440" s="54" t="n">
        <v>11497000</v>
      </c>
      <c r="L440" s="51" t="n">
        <v>45784</v>
      </c>
      <c r="M440" s="52" t="n">
        <f aca="false">F440-K440</f>
        <v>0</v>
      </c>
      <c r="N440" s="39" t="str">
        <f aca="false">IF(M440&lt;=0,"Lunas",IF(K440&gt;0,"Sebagian","Belum Bayar"))</f>
        <v>Lunas</v>
      </c>
      <c r="O440" s="39" t="n">
        <f aca="false">IF(M440&gt;0,MAX(0,Catatan!$B$3-H440),0)</f>
        <v>0</v>
      </c>
      <c r="P440" s="39" t="str">
        <f aca="false">IF(M440&lt;=0,"Lunas",IF(Catatan!$B$3&lt;=H440,"Belum Jatuh Tempo",IF(O440&lt;=30,"1-30 hari",IF(O440&lt;=60,"31-60 hari",IF(O440&lt;=90,"61-90 hari","90+ hari")))))</f>
        <v>Lunas</v>
      </c>
      <c r="Q440" s="50"/>
      <c r="R440" s="39" t="str">
        <f aca="false">IF(M440&lt;=0,"",IF(O440&gt;60,"1-Tinggi",IF(O440&gt;30,"2-Sedang",IF(O440&gt;0,"3-Rendah","4-Pantau"))))</f>
        <v/>
      </c>
      <c r="S440" s="39" t="str">
        <f aca="false">IF(AND(M440&gt;0,O440&gt;0),O440+M440/1000000000000+ROW()/1000000000000000,"")</f>
        <v/>
      </c>
      <c r="T440" s="39" t="str">
        <f aca="false">IF(J440="Belum ditukar",ROW(),"")</f>
        <v/>
      </c>
    </row>
    <row r="441" customFormat="false" ht="15" hidden="false" customHeight="false" outlineLevel="0" collapsed="false">
      <c r="A441" s="50" t="s">
        <v>715</v>
      </c>
      <c r="B441" s="51" t="n">
        <v>45754</v>
      </c>
      <c r="C441" s="50" t="s">
        <v>179</v>
      </c>
      <c r="D441" s="39" t="str">
        <f aca="false">INDEX(Master_Customer!$B$2:$B$126,MATCH(C441,Master_Customer!$A$2:$A$126,0))</f>
        <v>BINTANG TEKNIK SURYA</v>
      </c>
      <c r="E441" s="50" t="s">
        <v>29</v>
      </c>
      <c r="F441" s="52" t="n">
        <f aca="false">SUMIFS(Data_Penjualan!$G$2:$G$5998,Data_Penjualan!$A$2:$A$5998,A441)</f>
        <v>15170300</v>
      </c>
      <c r="G441" s="39" t="n">
        <f aca="false">IF(E441="KANTOR",0,INDEX(Master_Customer!$C$2:$C$126,MATCH(C441,Master_Customer!$A$2:$A$126,0)))</f>
        <v>45</v>
      </c>
      <c r="H441" s="53" t="n">
        <f aca="false">B441+G441</f>
        <v>45799</v>
      </c>
      <c r="I441" s="51" t="n">
        <v>45759</v>
      </c>
      <c r="J441" s="39" t="str">
        <f aca="false">IF(G441=0,"Tunai",IF(I441="","Belum ditukar","Sudah ditukar"))</f>
        <v>Sudah ditukar</v>
      </c>
      <c r="K441" s="54" t="n">
        <v>15170300</v>
      </c>
      <c r="L441" s="51" t="n">
        <v>45796</v>
      </c>
      <c r="M441" s="52" t="n">
        <f aca="false">F441-K441</f>
        <v>0</v>
      </c>
      <c r="N441" s="39" t="str">
        <f aca="false">IF(M441&lt;=0,"Lunas",IF(K441&gt;0,"Sebagian","Belum Bayar"))</f>
        <v>Lunas</v>
      </c>
      <c r="O441" s="39" t="n">
        <f aca="false">IF(M441&gt;0,MAX(0,Catatan!$B$3-H441),0)</f>
        <v>0</v>
      </c>
      <c r="P441" s="39" t="str">
        <f aca="false">IF(M441&lt;=0,"Lunas",IF(Catatan!$B$3&lt;=H441,"Belum Jatuh Tempo",IF(O441&lt;=30,"1-30 hari",IF(O441&lt;=60,"31-60 hari",IF(O441&lt;=90,"61-90 hari","90+ hari")))))</f>
        <v>Lunas</v>
      </c>
      <c r="Q441" s="50"/>
      <c r="R441" s="39" t="str">
        <f aca="false">IF(M441&lt;=0,"",IF(O441&gt;60,"1-Tinggi",IF(O441&gt;30,"2-Sedang",IF(O441&gt;0,"3-Rendah","4-Pantau"))))</f>
        <v/>
      </c>
      <c r="S441" s="39" t="str">
        <f aca="false">IF(AND(M441&gt;0,O441&gt;0),O441+M441/1000000000000+ROW()/1000000000000000,"")</f>
        <v/>
      </c>
      <c r="T441" s="39" t="str">
        <f aca="false">IF(J441="Belum ditukar",ROW(),"")</f>
        <v/>
      </c>
    </row>
    <row r="442" customFormat="false" ht="15" hidden="false" customHeight="false" outlineLevel="0" collapsed="false">
      <c r="A442" s="50" t="s">
        <v>716</v>
      </c>
      <c r="B442" s="51" t="n">
        <v>45754</v>
      </c>
      <c r="C442" s="50" t="s">
        <v>241</v>
      </c>
      <c r="D442" s="39" t="str">
        <f aca="false">INDEX(Master_Customer!$B$2:$B$126,MATCH(C442,Master_Customer!$A$2:$A$126,0))</f>
        <v>GEMILANG GARAGE TIRTA</v>
      </c>
      <c r="E442" s="50" t="s">
        <v>29</v>
      </c>
      <c r="F442" s="52" t="n">
        <f aca="false">SUMIFS(Data_Penjualan!$G$2:$G$5998,Data_Penjualan!$A$2:$A$5998,A442)</f>
        <v>15076300</v>
      </c>
      <c r="G442" s="39" t="n">
        <f aca="false">IF(E442="KANTOR",0,INDEX(Master_Customer!$C$2:$C$126,MATCH(C442,Master_Customer!$A$2:$A$126,0)))</f>
        <v>14</v>
      </c>
      <c r="H442" s="53" t="n">
        <f aca="false">B442+G442</f>
        <v>45768</v>
      </c>
      <c r="I442" s="51" t="n">
        <v>45759</v>
      </c>
      <c r="J442" s="39" t="str">
        <f aca="false">IF(G442=0,"Tunai",IF(I442="","Belum ditukar","Sudah ditukar"))</f>
        <v>Sudah ditukar</v>
      </c>
      <c r="K442" s="54" t="n">
        <v>15076300</v>
      </c>
      <c r="L442" s="51" t="n">
        <v>45774</v>
      </c>
      <c r="M442" s="52" t="n">
        <f aca="false">F442-K442</f>
        <v>0</v>
      </c>
      <c r="N442" s="39" t="str">
        <f aca="false">IF(M442&lt;=0,"Lunas",IF(K442&gt;0,"Sebagian","Belum Bayar"))</f>
        <v>Lunas</v>
      </c>
      <c r="O442" s="39" t="n">
        <f aca="false">IF(M442&gt;0,MAX(0,Catatan!$B$3-H442),0)</f>
        <v>0</v>
      </c>
      <c r="P442" s="39" t="str">
        <f aca="false">IF(M442&lt;=0,"Lunas",IF(Catatan!$B$3&lt;=H442,"Belum Jatuh Tempo",IF(O442&lt;=30,"1-30 hari",IF(O442&lt;=60,"31-60 hari",IF(O442&lt;=90,"61-90 hari","90+ hari")))))</f>
        <v>Lunas</v>
      </c>
      <c r="Q442" s="50"/>
      <c r="R442" s="39" t="str">
        <f aca="false">IF(M442&lt;=0,"",IF(O442&gt;60,"1-Tinggi",IF(O442&gt;30,"2-Sedang",IF(O442&gt;0,"3-Rendah","4-Pantau"))))</f>
        <v/>
      </c>
      <c r="S442" s="39" t="str">
        <f aca="false">IF(AND(M442&gt;0,O442&gt;0),O442+M442/1000000000000+ROW()/1000000000000000,"")</f>
        <v/>
      </c>
      <c r="T442" s="39" t="str">
        <f aca="false">IF(J442="Belum ditukar",ROW(),"")</f>
        <v/>
      </c>
    </row>
    <row r="443" customFormat="false" ht="15" hidden="false" customHeight="false" outlineLevel="0" collapsed="false">
      <c r="A443" s="50" t="s">
        <v>717</v>
      </c>
      <c r="B443" s="51" t="n">
        <v>45754</v>
      </c>
      <c r="C443" s="50" t="s">
        <v>216</v>
      </c>
      <c r="D443" s="39" t="str">
        <f aca="false">INDEX(Master_Customer!$B$2:$B$126,MATCH(C443,Master_Customer!$A$2:$A$126,0))</f>
        <v>SINAR MOTOR UTAMA</v>
      </c>
      <c r="E443" s="50" t="s">
        <v>30</v>
      </c>
      <c r="F443" s="52" t="n">
        <f aca="false">SUMIFS(Data_Penjualan!$G$2:$G$5998,Data_Penjualan!$A$2:$A$5998,A443)</f>
        <v>3084600</v>
      </c>
      <c r="G443" s="39" t="n">
        <f aca="false">IF(E443="KANTOR",0,INDEX(Master_Customer!$C$2:$C$126,MATCH(C443,Master_Customer!$A$2:$A$126,0)))</f>
        <v>0</v>
      </c>
      <c r="H443" s="53" t="n">
        <f aca="false">B443+G443</f>
        <v>45754</v>
      </c>
      <c r="J443" s="39" t="str">
        <f aca="false">IF(G443=0,"Tunai",IF(I443="","Belum ditukar","Sudah ditukar"))</f>
        <v>Tunai</v>
      </c>
      <c r="K443" s="54" t="n">
        <v>3084600</v>
      </c>
      <c r="L443" s="51" t="n">
        <v>45754</v>
      </c>
      <c r="M443" s="52" t="n">
        <f aca="false">F443-K443</f>
        <v>0</v>
      </c>
      <c r="N443" s="39" t="str">
        <f aca="false">IF(M443&lt;=0,"Lunas",IF(K443&gt;0,"Sebagian","Belum Bayar"))</f>
        <v>Lunas</v>
      </c>
      <c r="O443" s="39" t="n">
        <f aca="false">IF(M443&gt;0,MAX(0,Catatan!$B$3-H443),0)</f>
        <v>0</v>
      </c>
      <c r="P443" s="39" t="str">
        <f aca="false">IF(M443&lt;=0,"Lunas",IF(Catatan!$B$3&lt;=H443,"Belum Jatuh Tempo",IF(O443&lt;=30,"1-30 hari",IF(O443&lt;=60,"31-60 hari",IF(O443&lt;=90,"61-90 hari","90+ hari")))))</f>
        <v>Lunas</v>
      </c>
      <c r="Q443" s="50"/>
      <c r="R443" s="39" t="str">
        <f aca="false">IF(M443&lt;=0,"",IF(O443&gt;60,"1-Tinggi",IF(O443&gt;30,"2-Sedang",IF(O443&gt;0,"3-Rendah","4-Pantau"))))</f>
        <v/>
      </c>
      <c r="S443" s="39" t="str">
        <f aca="false">IF(AND(M443&gt;0,O443&gt;0),O443+M443/1000000000000+ROW()/1000000000000000,"")</f>
        <v/>
      </c>
      <c r="T443" s="39" t="str">
        <f aca="false">IF(J443="Belum ditukar",ROW(),"")</f>
        <v/>
      </c>
    </row>
    <row r="444" customFormat="false" ht="15" hidden="false" customHeight="false" outlineLevel="0" collapsed="false">
      <c r="A444" s="50" t="s">
        <v>718</v>
      </c>
      <c r="B444" s="51" t="n">
        <v>45755</v>
      </c>
      <c r="C444" s="50" t="s">
        <v>419</v>
      </c>
      <c r="D444" s="39" t="str">
        <f aca="false">INDEX(Master_Customer!$B$2:$B$126,MATCH(C444,Master_Customer!$A$2:$A$126,0))</f>
        <v>UTAMA MOTOR</v>
      </c>
      <c r="E444" s="50" t="s">
        <v>32</v>
      </c>
      <c r="F444" s="52" t="n">
        <f aca="false">SUMIFS(Data_Penjualan!$G$2:$G$5998,Data_Penjualan!$A$2:$A$5998,A444)</f>
        <v>26964700</v>
      </c>
      <c r="G444" s="39" t="n">
        <f aca="false">IF(E444="KANTOR",0,INDEX(Master_Customer!$C$2:$C$126,MATCH(C444,Master_Customer!$A$2:$A$126,0)))</f>
        <v>0</v>
      </c>
      <c r="H444" s="53" t="n">
        <f aca="false">B444+G444</f>
        <v>45755</v>
      </c>
      <c r="J444" s="39" t="str">
        <f aca="false">IF(G444=0,"Tunai",IF(I444="","Belum ditukar","Sudah ditukar"))</f>
        <v>Tunai</v>
      </c>
      <c r="K444" s="54" t="n">
        <v>26964700</v>
      </c>
      <c r="L444" s="51" t="n">
        <v>45755</v>
      </c>
      <c r="M444" s="52" t="n">
        <f aca="false">F444-K444</f>
        <v>0</v>
      </c>
      <c r="N444" s="39" t="str">
        <f aca="false">IF(M444&lt;=0,"Lunas",IF(K444&gt;0,"Sebagian","Belum Bayar"))</f>
        <v>Lunas</v>
      </c>
      <c r="O444" s="39" t="n">
        <f aca="false">IF(M444&gt;0,MAX(0,Catatan!$B$3-H444),0)</f>
        <v>0</v>
      </c>
      <c r="P444" s="39" t="str">
        <f aca="false">IF(M444&lt;=0,"Lunas",IF(Catatan!$B$3&lt;=H444,"Belum Jatuh Tempo",IF(O444&lt;=30,"1-30 hari",IF(O444&lt;=60,"31-60 hari",IF(O444&lt;=90,"61-90 hari","90+ hari")))))</f>
        <v>Lunas</v>
      </c>
      <c r="Q444" s="50"/>
      <c r="R444" s="39" t="str">
        <f aca="false">IF(M444&lt;=0,"",IF(O444&gt;60,"1-Tinggi",IF(O444&gt;30,"2-Sedang",IF(O444&gt;0,"3-Rendah","4-Pantau"))))</f>
        <v/>
      </c>
      <c r="S444" s="39" t="str">
        <f aca="false">IF(AND(M444&gt;0,O444&gt;0),O444+M444/1000000000000+ROW()/1000000000000000,"")</f>
        <v/>
      </c>
      <c r="T444" s="39" t="str">
        <f aca="false">IF(J444="Belum ditukar",ROW(),"")</f>
        <v/>
      </c>
    </row>
    <row r="445" customFormat="false" ht="15" hidden="false" customHeight="false" outlineLevel="0" collapsed="false">
      <c r="A445" s="50" t="s">
        <v>719</v>
      </c>
      <c r="B445" s="51" t="n">
        <v>45755</v>
      </c>
      <c r="C445" s="50" t="s">
        <v>174</v>
      </c>
      <c r="D445" s="39" t="str">
        <f aca="false">INDEX(Master_Customer!$B$2:$B$126,MATCH(C445,Master_Customer!$A$2:$A$126,0))</f>
        <v>SUMBER TEKNIK SURYA</v>
      </c>
      <c r="E445" s="50" t="s">
        <v>31</v>
      </c>
      <c r="F445" s="52" t="n">
        <f aca="false">SUMIFS(Data_Penjualan!$G$2:$G$5998,Data_Penjualan!$A$2:$A$5998,A445)</f>
        <v>10224700</v>
      </c>
      <c r="G445" s="39" t="n">
        <f aca="false">IF(E445="KANTOR",0,INDEX(Master_Customer!$C$2:$C$126,MATCH(C445,Master_Customer!$A$2:$A$126,0)))</f>
        <v>30</v>
      </c>
      <c r="H445" s="53" t="n">
        <f aca="false">B445+G445</f>
        <v>45785</v>
      </c>
      <c r="I445" s="51" t="n">
        <v>45758</v>
      </c>
      <c r="J445" s="39" t="str">
        <f aca="false">IF(G445=0,"Tunai",IF(I445="","Belum ditukar","Sudah ditukar"))</f>
        <v>Sudah ditukar</v>
      </c>
      <c r="K445" s="54" t="n">
        <v>10224700</v>
      </c>
      <c r="L445" s="51" t="n">
        <v>45785</v>
      </c>
      <c r="M445" s="52" t="n">
        <f aca="false">F445-K445</f>
        <v>0</v>
      </c>
      <c r="N445" s="39" t="str">
        <f aca="false">IF(M445&lt;=0,"Lunas",IF(K445&gt;0,"Sebagian","Belum Bayar"))</f>
        <v>Lunas</v>
      </c>
      <c r="O445" s="39" t="n">
        <f aca="false">IF(M445&gt;0,MAX(0,Catatan!$B$3-H445),0)</f>
        <v>0</v>
      </c>
      <c r="P445" s="39" t="str">
        <f aca="false">IF(M445&lt;=0,"Lunas",IF(Catatan!$B$3&lt;=H445,"Belum Jatuh Tempo",IF(O445&lt;=30,"1-30 hari",IF(O445&lt;=60,"31-60 hari",IF(O445&lt;=90,"61-90 hari","90+ hari")))))</f>
        <v>Lunas</v>
      </c>
      <c r="Q445" s="50"/>
      <c r="R445" s="39" t="str">
        <f aca="false">IF(M445&lt;=0,"",IF(O445&gt;60,"1-Tinggi",IF(O445&gt;30,"2-Sedang",IF(O445&gt;0,"3-Rendah","4-Pantau"))))</f>
        <v/>
      </c>
      <c r="S445" s="39" t="str">
        <f aca="false">IF(AND(M445&gt;0,O445&gt;0),O445+M445/1000000000000+ROW()/1000000000000000,"")</f>
        <v/>
      </c>
      <c r="T445" s="39" t="str">
        <f aca="false">IF(J445="Belum ditukar",ROW(),"")</f>
        <v/>
      </c>
    </row>
    <row r="446" customFormat="false" ht="15" hidden="false" customHeight="false" outlineLevel="0" collapsed="false">
      <c r="A446" s="50" t="s">
        <v>720</v>
      </c>
      <c r="B446" s="51" t="n">
        <v>45755</v>
      </c>
      <c r="C446" s="50" t="s">
        <v>199</v>
      </c>
      <c r="D446" s="39" t="str">
        <f aca="false">INDEX(Master_Customer!$B$2:$B$126,MATCH(C446,Master_Customer!$A$2:$A$126,0))</f>
        <v>KARYA SPAREPART</v>
      </c>
      <c r="E446" s="50" t="s">
        <v>29</v>
      </c>
      <c r="F446" s="52" t="n">
        <f aca="false">SUMIFS(Data_Penjualan!$G$2:$G$5998,Data_Penjualan!$A$2:$A$5998,A446)</f>
        <v>24158000</v>
      </c>
      <c r="G446" s="39" t="n">
        <f aca="false">IF(E446="KANTOR",0,INDEX(Master_Customer!$C$2:$C$126,MATCH(C446,Master_Customer!$A$2:$A$126,0)))</f>
        <v>45</v>
      </c>
      <c r="H446" s="53" t="n">
        <f aca="false">B446+G446</f>
        <v>45800</v>
      </c>
      <c r="I446" s="51" t="n">
        <v>45759</v>
      </c>
      <c r="J446" s="39" t="str">
        <f aca="false">IF(G446=0,"Tunai",IF(I446="","Belum ditukar","Sudah ditukar"))</f>
        <v>Sudah ditukar</v>
      </c>
      <c r="K446" s="54" t="n">
        <v>24158000</v>
      </c>
      <c r="L446" s="51" t="n">
        <v>45796</v>
      </c>
      <c r="M446" s="52" t="n">
        <f aca="false">F446-K446</f>
        <v>0</v>
      </c>
      <c r="N446" s="39" t="str">
        <f aca="false">IF(M446&lt;=0,"Lunas",IF(K446&gt;0,"Sebagian","Belum Bayar"))</f>
        <v>Lunas</v>
      </c>
      <c r="O446" s="39" t="n">
        <f aca="false">IF(M446&gt;0,MAX(0,Catatan!$B$3-H446),0)</f>
        <v>0</v>
      </c>
      <c r="P446" s="39" t="str">
        <f aca="false">IF(M446&lt;=0,"Lunas",IF(Catatan!$B$3&lt;=H446,"Belum Jatuh Tempo",IF(O446&lt;=30,"1-30 hari",IF(O446&lt;=60,"31-60 hari",IF(O446&lt;=90,"61-90 hari","90+ hari")))))</f>
        <v>Lunas</v>
      </c>
      <c r="Q446" s="50"/>
      <c r="R446" s="39" t="str">
        <f aca="false">IF(M446&lt;=0,"",IF(O446&gt;60,"1-Tinggi",IF(O446&gt;30,"2-Sedang",IF(O446&gt;0,"3-Rendah","4-Pantau"))))</f>
        <v/>
      </c>
      <c r="S446" s="39" t="str">
        <f aca="false">IF(AND(M446&gt;0,O446&gt;0),O446+M446/1000000000000+ROW()/1000000000000000,"")</f>
        <v/>
      </c>
      <c r="T446" s="39" t="str">
        <f aca="false">IF(J446="Belum ditukar",ROW(),"")</f>
        <v/>
      </c>
    </row>
    <row r="447" customFormat="false" ht="15" hidden="false" customHeight="false" outlineLevel="0" collapsed="false">
      <c r="A447" s="50" t="s">
        <v>721</v>
      </c>
      <c r="B447" s="51" t="n">
        <v>45756</v>
      </c>
      <c r="C447" s="50" t="s">
        <v>358</v>
      </c>
      <c r="D447" s="39" t="str">
        <f aca="false">INDEX(Master_Customer!$B$2:$B$126,MATCH(C447,Master_Customer!$A$2:$A$126,0))</f>
        <v>HARAPAN TEKNIK</v>
      </c>
      <c r="E447" s="50" t="s">
        <v>32</v>
      </c>
      <c r="F447" s="52" t="n">
        <f aca="false">SUMIFS(Data_Penjualan!$G$2:$G$5998,Data_Penjualan!$A$2:$A$5998,A447)</f>
        <v>5197200</v>
      </c>
      <c r="G447" s="39" t="n">
        <f aca="false">IF(E447="KANTOR",0,INDEX(Master_Customer!$C$2:$C$126,MATCH(C447,Master_Customer!$A$2:$A$126,0)))</f>
        <v>0</v>
      </c>
      <c r="H447" s="53" t="n">
        <f aca="false">B447+G447</f>
        <v>45756</v>
      </c>
      <c r="J447" s="39" t="str">
        <f aca="false">IF(G447=0,"Tunai",IF(I447="","Belum ditukar","Sudah ditukar"))</f>
        <v>Tunai</v>
      </c>
      <c r="K447" s="54" t="n">
        <v>5197200</v>
      </c>
      <c r="L447" s="51" t="n">
        <v>45756</v>
      </c>
      <c r="M447" s="52" t="n">
        <f aca="false">F447-K447</f>
        <v>0</v>
      </c>
      <c r="N447" s="39" t="str">
        <f aca="false">IF(M447&lt;=0,"Lunas",IF(K447&gt;0,"Sebagian","Belum Bayar"))</f>
        <v>Lunas</v>
      </c>
      <c r="O447" s="39" t="n">
        <f aca="false">IF(M447&gt;0,MAX(0,Catatan!$B$3-H447),0)</f>
        <v>0</v>
      </c>
      <c r="P447" s="39" t="str">
        <f aca="false">IF(M447&lt;=0,"Lunas",IF(Catatan!$B$3&lt;=H447,"Belum Jatuh Tempo",IF(O447&lt;=30,"1-30 hari",IF(O447&lt;=60,"31-60 hari",IF(O447&lt;=90,"61-90 hari","90+ hari")))))</f>
        <v>Lunas</v>
      </c>
      <c r="Q447" s="50"/>
      <c r="R447" s="39" t="str">
        <f aca="false">IF(M447&lt;=0,"",IF(O447&gt;60,"1-Tinggi",IF(O447&gt;30,"2-Sedang",IF(O447&gt;0,"3-Rendah","4-Pantau"))))</f>
        <v/>
      </c>
      <c r="S447" s="39" t="str">
        <f aca="false">IF(AND(M447&gt;0,O447&gt;0),O447+M447/1000000000000+ROW()/1000000000000000,"")</f>
        <v/>
      </c>
      <c r="T447" s="39" t="str">
        <f aca="false">IF(J447="Belum ditukar",ROW(),"")</f>
        <v/>
      </c>
    </row>
    <row r="448" customFormat="false" ht="15" hidden="false" customHeight="false" outlineLevel="0" collapsed="false">
      <c r="A448" s="50" t="s">
        <v>722</v>
      </c>
      <c r="B448" s="51" t="n">
        <v>45756</v>
      </c>
      <c r="C448" s="50" t="s">
        <v>382</v>
      </c>
      <c r="D448" s="39" t="str">
        <f aca="false">INDEX(Master_Customer!$B$2:$B$126,MATCH(C448,Master_Customer!$A$2:$A$126,0))</f>
        <v>BERKAH SPAREPART</v>
      </c>
      <c r="E448" s="50" t="s">
        <v>32</v>
      </c>
      <c r="F448" s="52" t="n">
        <f aca="false">SUMIFS(Data_Penjualan!$G$2:$G$5998,Data_Penjualan!$A$2:$A$5998,A448)</f>
        <v>10239000</v>
      </c>
      <c r="G448" s="39" t="n">
        <f aca="false">IF(E448="KANTOR",0,INDEX(Master_Customer!$C$2:$C$126,MATCH(C448,Master_Customer!$A$2:$A$126,0)))</f>
        <v>0</v>
      </c>
      <c r="H448" s="53" t="n">
        <f aca="false">B448+G448</f>
        <v>45756</v>
      </c>
      <c r="J448" s="39" t="str">
        <f aca="false">IF(G448=0,"Tunai",IF(I448="","Belum ditukar","Sudah ditukar"))</f>
        <v>Tunai</v>
      </c>
      <c r="K448" s="54" t="n">
        <v>10239000</v>
      </c>
      <c r="L448" s="51" t="n">
        <v>45758</v>
      </c>
      <c r="M448" s="52" t="n">
        <f aca="false">F448-K448</f>
        <v>0</v>
      </c>
      <c r="N448" s="39" t="str">
        <f aca="false">IF(M448&lt;=0,"Lunas",IF(K448&gt;0,"Sebagian","Belum Bayar"))</f>
        <v>Lunas</v>
      </c>
      <c r="O448" s="39" t="n">
        <f aca="false">IF(M448&gt;0,MAX(0,Catatan!$B$3-H448),0)</f>
        <v>0</v>
      </c>
      <c r="P448" s="39" t="str">
        <f aca="false">IF(M448&lt;=0,"Lunas",IF(Catatan!$B$3&lt;=H448,"Belum Jatuh Tempo",IF(O448&lt;=30,"1-30 hari",IF(O448&lt;=60,"31-60 hari",IF(O448&lt;=90,"61-90 hari","90+ hari")))))</f>
        <v>Lunas</v>
      </c>
      <c r="Q448" s="50"/>
      <c r="R448" s="39" t="str">
        <f aca="false">IF(M448&lt;=0,"",IF(O448&gt;60,"1-Tinggi",IF(O448&gt;30,"2-Sedang",IF(O448&gt;0,"3-Rendah","4-Pantau"))))</f>
        <v/>
      </c>
      <c r="S448" s="39" t="str">
        <f aca="false">IF(AND(M448&gt;0,O448&gt;0),O448+M448/1000000000000+ROW()/1000000000000000,"")</f>
        <v/>
      </c>
      <c r="T448" s="39" t="str">
        <f aca="false">IF(J448="Belum ditukar",ROW(),"")</f>
        <v/>
      </c>
    </row>
    <row r="449" customFormat="false" ht="15" hidden="false" customHeight="false" outlineLevel="0" collapsed="false">
      <c r="A449" s="50" t="s">
        <v>723</v>
      </c>
      <c r="B449" s="51" t="n">
        <v>45756</v>
      </c>
      <c r="C449" s="50" t="s">
        <v>243</v>
      </c>
      <c r="D449" s="39" t="str">
        <f aca="false">INDEX(Master_Customer!$B$2:$B$126,MATCH(C449,Master_Customer!$A$2:$A$126,0))</f>
        <v>SENTOSA LUBRICANT MULIA</v>
      </c>
      <c r="E449" s="50" t="s">
        <v>30</v>
      </c>
      <c r="F449" s="52" t="n">
        <f aca="false">SUMIFS(Data_Penjualan!$G$2:$G$5998,Data_Penjualan!$A$2:$A$5998,A449)</f>
        <v>4403400</v>
      </c>
      <c r="G449" s="39" t="n">
        <f aca="false">IF(E449="KANTOR",0,INDEX(Master_Customer!$C$2:$C$126,MATCH(C449,Master_Customer!$A$2:$A$126,0)))</f>
        <v>45</v>
      </c>
      <c r="H449" s="53" t="n">
        <f aca="false">B449+G449</f>
        <v>45801</v>
      </c>
      <c r="I449" s="51" t="n">
        <v>45757</v>
      </c>
      <c r="J449" s="39" t="str">
        <f aca="false">IF(G449=0,"Tunai",IF(I449="","Belum ditukar","Sudah ditukar"))</f>
        <v>Sudah ditukar</v>
      </c>
      <c r="K449" s="54" t="n">
        <v>4403400</v>
      </c>
      <c r="L449" s="51" t="n">
        <v>45846</v>
      </c>
      <c r="M449" s="52" t="n">
        <f aca="false">F449-K449</f>
        <v>0</v>
      </c>
      <c r="N449" s="39" t="str">
        <f aca="false">IF(M449&lt;=0,"Lunas",IF(K449&gt;0,"Sebagian","Belum Bayar"))</f>
        <v>Lunas</v>
      </c>
      <c r="O449" s="39" t="n">
        <f aca="false">IF(M449&gt;0,MAX(0,Catatan!$B$3-H449),0)</f>
        <v>0</v>
      </c>
      <c r="P449" s="39" t="str">
        <f aca="false">IF(M449&lt;=0,"Lunas",IF(Catatan!$B$3&lt;=H449,"Belum Jatuh Tempo",IF(O449&lt;=30,"1-30 hari",IF(O449&lt;=60,"31-60 hari",IF(O449&lt;=90,"61-90 hari","90+ hari")))))</f>
        <v>Lunas</v>
      </c>
      <c r="Q449" s="50"/>
      <c r="R449" s="39" t="str">
        <f aca="false">IF(M449&lt;=0,"",IF(O449&gt;60,"1-Tinggi",IF(O449&gt;30,"2-Sedang",IF(O449&gt;0,"3-Rendah","4-Pantau"))))</f>
        <v/>
      </c>
      <c r="S449" s="39" t="str">
        <f aca="false">IF(AND(M449&gt;0,O449&gt;0),O449+M449/1000000000000+ROW()/1000000000000000,"")</f>
        <v/>
      </c>
      <c r="T449" s="39" t="str">
        <f aca="false">IF(J449="Belum ditukar",ROW(),"")</f>
        <v/>
      </c>
    </row>
    <row r="450" customFormat="false" ht="15" hidden="false" customHeight="false" outlineLevel="0" collapsed="false">
      <c r="A450" s="50" t="s">
        <v>724</v>
      </c>
      <c r="B450" s="51" t="n">
        <v>45756</v>
      </c>
      <c r="C450" s="50" t="s">
        <v>174</v>
      </c>
      <c r="D450" s="39" t="str">
        <f aca="false">INDEX(Master_Customer!$B$2:$B$126,MATCH(C450,Master_Customer!$A$2:$A$126,0))</f>
        <v>SUMBER TEKNIK SURYA</v>
      </c>
      <c r="E450" s="50" t="s">
        <v>31</v>
      </c>
      <c r="F450" s="52" t="n">
        <f aca="false">SUMIFS(Data_Penjualan!$G$2:$G$5998,Data_Penjualan!$A$2:$A$5998,A450)</f>
        <v>13586200</v>
      </c>
      <c r="G450" s="39" t="n">
        <f aca="false">IF(E450="KANTOR",0,INDEX(Master_Customer!$C$2:$C$126,MATCH(C450,Master_Customer!$A$2:$A$126,0)))</f>
        <v>30</v>
      </c>
      <c r="H450" s="53" t="n">
        <f aca="false">B450+G450</f>
        <v>45786</v>
      </c>
      <c r="I450" s="51" t="n">
        <v>45759</v>
      </c>
      <c r="J450" s="39" t="str">
        <f aca="false">IF(G450=0,"Tunai",IF(I450="","Belum ditukar","Sudah ditukar"))</f>
        <v>Sudah ditukar</v>
      </c>
      <c r="K450" s="54" t="n">
        <v>13586200</v>
      </c>
      <c r="L450" s="51" t="n">
        <v>45783</v>
      </c>
      <c r="M450" s="52" t="n">
        <f aca="false">F450-K450</f>
        <v>0</v>
      </c>
      <c r="N450" s="39" t="str">
        <f aca="false">IF(M450&lt;=0,"Lunas",IF(K450&gt;0,"Sebagian","Belum Bayar"))</f>
        <v>Lunas</v>
      </c>
      <c r="O450" s="39" t="n">
        <f aca="false">IF(M450&gt;0,MAX(0,Catatan!$B$3-H450),0)</f>
        <v>0</v>
      </c>
      <c r="P450" s="39" t="str">
        <f aca="false">IF(M450&lt;=0,"Lunas",IF(Catatan!$B$3&lt;=H450,"Belum Jatuh Tempo",IF(O450&lt;=30,"1-30 hari",IF(O450&lt;=60,"31-60 hari",IF(O450&lt;=90,"61-90 hari","90+ hari")))))</f>
        <v>Lunas</v>
      </c>
      <c r="Q450" s="50"/>
      <c r="R450" s="39" t="str">
        <f aca="false">IF(M450&lt;=0,"",IF(O450&gt;60,"1-Tinggi",IF(O450&gt;30,"2-Sedang",IF(O450&gt;0,"3-Rendah","4-Pantau"))))</f>
        <v/>
      </c>
      <c r="S450" s="39" t="str">
        <f aca="false">IF(AND(M450&gt;0,O450&gt;0),O450+M450/1000000000000+ROW()/1000000000000000,"")</f>
        <v/>
      </c>
      <c r="T450" s="39" t="str">
        <f aca="false">IF(J450="Belum ditukar",ROW(),"")</f>
        <v/>
      </c>
    </row>
    <row r="451" customFormat="false" ht="15" hidden="false" customHeight="false" outlineLevel="0" collapsed="false">
      <c r="A451" s="50" t="s">
        <v>725</v>
      </c>
      <c r="B451" s="51" t="n">
        <v>45756</v>
      </c>
      <c r="C451" s="50" t="s">
        <v>234</v>
      </c>
      <c r="D451" s="39" t="str">
        <f aca="false">INDEX(Master_Customer!$B$2:$B$126,MATCH(C451,Master_Customer!$A$2:$A$126,0))</f>
        <v>CAHAYA OLI</v>
      </c>
      <c r="E451" s="50" t="s">
        <v>28</v>
      </c>
      <c r="F451" s="52" t="n">
        <f aca="false">SUMIFS(Data_Penjualan!$G$2:$G$5998,Data_Penjualan!$A$2:$A$5998,A451)</f>
        <v>10147200</v>
      </c>
      <c r="G451" s="39" t="n">
        <f aca="false">IF(E451="KANTOR",0,INDEX(Master_Customer!$C$2:$C$126,MATCH(C451,Master_Customer!$A$2:$A$126,0)))</f>
        <v>30</v>
      </c>
      <c r="H451" s="53" t="n">
        <f aca="false">B451+G451</f>
        <v>45786</v>
      </c>
      <c r="I451" s="51" t="n">
        <v>45760</v>
      </c>
      <c r="J451" s="39" t="str">
        <f aca="false">IF(G451=0,"Tunai",IF(I451="","Belum ditukar","Sudah ditukar"))</f>
        <v>Sudah ditukar</v>
      </c>
      <c r="K451" s="54" t="n">
        <v>10147200</v>
      </c>
      <c r="L451" s="51" t="n">
        <v>45791</v>
      </c>
      <c r="M451" s="52" t="n">
        <f aca="false">F451-K451</f>
        <v>0</v>
      </c>
      <c r="N451" s="39" t="str">
        <f aca="false">IF(M451&lt;=0,"Lunas",IF(K451&gt;0,"Sebagian","Belum Bayar"))</f>
        <v>Lunas</v>
      </c>
      <c r="O451" s="39" t="n">
        <f aca="false">IF(M451&gt;0,MAX(0,Catatan!$B$3-H451),0)</f>
        <v>0</v>
      </c>
      <c r="P451" s="39" t="str">
        <f aca="false">IF(M451&lt;=0,"Lunas",IF(Catatan!$B$3&lt;=H451,"Belum Jatuh Tempo",IF(O451&lt;=30,"1-30 hari",IF(O451&lt;=60,"31-60 hari",IF(O451&lt;=90,"61-90 hari","90+ hari")))))</f>
        <v>Lunas</v>
      </c>
      <c r="Q451" s="50"/>
      <c r="R451" s="39" t="str">
        <f aca="false">IF(M451&lt;=0,"",IF(O451&gt;60,"1-Tinggi",IF(O451&gt;30,"2-Sedang",IF(O451&gt;0,"3-Rendah","4-Pantau"))))</f>
        <v/>
      </c>
      <c r="S451" s="39" t="str">
        <f aca="false">IF(AND(M451&gt;0,O451&gt;0),O451+M451/1000000000000+ROW()/1000000000000000,"")</f>
        <v/>
      </c>
      <c r="T451" s="39" t="str">
        <f aca="false">IF(J451="Belum ditukar",ROW(),"")</f>
        <v/>
      </c>
    </row>
    <row r="452" customFormat="false" ht="15" hidden="false" customHeight="false" outlineLevel="0" collapsed="false">
      <c r="A452" s="50" t="s">
        <v>726</v>
      </c>
      <c r="B452" s="51" t="n">
        <v>45757</v>
      </c>
      <c r="C452" s="50" t="s">
        <v>284</v>
      </c>
      <c r="D452" s="39" t="str">
        <f aca="false">INDEX(Master_Customer!$B$2:$B$126,MATCH(C452,Master_Customer!$A$2:$A$126,0))</f>
        <v>CAHAYA SPAREPART</v>
      </c>
      <c r="E452" s="50" t="s">
        <v>32</v>
      </c>
      <c r="F452" s="52" t="n">
        <f aca="false">SUMIFS(Data_Penjualan!$G$2:$G$5998,Data_Penjualan!$A$2:$A$5998,A452)</f>
        <v>11635000</v>
      </c>
      <c r="G452" s="39" t="n">
        <f aca="false">IF(E452="KANTOR",0,INDEX(Master_Customer!$C$2:$C$126,MATCH(C452,Master_Customer!$A$2:$A$126,0)))</f>
        <v>0</v>
      </c>
      <c r="H452" s="53" t="n">
        <f aca="false">B452+G452</f>
        <v>45757</v>
      </c>
      <c r="J452" s="39" t="str">
        <f aca="false">IF(G452=0,"Tunai",IF(I452="","Belum ditukar","Sudah ditukar"))</f>
        <v>Tunai</v>
      </c>
      <c r="K452" s="54" t="n">
        <v>11635000</v>
      </c>
      <c r="L452" s="51" t="n">
        <v>45757</v>
      </c>
      <c r="M452" s="52" t="n">
        <f aca="false">F452-K452</f>
        <v>0</v>
      </c>
      <c r="N452" s="39" t="str">
        <f aca="false">IF(M452&lt;=0,"Lunas",IF(K452&gt;0,"Sebagian","Belum Bayar"))</f>
        <v>Lunas</v>
      </c>
      <c r="O452" s="39" t="n">
        <f aca="false">IF(M452&gt;0,MAX(0,Catatan!$B$3-H452),0)</f>
        <v>0</v>
      </c>
      <c r="P452" s="39" t="str">
        <f aca="false">IF(M452&lt;=0,"Lunas",IF(Catatan!$B$3&lt;=H452,"Belum Jatuh Tempo",IF(O452&lt;=30,"1-30 hari",IF(O452&lt;=60,"31-60 hari",IF(O452&lt;=90,"61-90 hari","90+ hari")))))</f>
        <v>Lunas</v>
      </c>
      <c r="Q452" s="50"/>
      <c r="R452" s="39" t="str">
        <f aca="false">IF(M452&lt;=0,"",IF(O452&gt;60,"1-Tinggi",IF(O452&gt;30,"2-Sedang",IF(O452&gt;0,"3-Rendah","4-Pantau"))))</f>
        <v/>
      </c>
      <c r="S452" s="39" t="str">
        <f aca="false">IF(AND(M452&gt;0,O452&gt;0),O452+M452/1000000000000+ROW()/1000000000000000,"")</f>
        <v/>
      </c>
      <c r="T452" s="39" t="str">
        <f aca="false">IF(J452="Belum ditukar",ROW(),"")</f>
        <v/>
      </c>
    </row>
    <row r="453" customFormat="false" ht="15" hidden="false" customHeight="false" outlineLevel="0" collapsed="false">
      <c r="A453" s="50" t="s">
        <v>727</v>
      </c>
      <c r="B453" s="51" t="n">
        <v>45757</v>
      </c>
      <c r="C453" s="50" t="s">
        <v>166</v>
      </c>
      <c r="D453" s="39" t="str">
        <f aca="false">INDEX(Master_Customer!$B$2:$B$126,MATCH(C453,Master_Customer!$A$2:$A$126,0))</f>
        <v>SENTOSA SERVICE</v>
      </c>
      <c r="E453" s="50" t="s">
        <v>30</v>
      </c>
      <c r="F453" s="52" t="n">
        <f aca="false">SUMIFS(Data_Penjualan!$G$2:$G$5998,Data_Penjualan!$A$2:$A$5998,A453)</f>
        <v>10982600</v>
      </c>
      <c r="G453" s="39" t="n">
        <f aca="false">IF(E453="KANTOR",0,INDEX(Master_Customer!$C$2:$C$126,MATCH(C453,Master_Customer!$A$2:$A$126,0)))</f>
        <v>0</v>
      </c>
      <c r="H453" s="53" t="n">
        <f aca="false">B453+G453</f>
        <v>45757</v>
      </c>
      <c r="J453" s="39" t="str">
        <f aca="false">IF(G453=0,"Tunai",IF(I453="","Belum ditukar","Sudah ditukar"))</f>
        <v>Tunai</v>
      </c>
      <c r="K453" s="54" t="n">
        <v>10982600</v>
      </c>
      <c r="L453" s="51" t="n">
        <v>45757</v>
      </c>
      <c r="M453" s="52" t="n">
        <f aca="false">F453-K453</f>
        <v>0</v>
      </c>
      <c r="N453" s="39" t="str">
        <f aca="false">IF(M453&lt;=0,"Lunas",IF(K453&gt;0,"Sebagian","Belum Bayar"))</f>
        <v>Lunas</v>
      </c>
      <c r="O453" s="39" t="n">
        <f aca="false">IF(M453&gt;0,MAX(0,Catatan!$B$3-H453),0)</f>
        <v>0</v>
      </c>
      <c r="P453" s="39" t="str">
        <f aca="false">IF(M453&lt;=0,"Lunas",IF(Catatan!$B$3&lt;=H453,"Belum Jatuh Tempo",IF(O453&lt;=30,"1-30 hari",IF(O453&lt;=60,"31-60 hari",IF(O453&lt;=90,"61-90 hari","90+ hari")))))</f>
        <v>Lunas</v>
      </c>
      <c r="Q453" s="50"/>
      <c r="R453" s="39" t="str">
        <f aca="false">IF(M453&lt;=0,"",IF(O453&gt;60,"1-Tinggi",IF(O453&gt;30,"2-Sedang",IF(O453&gt;0,"3-Rendah","4-Pantau"))))</f>
        <v/>
      </c>
      <c r="S453" s="39" t="str">
        <f aca="false">IF(AND(M453&gt;0,O453&gt;0),O453+M453/1000000000000+ROW()/1000000000000000,"")</f>
        <v/>
      </c>
      <c r="T453" s="39" t="str">
        <f aca="false">IF(J453="Belum ditukar",ROW(),"")</f>
        <v/>
      </c>
    </row>
    <row r="454" customFormat="false" ht="15" hidden="false" customHeight="false" outlineLevel="0" collapsed="false">
      <c r="A454" s="50" t="s">
        <v>728</v>
      </c>
      <c r="B454" s="51" t="n">
        <v>45757</v>
      </c>
      <c r="C454" s="50" t="s">
        <v>168</v>
      </c>
      <c r="D454" s="39" t="str">
        <f aca="false">INDEX(Master_Customer!$B$2:$B$126,MATCH(C454,Master_Customer!$A$2:$A$126,0))</f>
        <v>JAYA LUBRICANT</v>
      </c>
      <c r="E454" s="50" t="s">
        <v>32</v>
      </c>
      <c r="F454" s="52" t="n">
        <f aca="false">SUMIFS(Data_Penjualan!$G$2:$G$5998,Data_Penjualan!$A$2:$A$5998,A454)</f>
        <v>6374100</v>
      </c>
      <c r="G454" s="39" t="n">
        <f aca="false">IF(E454="KANTOR",0,INDEX(Master_Customer!$C$2:$C$126,MATCH(C454,Master_Customer!$A$2:$A$126,0)))</f>
        <v>0</v>
      </c>
      <c r="H454" s="53" t="n">
        <f aca="false">B454+G454</f>
        <v>45757</v>
      </c>
      <c r="J454" s="39" t="str">
        <f aca="false">IF(G454=0,"Tunai",IF(I454="","Belum ditukar","Sudah ditukar"))</f>
        <v>Tunai</v>
      </c>
      <c r="K454" s="54" t="n">
        <v>6374100</v>
      </c>
      <c r="L454" s="51" t="n">
        <v>45757</v>
      </c>
      <c r="M454" s="52" t="n">
        <f aca="false">F454-K454</f>
        <v>0</v>
      </c>
      <c r="N454" s="39" t="str">
        <f aca="false">IF(M454&lt;=0,"Lunas",IF(K454&gt;0,"Sebagian","Belum Bayar"))</f>
        <v>Lunas</v>
      </c>
      <c r="O454" s="39" t="n">
        <f aca="false">IF(M454&gt;0,MAX(0,Catatan!$B$3-H454),0)</f>
        <v>0</v>
      </c>
      <c r="P454" s="39" t="str">
        <f aca="false">IF(M454&lt;=0,"Lunas",IF(Catatan!$B$3&lt;=H454,"Belum Jatuh Tempo",IF(O454&lt;=30,"1-30 hari",IF(O454&lt;=60,"31-60 hari",IF(O454&lt;=90,"61-90 hari","90+ hari")))))</f>
        <v>Lunas</v>
      </c>
      <c r="Q454" s="50"/>
      <c r="R454" s="39" t="str">
        <f aca="false">IF(M454&lt;=0,"",IF(O454&gt;60,"1-Tinggi",IF(O454&gt;30,"2-Sedang",IF(O454&gt;0,"3-Rendah","4-Pantau"))))</f>
        <v/>
      </c>
      <c r="S454" s="39" t="str">
        <f aca="false">IF(AND(M454&gt;0,O454&gt;0),O454+M454/1000000000000+ROW()/1000000000000000,"")</f>
        <v/>
      </c>
      <c r="T454" s="39" t="str">
        <f aca="false">IF(J454="Belum ditukar",ROW(),"")</f>
        <v/>
      </c>
    </row>
    <row r="455" customFormat="false" ht="15" hidden="false" customHeight="false" outlineLevel="0" collapsed="false">
      <c r="A455" s="50" t="s">
        <v>729</v>
      </c>
      <c r="B455" s="51" t="n">
        <v>45757</v>
      </c>
      <c r="C455" s="50" t="s">
        <v>308</v>
      </c>
      <c r="D455" s="39" t="str">
        <f aca="false">INDEX(Master_Customer!$B$2:$B$126,MATCH(C455,Master_Customer!$A$2:$A$126,0))</f>
        <v>CAHAYA MOBIL</v>
      </c>
      <c r="E455" s="50" t="s">
        <v>31</v>
      </c>
      <c r="F455" s="52" t="n">
        <f aca="false">SUMIFS(Data_Penjualan!$G$2:$G$5998,Data_Penjualan!$A$2:$A$5998,A455)</f>
        <v>12786300</v>
      </c>
      <c r="G455" s="39" t="n">
        <f aca="false">IF(E455="KANTOR",0,INDEX(Master_Customer!$C$2:$C$126,MATCH(C455,Master_Customer!$A$2:$A$126,0)))</f>
        <v>14</v>
      </c>
      <c r="H455" s="53" t="n">
        <f aca="false">B455+G455</f>
        <v>45771</v>
      </c>
      <c r="I455" s="51" t="n">
        <v>45759</v>
      </c>
      <c r="J455" s="39" t="str">
        <f aca="false">IF(G455=0,"Tunai",IF(I455="","Belum ditukar","Sudah ditukar"))</f>
        <v>Sudah ditukar</v>
      </c>
      <c r="K455" s="54" t="n">
        <v>12786300</v>
      </c>
      <c r="L455" s="51" t="n">
        <v>45773</v>
      </c>
      <c r="M455" s="52" t="n">
        <f aca="false">F455-K455</f>
        <v>0</v>
      </c>
      <c r="N455" s="39" t="str">
        <f aca="false">IF(M455&lt;=0,"Lunas",IF(K455&gt;0,"Sebagian","Belum Bayar"))</f>
        <v>Lunas</v>
      </c>
      <c r="O455" s="39" t="n">
        <f aca="false">IF(M455&gt;0,MAX(0,Catatan!$B$3-H455),0)</f>
        <v>0</v>
      </c>
      <c r="P455" s="39" t="str">
        <f aca="false">IF(M455&lt;=0,"Lunas",IF(Catatan!$B$3&lt;=H455,"Belum Jatuh Tempo",IF(O455&lt;=30,"1-30 hari",IF(O455&lt;=60,"31-60 hari",IF(O455&lt;=90,"61-90 hari","90+ hari")))))</f>
        <v>Lunas</v>
      </c>
      <c r="Q455" s="50"/>
      <c r="R455" s="39" t="str">
        <f aca="false">IF(M455&lt;=0,"",IF(O455&gt;60,"1-Tinggi",IF(O455&gt;30,"2-Sedang",IF(O455&gt;0,"3-Rendah","4-Pantau"))))</f>
        <v/>
      </c>
      <c r="S455" s="39" t="str">
        <f aca="false">IF(AND(M455&gt;0,O455&gt;0),O455+M455/1000000000000+ROW()/1000000000000000,"")</f>
        <v/>
      </c>
      <c r="T455" s="39" t="str">
        <f aca="false">IF(J455="Belum ditukar",ROW(),"")</f>
        <v/>
      </c>
    </row>
    <row r="456" customFormat="false" ht="15" hidden="false" customHeight="false" outlineLevel="0" collapsed="false">
      <c r="A456" s="50" t="s">
        <v>730</v>
      </c>
      <c r="B456" s="51" t="n">
        <v>45757</v>
      </c>
      <c r="C456" s="50" t="s">
        <v>179</v>
      </c>
      <c r="D456" s="39" t="str">
        <f aca="false">INDEX(Master_Customer!$B$2:$B$126,MATCH(C456,Master_Customer!$A$2:$A$126,0))</f>
        <v>BINTANG TEKNIK SURYA</v>
      </c>
      <c r="E456" s="50" t="s">
        <v>32</v>
      </c>
      <c r="F456" s="52" t="n">
        <f aca="false">SUMIFS(Data_Penjualan!$G$2:$G$5998,Data_Penjualan!$A$2:$A$5998,A456)</f>
        <v>3363300</v>
      </c>
      <c r="G456" s="39" t="n">
        <f aca="false">IF(E456="KANTOR",0,INDEX(Master_Customer!$C$2:$C$126,MATCH(C456,Master_Customer!$A$2:$A$126,0)))</f>
        <v>0</v>
      </c>
      <c r="H456" s="53" t="n">
        <f aca="false">B456+G456</f>
        <v>45757</v>
      </c>
      <c r="J456" s="39" t="str">
        <f aca="false">IF(G456=0,"Tunai",IF(I456="","Belum ditukar","Sudah ditukar"))</f>
        <v>Tunai</v>
      </c>
      <c r="K456" s="54" t="n">
        <v>3363300</v>
      </c>
      <c r="L456" s="51" t="n">
        <v>45758</v>
      </c>
      <c r="M456" s="52" t="n">
        <f aca="false">F456-K456</f>
        <v>0</v>
      </c>
      <c r="N456" s="39" t="str">
        <f aca="false">IF(M456&lt;=0,"Lunas",IF(K456&gt;0,"Sebagian","Belum Bayar"))</f>
        <v>Lunas</v>
      </c>
      <c r="O456" s="39" t="n">
        <f aca="false">IF(M456&gt;0,MAX(0,Catatan!$B$3-H456),0)</f>
        <v>0</v>
      </c>
      <c r="P456" s="39" t="str">
        <f aca="false">IF(M456&lt;=0,"Lunas",IF(Catatan!$B$3&lt;=H456,"Belum Jatuh Tempo",IF(O456&lt;=30,"1-30 hari",IF(O456&lt;=60,"31-60 hari",IF(O456&lt;=90,"61-90 hari","90+ hari")))))</f>
        <v>Lunas</v>
      </c>
      <c r="Q456" s="50"/>
      <c r="R456" s="39" t="str">
        <f aca="false">IF(M456&lt;=0,"",IF(O456&gt;60,"1-Tinggi",IF(O456&gt;30,"2-Sedang",IF(O456&gt;0,"3-Rendah","4-Pantau"))))</f>
        <v/>
      </c>
      <c r="S456" s="39" t="str">
        <f aca="false">IF(AND(M456&gt;0,O456&gt;0),O456+M456/1000000000000+ROW()/1000000000000000,"")</f>
        <v/>
      </c>
      <c r="T456" s="39" t="str">
        <f aca="false">IF(J456="Belum ditukar",ROW(),"")</f>
        <v/>
      </c>
    </row>
    <row r="457" customFormat="false" ht="15" hidden="false" customHeight="false" outlineLevel="0" collapsed="false">
      <c r="A457" s="50" t="s">
        <v>731</v>
      </c>
      <c r="B457" s="51" t="n">
        <v>45757</v>
      </c>
      <c r="C457" s="50" t="s">
        <v>329</v>
      </c>
      <c r="D457" s="39" t="str">
        <f aca="false">INDEX(Master_Customer!$B$2:$B$126,MATCH(C457,Master_Customer!$A$2:$A$126,0))</f>
        <v>MAKMUR OLI</v>
      </c>
      <c r="E457" s="50" t="s">
        <v>28</v>
      </c>
      <c r="F457" s="52" t="n">
        <f aca="false">SUMIFS(Data_Penjualan!$G$2:$G$5998,Data_Penjualan!$A$2:$A$5998,A457)</f>
        <v>2274000</v>
      </c>
      <c r="G457" s="39" t="n">
        <f aca="false">IF(E457="KANTOR",0,INDEX(Master_Customer!$C$2:$C$126,MATCH(C457,Master_Customer!$A$2:$A$126,0)))</f>
        <v>45</v>
      </c>
      <c r="H457" s="53" t="n">
        <f aca="false">B457+G457</f>
        <v>45802</v>
      </c>
      <c r="I457" s="51" t="n">
        <v>45760</v>
      </c>
      <c r="J457" s="39" t="str">
        <f aca="false">IF(G457=0,"Tunai",IF(I457="","Belum ditukar","Sudah ditukar"))</f>
        <v>Sudah ditukar</v>
      </c>
      <c r="K457" s="54" t="n">
        <v>2274000</v>
      </c>
      <c r="L457" s="51" t="n">
        <v>45852</v>
      </c>
      <c r="M457" s="52" t="n">
        <f aca="false">F457-K457</f>
        <v>0</v>
      </c>
      <c r="N457" s="39" t="str">
        <f aca="false">IF(M457&lt;=0,"Lunas",IF(K457&gt;0,"Sebagian","Belum Bayar"))</f>
        <v>Lunas</v>
      </c>
      <c r="O457" s="39" t="n">
        <f aca="false">IF(M457&gt;0,MAX(0,Catatan!$B$3-H457),0)</f>
        <v>0</v>
      </c>
      <c r="P457" s="39" t="str">
        <f aca="false">IF(M457&lt;=0,"Lunas",IF(Catatan!$B$3&lt;=H457,"Belum Jatuh Tempo",IF(O457&lt;=30,"1-30 hari",IF(O457&lt;=60,"31-60 hari",IF(O457&lt;=90,"61-90 hari","90+ hari")))))</f>
        <v>Lunas</v>
      </c>
      <c r="Q457" s="50"/>
      <c r="R457" s="39" t="str">
        <f aca="false">IF(M457&lt;=0,"",IF(O457&gt;60,"1-Tinggi",IF(O457&gt;30,"2-Sedang",IF(O457&gt;0,"3-Rendah","4-Pantau"))))</f>
        <v/>
      </c>
      <c r="S457" s="39" t="str">
        <f aca="false">IF(AND(M457&gt;0,O457&gt;0),O457+M457/1000000000000+ROW()/1000000000000000,"")</f>
        <v/>
      </c>
      <c r="T457" s="39" t="str">
        <f aca="false">IF(J457="Belum ditukar",ROW(),"")</f>
        <v/>
      </c>
    </row>
    <row r="458" customFormat="false" ht="15" hidden="false" customHeight="false" outlineLevel="0" collapsed="false">
      <c r="A458" s="50" t="s">
        <v>732</v>
      </c>
      <c r="B458" s="51" t="n">
        <v>45758</v>
      </c>
      <c r="C458" s="50" t="s">
        <v>574</v>
      </c>
      <c r="D458" s="39" t="str">
        <f aca="false">INDEX(Master_Customer!$B$2:$B$126,MATCH(C458,Master_Customer!$A$2:$A$126,0))</f>
        <v>ABADI SERVICE ABADI</v>
      </c>
      <c r="E458" s="50" t="s">
        <v>29</v>
      </c>
      <c r="F458" s="52" t="n">
        <f aca="false">SUMIFS(Data_Penjualan!$G$2:$G$5998,Data_Penjualan!$A$2:$A$5998,A458)</f>
        <v>12990700</v>
      </c>
      <c r="G458" s="39" t="n">
        <f aca="false">IF(E458="KANTOR",0,INDEX(Master_Customer!$C$2:$C$126,MATCH(C458,Master_Customer!$A$2:$A$126,0)))</f>
        <v>30</v>
      </c>
      <c r="H458" s="53" t="n">
        <f aca="false">B458+G458</f>
        <v>45788</v>
      </c>
      <c r="I458" s="51" t="n">
        <v>45762</v>
      </c>
      <c r="J458" s="39" t="str">
        <f aca="false">IF(G458=0,"Tunai",IF(I458="","Belum ditukar","Sudah ditukar"))</f>
        <v>Sudah ditukar</v>
      </c>
      <c r="K458" s="54" t="n">
        <v>12990700</v>
      </c>
      <c r="L458" s="51" t="n">
        <v>45782</v>
      </c>
      <c r="M458" s="52" t="n">
        <f aca="false">F458-K458</f>
        <v>0</v>
      </c>
      <c r="N458" s="39" t="str">
        <f aca="false">IF(M458&lt;=0,"Lunas",IF(K458&gt;0,"Sebagian","Belum Bayar"))</f>
        <v>Lunas</v>
      </c>
      <c r="O458" s="39" t="n">
        <f aca="false">IF(M458&gt;0,MAX(0,Catatan!$B$3-H458),0)</f>
        <v>0</v>
      </c>
      <c r="P458" s="39" t="str">
        <f aca="false">IF(M458&lt;=0,"Lunas",IF(Catatan!$B$3&lt;=H458,"Belum Jatuh Tempo",IF(O458&lt;=30,"1-30 hari",IF(O458&lt;=60,"31-60 hari",IF(O458&lt;=90,"61-90 hari","90+ hari")))))</f>
        <v>Lunas</v>
      </c>
      <c r="Q458" s="50"/>
      <c r="R458" s="39" t="str">
        <f aca="false">IF(M458&lt;=0,"",IF(O458&gt;60,"1-Tinggi",IF(O458&gt;30,"2-Sedang",IF(O458&gt;0,"3-Rendah","4-Pantau"))))</f>
        <v/>
      </c>
      <c r="S458" s="39" t="str">
        <f aca="false">IF(AND(M458&gt;0,O458&gt;0),O458+M458/1000000000000+ROW()/1000000000000000,"")</f>
        <v/>
      </c>
      <c r="T458" s="39" t="str">
        <f aca="false">IF(J458="Belum ditukar",ROW(),"")</f>
        <v/>
      </c>
    </row>
    <row r="459" customFormat="false" ht="15" hidden="false" customHeight="false" outlineLevel="0" collapsed="false">
      <c r="A459" s="50" t="s">
        <v>733</v>
      </c>
      <c r="B459" s="51" t="n">
        <v>45758</v>
      </c>
      <c r="C459" s="50" t="s">
        <v>205</v>
      </c>
      <c r="D459" s="39" t="str">
        <f aca="false">INDEX(Master_Customer!$B$2:$B$126,MATCH(C459,Master_Customer!$A$2:$A$126,0))</f>
        <v>BERKAH OLI</v>
      </c>
      <c r="E459" s="50" t="s">
        <v>28</v>
      </c>
      <c r="F459" s="52" t="n">
        <f aca="false">SUMIFS(Data_Penjualan!$G$2:$G$5998,Data_Penjualan!$A$2:$A$5998,A459)</f>
        <v>4697400</v>
      </c>
      <c r="G459" s="39" t="n">
        <f aca="false">IF(E459="KANTOR",0,INDEX(Master_Customer!$C$2:$C$126,MATCH(C459,Master_Customer!$A$2:$A$126,0)))</f>
        <v>0</v>
      </c>
      <c r="H459" s="53" t="n">
        <f aca="false">B459+G459</f>
        <v>45758</v>
      </c>
      <c r="J459" s="39" t="str">
        <f aca="false">IF(G459=0,"Tunai",IF(I459="","Belum ditukar","Sudah ditukar"))</f>
        <v>Tunai</v>
      </c>
      <c r="K459" s="54" t="n">
        <v>4697400</v>
      </c>
      <c r="L459" s="51" t="n">
        <v>45759</v>
      </c>
      <c r="M459" s="52" t="n">
        <f aca="false">F459-K459</f>
        <v>0</v>
      </c>
      <c r="N459" s="39" t="str">
        <f aca="false">IF(M459&lt;=0,"Lunas",IF(K459&gt;0,"Sebagian","Belum Bayar"))</f>
        <v>Lunas</v>
      </c>
      <c r="O459" s="39" t="n">
        <f aca="false">IF(M459&gt;0,MAX(0,Catatan!$B$3-H459),0)</f>
        <v>0</v>
      </c>
      <c r="P459" s="39" t="str">
        <f aca="false">IF(M459&lt;=0,"Lunas",IF(Catatan!$B$3&lt;=H459,"Belum Jatuh Tempo",IF(O459&lt;=30,"1-30 hari",IF(O459&lt;=60,"31-60 hari",IF(O459&lt;=90,"61-90 hari","90+ hari")))))</f>
        <v>Lunas</v>
      </c>
      <c r="Q459" s="50"/>
      <c r="R459" s="39" t="str">
        <f aca="false">IF(M459&lt;=0,"",IF(O459&gt;60,"1-Tinggi",IF(O459&gt;30,"2-Sedang",IF(O459&gt;0,"3-Rendah","4-Pantau"))))</f>
        <v/>
      </c>
      <c r="S459" s="39" t="str">
        <f aca="false">IF(AND(M459&gt;0,O459&gt;0),O459+M459/1000000000000+ROW()/1000000000000000,"")</f>
        <v/>
      </c>
      <c r="T459" s="39" t="str">
        <f aca="false">IF(J459="Belum ditukar",ROW(),"")</f>
        <v/>
      </c>
    </row>
    <row r="460" customFormat="false" ht="15" hidden="false" customHeight="false" outlineLevel="0" collapsed="false">
      <c r="A460" s="50" t="s">
        <v>734</v>
      </c>
      <c r="B460" s="51" t="n">
        <v>45758</v>
      </c>
      <c r="C460" s="50" t="s">
        <v>188</v>
      </c>
      <c r="D460" s="39" t="str">
        <f aca="false">INDEX(Master_Customer!$B$2:$B$126,MATCH(C460,Master_Customer!$A$2:$A$126,0))</f>
        <v>MAJU GARAGE TIRTA</v>
      </c>
      <c r="E460" s="50" t="s">
        <v>31</v>
      </c>
      <c r="F460" s="52" t="n">
        <f aca="false">SUMIFS(Data_Penjualan!$G$2:$G$5998,Data_Penjualan!$A$2:$A$5998,A460)</f>
        <v>12023800</v>
      </c>
      <c r="G460" s="39" t="n">
        <f aca="false">IF(E460="KANTOR",0,INDEX(Master_Customer!$C$2:$C$126,MATCH(C460,Master_Customer!$A$2:$A$126,0)))</f>
        <v>45</v>
      </c>
      <c r="H460" s="53" t="n">
        <f aca="false">B460+G460</f>
        <v>45803</v>
      </c>
      <c r="I460" s="51" t="n">
        <v>45761</v>
      </c>
      <c r="J460" s="39" t="str">
        <f aca="false">IF(G460=0,"Tunai",IF(I460="","Belum ditukar","Sudah ditukar"))</f>
        <v>Sudah ditukar</v>
      </c>
      <c r="K460" s="54" t="n">
        <v>12023800</v>
      </c>
      <c r="L460" s="51" t="n">
        <v>45826</v>
      </c>
      <c r="M460" s="52" t="n">
        <f aca="false">F460-K460</f>
        <v>0</v>
      </c>
      <c r="N460" s="39" t="str">
        <f aca="false">IF(M460&lt;=0,"Lunas",IF(K460&gt;0,"Sebagian","Belum Bayar"))</f>
        <v>Lunas</v>
      </c>
      <c r="O460" s="39" t="n">
        <f aca="false">IF(M460&gt;0,MAX(0,Catatan!$B$3-H460),0)</f>
        <v>0</v>
      </c>
      <c r="P460" s="39" t="str">
        <f aca="false">IF(M460&lt;=0,"Lunas",IF(Catatan!$B$3&lt;=H460,"Belum Jatuh Tempo",IF(O460&lt;=30,"1-30 hari",IF(O460&lt;=60,"31-60 hari",IF(O460&lt;=90,"61-90 hari","90+ hari")))))</f>
        <v>Lunas</v>
      </c>
      <c r="Q460" s="50"/>
      <c r="R460" s="39" t="str">
        <f aca="false">IF(M460&lt;=0,"",IF(O460&gt;60,"1-Tinggi",IF(O460&gt;30,"2-Sedang",IF(O460&gt;0,"3-Rendah","4-Pantau"))))</f>
        <v/>
      </c>
      <c r="S460" s="39" t="str">
        <f aca="false">IF(AND(M460&gt;0,O460&gt;0),O460+M460/1000000000000+ROW()/1000000000000000,"")</f>
        <v/>
      </c>
      <c r="T460" s="39" t="str">
        <f aca="false">IF(J460="Belum ditukar",ROW(),"")</f>
        <v/>
      </c>
    </row>
    <row r="461" customFormat="false" ht="15" hidden="false" customHeight="false" outlineLevel="0" collapsed="false">
      <c r="A461" s="50" t="s">
        <v>735</v>
      </c>
      <c r="B461" s="51" t="n">
        <v>45758</v>
      </c>
      <c r="C461" s="50" t="s">
        <v>199</v>
      </c>
      <c r="D461" s="39" t="str">
        <f aca="false">INDEX(Master_Customer!$B$2:$B$126,MATCH(C461,Master_Customer!$A$2:$A$126,0))</f>
        <v>KARYA SPAREPART</v>
      </c>
      <c r="E461" s="50" t="s">
        <v>29</v>
      </c>
      <c r="F461" s="52" t="n">
        <f aca="false">SUMIFS(Data_Penjualan!$G$2:$G$5998,Data_Penjualan!$A$2:$A$5998,A461)</f>
        <v>6240000</v>
      </c>
      <c r="G461" s="39" t="n">
        <f aca="false">IF(E461="KANTOR",0,INDEX(Master_Customer!$C$2:$C$126,MATCH(C461,Master_Customer!$A$2:$A$126,0)))</f>
        <v>45</v>
      </c>
      <c r="H461" s="53" t="n">
        <f aca="false">B461+G461</f>
        <v>45803</v>
      </c>
      <c r="I461" s="51" t="n">
        <v>45760</v>
      </c>
      <c r="J461" s="39" t="str">
        <f aca="false">IF(G461=0,"Tunai",IF(I461="","Belum ditukar","Sudah ditukar"))</f>
        <v>Sudah ditukar</v>
      </c>
      <c r="K461" s="54" t="n">
        <v>6240000</v>
      </c>
      <c r="L461" s="51" t="n">
        <v>45796</v>
      </c>
      <c r="M461" s="52" t="n">
        <f aca="false">F461-K461</f>
        <v>0</v>
      </c>
      <c r="N461" s="39" t="str">
        <f aca="false">IF(M461&lt;=0,"Lunas",IF(K461&gt;0,"Sebagian","Belum Bayar"))</f>
        <v>Lunas</v>
      </c>
      <c r="O461" s="39" t="n">
        <f aca="false">IF(M461&gt;0,MAX(0,Catatan!$B$3-H461),0)</f>
        <v>0</v>
      </c>
      <c r="P461" s="39" t="str">
        <f aca="false">IF(M461&lt;=0,"Lunas",IF(Catatan!$B$3&lt;=H461,"Belum Jatuh Tempo",IF(O461&lt;=30,"1-30 hari",IF(O461&lt;=60,"31-60 hari",IF(O461&lt;=90,"61-90 hari","90+ hari")))))</f>
        <v>Lunas</v>
      </c>
      <c r="Q461" s="50"/>
      <c r="R461" s="39" t="str">
        <f aca="false">IF(M461&lt;=0,"",IF(O461&gt;60,"1-Tinggi",IF(O461&gt;30,"2-Sedang",IF(O461&gt;0,"3-Rendah","4-Pantau"))))</f>
        <v/>
      </c>
      <c r="S461" s="39" t="str">
        <f aca="false">IF(AND(M461&gt;0,O461&gt;0),O461+M461/1000000000000+ROW()/1000000000000000,"")</f>
        <v/>
      </c>
      <c r="T461" s="39" t="str">
        <f aca="false">IF(J461="Belum ditukar",ROW(),"")</f>
        <v/>
      </c>
    </row>
    <row r="462" customFormat="false" ht="15" hidden="false" customHeight="false" outlineLevel="0" collapsed="false">
      <c r="A462" s="50" t="s">
        <v>736</v>
      </c>
      <c r="B462" s="51" t="n">
        <v>45758</v>
      </c>
      <c r="C462" s="50" t="s">
        <v>737</v>
      </c>
      <c r="D462" s="39" t="str">
        <f aca="false">INDEX(Master_Customer!$B$2:$B$126,MATCH(C462,Master_Customer!$A$2:$A$126,0))</f>
        <v>MAJU GARAGE</v>
      </c>
      <c r="E462" s="50" t="s">
        <v>29</v>
      </c>
      <c r="F462" s="52" t="n">
        <f aca="false">SUMIFS(Data_Penjualan!$G$2:$G$5998,Data_Penjualan!$A$2:$A$5998,A462)</f>
        <v>8192300</v>
      </c>
      <c r="G462" s="39" t="n">
        <f aca="false">IF(E462="KANTOR",0,INDEX(Master_Customer!$C$2:$C$126,MATCH(C462,Master_Customer!$A$2:$A$126,0)))</f>
        <v>45</v>
      </c>
      <c r="H462" s="53" t="n">
        <f aca="false">B462+G462</f>
        <v>45803</v>
      </c>
      <c r="I462" s="51" t="n">
        <v>45760</v>
      </c>
      <c r="J462" s="39" t="str">
        <f aca="false">IF(G462=0,"Tunai",IF(I462="","Belum ditukar","Sudah ditukar"))</f>
        <v>Sudah ditukar</v>
      </c>
      <c r="K462" s="54" t="n">
        <v>8192300</v>
      </c>
      <c r="L462" s="51" t="n">
        <v>45798</v>
      </c>
      <c r="M462" s="52" t="n">
        <f aca="false">F462-K462</f>
        <v>0</v>
      </c>
      <c r="N462" s="39" t="str">
        <f aca="false">IF(M462&lt;=0,"Lunas",IF(K462&gt;0,"Sebagian","Belum Bayar"))</f>
        <v>Lunas</v>
      </c>
      <c r="O462" s="39" t="n">
        <f aca="false">IF(M462&gt;0,MAX(0,Catatan!$B$3-H462),0)</f>
        <v>0</v>
      </c>
      <c r="P462" s="39" t="str">
        <f aca="false">IF(M462&lt;=0,"Lunas",IF(Catatan!$B$3&lt;=H462,"Belum Jatuh Tempo",IF(O462&lt;=30,"1-30 hari",IF(O462&lt;=60,"31-60 hari",IF(O462&lt;=90,"61-90 hari","90+ hari")))))</f>
        <v>Lunas</v>
      </c>
      <c r="Q462" s="50"/>
      <c r="R462" s="39" t="str">
        <f aca="false">IF(M462&lt;=0,"",IF(O462&gt;60,"1-Tinggi",IF(O462&gt;30,"2-Sedang",IF(O462&gt;0,"3-Rendah","4-Pantau"))))</f>
        <v/>
      </c>
      <c r="S462" s="39" t="str">
        <f aca="false">IF(AND(M462&gt;0,O462&gt;0),O462+M462/1000000000000+ROW()/1000000000000000,"")</f>
        <v/>
      </c>
      <c r="T462" s="39" t="str">
        <f aca="false">IF(J462="Belum ditukar",ROW(),"")</f>
        <v/>
      </c>
    </row>
    <row r="463" customFormat="false" ht="15" hidden="false" customHeight="false" outlineLevel="0" collapsed="false">
      <c r="A463" s="50" t="s">
        <v>738</v>
      </c>
      <c r="B463" s="51" t="n">
        <v>45758</v>
      </c>
      <c r="C463" s="50" t="s">
        <v>188</v>
      </c>
      <c r="D463" s="39" t="str">
        <f aca="false">INDEX(Master_Customer!$B$2:$B$126,MATCH(C463,Master_Customer!$A$2:$A$126,0))</f>
        <v>MAJU GARAGE TIRTA</v>
      </c>
      <c r="E463" s="50" t="s">
        <v>31</v>
      </c>
      <c r="F463" s="52" t="n">
        <f aca="false">SUMIFS(Data_Penjualan!$G$2:$G$5998,Data_Penjualan!$A$2:$A$5998,A463)</f>
        <v>14884100</v>
      </c>
      <c r="G463" s="39" t="n">
        <f aca="false">IF(E463="KANTOR",0,INDEX(Master_Customer!$C$2:$C$126,MATCH(C463,Master_Customer!$A$2:$A$126,0)))</f>
        <v>45</v>
      </c>
      <c r="H463" s="53" t="n">
        <f aca="false">B463+G463</f>
        <v>45803</v>
      </c>
      <c r="I463" s="51" t="n">
        <v>45763</v>
      </c>
      <c r="J463" s="39" t="str">
        <f aca="false">IF(G463=0,"Tunai",IF(I463="","Belum ditukar","Sudah ditukar"))</f>
        <v>Sudah ditukar</v>
      </c>
      <c r="K463" s="54" t="n">
        <v>14884100</v>
      </c>
      <c r="L463" s="51" t="n">
        <v>45818</v>
      </c>
      <c r="M463" s="52" t="n">
        <f aca="false">F463-K463</f>
        <v>0</v>
      </c>
      <c r="N463" s="39" t="str">
        <f aca="false">IF(M463&lt;=0,"Lunas",IF(K463&gt;0,"Sebagian","Belum Bayar"))</f>
        <v>Lunas</v>
      </c>
      <c r="O463" s="39" t="n">
        <f aca="false">IF(M463&gt;0,MAX(0,Catatan!$B$3-H463),0)</f>
        <v>0</v>
      </c>
      <c r="P463" s="39" t="str">
        <f aca="false">IF(M463&lt;=0,"Lunas",IF(Catatan!$B$3&lt;=H463,"Belum Jatuh Tempo",IF(O463&lt;=30,"1-30 hari",IF(O463&lt;=60,"31-60 hari",IF(O463&lt;=90,"61-90 hari","90+ hari")))))</f>
        <v>Lunas</v>
      </c>
      <c r="Q463" s="50"/>
      <c r="R463" s="39" t="str">
        <f aca="false">IF(M463&lt;=0,"",IF(O463&gt;60,"1-Tinggi",IF(O463&gt;30,"2-Sedang",IF(O463&gt;0,"3-Rendah","4-Pantau"))))</f>
        <v/>
      </c>
      <c r="S463" s="39" t="str">
        <f aca="false">IF(AND(M463&gt;0,O463&gt;0),O463+M463/1000000000000+ROW()/1000000000000000,"")</f>
        <v/>
      </c>
      <c r="T463" s="39" t="str">
        <f aca="false">IF(J463="Belum ditukar",ROW(),"")</f>
        <v/>
      </c>
    </row>
    <row r="464" customFormat="false" ht="15" hidden="false" customHeight="false" outlineLevel="0" collapsed="false">
      <c r="A464" s="50" t="s">
        <v>739</v>
      </c>
      <c r="B464" s="51" t="n">
        <v>45759</v>
      </c>
      <c r="C464" s="50" t="s">
        <v>574</v>
      </c>
      <c r="D464" s="39" t="str">
        <f aca="false">INDEX(Master_Customer!$B$2:$B$126,MATCH(C464,Master_Customer!$A$2:$A$126,0))</f>
        <v>ABADI SERVICE ABADI</v>
      </c>
      <c r="E464" s="50" t="s">
        <v>29</v>
      </c>
      <c r="F464" s="52" t="n">
        <f aca="false">SUMIFS(Data_Penjualan!$G$2:$G$5998,Data_Penjualan!$A$2:$A$5998,A464)</f>
        <v>11635000</v>
      </c>
      <c r="G464" s="39" t="n">
        <f aca="false">IF(E464="KANTOR",0,INDEX(Master_Customer!$C$2:$C$126,MATCH(C464,Master_Customer!$A$2:$A$126,0)))</f>
        <v>30</v>
      </c>
      <c r="H464" s="53" t="n">
        <f aca="false">B464+G464</f>
        <v>45789</v>
      </c>
      <c r="I464" s="51" t="n">
        <v>45764</v>
      </c>
      <c r="J464" s="39" t="str">
        <f aca="false">IF(G464=0,"Tunai",IF(I464="","Belum ditukar","Sudah ditukar"))</f>
        <v>Sudah ditukar</v>
      </c>
      <c r="K464" s="54" t="n">
        <v>11635000</v>
      </c>
      <c r="L464" s="51" t="n">
        <v>45785</v>
      </c>
      <c r="M464" s="52" t="n">
        <f aca="false">F464-K464</f>
        <v>0</v>
      </c>
      <c r="N464" s="39" t="str">
        <f aca="false">IF(M464&lt;=0,"Lunas",IF(K464&gt;0,"Sebagian","Belum Bayar"))</f>
        <v>Lunas</v>
      </c>
      <c r="O464" s="39" t="n">
        <f aca="false">IF(M464&gt;0,MAX(0,Catatan!$B$3-H464),0)</f>
        <v>0</v>
      </c>
      <c r="P464" s="39" t="str">
        <f aca="false">IF(M464&lt;=0,"Lunas",IF(Catatan!$B$3&lt;=H464,"Belum Jatuh Tempo",IF(O464&lt;=30,"1-30 hari",IF(O464&lt;=60,"31-60 hari",IF(O464&lt;=90,"61-90 hari","90+ hari")))))</f>
        <v>Lunas</v>
      </c>
      <c r="Q464" s="50"/>
      <c r="R464" s="39" t="str">
        <f aca="false">IF(M464&lt;=0,"",IF(O464&gt;60,"1-Tinggi",IF(O464&gt;30,"2-Sedang",IF(O464&gt;0,"3-Rendah","4-Pantau"))))</f>
        <v/>
      </c>
      <c r="S464" s="39" t="str">
        <f aca="false">IF(AND(M464&gt;0,O464&gt;0),O464+M464/1000000000000+ROW()/1000000000000000,"")</f>
        <v/>
      </c>
      <c r="T464" s="39" t="str">
        <f aca="false">IF(J464="Belum ditukar",ROW(),"")</f>
        <v/>
      </c>
    </row>
    <row r="465" customFormat="false" ht="15" hidden="false" customHeight="false" outlineLevel="0" collapsed="false">
      <c r="A465" s="50" t="s">
        <v>740</v>
      </c>
      <c r="B465" s="51" t="n">
        <v>45759</v>
      </c>
      <c r="C465" s="50" t="s">
        <v>666</v>
      </c>
      <c r="D465" s="39" t="str">
        <f aca="false">INDEX(Master_Customer!$B$2:$B$126,MATCH(C465,Master_Customer!$A$2:$A$126,0))</f>
        <v>SUMBER MOTOR</v>
      </c>
      <c r="E465" s="50" t="s">
        <v>30</v>
      </c>
      <c r="F465" s="52" t="n">
        <f aca="false">SUMIFS(Data_Penjualan!$G$2:$G$5998,Data_Penjualan!$A$2:$A$5998,A465)</f>
        <v>9923900</v>
      </c>
      <c r="G465" s="39" t="n">
        <f aca="false">IF(E465="KANTOR",0,INDEX(Master_Customer!$C$2:$C$126,MATCH(C465,Master_Customer!$A$2:$A$126,0)))</f>
        <v>30</v>
      </c>
      <c r="H465" s="53" t="n">
        <f aca="false">B465+G465</f>
        <v>45789</v>
      </c>
      <c r="I465" s="51" t="n">
        <v>45763</v>
      </c>
      <c r="J465" s="39" t="str">
        <f aca="false">IF(G465=0,"Tunai",IF(I465="","Belum ditukar","Sudah ditukar"))</f>
        <v>Sudah ditukar</v>
      </c>
      <c r="K465" s="54" t="n">
        <v>9923900</v>
      </c>
      <c r="L465" s="51" t="n">
        <v>45782</v>
      </c>
      <c r="M465" s="52" t="n">
        <f aca="false">F465-K465</f>
        <v>0</v>
      </c>
      <c r="N465" s="39" t="str">
        <f aca="false">IF(M465&lt;=0,"Lunas",IF(K465&gt;0,"Sebagian","Belum Bayar"))</f>
        <v>Lunas</v>
      </c>
      <c r="O465" s="39" t="n">
        <f aca="false">IF(M465&gt;0,MAX(0,Catatan!$B$3-H465),0)</f>
        <v>0</v>
      </c>
      <c r="P465" s="39" t="str">
        <f aca="false">IF(M465&lt;=0,"Lunas",IF(Catatan!$B$3&lt;=H465,"Belum Jatuh Tempo",IF(O465&lt;=30,"1-30 hari",IF(O465&lt;=60,"31-60 hari",IF(O465&lt;=90,"61-90 hari","90+ hari")))))</f>
        <v>Lunas</v>
      </c>
      <c r="Q465" s="50"/>
      <c r="R465" s="39" t="str">
        <f aca="false">IF(M465&lt;=0,"",IF(O465&gt;60,"1-Tinggi",IF(O465&gt;30,"2-Sedang",IF(O465&gt;0,"3-Rendah","4-Pantau"))))</f>
        <v/>
      </c>
      <c r="S465" s="39" t="str">
        <f aca="false">IF(AND(M465&gt;0,O465&gt;0),O465+M465/1000000000000+ROW()/1000000000000000,"")</f>
        <v/>
      </c>
      <c r="T465" s="39" t="str">
        <f aca="false">IF(J465="Belum ditukar",ROW(),"")</f>
        <v/>
      </c>
    </row>
    <row r="466" customFormat="false" ht="15" hidden="false" customHeight="false" outlineLevel="0" collapsed="false">
      <c r="A466" s="50" t="s">
        <v>741</v>
      </c>
      <c r="B466" s="51" t="n">
        <v>45759</v>
      </c>
      <c r="C466" s="50" t="s">
        <v>174</v>
      </c>
      <c r="D466" s="39" t="str">
        <f aca="false">INDEX(Master_Customer!$B$2:$B$126,MATCH(C466,Master_Customer!$A$2:$A$126,0))</f>
        <v>SUMBER TEKNIK SURYA</v>
      </c>
      <c r="E466" s="50" t="s">
        <v>31</v>
      </c>
      <c r="F466" s="52" t="n">
        <f aca="false">SUMIFS(Data_Penjualan!$G$2:$G$5998,Data_Penjualan!$A$2:$A$5998,A466)</f>
        <v>4457300</v>
      </c>
      <c r="G466" s="39" t="n">
        <f aca="false">IF(E466="KANTOR",0,INDEX(Master_Customer!$C$2:$C$126,MATCH(C466,Master_Customer!$A$2:$A$126,0)))</f>
        <v>30</v>
      </c>
      <c r="H466" s="53" t="n">
        <f aca="false">B466+G466</f>
        <v>45789</v>
      </c>
      <c r="I466" s="51" t="n">
        <v>45761</v>
      </c>
      <c r="J466" s="39" t="str">
        <f aca="false">IF(G466=0,"Tunai",IF(I466="","Belum ditukar","Sudah ditukar"))</f>
        <v>Sudah ditukar</v>
      </c>
      <c r="K466" s="54" t="n">
        <v>4457300</v>
      </c>
      <c r="L466" s="51" t="n">
        <v>45794</v>
      </c>
      <c r="M466" s="52" t="n">
        <f aca="false">F466-K466</f>
        <v>0</v>
      </c>
      <c r="N466" s="39" t="str">
        <f aca="false">IF(M466&lt;=0,"Lunas",IF(K466&gt;0,"Sebagian","Belum Bayar"))</f>
        <v>Lunas</v>
      </c>
      <c r="O466" s="39" t="n">
        <f aca="false">IF(M466&gt;0,MAX(0,Catatan!$B$3-H466),0)</f>
        <v>0</v>
      </c>
      <c r="P466" s="39" t="str">
        <f aca="false">IF(M466&lt;=0,"Lunas",IF(Catatan!$B$3&lt;=H466,"Belum Jatuh Tempo",IF(O466&lt;=30,"1-30 hari",IF(O466&lt;=60,"31-60 hari",IF(O466&lt;=90,"61-90 hari","90+ hari")))))</f>
        <v>Lunas</v>
      </c>
      <c r="Q466" s="50"/>
      <c r="R466" s="39" t="str">
        <f aca="false">IF(M466&lt;=0,"",IF(O466&gt;60,"1-Tinggi",IF(O466&gt;30,"2-Sedang",IF(O466&gt;0,"3-Rendah","4-Pantau"))))</f>
        <v/>
      </c>
      <c r="S466" s="39" t="str">
        <f aca="false">IF(AND(M466&gt;0,O466&gt;0),O466+M466/1000000000000+ROW()/1000000000000000,"")</f>
        <v/>
      </c>
      <c r="T466" s="39" t="str">
        <f aca="false">IF(J466="Belum ditukar",ROW(),"")</f>
        <v/>
      </c>
    </row>
    <row r="467" customFormat="false" ht="15" hidden="false" customHeight="false" outlineLevel="0" collapsed="false">
      <c r="A467" s="50" t="s">
        <v>742</v>
      </c>
      <c r="B467" s="51" t="n">
        <v>45759</v>
      </c>
      <c r="C467" s="50" t="s">
        <v>166</v>
      </c>
      <c r="D467" s="39" t="str">
        <f aca="false">INDEX(Master_Customer!$B$2:$B$126,MATCH(C467,Master_Customer!$A$2:$A$126,0))</f>
        <v>SENTOSA SERVICE</v>
      </c>
      <c r="E467" s="50" t="s">
        <v>30</v>
      </c>
      <c r="F467" s="52" t="n">
        <f aca="false">SUMIFS(Data_Penjualan!$G$2:$G$5998,Data_Penjualan!$A$2:$A$5998,A467)</f>
        <v>6614000</v>
      </c>
      <c r="G467" s="39" t="n">
        <f aca="false">IF(E467="KANTOR",0,INDEX(Master_Customer!$C$2:$C$126,MATCH(C467,Master_Customer!$A$2:$A$126,0)))</f>
        <v>0</v>
      </c>
      <c r="H467" s="53" t="n">
        <f aca="false">B467+G467</f>
        <v>45759</v>
      </c>
      <c r="J467" s="39" t="str">
        <f aca="false">IF(G467=0,"Tunai",IF(I467="","Belum ditukar","Sudah ditukar"))</f>
        <v>Tunai</v>
      </c>
      <c r="K467" s="54" t="n">
        <v>6614000</v>
      </c>
      <c r="L467" s="51" t="n">
        <v>45761</v>
      </c>
      <c r="M467" s="52" t="n">
        <f aca="false">F467-K467</f>
        <v>0</v>
      </c>
      <c r="N467" s="39" t="str">
        <f aca="false">IF(M467&lt;=0,"Lunas",IF(K467&gt;0,"Sebagian","Belum Bayar"))</f>
        <v>Lunas</v>
      </c>
      <c r="O467" s="39" t="n">
        <f aca="false">IF(M467&gt;0,MAX(0,Catatan!$B$3-H467),0)</f>
        <v>0</v>
      </c>
      <c r="P467" s="39" t="str">
        <f aca="false">IF(M467&lt;=0,"Lunas",IF(Catatan!$B$3&lt;=H467,"Belum Jatuh Tempo",IF(O467&lt;=30,"1-30 hari",IF(O467&lt;=60,"31-60 hari",IF(O467&lt;=90,"61-90 hari","90+ hari")))))</f>
        <v>Lunas</v>
      </c>
      <c r="Q467" s="50"/>
      <c r="R467" s="39" t="str">
        <f aca="false">IF(M467&lt;=0,"",IF(O467&gt;60,"1-Tinggi",IF(O467&gt;30,"2-Sedang",IF(O467&gt;0,"3-Rendah","4-Pantau"))))</f>
        <v/>
      </c>
      <c r="S467" s="39" t="str">
        <f aca="false">IF(AND(M467&gt;0,O467&gt;0),O467+M467/1000000000000+ROW()/1000000000000000,"")</f>
        <v/>
      </c>
      <c r="T467" s="39" t="str">
        <f aca="false">IF(J467="Belum ditukar",ROW(),"")</f>
        <v/>
      </c>
    </row>
    <row r="468" customFormat="false" ht="15" hidden="false" customHeight="false" outlineLevel="0" collapsed="false">
      <c r="A468" s="50" t="s">
        <v>743</v>
      </c>
      <c r="B468" s="51" t="n">
        <v>45759</v>
      </c>
      <c r="C468" s="50" t="s">
        <v>271</v>
      </c>
      <c r="D468" s="39" t="str">
        <f aca="false">INDEX(Master_Customer!$B$2:$B$126,MATCH(C468,Master_Customer!$A$2:$A$126,0))</f>
        <v>CAHAYA MOTOR</v>
      </c>
      <c r="E468" s="50" t="s">
        <v>28</v>
      </c>
      <c r="F468" s="52" t="n">
        <f aca="false">SUMIFS(Data_Penjualan!$G$2:$G$5998,Data_Penjualan!$A$2:$A$5998,A468)</f>
        <v>13459200</v>
      </c>
      <c r="G468" s="39" t="n">
        <f aca="false">IF(E468="KANTOR",0,INDEX(Master_Customer!$C$2:$C$126,MATCH(C468,Master_Customer!$A$2:$A$126,0)))</f>
        <v>14</v>
      </c>
      <c r="H468" s="53" t="n">
        <f aca="false">B468+G468</f>
        <v>45773</v>
      </c>
      <c r="I468" s="51" t="n">
        <v>45763</v>
      </c>
      <c r="J468" s="39" t="str">
        <f aca="false">IF(G468=0,"Tunai",IF(I468="","Belum ditukar","Sudah ditukar"))</f>
        <v>Sudah ditukar</v>
      </c>
      <c r="K468" s="54" t="n">
        <v>13459200</v>
      </c>
      <c r="L468" s="51" t="n">
        <v>45768</v>
      </c>
      <c r="M468" s="52" t="n">
        <f aca="false">F468-K468</f>
        <v>0</v>
      </c>
      <c r="N468" s="39" t="str">
        <f aca="false">IF(M468&lt;=0,"Lunas",IF(K468&gt;0,"Sebagian","Belum Bayar"))</f>
        <v>Lunas</v>
      </c>
      <c r="O468" s="39" t="n">
        <f aca="false">IF(M468&gt;0,MAX(0,Catatan!$B$3-H468),0)</f>
        <v>0</v>
      </c>
      <c r="P468" s="39" t="str">
        <f aca="false">IF(M468&lt;=0,"Lunas",IF(Catatan!$B$3&lt;=H468,"Belum Jatuh Tempo",IF(O468&lt;=30,"1-30 hari",IF(O468&lt;=60,"31-60 hari",IF(O468&lt;=90,"61-90 hari","90+ hari")))))</f>
        <v>Lunas</v>
      </c>
      <c r="Q468" s="50"/>
      <c r="R468" s="39" t="str">
        <f aca="false">IF(M468&lt;=0,"",IF(O468&gt;60,"1-Tinggi",IF(O468&gt;30,"2-Sedang",IF(O468&gt;0,"3-Rendah","4-Pantau"))))</f>
        <v/>
      </c>
      <c r="S468" s="39" t="str">
        <f aca="false">IF(AND(M468&gt;0,O468&gt;0),O468+M468/1000000000000+ROW()/1000000000000000,"")</f>
        <v/>
      </c>
      <c r="T468" s="39" t="str">
        <f aca="false">IF(J468="Belum ditukar",ROW(),"")</f>
        <v/>
      </c>
    </row>
    <row r="469" customFormat="false" ht="15" hidden="false" customHeight="false" outlineLevel="0" collapsed="false">
      <c r="A469" s="50" t="s">
        <v>744</v>
      </c>
      <c r="B469" s="51" t="n">
        <v>45759</v>
      </c>
      <c r="C469" s="50" t="s">
        <v>358</v>
      </c>
      <c r="D469" s="39" t="str">
        <f aca="false">INDEX(Master_Customer!$B$2:$B$126,MATCH(C469,Master_Customer!$A$2:$A$126,0))</f>
        <v>HARAPAN TEKNIK</v>
      </c>
      <c r="E469" s="50" t="s">
        <v>32</v>
      </c>
      <c r="F469" s="52" t="n">
        <f aca="false">SUMIFS(Data_Penjualan!$G$2:$G$5998,Data_Penjualan!$A$2:$A$5998,A469)</f>
        <v>22534800</v>
      </c>
      <c r="G469" s="39" t="n">
        <f aca="false">IF(E469="KANTOR",0,INDEX(Master_Customer!$C$2:$C$126,MATCH(C469,Master_Customer!$A$2:$A$126,0)))</f>
        <v>0</v>
      </c>
      <c r="H469" s="53" t="n">
        <f aca="false">B469+G469</f>
        <v>45759</v>
      </c>
      <c r="J469" s="39" t="str">
        <f aca="false">IF(G469=0,"Tunai",IF(I469="","Belum ditukar","Sudah ditukar"))</f>
        <v>Tunai</v>
      </c>
      <c r="K469" s="54" t="n">
        <v>22534800</v>
      </c>
      <c r="L469" s="51" t="n">
        <v>45759</v>
      </c>
      <c r="M469" s="52" t="n">
        <f aca="false">F469-K469</f>
        <v>0</v>
      </c>
      <c r="N469" s="39" t="str">
        <f aca="false">IF(M469&lt;=0,"Lunas",IF(K469&gt;0,"Sebagian","Belum Bayar"))</f>
        <v>Lunas</v>
      </c>
      <c r="O469" s="39" t="n">
        <f aca="false">IF(M469&gt;0,MAX(0,Catatan!$B$3-H469),0)</f>
        <v>0</v>
      </c>
      <c r="P469" s="39" t="str">
        <f aca="false">IF(M469&lt;=0,"Lunas",IF(Catatan!$B$3&lt;=H469,"Belum Jatuh Tempo",IF(O469&lt;=30,"1-30 hari",IF(O469&lt;=60,"31-60 hari",IF(O469&lt;=90,"61-90 hari","90+ hari")))))</f>
        <v>Lunas</v>
      </c>
      <c r="Q469" s="50"/>
      <c r="R469" s="39" t="str">
        <f aca="false">IF(M469&lt;=0,"",IF(O469&gt;60,"1-Tinggi",IF(O469&gt;30,"2-Sedang",IF(O469&gt;0,"3-Rendah","4-Pantau"))))</f>
        <v/>
      </c>
      <c r="S469" s="39" t="str">
        <f aca="false">IF(AND(M469&gt;0,O469&gt;0),O469+M469/1000000000000+ROW()/1000000000000000,"")</f>
        <v/>
      </c>
      <c r="T469" s="39" t="str">
        <f aca="false">IF(J469="Belum ditukar",ROW(),"")</f>
        <v/>
      </c>
    </row>
    <row r="470" customFormat="false" ht="15" hidden="false" customHeight="false" outlineLevel="0" collapsed="false">
      <c r="A470" s="50" t="s">
        <v>745</v>
      </c>
      <c r="B470" s="51" t="n">
        <v>45761</v>
      </c>
      <c r="C470" s="50" t="s">
        <v>166</v>
      </c>
      <c r="D470" s="39" t="str">
        <f aca="false">INDEX(Master_Customer!$B$2:$B$126,MATCH(C470,Master_Customer!$A$2:$A$126,0))</f>
        <v>SENTOSA SERVICE</v>
      </c>
      <c r="E470" s="50" t="s">
        <v>32</v>
      </c>
      <c r="F470" s="52" t="n">
        <f aca="false">SUMIFS(Data_Penjualan!$G$2:$G$5998,Data_Penjualan!$A$2:$A$5998,A470)</f>
        <v>16179100</v>
      </c>
      <c r="G470" s="39" t="n">
        <f aca="false">IF(E470="KANTOR",0,INDEX(Master_Customer!$C$2:$C$126,MATCH(C470,Master_Customer!$A$2:$A$126,0)))</f>
        <v>0</v>
      </c>
      <c r="H470" s="53" t="n">
        <f aca="false">B470+G470</f>
        <v>45761</v>
      </c>
      <c r="J470" s="39" t="str">
        <f aca="false">IF(G470=0,"Tunai",IF(I470="","Belum ditukar","Sudah ditukar"))</f>
        <v>Tunai</v>
      </c>
      <c r="K470" s="54" t="n">
        <v>16179100</v>
      </c>
      <c r="L470" s="51" t="n">
        <v>45762</v>
      </c>
      <c r="M470" s="52" t="n">
        <f aca="false">F470-K470</f>
        <v>0</v>
      </c>
      <c r="N470" s="39" t="str">
        <f aca="false">IF(M470&lt;=0,"Lunas",IF(K470&gt;0,"Sebagian","Belum Bayar"))</f>
        <v>Lunas</v>
      </c>
      <c r="O470" s="39" t="n">
        <f aca="false">IF(M470&gt;0,MAX(0,Catatan!$B$3-H470),0)</f>
        <v>0</v>
      </c>
      <c r="P470" s="39" t="str">
        <f aca="false">IF(M470&lt;=0,"Lunas",IF(Catatan!$B$3&lt;=H470,"Belum Jatuh Tempo",IF(O470&lt;=30,"1-30 hari",IF(O470&lt;=60,"31-60 hari",IF(O470&lt;=90,"61-90 hari","90+ hari")))))</f>
        <v>Lunas</v>
      </c>
      <c r="Q470" s="50"/>
      <c r="R470" s="39" t="str">
        <f aca="false">IF(M470&lt;=0,"",IF(O470&gt;60,"1-Tinggi",IF(O470&gt;30,"2-Sedang",IF(O470&gt;0,"3-Rendah","4-Pantau"))))</f>
        <v/>
      </c>
      <c r="S470" s="39" t="str">
        <f aca="false">IF(AND(M470&gt;0,O470&gt;0),O470+M470/1000000000000+ROW()/1000000000000000,"")</f>
        <v/>
      </c>
      <c r="T470" s="39" t="str">
        <f aca="false">IF(J470="Belum ditukar",ROW(),"")</f>
        <v/>
      </c>
    </row>
    <row r="471" customFormat="false" ht="15" hidden="false" customHeight="false" outlineLevel="0" collapsed="false">
      <c r="A471" s="50" t="s">
        <v>746</v>
      </c>
      <c r="B471" s="51" t="n">
        <v>45761</v>
      </c>
      <c r="C471" s="50" t="s">
        <v>170</v>
      </c>
      <c r="D471" s="39" t="str">
        <f aca="false">INDEX(Master_Customer!$B$2:$B$126,MATCH(C471,Master_Customer!$A$2:$A$126,0))</f>
        <v>HARAPAN MOTOR</v>
      </c>
      <c r="E471" s="50" t="s">
        <v>30</v>
      </c>
      <c r="F471" s="52" t="n">
        <f aca="false">SUMIFS(Data_Penjualan!$G$2:$G$5998,Data_Penjualan!$A$2:$A$5998,A471)</f>
        <v>8050100</v>
      </c>
      <c r="G471" s="39" t="n">
        <f aca="false">IF(E471="KANTOR",0,INDEX(Master_Customer!$C$2:$C$126,MATCH(C471,Master_Customer!$A$2:$A$126,0)))</f>
        <v>45</v>
      </c>
      <c r="H471" s="53" t="n">
        <f aca="false">B471+G471</f>
        <v>45806</v>
      </c>
      <c r="I471" s="51" t="n">
        <v>45764</v>
      </c>
      <c r="J471" s="39" t="str">
        <f aca="false">IF(G471=0,"Tunai",IF(I471="","Belum ditukar","Sudah ditukar"))</f>
        <v>Sudah ditukar</v>
      </c>
      <c r="K471" s="54" t="n">
        <v>8050100</v>
      </c>
      <c r="L471" s="51" t="n">
        <v>45808</v>
      </c>
      <c r="M471" s="52" t="n">
        <f aca="false">F471-K471</f>
        <v>0</v>
      </c>
      <c r="N471" s="39" t="str">
        <f aca="false">IF(M471&lt;=0,"Lunas",IF(K471&gt;0,"Sebagian","Belum Bayar"))</f>
        <v>Lunas</v>
      </c>
      <c r="O471" s="39" t="n">
        <f aca="false">IF(M471&gt;0,MAX(0,Catatan!$B$3-H471),0)</f>
        <v>0</v>
      </c>
      <c r="P471" s="39" t="str">
        <f aca="false">IF(M471&lt;=0,"Lunas",IF(Catatan!$B$3&lt;=H471,"Belum Jatuh Tempo",IF(O471&lt;=30,"1-30 hari",IF(O471&lt;=60,"31-60 hari",IF(O471&lt;=90,"61-90 hari","90+ hari")))))</f>
        <v>Lunas</v>
      </c>
      <c r="Q471" s="50"/>
      <c r="R471" s="39" t="str">
        <f aca="false">IF(M471&lt;=0,"",IF(O471&gt;60,"1-Tinggi",IF(O471&gt;30,"2-Sedang",IF(O471&gt;0,"3-Rendah","4-Pantau"))))</f>
        <v/>
      </c>
      <c r="S471" s="39" t="str">
        <f aca="false">IF(AND(M471&gt;0,O471&gt;0),O471+M471/1000000000000+ROW()/1000000000000000,"")</f>
        <v/>
      </c>
      <c r="T471" s="39" t="str">
        <f aca="false">IF(J471="Belum ditukar",ROW(),"")</f>
        <v/>
      </c>
    </row>
    <row r="472" customFormat="false" ht="15" hidden="false" customHeight="false" outlineLevel="0" collapsed="false">
      <c r="A472" s="50" t="s">
        <v>747</v>
      </c>
      <c r="B472" s="51" t="n">
        <v>45761</v>
      </c>
      <c r="C472" s="50" t="s">
        <v>174</v>
      </c>
      <c r="D472" s="39" t="str">
        <f aca="false">INDEX(Master_Customer!$B$2:$B$126,MATCH(C472,Master_Customer!$A$2:$A$126,0))</f>
        <v>SUMBER TEKNIK SURYA</v>
      </c>
      <c r="E472" s="50" t="s">
        <v>31</v>
      </c>
      <c r="F472" s="52" t="n">
        <f aca="false">SUMIFS(Data_Penjualan!$G$2:$G$5998,Data_Penjualan!$A$2:$A$5998,A472)</f>
        <v>10704800</v>
      </c>
      <c r="G472" s="39" t="n">
        <f aca="false">IF(E472="KANTOR",0,INDEX(Master_Customer!$C$2:$C$126,MATCH(C472,Master_Customer!$A$2:$A$126,0)))</f>
        <v>30</v>
      </c>
      <c r="H472" s="53" t="n">
        <f aca="false">B472+G472</f>
        <v>45791</v>
      </c>
      <c r="I472" s="51" t="n">
        <v>45763</v>
      </c>
      <c r="J472" s="39" t="str">
        <f aca="false">IF(G472=0,"Tunai",IF(I472="","Belum ditukar","Sudah ditukar"))</f>
        <v>Sudah ditukar</v>
      </c>
      <c r="K472" s="54" t="n">
        <v>10704800</v>
      </c>
      <c r="L472" s="51" t="n">
        <v>45785</v>
      </c>
      <c r="M472" s="52" t="n">
        <f aca="false">F472-K472</f>
        <v>0</v>
      </c>
      <c r="N472" s="39" t="str">
        <f aca="false">IF(M472&lt;=0,"Lunas",IF(K472&gt;0,"Sebagian","Belum Bayar"))</f>
        <v>Lunas</v>
      </c>
      <c r="O472" s="39" t="n">
        <f aca="false">IF(M472&gt;0,MAX(0,Catatan!$B$3-H472),0)</f>
        <v>0</v>
      </c>
      <c r="P472" s="39" t="str">
        <f aca="false">IF(M472&lt;=0,"Lunas",IF(Catatan!$B$3&lt;=H472,"Belum Jatuh Tempo",IF(O472&lt;=30,"1-30 hari",IF(O472&lt;=60,"31-60 hari",IF(O472&lt;=90,"61-90 hari","90+ hari")))))</f>
        <v>Lunas</v>
      </c>
      <c r="Q472" s="50"/>
      <c r="R472" s="39" t="str">
        <f aca="false">IF(M472&lt;=0,"",IF(O472&gt;60,"1-Tinggi",IF(O472&gt;30,"2-Sedang",IF(O472&gt;0,"3-Rendah","4-Pantau"))))</f>
        <v/>
      </c>
      <c r="S472" s="39" t="str">
        <f aca="false">IF(AND(M472&gt;0,O472&gt;0),O472+M472/1000000000000+ROW()/1000000000000000,"")</f>
        <v/>
      </c>
      <c r="T472" s="39" t="str">
        <f aca="false">IF(J472="Belum ditukar",ROW(),"")</f>
        <v/>
      </c>
    </row>
    <row r="473" customFormat="false" ht="15" hidden="false" customHeight="false" outlineLevel="0" collapsed="false">
      <c r="A473" s="50" t="s">
        <v>748</v>
      </c>
      <c r="B473" s="51" t="n">
        <v>45761</v>
      </c>
      <c r="C473" s="50" t="s">
        <v>197</v>
      </c>
      <c r="D473" s="39" t="str">
        <f aca="false">INDEX(Master_Customer!$B$2:$B$126,MATCH(C473,Master_Customer!$A$2:$A$126,0))</f>
        <v>UTAMA LUBRICANT HARAPAN</v>
      </c>
      <c r="E473" s="50" t="s">
        <v>32</v>
      </c>
      <c r="F473" s="52" t="n">
        <f aca="false">SUMIFS(Data_Penjualan!$G$2:$G$5998,Data_Penjualan!$A$2:$A$5998,A473)</f>
        <v>12535000</v>
      </c>
      <c r="G473" s="39" t="n">
        <f aca="false">IF(E473="KANTOR",0,INDEX(Master_Customer!$C$2:$C$126,MATCH(C473,Master_Customer!$A$2:$A$126,0)))</f>
        <v>0</v>
      </c>
      <c r="H473" s="53" t="n">
        <f aca="false">B473+G473</f>
        <v>45761</v>
      </c>
      <c r="J473" s="39" t="str">
        <f aca="false">IF(G473=0,"Tunai",IF(I473="","Belum ditukar","Sudah ditukar"))</f>
        <v>Tunai</v>
      </c>
      <c r="K473" s="54" t="n">
        <v>12535000</v>
      </c>
      <c r="L473" s="51" t="n">
        <v>45762</v>
      </c>
      <c r="M473" s="52" t="n">
        <f aca="false">F473-K473</f>
        <v>0</v>
      </c>
      <c r="N473" s="39" t="str">
        <f aca="false">IF(M473&lt;=0,"Lunas",IF(K473&gt;0,"Sebagian","Belum Bayar"))</f>
        <v>Lunas</v>
      </c>
      <c r="O473" s="39" t="n">
        <f aca="false">IF(M473&gt;0,MAX(0,Catatan!$B$3-H473),0)</f>
        <v>0</v>
      </c>
      <c r="P473" s="39" t="str">
        <f aca="false">IF(M473&lt;=0,"Lunas",IF(Catatan!$B$3&lt;=H473,"Belum Jatuh Tempo",IF(O473&lt;=30,"1-30 hari",IF(O473&lt;=60,"31-60 hari",IF(O473&lt;=90,"61-90 hari","90+ hari")))))</f>
        <v>Lunas</v>
      </c>
      <c r="Q473" s="50"/>
      <c r="R473" s="39" t="str">
        <f aca="false">IF(M473&lt;=0,"",IF(O473&gt;60,"1-Tinggi",IF(O473&gt;30,"2-Sedang",IF(O473&gt;0,"3-Rendah","4-Pantau"))))</f>
        <v/>
      </c>
      <c r="S473" s="39" t="str">
        <f aca="false">IF(AND(M473&gt;0,O473&gt;0),O473+M473/1000000000000+ROW()/1000000000000000,"")</f>
        <v/>
      </c>
      <c r="T473" s="39" t="str">
        <f aca="false">IF(J473="Belum ditukar",ROW(),"")</f>
        <v/>
      </c>
    </row>
    <row r="474" customFormat="false" ht="15" hidden="false" customHeight="false" outlineLevel="0" collapsed="false">
      <c r="A474" s="50" t="s">
        <v>749</v>
      </c>
      <c r="B474" s="51" t="n">
        <v>45761</v>
      </c>
      <c r="C474" s="50" t="s">
        <v>737</v>
      </c>
      <c r="D474" s="39" t="str">
        <f aca="false">INDEX(Master_Customer!$B$2:$B$126,MATCH(C474,Master_Customer!$A$2:$A$126,0))</f>
        <v>MAJU GARAGE</v>
      </c>
      <c r="E474" s="50" t="s">
        <v>29</v>
      </c>
      <c r="F474" s="52" t="n">
        <f aca="false">SUMIFS(Data_Penjualan!$G$2:$G$5998,Data_Penjualan!$A$2:$A$5998,A474)</f>
        <v>13369200</v>
      </c>
      <c r="G474" s="39" t="n">
        <f aca="false">IF(E474="KANTOR",0,INDEX(Master_Customer!$C$2:$C$126,MATCH(C474,Master_Customer!$A$2:$A$126,0)))</f>
        <v>45</v>
      </c>
      <c r="H474" s="53" t="n">
        <f aca="false">B474+G474</f>
        <v>45806</v>
      </c>
      <c r="I474" s="51" t="n">
        <v>45765</v>
      </c>
      <c r="J474" s="39" t="str">
        <f aca="false">IF(G474=0,"Tunai",IF(I474="","Belum ditukar","Sudah ditukar"))</f>
        <v>Sudah ditukar</v>
      </c>
      <c r="K474" s="54" t="n">
        <v>13369200</v>
      </c>
      <c r="L474" s="51" t="n">
        <v>45799</v>
      </c>
      <c r="M474" s="52" t="n">
        <f aca="false">F474-K474</f>
        <v>0</v>
      </c>
      <c r="N474" s="39" t="str">
        <f aca="false">IF(M474&lt;=0,"Lunas",IF(K474&gt;0,"Sebagian","Belum Bayar"))</f>
        <v>Lunas</v>
      </c>
      <c r="O474" s="39" t="n">
        <f aca="false">IF(M474&gt;0,MAX(0,Catatan!$B$3-H474),0)</f>
        <v>0</v>
      </c>
      <c r="P474" s="39" t="str">
        <f aca="false">IF(M474&lt;=0,"Lunas",IF(Catatan!$B$3&lt;=H474,"Belum Jatuh Tempo",IF(O474&lt;=30,"1-30 hari",IF(O474&lt;=60,"31-60 hari",IF(O474&lt;=90,"61-90 hari","90+ hari")))))</f>
        <v>Lunas</v>
      </c>
      <c r="Q474" s="50"/>
      <c r="R474" s="39" t="str">
        <f aca="false">IF(M474&lt;=0,"",IF(O474&gt;60,"1-Tinggi",IF(O474&gt;30,"2-Sedang",IF(O474&gt;0,"3-Rendah","4-Pantau"))))</f>
        <v/>
      </c>
      <c r="S474" s="39" t="str">
        <f aca="false">IF(AND(M474&gt;0,O474&gt;0),O474+M474/1000000000000+ROW()/1000000000000000,"")</f>
        <v/>
      </c>
      <c r="T474" s="39" t="str">
        <f aca="false">IF(J474="Belum ditukar",ROW(),"")</f>
        <v/>
      </c>
    </row>
    <row r="475" customFormat="false" ht="15" hidden="false" customHeight="false" outlineLevel="0" collapsed="false">
      <c r="A475" s="50" t="s">
        <v>750</v>
      </c>
      <c r="B475" s="51" t="n">
        <v>45761</v>
      </c>
      <c r="C475" s="50" t="s">
        <v>737</v>
      </c>
      <c r="D475" s="39" t="str">
        <f aca="false">INDEX(Master_Customer!$B$2:$B$126,MATCH(C475,Master_Customer!$A$2:$A$126,0))</f>
        <v>MAJU GARAGE</v>
      </c>
      <c r="E475" s="50" t="s">
        <v>32</v>
      </c>
      <c r="F475" s="52" t="n">
        <f aca="false">SUMIFS(Data_Penjualan!$G$2:$G$5998,Data_Penjualan!$A$2:$A$5998,A475)</f>
        <v>2766600</v>
      </c>
      <c r="G475" s="39" t="n">
        <f aca="false">IF(E475="KANTOR",0,INDEX(Master_Customer!$C$2:$C$126,MATCH(C475,Master_Customer!$A$2:$A$126,0)))</f>
        <v>0</v>
      </c>
      <c r="H475" s="53" t="n">
        <f aca="false">B475+G475</f>
        <v>45761</v>
      </c>
      <c r="J475" s="39" t="str">
        <f aca="false">IF(G475=0,"Tunai",IF(I475="","Belum ditukar","Sudah ditukar"))</f>
        <v>Tunai</v>
      </c>
      <c r="K475" s="54" t="n">
        <v>2766600</v>
      </c>
      <c r="L475" s="51" t="n">
        <v>45761</v>
      </c>
      <c r="M475" s="52" t="n">
        <f aca="false">F475-K475</f>
        <v>0</v>
      </c>
      <c r="N475" s="39" t="str">
        <f aca="false">IF(M475&lt;=0,"Lunas",IF(K475&gt;0,"Sebagian","Belum Bayar"))</f>
        <v>Lunas</v>
      </c>
      <c r="O475" s="39" t="n">
        <f aca="false">IF(M475&gt;0,MAX(0,Catatan!$B$3-H475),0)</f>
        <v>0</v>
      </c>
      <c r="P475" s="39" t="str">
        <f aca="false">IF(M475&lt;=0,"Lunas",IF(Catatan!$B$3&lt;=H475,"Belum Jatuh Tempo",IF(O475&lt;=30,"1-30 hari",IF(O475&lt;=60,"31-60 hari",IF(O475&lt;=90,"61-90 hari","90+ hari")))))</f>
        <v>Lunas</v>
      </c>
      <c r="Q475" s="50"/>
      <c r="R475" s="39" t="str">
        <f aca="false">IF(M475&lt;=0,"",IF(O475&gt;60,"1-Tinggi",IF(O475&gt;30,"2-Sedang",IF(O475&gt;0,"3-Rendah","4-Pantau"))))</f>
        <v/>
      </c>
      <c r="S475" s="39" t="str">
        <f aca="false">IF(AND(M475&gt;0,O475&gt;0),O475+M475/1000000000000+ROW()/1000000000000000,"")</f>
        <v/>
      </c>
      <c r="T475" s="39" t="str">
        <f aca="false">IF(J475="Belum ditukar",ROW(),"")</f>
        <v/>
      </c>
    </row>
    <row r="476" customFormat="false" ht="15" hidden="false" customHeight="false" outlineLevel="0" collapsed="false">
      <c r="A476" s="50" t="s">
        <v>751</v>
      </c>
      <c r="B476" s="51" t="n">
        <v>45762</v>
      </c>
      <c r="C476" s="50" t="s">
        <v>174</v>
      </c>
      <c r="D476" s="39" t="str">
        <f aca="false">INDEX(Master_Customer!$B$2:$B$126,MATCH(C476,Master_Customer!$A$2:$A$126,0))</f>
        <v>SUMBER TEKNIK SURYA</v>
      </c>
      <c r="E476" s="50" t="s">
        <v>32</v>
      </c>
      <c r="F476" s="52" t="n">
        <f aca="false">SUMIFS(Data_Penjualan!$G$2:$G$5998,Data_Penjualan!$A$2:$A$5998,A476)</f>
        <v>3810100</v>
      </c>
      <c r="G476" s="39" t="n">
        <f aca="false">IF(E476="KANTOR",0,INDEX(Master_Customer!$C$2:$C$126,MATCH(C476,Master_Customer!$A$2:$A$126,0)))</f>
        <v>0</v>
      </c>
      <c r="H476" s="53" t="n">
        <f aca="false">B476+G476</f>
        <v>45762</v>
      </c>
      <c r="J476" s="39" t="str">
        <f aca="false">IF(G476=0,"Tunai",IF(I476="","Belum ditukar","Sudah ditukar"))</f>
        <v>Tunai</v>
      </c>
      <c r="K476" s="54" t="n">
        <v>3810100</v>
      </c>
      <c r="L476" s="51" t="n">
        <v>45764</v>
      </c>
      <c r="M476" s="52" t="n">
        <f aca="false">F476-K476</f>
        <v>0</v>
      </c>
      <c r="N476" s="39" t="str">
        <f aca="false">IF(M476&lt;=0,"Lunas",IF(K476&gt;0,"Sebagian","Belum Bayar"))</f>
        <v>Lunas</v>
      </c>
      <c r="O476" s="39" t="n">
        <f aca="false">IF(M476&gt;0,MAX(0,Catatan!$B$3-H476),0)</f>
        <v>0</v>
      </c>
      <c r="P476" s="39" t="str">
        <f aca="false">IF(M476&lt;=0,"Lunas",IF(Catatan!$B$3&lt;=H476,"Belum Jatuh Tempo",IF(O476&lt;=30,"1-30 hari",IF(O476&lt;=60,"31-60 hari",IF(O476&lt;=90,"61-90 hari","90+ hari")))))</f>
        <v>Lunas</v>
      </c>
      <c r="Q476" s="50"/>
      <c r="R476" s="39" t="str">
        <f aca="false">IF(M476&lt;=0,"",IF(O476&gt;60,"1-Tinggi",IF(O476&gt;30,"2-Sedang",IF(O476&gt;0,"3-Rendah","4-Pantau"))))</f>
        <v/>
      </c>
      <c r="S476" s="39" t="str">
        <f aca="false">IF(AND(M476&gt;0,O476&gt;0),O476+M476/1000000000000+ROW()/1000000000000000,"")</f>
        <v/>
      </c>
      <c r="T476" s="39" t="str">
        <f aca="false">IF(J476="Belum ditukar",ROW(),"")</f>
        <v/>
      </c>
    </row>
    <row r="477" customFormat="false" ht="15" hidden="false" customHeight="false" outlineLevel="0" collapsed="false">
      <c r="A477" s="50" t="s">
        <v>752</v>
      </c>
      <c r="B477" s="51" t="n">
        <v>45762</v>
      </c>
      <c r="C477" s="50" t="s">
        <v>188</v>
      </c>
      <c r="D477" s="39" t="str">
        <f aca="false">INDEX(Master_Customer!$B$2:$B$126,MATCH(C477,Master_Customer!$A$2:$A$126,0))</f>
        <v>MAJU GARAGE TIRTA</v>
      </c>
      <c r="E477" s="50" t="s">
        <v>31</v>
      </c>
      <c r="F477" s="52" t="n">
        <f aca="false">SUMIFS(Data_Penjualan!$G$2:$G$5998,Data_Penjualan!$A$2:$A$5998,A477)</f>
        <v>14472800</v>
      </c>
      <c r="G477" s="39" t="n">
        <f aca="false">IF(E477="KANTOR",0,INDEX(Master_Customer!$C$2:$C$126,MATCH(C477,Master_Customer!$A$2:$A$126,0)))</f>
        <v>45</v>
      </c>
      <c r="H477" s="53" t="n">
        <f aca="false">B477+G477</f>
        <v>45807</v>
      </c>
      <c r="I477" s="51" t="n">
        <v>45767</v>
      </c>
      <c r="J477" s="39" t="str">
        <f aca="false">IF(G477=0,"Tunai",IF(I477="","Belum ditukar","Sudah ditukar"))</f>
        <v>Sudah ditukar</v>
      </c>
      <c r="K477" s="54" t="n">
        <v>14472800</v>
      </c>
      <c r="L477" s="51" t="n">
        <v>45808</v>
      </c>
      <c r="M477" s="52" t="n">
        <f aca="false">F477-K477</f>
        <v>0</v>
      </c>
      <c r="N477" s="39" t="str">
        <f aca="false">IF(M477&lt;=0,"Lunas",IF(K477&gt;0,"Sebagian","Belum Bayar"))</f>
        <v>Lunas</v>
      </c>
      <c r="O477" s="39" t="n">
        <f aca="false">IF(M477&gt;0,MAX(0,Catatan!$B$3-H477),0)</f>
        <v>0</v>
      </c>
      <c r="P477" s="39" t="str">
        <f aca="false">IF(M477&lt;=0,"Lunas",IF(Catatan!$B$3&lt;=H477,"Belum Jatuh Tempo",IF(O477&lt;=30,"1-30 hari",IF(O477&lt;=60,"31-60 hari",IF(O477&lt;=90,"61-90 hari","90+ hari")))))</f>
        <v>Lunas</v>
      </c>
      <c r="Q477" s="50"/>
      <c r="R477" s="39" t="str">
        <f aca="false">IF(M477&lt;=0,"",IF(O477&gt;60,"1-Tinggi",IF(O477&gt;30,"2-Sedang",IF(O477&gt;0,"3-Rendah","4-Pantau"))))</f>
        <v/>
      </c>
      <c r="S477" s="39" t="str">
        <f aca="false">IF(AND(M477&gt;0,O477&gt;0),O477+M477/1000000000000+ROW()/1000000000000000,"")</f>
        <v/>
      </c>
      <c r="T477" s="39" t="str">
        <f aca="false">IF(J477="Belum ditukar",ROW(),"")</f>
        <v/>
      </c>
    </row>
    <row r="478" customFormat="false" ht="15" hidden="false" customHeight="false" outlineLevel="0" collapsed="false">
      <c r="A478" s="50" t="s">
        <v>753</v>
      </c>
      <c r="B478" s="51" t="n">
        <v>45762</v>
      </c>
      <c r="C478" s="50" t="s">
        <v>289</v>
      </c>
      <c r="D478" s="39" t="str">
        <f aca="false">INDEX(Master_Customer!$B$2:$B$126,MATCH(C478,Master_Customer!$A$2:$A$126,0))</f>
        <v>SINAR GARAGE</v>
      </c>
      <c r="E478" s="50" t="s">
        <v>28</v>
      </c>
      <c r="F478" s="52" t="n">
        <f aca="false">SUMIFS(Data_Penjualan!$G$2:$G$5998,Data_Penjualan!$A$2:$A$5998,A478)</f>
        <v>3864900</v>
      </c>
      <c r="G478" s="39" t="n">
        <f aca="false">IF(E478="KANTOR",0,INDEX(Master_Customer!$C$2:$C$126,MATCH(C478,Master_Customer!$A$2:$A$126,0)))</f>
        <v>30</v>
      </c>
      <c r="H478" s="53" t="n">
        <f aca="false">B478+G478</f>
        <v>45792</v>
      </c>
      <c r="I478" s="51" t="n">
        <v>45766</v>
      </c>
      <c r="J478" s="39" t="str">
        <f aca="false">IF(G478=0,"Tunai",IF(I478="","Belum ditukar","Sudah ditukar"))</f>
        <v>Sudah ditukar</v>
      </c>
      <c r="K478" s="54" t="n">
        <v>3864900</v>
      </c>
      <c r="L478" s="51" t="n">
        <v>45790</v>
      </c>
      <c r="M478" s="52" t="n">
        <f aca="false">F478-K478</f>
        <v>0</v>
      </c>
      <c r="N478" s="39" t="str">
        <f aca="false">IF(M478&lt;=0,"Lunas",IF(K478&gt;0,"Sebagian","Belum Bayar"))</f>
        <v>Lunas</v>
      </c>
      <c r="O478" s="39" t="n">
        <f aca="false">IF(M478&gt;0,MAX(0,Catatan!$B$3-H478),0)</f>
        <v>0</v>
      </c>
      <c r="P478" s="39" t="str">
        <f aca="false">IF(M478&lt;=0,"Lunas",IF(Catatan!$B$3&lt;=H478,"Belum Jatuh Tempo",IF(O478&lt;=30,"1-30 hari",IF(O478&lt;=60,"31-60 hari",IF(O478&lt;=90,"61-90 hari","90+ hari")))))</f>
        <v>Lunas</v>
      </c>
      <c r="Q478" s="50"/>
      <c r="R478" s="39" t="str">
        <f aca="false">IF(M478&lt;=0,"",IF(O478&gt;60,"1-Tinggi",IF(O478&gt;30,"2-Sedang",IF(O478&gt;0,"3-Rendah","4-Pantau"))))</f>
        <v/>
      </c>
      <c r="S478" s="39" t="str">
        <f aca="false">IF(AND(M478&gt;0,O478&gt;0),O478+M478/1000000000000+ROW()/1000000000000000,"")</f>
        <v/>
      </c>
      <c r="T478" s="39" t="str">
        <f aca="false">IF(J478="Belum ditukar",ROW(),"")</f>
        <v/>
      </c>
    </row>
    <row r="479" customFormat="false" ht="15" hidden="false" customHeight="false" outlineLevel="0" collapsed="false">
      <c r="A479" s="50" t="s">
        <v>754</v>
      </c>
      <c r="B479" s="51" t="n">
        <v>45762</v>
      </c>
      <c r="C479" s="50" t="s">
        <v>566</v>
      </c>
      <c r="D479" s="39" t="str">
        <f aca="false">INDEX(Master_Customer!$B$2:$B$126,MATCH(C479,Master_Customer!$A$2:$A$126,0))</f>
        <v>UTAMA OLI SUMBER</v>
      </c>
      <c r="E479" s="50" t="s">
        <v>32</v>
      </c>
      <c r="F479" s="52" t="n">
        <f aca="false">SUMIFS(Data_Penjualan!$G$2:$G$5998,Data_Penjualan!$A$2:$A$5998,A479)</f>
        <v>9492100</v>
      </c>
      <c r="G479" s="39" t="n">
        <f aca="false">IF(E479="KANTOR",0,INDEX(Master_Customer!$C$2:$C$126,MATCH(C479,Master_Customer!$A$2:$A$126,0)))</f>
        <v>0</v>
      </c>
      <c r="H479" s="53" t="n">
        <f aca="false">B479+G479</f>
        <v>45762</v>
      </c>
      <c r="J479" s="39" t="str">
        <f aca="false">IF(G479=0,"Tunai",IF(I479="","Belum ditukar","Sudah ditukar"))</f>
        <v>Tunai</v>
      </c>
      <c r="K479" s="54" t="n">
        <v>9492100</v>
      </c>
      <c r="L479" s="51" t="n">
        <v>45763</v>
      </c>
      <c r="M479" s="52" t="n">
        <f aca="false">F479-K479</f>
        <v>0</v>
      </c>
      <c r="N479" s="39" t="str">
        <f aca="false">IF(M479&lt;=0,"Lunas",IF(K479&gt;0,"Sebagian","Belum Bayar"))</f>
        <v>Lunas</v>
      </c>
      <c r="O479" s="39" t="n">
        <f aca="false">IF(M479&gt;0,MAX(0,Catatan!$B$3-H479),0)</f>
        <v>0</v>
      </c>
      <c r="P479" s="39" t="str">
        <f aca="false">IF(M479&lt;=0,"Lunas",IF(Catatan!$B$3&lt;=H479,"Belum Jatuh Tempo",IF(O479&lt;=30,"1-30 hari",IF(O479&lt;=60,"31-60 hari",IF(O479&lt;=90,"61-90 hari","90+ hari")))))</f>
        <v>Lunas</v>
      </c>
      <c r="Q479" s="50"/>
      <c r="R479" s="39" t="str">
        <f aca="false">IF(M479&lt;=0,"",IF(O479&gt;60,"1-Tinggi",IF(O479&gt;30,"2-Sedang",IF(O479&gt;0,"3-Rendah","4-Pantau"))))</f>
        <v/>
      </c>
      <c r="S479" s="39" t="str">
        <f aca="false">IF(AND(M479&gt;0,O479&gt;0),O479+M479/1000000000000+ROW()/1000000000000000,"")</f>
        <v/>
      </c>
      <c r="T479" s="39" t="str">
        <f aca="false">IF(J479="Belum ditukar",ROW(),"")</f>
        <v/>
      </c>
    </row>
    <row r="480" customFormat="false" ht="15" hidden="false" customHeight="false" outlineLevel="0" collapsed="false">
      <c r="A480" s="50" t="s">
        <v>755</v>
      </c>
      <c r="B480" s="51" t="n">
        <v>45762</v>
      </c>
      <c r="C480" s="50" t="s">
        <v>191</v>
      </c>
      <c r="D480" s="39" t="str">
        <f aca="false">INDEX(Master_Customer!$B$2:$B$126,MATCH(C480,Master_Customer!$A$2:$A$126,0))</f>
        <v>SINAR AUTO BERKAH</v>
      </c>
      <c r="E480" s="50" t="s">
        <v>30</v>
      </c>
      <c r="F480" s="52" t="n">
        <f aca="false">SUMIFS(Data_Penjualan!$G$2:$G$5998,Data_Penjualan!$A$2:$A$5998,A480)</f>
        <v>6659900</v>
      </c>
      <c r="G480" s="39" t="n">
        <f aca="false">IF(E480="KANTOR",0,INDEX(Master_Customer!$C$2:$C$126,MATCH(C480,Master_Customer!$A$2:$A$126,0)))</f>
        <v>30</v>
      </c>
      <c r="H480" s="53" t="n">
        <f aca="false">B480+G480</f>
        <v>45792</v>
      </c>
      <c r="I480" s="51" t="n">
        <v>45764</v>
      </c>
      <c r="J480" s="39" t="str">
        <f aca="false">IF(G480=0,"Tunai",IF(I480="","Belum ditukar","Sudah ditukar"))</f>
        <v>Sudah ditukar</v>
      </c>
      <c r="K480" s="54" t="n">
        <v>6659900</v>
      </c>
      <c r="L480" s="51" t="n">
        <v>45811</v>
      </c>
      <c r="M480" s="52" t="n">
        <f aca="false">F480-K480</f>
        <v>0</v>
      </c>
      <c r="N480" s="39" t="str">
        <f aca="false">IF(M480&lt;=0,"Lunas",IF(K480&gt;0,"Sebagian","Belum Bayar"))</f>
        <v>Lunas</v>
      </c>
      <c r="O480" s="39" t="n">
        <f aca="false">IF(M480&gt;0,MAX(0,Catatan!$B$3-H480),0)</f>
        <v>0</v>
      </c>
      <c r="P480" s="39" t="str">
        <f aca="false">IF(M480&lt;=0,"Lunas",IF(Catatan!$B$3&lt;=H480,"Belum Jatuh Tempo",IF(O480&lt;=30,"1-30 hari",IF(O480&lt;=60,"31-60 hari",IF(O480&lt;=90,"61-90 hari","90+ hari")))))</f>
        <v>Lunas</v>
      </c>
      <c r="Q480" s="50"/>
      <c r="R480" s="39" t="str">
        <f aca="false">IF(M480&lt;=0,"",IF(O480&gt;60,"1-Tinggi",IF(O480&gt;30,"2-Sedang",IF(O480&gt;0,"3-Rendah","4-Pantau"))))</f>
        <v/>
      </c>
      <c r="S480" s="39" t="str">
        <f aca="false">IF(AND(M480&gt;0,O480&gt;0),O480+M480/1000000000000+ROW()/1000000000000000,"")</f>
        <v/>
      </c>
      <c r="T480" s="39" t="str">
        <f aca="false">IF(J480="Belum ditukar",ROW(),"")</f>
        <v/>
      </c>
    </row>
    <row r="481" customFormat="false" ht="15" hidden="false" customHeight="false" outlineLevel="0" collapsed="false">
      <c r="A481" s="50" t="s">
        <v>756</v>
      </c>
      <c r="B481" s="51" t="n">
        <v>45762</v>
      </c>
      <c r="C481" s="50" t="s">
        <v>280</v>
      </c>
      <c r="D481" s="39" t="str">
        <f aca="false">INDEX(Master_Customer!$B$2:$B$126,MATCH(C481,Master_Customer!$A$2:$A$126,0))</f>
        <v>CAHAYA TEKNIK SURYA</v>
      </c>
      <c r="E481" s="50" t="s">
        <v>32</v>
      </c>
      <c r="F481" s="52" t="n">
        <f aca="false">SUMIFS(Data_Penjualan!$G$2:$G$5998,Data_Penjualan!$A$2:$A$5998,A481)</f>
        <v>15124900</v>
      </c>
      <c r="G481" s="39" t="n">
        <f aca="false">IF(E481="KANTOR",0,INDEX(Master_Customer!$C$2:$C$126,MATCH(C481,Master_Customer!$A$2:$A$126,0)))</f>
        <v>0</v>
      </c>
      <c r="H481" s="53" t="n">
        <f aca="false">B481+G481</f>
        <v>45762</v>
      </c>
      <c r="J481" s="39" t="str">
        <f aca="false">IF(G481=0,"Tunai",IF(I481="","Belum ditukar","Sudah ditukar"))</f>
        <v>Tunai</v>
      </c>
      <c r="K481" s="54" t="n">
        <v>15124900</v>
      </c>
      <c r="L481" s="51" t="n">
        <v>45764</v>
      </c>
      <c r="M481" s="52" t="n">
        <f aca="false">F481-K481</f>
        <v>0</v>
      </c>
      <c r="N481" s="39" t="str">
        <f aca="false">IF(M481&lt;=0,"Lunas",IF(K481&gt;0,"Sebagian","Belum Bayar"))</f>
        <v>Lunas</v>
      </c>
      <c r="O481" s="39" t="n">
        <f aca="false">IF(M481&gt;0,MAX(0,Catatan!$B$3-H481),0)</f>
        <v>0</v>
      </c>
      <c r="P481" s="39" t="str">
        <f aca="false">IF(M481&lt;=0,"Lunas",IF(Catatan!$B$3&lt;=H481,"Belum Jatuh Tempo",IF(O481&lt;=30,"1-30 hari",IF(O481&lt;=60,"31-60 hari",IF(O481&lt;=90,"61-90 hari","90+ hari")))))</f>
        <v>Lunas</v>
      </c>
      <c r="Q481" s="50"/>
      <c r="R481" s="39" t="str">
        <f aca="false">IF(M481&lt;=0,"",IF(O481&gt;60,"1-Tinggi",IF(O481&gt;30,"2-Sedang",IF(O481&gt;0,"3-Rendah","4-Pantau"))))</f>
        <v/>
      </c>
      <c r="S481" s="39" t="str">
        <f aca="false">IF(AND(M481&gt;0,O481&gt;0),O481+M481/1000000000000+ROW()/1000000000000000,"")</f>
        <v/>
      </c>
      <c r="T481" s="39" t="str">
        <f aca="false">IF(J481="Belum ditukar",ROW(),"")</f>
        <v/>
      </c>
    </row>
    <row r="482" customFormat="false" ht="15" hidden="false" customHeight="false" outlineLevel="0" collapsed="false">
      <c r="A482" s="50" t="s">
        <v>757</v>
      </c>
      <c r="B482" s="51" t="n">
        <v>45763</v>
      </c>
      <c r="C482" s="50" t="s">
        <v>419</v>
      </c>
      <c r="D482" s="39" t="str">
        <f aca="false">INDEX(Master_Customer!$B$2:$B$126,MATCH(C482,Master_Customer!$A$2:$A$126,0))</f>
        <v>UTAMA MOTOR</v>
      </c>
      <c r="E482" s="50" t="s">
        <v>30</v>
      </c>
      <c r="F482" s="52" t="n">
        <f aca="false">SUMIFS(Data_Penjualan!$G$2:$G$5998,Data_Penjualan!$A$2:$A$5998,A482)</f>
        <v>15580300</v>
      </c>
      <c r="G482" s="39" t="n">
        <f aca="false">IF(E482="KANTOR",0,INDEX(Master_Customer!$C$2:$C$126,MATCH(C482,Master_Customer!$A$2:$A$126,0)))</f>
        <v>14</v>
      </c>
      <c r="H482" s="53" t="n">
        <f aca="false">B482+G482</f>
        <v>45777</v>
      </c>
      <c r="I482" s="51" t="n">
        <v>45766</v>
      </c>
      <c r="J482" s="39" t="str">
        <f aca="false">IF(G482=0,"Tunai",IF(I482="","Belum ditukar","Sudah ditukar"))</f>
        <v>Sudah ditukar</v>
      </c>
      <c r="K482" s="54" t="n">
        <v>15580300</v>
      </c>
      <c r="L482" s="51" t="n">
        <v>45780</v>
      </c>
      <c r="M482" s="52" t="n">
        <f aca="false">F482-K482</f>
        <v>0</v>
      </c>
      <c r="N482" s="39" t="str">
        <f aca="false">IF(M482&lt;=0,"Lunas",IF(K482&gt;0,"Sebagian","Belum Bayar"))</f>
        <v>Lunas</v>
      </c>
      <c r="O482" s="39" t="n">
        <f aca="false">IF(M482&gt;0,MAX(0,Catatan!$B$3-H482),0)</f>
        <v>0</v>
      </c>
      <c r="P482" s="39" t="str">
        <f aca="false">IF(M482&lt;=0,"Lunas",IF(Catatan!$B$3&lt;=H482,"Belum Jatuh Tempo",IF(O482&lt;=30,"1-30 hari",IF(O482&lt;=60,"31-60 hari",IF(O482&lt;=90,"61-90 hari","90+ hari")))))</f>
        <v>Lunas</v>
      </c>
      <c r="Q482" s="50"/>
      <c r="R482" s="39" t="str">
        <f aca="false">IF(M482&lt;=0,"",IF(O482&gt;60,"1-Tinggi",IF(O482&gt;30,"2-Sedang",IF(O482&gt;0,"3-Rendah","4-Pantau"))))</f>
        <v/>
      </c>
      <c r="S482" s="39" t="str">
        <f aca="false">IF(AND(M482&gt;0,O482&gt;0),O482+M482/1000000000000+ROW()/1000000000000000,"")</f>
        <v/>
      </c>
      <c r="T482" s="39" t="str">
        <f aca="false">IF(J482="Belum ditukar",ROW(),"")</f>
        <v/>
      </c>
    </row>
    <row r="483" customFormat="false" ht="15" hidden="false" customHeight="false" outlineLevel="0" collapsed="false">
      <c r="A483" s="50" t="s">
        <v>758</v>
      </c>
      <c r="B483" s="51" t="n">
        <v>45763</v>
      </c>
      <c r="C483" s="50" t="s">
        <v>174</v>
      </c>
      <c r="D483" s="39" t="str">
        <f aca="false">INDEX(Master_Customer!$B$2:$B$126,MATCH(C483,Master_Customer!$A$2:$A$126,0))</f>
        <v>SUMBER TEKNIK SURYA</v>
      </c>
      <c r="E483" s="50" t="s">
        <v>31</v>
      </c>
      <c r="F483" s="52" t="n">
        <f aca="false">SUMIFS(Data_Penjualan!$G$2:$G$5998,Data_Penjualan!$A$2:$A$5998,A483)</f>
        <v>9632300</v>
      </c>
      <c r="G483" s="39" t="n">
        <f aca="false">IF(E483="KANTOR",0,INDEX(Master_Customer!$C$2:$C$126,MATCH(C483,Master_Customer!$A$2:$A$126,0)))</f>
        <v>30</v>
      </c>
      <c r="H483" s="53" t="n">
        <f aca="false">B483+G483</f>
        <v>45793</v>
      </c>
      <c r="I483" s="51" t="n">
        <v>45765</v>
      </c>
      <c r="J483" s="39" t="str">
        <f aca="false">IF(G483=0,"Tunai",IF(I483="","Belum ditukar","Sudah ditukar"))</f>
        <v>Sudah ditukar</v>
      </c>
      <c r="K483" s="54" t="n">
        <v>9632300</v>
      </c>
      <c r="L483" s="51" t="n">
        <v>45789</v>
      </c>
      <c r="M483" s="52" t="n">
        <f aca="false">F483-K483</f>
        <v>0</v>
      </c>
      <c r="N483" s="39" t="str">
        <f aca="false">IF(M483&lt;=0,"Lunas",IF(K483&gt;0,"Sebagian","Belum Bayar"))</f>
        <v>Lunas</v>
      </c>
      <c r="O483" s="39" t="n">
        <f aca="false">IF(M483&gt;0,MAX(0,Catatan!$B$3-H483),0)</f>
        <v>0</v>
      </c>
      <c r="P483" s="39" t="str">
        <f aca="false">IF(M483&lt;=0,"Lunas",IF(Catatan!$B$3&lt;=H483,"Belum Jatuh Tempo",IF(O483&lt;=30,"1-30 hari",IF(O483&lt;=60,"31-60 hari",IF(O483&lt;=90,"61-90 hari","90+ hari")))))</f>
        <v>Lunas</v>
      </c>
      <c r="Q483" s="50"/>
      <c r="R483" s="39" t="str">
        <f aca="false">IF(M483&lt;=0,"",IF(O483&gt;60,"1-Tinggi",IF(O483&gt;30,"2-Sedang",IF(O483&gt;0,"3-Rendah","4-Pantau"))))</f>
        <v/>
      </c>
      <c r="S483" s="39" t="str">
        <f aca="false">IF(AND(M483&gt;0,O483&gt;0),O483+M483/1000000000000+ROW()/1000000000000000,"")</f>
        <v/>
      </c>
      <c r="T483" s="39" t="str">
        <f aca="false">IF(J483="Belum ditukar",ROW(),"")</f>
        <v/>
      </c>
    </row>
    <row r="484" customFormat="false" ht="15" hidden="false" customHeight="false" outlineLevel="0" collapsed="false">
      <c r="A484" s="50" t="s">
        <v>759</v>
      </c>
      <c r="B484" s="51" t="n">
        <v>45763</v>
      </c>
      <c r="C484" s="50" t="s">
        <v>395</v>
      </c>
      <c r="D484" s="39" t="str">
        <f aca="false">INDEX(Master_Customer!$B$2:$B$126,MATCH(C484,Master_Customer!$A$2:$A$126,0))</f>
        <v>TIRTA SERVICE</v>
      </c>
      <c r="E484" s="50" t="s">
        <v>28</v>
      </c>
      <c r="F484" s="52" t="n">
        <f aca="false">SUMIFS(Data_Penjualan!$G$2:$G$5998,Data_Penjualan!$A$2:$A$5998,A484)</f>
        <v>6281500</v>
      </c>
      <c r="G484" s="39" t="n">
        <f aca="false">IF(E484="KANTOR",0,INDEX(Master_Customer!$C$2:$C$126,MATCH(C484,Master_Customer!$A$2:$A$126,0)))</f>
        <v>0</v>
      </c>
      <c r="H484" s="53" t="n">
        <f aca="false">B484+G484</f>
        <v>45763</v>
      </c>
      <c r="J484" s="39" t="str">
        <f aca="false">IF(G484=0,"Tunai",IF(I484="","Belum ditukar","Sudah ditukar"))</f>
        <v>Tunai</v>
      </c>
      <c r="K484" s="54" t="n">
        <v>6281500</v>
      </c>
      <c r="L484" s="51" t="n">
        <v>45766</v>
      </c>
      <c r="M484" s="52" t="n">
        <f aca="false">F484-K484</f>
        <v>0</v>
      </c>
      <c r="N484" s="39" t="str">
        <f aca="false">IF(M484&lt;=0,"Lunas",IF(K484&gt;0,"Sebagian","Belum Bayar"))</f>
        <v>Lunas</v>
      </c>
      <c r="O484" s="39" t="n">
        <f aca="false">IF(M484&gt;0,MAX(0,Catatan!$B$3-H484),0)</f>
        <v>0</v>
      </c>
      <c r="P484" s="39" t="str">
        <f aca="false">IF(M484&lt;=0,"Lunas",IF(Catatan!$B$3&lt;=H484,"Belum Jatuh Tempo",IF(O484&lt;=30,"1-30 hari",IF(O484&lt;=60,"31-60 hari",IF(O484&lt;=90,"61-90 hari","90+ hari")))))</f>
        <v>Lunas</v>
      </c>
      <c r="Q484" s="50"/>
      <c r="R484" s="39" t="str">
        <f aca="false">IF(M484&lt;=0,"",IF(O484&gt;60,"1-Tinggi",IF(O484&gt;30,"2-Sedang",IF(O484&gt;0,"3-Rendah","4-Pantau"))))</f>
        <v/>
      </c>
      <c r="S484" s="39" t="str">
        <f aca="false">IF(AND(M484&gt;0,O484&gt;0),O484+M484/1000000000000+ROW()/1000000000000000,"")</f>
        <v/>
      </c>
      <c r="T484" s="39" t="str">
        <f aca="false">IF(J484="Belum ditukar",ROW(),"")</f>
        <v/>
      </c>
    </row>
    <row r="485" customFormat="false" ht="15" hidden="false" customHeight="false" outlineLevel="0" collapsed="false">
      <c r="A485" s="50" t="s">
        <v>760</v>
      </c>
      <c r="B485" s="51" t="n">
        <v>45763</v>
      </c>
      <c r="C485" s="50" t="s">
        <v>170</v>
      </c>
      <c r="D485" s="39" t="str">
        <f aca="false">INDEX(Master_Customer!$B$2:$B$126,MATCH(C485,Master_Customer!$A$2:$A$126,0))</f>
        <v>HARAPAN MOTOR</v>
      </c>
      <c r="E485" s="50" t="s">
        <v>30</v>
      </c>
      <c r="F485" s="52" t="n">
        <f aca="false">SUMIFS(Data_Penjualan!$G$2:$G$5998,Data_Penjualan!$A$2:$A$5998,A485)</f>
        <v>17744400</v>
      </c>
      <c r="G485" s="39" t="n">
        <f aca="false">IF(E485="KANTOR",0,INDEX(Master_Customer!$C$2:$C$126,MATCH(C485,Master_Customer!$A$2:$A$126,0)))</f>
        <v>45</v>
      </c>
      <c r="H485" s="53" t="n">
        <f aca="false">B485+G485</f>
        <v>45808</v>
      </c>
      <c r="I485" s="51" t="n">
        <v>45767</v>
      </c>
      <c r="J485" s="39" t="str">
        <f aca="false">IF(G485=0,"Tunai",IF(I485="","Belum ditukar","Sudah ditukar"))</f>
        <v>Sudah ditukar</v>
      </c>
      <c r="K485" s="54" t="n">
        <v>17744400</v>
      </c>
      <c r="L485" s="51" t="n">
        <v>45808</v>
      </c>
      <c r="M485" s="52" t="n">
        <f aca="false">F485-K485</f>
        <v>0</v>
      </c>
      <c r="N485" s="39" t="str">
        <f aca="false">IF(M485&lt;=0,"Lunas",IF(K485&gt;0,"Sebagian","Belum Bayar"))</f>
        <v>Lunas</v>
      </c>
      <c r="O485" s="39" t="n">
        <f aca="false">IF(M485&gt;0,MAX(0,Catatan!$B$3-H485),0)</f>
        <v>0</v>
      </c>
      <c r="P485" s="39" t="str">
        <f aca="false">IF(M485&lt;=0,"Lunas",IF(Catatan!$B$3&lt;=H485,"Belum Jatuh Tempo",IF(O485&lt;=30,"1-30 hari",IF(O485&lt;=60,"31-60 hari",IF(O485&lt;=90,"61-90 hari","90+ hari")))))</f>
        <v>Lunas</v>
      </c>
      <c r="Q485" s="50"/>
      <c r="R485" s="39" t="str">
        <f aca="false">IF(M485&lt;=0,"",IF(O485&gt;60,"1-Tinggi",IF(O485&gt;30,"2-Sedang",IF(O485&gt;0,"3-Rendah","4-Pantau"))))</f>
        <v/>
      </c>
      <c r="S485" s="39" t="str">
        <f aca="false">IF(AND(M485&gt;0,O485&gt;0),O485+M485/1000000000000+ROW()/1000000000000000,"")</f>
        <v/>
      </c>
      <c r="T485" s="39" t="str">
        <f aca="false">IF(J485="Belum ditukar",ROW(),"")</f>
        <v/>
      </c>
    </row>
    <row r="486" customFormat="false" ht="15" hidden="false" customHeight="false" outlineLevel="0" collapsed="false">
      <c r="A486" s="50" t="s">
        <v>761</v>
      </c>
      <c r="B486" s="51" t="n">
        <v>45763</v>
      </c>
      <c r="C486" s="50" t="s">
        <v>174</v>
      </c>
      <c r="D486" s="39" t="str">
        <f aca="false">INDEX(Master_Customer!$B$2:$B$126,MATCH(C486,Master_Customer!$A$2:$A$126,0))</f>
        <v>SUMBER TEKNIK SURYA</v>
      </c>
      <c r="E486" s="50" t="s">
        <v>31</v>
      </c>
      <c r="F486" s="52" t="n">
        <f aca="false">SUMIFS(Data_Penjualan!$G$2:$G$5998,Data_Penjualan!$A$2:$A$5998,A486)</f>
        <v>8037800</v>
      </c>
      <c r="G486" s="39" t="n">
        <f aca="false">IF(E486="KANTOR",0,INDEX(Master_Customer!$C$2:$C$126,MATCH(C486,Master_Customer!$A$2:$A$126,0)))</f>
        <v>30</v>
      </c>
      <c r="H486" s="53" t="n">
        <f aca="false">B486+G486</f>
        <v>45793</v>
      </c>
      <c r="I486" s="51" t="n">
        <v>45764</v>
      </c>
      <c r="J486" s="39" t="str">
        <f aca="false">IF(G486=0,"Tunai",IF(I486="","Belum ditukar","Sudah ditukar"))</f>
        <v>Sudah ditukar</v>
      </c>
      <c r="K486" s="54" t="n">
        <v>8037800</v>
      </c>
      <c r="L486" s="51" t="n">
        <v>45793</v>
      </c>
      <c r="M486" s="52" t="n">
        <f aca="false">F486-K486</f>
        <v>0</v>
      </c>
      <c r="N486" s="39" t="str">
        <f aca="false">IF(M486&lt;=0,"Lunas",IF(K486&gt;0,"Sebagian","Belum Bayar"))</f>
        <v>Lunas</v>
      </c>
      <c r="O486" s="39" t="n">
        <f aca="false">IF(M486&gt;0,MAX(0,Catatan!$B$3-H486),0)</f>
        <v>0</v>
      </c>
      <c r="P486" s="39" t="str">
        <f aca="false">IF(M486&lt;=0,"Lunas",IF(Catatan!$B$3&lt;=H486,"Belum Jatuh Tempo",IF(O486&lt;=30,"1-30 hari",IF(O486&lt;=60,"31-60 hari",IF(O486&lt;=90,"61-90 hari","90+ hari")))))</f>
        <v>Lunas</v>
      </c>
      <c r="Q486" s="50"/>
      <c r="R486" s="39" t="str">
        <f aca="false">IF(M486&lt;=0,"",IF(O486&gt;60,"1-Tinggi",IF(O486&gt;30,"2-Sedang",IF(O486&gt;0,"3-Rendah","4-Pantau"))))</f>
        <v/>
      </c>
      <c r="S486" s="39" t="str">
        <f aca="false">IF(AND(M486&gt;0,O486&gt;0),O486+M486/1000000000000+ROW()/1000000000000000,"")</f>
        <v/>
      </c>
      <c r="T486" s="39" t="str">
        <f aca="false">IF(J486="Belum ditukar",ROW(),"")</f>
        <v/>
      </c>
    </row>
    <row r="487" customFormat="false" ht="15" hidden="false" customHeight="false" outlineLevel="0" collapsed="false">
      <c r="A487" s="50" t="s">
        <v>762</v>
      </c>
      <c r="B487" s="51" t="n">
        <v>45763</v>
      </c>
      <c r="C487" s="50" t="s">
        <v>317</v>
      </c>
      <c r="D487" s="39" t="str">
        <f aca="false">INDEX(Master_Customer!$B$2:$B$126,MATCH(C487,Master_Customer!$A$2:$A$126,0))</f>
        <v>MAKMUR MOTOR JAYA</v>
      </c>
      <c r="E487" s="50" t="s">
        <v>29</v>
      </c>
      <c r="F487" s="52" t="n">
        <f aca="false">SUMIFS(Data_Penjualan!$G$2:$G$5998,Data_Penjualan!$A$2:$A$5998,A487)</f>
        <v>13376800</v>
      </c>
      <c r="G487" s="39" t="n">
        <f aca="false">IF(E487="KANTOR",0,INDEX(Master_Customer!$C$2:$C$126,MATCH(C487,Master_Customer!$A$2:$A$126,0)))</f>
        <v>0</v>
      </c>
      <c r="H487" s="53" t="n">
        <f aca="false">B487+G487</f>
        <v>45763</v>
      </c>
      <c r="J487" s="39" t="str">
        <f aca="false">IF(G487=0,"Tunai",IF(I487="","Belum ditukar","Sudah ditukar"))</f>
        <v>Tunai</v>
      </c>
      <c r="K487" s="54" t="n">
        <v>13376800</v>
      </c>
      <c r="L487" s="51" t="n">
        <v>45763</v>
      </c>
      <c r="M487" s="52" t="n">
        <f aca="false">F487-K487</f>
        <v>0</v>
      </c>
      <c r="N487" s="39" t="str">
        <f aca="false">IF(M487&lt;=0,"Lunas",IF(K487&gt;0,"Sebagian","Belum Bayar"))</f>
        <v>Lunas</v>
      </c>
      <c r="O487" s="39" t="n">
        <f aca="false">IF(M487&gt;0,MAX(0,Catatan!$B$3-H487),0)</f>
        <v>0</v>
      </c>
      <c r="P487" s="39" t="str">
        <f aca="false">IF(M487&lt;=0,"Lunas",IF(Catatan!$B$3&lt;=H487,"Belum Jatuh Tempo",IF(O487&lt;=30,"1-30 hari",IF(O487&lt;=60,"31-60 hari",IF(O487&lt;=90,"61-90 hari","90+ hari")))))</f>
        <v>Lunas</v>
      </c>
      <c r="Q487" s="50"/>
      <c r="R487" s="39" t="str">
        <f aca="false">IF(M487&lt;=0,"",IF(O487&gt;60,"1-Tinggi",IF(O487&gt;30,"2-Sedang",IF(O487&gt;0,"3-Rendah","4-Pantau"))))</f>
        <v/>
      </c>
      <c r="S487" s="39" t="str">
        <f aca="false">IF(AND(M487&gt;0,O487&gt;0),O487+M487/1000000000000+ROW()/1000000000000000,"")</f>
        <v/>
      </c>
      <c r="T487" s="39" t="str">
        <f aca="false">IF(J487="Belum ditukar",ROW(),"")</f>
        <v/>
      </c>
    </row>
    <row r="488" customFormat="false" ht="15" hidden="false" customHeight="false" outlineLevel="0" collapsed="false">
      <c r="A488" s="50" t="s">
        <v>763</v>
      </c>
      <c r="B488" s="51" t="n">
        <v>45763</v>
      </c>
      <c r="C488" s="50" t="s">
        <v>168</v>
      </c>
      <c r="D488" s="39" t="str">
        <f aca="false">INDEX(Master_Customer!$B$2:$B$126,MATCH(C488,Master_Customer!$A$2:$A$126,0))</f>
        <v>JAYA LUBRICANT</v>
      </c>
      <c r="E488" s="50" t="s">
        <v>32</v>
      </c>
      <c r="F488" s="52" t="n">
        <f aca="false">SUMIFS(Data_Penjualan!$G$2:$G$5998,Data_Penjualan!$A$2:$A$5998,A488)</f>
        <v>22799400</v>
      </c>
      <c r="G488" s="39" t="n">
        <f aca="false">IF(E488="KANTOR",0,INDEX(Master_Customer!$C$2:$C$126,MATCH(C488,Master_Customer!$A$2:$A$126,0)))</f>
        <v>0</v>
      </c>
      <c r="H488" s="53" t="n">
        <f aca="false">B488+G488</f>
        <v>45763</v>
      </c>
      <c r="J488" s="39" t="str">
        <f aca="false">IF(G488=0,"Tunai",IF(I488="","Belum ditukar","Sudah ditukar"))</f>
        <v>Tunai</v>
      </c>
      <c r="K488" s="54" t="n">
        <v>22799400</v>
      </c>
      <c r="L488" s="51" t="n">
        <v>45763</v>
      </c>
      <c r="M488" s="52" t="n">
        <f aca="false">F488-K488</f>
        <v>0</v>
      </c>
      <c r="N488" s="39" t="str">
        <f aca="false">IF(M488&lt;=0,"Lunas",IF(K488&gt;0,"Sebagian","Belum Bayar"))</f>
        <v>Lunas</v>
      </c>
      <c r="O488" s="39" t="n">
        <f aca="false">IF(M488&gt;0,MAX(0,Catatan!$B$3-H488),0)</f>
        <v>0</v>
      </c>
      <c r="P488" s="39" t="str">
        <f aca="false">IF(M488&lt;=0,"Lunas",IF(Catatan!$B$3&lt;=H488,"Belum Jatuh Tempo",IF(O488&lt;=30,"1-30 hari",IF(O488&lt;=60,"31-60 hari",IF(O488&lt;=90,"61-90 hari","90+ hari")))))</f>
        <v>Lunas</v>
      </c>
      <c r="Q488" s="50"/>
      <c r="R488" s="39" t="str">
        <f aca="false">IF(M488&lt;=0,"",IF(O488&gt;60,"1-Tinggi",IF(O488&gt;30,"2-Sedang",IF(O488&gt;0,"3-Rendah","4-Pantau"))))</f>
        <v/>
      </c>
      <c r="S488" s="39" t="str">
        <f aca="false">IF(AND(M488&gt;0,O488&gt;0),O488+M488/1000000000000+ROW()/1000000000000000,"")</f>
        <v/>
      </c>
      <c r="T488" s="39" t="str">
        <f aca="false">IF(J488="Belum ditukar",ROW(),"")</f>
        <v/>
      </c>
    </row>
    <row r="489" customFormat="false" ht="15" hidden="false" customHeight="false" outlineLevel="0" collapsed="false">
      <c r="A489" s="50" t="s">
        <v>764</v>
      </c>
      <c r="B489" s="51" t="n">
        <v>45763</v>
      </c>
      <c r="C489" s="50" t="s">
        <v>467</v>
      </c>
      <c r="D489" s="39" t="str">
        <f aca="false">INDEX(Master_Customer!$B$2:$B$126,MATCH(C489,Master_Customer!$A$2:$A$126,0))</f>
        <v>LANCAR GARAGE UTAMA</v>
      </c>
      <c r="E489" s="50" t="s">
        <v>31</v>
      </c>
      <c r="F489" s="52" t="n">
        <f aca="false">SUMIFS(Data_Penjualan!$G$2:$G$5998,Data_Penjualan!$A$2:$A$5998,A489)</f>
        <v>9805200</v>
      </c>
      <c r="G489" s="39" t="n">
        <f aca="false">IF(E489="KANTOR",0,INDEX(Master_Customer!$C$2:$C$126,MATCH(C489,Master_Customer!$A$2:$A$126,0)))</f>
        <v>14</v>
      </c>
      <c r="H489" s="53" t="n">
        <f aca="false">B489+G489</f>
        <v>45777</v>
      </c>
      <c r="I489" s="51" t="n">
        <v>45764</v>
      </c>
      <c r="J489" s="39" t="str">
        <f aca="false">IF(G489=0,"Tunai",IF(I489="","Belum ditukar","Sudah ditukar"))</f>
        <v>Sudah ditukar</v>
      </c>
      <c r="K489" s="54" t="n">
        <v>9805200</v>
      </c>
      <c r="L489" s="51" t="n">
        <v>45804</v>
      </c>
      <c r="M489" s="52" t="n">
        <f aca="false">F489-K489</f>
        <v>0</v>
      </c>
      <c r="N489" s="39" t="str">
        <f aca="false">IF(M489&lt;=0,"Lunas",IF(K489&gt;0,"Sebagian","Belum Bayar"))</f>
        <v>Lunas</v>
      </c>
      <c r="O489" s="39" t="n">
        <f aca="false">IF(M489&gt;0,MAX(0,Catatan!$B$3-H489),0)</f>
        <v>0</v>
      </c>
      <c r="P489" s="39" t="str">
        <f aca="false">IF(M489&lt;=0,"Lunas",IF(Catatan!$B$3&lt;=H489,"Belum Jatuh Tempo",IF(O489&lt;=30,"1-30 hari",IF(O489&lt;=60,"31-60 hari",IF(O489&lt;=90,"61-90 hari","90+ hari")))))</f>
        <v>Lunas</v>
      </c>
      <c r="Q489" s="50"/>
      <c r="R489" s="39" t="str">
        <f aca="false">IF(M489&lt;=0,"",IF(O489&gt;60,"1-Tinggi",IF(O489&gt;30,"2-Sedang",IF(O489&gt;0,"3-Rendah","4-Pantau"))))</f>
        <v/>
      </c>
      <c r="S489" s="39" t="str">
        <f aca="false">IF(AND(M489&gt;0,O489&gt;0),O489+M489/1000000000000+ROW()/1000000000000000,"")</f>
        <v/>
      </c>
      <c r="T489" s="39" t="str">
        <f aca="false">IF(J489="Belum ditukar",ROW(),"")</f>
        <v/>
      </c>
    </row>
    <row r="490" customFormat="false" ht="15" hidden="false" customHeight="false" outlineLevel="0" collapsed="false">
      <c r="A490" s="50" t="s">
        <v>765</v>
      </c>
      <c r="B490" s="51" t="n">
        <v>45764</v>
      </c>
      <c r="C490" s="50" t="s">
        <v>766</v>
      </c>
      <c r="D490" s="39" t="str">
        <f aca="false">INDEX(Master_Customer!$B$2:$B$126,MATCH(C490,Master_Customer!$A$2:$A$126,0))</f>
        <v>TIRTA SPAREPART BINTANG</v>
      </c>
      <c r="E490" s="50" t="s">
        <v>29</v>
      </c>
      <c r="F490" s="52" t="n">
        <f aca="false">SUMIFS(Data_Penjualan!$G$2:$G$5998,Data_Penjualan!$A$2:$A$5998,A490)</f>
        <v>5070300</v>
      </c>
      <c r="G490" s="39" t="n">
        <f aca="false">IF(E490="KANTOR",0,INDEX(Master_Customer!$C$2:$C$126,MATCH(C490,Master_Customer!$A$2:$A$126,0)))</f>
        <v>30</v>
      </c>
      <c r="H490" s="53" t="n">
        <f aca="false">B490+G490</f>
        <v>45794</v>
      </c>
      <c r="I490" s="51" t="n">
        <v>45769</v>
      </c>
      <c r="J490" s="39" t="str">
        <f aca="false">IF(G490=0,"Tunai",IF(I490="","Belum ditukar","Sudah ditukar"))</f>
        <v>Sudah ditukar</v>
      </c>
      <c r="K490" s="54" t="n">
        <v>5070300</v>
      </c>
      <c r="L490" s="51" t="n">
        <v>45807</v>
      </c>
      <c r="M490" s="52" t="n">
        <f aca="false">F490-K490</f>
        <v>0</v>
      </c>
      <c r="N490" s="39" t="str">
        <f aca="false">IF(M490&lt;=0,"Lunas",IF(K490&gt;0,"Sebagian","Belum Bayar"))</f>
        <v>Lunas</v>
      </c>
      <c r="O490" s="39" t="n">
        <f aca="false">IF(M490&gt;0,MAX(0,Catatan!$B$3-H490),0)</f>
        <v>0</v>
      </c>
      <c r="P490" s="39" t="str">
        <f aca="false">IF(M490&lt;=0,"Lunas",IF(Catatan!$B$3&lt;=H490,"Belum Jatuh Tempo",IF(O490&lt;=30,"1-30 hari",IF(O490&lt;=60,"31-60 hari",IF(O490&lt;=90,"61-90 hari","90+ hari")))))</f>
        <v>Lunas</v>
      </c>
      <c r="Q490" s="50"/>
      <c r="R490" s="39" t="str">
        <f aca="false">IF(M490&lt;=0,"",IF(O490&gt;60,"1-Tinggi",IF(O490&gt;30,"2-Sedang",IF(O490&gt;0,"3-Rendah","4-Pantau"))))</f>
        <v/>
      </c>
      <c r="S490" s="39" t="str">
        <f aca="false">IF(AND(M490&gt;0,O490&gt;0),O490+M490/1000000000000+ROW()/1000000000000000,"")</f>
        <v/>
      </c>
      <c r="T490" s="39" t="str">
        <f aca="false">IF(J490="Belum ditukar",ROW(),"")</f>
        <v/>
      </c>
    </row>
    <row r="491" customFormat="false" ht="15" hidden="false" customHeight="false" outlineLevel="0" collapsed="false">
      <c r="A491" s="50" t="s">
        <v>767</v>
      </c>
      <c r="B491" s="51" t="n">
        <v>45764</v>
      </c>
      <c r="C491" s="50" t="s">
        <v>205</v>
      </c>
      <c r="D491" s="39" t="str">
        <f aca="false">INDEX(Master_Customer!$B$2:$B$126,MATCH(C491,Master_Customer!$A$2:$A$126,0))</f>
        <v>BERKAH OLI</v>
      </c>
      <c r="E491" s="50" t="s">
        <v>28</v>
      </c>
      <c r="F491" s="52" t="n">
        <f aca="false">SUMIFS(Data_Penjualan!$G$2:$G$5998,Data_Penjualan!$A$2:$A$5998,A491)</f>
        <v>10488500</v>
      </c>
      <c r="G491" s="39" t="n">
        <f aca="false">IF(E491="KANTOR",0,INDEX(Master_Customer!$C$2:$C$126,MATCH(C491,Master_Customer!$A$2:$A$126,0)))</f>
        <v>0</v>
      </c>
      <c r="H491" s="53" t="n">
        <f aca="false">B491+G491</f>
        <v>45764</v>
      </c>
      <c r="J491" s="39" t="str">
        <f aca="false">IF(G491=0,"Tunai",IF(I491="","Belum ditukar","Sudah ditukar"))</f>
        <v>Tunai</v>
      </c>
      <c r="K491" s="54" t="n">
        <v>10488500</v>
      </c>
      <c r="L491" s="51" t="n">
        <v>45764</v>
      </c>
      <c r="M491" s="52" t="n">
        <f aca="false">F491-K491</f>
        <v>0</v>
      </c>
      <c r="N491" s="39" t="str">
        <f aca="false">IF(M491&lt;=0,"Lunas",IF(K491&gt;0,"Sebagian","Belum Bayar"))</f>
        <v>Lunas</v>
      </c>
      <c r="O491" s="39" t="n">
        <f aca="false">IF(M491&gt;0,MAX(0,Catatan!$B$3-H491),0)</f>
        <v>0</v>
      </c>
      <c r="P491" s="39" t="str">
        <f aca="false">IF(M491&lt;=0,"Lunas",IF(Catatan!$B$3&lt;=H491,"Belum Jatuh Tempo",IF(O491&lt;=30,"1-30 hari",IF(O491&lt;=60,"31-60 hari",IF(O491&lt;=90,"61-90 hari","90+ hari")))))</f>
        <v>Lunas</v>
      </c>
      <c r="Q491" s="50"/>
      <c r="R491" s="39" t="str">
        <f aca="false">IF(M491&lt;=0,"",IF(O491&gt;60,"1-Tinggi",IF(O491&gt;30,"2-Sedang",IF(O491&gt;0,"3-Rendah","4-Pantau"))))</f>
        <v/>
      </c>
      <c r="S491" s="39" t="str">
        <f aca="false">IF(AND(M491&gt;0,O491&gt;0),O491+M491/1000000000000+ROW()/1000000000000000,"")</f>
        <v/>
      </c>
      <c r="T491" s="39" t="str">
        <f aca="false">IF(J491="Belum ditukar",ROW(),"")</f>
        <v/>
      </c>
    </row>
    <row r="492" customFormat="false" ht="15" hidden="false" customHeight="false" outlineLevel="0" collapsed="false">
      <c r="A492" s="50" t="s">
        <v>768</v>
      </c>
      <c r="B492" s="51" t="n">
        <v>45764</v>
      </c>
      <c r="C492" s="50" t="s">
        <v>174</v>
      </c>
      <c r="D492" s="39" t="str">
        <f aca="false">INDEX(Master_Customer!$B$2:$B$126,MATCH(C492,Master_Customer!$A$2:$A$126,0))</f>
        <v>SUMBER TEKNIK SURYA</v>
      </c>
      <c r="E492" s="50" t="s">
        <v>31</v>
      </c>
      <c r="F492" s="52" t="n">
        <f aca="false">SUMIFS(Data_Penjualan!$G$2:$G$5998,Data_Penjualan!$A$2:$A$5998,A492)</f>
        <v>9517000</v>
      </c>
      <c r="G492" s="39" t="n">
        <f aca="false">IF(E492="KANTOR",0,INDEX(Master_Customer!$C$2:$C$126,MATCH(C492,Master_Customer!$A$2:$A$126,0)))</f>
        <v>30</v>
      </c>
      <c r="H492" s="53" t="n">
        <f aca="false">B492+G492</f>
        <v>45794</v>
      </c>
      <c r="I492" s="51" t="n">
        <v>45768</v>
      </c>
      <c r="J492" s="39" t="str">
        <f aca="false">IF(G492=0,"Tunai",IF(I492="","Belum ditukar","Sudah ditukar"))</f>
        <v>Sudah ditukar</v>
      </c>
      <c r="K492" s="54" t="n">
        <v>9517000</v>
      </c>
      <c r="L492" s="51" t="n">
        <v>45798</v>
      </c>
      <c r="M492" s="52" t="n">
        <f aca="false">F492-K492</f>
        <v>0</v>
      </c>
      <c r="N492" s="39" t="str">
        <f aca="false">IF(M492&lt;=0,"Lunas",IF(K492&gt;0,"Sebagian","Belum Bayar"))</f>
        <v>Lunas</v>
      </c>
      <c r="O492" s="39" t="n">
        <f aca="false">IF(M492&gt;0,MAX(0,Catatan!$B$3-H492),0)</f>
        <v>0</v>
      </c>
      <c r="P492" s="39" t="str">
        <f aca="false">IF(M492&lt;=0,"Lunas",IF(Catatan!$B$3&lt;=H492,"Belum Jatuh Tempo",IF(O492&lt;=30,"1-30 hari",IF(O492&lt;=60,"31-60 hari",IF(O492&lt;=90,"61-90 hari","90+ hari")))))</f>
        <v>Lunas</v>
      </c>
      <c r="Q492" s="50"/>
      <c r="R492" s="39" t="str">
        <f aca="false">IF(M492&lt;=0,"",IF(O492&gt;60,"1-Tinggi",IF(O492&gt;30,"2-Sedang",IF(O492&gt;0,"3-Rendah","4-Pantau"))))</f>
        <v/>
      </c>
      <c r="S492" s="39" t="str">
        <f aca="false">IF(AND(M492&gt;0,O492&gt;0),O492+M492/1000000000000+ROW()/1000000000000000,"")</f>
        <v/>
      </c>
      <c r="T492" s="39" t="str">
        <f aca="false">IF(J492="Belum ditukar",ROW(),"")</f>
        <v/>
      </c>
    </row>
    <row r="493" customFormat="false" ht="15" hidden="false" customHeight="false" outlineLevel="0" collapsed="false">
      <c r="A493" s="50" t="s">
        <v>769</v>
      </c>
      <c r="B493" s="51" t="n">
        <v>45764</v>
      </c>
      <c r="C493" s="50" t="s">
        <v>737</v>
      </c>
      <c r="D493" s="39" t="str">
        <f aca="false">INDEX(Master_Customer!$B$2:$B$126,MATCH(C493,Master_Customer!$A$2:$A$126,0))</f>
        <v>MAJU GARAGE</v>
      </c>
      <c r="E493" s="50" t="s">
        <v>29</v>
      </c>
      <c r="F493" s="52" t="n">
        <f aca="false">SUMIFS(Data_Penjualan!$G$2:$G$5998,Data_Penjualan!$A$2:$A$5998,A493)</f>
        <v>6494900</v>
      </c>
      <c r="G493" s="39" t="n">
        <f aca="false">IF(E493="KANTOR",0,INDEX(Master_Customer!$C$2:$C$126,MATCH(C493,Master_Customer!$A$2:$A$126,0)))</f>
        <v>45</v>
      </c>
      <c r="H493" s="53" t="n">
        <f aca="false">B493+G493</f>
        <v>45809</v>
      </c>
      <c r="I493" s="51" t="n">
        <v>45765</v>
      </c>
      <c r="J493" s="39" t="str">
        <f aca="false">IF(G493=0,"Tunai",IF(I493="","Belum ditukar","Sudah ditukar"))</f>
        <v>Sudah ditukar</v>
      </c>
      <c r="K493" s="54" t="n">
        <v>4795000</v>
      </c>
      <c r="L493" s="51" t="n">
        <v>45808</v>
      </c>
      <c r="M493" s="52" t="n">
        <f aca="false">F493-K493</f>
        <v>1699900</v>
      </c>
      <c r="N493" s="39" t="str">
        <f aca="false">IF(M493&lt;=0,"Lunas",IF(K493&gt;0,"Sebagian","Belum Bayar"))</f>
        <v>Sebagian</v>
      </c>
      <c r="O493" s="39" t="n">
        <f aca="false">IF(M493&gt;0,MAX(0,Catatan!$B$3-H493),0)</f>
        <v>213</v>
      </c>
      <c r="P493" s="39" t="str">
        <f aca="false">IF(M493&lt;=0,"Lunas",IF(Catatan!$B$3&lt;=H493,"Belum Jatuh Tempo",IF(O493&lt;=30,"1-30 hari",IF(O493&lt;=60,"31-60 hari",IF(O493&lt;=90,"61-90 hari","90+ hari")))))</f>
        <v>90+ hari</v>
      </c>
      <c r="Q493" s="50" t="s">
        <v>235</v>
      </c>
      <c r="R493" s="39" t="str">
        <f aca="false">IF(M493&lt;=0,"",IF(O493&gt;60,"1-Tinggi",IF(O493&gt;30,"2-Sedang",IF(O493&gt;0,"3-Rendah","4-Pantau"))))</f>
        <v>1-Tinggi</v>
      </c>
      <c r="S493" s="39" t="n">
        <f aca="false">IF(AND(M493&gt;0,O493&gt;0),O493+M493/1000000000000+ROW()/1000000000000000,"")</f>
        <v>213.0000016999</v>
      </c>
      <c r="T493" s="39" t="str">
        <f aca="false">IF(J493="Belum ditukar",ROW(),"")</f>
        <v/>
      </c>
    </row>
    <row r="494" customFormat="false" ht="15" hidden="false" customHeight="false" outlineLevel="0" collapsed="false">
      <c r="A494" s="50" t="s">
        <v>770</v>
      </c>
      <c r="B494" s="51" t="n">
        <v>45764</v>
      </c>
      <c r="C494" s="50" t="s">
        <v>571</v>
      </c>
      <c r="D494" s="39" t="str">
        <f aca="false">INDEX(Master_Customer!$B$2:$B$126,MATCH(C494,Master_Customer!$A$2:$A$126,0))</f>
        <v>HARAPAN OLI TIRTA</v>
      </c>
      <c r="E494" s="50" t="s">
        <v>28</v>
      </c>
      <c r="F494" s="52" t="n">
        <f aca="false">SUMIFS(Data_Penjualan!$G$2:$G$5998,Data_Penjualan!$A$2:$A$5998,A494)</f>
        <v>12516800</v>
      </c>
      <c r="G494" s="39" t="n">
        <f aca="false">IF(E494="KANTOR",0,INDEX(Master_Customer!$C$2:$C$126,MATCH(C494,Master_Customer!$A$2:$A$126,0)))</f>
        <v>14</v>
      </c>
      <c r="H494" s="53" t="n">
        <f aca="false">B494+G494</f>
        <v>45778</v>
      </c>
      <c r="I494" s="51" t="n">
        <v>45767</v>
      </c>
      <c r="J494" s="39" t="str">
        <f aca="false">IF(G494=0,"Tunai",IF(I494="","Belum ditukar","Sudah ditukar"))</f>
        <v>Sudah ditukar</v>
      </c>
      <c r="K494" s="54" t="n">
        <v>12516800</v>
      </c>
      <c r="L494" s="51" t="n">
        <v>45768</v>
      </c>
      <c r="M494" s="52" t="n">
        <f aca="false">F494-K494</f>
        <v>0</v>
      </c>
      <c r="N494" s="39" t="str">
        <f aca="false">IF(M494&lt;=0,"Lunas",IF(K494&gt;0,"Sebagian","Belum Bayar"))</f>
        <v>Lunas</v>
      </c>
      <c r="O494" s="39" t="n">
        <f aca="false">IF(M494&gt;0,MAX(0,Catatan!$B$3-H494),0)</f>
        <v>0</v>
      </c>
      <c r="P494" s="39" t="str">
        <f aca="false">IF(M494&lt;=0,"Lunas",IF(Catatan!$B$3&lt;=H494,"Belum Jatuh Tempo",IF(O494&lt;=30,"1-30 hari",IF(O494&lt;=60,"31-60 hari",IF(O494&lt;=90,"61-90 hari","90+ hari")))))</f>
        <v>Lunas</v>
      </c>
      <c r="Q494" s="50"/>
      <c r="R494" s="39" t="str">
        <f aca="false">IF(M494&lt;=0,"",IF(O494&gt;60,"1-Tinggi",IF(O494&gt;30,"2-Sedang",IF(O494&gt;0,"3-Rendah","4-Pantau"))))</f>
        <v/>
      </c>
      <c r="S494" s="39" t="str">
        <f aca="false">IF(AND(M494&gt;0,O494&gt;0),O494+M494/1000000000000+ROW()/1000000000000000,"")</f>
        <v/>
      </c>
      <c r="T494" s="39" t="str">
        <f aca="false">IF(J494="Belum ditukar",ROW(),"")</f>
        <v/>
      </c>
    </row>
    <row r="495" customFormat="false" ht="15" hidden="false" customHeight="false" outlineLevel="0" collapsed="false">
      <c r="A495" s="50" t="s">
        <v>771</v>
      </c>
      <c r="B495" s="51" t="n">
        <v>45764</v>
      </c>
      <c r="C495" s="50" t="s">
        <v>213</v>
      </c>
      <c r="D495" s="39" t="str">
        <f aca="false">INDEX(Master_Customer!$B$2:$B$126,MATCH(C495,Master_Customer!$A$2:$A$126,0))</f>
        <v>ABADI AUTO MAKMUR</v>
      </c>
      <c r="E495" s="50" t="s">
        <v>32</v>
      </c>
      <c r="F495" s="52" t="n">
        <f aca="false">SUMIFS(Data_Penjualan!$G$2:$G$5998,Data_Penjualan!$A$2:$A$5998,A495)</f>
        <v>7433600</v>
      </c>
      <c r="G495" s="39" t="n">
        <f aca="false">IF(E495="KANTOR",0,INDEX(Master_Customer!$C$2:$C$126,MATCH(C495,Master_Customer!$A$2:$A$126,0)))</f>
        <v>0</v>
      </c>
      <c r="H495" s="53" t="n">
        <f aca="false">B495+G495</f>
        <v>45764</v>
      </c>
      <c r="J495" s="39" t="str">
        <f aca="false">IF(G495=0,"Tunai",IF(I495="","Belum ditukar","Sudah ditukar"))</f>
        <v>Tunai</v>
      </c>
      <c r="K495" s="54" t="n">
        <v>7433600</v>
      </c>
      <c r="L495" s="51" t="n">
        <v>45765</v>
      </c>
      <c r="M495" s="52" t="n">
        <f aca="false">F495-K495</f>
        <v>0</v>
      </c>
      <c r="N495" s="39" t="str">
        <f aca="false">IF(M495&lt;=0,"Lunas",IF(K495&gt;0,"Sebagian","Belum Bayar"))</f>
        <v>Lunas</v>
      </c>
      <c r="O495" s="39" t="n">
        <f aca="false">IF(M495&gt;0,MAX(0,Catatan!$B$3-H495),0)</f>
        <v>0</v>
      </c>
      <c r="P495" s="39" t="str">
        <f aca="false">IF(M495&lt;=0,"Lunas",IF(Catatan!$B$3&lt;=H495,"Belum Jatuh Tempo",IF(O495&lt;=30,"1-30 hari",IF(O495&lt;=60,"31-60 hari",IF(O495&lt;=90,"61-90 hari","90+ hari")))))</f>
        <v>Lunas</v>
      </c>
      <c r="Q495" s="50"/>
      <c r="R495" s="39" t="str">
        <f aca="false">IF(M495&lt;=0,"",IF(O495&gt;60,"1-Tinggi",IF(O495&gt;30,"2-Sedang",IF(O495&gt;0,"3-Rendah","4-Pantau"))))</f>
        <v/>
      </c>
      <c r="S495" s="39" t="str">
        <f aca="false">IF(AND(M495&gt;0,O495&gt;0),O495+M495/1000000000000+ROW()/1000000000000000,"")</f>
        <v/>
      </c>
      <c r="T495" s="39" t="str">
        <f aca="false">IF(J495="Belum ditukar",ROW(),"")</f>
        <v/>
      </c>
    </row>
    <row r="496" customFormat="false" ht="15" hidden="false" customHeight="false" outlineLevel="0" collapsed="false">
      <c r="A496" s="50" t="s">
        <v>772</v>
      </c>
      <c r="B496" s="51" t="n">
        <v>45765</v>
      </c>
      <c r="C496" s="50" t="s">
        <v>296</v>
      </c>
      <c r="D496" s="39" t="str">
        <f aca="false">INDEX(Master_Customer!$B$2:$B$126,MATCH(C496,Master_Customer!$A$2:$A$126,0))</f>
        <v>KARYA LUBRICANT MAJU</v>
      </c>
      <c r="E496" s="50" t="s">
        <v>29</v>
      </c>
      <c r="F496" s="52" t="n">
        <f aca="false">SUMIFS(Data_Penjualan!$G$2:$G$5998,Data_Penjualan!$A$2:$A$5998,A496)</f>
        <v>5032300</v>
      </c>
      <c r="G496" s="39" t="n">
        <f aca="false">IF(E496="KANTOR",0,INDEX(Master_Customer!$C$2:$C$126,MATCH(C496,Master_Customer!$A$2:$A$126,0)))</f>
        <v>14</v>
      </c>
      <c r="H496" s="53" t="n">
        <f aca="false">B496+G496</f>
        <v>45779</v>
      </c>
      <c r="I496" s="51" t="n">
        <v>45768</v>
      </c>
      <c r="J496" s="39" t="str">
        <f aca="false">IF(G496=0,"Tunai",IF(I496="","Belum ditukar","Sudah ditukar"))</f>
        <v>Sudah ditukar</v>
      </c>
      <c r="K496" s="54" t="n">
        <v>5032300</v>
      </c>
      <c r="L496" s="51" t="n">
        <v>45773</v>
      </c>
      <c r="M496" s="52" t="n">
        <f aca="false">F496-K496</f>
        <v>0</v>
      </c>
      <c r="N496" s="39" t="str">
        <f aca="false">IF(M496&lt;=0,"Lunas",IF(K496&gt;0,"Sebagian","Belum Bayar"))</f>
        <v>Lunas</v>
      </c>
      <c r="O496" s="39" t="n">
        <f aca="false">IF(M496&gt;0,MAX(0,Catatan!$B$3-H496),0)</f>
        <v>0</v>
      </c>
      <c r="P496" s="39" t="str">
        <f aca="false">IF(M496&lt;=0,"Lunas",IF(Catatan!$B$3&lt;=H496,"Belum Jatuh Tempo",IF(O496&lt;=30,"1-30 hari",IF(O496&lt;=60,"31-60 hari",IF(O496&lt;=90,"61-90 hari","90+ hari")))))</f>
        <v>Lunas</v>
      </c>
      <c r="Q496" s="50"/>
      <c r="R496" s="39" t="str">
        <f aca="false">IF(M496&lt;=0,"",IF(O496&gt;60,"1-Tinggi",IF(O496&gt;30,"2-Sedang",IF(O496&gt;0,"3-Rendah","4-Pantau"))))</f>
        <v/>
      </c>
      <c r="S496" s="39" t="str">
        <f aca="false">IF(AND(M496&gt;0,O496&gt;0),O496+M496/1000000000000+ROW()/1000000000000000,"")</f>
        <v/>
      </c>
      <c r="T496" s="39" t="str">
        <f aca="false">IF(J496="Belum ditukar",ROW(),"")</f>
        <v/>
      </c>
    </row>
    <row r="497" customFormat="false" ht="15" hidden="false" customHeight="false" outlineLevel="0" collapsed="false">
      <c r="A497" s="50" t="s">
        <v>773</v>
      </c>
      <c r="B497" s="51" t="n">
        <v>45765</v>
      </c>
      <c r="C497" s="50" t="s">
        <v>410</v>
      </c>
      <c r="D497" s="39" t="str">
        <f aca="false">INDEX(Master_Customer!$B$2:$B$126,MATCH(C497,Master_Customer!$A$2:$A$126,0))</f>
        <v>BINTANG SERVICE</v>
      </c>
      <c r="E497" s="50" t="s">
        <v>28</v>
      </c>
      <c r="F497" s="52" t="n">
        <f aca="false">SUMIFS(Data_Penjualan!$G$2:$G$5998,Data_Penjualan!$A$2:$A$5998,A497)</f>
        <v>6135900</v>
      </c>
      <c r="G497" s="39" t="n">
        <f aca="false">IF(E497="KANTOR",0,INDEX(Master_Customer!$C$2:$C$126,MATCH(C497,Master_Customer!$A$2:$A$126,0)))</f>
        <v>14</v>
      </c>
      <c r="H497" s="53" t="n">
        <f aca="false">B497+G497</f>
        <v>45779</v>
      </c>
      <c r="I497" s="51" t="n">
        <v>45770</v>
      </c>
      <c r="J497" s="39" t="str">
        <f aca="false">IF(G497=0,"Tunai",IF(I497="","Belum ditukar","Sudah ditukar"))</f>
        <v>Sudah ditukar</v>
      </c>
      <c r="K497" s="54" t="n">
        <v>6135900</v>
      </c>
      <c r="L497" s="51" t="n">
        <v>45775</v>
      </c>
      <c r="M497" s="52" t="n">
        <f aca="false">F497-K497</f>
        <v>0</v>
      </c>
      <c r="N497" s="39" t="str">
        <f aca="false">IF(M497&lt;=0,"Lunas",IF(K497&gt;0,"Sebagian","Belum Bayar"))</f>
        <v>Lunas</v>
      </c>
      <c r="O497" s="39" t="n">
        <f aca="false">IF(M497&gt;0,MAX(0,Catatan!$B$3-H497),0)</f>
        <v>0</v>
      </c>
      <c r="P497" s="39" t="str">
        <f aca="false">IF(M497&lt;=0,"Lunas",IF(Catatan!$B$3&lt;=H497,"Belum Jatuh Tempo",IF(O497&lt;=30,"1-30 hari",IF(O497&lt;=60,"31-60 hari",IF(O497&lt;=90,"61-90 hari","90+ hari")))))</f>
        <v>Lunas</v>
      </c>
      <c r="Q497" s="50"/>
      <c r="R497" s="39" t="str">
        <f aca="false">IF(M497&lt;=0,"",IF(O497&gt;60,"1-Tinggi",IF(O497&gt;30,"2-Sedang",IF(O497&gt;0,"3-Rendah","4-Pantau"))))</f>
        <v/>
      </c>
      <c r="S497" s="39" t="str">
        <f aca="false">IF(AND(M497&gt;0,O497&gt;0),O497+M497/1000000000000+ROW()/1000000000000000,"")</f>
        <v/>
      </c>
      <c r="T497" s="39" t="str">
        <f aca="false">IF(J497="Belum ditukar",ROW(),"")</f>
        <v/>
      </c>
    </row>
    <row r="498" customFormat="false" ht="15" hidden="false" customHeight="false" outlineLevel="0" collapsed="false">
      <c r="A498" s="50" t="s">
        <v>774</v>
      </c>
      <c r="B498" s="51" t="n">
        <v>45765</v>
      </c>
      <c r="C498" s="50" t="s">
        <v>174</v>
      </c>
      <c r="D498" s="39" t="str">
        <f aca="false">INDEX(Master_Customer!$B$2:$B$126,MATCH(C498,Master_Customer!$A$2:$A$126,0))</f>
        <v>SUMBER TEKNIK SURYA</v>
      </c>
      <c r="E498" s="50" t="s">
        <v>31</v>
      </c>
      <c r="F498" s="52" t="n">
        <f aca="false">SUMIFS(Data_Penjualan!$G$2:$G$5998,Data_Penjualan!$A$2:$A$5998,A498)</f>
        <v>31564600</v>
      </c>
      <c r="G498" s="39" t="n">
        <f aca="false">IF(E498="KANTOR",0,INDEX(Master_Customer!$C$2:$C$126,MATCH(C498,Master_Customer!$A$2:$A$126,0)))</f>
        <v>30</v>
      </c>
      <c r="H498" s="53" t="n">
        <f aca="false">B498+G498</f>
        <v>45795</v>
      </c>
      <c r="I498" s="51" t="n">
        <v>45767</v>
      </c>
      <c r="J498" s="39" t="str">
        <f aca="false">IF(G498=0,"Tunai",IF(I498="","Belum ditukar","Sudah ditukar"))</f>
        <v>Sudah ditukar</v>
      </c>
      <c r="K498" s="54" t="n">
        <v>31564600</v>
      </c>
      <c r="L498" s="51" t="n">
        <v>45799</v>
      </c>
      <c r="M498" s="52" t="n">
        <f aca="false">F498-K498</f>
        <v>0</v>
      </c>
      <c r="N498" s="39" t="str">
        <f aca="false">IF(M498&lt;=0,"Lunas",IF(K498&gt;0,"Sebagian","Belum Bayar"))</f>
        <v>Lunas</v>
      </c>
      <c r="O498" s="39" t="n">
        <f aca="false">IF(M498&gt;0,MAX(0,Catatan!$B$3-H498),0)</f>
        <v>0</v>
      </c>
      <c r="P498" s="39" t="str">
        <f aca="false">IF(M498&lt;=0,"Lunas",IF(Catatan!$B$3&lt;=H498,"Belum Jatuh Tempo",IF(O498&lt;=30,"1-30 hari",IF(O498&lt;=60,"31-60 hari",IF(O498&lt;=90,"61-90 hari","90+ hari")))))</f>
        <v>Lunas</v>
      </c>
      <c r="Q498" s="50"/>
      <c r="R498" s="39" t="str">
        <f aca="false">IF(M498&lt;=0,"",IF(O498&gt;60,"1-Tinggi",IF(O498&gt;30,"2-Sedang",IF(O498&gt;0,"3-Rendah","4-Pantau"))))</f>
        <v/>
      </c>
      <c r="S498" s="39" t="str">
        <f aca="false">IF(AND(M498&gt;0,O498&gt;0),O498+M498/1000000000000+ROW()/1000000000000000,"")</f>
        <v/>
      </c>
      <c r="T498" s="39" t="str">
        <f aca="false">IF(J498="Belum ditukar",ROW(),"")</f>
        <v/>
      </c>
    </row>
    <row r="499" customFormat="false" ht="15" hidden="false" customHeight="false" outlineLevel="0" collapsed="false">
      <c r="A499" s="50" t="s">
        <v>775</v>
      </c>
      <c r="B499" s="51" t="n">
        <v>45765</v>
      </c>
      <c r="C499" s="50" t="s">
        <v>223</v>
      </c>
      <c r="D499" s="39" t="str">
        <f aca="false">INDEX(Master_Customer!$B$2:$B$126,MATCH(C499,Master_Customer!$A$2:$A$126,0))</f>
        <v>ABADI AUTO UTAMA</v>
      </c>
      <c r="E499" s="50" t="s">
        <v>31</v>
      </c>
      <c r="F499" s="52" t="n">
        <f aca="false">SUMIFS(Data_Penjualan!$G$2:$G$5998,Data_Penjualan!$A$2:$A$5998,A499)</f>
        <v>18753900</v>
      </c>
      <c r="G499" s="39" t="n">
        <f aca="false">IF(E499="KANTOR",0,INDEX(Master_Customer!$C$2:$C$126,MATCH(C499,Master_Customer!$A$2:$A$126,0)))</f>
        <v>14</v>
      </c>
      <c r="H499" s="53" t="n">
        <f aca="false">B499+G499</f>
        <v>45779</v>
      </c>
      <c r="I499" s="51" t="n">
        <v>45766</v>
      </c>
      <c r="J499" s="39" t="str">
        <f aca="false">IF(G499=0,"Tunai",IF(I499="","Belum ditukar","Sudah ditukar"))</f>
        <v>Sudah ditukar</v>
      </c>
      <c r="K499" s="54" t="n">
        <v>18753900</v>
      </c>
      <c r="L499" s="51" t="n">
        <v>45809</v>
      </c>
      <c r="M499" s="52" t="n">
        <f aca="false">F499-K499</f>
        <v>0</v>
      </c>
      <c r="N499" s="39" t="str">
        <f aca="false">IF(M499&lt;=0,"Lunas",IF(K499&gt;0,"Sebagian","Belum Bayar"))</f>
        <v>Lunas</v>
      </c>
      <c r="O499" s="39" t="n">
        <f aca="false">IF(M499&gt;0,MAX(0,Catatan!$B$3-H499),0)</f>
        <v>0</v>
      </c>
      <c r="P499" s="39" t="str">
        <f aca="false">IF(M499&lt;=0,"Lunas",IF(Catatan!$B$3&lt;=H499,"Belum Jatuh Tempo",IF(O499&lt;=30,"1-30 hari",IF(O499&lt;=60,"31-60 hari",IF(O499&lt;=90,"61-90 hari","90+ hari")))))</f>
        <v>Lunas</v>
      </c>
      <c r="Q499" s="50"/>
      <c r="R499" s="39" t="str">
        <f aca="false">IF(M499&lt;=0,"",IF(O499&gt;60,"1-Tinggi",IF(O499&gt;30,"2-Sedang",IF(O499&gt;0,"3-Rendah","4-Pantau"))))</f>
        <v/>
      </c>
      <c r="S499" s="39" t="str">
        <f aca="false">IF(AND(M499&gt;0,O499&gt;0),O499+M499/1000000000000+ROW()/1000000000000000,"")</f>
        <v/>
      </c>
      <c r="T499" s="39" t="str">
        <f aca="false">IF(J499="Belum ditukar",ROW(),"")</f>
        <v/>
      </c>
    </row>
    <row r="500" customFormat="false" ht="15" hidden="false" customHeight="false" outlineLevel="0" collapsed="false">
      <c r="A500" s="50" t="s">
        <v>776</v>
      </c>
      <c r="B500" s="51" t="n">
        <v>45766</v>
      </c>
      <c r="C500" s="50" t="s">
        <v>207</v>
      </c>
      <c r="D500" s="39" t="str">
        <f aca="false">INDEX(Master_Customer!$B$2:$B$126,MATCH(C500,Master_Customer!$A$2:$A$126,0))</f>
        <v>MAKMUR AUTO HARAPAN</v>
      </c>
      <c r="E500" s="50" t="s">
        <v>32</v>
      </c>
      <c r="F500" s="52" t="n">
        <f aca="false">SUMIFS(Data_Penjualan!$G$2:$G$5998,Data_Penjualan!$A$2:$A$5998,A500)</f>
        <v>5327600</v>
      </c>
      <c r="G500" s="39" t="n">
        <f aca="false">IF(E500="KANTOR",0,INDEX(Master_Customer!$C$2:$C$126,MATCH(C500,Master_Customer!$A$2:$A$126,0)))</f>
        <v>0</v>
      </c>
      <c r="H500" s="53" t="n">
        <f aca="false">B500+G500</f>
        <v>45766</v>
      </c>
      <c r="J500" s="39" t="str">
        <f aca="false">IF(G500=0,"Tunai",IF(I500="","Belum ditukar","Sudah ditukar"))</f>
        <v>Tunai</v>
      </c>
      <c r="K500" s="54" t="n">
        <v>5327600</v>
      </c>
      <c r="L500" s="51" t="n">
        <v>45766</v>
      </c>
      <c r="M500" s="52" t="n">
        <f aca="false">F500-K500</f>
        <v>0</v>
      </c>
      <c r="N500" s="39" t="str">
        <f aca="false">IF(M500&lt;=0,"Lunas",IF(K500&gt;0,"Sebagian","Belum Bayar"))</f>
        <v>Lunas</v>
      </c>
      <c r="O500" s="39" t="n">
        <f aca="false">IF(M500&gt;0,MAX(0,Catatan!$B$3-H500),0)</f>
        <v>0</v>
      </c>
      <c r="P500" s="39" t="str">
        <f aca="false">IF(M500&lt;=0,"Lunas",IF(Catatan!$B$3&lt;=H500,"Belum Jatuh Tempo",IF(O500&lt;=30,"1-30 hari",IF(O500&lt;=60,"31-60 hari",IF(O500&lt;=90,"61-90 hari","90+ hari")))))</f>
        <v>Lunas</v>
      </c>
      <c r="Q500" s="50"/>
      <c r="R500" s="39" t="str">
        <f aca="false">IF(M500&lt;=0,"",IF(O500&gt;60,"1-Tinggi",IF(O500&gt;30,"2-Sedang",IF(O500&gt;0,"3-Rendah","4-Pantau"))))</f>
        <v/>
      </c>
      <c r="S500" s="39" t="str">
        <f aca="false">IF(AND(M500&gt;0,O500&gt;0),O500+M500/1000000000000+ROW()/1000000000000000,"")</f>
        <v/>
      </c>
      <c r="T500" s="39" t="str">
        <f aca="false">IF(J500="Belum ditukar",ROW(),"")</f>
        <v/>
      </c>
    </row>
    <row r="501" customFormat="false" ht="15" hidden="false" customHeight="false" outlineLevel="0" collapsed="false">
      <c r="A501" s="50" t="s">
        <v>777</v>
      </c>
      <c r="B501" s="51" t="n">
        <v>45766</v>
      </c>
      <c r="C501" s="50" t="s">
        <v>778</v>
      </c>
      <c r="D501" s="39" t="str">
        <f aca="false">INDEX(Master_Customer!$B$2:$B$126,MATCH(C501,Master_Customer!$A$2:$A$126,0))</f>
        <v>BINTANG SERVICE MULIA</v>
      </c>
      <c r="E501" s="50" t="s">
        <v>29</v>
      </c>
      <c r="F501" s="52" t="n">
        <f aca="false">SUMIFS(Data_Penjualan!$G$2:$G$5998,Data_Penjualan!$A$2:$A$5998,A501)</f>
        <v>18307900</v>
      </c>
      <c r="G501" s="39" t="n">
        <f aca="false">IF(E501="KANTOR",0,INDEX(Master_Customer!$C$2:$C$126,MATCH(C501,Master_Customer!$A$2:$A$126,0)))</f>
        <v>30</v>
      </c>
      <c r="H501" s="53" t="n">
        <f aca="false">B501+G501</f>
        <v>45796</v>
      </c>
      <c r="I501" s="51" t="n">
        <v>45768</v>
      </c>
      <c r="J501" s="39" t="str">
        <f aca="false">IF(G501=0,"Tunai",IF(I501="","Belum ditukar","Sudah ditukar"))</f>
        <v>Sudah ditukar</v>
      </c>
      <c r="K501" s="54" t="n">
        <v>18307900</v>
      </c>
      <c r="L501" s="51" t="n">
        <v>45795</v>
      </c>
      <c r="M501" s="52" t="n">
        <f aca="false">F501-K501</f>
        <v>0</v>
      </c>
      <c r="N501" s="39" t="str">
        <f aca="false">IF(M501&lt;=0,"Lunas",IF(K501&gt;0,"Sebagian","Belum Bayar"))</f>
        <v>Lunas</v>
      </c>
      <c r="O501" s="39" t="n">
        <f aca="false">IF(M501&gt;0,MAX(0,Catatan!$B$3-H501),0)</f>
        <v>0</v>
      </c>
      <c r="P501" s="39" t="str">
        <f aca="false">IF(M501&lt;=0,"Lunas",IF(Catatan!$B$3&lt;=H501,"Belum Jatuh Tempo",IF(O501&lt;=30,"1-30 hari",IF(O501&lt;=60,"31-60 hari",IF(O501&lt;=90,"61-90 hari","90+ hari")))))</f>
        <v>Lunas</v>
      </c>
      <c r="Q501" s="50"/>
      <c r="R501" s="39" t="str">
        <f aca="false">IF(M501&lt;=0,"",IF(O501&gt;60,"1-Tinggi",IF(O501&gt;30,"2-Sedang",IF(O501&gt;0,"3-Rendah","4-Pantau"))))</f>
        <v/>
      </c>
      <c r="S501" s="39" t="str">
        <f aca="false">IF(AND(M501&gt;0,O501&gt;0),O501+M501/1000000000000+ROW()/1000000000000000,"")</f>
        <v/>
      </c>
      <c r="T501" s="39" t="str">
        <f aca="false">IF(J501="Belum ditukar",ROW(),"")</f>
        <v/>
      </c>
    </row>
    <row r="502" customFormat="false" ht="15" hidden="false" customHeight="false" outlineLevel="0" collapsed="false">
      <c r="A502" s="50" t="s">
        <v>779</v>
      </c>
      <c r="B502" s="51" t="n">
        <v>45766</v>
      </c>
      <c r="C502" s="50" t="s">
        <v>611</v>
      </c>
      <c r="D502" s="39" t="str">
        <f aca="false">INDEX(Master_Customer!$B$2:$B$126,MATCH(C502,Master_Customer!$A$2:$A$126,0))</f>
        <v>MULIA MOBIL MITRA</v>
      </c>
      <c r="E502" s="50" t="s">
        <v>31</v>
      </c>
      <c r="F502" s="52" t="n">
        <f aca="false">SUMIFS(Data_Penjualan!$G$2:$G$5998,Data_Penjualan!$A$2:$A$5998,A502)</f>
        <v>18433900</v>
      </c>
      <c r="G502" s="39" t="n">
        <f aca="false">IF(E502="KANTOR",0,INDEX(Master_Customer!$C$2:$C$126,MATCH(C502,Master_Customer!$A$2:$A$126,0)))</f>
        <v>14</v>
      </c>
      <c r="H502" s="53" t="n">
        <f aca="false">B502+G502</f>
        <v>45780</v>
      </c>
      <c r="I502" s="51" t="n">
        <v>45767</v>
      </c>
      <c r="J502" s="39" t="str">
        <f aca="false">IF(G502=0,"Tunai",IF(I502="","Belum ditukar","Sudah ditukar"))</f>
        <v>Sudah ditukar</v>
      </c>
      <c r="K502" s="54" t="n">
        <v>18433900</v>
      </c>
      <c r="L502" s="51" t="n">
        <v>45777</v>
      </c>
      <c r="M502" s="52" t="n">
        <f aca="false">F502-K502</f>
        <v>0</v>
      </c>
      <c r="N502" s="39" t="str">
        <f aca="false">IF(M502&lt;=0,"Lunas",IF(K502&gt;0,"Sebagian","Belum Bayar"))</f>
        <v>Lunas</v>
      </c>
      <c r="O502" s="39" t="n">
        <f aca="false">IF(M502&gt;0,MAX(0,Catatan!$B$3-H502),0)</f>
        <v>0</v>
      </c>
      <c r="P502" s="39" t="str">
        <f aca="false">IF(M502&lt;=0,"Lunas",IF(Catatan!$B$3&lt;=H502,"Belum Jatuh Tempo",IF(O502&lt;=30,"1-30 hari",IF(O502&lt;=60,"31-60 hari",IF(O502&lt;=90,"61-90 hari","90+ hari")))))</f>
        <v>Lunas</v>
      </c>
      <c r="Q502" s="50"/>
      <c r="R502" s="39" t="str">
        <f aca="false">IF(M502&lt;=0,"",IF(O502&gt;60,"1-Tinggi",IF(O502&gt;30,"2-Sedang",IF(O502&gt;0,"3-Rendah","4-Pantau"))))</f>
        <v/>
      </c>
      <c r="S502" s="39" t="str">
        <f aca="false">IF(AND(M502&gt;0,O502&gt;0),O502+M502/1000000000000+ROW()/1000000000000000,"")</f>
        <v/>
      </c>
      <c r="T502" s="39" t="str">
        <f aca="false">IF(J502="Belum ditukar",ROW(),"")</f>
        <v/>
      </c>
    </row>
    <row r="503" customFormat="false" ht="15" hidden="false" customHeight="false" outlineLevel="0" collapsed="false">
      <c r="A503" s="50" t="s">
        <v>780</v>
      </c>
      <c r="B503" s="51" t="n">
        <v>45766</v>
      </c>
      <c r="C503" s="50" t="s">
        <v>693</v>
      </c>
      <c r="D503" s="39" t="str">
        <f aca="false">INDEX(Master_Customer!$B$2:$B$126,MATCH(C503,Master_Customer!$A$2:$A$126,0))</f>
        <v>SUMBER OLI GEMILANG</v>
      </c>
      <c r="E503" s="50" t="s">
        <v>30</v>
      </c>
      <c r="F503" s="52" t="n">
        <f aca="false">SUMIFS(Data_Penjualan!$G$2:$G$5998,Data_Penjualan!$A$2:$A$5998,A503)</f>
        <v>34664900</v>
      </c>
      <c r="G503" s="39" t="n">
        <f aca="false">IF(E503="KANTOR",0,INDEX(Master_Customer!$C$2:$C$126,MATCH(C503,Master_Customer!$A$2:$A$126,0)))</f>
        <v>30</v>
      </c>
      <c r="H503" s="53" t="n">
        <f aca="false">B503+G503</f>
        <v>45796</v>
      </c>
      <c r="I503" s="51" t="n">
        <v>45770</v>
      </c>
      <c r="J503" s="39" t="str">
        <f aca="false">IF(G503=0,"Tunai",IF(I503="","Belum ditukar","Sudah ditukar"))</f>
        <v>Sudah ditukar</v>
      </c>
      <c r="K503" s="54" t="n">
        <v>34664900</v>
      </c>
      <c r="L503" s="51" t="n">
        <v>45826</v>
      </c>
      <c r="M503" s="52" t="n">
        <f aca="false">F503-K503</f>
        <v>0</v>
      </c>
      <c r="N503" s="39" t="str">
        <f aca="false">IF(M503&lt;=0,"Lunas",IF(K503&gt;0,"Sebagian","Belum Bayar"))</f>
        <v>Lunas</v>
      </c>
      <c r="O503" s="39" t="n">
        <f aca="false">IF(M503&gt;0,MAX(0,Catatan!$B$3-H503),0)</f>
        <v>0</v>
      </c>
      <c r="P503" s="39" t="str">
        <f aca="false">IF(M503&lt;=0,"Lunas",IF(Catatan!$B$3&lt;=H503,"Belum Jatuh Tempo",IF(O503&lt;=30,"1-30 hari",IF(O503&lt;=60,"31-60 hari",IF(O503&lt;=90,"61-90 hari","90+ hari")))))</f>
        <v>Lunas</v>
      </c>
      <c r="Q503" s="50"/>
      <c r="R503" s="39" t="str">
        <f aca="false">IF(M503&lt;=0,"",IF(O503&gt;60,"1-Tinggi",IF(O503&gt;30,"2-Sedang",IF(O503&gt;0,"3-Rendah","4-Pantau"))))</f>
        <v/>
      </c>
      <c r="S503" s="39" t="str">
        <f aca="false">IF(AND(M503&gt;0,O503&gt;0),O503+M503/1000000000000+ROW()/1000000000000000,"")</f>
        <v/>
      </c>
      <c r="T503" s="39" t="str">
        <f aca="false">IF(J503="Belum ditukar",ROW(),"")</f>
        <v/>
      </c>
    </row>
    <row r="504" customFormat="false" ht="15" hidden="false" customHeight="false" outlineLevel="0" collapsed="false">
      <c r="A504" s="50" t="s">
        <v>781</v>
      </c>
      <c r="B504" s="51" t="n">
        <v>45766</v>
      </c>
      <c r="C504" s="50" t="s">
        <v>436</v>
      </c>
      <c r="D504" s="39" t="str">
        <f aca="false">INDEX(Master_Customer!$B$2:$B$126,MATCH(C504,Master_Customer!$A$2:$A$126,0))</f>
        <v>TIRTA AUTO</v>
      </c>
      <c r="E504" s="50" t="s">
        <v>30</v>
      </c>
      <c r="F504" s="52" t="n">
        <f aca="false">SUMIFS(Data_Penjualan!$G$2:$G$5998,Data_Penjualan!$A$2:$A$5998,A504)</f>
        <v>7110100</v>
      </c>
      <c r="G504" s="39" t="n">
        <f aca="false">IF(E504="KANTOR",0,INDEX(Master_Customer!$C$2:$C$126,MATCH(C504,Master_Customer!$A$2:$A$126,0)))</f>
        <v>14</v>
      </c>
      <c r="H504" s="53" t="n">
        <f aca="false">B504+G504</f>
        <v>45780</v>
      </c>
      <c r="I504" s="51" t="n">
        <v>45769</v>
      </c>
      <c r="J504" s="39" t="str">
        <f aca="false">IF(G504=0,"Tunai",IF(I504="","Belum ditukar","Sudah ditukar"))</f>
        <v>Sudah ditukar</v>
      </c>
      <c r="K504" s="54" t="n">
        <v>7110100</v>
      </c>
      <c r="L504" s="51" t="n">
        <v>45795</v>
      </c>
      <c r="M504" s="52" t="n">
        <f aca="false">F504-K504</f>
        <v>0</v>
      </c>
      <c r="N504" s="39" t="str">
        <f aca="false">IF(M504&lt;=0,"Lunas",IF(K504&gt;0,"Sebagian","Belum Bayar"))</f>
        <v>Lunas</v>
      </c>
      <c r="O504" s="39" t="n">
        <f aca="false">IF(M504&gt;0,MAX(0,Catatan!$B$3-H504),0)</f>
        <v>0</v>
      </c>
      <c r="P504" s="39" t="str">
        <f aca="false">IF(M504&lt;=0,"Lunas",IF(Catatan!$B$3&lt;=H504,"Belum Jatuh Tempo",IF(O504&lt;=30,"1-30 hari",IF(O504&lt;=60,"31-60 hari",IF(O504&lt;=90,"61-90 hari","90+ hari")))))</f>
        <v>Lunas</v>
      </c>
      <c r="Q504" s="50"/>
      <c r="R504" s="39" t="str">
        <f aca="false">IF(M504&lt;=0,"",IF(O504&gt;60,"1-Tinggi",IF(O504&gt;30,"2-Sedang",IF(O504&gt;0,"3-Rendah","4-Pantau"))))</f>
        <v/>
      </c>
      <c r="S504" s="39" t="str">
        <f aca="false">IF(AND(M504&gt;0,O504&gt;0),O504+M504/1000000000000+ROW()/1000000000000000,"")</f>
        <v/>
      </c>
      <c r="T504" s="39" t="str">
        <f aca="false">IF(J504="Belum ditukar",ROW(),"")</f>
        <v/>
      </c>
    </row>
    <row r="505" customFormat="false" ht="15" hidden="false" customHeight="false" outlineLevel="0" collapsed="false">
      <c r="A505" s="50" t="s">
        <v>782</v>
      </c>
      <c r="B505" s="51" t="n">
        <v>45766</v>
      </c>
      <c r="C505" s="50" t="s">
        <v>320</v>
      </c>
      <c r="D505" s="39" t="str">
        <f aca="false">INDEX(Master_Customer!$B$2:$B$126,MATCH(C505,Master_Customer!$A$2:$A$126,0))</f>
        <v>BINTANG OLI</v>
      </c>
      <c r="E505" s="50" t="s">
        <v>31</v>
      </c>
      <c r="F505" s="52" t="n">
        <f aca="false">SUMIFS(Data_Penjualan!$G$2:$G$5998,Data_Penjualan!$A$2:$A$5998,A505)</f>
        <v>1519600</v>
      </c>
      <c r="G505" s="39" t="n">
        <f aca="false">IF(E505="KANTOR",0,INDEX(Master_Customer!$C$2:$C$126,MATCH(C505,Master_Customer!$A$2:$A$126,0)))</f>
        <v>14</v>
      </c>
      <c r="H505" s="53" t="n">
        <f aca="false">B505+G505</f>
        <v>45780</v>
      </c>
      <c r="I505" s="51" t="n">
        <v>45769</v>
      </c>
      <c r="J505" s="39" t="str">
        <f aca="false">IF(G505=0,"Tunai",IF(I505="","Belum ditukar","Sudah ditukar"))</f>
        <v>Sudah ditukar</v>
      </c>
      <c r="K505" s="54" t="n">
        <v>1519600</v>
      </c>
      <c r="L505" s="51" t="n">
        <v>45890</v>
      </c>
      <c r="M505" s="52" t="n">
        <f aca="false">F505-K505</f>
        <v>0</v>
      </c>
      <c r="N505" s="39" t="str">
        <f aca="false">IF(M505&lt;=0,"Lunas",IF(K505&gt;0,"Sebagian","Belum Bayar"))</f>
        <v>Lunas</v>
      </c>
      <c r="O505" s="39" t="n">
        <f aca="false">IF(M505&gt;0,MAX(0,Catatan!$B$3-H505),0)</f>
        <v>0</v>
      </c>
      <c r="P505" s="39" t="str">
        <f aca="false">IF(M505&lt;=0,"Lunas",IF(Catatan!$B$3&lt;=H505,"Belum Jatuh Tempo",IF(O505&lt;=30,"1-30 hari",IF(O505&lt;=60,"31-60 hari",IF(O505&lt;=90,"61-90 hari","90+ hari")))))</f>
        <v>Lunas</v>
      </c>
      <c r="Q505" s="50"/>
      <c r="R505" s="39" t="str">
        <f aca="false">IF(M505&lt;=0,"",IF(O505&gt;60,"1-Tinggi",IF(O505&gt;30,"2-Sedang",IF(O505&gt;0,"3-Rendah","4-Pantau"))))</f>
        <v/>
      </c>
      <c r="S505" s="39" t="str">
        <f aca="false">IF(AND(M505&gt;0,O505&gt;0),O505+M505/1000000000000+ROW()/1000000000000000,"")</f>
        <v/>
      </c>
      <c r="T505" s="39" t="str">
        <f aca="false">IF(J505="Belum ditukar",ROW(),"")</f>
        <v/>
      </c>
    </row>
    <row r="506" customFormat="false" ht="15" hidden="false" customHeight="false" outlineLevel="0" collapsed="false">
      <c r="A506" s="50" t="s">
        <v>783</v>
      </c>
      <c r="B506" s="51" t="n">
        <v>45766</v>
      </c>
      <c r="C506" s="50" t="s">
        <v>195</v>
      </c>
      <c r="D506" s="39" t="str">
        <f aca="false">INDEX(Master_Customer!$B$2:$B$126,MATCH(C506,Master_Customer!$A$2:$A$126,0))</f>
        <v>KARYA LUBRICANT BINTANG</v>
      </c>
      <c r="E506" s="50" t="s">
        <v>30</v>
      </c>
      <c r="F506" s="52" t="n">
        <f aca="false">SUMIFS(Data_Penjualan!$G$2:$G$5998,Data_Penjualan!$A$2:$A$5998,A506)</f>
        <v>9989500</v>
      </c>
      <c r="G506" s="39" t="n">
        <f aca="false">IF(E506="KANTOR",0,INDEX(Master_Customer!$C$2:$C$126,MATCH(C506,Master_Customer!$A$2:$A$126,0)))</f>
        <v>14</v>
      </c>
      <c r="H506" s="53" t="n">
        <f aca="false">B506+G506</f>
        <v>45780</v>
      </c>
      <c r="I506" s="51" t="n">
        <v>45768</v>
      </c>
      <c r="J506" s="39" t="str">
        <f aca="false">IF(G506=0,"Tunai",IF(I506="","Belum ditukar","Sudah ditukar"))</f>
        <v>Sudah ditukar</v>
      </c>
      <c r="K506" s="54" t="n">
        <v>9989500</v>
      </c>
      <c r="L506" s="51" t="n">
        <v>45775</v>
      </c>
      <c r="M506" s="52" t="n">
        <f aca="false">F506-K506</f>
        <v>0</v>
      </c>
      <c r="N506" s="39" t="str">
        <f aca="false">IF(M506&lt;=0,"Lunas",IF(K506&gt;0,"Sebagian","Belum Bayar"))</f>
        <v>Lunas</v>
      </c>
      <c r="O506" s="39" t="n">
        <f aca="false">IF(M506&gt;0,MAX(0,Catatan!$B$3-H506),0)</f>
        <v>0</v>
      </c>
      <c r="P506" s="39" t="str">
        <f aca="false">IF(M506&lt;=0,"Lunas",IF(Catatan!$B$3&lt;=H506,"Belum Jatuh Tempo",IF(O506&lt;=30,"1-30 hari",IF(O506&lt;=60,"31-60 hari",IF(O506&lt;=90,"61-90 hari","90+ hari")))))</f>
        <v>Lunas</v>
      </c>
      <c r="Q506" s="50"/>
      <c r="R506" s="39" t="str">
        <f aca="false">IF(M506&lt;=0,"",IF(O506&gt;60,"1-Tinggi",IF(O506&gt;30,"2-Sedang",IF(O506&gt;0,"3-Rendah","4-Pantau"))))</f>
        <v/>
      </c>
      <c r="S506" s="39" t="str">
        <f aca="false">IF(AND(M506&gt;0,O506&gt;0),O506+M506/1000000000000+ROW()/1000000000000000,"")</f>
        <v/>
      </c>
      <c r="T506" s="39" t="str">
        <f aca="false">IF(J506="Belum ditukar",ROW(),"")</f>
        <v/>
      </c>
    </row>
    <row r="507" customFormat="false" ht="15" hidden="false" customHeight="false" outlineLevel="0" collapsed="false">
      <c r="A507" s="50" t="s">
        <v>784</v>
      </c>
      <c r="B507" s="51" t="n">
        <v>45768</v>
      </c>
      <c r="C507" s="50" t="s">
        <v>228</v>
      </c>
      <c r="D507" s="39" t="str">
        <f aca="false">INDEX(Master_Customer!$B$2:$B$126,MATCH(C507,Master_Customer!$A$2:$A$126,0))</f>
        <v>MAKMUR SERVICE JAYA</v>
      </c>
      <c r="E507" s="50" t="s">
        <v>29</v>
      </c>
      <c r="F507" s="52" t="n">
        <f aca="false">SUMIFS(Data_Penjualan!$G$2:$G$5998,Data_Penjualan!$A$2:$A$5998,A507)</f>
        <v>6411900</v>
      </c>
      <c r="G507" s="39" t="n">
        <f aca="false">IF(E507="KANTOR",0,INDEX(Master_Customer!$C$2:$C$126,MATCH(C507,Master_Customer!$A$2:$A$126,0)))</f>
        <v>30</v>
      </c>
      <c r="H507" s="53" t="n">
        <f aca="false">B507+G507</f>
        <v>45798</v>
      </c>
      <c r="I507" s="51" t="n">
        <v>45771</v>
      </c>
      <c r="J507" s="39" t="str">
        <f aca="false">IF(G507=0,"Tunai",IF(I507="","Belum ditukar","Sudah ditukar"))</f>
        <v>Sudah ditukar</v>
      </c>
      <c r="K507" s="54" t="n">
        <v>6411900</v>
      </c>
      <c r="L507" s="51" t="n">
        <v>45849</v>
      </c>
      <c r="M507" s="52" t="n">
        <f aca="false">F507-K507</f>
        <v>0</v>
      </c>
      <c r="N507" s="39" t="str">
        <f aca="false">IF(M507&lt;=0,"Lunas",IF(K507&gt;0,"Sebagian","Belum Bayar"))</f>
        <v>Lunas</v>
      </c>
      <c r="O507" s="39" t="n">
        <f aca="false">IF(M507&gt;0,MAX(0,Catatan!$B$3-H507),0)</f>
        <v>0</v>
      </c>
      <c r="P507" s="39" t="str">
        <f aca="false">IF(M507&lt;=0,"Lunas",IF(Catatan!$B$3&lt;=H507,"Belum Jatuh Tempo",IF(O507&lt;=30,"1-30 hari",IF(O507&lt;=60,"31-60 hari",IF(O507&lt;=90,"61-90 hari","90+ hari")))))</f>
        <v>Lunas</v>
      </c>
      <c r="Q507" s="50"/>
      <c r="R507" s="39" t="str">
        <f aca="false">IF(M507&lt;=0,"",IF(O507&gt;60,"1-Tinggi",IF(O507&gt;30,"2-Sedang",IF(O507&gt;0,"3-Rendah","4-Pantau"))))</f>
        <v/>
      </c>
      <c r="S507" s="39" t="str">
        <f aca="false">IF(AND(M507&gt;0,O507&gt;0),O507+M507/1000000000000+ROW()/1000000000000000,"")</f>
        <v/>
      </c>
      <c r="T507" s="39" t="str">
        <f aca="false">IF(J507="Belum ditukar",ROW(),"")</f>
        <v/>
      </c>
    </row>
    <row r="508" customFormat="false" ht="15" hidden="false" customHeight="false" outlineLevel="0" collapsed="false">
      <c r="A508" s="50" t="s">
        <v>785</v>
      </c>
      <c r="B508" s="51" t="n">
        <v>45768</v>
      </c>
      <c r="C508" s="50" t="s">
        <v>298</v>
      </c>
      <c r="D508" s="39" t="str">
        <f aca="false">INDEX(Master_Customer!$B$2:$B$126,MATCH(C508,Master_Customer!$A$2:$A$126,0))</f>
        <v>BERKAH MOBIL MAKMUR</v>
      </c>
      <c r="E508" s="50" t="s">
        <v>31</v>
      </c>
      <c r="F508" s="52" t="n">
        <f aca="false">SUMIFS(Data_Penjualan!$G$2:$G$5998,Data_Penjualan!$A$2:$A$5998,A508)</f>
        <v>6468900</v>
      </c>
      <c r="G508" s="39" t="n">
        <f aca="false">IF(E508="KANTOR",0,INDEX(Master_Customer!$C$2:$C$126,MATCH(C508,Master_Customer!$A$2:$A$126,0)))</f>
        <v>14</v>
      </c>
      <c r="H508" s="53" t="n">
        <f aca="false">B508+G508</f>
        <v>45782</v>
      </c>
      <c r="I508" s="51" t="n">
        <v>45771</v>
      </c>
      <c r="J508" s="39" t="str">
        <f aca="false">IF(G508=0,"Tunai",IF(I508="","Belum ditukar","Sudah ditukar"))</f>
        <v>Sudah ditukar</v>
      </c>
      <c r="K508" s="54" t="n">
        <v>6468900</v>
      </c>
      <c r="L508" s="51" t="n">
        <v>45794</v>
      </c>
      <c r="M508" s="52" t="n">
        <f aca="false">F508-K508</f>
        <v>0</v>
      </c>
      <c r="N508" s="39" t="str">
        <f aca="false">IF(M508&lt;=0,"Lunas",IF(K508&gt;0,"Sebagian","Belum Bayar"))</f>
        <v>Lunas</v>
      </c>
      <c r="O508" s="39" t="n">
        <f aca="false">IF(M508&gt;0,MAX(0,Catatan!$B$3-H508),0)</f>
        <v>0</v>
      </c>
      <c r="P508" s="39" t="str">
        <f aca="false">IF(M508&lt;=0,"Lunas",IF(Catatan!$B$3&lt;=H508,"Belum Jatuh Tempo",IF(O508&lt;=30,"1-30 hari",IF(O508&lt;=60,"31-60 hari",IF(O508&lt;=90,"61-90 hari","90+ hari")))))</f>
        <v>Lunas</v>
      </c>
      <c r="Q508" s="50"/>
      <c r="R508" s="39" t="str">
        <f aca="false">IF(M508&lt;=0,"",IF(O508&gt;60,"1-Tinggi",IF(O508&gt;30,"2-Sedang",IF(O508&gt;0,"3-Rendah","4-Pantau"))))</f>
        <v/>
      </c>
      <c r="S508" s="39" t="str">
        <f aca="false">IF(AND(M508&gt;0,O508&gt;0),O508+M508/1000000000000+ROW()/1000000000000000,"")</f>
        <v/>
      </c>
      <c r="T508" s="39" t="str">
        <f aca="false">IF(J508="Belum ditukar",ROW(),"")</f>
        <v/>
      </c>
    </row>
    <row r="509" customFormat="false" ht="15" hidden="false" customHeight="false" outlineLevel="0" collapsed="false">
      <c r="A509" s="50" t="s">
        <v>786</v>
      </c>
      <c r="B509" s="51" t="n">
        <v>45768</v>
      </c>
      <c r="C509" s="50" t="s">
        <v>197</v>
      </c>
      <c r="D509" s="39" t="str">
        <f aca="false">INDEX(Master_Customer!$B$2:$B$126,MATCH(C509,Master_Customer!$A$2:$A$126,0))</f>
        <v>UTAMA LUBRICANT HARAPAN</v>
      </c>
      <c r="E509" s="50" t="s">
        <v>30</v>
      </c>
      <c r="F509" s="52" t="n">
        <f aca="false">SUMIFS(Data_Penjualan!$G$2:$G$5998,Data_Penjualan!$A$2:$A$5998,A509)</f>
        <v>10838400</v>
      </c>
      <c r="G509" s="39" t="n">
        <f aca="false">IF(E509="KANTOR",0,INDEX(Master_Customer!$C$2:$C$126,MATCH(C509,Master_Customer!$A$2:$A$126,0)))</f>
        <v>30</v>
      </c>
      <c r="H509" s="53" t="n">
        <f aca="false">B509+G509</f>
        <v>45798</v>
      </c>
      <c r="I509" s="51" t="n">
        <v>45769</v>
      </c>
      <c r="J509" s="39" t="str">
        <f aca="false">IF(G509=0,"Tunai",IF(I509="","Belum ditukar","Sudah ditukar"))</f>
        <v>Sudah ditukar</v>
      </c>
      <c r="K509" s="54" t="n">
        <v>10838400</v>
      </c>
      <c r="L509" s="51" t="n">
        <v>45798</v>
      </c>
      <c r="M509" s="52" t="n">
        <f aca="false">F509-K509</f>
        <v>0</v>
      </c>
      <c r="N509" s="39" t="str">
        <f aca="false">IF(M509&lt;=0,"Lunas",IF(K509&gt;0,"Sebagian","Belum Bayar"))</f>
        <v>Lunas</v>
      </c>
      <c r="O509" s="39" t="n">
        <f aca="false">IF(M509&gt;0,MAX(0,Catatan!$B$3-H509),0)</f>
        <v>0</v>
      </c>
      <c r="P509" s="39" t="str">
        <f aca="false">IF(M509&lt;=0,"Lunas",IF(Catatan!$B$3&lt;=H509,"Belum Jatuh Tempo",IF(O509&lt;=30,"1-30 hari",IF(O509&lt;=60,"31-60 hari",IF(O509&lt;=90,"61-90 hari","90+ hari")))))</f>
        <v>Lunas</v>
      </c>
      <c r="Q509" s="50"/>
      <c r="R509" s="39" t="str">
        <f aca="false">IF(M509&lt;=0,"",IF(O509&gt;60,"1-Tinggi",IF(O509&gt;30,"2-Sedang",IF(O509&gt;0,"3-Rendah","4-Pantau"))))</f>
        <v/>
      </c>
      <c r="S509" s="39" t="str">
        <f aca="false">IF(AND(M509&gt;0,O509&gt;0),O509+M509/1000000000000+ROW()/1000000000000000,"")</f>
        <v/>
      </c>
      <c r="T509" s="39" t="str">
        <f aca="false">IF(J509="Belum ditukar",ROW(),"")</f>
        <v/>
      </c>
    </row>
    <row r="510" customFormat="false" ht="15" hidden="false" customHeight="false" outlineLevel="0" collapsed="false">
      <c r="A510" s="50" t="s">
        <v>787</v>
      </c>
      <c r="B510" s="51" t="n">
        <v>45769</v>
      </c>
      <c r="C510" s="50" t="s">
        <v>666</v>
      </c>
      <c r="D510" s="39" t="str">
        <f aca="false">INDEX(Master_Customer!$B$2:$B$126,MATCH(C510,Master_Customer!$A$2:$A$126,0))</f>
        <v>SUMBER MOTOR</v>
      </c>
      <c r="E510" s="50" t="s">
        <v>30</v>
      </c>
      <c r="F510" s="52" t="n">
        <f aca="false">SUMIFS(Data_Penjualan!$G$2:$G$5998,Data_Penjualan!$A$2:$A$5998,A510)</f>
        <v>5818400</v>
      </c>
      <c r="G510" s="39" t="n">
        <f aca="false">IF(E510="KANTOR",0,INDEX(Master_Customer!$C$2:$C$126,MATCH(C510,Master_Customer!$A$2:$A$126,0)))</f>
        <v>30</v>
      </c>
      <c r="H510" s="53" t="n">
        <f aca="false">B510+G510</f>
        <v>45799</v>
      </c>
      <c r="I510" s="51" t="n">
        <v>45772</v>
      </c>
      <c r="J510" s="39" t="str">
        <f aca="false">IF(G510=0,"Tunai",IF(I510="","Belum ditukar","Sudah ditukar"))</f>
        <v>Sudah ditukar</v>
      </c>
      <c r="K510" s="54" t="n">
        <v>5818400</v>
      </c>
      <c r="L510" s="51" t="n">
        <v>45797</v>
      </c>
      <c r="M510" s="52" t="n">
        <f aca="false">F510-K510</f>
        <v>0</v>
      </c>
      <c r="N510" s="39" t="str">
        <f aca="false">IF(M510&lt;=0,"Lunas",IF(K510&gt;0,"Sebagian","Belum Bayar"))</f>
        <v>Lunas</v>
      </c>
      <c r="O510" s="39" t="n">
        <f aca="false">IF(M510&gt;0,MAX(0,Catatan!$B$3-H510),0)</f>
        <v>0</v>
      </c>
      <c r="P510" s="39" t="str">
        <f aca="false">IF(M510&lt;=0,"Lunas",IF(Catatan!$B$3&lt;=H510,"Belum Jatuh Tempo",IF(O510&lt;=30,"1-30 hari",IF(O510&lt;=60,"31-60 hari",IF(O510&lt;=90,"61-90 hari","90+ hari")))))</f>
        <v>Lunas</v>
      </c>
      <c r="Q510" s="50"/>
      <c r="R510" s="39" t="str">
        <f aca="false">IF(M510&lt;=0,"",IF(O510&gt;60,"1-Tinggi",IF(O510&gt;30,"2-Sedang",IF(O510&gt;0,"3-Rendah","4-Pantau"))))</f>
        <v/>
      </c>
      <c r="S510" s="39" t="str">
        <f aca="false">IF(AND(M510&gt;0,O510&gt;0),O510+M510/1000000000000+ROW()/1000000000000000,"")</f>
        <v/>
      </c>
      <c r="T510" s="39" t="str">
        <f aca="false">IF(J510="Belum ditukar",ROW(),"")</f>
        <v/>
      </c>
    </row>
    <row r="511" customFormat="false" ht="15" hidden="false" customHeight="false" outlineLevel="0" collapsed="false">
      <c r="A511" s="50" t="s">
        <v>788</v>
      </c>
      <c r="B511" s="51" t="n">
        <v>45769</v>
      </c>
      <c r="C511" s="50" t="s">
        <v>166</v>
      </c>
      <c r="D511" s="39" t="str">
        <f aca="false">INDEX(Master_Customer!$B$2:$B$126,MATCH(C511,Master_Customer!$A$2:$A$126,0))</f>
        <v>SENTOSA SERVICE</v>
      </c>
      <c r="E511" s="50" t="s">
        <v>30</v>
      </c>
      <c r="F511" s="52" t="n">
        <f aca="false">SUMIFS(Data_Penjualan!$G$2:$G$5998,Data_Penjualan!$A$2:$A$5998,A511)</f>
        <v>10427400</v>
      </c>
      <c r="G511" s="39" t="n">
        <f aca="false">IF(E511="KANTOR",0,INDEX(Master_Customer!$C$2:$C$126,MATCH(C511,Master_Customer!$A$2:$A$126,0)))</f>
        <v>0</v>
      </c>
      <c r="H511" s="53" t="n">
        <f aca="false">B511+G511</f>
        <v>45769</v>
      </c>
      <c r="J511" s="39" t="str">
        <f aca="false">IF(G511=0,"Tunai",IF(I511="","Belum ditukar","Sudah ditukar"))</f>
        <v>Tunai</v>
      </c>
      <c r="K511" s="54" t="n">
        <v>10427400</v>
      </c>
      <c r="L511" s="51" t="n">
        <v>45769</v>
      </c>
      <c r="M511" s="52" t="n">
        <f aca="false">F511-K511</f>
        <v>0</v>
      </c>
      <c r="N511" s="39" t="str">
        <f aca="false">IF(M511&lt;=0,"Lunas",IF(K511&gt;0,"Sebagian","Belum Bayar"))</f>
        <v>Lunas</v>
      </c>
      <c r="O511" s="39" t="n">
        <f aca="false">IF(M511&gt;0,MAX(0,Catatan!$B$3-H511),0)</f>
        <v>0</v>
      </c>
      <c r="P511" s="39" t="str">
        <f aca="false">IF(M511&lt;=0,"Lunas",IF(Catatan!$B$3&lt;=H511,"Belum Jatuh Tempo",IF(O511&lt;=30,"1-30 hari",IF(O511&lt;=60,"31-60 hari",IF(O511&lt;=90,"61-90 hari","90+ hari")))))</f>
        <v>Lunas</v>
      </c>
      <c r="Q511" s="50"/>
      <c r="R511" s="39" t="str">
        <f aca="false">IF(M511&lt;=0,"",IF(O511&gt;60,"1-Tinggi",IF(O511&gt;30,"2-Sedang",IF(O511&gt;0,"3-Rendah","4-Pantau"))))</f>
        <v/>
      </c>
      <c r="S511" s="39" t="str">
        <f aca="false">IF(AND(M511&gt;0,O511&gt;0),O511+M511/1000000000000+ROW()/1000000000000000,"")</f>
        <v/>
      </c>
      <c r="T511" s="39" t="str">
        <f aca="false">IF(J511="Belum ditukar",ROW(),"")</f>
        <v/>
      </c>
    </row>
    <row r="512" customFormat="false" ht="15" hidden="false" customHeight="false" outlineLevel="0" collapsed="false">
      <c r="A512" s="50" t="s">
        <v>789</v>
      </c>
      <c r="B512" s="51" t="n">
        <v>45769</v>
      </c>
      <c r="C512" s="50" t="s">
        <v>403</v>
      </c>
      <c r="D512" s="39" t="str">
        <f aca="false">INDEX(Master_Customer!$B$2:$B$126,MATCH(C512,Master_Customer!$A$2:$A$126,0))</f>
        <v>BINTANG TEKNIK HARAPAN</v>
      </c>
      <c r="E512" s="50" t="s">
        <v>31</v>
      </c>
      <c r="F512" s="52" t="n">
        <f aca="false">SUMIFS(Data_Penjualan!$G$2:$G$5998,Data_Penjualan!$A$2:$A$5998,A512)</f>
        <v>9601200</v>
      </c>
      <c r="G512" s="39" t="n">
        <f aca="false">IF(E512="KANTOR",0,INDEX(Master_Customer!$C$2:$C$126,MATCH(C512,Master_Customer!$A$2:$A$126,0)))</f>
        <v>14</v>
      </c>
      <c r="H512" s="53" t="n">
        <f aca="false">B512+G512</f>
        <v>45783</v>
      </c>
      <c r="I512" s="51" t="n">
        <v>45770</v>
      </c>
      <c r="J512" s="39" t="str">
        <f aca="false">IF(G512=0,"Tunai",IF(I512="","Belum ditukar","Sudah ditukar"))</f>
        <v>Sudah ditukar</v>
      </c>
      <c r="K512" s="54" t="n">
        <v>9601200</v>
      </c>
      <c r="L512" s="51" t="n">
        <v>45773</v>
      </c>
      <c r="M512" s="52" t="n">
        <f aca="false">F512-K512</f>
        <v>0</v>
      </c>
      <c r="N512" s="39" t="str">
        <f aca="false">IF(M512&lt;=0,"Lunas",IF(K512&gt;0,"Sebagian","Belum Bayar"))</f>
        <v>Lunas</v>
      </c>
      <c r="O512" s="39" t="n">
        <f aca="false">IF(M512&gt;0,MAX(0,Catatan!$B$3-H512),0)</f>
        <v>0</v>
      </c>
      <c r="P512" s="39" t="str">
        <f aca="false">IF(M512&lt;=0,"Lunas",IF(Catatan!$B$3&lt;=H512,"Belum Jatuh Tempo",IF(O512&lt;=30,"1-30 hari",IF(O512&lt;=60,"31-60 hari",IF(O512&lt;=90,"61-90 hari","90+ hari")))))</f>
        <v>Lunas</v>
      </c>
      <c r="Q512" s="50"/>
      <c r="R512" s="39" t="str">
        <f aca="false">IF(M512&lt;=0,"",IF(O512&gt;60,"1-Tinggi",IF(O512&gt;30,"2-Sedang",IF(O512&gt;0,"3-Rendah","4-Pantau"))))</f>
        <v/>
      </c>
      <c r="S512" s="39" t="str">
        <f aca="false">IF(AND(M512&gt;0,O512&gt;0),O512+M512/1000000000000+ROW()/1000000000000000,"")</f>
        <v/>
      </c>
      <c r="T512" s="39" t="str">
        <f aca="false">IF(J512="Belum ditukar",ROW(),"")</f>
        <v/>
      </c>
    </row>
    <row r="513" customFormat="false" ht="15" hidden="false" customHeight="false" outlineLevel="0" collapsed="false">
      <c r="A513" s="50" t="s">
        <v>790</v>
      </c>
      <c r="B513" s="51" t="n">
        <v>45769</v>
      </c>
      <c r="C513" s="50" t="s">
        <v>358</v>
      </c>
      <c r="D513" s="39" t="str">
        <f aca="false">INDEX(Master_Customer!$B$2:$B$126,MATCH(C513,Master_Customer!$A$2:$A$126,0))</f>
        <v>HARAPAN TEKNIK</v>
      </c>
      <c r="E513" s="50" t="s">
        <v>31</v>
      </c>
      <c r="F513" s="52" t="n">
        <f aca="false">SUMIFS(Data_Penjualan!$G$2:$G$5998,Data_Penjualan!$A$2:$A$5998,A513)</f>
        <v>14586400</v>
      </c>
      <c r="G513" s="39" t="n">
        <f aca="false">IF(E513="KANTOR",0,INDEX(Master_Customer!$C$2:$C$126,MATCH(C513,Master_Customer!$A$2:$A$126,0)))</f>
        <v>0</v>
      </c>
      <c r="H513" s="53" t="n">
        <f aca="false">B513+G513</f>
        <v>45769</v>
      </c>
      <c r="J513" s="39" t="str">
        <f aca="false">IF(G513=0,"Tunai",IF(I513="","Belum ditukar","Sudah ditukar"))</f>
        <v>Tunai</v>
      </c>
      <c r="K513" s="54" t="n">
        <v>14586400</v>
      </c>
      <c r="L513" s="51" t="n">
        <v>45769</v>
      </c>
      <c r="M513" s="52" t="n">
        <f aca="false">F513-K513</f>
        <v>0</v>
      </c>
      <c r="N513" s="39" t="str">
        <f aca="false">IF(M513&lt;=0,"Lunas",IF(K513&gt;0,"Sebagian","Belum Bayar"))</f>
        <v>Lunas</v>
      </c>
      <c r="O513" s="39" t="n">
        <f aca="false">IF(M513&gt;0,MAX(0,Catatan!$B$3-H513),0)</f>
        <v>0</v>
      </c>
      <c r="P513" s="39" t="str">
        <f aca="false">IF(M513&lt;=0,"Lunas",IF(Catatan!$B$3&lt;=H513,"Belum Jatuh Tempo",IF(O513&lt;=30,"1-30 hari",IF(O513&lt;=60,"31-60 hari",IF(O513&lt;=90,"61-90 hari","90+ hari")))))</f>
        <v>Lunas</v>
      </c>
      <c r="Q513" s="50"/>
      <c r="R513" s="39" t="str">
        <f aca="false">IF(M513&lt;=0,"",IF(O513&gt;60,"1-Tinggi",IF(O513&gt;30,"2-Sedang",IF(O513&gt;0,"3-Rendah","4-Pantau"))))</f>
        <v/>
      </c>
      <c r="S513" s="39" t="str">
        <f aca="false">IF(AND(M513&gt;0,O513&gt;0),O513+M513/1000000000000+ROW()/1000000000000000,"")</f>
        <v/>
      </c>
      <c r="T513" s="39" t="str">
        <f aca="false">IF(J513="Belum ditukar",ROW(),"")</f>
        <v/>
      </c>
    </row>
    <row r="514" customFormat="false" ht="15" hidden="false" customHeight="false" outlineLevel="0" collapsed="false">
      <c r="A514" s="50" t="s">
        <v>791</v>
      </c>
      <c r="B514" s="51" t="n">
        <v>45769</v>
      </c>
      <c r="C514" s="50" t="s">
        <v>256</v>
      </c>
      <c r="D514" s="39" t="str">
        <f aca="false">INDEX(Master_Customer!$B$2:$B$126,MATCH(C514,Master_Customer!$A$2:$A$126,0))</f>
        <v>HARAPAN SPAREPART</v>
      </c>
      <c r="E514" s="50" t="s">
        <v>32</v>
      </c>
      <c r="F514" s="52" t="n">
        <f aca="false">SUMIFS(Data_Penjualan!$G$2:$G$5998,Data_Penjualan!$A$2:$A$5998,A514)</f>
        <v>4833500</v>
      </c>
      <c r="G514" s="39" t="n">
        <f aca="false">IF(E514="KANTOR",0,INDEX(Master_Customer!$C$2:$C$126,MATCH(C514,Master_Customer!$A$2:$A$126,0)))</f>
        <v>0</v>
      </c>
      <c r="H514" s="53" t="n">
        <f aca="false">B514+G514</f>
        <v>45769</v>
      </c>
      <c r="J514" s="39" t="str">
        <f aca="false">IF(G514=0,"Tunai",IF(I514="","Belum ditukar","Sudah ditukar"))</f>
        <v>Tunai</v>
      </c>
      <c r="K514" s="54" t="n">
        <v>4833500</v>
      </c>
      <c r="L514" s="51" t="n">
        <v>45769</v>
      </c>
      <c r="M514" s="52" t="n">
        <f aca="false">F514-K514</f>
        <v>0</v>
      </c>
      <c r="N514" s="39" t="str">
        <f aca="false">IF(M514&lt;=0,"Lunas",IF(K514&gt;0,"Sebagian","Belum Bayar"))</f>
        <v>Lunas</v>
      </c>
      <c r="O514" s="39" t="n">
        <f aca="false">IF(M514&gt;0,MAX(0,Catatan!$B$3-H514),0)</f>
        <v>0</v>
      </c>
      <c r="P514" s="39" t="str">
        <f aca="false">IF(M514&lt;=0,"Lunas",IF(Catatan!$B$3&lt;=H514,"Belum Jatuh Tempo",IF(O514&lt;=30,"1-30 hari",IF(O514&lt;=60,"31-60 hari",IF(O514&lt;=90,"61-90 hari","90+ hari")))))</f>
        <v>Lunas</v>
      </c>
      <c r="Q514" s="50"/>
      <c r="R514" s="39" t="str">
        <f aca="false">IF(M514&lt;=0,"",IF(O514&gt;60,"1-Tinggi",IF(O514&gt;30,"2-Sedang",IF(O514&gt;0,"3-Rendah","4-Pantau"))))</f>
        <v/>
      </c>
      <c r="S514" s="39" t="str">
        <f aca="false">IF(AND(M514&gt;0,O514&gt;0),O514+M514/1000000000000+ROW()/1000000000000000,"")</f>
        <v/>
      </c>
      <c r="T514" s="39" t="str">
        <f aca="false">IF(J514="Belum ditukar",ROW(),"")</f>
        <v/>
      </c>
    </row>
    <row r="515" customFormat="false" ht="15" hidden="false" customHeight="false" outlineLevel="0" collapsed="false">
      <c r="A515" s="50" t="s">
        <v>792</v>
      </c>
      <c r="B515" s="51" t="n">
        <v>45770</v>
      </c>
      <c r="C515" s="50" t="s">
        <v>174</v>
      </c>
      <c r="D515" s="39" t="str">
        <f aca="false">INDEX(Master_Customer!$B$2:$B$126,MATCH(C515,Master_Customer!$A$2:$A$126,0))</f>
        <v>SUMBER TEKNIK SURYA</v>
      </c>
      <c r="E515" s="50" t="s">
        <v>31</v>
      </c>
      <c r="F515" s="52" t="n">
        <f aca="false">SUMIFS(Data_Penjualan!$G$2:$G$5998,Data_Penjualan!$A$2:$A$5998,A515)</f>
        <v>6115600</v>
      </c>
      <c r="G515" s="39" t="n">
        <f aca="false">IF(E515="KANTOR",0,INDEX(Master_Customer!$C$2:$C$126,MATCH(C515,Master_Customer!$A$2:$A$126,0)))</f>
        <v>30</v>
      </c>
      <c r="H515" s="53" t="n">
        <f aca="false">B515+G515</f>
        <v>45800</v>
      </c>
      <c r="I515" s="51" t="n">
        <v>45775</v>
      </c>
      <c r="J515" s="39" t="str">
        <f aca="false">IF(G515=0,"Tunai",IF(I515="","Belum ditukar","Sudah ditukar"))</f>
        <v>Sudah ditukar</v>
      </c>
      <c r="K515" s="54" t="n">
        <v>6115600</v>
      </c>
      <c r="L515" s="51" t="n">
        <v>45802</v>
      </c>
      <c r="M515" s="52" t="n">
        <f aca="false">F515-K515</f>
        <v>0</v>
      </c>
      <c r="N515" s="39" t="str">
        <f aca="false">IF(M515&lt;=0,"Lunas",IF(K515&gt;0,"Sebagian","Belum Bayar"))</f>
        <v>Lunas</v>
      </c>
      <c r="O515" s="39" t="n">
        <f aca="false">IF(M515&gt;0,MAX(0,Catatan!$B$3-H515),0)</f>
        <v>0</v>
      </c>
      <c r="P515" s="39" t="str">
        <f aca="false">IF(M515&lt;=0,"Lunas",IF(Catatan!$B$3&lt;=H515,"Belum Jatuh Tempo",IF(O515&lt;=30,"1-30 hari",IF(O515&lt;=60,"31-60 hari",IF(O515&lt;=90,"61-90 hari","90+ hari")))))</f>
        <v>Lunas</v>
      </c>
      <c r="Q515" s="50"/>
      <c r="R515" s="39" t="str">
        <f aca="false">IF(M515&lt;=0,"",IF(O515&gt;60,"1-Tinggi",IF(O515&gt;30,"2-Sedang",IF(O515&gt;0,"3-Rendah","4-Pantau"))))</f>
        <v/>
      </c>
      <c r="S515" s="39" t="str">
        <f aca="false">IF(AND(M515&gt;0,O515&gt;0),O515+M515/1000000000000+ROW()/1000000000000000,"")</f>
        <v/>
      </c>
      <c r="T515" s="39" t="str">
        <f aca="false">IF(J515="Belum ditukar",ROW(),"")</f>
        <v/>
      </c>
    </row>
    <row r="516" customFormat="false" ht="15" hidden="false" customHeight="false" outlineLevel="0" collapsed="false">
      <c r="A516" s="50" t="s">
        <v>793</v>
      </c>
      <c r="B516" s="51" t="n">
        <v>45770</v>
      </c>
      <c r="C516" s="50" t="s">
        <v>256</v>
      </c>
      <c r="D516" s="39" t="str">
        <f aca="false">INDEX(Master_Customer!$B$2:$B$126,MATCH(C516,Master_Customer!$A$2:$A$126,0))</f>
        <v>HARAPAN SPAREPART</v>
      </c>
      <c r="E516" s="50" t="s">
        <v>31</v>
      </c>
      <c r="F516" s="52" t="n">
        <f aca="false">SUMIFS(Data_Penjualan!$G$2:$G$5998,Data_Penjualan!$A$2:$A$5998,A516)</f>
        <v>9330900</v>
      </c>
      <c r="G516" s="39" t="n">
        <f aca="false">IF(E516="KANTOR",0,INDEX(Master_Customer!$C$2:$C$126,MATCH(C516,Master_Customer!$A$2:$A$126,0)))</f>
        <v>45</v>
      </c>
      <c r="H516" s="53" t="n">
        <f aca="false">B516+G516</f>
        <v>45815</v>
      </c>
      <c r="I516" s="51" t="n">
        <v>45774</v>
      </c>
      <c r="J516" s="39" t="str">
        <f aca="false">IF(G516=0,"Tunai",IF(I516="","Belum ditukar","Sudah ditukar"))</f>
        <v>Sudah ditukar</v>
      </c>
      <c r="K516" s="54" t="n">
        <v>9330900</v>
      </c>
      <c r="L516" s="51" t="n">
        <v>45810</v>
      </c>
      <c r="M516" s="52" t="n">
        <f aca="false">F516-K516</f>
        <v>0</v>
      </c>
      <c r="N516" s="39" t="str">
        <f aca="false">IF(M516&lt;=0,"Lunas",IF(K516&gt;0,"Sebagian","Belum Bayar"))</f>
        <v>Lunas</v>
      </c>
      <c r="O516" s="39" t="n">
        <f aca="false">IF(M516&gt;0,MAX(0,Catatan!$B$3-H516),0)</f>
        <v>0</v>
      </c>
      <c r="P516" s="39" t="str">
        <f aca="false">IF(M516&lt;=0,"Lunas",IF(Catatan!$B$3&lt;=H516,"Belum Jatuh Tempo",IF(O516&lt;=30,"1-30 hari",IF(O516&lt;=60,"31-60 hari",IF(O516&lt;=90,"61-90 hari","90+ hari")))))</f>
        <v>Lunas</v>
      </c>
      <c r="Q516" s="50"/>
      <c r="R516" s="39" t="str">
        <f aca="false">IF(M516&lt;=0,"",IF(O516&gt;60,"1-Tinggi",IF(O516&gt;30,"2-Sedang",IF(O516&gt;0,"3-Rendah","4-Pantau"))))</f>
        <v/>
      </c>
      <c r="S516" s="39" t="str">
        <f aca="false">IF(AND(M516&gt;0,O516&gt;0),O516+M516/1000000000000+ROW()/1000000000000000,"")</f>
        <v/>
      </c>
      <c r="T516" s="39" t="str">
        <f aca="false">IF(J516="Belum ditukar",ROW(),"")</f>
        <v/>
      </c>
    </row>
    <row r="517" customFormat="false" ht="15" hidden="false" customHeight="false" outlineLevel="0" collapsed="false">
      <c r="A517" s="50" t="s">
        <v>794</v>
      </c>
      <c r="B517" s="51" t="n">
        <v>45770</v>
      </c>
      <c r="C517" s="50" t="s">
        <v>168</v>
      </c>
      <c r="D517" s="39" t="str">
        <f aca="false">INDEX(Master_Customer!$B$2:$B$126,MATCH(C517,Master_Customer!$A$2:$A$126,0))</f>
        <v>JAYA LUBRICANT</v>
      </c>
      <c r="E517" s="50" t="s">
        <v>29</v>
      </c>
      <c r="F517" s="52" t="n">
        <f aca="false">SUMIFS(Data_Penjualan!$G$2:$G$5998,Data_Penjualan!$A$2:$A$5998,A517)</f>
        <v>10817400</v>
      </c>
      <c r="G517" s="39" t="n">
        <f aca="false">IF(E517="KANTOR",0,INDEX(Master_Customer!$C$2:$C$126,MATCH(C517,Master_Customer!$A$2:$A$126,0)))</f>
        <v>0</v>
      </c>
      <c r="H517" s="53" t="n">
        <f aca="false">B517+G517</f>
        <v>45770</v>
      </c>
      <c r="J517" s="39" t="str">
        <f aca="false">IF(G517=0,"Tunai",IF(I517="","Belum ditukar","Sudah ditukar"))</f>
        <v>Tunai</v>
      </c>
      <c r="K517" s="54" t="n">
        <v>10817400</v>
      </c>
      <c r="L517" s="51" t="n">
        <v>45770</v>
      </c>
      <c r="M517" s="52" t="n">
        <f aca="false">F517-K517</f>
        <v>0</v>
      </c>
      <c r="N517" s="39" t="str">
        <f aca="false">IF(M517&lt;=0,"Lunas",IF(K517&gt;0,"Sebagian","Belum Bayar"))</f>
        <v>Lunas</v>
      </c>
      <c r="O517" s="39" t="n">
        <f aca="false">IF(M517&gt;0,MAX(0,Catatan!$B$3-H517),0)</f>
        <v>0</v>
      </c>
      <c r="P517" s="39" t="str">
        <f aca="false">IF(M517&lt;=0,"Lunas",IF(Catatan!$B$3&lt;=H517,"Belum Jatuh Tempo",IF(O517&lt;=30,"1-30 hari",IF(O517&lt;=60,"31-60 hari",IF(O517&lt;=90,"61-90 hari","90+ hari")))))</f>
        <v>Lunas</v>
      </c>
      <c r="Q517" s="50"/>
      <c r="R517" s="39" t="str">
        <f aca="false">IF(M517&lt;=0,"",IF(O517&gt;60,"1-Tinggi",IF(O517&gt;30,"2-Sedang",IF(O517&gt;0,"3-Rendah","4-Pantau"))))</f>
        <v/>
      </c>
      <c r="S517" s="39" t="str">
        <f aca="false">IF(AND(M517&gt;0,O517&gt;0),O517+M517/1000000000000+ROW()/1000000000000000,"")</f>
        <v/>
      </c>
      <c r="T517" s="39" t="str">
        <f aca="false">IF(J517="Belum ditukar",ROW(),"")</f>
        <v/>
      </c>
    </row>
    <row r="518" customFormat="false" ht="15" hidden="false" customHeight="false" outlineLevel="0" collapsed="false">
      <c r="A518" s="50" t="s">
        <v>795</v>
      </c>
      <c r="B518" s="51" t="n">
        <v>45770</v>
      </c>
      <c r="C518" s="50" t="s">
        <v>469</v>
      </c>
      <c r="D518" s="39" t="str">
        <f aca="false">INDEX(Master_Customer!$B$2:$B$126,MATCH(C518,Master_Customer!$A$2:$A$126,0))</f>
        <v>MULIA AUTO CAHAYA</v>
      </c>
      <c r="E518" s="50" t="s">
        <v>32</v>
      </c>
      <c r="F518" s="52" t="n">
        <f aca="false">SUMIFS(Data_Penjualan!$G$2:$G$5998,Data_Penjualan!$A$2:$A$5998,A518)</f>
        <v>2194000</v>
      </c>
      <c r="G518" s="39" t="n">
        <f aca="false">IF(E518="KANTOR",0,INDEX(Master_Customer!$C$2:$C$126,MATCH(C518,Master_Customer!$A$2:$A$126,0)))</f>
        <v>0</v>
      </c>
      <c r="H518" s="53" t="n">
        <f aca="false">B518+G518</f>
        <v>45770</v>
      </c>
      <c r="J518" s="39" t="str">
        <f aca="false">IF(G518=0,"Tunai",IF(I518="","Belum ditukar","Sudah ditukar"))</f>
        <v>Tunai</v>
      </c>
      <c r="K518" s="54" t="n">
        <v>2194000</v>
      </c>
      <c r="L518" s="51" t="n">
        <v>45770</v>
      </c>
      <c r="M518" s="52" t="n">
        <f aca="false">F518-K518</f>
        <v>0</v>
      </c>
      <c r="N518" s="39" t="str">
        <f aca="false">IF(M518&lt;=0,"Lunas",IF(K518&gt;0,"Sebagian","Belum Bayar"))</f>
        <v>Lunas</v>
      </c>
      <c r="O518" s="39" t="n">
        <f aca="false">IF(M518&gt;0,MAX(0,Catatan!$B$3-H518),0)</f>
        <v>0</v>
      </c>
      <c r="P518" s="39" t="str">
        <f aca="false">IF(M518&lt;=0,"Lunas",IF(Catatan!$B$3&lt;=H518,"Belum Jatuh Tempo",IF(O518&lt;=30,"1-30 hari",IF(O518&lt;=60,"31-60 hari",IF(O518&lt;=90,"61-90 hari","90+ hari")))))</f>
        <v>Lunas</v>
      </c>
      <c r="Q518" s="50"/>
      <c r="R518" s="39" t="str">
        <f aca="false">IF(M518&lt;=0,"",IF(O518&gt;60,"1-Tinggi",IF(O518&gt;30,"2-Sedang",IF(O518&gt;0,"3-Rendah","4-Pantau"))))</f>
        <v/>
      </c>
      <c r="S518" s="39" t="str">
        <f aca="false">IF(AND(M518&gt;0,O518&gt;0),O518+M518/1000000000000+ROW()/1000000000000000,"")</f>
        <v/>
      </c>
      <c r="T518" s="39" t="str">
        <f aca="false">IF(J518="Belum ditukar",ROW(),"")</f>
        <v/>
      </c>
    </row>
    <row r="519" customFormat="false" ht="15" hidden="false" customHeight="false" outlineLevel="0" collapsed="false">
      <c r="A519" s="50" t="s">
        <v>796</v>
      </c>
      <c r="B519" s="51" t="n">
        <v>45770</v>
      </c>
      <c r="C519" s="50" t="s">
        <v>447</v>
      </c>
      <c r="D519" s="39" t="str">
        <f aca="false">INDEX(Master_Customer!$B$2:$B$126,MATCH(C519,Master_Customer!$A$2:$A$126,0))</f>
        <v>PRIMA LUBRICANT</v>
      </c>
      <c r="E519" s="50" t="s">
        <v>28</v>
      </c>
      <c r="F519" s="52" t="n">
        <f aca="false">SUMIFS(Data_Penjualan!$G$2:$G$5998,Data_Penjualan!$A$2:$A$5998,A519)</f>
        <v>11810100</v>
      </c>
      <c r="G519" s="39" t="n">
        <f aca="false">IF(E519="KANTOR",0,INDEX(Master_Customer!$C$2:$C$126,MATCH(C519,Master_Customer!$A$2:$A$126,0)))</f>
        <v>30</v>
      </c>
      <c r="H519" s="53" t="n">
        <f aca="false">B519+G519</f>
        <v>45800</v>
      </c>
      <c r="I519" s="51" t="n">
        <v>45771</v>
      </c>
      <c r="J519" s="39" t="str">
        <f aca="false">IF(G519=0,"Tunai",IF(I519="","Belum ditukar","Sudah ditukar"))</f>
        <v>Sudah ditukar</v>
      </c>
      <c r="K519" s="54" t="n">
        <v>11810100</v>
      </c>
      <c r="L519" s="51" t="n">
        <v>45801</v>
      </c>
      <c r="M519" s="52" t="n">
        <f aca="false">F519-K519</f>
        <v>0</v>
      </c>
      <c r="N519" s="39" t="str">
        <f aca="false">IF(M519&lt;=0,"Lunas",IF(K519&gt;0,"Sebagian","Belum Bayar"))</f>
        <v>Lunas</v>
      </c>
      <c r="O519" s="39" t="n">
        <f aca="false">IF(M519&gt;0,MAX(0,Catatan!$B$3-H519),0)</f>
        <v>0</v>
      </c>
      <c r="P519" s="39" t="str">
        <f aca="false">IF(M519&lt;=0,"Lunas",IF(Catatan!$B$3&lt;=H519,"Belum Jatuh Tempo",IF(O519&lt;=30,"1-30 hari",IF(O519&lt;=60,"31-60 hari",IF(O519&lt;=90,"61-90 hari","90+ hari")))))</f>
        <v>Lunas</v>
      </c>
      <c r="Q519" s="50"/>
      <c r="R519" s="39" t="str">
        <f aca="false">IF(M519&lt;=0,"",IF(O519&gt;60,"1-Tinggi",IF(O519&gt;30,"2-Sedang",IF(O519&gt;0,"3-Rendah","4-Pantau"))))</f>
        <v/>
      </c>
      <c r="S519" s="39" t="str">
        <f aca="false">IF(AND(M519&gt;0,O519&gt;0),O519+M519/1000000000000+ROW()/1000000000000000,"")</f>
        <v/>
      </c>
      <c r="T519" s="39" t="str">
        <f aca="false">IF(J519="Belum ditukar",ROW(),"")</f>
        <v/>
      </c>
    </row>
    <row r="520" customFormat="false" ht="15" hidden="false" customHeight="false" outlineLevel="0" collapsed="false">
      <c r="A520" s="50" t="s">
        <v>797</v>
      </c>
      <c r="B520" s="51" t="n">
        <v>45770</v>
      </c>
      <c r="C520" s="50" t="s">
        <v>798</v>
      </c>
      <c r="D520" s="39" t="str">
        <f aca="false">INDEX(Master_Customer!$B$2:$B$126,MATCH(C520,Master_Customer!$A$2:$A$126,0))</f>
        <v>HARAPAN LUBRICANT</v>
      </c>
      <c r="E520" s="50" t="s">
        <v>29</v>
      </c>
      <c r="F520" s="52" t="n">
        <f aca="false">SUMIFS(Data_Penjualan!$G$2:$G$5998,Data_Penjualan!$A$2:$A$5998,A520)</f>
        <v>2359300</v>
      </c>
      <c r="G520" s="39" t="n">
        <f aca="false">IF(E520="KANTOR",0,INDEX(Master_Customer!$C$2:$C$126,MATCH(C520,Master_Customer!$A$2:$A$126,0)))</f>
        <v>30</v>
      </c>
      <c r="H520" s="53" t="n">
        <f aca="false">B520+G520</f>
        <v>45800</v>
      </c>
      <c r="I520" s="51" t="n">
        <v>45775</v>
      </c>
      <c r="J520" s="39" t="str">
        <f aca="false">IF(G520=0,"Tunai",IF(I520="","Belum ditukar","Sudah ditukar"))</f>
        <v>Sudah ditukar</v>
      </c>
      <c r="K520" s="54" t="n">
        <v>2359300</v>
      </c>
      <c r="L520" s="51" t="n">
        <v>45838</v>
      </c>
      <c r="M520" s="52" t="n">
        <f aca="false">F520-K520</f>
        <v>0</v>
      </c>
      <c r="N520" s="39" t="str">
        <f aca="false">IF(M520&lt;=0,"Lunas",IF(K520&gt;0,"Sebagian","Belum Bayar"))</f>
        <v>Lunas</v>
      </c>
      <c r="O520" s="39" t="n">
        <f aca="false">IF(M520&gt;0,MAX(0,Catatan!$B$3-H520),0)</f>
        <v>0</v>
      </c>
      <c r="P520" s="39" t="str">
        <f aca="false">IF(M520&lt;=0,"Lunas",IF(Catatan!$B$3&lt;=H520,"Belum Jatuh Tempo",IF(O520&lt;=30,"1-30 hari",IF(O520&lt;=60,"31-60 hari",IF(O520&lt;=90,"61-90 hari","90+ hari")))))</f>
        <v>Lunas</v>
      </c>
      <c r="Q520" s="50"/>
      <c r="R520" s="39" t="str">
        <f aca="false">IF(M520&lt;=0,"",IF(O520&gt;60,"1-Tinggi",IF(O520&gt;30,"2-Sedang",IF(O520&gt;0,"3-Rendah","4-Pantau"))))</f>
        <v/>
      </c>
      <c r="S520" s="39" t="str">
        <f aca="false">IF(AND(M520&gt;0,O520&gt;0),O520+M520/1000000000000+ROW()/1000000000000000,"")</f>
        <v/>
      </c>
      <c r="T520" s="39" t="str">
        <f aca="false">IF(J520="Belum ditukar",ROW(),"")</f>
        <v/>
      </c>
    </row>
    <row r="521" customFormat="false" ht="15" hidden="false" customHeight="false" outlineLevel="0" collapsed="false">
      <c r="A521" s="50" t="s">
        <v>799</v>
      </c>
      <c r="B521" s="51" t="n">
        <v>45770</v>
      </c>
      <c r="C521" s="50" t="s">
        <v>430</v>
      </c>
      <c r="D521" s="39" t="str">
        <f aca="false">INDEX(Master_Customer!$B$2:$B$126,MATCH(C521,Master_Customer!$A$2:$A$126,0))</f>
        <v>TIRTA MOBIL</v>
      </c>
      <c r="E521" s="50" t="s">
        <v>28</v>
      </c>
      <c r="F521" s="52" t="n">
        <f aca="false">SUMIFS(Data_Penjualan!$G$2:$G$5998,Data_Penjualan!$A$2:$A$5998,A521)</f>
        <v>12423800</v>
      </c>
      <c r="G521" s="39" t="n">
        <f aca="false">IF(E521="KANTOR",0,INDEX(Master_Customer!$C$2:$C$126,MATCH(C521,Master_Customer!$A$2:$A$126,0)))</f>
        <v>30</v>
      </c>
      <c r="H521" s="53" t="n">
        <f aca="false">B521+G521</f>
        <v>45800</v>
      </c>
      <c r="I521" s="51" t="n">
        <v>45775</v>
      </c>
      <c r="J521" s="39" t="str">
        <f aca="false">IF(G521=0,"Tunai",IF(I521="","Belum ditukar","Sudah ditukar"))</f>
        <v>Sudah ditukar</v>
      </c>
      <c r="K521" s="54" t="n">
        <v>12423800</v>
      </c>
      <c r="L521" s="51" t="n">
        <v>45806</v>
      </c>
      <c r="M521" s="52" t="n">
        <f aca="false">F521-K521</f>
        <v>0</v>
      </c>
      <c r="N521" s="39" t="str">
        <f aca="false">IF(M521&lt;=0,"Lunas",IF(K521&gt;0,"Sebagian","Belum Bayar"))</f>
        <v>Lunas</v>
      </c>
      <c r="O521" s="39" t="n">
        <f aca="false">IF(M521&gt;0,MAX(0,Catatan!$B$3-H521),0)</f>
        <v>0</v>
      </c>
      <c r="P521" s="39" t="str">
        <f aca="false">IF(M521&lt;=0,"Lunas",IF(Catatan!$B$3&lt;=H521,"Belum Jatuh Tempo",IF(O521&lt;=30,"1-30 hari",IF(O521&lt;=60,"31-60 hari",IF(O521&lt;=90,"61-90 hari","90+ hari")))))</f>
        <v>Lunas</v>
      </c>
      <c r="Q521" s="50"/>
      <c r="R521" s="39" t="str">
        <f aca="false">IF(M521&lt;=0,"",IF(O521&gt;60,"1-Tinggi",IF(O521&gt;30,"2-Sedang",IF(O521&gt;0,"3-Rendah","4-Pantau"))))</f>
        <v/>
      </c>
      <c r="S521" s="39" t="str">
        <f aca="false">IF(AND(M521&gt;0,O521&gt;0),O521+M521/1000000000000+ROW()/1000000000000000,"")</f>
        <v/>
      </c>
      <c r="T521" s="39" t="str">
        <f aca="false">IF(J521="Belum ditukar",ROW(),"")</f>
        <v/>
      </c>
    </row>
    <row r="522" customFormat="false" ht="15" hidden="false" customHeight="false" outlineLevel="0" collapsed="false">
      <c r="A522" s="50" t="s">
        <v>800</v>
      </c>
      <c r="B522" s="51" t="n">
        <v>45770</v>
      </c>
      <c r="C522" s="50" t="s">
        <v>199</v>
      </c>
      <c r="D522" s="39" t="str">
        <f aca="false">INDEX(Master_Customer!$B$2:$B$126,MATCH(C522,Master_Customer!$A$2:$A$126,0))</f>
        <v>KARYA SPAREPART</v>
      </c>
      <c r="E522" s="50" t="s">
        <v>29</v>
      </c>
      <c r="F522" s="52" t="n">
        <f aca="false">SUMIFS(Data_Penjualan!$G$2:$G$5998,Data_Penjualan!$A$2:$A$5998,A522)</f>
        <v>14470900</v>
      </c>
      <c r="G522" s="39" t="n">
        <f aca="false">IF(E522="KANTOR",0,INDEX(Master_Customer!$C$2:$C$126,MATCH(C522,Master_Customer!$A$2:$A$126,0)))</f>
        <v>45</v>
      </c>
      <c r="H522" s="53" t="n">
        <f aca="false">B522+G522</f>
        <v>45815</v>
      </c>
      <c r="I522" s="51" t="n">
        <v>45775</v>
      </c>
      <c r="J522" s="39" t="str">
        <f aca="false">IF(G522=0,"Tunai",IF(I522="","Belum ditukar","Sudah ditukar"))</f>
        <v>Sudah ditukar</v>
      </c>
      <c r="K522" s="54" t="n">
        <v>14470900</v>
      </c>
      <c r="L522" s="51" t="n">
        <v>45810</v>
      </c>
      <c r="M522" s="52" t="n">
        <f aca="false">F522-K522</f>
        <v>0</v>
      </c>
      <c r="N522" s="39" t="str">
        <f aca="false">IF(M522&lt;=0,"Lunas",IF(K522&gt;0,"Sebagian","Belum Bayar"))</f>
        <v>Lunas</v>
      </c>
      <c r="O522" s="39" t="n">
        <f aca="false">IF(M522&gt;0,MAX(0,Catatan!$B$3-H522),0)</f>
        <v>0</v>
      </c>
      <c r="P522" s="39" t="str">
        <f aca="false">IF(M522&lt;=0,"Lunas",IF(Catatan!$B$3&lt;=H522,"Belum Jatuh Tempo",IF(O522&lt;=30,"1-30 hari",IF(O522&lt;=60,"31-60 hari",IF(O522&lt;=90,"61-90 hari","90+ hari")))))</f>
        <v>Lunas</v>
      </c>
      <c r="Q522" s="50"/>
      <c r="R522" s="39" t="str">
        <f aca="false">IF(M522&lt;=0,"",IF(O522&gt;60,"1-Tinggi",IF(O522&gt;30,"2-Sedang",IF(O522&gt;0,"3-Rendah","4-Pantau"))))</f>
        <v/>
      </c>
      <c r="S522" s="39" t="str">
        <f aca="false">IF(AND(M522&gt;0,O522&gt;0),O522+M522/1000000000000+ROW()/1000000000000000,"")</f>
        <v/>
      </c>
      <c r="T522" s="39" t="str">
        <f aca="false">IF(J522="Belum ditukar",ROW(),"")</f>
        <v/>
      </c>
    </row>
    <row r="523" customFormat="false" ht="15" hidden="false" customHeight="false" outlineLevel="0" collapsed="false">
      <c r="A523" s="50" t="s">
        <v>801</v>
      </c>
      <c r="B523" s="51" t="n">
        <v>45770</v>
      </c>
      <c r="C523" s="50" t="s">
        <v>505</v>
      </c>
      <c r="D523" s="39" t="str">
        <f aca="false">INDEX(Master_Customer!$B$2:$B$126,MATCH(C523,Master_Customer!$A$2:$A$126,0))</f>
        <v>GEMILANG OLI CAHAYA</v>
      </c>
      <c r="E523" s="50" t="s">
        <v>31</v>
      </c>
      <c r="F523" s="52" t="n">
        <f aca="false">SUMIFS(Data_Penjualan!$G$2:$G$5998,Data_Penjualan!$A$2:$A$5998,A523)</f>
        <v>12153900</v>
      </c>
      <c r="G523" s="39" t="n">
        <f aca="false">IF(E523="KANTOR",0,INDEX(Master_Customer!$C$2:$C$126,MATCH(C523,Master_Customer!$A$2:$A$126,0)))</f>
        <v>0</v>
      </c>
      <c r="H523" s="53" t="n">
        <f aca="false">B523+G523</f>
        <v>45770</v>
      </c>
      <c r="J523" s="39" t="str">
        <f aca="false">IF(G523=0,"Tunai",IF(I523="","Belum ditukar","Sudah ditukar"))</f>
        <v>Tunai</v>
      </c>
      <c r="K523" s="54" t="n">
        <v>12153900</v>
      </c>
      <c r="L523" s="51" t="n">
        <v>45770</v>
      </c>
      <c r="M523" s="52" t="n">
        <f aca="false">F523-K523</f>
        <v>0</v>
      </c>
      <c r="N523" s="39" t="str">
        <f aca="false">IF(M523&lt;=0,"Lunas",IF(K523&gt;0,"Sebagian","Belum Bayar"))</f>
        <v>Lunas</v>
      </c>
      <c r="O523" s="39" t="n">
        <f aca="false">IF(M523&gt;0,MAX(0,Catatan!$B$3-H523),0)</f>
        <v>0</v>
      </c>
      <c r="P523" s="39" t="str">
        <f aca="false">IF(M523&lt;=0,"Lunas",IF(Catatan!$B$3&lt;=H523,"Belum Jatuh Tempo",IF(O523&lt;=30,"1-30 hari",IF(O523&lt;=60,"31-60 hari",IF(O523&lt;=90,"61-90 hari","90+ hari")))))</f>
        <v>Lunas</v>
      </c>
      <c r="Q523" s="50"/>
      <c r="R523" s="39" t="str">
        <f aca="false">IF(M523&lt;=0,"",IF(O523&gt;60,"1-Tinggi",IF(O523&gt;30,"2-Sedang",IF(O523&gt;0,"3-Rendah","4-Pantau"))))</f>
        <v/>
      </c>
      <c r="S523" s="39" t="str">
        <f aca="false">IF(AND(M523&gt;0,O523&gt;0),O523+M523/1000000000000+ROW()/1000000000000000,"")</f>
        <v/>
      </c>
      <c r="T523" s="39" t="str">
        <f aca="false">IF(J523="Belum ditukar",ROW(),"")</f>
        <v/>
      </c>
    </row>
    <row r="524" customFormat="false" ht="15" hidden="false" customHeight="false" outlineLevel="0" collapsed="false">
      <c r="A524" s="50" t="s">
        <v>802</v>
      </c>
      <c r="B524" s="51" t="n">
        <v>45770</v>
      </c>
      <c r="C524" s="50" t="s">
        <v>174</v>
      </c>
      <c r="D524" s="39" t="str">
        <f aca="false">INDEX(Master_Customer!$B$2:$B$126,MATCH(C524,Master_Customer!$A$2:$A$126,0))</f>
        <v>SUMBER TEKNIK SURYA</v>
      </c>
      <c r="E524" s="50" t="s">
        <v>31</v>
      </c>
      <c r="F524" s="52" t="n">
        <f aca="false">SUMIFS(Data_Penjualan!$G$2:$G$5998,Data_Penjualan!$A$2:$A$5998,A524)</f>
        <v>7698100</v>
      </c>
      <c r="G524" s="39" t="n">
        <f aca="false">IF(E524="KANTOR",0,INDEX(Master_Customer!$C$2:$C$126,MATCH(C524,Master_Customer!$A$2:$A$126,0)))</f>
        <v>30</v>
      </c>
      <c r="H524" s="53" t="n">
        <f aca="false">B524+G524</f>
        <v>45800</v>
      </c>
      <c r="I524" s="51" t="n">
        <v>45773</v>
      </c>
      <c r="J524" s="39" t="str">
        <f aca="false">IF(G524=0,"Tunai",IF(I524="","Belum ditukar","Sudah ditukar"))</f>
        <v>Sudah ditukar</v>
      </c>
      <c r="K524" s="54" t="n">
        <v>7698100</v>
      </c>
      <c r="L524" s="51" t="n">
        <v>45800</v>
      </c>
      <c r="M524" s="52" t="n">
        <f aca="false">F524-K524</f>
        <v>0</v>
      </c>
      <c r="N524" s="39" t="str">
        <f aca="false">IF(M524&lt;=0,"Lunas",IF(K524&gt;0,"Sebagian","Belum Bayar"))</f>
        <v>Lunas</v>
      </c>
      <c r="O524" s="39" t="n">
        <f aca="false">IF(M524&gt;0,MAX(0,Catatan!$B$3-H524),0)</f>
        <v>0</v>
      </c>
      <c r="P524" s="39" t="str">
        <f aca="false">IF(M524&lt;=0,"Lunas",IF(Catatan!$B$3&lt;=H524,"Belum Jatuh Tempo",IF(O524&lt;=30,"1-30 hari",IF(O524&lt;=60,"31-60 hari",IF(O524&lt;=90,"61-90 hari","90+ hari")))))</f>
        <v>Lunas</v>
      </c>
      <c r="Q524" s="50"/>
      <c r="R524" s="39" t="str">
        <f aca="false">IF(M524&lt;=0,"",IF(O524&gt;60,"1-Tinggi",IF(O524&gt;30,"2-Sedang",IF(O524&gt;0,"3-Rendah","4-Pantau"))))</f>
        <v/>
      </c>
      <c r="S524" s="39" t="str">
        <f aca="false">IF(AND(M524&gt;0,O524&gt;0),O524+M524/1000000000000+ROW()/1000000000000000,"")</f>
        <v/>
      </c>
      <c r="T524" s="39" t="str">
        <f aca="false">IF(J524="Belum ditukar",ROW(),"")</f>
        <v/>
      </c>
    </row>
    <row r="525" customFormat="false" ht="15" hidden="false" customHeight="false" outlineLevel="0" collapsed="false">
      <c r="A525" s="50" t="s">
        <v>803</v>
      </c>
      <c r="B525" s="51" t="n">
        <v>45771</v>
      </c>
      <c r="C525" s="50" t="s">
        <v>174</v>
      </c>
      <c r="D525" s="39" t="str">
        <f aca="false">INDEX(Master_Customer!$B$2:$B$126,MATCH(C525,Master_Customer!$A$2:$A$126,0))</f>
        <v>SUMBER TEKNIK SURYA</v>
      </c>
      <c r="E525" s="50" t="s">
        <v>31</v>
      </c>
      <c r="F525" s="52" t="n">
        <f aca="false">SUMIFS(Data_Penjualan!$G$2:$G$5998,Data_Penjualan!$A$2:$A$5998,A525)</f>
        <v>38152500</v>
      </c>
      <c r="G525" s="39" t="n">
        <f aca="false">IF(E525="KANTOR",0,INDEX(Master_Customer!$C$2:$C$126,MATCH(C525,Master_Customer!$A$2:$A$126,0)))</f>
        <v>30</v>
      </c>
      <c r="H525" s="53" t="n">
        <f aca="false">B525+G525</f>
        <v>45801</v>
      </c>
      <c r="I525" s="51" t="n">
        <v>45776</v>
      </c>
      <c r="J525" s="39" t="str">
        <f aca="false">IF(G525=0,"Tunai",IF(I525="","Belum ditukar","Sudah ditukar"))</f>
        <v>Sudah ditukar</v>
      </c>
      <c r="K525" s="54" t="n">
        <v>38152500</v>
      </c>
      <c r="L525" s="51" t="n">
        <v>45790</v>
      </c>
      <c r="M525" s="52" t="n">
        <f aca="false">F525-K525</f>
        <v>0</v>
      </c>
      <c r="N525" s="39" t="str">
        <f aca="false">IF(M525&lt;=0,"Lunas",IF(K525&gt;0,"Sebagian","Belum Bayar"))</f>
        <v>Lunas</v>
      </c>
      <c r="O525" s="39" t="n">
        <f aca="false">IF(M525&gt;0,MAX(0,Catatan!$B$3-H525),0)</f>
        <v>0</v>
      </c>
      <c r="P525" s="39" t="str">
        <f aca="false">IF(M525&lt;=0,"Lunas",IF(Catatan!$B$3&lt;=H525,"Belum Jatuh Tempo",IF(O525&lt;=30,"1-30 hari",IF(O525&lt;=60,"31-60 hari",IF(O525&lt;=90,"61-90 hari","90+ hari")))))</f>
        <v>Lunas</v>
      </c>
      <c r="Q525" s="50"/>
      <c r="R525" s="39" t="str">
        <f aca="false">IF(M525&lt;=0,"",IF(O525&gt;60,"1-Tinggi",IF(O525&gt;30,"2-Sedang",IF(O525&gt;0,"3-Rendah","4-Pantau"))))</f>
        <v/>
      </c>
      <c r="S525" s="39" t="str">
        <f aca="false">IF(AND(M525&gt;0,O525&gt;0),O525+M525/1000000000000+ROW()/1000000000000000,"")</f>
        <v/>
      </c>
      <c r="T525" s="39" t="str">
        <f aca="false">IF(J525="Belum ditukar",ROW(),"")</f>
        <v/>
      </c>
    </row>
    <row r="526" customFormat="false" ht="15" hidden="false" customHeight="false" outlineLevel="0" collapsed="false">
      <c r="A526" s="50" t="s">
        <v>804</v>
      </c>
      <c r="B526" s="51" t="n">
        <v>45771</v>
      </c>
      <c r="C526" s="50" t="s">
        <v>174</v>
      </c>
      <c r="D526" s="39" t="str">
        <f aca="false">INDEX(Master_Customer!$B$2:$B$126,MATCH(C526,Master_Customer!$A$2:$A$126,0))</f>
        <v>SUMBER TEKNIK SURYA</v>
      </c>
      <c r="E526" s="50" t="s">
        <v>31</v>
      </c>
      <c r="F526" s="52" t="n">
        <f aca="false">SUMIFS(Data_Penjualan!$G$2:$G$5998,Data_Penjualan!$A$2:$A$5998,A526)</f>
        <v>9236300</v>
      </c>
      <c r="G526" s="39" t="n">
        <f aca="false">IF(E526="KANTOR",0,INDEX(Master_Customer!$C$2:$C$126,MATCH(C526,Master_Customer!$A$2:$A$126,0)))</f>
        <v>30</v>
      </c>
      <c r="H526" s="53" t="n">
        <f aca="false">B526+G526</f>
        <v>45801</v>
      </c>
      <c r="I526" s="51" t="n">
        <v>45773</v>
      </c>
      <c r="J526" s="39" t="str">
        <f aca="false">IF(G526=0,"Tunai",IF(I526="","Belum ditukar","Sudah ditukar"))</f>
        <v>Sudah ditukar</v>
      </c>
      <c r="K526" s="54" t="n">
        <v>9236300</v>
      </c>
      <c r="L526" s="51" t="n">
        <v>45795</v>
      </c>
      <c r="M526" s="52" t="n">
        <f aca="false">F526-K526</f>
        <v>0</v>
      </c>
      <c r="N526" s="39" t="str">
        <f aca="false">IF(M526&lt;=0,"Lunas",IF(K526&gt;0,"Sebagian","Belum Bayar"))</f>
        <v>Lunas</v>
      </c>
      <c r="O526" s="39" t="n">
        <f aca="false">IF(M526&gt;0,MAX(0,Catatan!$B$3-H526),0)</f>
        <v>0</v>
      </c>
      <c r="P526" s="39" t="str">
        <f aca="false">IF(M526&lt;=0,"Lunas",IF(Catatan!$B$3&lt;=H526,"Belum Jatuh Tempo",IF(O526&lt;=30,"1-30 hari",IF(O526&lt;=60,"31-60 hari",IF(O526&lt;=90,"61-90 hari","90+ hari")))))</f>
        <v>Lunas</v>
      </c>
      <c r="Q526" s="50"/>
      <c r="R526" s="39" t="str">
        <f aca="false">IF(M526&lt;=0,"",IF(O526&gt;60,"1-Tinggi",IF(O526&gt;30,"2-Sedang",IF(O526&gt;0,"3-Rendah","4-Pantau"))))</f>
        <v/>
      </c>
      <c r="S526" s="39" t="str">
        <f aca="false">IF(AND(M526&gt;0,O526&gt;0),O526+M526/1000000000000+ROW()/1000000000000000,"")</f>
        <v/>
      </c>
      <c r="T526" s="39" t="str">
        <f aca="false">IF(J526="Belum ditukar",ROW(),"")</f>
        <v/>
      </c>
    </row>
    <row r="527" customFormat="false" ht="15" hidden="false" customHeight="false" outlineLevel="0" collapsed="false">
      <c r="A527" s="50" t="s">
        <v>805</v>
      </c>
      <c r="B527" s="51" t="n">
        <v>45771</v>
      </c>
      <c r="C527" s="50" t="s">
        <v>419</v>
      </c>
      <c r="D527" s="39" t="str">
        <f aca="false">INDEX(Master_Customer!$B$2:$B$126,MATCH(C527,Master_Customer!$A$2:$A$126,0))</f>
        <v>UTAMA MOTOR</v>
      </c>
      <c r="E527" s="50" t="s">
        <v>30</v>
      </c>
      <c r="F527" s="52" t="n">
        <f aca="false">SUMIFS(Data_Penjualan!$G$2:$G$5998,Data_Penjualan!$A$2:$A$5998,A527)</f>
        <v>3248400</v>
      </c>
      <c r="G527" s="39" t="n">
        <f aca="false">IF(E527="KANTOR",0,INDEX(Master_Customer!$C$2:$C$126,MATCH(C527,Master_Customer!$A$2:$A$126,0)))</f>
        <v>14</v>
      </c>
      <c r="H527" s="53" t="n">
        <f aca="false">B527+G527</f>
        <v>45785</v>
      </c>
      <c r="I527" s="51" t="n">
        <v>45775</v>
      </c>
      <c r="J527" s="39" t="str">
        <f aca="false">IF(G527=0,"Tunai",IF(I527="","Belum ditukar","Sudah ditukar"))</f>
        <v>Sudah ditukar</v>
      </c>
      <c r="K527" s="54" t="n">
        <v>3248400</v>
      </c>
      <c r="L527" s="51" t="n">
        <v>45787</v>
      </c>
      <c r="M527" s="52" t="n">
        <f aca="false">F527-K527</f>
        <v>0</v>
      </c>
      <c r="N527" s="39" t="str">
        <f aca="false">IF(M527&lt;=0,"Lunas",IF(K527&gt;0,"Sebagian","Belum Bayar"))</f>
        <v>Lunas</v>
      </c>
      <c r="O527" s="39" t="n">
        <f aca="false">IF(M527&gt;0,MAX(0,Catatan!$B$3-H527),0)</f>
        <v>0</v>
      </c>
      <c r="P527" s="39" t="str">
        <f aca="false">IF(M527&lt;=0,"Lunas",IF(Catatan!$B$3&lt;=H527,"Belum Jatuh Tempo",IF(O527&lt;=30,"1-30 hari",IF(O527&lt;=60,"31-60 hari",IF(O527&lt;=90,"61-90 hari","90+ hari")))))</f>
        <v>Lunas</v>
      </c>
      <c r="Q527" s="50"/>
      <c r="R527" s="39" t="str">
        <f aca="false">IF(M527&lt;=0,"",IF(O527&gt;60,"1-Tinggi",IF(O527&gt;30,"2-Sedang",IF(O527&gt;0,"3-Rendah","4-Pantau"))))</f>
        <v/>
      </c>
      <c r="S527" s="39" t="str">
        <f aca="false">IF(AND(M527&gt;0,O527&gt;0),O527+M527/1000000000000+ROW()/1000000000000000,"")</f>
        <v/>
      </c>
      <c r="T527" s="39" t="str">
        <f aca="false">IF(J527="Belum ditukar",ROW(),"")</f>
        <v/>
      </c>
    </row>
    <row r="528" customFormat="false" ht="15" hidden="false" customHeight="false" outlineLevel="0" collapsed="false">
      <c r="A528" s="50" t="s">
        <v>806</v>
      </c>
      <c r="B528" s="51" t="n">
        <v>45771</v>
      </c>
      <c r="C528" s="50" t="s">
        <v>475</v>
      </c>
      <c r="D528" s="39" t="str">
        <f aca="false">INDEX(Master_Customer!$B$2:$B$126,MATCH(C528,Master_Customer!$A$2:$A$126,0))</f>
        <v>CAHAYA BENGKEL</v>
      </c>
      <c r="E528" s="50" t="s">
        <v>32</v>
      </c>
      <c r="F528" s="52" t="n">
        <f aca="false">SUMIFS(Data_Penjualan!$G$2:$G$5998,Data_Penjualan!$A$2:$A$5998,A528)</f>
        <v>22950800</v>
      </c>
      <c r="G528" s="39" t="n">
        <f aca="false">IF(E528="KANTOR",0,INDEX(Master_Customer!$C$2:$C$126,MATCH(C528,Master_Customer!$A$2:$A$126,0)))</f>
        <v>0</v>
      </c>
      <c r="H528" s="53" t="n">
        <f aca="false">B528+G528</f>
        <v>45771</v>
      </c>
      <c r="J528" s="39" t="str">
        <f aca="false">IF(G528=0,"Tunai",IF(I528="","Belum ditukar","Sudah ditukar"))</f>
        <v>Tunai</v>
      </c>
      <c r="K528" s="54" t="n">
        <v>22950800</v>
      </c>
      <c r="L528" s="51" t="n">
        <v>45771</v>
      </c>
      <c r="M528" s="52" t="n">
        <f aca="false">F528-K528</f>
        <v>0</v>
      </c>
      <c r="N528" s="39" t="str">
        <f aca="false">IF(M528&lt;=0,"Lunas",IF(K528&gt;0,"Sebagian","Belum Bayar"))</f>
        <v>Lunas</v>
      </c>
      <c r="O528" s="39" t="n">
        <f aca="false">IF(M528&gt;0,MAX(0,Catatan!$B$3-H528),0)</f>
        <v>0</v>
      </c>
      <c r="P528" s="39" t="str">
        <f aca="false">IF(M528&lt;=0,"Lunas",IF(Catatan!$B$3&lt;=H528,"Belum Jatuh Tempo",IF(O528&lt;=30,"1-30 hari",IF(O528&lt;=60,"31-60 hari",IF(O528&lt;=90,"61-90 hari","90+ hari")))))</f>
        <v>Lunas</v>
      </c>
      <c r="Q528" s="50"/>
      <c r="R528" s="39" t="str">
        <f aca="false">IF(M528&lt;=0,"",IF(O528&gt;60,"1-Tinggi",IF(O528&gt;30,"2-Sedang",IF(O528&gt;0,"3-Rendah","4-Pantau"))))</f>
        <v/>
      </c>
      <c r="S528" s="39" t="str">
        <f aca="false">IF(AND(M528&gt;0,O528&gt;0),O528+M528/1000000000000+ROW()/1000000000000000,"")</f>
        <v/>
      </c>
      <c r="T528" s="39" t="str">
        <f aca="false">IF(J528="Belum ditukar",ROW(),"")</f>
        <v/>
      </c>
    </row>
    <row r="529" customFormat="false" ht="15" hidden="false" customHeight="false" outlineLevel="0" collapsed="false">
      <c r="A529" s="50" t="s">
        <v>807</v>
      </c>
      <c r="B529" s="51" t="n">
        <v>45771</v>
      </c>
      <c r="C529" s="50" t="s">
        <v>216</v>
      </c>
      <c r="D529" s="39" t="str">
        <f aca="false">INDEX(Master_Customer!$B$2:$B$126,MATCH(C529,Master_Customer!$A$2:$A$126,0))</f>
        <v>SINAR MOTOR UTAMA</v>
      </c>
      <c r="E529" s="50" t="s">
        <v>30</v>
      </c>
      <c r="F529" s="52" t="n">
        <f aca="false">SUMIFS(Data_Penjualan!$G$2:$G$5998,Data_Penjualan!$A$2:$A$5998,A529)</f>
        <v>5521400</v>
      </c>
      <c r="G529" s="39" t="n">
        <f aca="false">IF(E529="KANTOR",0,INDEX(Master_Customer!$C$2:$C$126,MATCH(C529,Master_Customer!$A$2:$A$126,0)))</f>
        <v>0</v>
      </c>
      <c r="H529" s="53" t="n">
        <f aca="false">B529+G529</f>
        <v>45771</v>
      </c>
      <c r="J529" s="39" t="str">
        <f aca="false">IF(G529=0,"Tunai",IF(I529="","Belum ditukar","Sudah ditukar"))</f>
        <v>Tunai</v>
      </c>
      <c r="K529" s="54" t="n">
        <v>5521400</v>
      </c>
      <c r="L529" s="51" t="n">
        <v>45771</v>
      </c>
      <c r="M529" s="52" t="n">
        <f aca="false">F529-K529</f>
        <v>0</v>
      </c>
      <c r="N529" s="39" t="str">
        <f aca="false">IF(M529&lt;=0,"Lunas",IF(K529&gt;0,"Sebagian","Belum Bayar"))</f>
        <v>Lunas</v>
      </c>
      <c r="O529" s="39" t="n">
        <f aca="false">IF(M529&gt;0,MAX(0,Catatan!$B$3-H529),0)</f>
        <v>0</v>
      </c>
      <c r="P529" s="39" t="str">
        <f aca="false">IF(M529&lt;=0,"Lunas",IF(Catatan!$B$3&lt;=H529,"Belum Jatuh Tempo",IF(O529&lt;=30,"1-30 hari",IF(O529&lt;=60,"31-60 hari",IF(O529&lt;=90,"61-90 hari","90+ hari")))))</f>
        <v>Lunas</v>
      </c>
      <c r="Q529" s="50"/>
      <c r="R529" s="39" t="str">
        <f aca="false">IF(M529&lt;=0,"",IF(O529&gt;60,"1-Tinggi",IF(O529&gt;30,"2-Sedang",IF(O529&gt;0,"3-Rendah","4-Pantau"))))</f>
        <v/>
      </c>
      <c r="S529" s="39" t="str">
        <f aca="false">IF(AND(M529&gt;0,O529&gt;0),O529+M529/1000000000000+ROW()/1000000000000000,"")</f>
        <v/>
      </c>
      <c r="T529" s="39" t="str">
        <f aca="false">IF(J529="Belum ditukar",ROW(),"")</f>
        <v/>
      </c>
    </row>
    <row r="530" customFormat="false" ht="15" hidden="false" customHeight="false" outlineLevel="0" collapsed="false">
      <c r="A530" s="50" t="s">
        <v>808</v>
      </c>
      <c r="B530" s="51" t="n">
        <v>45771</v>
      </c>
      <c r="C530" s="50" t="s">
        <v>205</v>
      </c>
      <c r="D530" s="39" t="str">
        <f aca="false">INDEX(Master_Customer!$B$2:$B$126,MATCH(C530,Master_Customer!$A$2:$A$126,0))</f>
        <v>BERKAH OLI</v>
      </c>
      <c r="E530" s="50" t="s">
        <v>32</v>
      </c>
      <c r="F530" s="52" t="n">
        <f aca="false">SUMIFS(Data_Penjualan!$G$2:$G$5998,Data_Penjualan!$A$2:$A$5998,A530)</f>
        <v>4672800</v>
      </c>
      <c r="G530" s="39" t="n">
        <f aca="false">IF(E530="KANTOR",0,INDEX(Master_Customer!$C$2:$C$126,MATCH(C530,Master_Customer!$A$2:$A$126,0)))</f>
        <v>0</v>
      </c>
      <c r="H530" s="53" t="n">
        <f aca="false">B530+G530</f>
        <v>45771</v>
      </c>
      <c r="J530" s="39" t="str">
        <f aca="false">IF(G530=0,"Tunai",IF(I530="","Belum ditukar","Sudah ditukar"))</f>
        <v>Tunai</v>
      </c>
      <c r="K530" s="54" t="n">
        <v>4672800</v>
      </c>
      <c r="L530" s="51" t="n">
        <v>45771</v>
      </c>
      <c r="M530" s="52" t="n">
        <f aca="false">F530-K530</f>
        <v>0</v>
      </c>
      <c r="N530" s="39" t="str">
        <f aca="false">IF(M530&lt;=0,"Lunas",IF(K530&gt;0,"Sebagian","Belum Bayar"))</f>
        <v>Lunas</v>
      </c>
      <c r="O530" s="39" t="n">
        <f aca="false">IF(M530&gt;0,MAX(0,Catatan!$B$3-H530),0)</f>
        <v>0</v>
      </c>
      <c r="P530" s="39" t="str">
        <f aca="false">IF(M530&lt;=0,"Lunas",IF(Catatan!$B$3&lt;=H530,"Belum Jatuh Tempo",IF(O530&lt;=30,"1-30 hari",IF(O530&lt;=60,"31-60 hari",IF(O530&lt;=90,"61-90 hari","90+ hari")))))</f>
        <v>Lunas</v>
      </c>
      <c r="Q530" s="50"/>
      <c r="R530" s="39" t="str">
        <f aca="false">IF(M530&lt;=0,"",IF(O530&gt;60,"1-Tinggi",IF(O530&gt;30,"2-Sedang",IF(O530&gt;0,"3-Rendah","4-Pantau"))))</f>
        <v/>
      </c>
      <c r="S530" s="39" t="str">
        <f aca="false">IF(AND(M530&gt;0,O530&gt;0),O530+M530/1000000000000+ROW()/1000000000000000,"")</f>
        <v/>
      </c>
      <c r="T530" s="39" t="str">
        <f aca="false">IF(J530="Belum ditukar",ROW(),"")</f>
        <v/>
      </c>
    </row>
    <row r="531" customFormat="false" ht="15" hidden="false" customHeight="false" outlineLevel="0" collapsed="false">
      <c r="A531" s="50" t="s">
        <v>809</v>
      </c>
      <c r="B531" s="51" t="n">
        <v>45771</v>
      </c>
      <c r="C531" s="50" t="s">
        <v>199</v>
      </c>
      <c r="D531" s="39" t="str">
        <f aca="false">INDEX(Master_Customer!$B$2:$B$126,MATCH(C531,Master_Customer!$A$2:$A$126,0))</f>
        <v>KARYA SPAREPART</v>
      </c>
      <c r="E531" s="50" t="s">
        <v>29</v>
      </c>
      <c r="F531" s="52" t="n">
        <f aca="false">SUMIFS(Data_Penjualan!$G$2:$G$5998,Data_Penjualan!$A$2:$A$5998,A531)</f>
        <v>12726300</v>
      </c>
      <c r="G531" s="39" t="n">
        <f aca="false">IF(E531="KANTOR",0,INDEX(Master_Customer!$C$2:$C$126,MATCH(C531,Master_Customer!$A$2:$A$126,0)))</f>
        <v>45</v>
      </c>
      <c r="H531" s="53" t="n">
        <f aca="false">B531+G531</f>
        <v>45816</v>
      </c>
      <c r="I531" s="51" t="n">
        <v>45772</v>
      </c>
      <c r="J531" s="39" t="str">
        <f aca="false">IF(G531=0,"Tunai",IF(I531="","Belum ditukar","Sudah ditukar"))</f>
        <v>Sudah ditukar</v>
      </c>
      <c r="K531" s="54" t="n">
        <v>12726300</v>
      </c>
      <c r="L531" s="51" t="n">
        <v>45816</v>
      </c>
      <c r="M531" s="52" t="n">
        <f aca="false">F531-K531</f>
        <v>0</v>
      </c>
      <c r="N531" s="39" t="str">
        <f aca="false">IF(M531&lt;=0,"Lunas",IF(K531&gt;0,"Sebagian","Belum Bayar"))</f>
        <v>Lunas</v>
      </c>
      <c r="O531" s="39" t="n">
        <f aca="false">IF(M531&gt;0,MAX(0,Catatan!$B$3-H531),0)</f>
        <v>0</v>
      </c>
      <c r="P531" s="39" t="str">
        <f aca="false">IF(M531&lt;=0,"Lunas",IF(Catatan!$B$3&lt;=H531,"Belum Jatuh Tempo",IF(O531&lt;=30,"1-30 hari",IF(O531&lt;=60,"31-60 hari",IF(O531&lt;=90,"61-90 hari","90+ hari")))))</f>
        <v>Lunas</v>
      </c>
      <c r="Q531" s="50"/>
      <c r="R531" s="39" t="str">
        <f aca="false">IF(M531&lt;=0,"",IF(O531&gt;60,"1-Tinggi",IF(O531&gt;30,"2-Sedang",IF(O531&gt;0,"3-Rendah","4-Pantau"))))</f>
        <v/>
      </c>
      <c r="S531" s="39" t="str">
        <f aca="false">IF(AND(M531&gt;0,O531&gt;0),O531+M531/1000000000000+ROW()/1000000000000000,"")</f>
        <v/>
      </c>
      <c r="T531" s="39" t="str">
        <f aca="false">IF(J531="Belum ditukar",ROW(),"")</f>
        <v/>
      </c>
    </row>
    <row r="532" customFormat="false" ht="15" hidden="false" customHeight="false" outlineLevel="0" collapsed="false">
      <c r="A532" s="50" t="s">
        <v>810</v>
      </c>
      <c r="B532" s="51" t="n">
        <v>45772</v>
      </c>
      <c r="C532" s="50" t="s">
        <v>188</v>
      </c>
      <c r="D532" s="39" t="str">
        <f aca="false">INDEX(Master_Customer!$B$2:$B$126,MATCH(C532,Master_Customer!$A$2:$A$126,0))</f>
        <v>MAJU GARAGE TIRTA</v>
      </c>
      <c r="E532" s="50" t="s">
        <v>31</v>
      </c>
      <c r="F532" s="52" t="n">
        <f aca="false">SUMIFS(Data_Penjualan!$G$2:$G$5998,Data_Penjualan!$A$2:$A$5998,A532)</f>
        <v>17389900</v>
      </c>
      <c r="G532" s="39" t="n">
        <f aca="false">IF(E532="KANTOR",0,INDEX(Master_Customer!$C$2:$C$126,MATCH(C532,Master_Customer!$A$2:$A$126,0)))</f>
        <v>45</v>
      </c>
      <c r="H532" s="53" t="n">
        <f aca="false">B532+G532</f>
        <v>45817</v>
      </c>
      <c r="I532" s="51" t="n">
        <v>45776</v>
      </c>
      <c r="J532" s="39" t="str">
        <f aca="false">IF(G532=0,"Tunai",IF(I532="","Belum ditukar","Sudah ditukar"))</f>
        <v>Sudah ditukar</v>
      </c>
      <c r="K532" s="54" t="n">
        <v>17389900</v>
      </c>
      <c r="L532" s="51" t="n">
        <v>45835</v>
      </c>
      <c r="M532" s="52" t="n">
        <f aca="false">F532-K532</f>
        <v>0</v>
      </c>
      <c r="N532" s="39" t="str">
        <f aca="false">IF(M532&lt;=0,"Lunas",IF(K532&gt;0,"Sebagian","Belum Bayar"))</f>
        <v>Lunas</v>
      </c>
      <c r="O532" s="39" t="n">
        <f aca="false">IF(M532&gt;0,MAX(0,Catatan!$B$3-H532),0)</f>
        <v>0</v>
      </c>
      <c r="P532" s="39" t="str">
        <f aca="false">IF(M532&lt;=0,"Lunas",IF(Catatan!$B$3&lt;=H532,"Belum Jatuh Tempo",IF(O532&lt;=30,"1-30 hari",IF(O532&lt;=60,"31-60 hari",IF(O532&lt;=90,"61-90 hari","90+ hari")))))</f>
        <v>Lunas</v>
      </c>
      <c r="Q532" s="50"/>
      <c r="R532" s="39" t="str">
        <f aca="false">IF(M532&lt;=0,"",IF(O532&gt;60,"1-Tinggi",IF(O532&gt;30,"2-Sedang",IF(O532&gt;0,"3-Rendah","4-Pantau"))))</f>
        <v/>
      </c>
      <c r="S532" s="39" t="str">
        <f aca="false">IF(AND(M532&gt;0,O532&gt;0),O532+M532/1000000000000+ROW()/1000000000000000,"")</f>
        <v/>
      </c>
      <c r="T532" s="39" t="str">
        <f aca="false">IF(J532="Belum ditukar",ROW(),"")</f>
        <v/>
      </c>
    </row>
    <row r="533" customFormat="false" ht="15" hidden="false" customHeight="false" outlineLevel="0" collapsed="false">
      <c r="A533" s="50" t="s">
        <v>811</v>
      </c>
      <c r="B533" s="51" t="n">
        <v>45772</v>
      </c>
      <c r="C533" s="50" t="s">
        <v>216</v>
      </c>
      <c r="D533" s="39" t="str">
        <f aca="false">INDEX(Master_Customer!$B$2:$B$126,MATCH(C533,Master_Customer!$A$2:$A$126,0))</f>
        <v>SINAR MOTOR UTAMA</v>
      </c>
      <c r="E533" s="50" t="s">
        <v>30</v>
      </c>
      <c r="F533" s="52" t="n">
        <f aca="false">SUMIFS(Data_Penjualan!$G$2:$G$5998,Data_Penjualan!$A$2:$A$5998,A533)</f>
        <v>12134700</v>
      </c>
      <c r="G533" s="39" t="n">
        <f aca="false">IF(E533="KANTOR",0,INDEX(Master_Customer!$C$2:$C$126,MATCH(C533,Master_Customer!$A$2:$A$126,0)))</f>
        <v>0</v>
      </c>
      <c r="H533" s="53" t="n">
        <f aca="false">B533+G533</f>
        <v>45772</v>
      </c>
      <c r="J533" s="39" t="str">
        <f aca="false">IF(G533=0,"Tunai",IF(I533="","Belum ditukar","Sudah ditukar"))</f>
        <v>Tunai</v>
      </c>
      <c r="K533" s="54" t="n">
        <v>12134700</v>
      </c>
      <c r="L533" s="51" t="n">
        <v>45772</v>
      </c>
      <c r="M533" s="52" t="n">
        <f aca="false">F533-K533</f>
        <v>0</v>
      </c>
      <c r="N533" s="39" t="str">
        <f aca="false">IF(M533&lt;=0,"Lunas",IF(K533&gt;0,"Sebagian","Belum Bayar"))</f>
        <v>Lunas</v>
      </c>
      <c r="O533" s="39" t="n">
        <f aca="false">IF(M533&gt;0,MAX(0,Catatan!$B$3-H533),0)</f>
        <v>0</v>
      </c>
      <c r="P533" s="39" t="str">
        <f aca="false">IF(M533&lt;=0,"Lunas",IF(Catatan!$B$3&lt;=H533,"Belum Jatuh Tempo",IF(O533&lt;=30,"1-30 hari",IF(O533&lt;=60,"31-60 hari",IF(O533&lt;=90,"61-90 hari","90+ hari")))))</f>
        <v>Lunas</v>
      </c>
      <c r="Q533" s="50"/>
      <c r="R533" s="39" t="str">
        <f aca="false">IF(M533&lt;=0,"",IF(O533&gt;60,"1-Tinggi",IF(O533&gt;30,"2-Sedang",IF(O533&gt;0,"3-Rendah","4-Pantau"))))</f>
        <v/>
      </c>
      <c r="S533" s="39" t="str">
        <f aca="false">IF(AND(M533&gt;0,O533&gt;0),O533+M533/1000000000000+ROW()/1000000000000000,"")</f>
        <v/>
      </c>
      <c r="T533" s="39" t="str">
        <f aca="false">IF(J533="Belum ditukar",ROW(),"")</f>
        <v/>
      </c>
    </row>
    <row r="534" customFormat="false" ht="15" hidden="false" customHeight="false" outlineLevel="0" collapsed="false">
      <c r="A534" s="50" t="s">
        <v>812</v>
      </c>
      <c r="B534" s="51" t="n">
        <v>45772</v>
      </c>
      <c r="C534" s="50" t="s">
        <v>188</v>
      </c>
      <c r="D534" s="39" t="str">
        <f aca="false">INDEX(Master_Customer!$B$2:$B$126,MATCH(C534,Master_Customer!$A$2:$A$126,0))</f>
        <v>MAJU GARAGE TIRTA</v>
      </c>
      <c r="E534" s="50" t="s">
        <v>32</v>
      </c>
      <c r="F534" s="52" t="n">
        <f aca="false">SUMIFS(Data_Penjualan!$G$2:$G$5998,Data_Penjualan!$A$2:$A$5998,A534)</f>
        <v>11809200</v>
      </c>
      <c r="G534" s="39" t="n">
        <f aca="false">IF(E534="KANTOR",0,INDEX(Master_Customer!$C$2:$C$126,MATCH(C534,Master_Customer!$A$2:$A$126,0)))</f>
        <v>0</v>
      </c>
      <c r="H534" s="53" t="n">
        <f aca="false">B534+G534</f>
        <v>45772</v>
      </c>
      <c r="J534" s="39" t="str">
        <f aca="false">IF(G534=0,"Tunai",IF(I534="","Belum ditukar","Sudah ditukar"))</f>
        <v>Tunai</v>
      </c>
      <c r="K534" s="54" t="n">
        <v>11809200</v>
      </c>
      <c r="L534" s="51" t="n">
        <v>45772</v>
      </c>
      <c r="M534" s="52" t="n">
        <f aca="false">F534-K534</f>
        <v>0</v>
      </c>
      <c r="N534" s="39" t="str">
        <f aca="false">IF(M534&lt;=0,"Lunas",IF(K534&gt;0,"Sebagian","Belum Bayar"))</f>
        <v>Lunas</v>
      </c>
      <c r="O534" s="39" t="n">
        <f aca="false">IF(M534&gt;0,MAX(0,Catatan!$B$3-H534),0)</f>
        <v>0</v>
      </c>
      <c r="P534" s="39" t="str">
        <f aca="false">IF(M534&lt;=0,"Lunas",IF(Catatan!$B$3&lt;=H534,"Belum Jatuh Tempo",IF(O534&lt;=30,"1-30 hari",IF(O534&lt;=60,"31-60 hari",IF(O534&lt;=90,"61-90 hari","90+ hari")))))</f>
        <v>Lunas</v>
      </c>
      <c r="Q534" s="50"/>
      <c r="R534" s="39" t="str">
        <f aca="false">IF(M534&lt;=0,"",IF(O534&gt;60,"1-Tinggi",IF(O534&gt;30,"2-Sedang",IF(O534&gt;0,"3-Rendah","4-Pantau"))))</f>
        <v/>
      </c>
      <c r="S534" s="39" t="str">
        <f aca="false">IF(AND(M534&gt;0,O534&gt;0),O534+M534/1000000000000+ROW()/1000000000000000,"")</f>
        <v/>
      </c>
      <c r="T534" s="39" t="str">
        <f aca="false">IF(J534="Belum ditukar",ROW(),"")</f>
        <v/>
      </c>
    </row>
    <row r="535" customFormat="false" ht="15" hidden="false" customHeight="false" outlineLevel="0" collapsed="false">
      <c r="A535" s="50" t="s">
        <v>813</v>
      </c>
      <c r="B535" s="51" t="n">
        <v>45772</v>
      </c>
      <c r="C535" s="50" t="s">
        <v>814</v>
      </c>
      <c r="D535" s="39" t="str">
        <f aca="false">INDEX(Master_Customer!$B$2:$B$126,MATCH(C535,Master_Customer!$A$2:$A$126,0))</f>
        <v>SENTOSA TEKNIK</v>
      </c>
      <c r="E535" s="50" t="s">
        <v>30</v>
      </c>
      <c r="F535" s="52" t="n">
        <f aca="false">SUMIFS(Data_Penjualan!$G$2:$G$5998,Data_Penjualan!$A$2:$A$5998,A535)</f>
        <v>17077200</v>
      </c>
      <c r="G535" s="39" t="n">
        <f aca="false">IF(E535="KANTOR",0,INDEX(Master_Customer!$C$2:$C$126,MATCH(C535,Master_Customer!$A$2:$A$126,0)))</f>
        <v>30</v>
      </c>
      <c r="H535" s="53" t="n">
        <f aca="false">B535+G535</f>
        <v>45802</v>
      </c>
      <c r="I535" s="51" t="n">
        <v>45774</v>
      </c>
      <c r="J535" s="39" t="str">
        <f aca="false">IF(G535=0,"Tunai",IF(I535="","Belum ditukar","Sudah ditukar"))</f>
        <v>Sudah ditukar</v>
      </c>
      <c r="K535" s="54" t="n">
        <v>17077200</v>
      </c>
      <c r="L535" s="51" t="n">
        <v>45815</v>
      </c>
      <c r="M535" s="52" t="n">
        <f aca="false">F535-K535</f>
        <v>0</v>
      </c>
      <c r="N535" s="39" t="str">
        <f aca="false">IF(M535&lt;=0,"Lunas",IF(K535&gt;0,"Sebagian","Belum Bayar"))</f>
        <v>Lunas</v>
      </c>
      <c r="O535" s="39" t="n">
        <f aca="false">IF(M535&gt;0,MAX(0,Catatan!$B$3-H535),0)</f>
        <v>0</v>
      </c>
      <c r="P535" s="39" t="str">
        <f aca="false">IF(M535&lt;=0,"Lunas",IF(Catatan!$B$3&lt;=H535,"Belum Jatuh Tempo",IF(O535&lt;=30,"1-30 hari",IF(O535&lt;=60,"31-60 hari",IF(O535&lt;=90,"61-90 hari","90+ hari")))))</f>
        <v>Lunas</v>
      </c>
      <c r="Q535" s="50"/>
      <c r="R535" s="39" t="str">
        <f aca="false">IF(M535&lt;=0,"",IF(O535&gt;60,"1-Tinggi",IF(O535&gt;30,"2-Sedang",IF(O535&gt;0,"3-Rendah","4-Pantau"))))</f>
        <v/>
      </c>
      <c r="S535" s="39" t="str">
        <f aca="false">IF(AND(M535&gt;0,O535&gt;0),O535+M535/1000000000000+ROW()/1000000000000000,"")</f>
        <v/>
      </c>
      <c r="T535" s="39" t="str">
        <f aca="false">IF(J535="Belum ditukar",ROW(),"")</f>
        <v/>
      </c>
    </row>
    <row r="536" customFormat="false" ht="15" hidden="false" customHeight="false" outlineLevel="0" collapsed="false">
      <c r="A536" s="50" t="s">
        <v>815</v>
      </c>
      <c r="B536" s="51" t="n">
        <v>45772</v>
      </c>
      <c r="C536" s="50" t="s">
        <v>197</v>
      </c>
      <c r="D536" s="39" t="str">
        <f aca="false">INDEX(Master_Customer!$B$2:$B$126,MATCH(C536,Master_Customer!$A$2:$A$126,0))</f>
        <v>UTAMA LUBRICANT HARAPAN</v>
      </c>
      <c r="E536" s="50" t="s">
        <v>32</v>
      </c>
      <c r="F536" s="52" t="n">
        <f aca="false">SUMIFS(Data_Penjualan!$G$2:$G$5998,Data_Penjualan!$A$2:$A$5998,A536)</f>
        <v>9401600</v>
      </c>
      <c r="G536" s="39" t="n">
        <f aca="false">IF(E536="KANTOR",0,INDEX(Master_Customer!$C$2:$C$126,MATCH(C536,Master_Customer!$A$2:$A$126,0)))</f>
        <v>0</v>
      </c>
      <c r="H536" s="53" t="n">
        <f aca="false">B536+G536</f>
        <v>45772</v>
      </c>
      <c r="J536" s="39" t="str">
        <f aca="false">IF(G536=0,"Tunai",IF(I536="","Belum ditukar","Sudah ditukar"))</f>
        <v>Tunai</v>
      </c>
      <c r="K536" s="54" t="n">
        <v>9401600</v>
      </c>
      <c r="L536" s="51" t="n">
        <v>45772</v>
      </c>
      <c r="M536" s="52" t="n">
        <f aca="false">F536-K536</f>
        <v>0</v>
      </c>
      <c r="N536" s="39" t="str">
        <f aca="false">IF(M536&lt;=0,"Lunas",IF(K536&gt;0,"Sebagian","Belum Bayar"))</f>
        <v>Lunas</v>
      </c>
      <c r="O536" s="39" t="n">
        <f aca="false">IF(M536&gt;0,MAX(0,Catatan!$B$3-H536),0)</f>
        <v>0</v>
      </c>
      <c r="P536" s="39" t="str">
        <f aca="false">IF(M536&lt;=0,"Lunas",IF(Catatan!$B$3&lt;=H536,"Belum Jatuh Tempo",IF(O536&lt;=30,"1-30 hari",IF(O536&lt;=60,"31-60 hari",IF(O536&lt;=90,"61-90 hari","90+ hari")))))</f>
        <v>Lunas</v>
      </c>
      <c r="Q536" s="50"/>
      <c r="R536" s="39" t="str">
        <f aca="false">IF(M536&lt;=0,"",IF(O536&gt;60,"1-Tinggi",IF(O536&gt;30,"2-Sedang",IF(O536&gt;0,"3-Rendah","4-Pantau"))))</f>
        <v/>
      </c>
      <c r="S536" s="39" t="str">
        <f aca="false">IF(AND(M536&gt;0,O536&gt;0),O536+M536/1000000000000+ROW()/1000000000000000,"")</f>
        <v/>
      </c>
      <c r="T536" s="39" t="str">
        <f aca="false">IF(J536="Belum ditukar",ROW(),"")</f>
        <v/>
      </c>
    </row>
    <row r="537" customFormat="false" ht="15" hidden="false" customHeight="false" outlineLevel="0" collapsed="false">
      <c r="A537" s="50" t="s">
        <v>816</v>
      </c>
      <c r="B537" s="51" t="n">
        <v>45773</v>
      </c>
      <c r="C537" s="50" t="s">
        <v>216</v>
      </c>
      <c r="D537" s="39" t="str">
        <f aca="false">INDEX(Master_Customer!$B$2:$B$126,MATCH(C537,Master_Customer!$A$2:$A$126,0))</f>
        <v>SINAR MOTOR UTAMA</v>
      </c>
      <c r="E537" s="50" t="s">
        <v>32</v>
      </c>
      <c r="F537" s="52" t="n">
        <f aca="false">SUMIFS(Data_Penjualan!$G$2:$G$5998,Data_Penjualan!$A$2:$A$5998,A537)</f>
        <v>1063900</v>
      </c>
      <c r="G537" s="39" t="n">
        <f aca="false">IF(E537="KANTOR",0,INDEX(Master_Customer!$C$2:$C$126,MATCH(C537,Master_Customer!$A$2:$A$126,0)))</f>
        <v>0</v>
      </c>
      <c r="H537" s="53" t="n">
        <f aca="false">B537+G537</f>
        <v>45773</v>
      </c>
      <c r="J537" s="39" t="str">
        <f aca="false">IF(G537=0,"Tunai",IF(I537="","Belum ditukar","Sudah ditukar"))</f>
        <v>Tunai</v>
      </c>
      <c r="K537" s="54" t="n">
        <v>1063900</v>
      </c>
      <c r="L537" s="51" t="n">
        <v>45774</v>
      </c>
      <c r="M537" s="52" t="n">
        <f aca="false">F537-K537</f>
        <v>0</v>
      </c>
      <c r="N537" s="39" t="str">
        <f aca="false">IF(M537&lt;=0,"Lunas",IF(K537&gt;0,"Sebagian","Belum Bayar"))</f>
        <v>Lunas</v>
      </c>
      <c r="O537" s="39" t="n">
        <f aca="false">IF(M537&gt;0,MAX(0,Catatan!$B$3-H537),0)</f>
        <v>0</v>
      </c>
      <c r="P537" s="39" t="str">
        <f aca="false">IF(M537&lt;=0,"Lunas",IF(Catatan!$B$3&lt;=H537,"Belum Jatuh Tempo",IF(O537&lt;=30,"1-30 hari",IF(O537&lt;=60,"31-60 hari",IF(O537&lt;=90,"61-90 hari","90+ hari")))))</f>
        <v>Lunas</v>
      </c>
      <c r="Q537" s="50"/>
      <c r="R537" s="39" t="str">
        <f aca="false">IF(M537&lt;=0,"",IF(O537&gt;60,"1-Tinggi",IF(O537&gt;30,"2-Sedang",IF(O537&gt;0,"3-Rendah","4-Pantau"))))</f>
        <v/>
      </c>
      <c r="S537" s="39" t="str">
        <f aca="false">IF(AND(M537&gt;0,O537&gt;0),O537+M537/1000000000000+ROW()/1000000000000000,"")</f>
        <v/>
      </c>
      <c r="T537" s="39" t="str">
        <f aca="false">IF(J537="Belum ditukar",ROW(),"")</f>
        <v/>
      </c>
    </row>
    <row r="538" customFormat="false" ht="15" hidden="false" customHeight="false" outlineLevel="0" collapsed="false">
      <c r="A538" s="50" t="s">
        <v>817</v>
      </c>
      <c r="B538" s="51" t="n">
        <v>45773</v>
      </c>
      <c r="C538" s="50" t="s">
        <v>174</v>
      </c>
      <c r="D538" s="39" t="str">
        <f aca="false">INDEX(Master_Customer!$B$2:$B$126,MATCH(C538,Master_Customer!$A$2:$A$126,0))</f>
        <v>SUMBER TEKNIK SURYA</v>
      </c>
      <c r="E538" s="50" t="s">
        <v>31</v>
      </c>
      <c r="F538" s="52" t="n">
        <f aca="false">SUMIFS(Data_Penjualan!$G$2:$G$5998,Data_Penjualan!$A$2:$A$5998,A538)</f>
        <v>29239000</v>
      </c>
      <c r="G538" s="39" t="n">
        <f aca="false">IF(E538="KANTOR",0,INDEX(Master_Customer!$C$2:$C$126,MATCH(C538,Master_Customer!$A$2:$A$126,0)))</f>
        <v>30</v>
      </c>
      <c r="H538" s="53" t="n">
        <f aca="false">B538+G538</f>
        <v>45803</v>
      </c>
      <c r="I538" s="51" t="n">
        <v>45775</v>
      </c>
      <c r="J538" s="39" t="str">
        <f aca="false">IF(G538=0,"Tunai",IF(I538="","Belum ditukar","Sudah ditukar"))</f>
        <v>Sudah ditukar</v>
      </c>
      <c r="K538" s="54" t="n">
        <v>29239000</v>
      </c>
      <c r="L538" s="51" t="n">
        <v>45800</v>
      </c>
      <c r="M538" s="52" t="n">
        <f aca="false">F538-K538</f>
        <v>0</v>
      </c>
      <c r="N538" s="39" t="str">
        <f aca="false">IF(M538&lt;=0,"Lunas",IF(K538&gt;0,"Sebagian","Belum Bayar"))</f>
        <v>Lunas</v>
      </c>
      <c r="O538" s="39" t="n">
        <f aca="false">IF(M538&gt;0,MAX(0,Catatan!$B$3-H538),0)</f>
        <v>0</v>
      </c>
      <c r="P538" s="39" t="str">
        <f aca="false">IF(M538&lt;=0,"Lunas",IF(Catatan!$B$3&lt;=H538,"Belum Jatuh Tempo",IF(O538&lt;=30,"1-30 hari",IF(O538&lt;=60,"31-60 hari",IF(O538&lt;=90,"61-90 hari","90+ hari")))))</f>
        <v>Lunas</v>
      </c>
      <c r="Q538" s="50"/>
      <c r="R538" s="39" t="str">
        <f aca="false">IF(M538&lt;=0,"",IF(O538&gt;60,"1-Tinggi",IF(O538&gt;30,"2-Sedang",IF(O538&gt;0,"3-Rendah","4-Pantau"))))</f>
        <v/>
      </c>
      <c r="S538" s="39" t="str">
        <f aca="false">IF(AND(M538&gt;0,O538&gt;0),O538+M538/1000000000000+ROW()/1000000000000000,"")</f>
        <v/>
      </c>
      <c r="T538" s="39" t="str">
        <f aca="false">IF(J538="Belum ditukar",ROW(),"")</f>
        <v/>
      </c>
    </row>
    <row r="539" customFormat="false" ht="15" hidden="false" customHeight="false" outlineLevel="0" collapsed="false">
      <c r="A539" s="50" t="s">
        <v>818</v>
      </c>
      <c r="B539" s="51" t="n">
        <v>45773</v>
      </c>
      <c r="C539" s="50" t="s">
        <v>232</v>
      </c>
      <c r="D539" s="39" t="str">
        <f aca="false">INDEX(Master_Customer!$B$2:$B$126,MATCH(C539,Master_Customer!$A$2:$A$126,0))</f>
        <v>ABADI LUBRICANT KARYA</v>
      </c>
      <c r="E539" s="50" t="s">
        <v>29</v>
      </c>
      <c r="F539" s="52" t="n">
        <f aca="false">SUMIFS(Data_Penjualan!$G$2:$G$5998,Data_Penjualan!$A$2:$A$5998,A539)</f>
        <v>12111300</v>
      </c>
      <c r="G539" s="39" t="n">
        <f aca="false">IF(E539="KANTOR",0,INDEX(Master_Customer!$C$2:$C$126,MATCH(C539,Master_Customer!$A$2:$A$126,0)))</f>
        <v>14</v>
      </c>
      <c r="H539" s="53" t="n">
        <f aca="false">B539+G539</f>
        <v>45787</v>
      </c>
      <c r="I539" s="51" t="n">
        <v>45776</v>
      </c>
      <c r="J539" s="39" t="str">
        <f aca="false">IF(G539=0,"Tunai",IF(I539="","Belum ditukar","Sudah ditukar"))</f>
        <v>Sudah ditukar</v>
      </c>
      <c r="K539" s="54" t="n">
        <v>12111300</v>
      </c>
      <c r="L539" s="51" t="n">
        <v>45783</v>
      </c>
      <c r="M539" s="52" t="n">
        <f aca="false">F539-K539</f>
        <v>0</v>
      </c>
      <c r="N539" s="39" t="str">
        <f aca="false">IF(M539&lt;=0,"Lunas",IF(K539&gt;0,"Sebagian","Belum Bayar"))</f>
        <v>Lunas</v>
      </c>
      <c r="O539" s="39" t="n">
        <f aca="false">IF(M539&gt;0,MAX(0,Catatan!$B$3-H539),0)</f>
        <v>0</v>
      </c>
      <c r="P539" s="39" t="str">
        <f aca="false">IF(M539&lt;=0,"Lunas",IF(Catatan!$B$3&lt;=H539,"Belum Jatuh Tempo",IF(O539&lt;=30,"1-30 hari",IF(O539&lt;=60,"31-60 hari",IF(O539&lt;=90,"61-90 hari","90+ hari")))))</f>
        <v>Lunas</v>
      </c>
      <c r="Q539" s="50"/>
      <c r="R539" s="39" t="str">
        <f aca="false">IF(M539&lt;=0,"",IF(O539&gt;60,"1-Tinggi",IF(O539&gt;30,"2-Sedang",IF(O539&gt;0,"3-Rendah","4-Pantau"))))</f>
        <v/>
      </c>
      <c r="S539" s="39" t="str">
        <f aca="false">IF(AND(M539&gt;0,O539&gt;0),O539+M539/1000000000000+ROW()/1000000000000000,"")</f>
        <v/>
      </c>
      <c r="T539" s="39" t="str">
        <f aca="false">IF(J539="Belum ditukar",ROW(),"")</f>
        <v/>
      </c>
    </row>
    <row r="540" customFormat="false" ht="15" hidden="false" customHeight="false" outlineLevel="0" collapsed="false">
      <c r="A540" s="50" t="s">
        <v>819</v>
      </c>
      <c r="B540" s="51" t="n">
        <v>45773</v>
      </c>
      <c r="C540" s="50" t="s">
        <v>174</v>
      </c>
      <c r="D540" s="39" t="str">
        <f aca="false">INDEX(Master_Customer!$B$2:$B$126,MATCH(C540,Master_Customer!$A$2:$A$126,0))</f>
        <v>SUMBER TEKNIK SURYA</v>
      </c>
      <c r="E540" s="50" t="s">
        <v>31</v>
      </c>
      <c r="F540" s="52" t="n">
        <f aca="false">SUMIFS(Data_Penjualan!$G$2:$G$5998,Data_Penjualan!$A$2:$A$5998,A540)</f>
        <v>19321300</v>
      </c>
      <c r="G540" s="39" t="n">
        <f aca="false">IF(E540="KANTOR",0,INDEX(Master_Customer!$C$2:$C$126,MATCH(C540,Master_Customer!$A$2:$A$126,0)))</f>
        <v>30</v>
      </c>
      <c r="H540" s="53" t="n">
        <f aca="false">B540+G540</f>
        <v>45803</v>
      </c>
      <c r="I540" s="51" t="n">
        <v>45774</v>
      </c>
      <c r="J540" s="39" t="str">
        <f aca="false">IF(G540=0,"Tunai",IF(I540="","Belum ditukar","Sudah ditukar"))</f>
        <v>Sudah ditukar</v>
      </c>
      <c r="K540" s="54" t="n">
        <v>19321300</v>
      </c>
      <c r="L540" s="51" t="n">
        <v>45801</v>
      </c>
      <c r="M540" s="52" t="n">
        <f aca="false">F540-K540</f>
        <v>0</v>
      </c>
      <c r="N540" s="39" t="str">
        <f aca="false">IF(M540&lt;=0,"Lunas",IF(K540&gt;0,"Sebagian","Belum Bayar"))</f>
        <v>Lunas</v>
      </c>
      <c r="O540" s="39" t="n">
        <f aca="false">IF(M540&gt;0,MAX(0,Catatan!$B$3-H540),0)</f>
        <v>0</v>
      </c>
      <c r="P540" s="39" t="str">
        <f aca="false">IF(M540&lt;=0,"Lunas",IF(Catatan!$B$3&lt;=H540,"Belum Jatuh Tempo",IF(O540&lt;=30,"1-30 hari",IF(O540&lt;=60,"31-60 hari",IF(O540&lt;=90,"61-90 hari","90+ hari")))))</f>
        <v>Lunas</v>
      </c>
      <c r="Q540" s="50"/>
      <c r="R540" s="39" t="str">
        <f aca="false">IF(M540&lt;=0,"",IF(O540&gt;60,"1-Tinggi",IF(O540&gt;30,"2-Sedang",IF(O540&gt;0,"3-Rendah","4-Pantau"))))</f>
        <v/>
      </c>
      <c r="S540" s="39" t="str">
        <f aca="false">IF(AND(M540&gt;0,O540&gt;0),O540+M540/1000000000000+ROW()/1000000000000000,"")</f>
        <v/>
      </c>
      <c r="T540" s="39" t="str">
        <f aca="false">IF(J540="Belum ditukar",ROW(),"")</f>
        <v/>
      </c>
    </row>
    <row r="541" customFormat="false" ht="15" hidden="false" customHeight="false" outlineLevel="0" collapsed="false">
      <c r="A541" s="50" t="s">
        <v>820</v>
      </c>
      <c r="B541" s="51" t="n">
        <v>45773</v>
      </c>
      <c r="C541" s="50" t="s">
        <v>286</v>
      </c>
      <c r="D541" s="39" t="str">
        <f aca="false">INDEX(Master_Customer!$B$2:$B$126,MATCH(C541,Master_Customer!$A$2:$A$126,0))</f>
        <v>CAHAYA AUTO</v>
      </c>
      <c r="E541" s="50" t="s">
        <v>29</v>
      </c>
      <c r="F541" s="52" t="n">
        <f aca="false">SUMIFS(Data_Penjualan!$G$2:$G$5998,Data_Penjualan!$A$2:$A$5998,A541)</f>
        <v>6949100</v>
      </c>
      <c r="G541" s="39" t="n">
        <f aca="false">IF(E541="KANTOR",0,INDEX(Master_Customer!$C$2:$C$126,MATCH(C541,Master_Customer!$A$2:$A$126,0)))</f>
        <v>0</v>
      </c>
      <c r="H541" s="53" t="n">
        <f aca="false">B541+G541</f>
        <v>45773</v>
      </c>
      <c r="J541" s="39" t="str">
        <f aca="false">IF(G541=0,"Tunai",IF(I541="","Belum ditukar","Sudah ditukar"))</f>
        <v>Tunai</v>
      </c>
      <c r="K541" s="54" t="n">
        <v>6949100</v>
      </c>
      <c r="L541" s="51" t="n">
        <v>45774</v>
      </c>
      <c r="M541" s="52" t="n">
        <f aca="false">F541-K541</f>
        <v>0</v>
      </c>
      <c r="N541" s="39" t="str">
        <f aca="false">IF(M541&lt;=0,"Lunas",IF(K541&gt;0,"Sebagian","Belum Bayar"))</f>
        <v>Lunas</v>
      </c>
      <c r="O541" s="39" t="n">
        <f aca="false">IF(M541&gt;0,MAX(0,Catatan!$B$3-H541),0)</f>
        <v>0</v>
      </c>
      <c r="P541" s="39" t="str">
        <f aca="false">IF(M541&lt;=0,"Lunas",IF(Catatan!$B$3&lt;=H541,"Belum Jatuh Tempo",IF(O541&lt;=30,"1-30 hari",IF(O541&lt;=60,"31-60 hari",IF(O541&lt;=90,"61-90 hari","90+ hari")))))</f>
        <v>Lunas</v>
      </c>
      <c r="Q541" s="50"/>
      <c r="R541" s="39" t="str">
        <f aca="false">IF(M541&lt;=0,"",IF(O541&gt;60,"1-Tinggi",IF(O541&gt;30,"2-Sedang",IF(O541&gt;0,"3-Rendah","4-Pantau"))))</f>
        <v/>
      </c>
      <c r="S541" s="39" t="str">
        <f aca="false">IF(AND(M541&gt;0,O541&gt;0),O541+M541/1000000000000+ROW()/1000000000000000,"")</f>
        <v/>
      </c>
      <c r="T541" s="39" t="str">
        <f aca="false">IF(J541="Belum ditukar",ROW(),"")</f>
        <v/>
      </c>
    </row>
    <row r="542" customFormat="false" ht="15" hidden="false" customHeight="false" outlineLevel="0" collapsed="false">
      <c r="A542" s="50" t="s">
        <v>821</v>
      </c>
      <c r="B542" s="51" t="n">
        <v>45773</v>
      </c>
      <c r="C542" s="50" t="s">
        <v>232</v>
      </c>
      <c r="D542" s="39" t="str">
        <f aca="false">INDEX(Master_Customer!$B$2:$B$126,MATCH(C542,Master_Customer!$A$2:$A$126,0))</f>
        <v>ABADI LUBRICANT KARYA</v>
      </c>
      <c r="E542" s="50" t="s">
        <v>32</v>
      </c>
      <c r="F542" s="52" t="n">
        <f aca="false">SUMIFS(Data_Penjualan!$G$2:$G$5998,Data_Penjualan!$A$2:$A$5998,A542)</f>
        <v>11095900</v>
      </c>
      <c r="G542" s="39" t="n">
        <f aca="false">IF(E542="KANTOR",0,INDEX(Master_Customer!$C$2:$C$126,MATCH(C542,Master_Customer!$A$2:$A$126,0)))</f>
        <v>0</v>
      </c>
      <c r="H542" s="53" t="n">
        <f aca="false">B542+G542</f>
        <v>45773</v>
      </c>
      <c r="J542" s="39" t="str">
        <f aca="false">IF(G542=0,"Tunai",IF(I542="","Belum ditukar","Sudah ditukar"))</f>
        <v>Tunai</v>
      </c>
      <c r="K542" s="54" t="n">
        <v>11095900</v>
      </c>
      <c r="L542" s="51" t="n">
        <v>45774</v>
      </c>
      <c r="M542" s="52" t="n">
        <f aca="false">F542-K542</f>
        <v>0</v>
      </c>
      <c r="N542" s="39" t="str">
        <f aca="false">IF(M542&lt;=0,"Lunas",IF(K542&gt;0,"Sebagian","Belum Bayar"))</f>
        <v>Lunas</v>
      </c>
      <c r="O542" s="39" t="n">
        <f aca="false">IF(M542&gt;0,MAX(0,Catatan!$B$3-H542),0)</f>
        <v>0</v>
      </c>
      <c r="P542" s="39" t="str">
        <f aca="false">IF(M542&lt;=0,"Lunas",IF(Catatan!$B$3&lt;=H542,"Belum Jatuh Tempo",IF(O542&lt;=30,"1-30 hari",IF(O542&lt;=60,"31-60 hari",IF(O542&lt;=90,"61-90 hari","90+ hari")))))</f>
        <v>Lunas</v>
      </c>
      <c r="Q542" s="50"/>
      <c r="R542" s="39" t="str">
        <f aca="false">IF(M542&lt;=0,"",IF(O542&gt;60,"1-Tinggi",IF(O542&gt;30,"2-Sedang",IF(O542&gt;0,"3-Rendah","4-Pantau"))))</f>
        <v/>
      </c>
      <c r="S542" s="39" t="str">
        <f aca="false">IF(AND(M542&gt;0,O542&gt;0),O542+M542/1000000000000+ROW()/1000000000000000,"")</f>
        <v/>
      </c>
      <c r="T542" s="39" t="str">
        <f aca="false">IF(J542="Belum ditukar",ROW(),"")</f>
        <v/>
      </c>
    </row>
    <row r="543" customFormat="false" ht="15" hidden="false" customHeight="false" outlineLevel="0" collapsed="false">
      <c r="A543" s="50" t="s">
        <v>822</v>
      </c>
      <c r="B543" s="51" t="n">
        <v>45773</v>
      </c>
      <c r="C543" s="50" t="s">
        <v>278</v>
      </c>
      <c r="D543" s="39" t="str">
        <f aca="false">INDEX(Master_Customer!$B$2:$B$126,MATCH(C543,Master_Customer!$A$2:$A$126,0))</f>
        <v>SURYA MOTOR</v>
      </c>
      <c r="E543" s="50" t="s">
        <v>31</v>
      </c>
      <c r="F543" s="52" t="n">
        <f aca="false">SUMIFS(Data_Penjualan!$G$2:$G$5998,Data_Penjualan!$A$2:$A$5998,A543)</f>
        <v>2724100</v>
      </c>
      <c r="G543" s="39" t="n">
        <f aca="false">IF(E543="KANTOR",0,INDEX(Master_Customer!$C$2:$C$126,MATCH(C543,Master_Customer!$A$2:$A$126,0)))</f>
        <v>14</v>
      </c>
      <c r="H543" s="53" t="n">
        <f aca="false">B543+G543</f>
        <v>45787</v>
      </c>
      <c r="I543" s="51" t="n">
        <v>45778</v>
      </c>
      <c r="J543" s="39" t="str">
        <f aca="false">IF(G543=0,"Tunai",IF(I543="","Belum ditukar","Sudah ditukar"))</f>
        <v>Sudah ditukar</v>
      </c>
      <c r="K543" s="54" t="n">
        <v>2724100</v>
      </c>
      <c r="L543" s="51" t="n">
        <v>45789</v>
      </c>
      <c r="M543" s="52" t="n">
        <f aca="false">F543-K543</f>
        <v>0</v>
      </c>
      <c r="N543" s="39" t="str">
        <f aca="false">IF(M543&lt;=0,"Lunas",IF(K543&gt;0,"Sebagian","Belum Bayar"))</f>
        <v>Lunas</v>
      </c>
      <c r="O543" s="39" t="n">
        <f aca="false">IF(M543&gt;0,MAX(0,Catatan!$B$3-H543),0)</f>
        <v>0</v>
      </c>
      <c r="P543" s="39" t="str">
        <f aca="false">IF(M543&lt;=0,"Lunas",IF(Catatan!$B$3&lt;=H543,"Belum Jatuh Tempo",IF(O543&lt;=30,"1-30 hari",IF(O543&lt;=60,"31-60 hari",IF(O543&lt;=90,"61-90 hari","90+ hari")))))</f>
        <v>Lunas</v>
      </c>
      <c r="Q543" s="50"/>
      <c r="R543" s="39" t="str">
        <f aca="false">IF(M543&lt;=0,"",IF(O543&gt;60,"1-Tinggi",IF(O543&gt;30,"2-Sedang",IF(O543&gt;0,"3-Rendah","4-Pantau"))))</f>
        <v/>
      </c>
      <c r="S543" s="39" t="str">
        <f aca="false">IF(AND(M543&gt;0,O543&gt;0),O543+M543/1000000000000+ROW()/1000000000000000,"")</f>
        <v/>
      </c>
      <c r="T543" s="39" t="str">
        <f aca="false">IF(J543="Belum ditukar",ROW(),"")</f>
        <v/>
      </c>
    </row>
    <row r="544" customFormat="false" ht="15" hidden="false" customHeight="false" outlineLevel="0" collapsed="false">
      <c r="A544" s="50" t="s">
        <v>823</v>
      </c>
      <c r="B544" s="51" t="n">
        <v>45773</v>
      </c>
      <c r="C544" s="50" t="s">
        <v>566</v>
      </c>
      <c r="D544" s="39" t="str">
        <f aca="false">INDEX(Master_Customer!$B$2:$B$126,MATCH(C544,Master_Customer!$A$2:$A$126,0))</f>
        <v>UTAMA OLI SUMBER</v>
      </c>
      <c r="E544" s="50" t="s">
        <v>28</v>
      </c>
      <c r="F544" s="52" t="n">
        <f aca="false">SUMIFS(Data_Penjualan!$G$2:$G$5998,Data_Penjualan!$A$2:$A$5998,A544)</f>
        <v>8136600</v>
      </c>
      <c r="G544" s="39" t="n">
        <f aca="false">IF(E544="KANTOR",0,INDEX(Master_Customer!$C$2:$C$126,MATCH(C544,Master_Customer!$A$2:$A$126,0)))</f>
        <v>14</v>
      </c>
      <c r="H544" s="53" t="n">
        <f aca="false">B544+G544</f>
        <v>45787</v>
      </c>
      <c r="I544" s="51" t="n">
        <v>45776</v>
      </c>
      <c r="J544" s="39" t="str">
        <f aca="false">IF(G544=0,"Tunai",IF(I544="","Belum ditukar","Sudah ditukar"))</f>
        <v>Sudah ditukar</v>
      </c>
      <c r="K544" s="54" t="n">
        <v>8136600</v>
      </c>
      <c r="L544" s="51" t="n">
        <v>45802</v>
      </c>
      <c r="M544" s="52" t="n">
        <f aca="false">F544-K544</f>
        <v>0</v>
      </c>
      <c r="N544" s="39" t="str">
        <f aca="false">IF(M544&lt;=0,"Lunas",IF(K544&gt;0,"Sebagian","Belum Bayar"))</f>
        <v>Lunas</v>
      </c>
      <c r="O544" s="39" t="n">
        <f aca="false">IF(M544&gt;0,MAX(0,Catatan!$B$3-H544),0)</f>
        <v>0</v>
      </c>
      <c r="P544" s="39" t="str">
        <f aca="false">IF(M544&lt;=0,"Lunas",IF(Catatan!$B$3&lt;=H544,"Belum Jatuh Tempo",IF(O544&lt;=30,"1-30 hari",IF(O544&lt;=60,"31-60 hari",IF(O544&lt;=90,"61-90 hari","90+ hari")))))</f>
        <v>Lunas</v>
      </c>
      <c r="Q544" s="50"/>
      <c r="R544" s="39" t="str">
        <f aca="false">IF(M544&lt;=0,"",IF(O544&gt;60,"1-Tinggi",IF(O544&gt;30,"2-Sedang",IF(O544&gt;0,"3-Rendah","4-Pantau"))))</f>
        <v/>
      </c>
      <c r="S544" s="39" t="str">
        <f aca="false">IF(AND(M544&gt;0,O544&gt;0),O544+M544/1000000000000+ROW()/1000000000000000,"")</f>
        <v/>
      </c>
      <c r="T544" s="39" t="str">
        <f aca="false">IF(J544="Belum ditukar",ROW(),"")</f>
        <v/>
      </c>
    </row>
    <row r="545" customFormat="false" ht="15" hidden="false" customHeight="false" outlineLevel="0" collapsed="false">
      <c r="A545" s="50" t="s">
        <v>824</v>
      </c>
      <c r="B545" s="51" t="n">
        <v>45775</v>
      </c>
      <c r="C545" s="50" t="s">
        <v>825</v>
      </c>
      <c r="D545" s="39" t="str">
        <f aca="false">INDEX(Master_Customer!$B$2:$B$126,MATCH(C545,Master_Customer!$A$2:$A$126,0))</f>
        <v>MULIA BENGKEL UTAMA</v>
      </c>
      <c r="E545" s="50" t="s">
        <v>29</v>
      </c>
      <c r="F545" s="52" t="n">
        <f aca="false">SUMIFS(Data_Penjualan!$G$2:$G$5998,Data_Penjualan!$A$2:$A$5998,A545)</f>
        <v>4946600</v>
      </c>
      <c r="G545" s="39" t="n">
        <f aca="false">IF(E545="KANTOR",0,INDEX(Master_Customer!$C$2:$C$126,MATCH(C545,Master_Customer!$A$2:$A$126,0)))</f>
        <v>14</v>
      </c>
      <c r="H545" s="53" t="n">
        <f aca="false">B545+G545</f>
        <v>45789</v>
      </c>
      <c r="I545" s="51" t="n">
        <v>45776</v>
      </c>
      <c r="J545" s="39" t="str">
        <f aca="false">IF(G545=0,"Tunai",IF(I545="","Belum ditukar","Sudah ditukar"))</f>
        <v>Sudah ditukar</v>
      </c>
      <c r="K545" s="54" t="n">
        <v>4946600</v>
      </c>
      <c r="L545" s="51" t="n">
        <v>45883</v>
      </c>
      <c r="M545" s="52" t="n">
        <f aca="false">F545-K545</f>
        <v>0</v>
      </c>
      <c r="N545" s="39" t="str">
        <f aca="false">IF(M545&lt;=0,"Lunas",IF(K545&gt;0,"Sebagian","Belum Bayar"))</f>
        <v>Lunas</v>
      </c>
      <c r="O545" s="39" t="n">
        <f aca="false">IF(M545&gt;0,MAX(0,Catatan!$B$3-H545),0)</f>
        <v>0</v>
      </c>
      <c r="P545" s="39" t="str">
        <f aca="false">IF(M545&lt;=0,"Lunas",IF(Catatan!$B$3&lt;=H545,"Belum Jatuh Tempo",IF(O545&lt;=30,"1-30 hari",IF(O545&lt;=60,"31-60 hari",IF(O545&lt;=90,"61-90 hari","90+ hari")))))</f>
        <v>Lunas</v>
      </c>
      <c r="Q545" s="50"/>
      <c r="R545" s="39" t="str">
        <f aca="false">IF(M545&lt;=0,"",IF(O545&gt;60,"1-Tinggi",IF(O545&gt;30,"2-Sedang",IF(O545&gt;0,"3-Rendah","4-Pantau"))))</f>
        <v/>
      </c>
      <c r="S545" s="39" t="str">
        <f aca="false">IF(AND(M545&gt;0,O545&gt;0),O545+M545/1000000000000+ROW()/1000000000000000,"")</f>
        <v/>
      </c>
      <c r="T545" s="39" t="str">
        <f aca="false">IF(J545="Belum ditukar",ROW(),"")</f>
        <v/>
      </c>
    </row>
    <row r="546" customFormat="false" ht="15" hidden="false" customHeight="false" outlineLevel="0" collapsed="false">
      <c r="A546" s="50" t="s">
        <v>826</v>
      </c>
      <c r="B546" s="51" t="n">
        <v>45775</v>
      </c>
      <c r="C546" s="50" t="s">
        <v>293</v>
      </c>
      <c r="D546" s="39" t="str">
        <f aca="false">INDEX(Master_Customer!$B$2:$B$126,MATCH(C546,Master_Customer!$A$2:$A$126,0))</f>
        <v>SINAR LUBRICANT</v>
      </c>
      <c r="E546" s="50" t="s">
        <v>31</v>
      </c>
      <c r="F546" s="52" t="n">
        <f aca="false">SUMIFS(Data_Penjualan!$G$2:$G$5998,Data_Penjualan!$A$2:$A$5998,A546)</f>
        <v>16180500</v>
      </c>
      <c r="G546" s="39" t="n">
        <f aca="false">IF(E546="KANTOR",0,INDEX(Master_Customer!$C$2:$C$126,MATCH(C546,Master_Customer!$A$2:$A$126,0)))</f>
        <v>30</v>
      </c>
      <c r="H546" s="53" t="n">
        <f aca="false">B546+G546</f>
        <v>45805</v>
      </c>
      <c r="I546" s="51" t="n">
        <v>45777</v>
      </c>
      <c r="J546" s="39" t="str">
        <f aca="false">IF(G546=0,"Tunai",IF(I546="","Belum ditukar","Sudah ditukar"))</f>
        <v>Sudah ditukar</v>
      </c>
      <c r="K546" s="54" t="n">
        <v>16180500</v>
      </c>
      <c r="L546" s="51" t="n">
        <v>45810</v>
      </c>
      <c r="M546" s="52" t="n">
        <f aca="false">F546-K546</f>
        <v>0</v>
      </c>
      <c r="N546" s="39" t="str">
        <f aca="false">IF(M546&lt;=0,"Lunas",IF(K546&gt;0,"Sebagian","Belum Bayar"))</f>
        <v>Lunas</v>
      </c>
      <c r="O546" s="39" t="n">
        <f aca="false">IF(M546&gt;0,MAX(0,Catatan!$B$3-H546),0)</f>
        <v>0</v>
      </c>
      <c r="P546" s="39" t="str">
        <f aca="false">IF(M546&lt;=0,"Lunas",IF(Catatan!$B$3&lt;=H546,"Belum Jatuh Tempo",IF(O546&lt;=30,"1-30 hari",IF(O546&lt;=60,"31-60 hari",IF(O546&lt;=90,"61-90 hari","90+ hari")))))</f>
        <v>Lunas</v>
      </c>
      <c r="Q546" s="50"/>
      <c r="R546" s="39" t="str">
        <f aca="false">IF(M546&lt;=0,"",IF(O546&gt;60,"1-Tinggi",IF(O546&gt;30,"2-Sedang",IF(O546&gt;0,"3-Rendah","4-Pantau"))))</f>
        <v/>
      </c>
      <c r="S546" s="39" t="str">
        <f aca="false">IF(AND(M546&gt;0,O546&gt;0),O546+M546/1000000000000+ROW()/1000000000000000,"")</f>
        <v/>
      </c>
      <c r="T546" s="39" t="str">
        <f aca="false">IF(J546="Belum ditukar",ROW(),"")</f>
        <v/>
      </c>
    </row>
    <row r="547" customFormat="false" ht="15" hidden="false" customHeight="false" outlineLevel="0" collapsed="false">
      <c r="A547" s="50" t="s">
        <v>827</v>
      </c>
      <c r="B547" s="51" t="n">
        <v>45775</v>
      </c>
      <c r="C547" s="50" t="s">
        <v>205</v>
      </c>
      <c r="D547" s="39" t="str">
        <f aca="false">INDEX(Master_Customer!$B$2:$B$126,MATCH(C547,Master_Customer!$A$2:$A$126,0))</f>
        <v>BERKAH OLI</v>
      </c>
      <c r="E547" s="50" t="s">
        <v>28</v>
      </c>
      <c r="F547" s="52" t="n">
        <f aca="false">SUMIFS(Data_Penjualan!$G$2:$G$5998,Data_Penjualan!$A$2:$A$5998,A547)</f>
        <v>15123900</v>
      </c>
      <c r="G547" s="39" t="n">
        <f aca="false">IF(E547="KANTOR",0,INDEX(Master_Customer!$C$2:$C$126,MATCH(C547,Master_Customer!$A$2:$A$126,0)))</f>
        <v>0</v>
      </c>
      <c r="H547" s="53" t="n">
        <f aca="false">B547+G547</f>
        <v>45775</v>
      </c>
      <c r="J547" s="39" t="str">
        <f aca="false">IF(G547=0,"Tunai",IF(I547="","Belum ditukar","Sudah ditukar"))</f>
        <v>Tunai</v>
      </c>
      <c r="K547" s="54" t="n">
        <v>15123900</v>
      </c>
      <c r="L547" s="51" t="n">
        <v>45777</v>
      </c>
      <c r="M547" s="52" t="n">
        <f aca="false">F547-K547</f>
        <v>0</v>
      </c>
      <c r="N547" s="39" t="str">
        <f aca="false">IF(M547&lt;=0,"Lunas",IF(K547&gt;0,"Sebagian","Belum Bayar"))</f>
        <v>Lunas</v>
      </c>
      <c r="O547" s="39" t="n">
        <f aca="false">IF(M547&gt;0,MAX(0,Catatan!$B$3-H547),0)</f>
        <v>0</v>
      </c>
      <c r="P547" s="39" t="str">
        <f aca="false">IF(M547&lt;=0,"Lunas",IF(Catatan!$B$3&lt;=H547,"Belum Jatuh Tempo",IF(O547&lt;=30,"1-30 hari",IF(O547&lt;=60,"31-60 hari",IF(O547&lt;=90,"61-90 hari","90+ hari")))))</f>
        <v>Lunas</v>
      </c>
      <c r="Q547" s="50"/>
      <c r="R547" s="39" t="str">
        <f aca="false">IF(M547&lt;=0,"",IF(O547&gt;60,"1-Tinggi",IF(O547&gt;30,"2-Sedang",IF(O547&gt;0,"3-Rendah","4-Pantau"))))</f>
        <v/>
      </c>
      <c r="S547" s="39" t="str">
        <f aca="false">IF(AND(M547&gt;0,O547&gt;0),O547+M547/1000000000000+ROW()/1000000000000000,"")</f>
        <v/>
      </c>
      <c r="T547" s="39" t="str">
        <f aca="false">IF(J547="Belum ditukar",ROW(),"")</f>
        <v/>
      </c>
    </row>
    <row r="548" customFormat="false" ht="15" hidden="false" customHeight="false" outlineLevel="0" collapsed="false">
      <c r="A548" s="50" t="s">
        <v>828</v>
      </c>
      <c r="B548" s="51" t="n">
        <v>45775</v>
      </c>
      <c r="C548" s="50" t="s">
        <v>358</v>
      </c>
      <c r="D548" s="39" t="str">
        <f aca="false">INDEX(Master_Customer!$B$2:$B$126,MATCH(C548,Master_Customer!$A$2:$A$126,0))</f>
        <v>HARAPAN TEKNIK</v>
      </c>
      <c r="E548" s="50" t="s">
        <v>31</v>
      </c>
      <c r="F548" s="52" t="n">
        <f aca="false">SUMIFS(Data_Penjualan!$G$2:$G$5998,Data_Penjualan!$A$2:$A$5998,A548)</f>
        <v>13399500</v>
      </c>
      <c r="G548" s="39" t="n">
        <f aca="false">IF(E548="KANTOR",0,INDEX(Master_Customer!$C$2:$C$126,MATCH(C548,Master_Customer!$A$2:$A$126,0)))</f>
        <v>0</v>
      </c>
      <c r="H548" s="53" t="n">
        <f aca="false">B548+G548</f>
        <v>45775</v>
      </c>
      <c r="J548" s="39" t="str">
        <f aca="false">IF(G548=0,"Tunai",IF(I548="","Belum ditukar","Sudah ditukar"))</f>
        <v>Tunai</v>
      </c>
      <c r="K548" s="54" t="n">
        <v>13399500</v>
      </c>
      <c r="L548" s="51" t="n">
        <v>45775</v>
      </c>
      <c r="M548" s="52" t="n">
        <f aca="false">F548-K548</f>
        <v>0</v>
      </c>
      <c r="N548" s="39" t="str">
        <f aca="false">IF(M548&lt;=0,"Lunas",IF(K548&gt;0,"Sebagian","Belum Bayar"))</f>
        <v>Lunas</v>
      </c>
      <c r="O548" s="39" t="n">
        <f aca="false">IF(M548&gt;0,MAX(0,Catatan!$B$3-H548),0)</f>
        <v>0</v>
      </c>
      <c r="P548" s="39" t="str">
        <f aca="false">IF(M548&lt;=0,"Lunas",IF(Catatan!$B$3&lt;=H548,"Belum Jatuh Tempo",IF(O548&lt;=30,"1-30 hari",IF(O548&lt;=60,"31-60 hari",IF(O548&lt;=90,"61-90 hari","90+ hari")))))</f>
        <v>Lunas</v>
      </c>
      <c r="Q548" s="50"/>
      <c r="R548" s="39" t="str">
        <f aca="false">IF(M548&lt;=0,"",IF(O548&gt;60,"1-Tinggi",IF(O548&gt;30,"2-Sedang",IF(O548&gt;0,"3-Rendah","4-Pantau"))))</f>
        <v/>
      </c>
      <c r="S548" s="39" t="str">
        <f aca="false">IF(AND(M548&gt;0,O548&gt;0),O548+M548/1000000000000+ROW()/1000000000000000,"")</f>
        <v/>
      </c>
      <c r="T548" s="39" t="str">
        <f aca="false">IF(J548="Belum ditukar",ROW(),"")</f>
        <v/>
      </c>
    </row>
    <row r="549" customFormat="false" ht="15" hidden="false" customHeight="false" outlineLevel="0" collapsed="false">
      <c r="A549" s="50" t="s">
        <v>829</v>
      </c>
      <c r="B549" s="51" t="n">
        <v>45776</v>
      </c>
      <c r="C549" s="50" t="s">
        <v>247</v>
      </c>
      <c r="D549" s="39" t="str">
        <f aca="false">INDEX(Master_Customer!$B$2:$B$126,MATCH(C549,Master_Customer!$A$2:$A$126,0))</f>
        <v>BINTANG LUBRICANT SURYA</v>
      </c>
      <c r="E549" s="50" t="s">
        <v>28</v>
      </c>
      <c r="F549" s="52" t="n">
        <f aca="false">SUMIFS(Data_Penjualan!$G$2:$G$5998,Data_Penjualan!$A$2:$A$5998,A549)</f>
        <v>16154600</v>
      </c>
      <c r="G549" s="39" t="n">
        <f aca="false">IF(E549="KANTOR",0,INDEX(Master_Customer!$C$2:$C$126,MATCH(C549,Master_Customer!$A$2:$A$126,0)))</f>
        <v>30</v>
      </c>
      <c r="H549" s="53" t="n">
        <f aca="false">B549+G549</f>
        <v>45806</v>
      </c>
      <c r="I549" s="51" t="n">
        <v>45780</v>
      </c>
      <c r="J549" s="39" t="str">
        <f aca="false">IF(G549=0,"Tunai",IF(I549="","Belum ditukar","Sudah ditukar"))</f>
        <v>Sudah ditukar</v>
      </c>
      <c r="K549" s="54" t="n">
        <v>16154600</v>
      </c>
      <c r="L549" s="51" t="n">
        <v>45805</v>
      </c>
      <c r="M549" s="52" t="n">
        <f aca="false">F549-K549</f>
        <v>0</v>
      </c>
      <c r="N549" s="39" t="str">
        <f aca="false">IF(M549&lt;=0,"Lunas",IF(K549&gt;0,"Sebagian","Belum Bayar"))</f>
        <v>Lunas</v>
      </c>
      <c r="O549" s="39" t="n">
        <f aca="false">IF(M549&gt;0,MAX(0,Catatan!$B$3-H549),0)</f>
        <v>0</v>
      </c>
      <c r="P549" s="39" t="str">
        <f aca="false">IF(M549&lt;=0,"Lunas",IF(Catatan!$B$3&lt;=H549,"Belum Jatuh Tempo",IF(O549&lt;=30,"1-30 hari",IF(O549&lt;=60,"31-60 hari",IF(O549&lt;=90,"61-90 hari","90+ hari")))))</f>
        <v>Lunas</v>
      </c>
      <c r="Q549" s="50"/>
      <c r="R549" s="39" t="str">
        <f aca="false">IF(M549&lt;=0,"",IF(O549&gt;60,"1-Tinggi",IF(O549&gt;30,"2-Sedang",IF(O549&gt;0,"3-Rendah","4-Pantau"))))</f>
        <v/>
      </c>
      <c r="S549" s="39" t="str">
        <f aca="false">IF(AND(M549&gt;0,O549&gt;0),O549+M549/1000000000000+ROW()/1000000000000000,"")</f>
        <v/>
      </c>
      <c r="T549" s="39" t="str">
        <f aca="false">IF(J549="Belum ditukar",ROW(),"")</f>
        <v/>
      </c>
    </row>
    <row r="550" customFormat="false" ht="15" hidden="false" customHeight="false" outlineLevel="0" collapsed="false">
      <c r="A550" s="50" t="s">
        <v>830</v>
      </c>
      <c r="B550" s="51" t="n">
        <v>45776</v>
      </c>
      <c r="C550" s="50" t="s">
        <v>403</v>
      </c>
      <c r="D550" s="39" t="str">
        <f aca="false">INDEX(Master_Customer!$B$2:$B$126,MATCH(C550,Master_Customer!$A$2:$A$126,0))</f>
        <v>BINTANG TEKNIK HARAPAN</v>
      </c>
      <c r="E550" s="50" t="s">
        <v>31</v>
      </c>
      <c r="F550" s="52" t="n">
        <f aca="false">SUMIFS(Data_Penjualan!$G$2:$G$5998,Data_Penjualan!$A$2:$A$5998,A550)</f>
        <v>6561300</v>
      </c>
      <c r="G550" s="39" t="n">
        <f aca="false">IF(E550="KANTOR",0,INDEX(Master_Customer!$C$2:$C$126,MATCH(C550,Master_Customer!$A$2:$A$126,0)))</f>
        <v>14</v>
      </c>
      <c r="H550" s="53" t="n">
        <f aca="false">B550+G550</f>
        <v>45790</v>
      </c>
      <c r="I550" s="51" t="n">
        <v>45778</v>
      </c>
      <c r="J550" s="39" t="str">
        <f aca="false">IF(G550=0,"Tunai",IF(I550="","Belum ditukar","Sudah ditukar"))</f>
        <v>Sudah ditukar</v>
      </c>
      <c r="K550" s="54" t="n">
        <v>6561300</v>
      </c>
      <c r="L550" s="51" t="n">
        <v>45785</v>
      </c>
      <c r="M550" s="52" t="n">
        <f aca="false">F550-K550</f>
        <v>0</v>
      </c>
      <c r="N550" s="39" t="str">
        <f aca="false">IF(M550&lt;=0,"Lunas",IF(K550&gt;0,"Sebagian","Belum Bayar"))</f>
        <v>Lunas</v>
      </c>
      <c r="O550" s="39" t="n">
        <f aca="false">IF(M550&gt;0,MAX(0,Catatan!$B$3-H550),0)</f>
        <v>0</v>
      </c>
      <c r="P550" s="39" t="str">
        <f aca="false">IF(M550&lt;=0,"Lunas",IF(Catatan!$B$3&lt;=H550,"Belum Jatuh Tempo",IF(O550&lt;=30,"1-30 hari",IF(O550&lt;=60,"31-60 hari",IF(O550&lt;=90,"61-90 hari","90+ hari")))))</f>
        <v>Lunas</v>
      </c>
      <c r="Q550" s="50"/>
      <c r="R550" s="39" t="str">
        <f aca="false">IF(M550&lt;=0,"",IF(O550&gt;60,"1-Tinggi",IF(O550&gt;30,"2-Sedang",IF(O550&gt;0,"3-Rendah","4-Pantau"))))</f>
        <v/>
      </c>
      <c r="S550" s="39" t="str">
        <f aca="false">IF(AND(M550&gt;0,O550&gt;0),O550+M550/1000000000000+ROW()/1000000000000000,"")</f>
        <v/>
      </c>
      <c r="T550" s="39" t="str">
        <f aca="false">IF(J550="Belum ditukar",ROW(),"")</f>
        <v/>
      </c>
    </row>
    <row r="551" customFormat="false" ht="15" hidden="false" customHeight="false" outlineLevel="0" collapsed="false">
      <c r="A551" s="50" t="s">
        <v>831</v>
      </c>
      <c r="B551" s="51" t="n">
        <v>45776</v>
      </c>
      <c r="C551" s="50" t="s">
        <v>634</v>
      </c>
      <c r="D551" s="39" t="str">
        <f aca="false">INDEX(Master_Customer!$B$2:$B$126,MATCH(C551,Master_Customer!$A$2:$A$126,0))</f>
        <v>TIRTA GARAGE</v>
      </c>
      <c r="E551" s="50" t="s">
        <v>29</v>
      </c>
      <c r="F551" s="52" t="n">
        <f aca="false">SUMIFS(Data_Penjualan!$G$2:$G$5998,Data_Penjualan!$A$2:$A$5998,A551)</f>
        <v>11424500</v>
      </c>
      <c r="G551" s="39" t="n">
        <f aca="false">IF(E551="KANTOR",0,INDEX(Master_Customer!$C$2:$C$126,MATCH(C551,Master_Customer!$A$2:$A$126,0)))</f>
        <v>30</v>
      </c>
      <c r="H551" s="53" t="n">
        <f aca="false">B551+G551</f>
        <v>45806</v>
      </c>
      <c r="I551" s="51" t="n">
        <v>45778</v>
      </c>
      <c r="J551" s="39" t="str">
        <f aca="false">IF(G551=0,"Tunai",IF(I551="","Belum ditukar","Sudah ditukar"))</f>
        <v>Sudah ditukar</v>
      </c>
      <c r="K551" s="54" t="n">
        <v>11424500</v>
      </c>
      <c r="L551" s="51" t="n">
        <v>45802</v>
      </c>
      <c r="M551" s="52" t="n">
        <f aca="false">F551-K551</f>
        <v>0</v>
      </c>
      <c r="N551" s="39" t="str">
        <f aca="false">IF(M551&lt;=0,"Lunas",IF(K551&gt;0,"Sebagian","Belum Bayar"))</f>
        <v>Lunas</v>
      </c>
      <c r="O551" s="39" t="n">
        <f aca="false">IF(M551&gt;0,MAX(0,Catatan!$B$3-H551),0)</f>
        <v>0</v>
      </c>
      <c r="P551" s="39" t="str">
        <f aca="false">IF(M551&lt;=0,"Lunas",IF(Catatan!$B$3&lt;=H551,"Belum Jatuh Tempo",IF(O551&lt;=30,"1-30 hari",IF(O551&lt;=60,"31-60 hari",IF(O551&lt;=90,"61-90 hari","90+ hari")))))</f>
        <v>Lunas</v>
      </c>
      <c r="Q551" s="50"/>
      <c r="R551" s="39" t="str">
        <f aca="false">IF(M551&lt;=0,"",IF(O551&gt;60,"1-Tinggi",IF(O551&gt;30,"2-Sedang",IF(O551&gt;0,"3-Rendah","4-Pantau"))))</f>
        <v/>
      </c>
      <c r="S551" s="39" t="str">
        <f aca="false">IF(AND(M551&gt;0,O551&gt;0),O551+M551/1000000000000+ROW()/1000000000000000,"")</f>
        <v/>
      </c>
      <c r="T551" s="39" t="str">
        <f aca="false">IF(J551="Belum ditukar",ROW(),"")</f>
        <v/>
      </c>
    </row>
    <row r="552" customFormat="false" ht="15" hidden="false" customHeight="false" outlineLevel="0" collapsed="false">
      <c r="A552" s="50" t="s">
        <v>832</v>
      </c>
      <c r="B552" s="51" t="n">
        <v>45776</v>
      </c>
      <c r="C552" s="50" t="s">
        <v>358</v>
      </c>
      <c r="D552" s="39" t="str">
        <f aca="false">INDEX(Master_Customer!$B$2:$B$126,MATCH(C552,Master_Customer!$A$2:$A$126,0))</f>
        <v>HARAPAN TEKNIK</v>
      </c>
      <c r="E552" s="50" t="s">
        <v>31</v>
      </c>
      <c r="F552" s="52" t="n">
        <f aca="false">SUMIFS(Data_Penjualan!$G$2:$G$5998,Data_Penjualan!$A$2:$A$5998,A552)</f>
        <v>5602700</v>
      </c>
      <c r="G552" s="39" t="n">
        <f aca="false">IF(E552="KANTOR",0,INDEX(Master_Customer!$C$2:$C$126,MATCH(C552,Master_Customer!$A$2:$A$126,0)))</f>
        <v>0</v>
      </c>
      <c r="H552" s="53" t="n">
        <f aca="false">B552+G552</f>
        <v>45776</v>
      </c>
      <c r="J552" s="39" t="str">
        <f aca="false">IF(G552=0,"Tunai",IF(I552="","Belum ditukar","Sudah ditukar"))</f>
        <v>Tunai</v>
      </c>
      <c r="K552" s="54" t="n">
        <v>5602700</v>
      </c>
      <c r="L552" s="51" t="n">
        <v>45776</v>
      </c>
      <c r="M552" s="52" t="n">
        <f aca="false">F552-K552</f>
        <v>0</v>
      </c>
      <c r="N552" s="39" t="str">
        <f aca="false">IF(M552&lt;=0,"Lunas",IF(K552&gt;0,"Sebagian","Belum Bayar"))</f>
        <v>Lunas</v>
      </c>
      <c r="O552" s="39" t="n">
        <f aca="false">IF(M552&gt;0,MAX(0,Catatan!$B$3-H552),0)</f>
        <v>0</v>
      </c>
      <c r="P552" s="39" t="str">
        <f aca="false">IF(M552&lt;=0,"Lunas",IF(Catatan!$B$3&lt;=H552,"Belum Jatuh Tempo",IF(O552&lt;=30,"1-30 hari",IF(O552&lt;=60,"31-60 hari",IF(O552&lt;=90,"61-90 hari","90+ hari")))))</f>
        <v>Lunas</v>
      </c>
      <c r="Q552" s="50"/>
      <c r="R552" s="39" t="str">
        <f aca="false">IF(M552&lt;=0,"",IF(O552&gt;60,"1-Tinggi",IF(O552&gt;30,"2-Sedang",IF(O552&gt;0,"3-Rendah","4-Pantau"))))</f>
        <v/>
      </c>
      <c r="S552" s="39" t="str">
        <f aca="false">IF(AND(M552&gt;0,O552&gt;0),O552+M552/1000000000000+ROW()/1000000000000000,"")</f>
        <v/>
      </c>
      <c r="T552" s="39" t="str">
        <f aca="false">IF(J552="Belum ditukar",ROW(),"")</f>
        <v/>
      </c>
    </row>
    <row r="553" customFormat="false" ht="15" hidden="false" customHeight="false" outlineLevel="0" collapsed="false">
      <c r="A553" s="50" t="s">
        <v>833</v>
      </c>
      <c r="B553" s="51" t="n">
        <v>45776</v>
      </c>
      <c r="C553" s="50" t="s">
        <v>403</v>
      </c>
      <c r="D553" s="39" t="str">
        <f aca="false">INDEX(Master_Customer!$B$2:$B$126,MATCH(C553,Master_Customer!$A$2:$A$126,0))</f>
        <v>BINTANG TEKNIK HARAPAN</v>
      </c>
      <c r="E553" s="50" t="s">
        <v>31</v>
      </c>
      <c r="F553" s="52" t="n">
        <f aca="false">SUMIFS(Data_Penjualan!$G$2:$G$5998,Data_Penjualan!$A$2:$A$5998,A553)</f>
        <v>6148500</v>
      </c>
      <c r="G553" s="39" t="n">
        <f aca="false">IF(E553="KANTOR",0,INDEX(Master_Customer!$C$2:$C$126,MATCH(C553,Master_Customer!$A$2:$A$126,0)))</f>
        <v>14</v>
      </c>
      <c r="H553" s="53" t="n">
        <f aca="false">B553+G553</f>
        <v>45790</v>
      </c>
      <c r="I553" s="51" t="n">
        <v>45777</v>
      </c>
      <c r="J553" s="39" t="str">
        <f aca="false">IF(G553=0,"Tunai",IF(I553="","Belum ditukar","Sudah ditukar"))</f>
        <v>Sudah ditukar</v>
      </c>
      <c r="K553" s="54" t="n">
        <v>6148500</v>
      </c>
      <c r="L553" s="51" t="n">
        <v>45784</v>
      </c>
      <c r="M553" s="52" t="n">
        <f aca="false">F553-K553</f>
        <v>0</v>
      </c>
      <c r="N553" s="39" t="str">
        <f aca="false">IF(M553&lt;=0,"Lunas",IF(K553&gt;0,"Sebagian","Belum Bayar"))</f>
        <v>Lunas</v>
      </c>
      <c r="O553" s="39" t="n">
        <f aca="false">IF(M553&gt;0,MAX(0,Catatan!$B$3-H553),0)</f>
        <v>0</v>
      </c>
      <c r="P553" s="39" t="str">
        <f aca="false">IF(M553&lt;=0,"Lunas",IF(Catatan!$B$3&lt;=H553,"Belum Jatuh Tempo",IF(O553&lt;=30,"1-30 hari",IF(O553&lt;=60,"31-60 hari",IF(O553&lt;=90,"61-90 hari","90+ hari")))))</f>
        <v>Lunas</v>
      </c>
      <c r="Q553" s="50"/>
      <c r="R553" s="39" t="str">
        <f aca="false">IF(M553&lt;=0,"",IF(O553&gt;60,"1-Tinggi",IF(O553&gt;30,"2-Sedang",IF(O553&gt;0,"3-Rendah","4-Pantau"))))</f>
        <v/>
      </c>
      <c r="S553" s="39" t="str">
        <f aca="false">IF(AND(M553&gt;0,O553&gt;0),O553+M553/1000000000000+ROW()/1000000000000000,"")</f>
        <v/>
      </c>
      <c r="T553" s="39" t="str">
        <f aca="false">IF(J553="Belum ditukar",ROW(),"")</f>
        <v/>
      </c>
    </row>
    <row r="554" customFormat="false" ht="15" hidden="false" customHeight="false" outlineLevel="0" collapsed="false">
      <c r="A554" s="50" t="s">
        <v>834</v>
      </c>
      <c r="B554" s="51" t="n">
        <v>45777</v>
      </c>
      <c r="C554" s="50" t="s">
        <v>205</v>
      </c>
      <c r="D554" s="39" t="str">
        <f aca="false">INDEX(Master_Customer!$B$2:$B$126,MATCH(C554,Master_Customer!$A$2:$A$126,0))</f>
        <v>BERKAH OLI</v>
      </c>
      <c r="E554" s="50" t="s">
        <v>28</v>
      </c>
      <c r="F554" s="52" t="n">
        <f aca="false">SUMIFS(Data_Penjualan!$G$2:$G$5998,Data_Penjualan!$A$2:$A$5998,A554)</f>
        <v>5280600</v>
      </c>
      <c r="G554" s="39" t="n">
        <f aca="false">IF(E554="KANTOR",0,INDEX(Master_Customer!$C$2:$C$126,MATCH(C554,Master_Customer!$A$2:$A$126,0)))</f>
        <v>0</v>
      </c>
      <c r="H554" s="53" t="n">
        <f aca="false">B554+G554</f>
        <v>45777</v>
      </c>
      <c r="J554" s="39" t="str">
        <f aca="false">IF(G554=0,"Tunai",IF(I554="","Belum ditukar","Sudah ditukar"))</f>
        <v>Tunai</v>
      </c>
      <c r="K554" s="54" t="n">
        <v>5280600</v>
      </c>
      <c r="L554" s="51" t="n">
        <v>45779</v>
      </c>
      <c r="M554" s="52" t="n">
        <f aca="false">F554-K554</f>
        <v>0</v>
      </c>
      <c r="N554" s="39" t="str">
        <f aca="false">IF(M554&lt;=0,"Lunas",IF(K554&gt;0,"Sebagian","Belum Bayar"))</f>
        <v>Lunas</v>
      </c>
      <c r="O554" s="39" t="n">
        <f aca="false">IF(M554&gt;0,MAX(0,Catatan!$B$3-H554),0)</f>
        <v>0</v>
      </c>
      <c r="P554" s="39" t="str">
        <f aca="false">IF(M554&lt;=0,"Lunas",IF(Catatan!$B$3&lt;=H554,"Belum Jatuh Tempo",IF(O554&lt;=30,"1-30 hari",IF(O554&lt;=60,"31-60 hari",IF(O554&lt;=90,"61-90 hari","90+ hari")))))</f>
        <v>Lunas</v>
      </c>
      <c r="Q554" s="50"/>
      <c r="R554" s="39" t="str">
        <f aca="false">IF(M554&lt;=0,"",IF(O554&gt;60,"1-Tinggi",IF(O554&gt;30,"2-Sedang",IF(O554&gt;0,"3-Rendah","4-Pantau"))))</f>
        <v/>
      </c>
      <c r="S554" s="39" t="str">
        <f aca="false">IF(AND(M554&gt;0,O554&gt;0),O554+M554/1000000000000+ROW()/1000000000000000,"")</f>
        <v/>
      </c>
      <c r="T554" s="39" t="str">
        <f aca="false">IF(J554="Belum ditukar",ROW(),"")</f>
        <v/>
      </c>
    </row>
    <row r="555" customFormat="false" ht="15" hidden="false" customHeight="false" outlineLevel="0" collapsed="false">
      <c r="A555" s="50" t="s">
        <v>835</v>
      </c>
      <c r="B555" s="51" t="n">
        <v>45777</v>
      </c>
      <c r="C555" s="50" t="s">
        <v>358</v>
      </c>
      <c r="D555" s="39" t="str">
        <f aca="false">INDEX(Master_Customer!$B$2:$B$126,MATCH(C555,Master_Customer!$A$2:$A$126,0))</f>
        <v>HARAPAN TEKNIK</v>
      </c>
      <c r="E555" s="50" t="s">
        <v>31</v>
      </c>
      <c r="F555" s="52" t="n">
        <f aca="false">SUMIFS(Data_Penjualan!$G$2:$G$5998,Data_Penjualan!$A$2:$A$5998,A555)</f>
        <v>9012900</v>
      </c>
      <c r="G555" s="39" t="n">
        <f aca="false">IF(E555="KANTOR",0,INDEX(Master_Customer!$C$2:$C$126,MATCH(C555,Master_Customer!$A$2:$A$126,0)))</f>
        <v>0</v>
      </c>
      <c r="H555" s="53" t="n">
        <f aca="false">B555+G555</f>
        <v>45777</v>
      </c>
      <c r="J555" s="39" t="str">
        <f aca="false">IF(G555=0,"Tunai",IF(I555="","Belum ditukar","Sudah ditukar"))</f>
        <v>Tunai</v>
      </c>
      <c r="K555" s="54" t="n">
        <v>9012900</v>
      </c>
      <c r="L555" s="51" t="n">
        <v>45778</v>
      </c>
      <c r="M555" s="52" t="n">
        <f aca="false">F555-K555</f>
        <v>0</v>
      </c>
      <c r="N555" s="39" t="str">
        <f aca="false">IF(M555&lt;=0,"Lunas",IF(K555&gt;0,"Sebagian","Belum Bayar"))</f>
        <v>Lunas</v>
      </c>
      <c r="O555" s="39" t="n">
        <f aca="false">IF(M555&gt;0,MAX(0,Catatan!$B$3-H555),0)</f>
        <v>0</v>
      </c>
      <c r="P555" s="39" t="str">
        <f aca="false">IF(M555&lt;=0,"Lunas",IF(Catatan!$B$3&lt;=H555,"Belum Jatuh Tempo",IF(O555&lt;=30,"1-30 hari",IF(O555&lt;=60,"31-60 hari",IF(O555&lt;=90,"61-90 hari","90+ hari")))))</f>
        <v>Lunas</v>
      </c>
      <c r="Q555" s="50"/>
      <c r="R555" s="39" t="str">
        <f aca="false">IF(M555&lt;=0,"",IF(O555&gt;60,"1-Tinggi",IF(O555&gt;30,"2-Sedang",IF(O555&gt;0,"3-Rendah","4-Pantau"))))</f>
        <v/>
      </c>
      <c r="S555" s="39" t="str">
        <f aca="false">IF(AND(M555&gt;0,O555&gt;0),O555+M555/1000000000000+ROW()/1000000000000000,"")</f>
        <v/>
      </c>
      <c r="T555" s="39" t="str">
        <f aca="false">IF(J555="Belum ditukar",ROW(),"")</f>
        <v/>
      </c>
    </row>
    <row r="556" customFormat="false" ht="15" hidden="false" customHeight="false" outlineLevel="0" collapsed="false">
      <c r="A556" s="50" t="s">
        <v>836</v>
      </c>
      <c r="B556" s="51" t="n">
        <v>45777</v>
      </c>
      <c r="C556" s="50" t="s">
        <v>574</v>
      </c>
      <c r="D556" s="39" t="str">
        <f aca="false">INDEX(Master_Customer!$B$2:$B$126,MATCH(C556,Master_Customer!$A$2:$A$126,0))</f>
        <v>ABADI SERVICE ABADI</v>
      </c>
      <c r="E556" s="50" t="s">
        <v>29</v>
      </c>
      <c r="F556" s="52" t="n">
        <f aca="false">SUMIFS(Data_Penjualan!$G$2:$G$5998,Data_Penjualan!$A$2:$A$5998,A556)</f>
        <v>6488500</v>
      </c>
      <c r="G556" s="39" t="n">
        <f aca="false">IF(E556="KANTOR",0,INDEX(Master_Customer!$C$2:$C$126,MATCH(C556,Master_Customer!$A$2:$A$126,0)))</f>
        <v>30</v>
      </c>
      <c r="H556" s="53" t="n">
        <f aca="false">B556+G556</f>
        <v>45807</v>
      </c>
      <c r="I556" s="51" t="n">
        <v>45781</v>
      </c>
      <c r="J556" s="39" t="str">
        <f aca="false">IF(G556=0,"Tunai",IF(I556="","Belum ditukar","Sudah ditukar"))</f>
        <v>Sudah ditukar</v>
      </c>
      <c r="K556" s="54" t="n">
        <v>6488500</v>
      </c>
      <c r="L556" s="51" t="n">
        <v>45801</v>
      </c>
      <c r="M556" s="52" t="n">
        <f aca="false">F556-K556</f>
        <v>0</v>
      </c>
      <c r="N556" s="39" t="str">
        <f aca="false">IF(M556&lt;=0,"Lunas",IF(K556&gt;0,"Sebagian","Belum Bayar"))</f>
        <v>Lunas</v>
      </c>
      <c r="O556" s="39" t="n">
        <f aca="false">IF(M556&gt;0,MAX(0,Catatan!$B$3-H556),0)</f>
        <v>0</v>
      </c>
      <c r="P556" s="39" t="str">
        <f aca="false">IF(M556&lt;=0,"Lunas",IF(Catatan!$B$3&lt;=H556,"Belum Jatuh Tempo",IF(O556&lt;=30,"1-30 hari",IF(O556&lt;=60,"31-60 hari",IF(O556&lt;=90,"61-90 hari","90+ hari")))))</f>
        <v>Lunas</v>
      </c>
      <c r="Q556" s="50"/>
      <c r="R556" s="39" t="str">
        <f aca="false">IF(M556&lt;=0,"",IF(O556&gt;60,"1-Tinggi",IF(O556&gt;30,"2-Sedang",IF(O556&gt;0,"3-Rendah","4-Pantau"))))</f>
        <v/>
      </c>
      <c r="S556" s="39" t="str">
        <f aca="false">IF(AND(M556&gt;0,O556&gt;0),O556+M556/1000000000000+ROW()/1000000000000000,"")</f>
        <v/>
      </c>
      <c r="T556" s="39" t="str">
        <f aca="false">IF(J556="Belum ditukar",ROW(),"")</f>
        <v/>
      </c>
    </row>
    <row r="557" customFormat="false" ht="15" hidden="false" customHeight="false" outlineLevel="0" collapsed="false">
      <c r="A557" s="50" t="s">
        <v>837</v>
      </c>
      <c r="B557" s="51" t="n">
        <v>45777</v>
      </c>
      <c r="C557" s="50" t="s">
        <v>838</v>
      </c>
      <c r="D557" s="39" t="str">
        <f aca="false">INDEX(Master_Customer!$B$2:$B$126,MATCH(C557,Master_Customer!$A$2:$A$126,0))</f>
        <v>HARAPAN AUTO</v>
      </c>
      <c r="E557" s="50" t="s">
        <v>32</v>
      </c>
      <c r="F557" s="52" t="n">
        <f aca="false">SUMIFS(Data_Penjualan!$G$2:$G$5998,Data_Penjualan!$A$2:$A$5998,A557)</f>
        <v>11583300</v>
      </c>
      <c r="G557" s="39" t="n">
        <f aca="false">IF(E557="KANTOR",0,INDEX(Master_Customer!$C$2:$C$126,MATCH(C557,Master_Customer!$A$2:$A$126,0)))</f>
        <v>0</v>
      </c>
      <c r="H557" s="53" t="n">
        <f aca="false">B557+G557</f>
        <v>45777</v>
      </c>
      <c r="J557" s="39" t="str">
        <f aca="false">IF(G557=0,"Tunai",IF(I557="","Belum ditukar","Sudah ditukar"))</f>
        <v>Tunai</v>
      </c>
      <c r="K557" s="54" t="n">
        <v>11583300</v>
      </c>
      <c r="L557" s="51" t="n">
        <v>45777</v>
      </c>
      <c r="M557" s="52" t="n">
        <f aca="false">F557-K557</f>
        <v>0</v>
      </c>
      <c r="N557" s="39" t="str">
        <f aca="false">IF(M557&lt;=0,"Lunas",IF(K557&gt;0,"Sebagian","Belum Bayar"))</f>
        <v>Lunas</v>
      </c>
      <c r="O557" s="39" t="n">
        <f aca="false">IF(M557&gt;0,MAX(0,Catatan!$B$3-H557),0)</f>
        <v>0</v>
      </c>
      <c r="P557" s="39" t="str">
        <f aca="false">IF(M557&lt;=0,"Lunas",IF(Catatan!$B$3&lt;=H557,"Belum Jatuh Tempo",IF(O557&lt;=30,"1-30 hari",IF(O557&lt;=60,"31-60 hari",IF(O557&lt;=90,"61-90 hari","90+ hari")))))</f>
        <v>Lunas</v>
      </c>
      <c r="Q557" s="50"/>
      <c r="R557" s="39" t="str">
        <f aca="false">IF(M557&lt;=0,"",IF(O557&gt;60,"1-Tinggi",IF(O557&gt;30,"2-Sedang",IF(O557&gt;0,"3-Rendah","4-Pantau"))))</f>
        <v/>
      </c>
      <c r="S557" s="39" t="str">
        <f aca="false">IF(AND(M557&gt;0,O557&gt;0),O557+M557/1000000000000+ROW()/1000000000000000,"")</f>
        <v/>
      </c>
      <c r="T557" s="39" t="str">
        <f aca="false">IF(J557="Belum ditukar",ROW(),"")</f>
        <v/>
      </c>
    </row>
    <row r="558" customFormat="false" ht="15" hidden="false" customHeight="false" outlineLevel="0" collapsed="false">
      <c r="A558" s="50" t="s">
        <v>839</v>
      </c>
      <c r="B558" s="51" t="n">
        <v>45778</v>
      </c>
      <c r="C558" s="50" t="s">
        <v>195</v>
      </c>
      <c r="D558" s="39" t="str">
        <f aca="false">INDEX(Master_Customer!$B$2:$B$126,MATCH(C558,Master_Customer!$A$2:$A$126,0))</f>
        <v>KARYA LUBRICANT BINTANG</v>
      </c>
      <c r="E558" s="50" t="s">
        <v>30</v>
      </c>
      <c r="F558" s="52" t="n">
        <f aca="false">SUMIFS(Data_Penjualan!$G$2:$G$5998,Data_Penjualan!$A$2:$A$5998,A558)</f>
        <v>12571700</v>
      </c>
      <c r="G558" s="39" t="n">
        <f aca="false">IF(E558="KANTOR",0,INDEX(Master_Customer!$C$2:$C$126,MATCH(C558,Master_Customer!$A$2:$A$126,0)))</f>
        <v>14</v>
      </c>
      <c r="H558" s="53" t="n">
        <f aca="false">B558+G558</f>
        <v>45792</v>
      </c>
      <c r="I558" s="51" t="n">
        <v>45781</v>
      </c>
      <c r="J558" s="39" t="str">
        <f aca="false">IF(G558=0,"Tunai",IF(I558="","Belum ditukar","Sudah ditukar"))</f>
        <v>Sudah ditukar</v>
      </c>
      <c r="K558" s="54" t="n">
        <v>12571700</v>
      </c>
      <c r="L558" s="51" t="n">
        <v>45784</v>
      </c>
      <c r="M558" s="52" t="n">
        <f aca="false">F558-K558</f>
        <v>0</v>
      </c>
      <c r="N558" s="39" t="str">
        <f aca="false">IF(M558&lt;=0,"Lunas",IF(K558&gt;0,"Sebagian","Belum Bayar"))</f>
        <v>Lunas</v>
      </c>
      <c r="O558" s="39" t="n">
        <f aca="false">IF(M558&gt;0,MAX(0,Catatan!$B$3-H558),0)</f>
        <v>0</v>
      </c>
      <c r="P558" s="39" t="str">
        <f aca="false">IF(M558&lt;=0,"Lunas",IF(Catatan!$B$3&lt;=H558,"Belum Jatuh Tempo",IF(O558&lt;=30,"1-30 hari",IF(O558&lt;=60,"31-60 hari",IF(O558&lt;=90,"61-90 hari","90+ hari")))))</f>
        <v>Lunas</v>
      </c>
      <c r="Q558" s="50"/>
      <c r="R558" s="39" t="str">
        <f aca="false">IF(M558&lt;=0,"",IF(O558&gt;60,"1-Tinggi",IF(O558&gt;30,"2-Sedang",IF(O558&gt;0,"3-Rendah","4-Pantau"))))</f>
        <v/>
      </c>
      <c r="S558" s="39" t="str">
        <f aca="false">IF(AND(M558&gt;0,O558&gt;0),O558+M558/1000000000000+ROW()/1000000000000000,"")</f>
        <v/>
      </c>
      <c r="T558" s="39" t="str">
        <f aca="false">IF(J558="Belum ditukar",ROW(),"")</f>
        <v/>
      </c>
    </row>
    <row r="559" customFormat="false" ht="15" hidden="false" customHeight="false" outlineLevel="0" collapsed="false">
      <c r="A559" s="50" t="s">
        <v>840</v>
      </c>
      <c r="B559" s="51" t="n">
        <v>45778</v>
      </c>
      <c r="C559" s="50" t="s">
        <v>278</v>
      </c>
      <c r="D559" s="39" t="str">
        <f aca="false">INDEX(Master_Customer!$B$2:$B$126,MATCH(C559,Master_Customer!$A$2:$A$126,0))</f>
        <v>SURYA MOTOR</v>
      </c>
      <c r="E559" s="50" t="s">
        <v>32</v>
      </c>
      <c r="F559" s="52" t="n">
        <f aca="false">SUMIFS(Data_Penjualan!$G$2:$G$5998,Data_Penjualan!$A$2:$A$5998,A559)</f>
        <v>15567700</v>
      </c>
      <c r="G559" s="39" t="n">
        <f aca="false">IF(E559="KANTOR",0,INDEX(Master_Customer!$C$2:$C$126,MATCH(C559,Master_Customer!$A$2:$A$126,0)))</f>
        <v>0</v>
      </c>
      <c r="H559" s="53" t="n">
        <f aca="false">B559+G559</f>
        <v>45778</v>
      </c>
      <c r="J559" s="39" t="str">
        <f aca="false">IF(G559=0,"Tunai",IF(I559="","Belum ditukar","Sudah ditukar"))</f>
        <v>Tunai</v>
      </c>
      <c r="K559" s="54" t="n">
        <v>15567700</v>
      </c>
      <c r="L559" s="51" t="n">
        <v>45778</v>
      </c>
      <c r="M559" s="52" t="n">
        <f aca="false">F559-K559</f>
        <v>0</v>
      </c>
      <c r="N559" s="39" t="str">
        <f aca="false">IF(M559&lt;=0,"Lunas",IF(K559&gt;0,"Sebagian","Belum Bayar"))</f>
        <v>Lunas</v>
      </c>
      <c r="O559" s="39" t="n">
        <f aca="false">IF(M559&gt;0,MAX(0,Catatan!$B$3-H559),0)</f>
        <v>0</v>
      </c>
      <c r="P559" s="39" t="str">
        <f aca="false">IF(M559&lt;=0,"Lunas",IF(Catatan!$B$3&lt;=H559,"Belum Jatuh Tempo",IF(O559&lt;=30,"1-30 hari",IF(O559&lt;=60,"31-60 hari",IF(O559&lt;=90,"61-90 hari","90+ hari")))))</f>
        <v>Lunas</v>
      </c>
      <c r="Q559" s="50"/>
      <c r="R559" s="39" t="str">
        <f aca="false">IF(M559&lt;=0,"",IF(O559&gt;60,"1-Tinggi",IF(O559&gt;30,"2-Sedang",IF(O559&gt;0,"3-Rendah","4-Pantau"))))</f>
        <v/>
      </c>
      <c r="S559" s="39" t="str">
        <f aca="false">IF(AND(M559&gt;0,O559&gt;0),O559+M559/1000000000000+ROW()/1000000000000000,"")</f>
        <v/>
      </c>
      <c r="T559" s="39" t="str">
        <f aca="false">IF(J559="Belum ditukar",ROW(),"")</f>
        <v/>
      </c>
    </row>
    <row r="560" customFormat="false" ht="15" hidden="false" customHeight="false" outlineLevel="0" collapsed="false">
      <c r="A560" s="50" t="s">
        <v>841</v>
      </c>
      <c r="B560" s="51" t="n">
        <v>45778</v>
      </c>
      <c r="C560" s="50" t="s">
        <v>421</v>
      </c>
      <c r="D560" s="39" t="str">
        <f aca="false">INDEX(Master_Customer!$B$2:$B$126,MATCH(C560,Master_Customer!$A$2:$A$126,0))</f>
        <v>MITRA BENGKEL</v>
      </c>
      <c r="E560" s="50" t="s">
        <v>28</v>
      </c>
      <c r="F560" s="52" t="n">
        <f aca="false">SUMIFS(Data_Penjualan!$G$2:$G$5998,Data_Penjualan!$A$2:$A$5998,A560)</f>
        <v>18078000</v>
      </c>
      <c r="G560" s="39" t="n">
        <f aca="false">IF(E560="KANTOR",0,INDEX(Master_Customer!$C$2:$C$126,MATCH(C560,Master_Customer!$A$2:$A$126,0)))</f>
        <v>30</v>
      </c>
      <c r="H560" s="53" t="n">
        <f aca="false">B560+G560</f>
        <v>45808</v>
      </c>
      <c r="I560" s="51" t="n">
        <v>45779</v>
      </c>
      <c r="J560" s="39" t="str">
        <f aca="false">IF(G560=0,"Tunai",IF(I560="","Belum ditukar","Sudah ditukar"))</f>
        <v>Sudah ditukar</v>
      </c>
      <c r="K560" s="54" t="n">
        <v>18078000</v>
      </c>
      <c r="L560" s="51" t="n">
        <v>45860</v>
      </c>
      <c r="M560" s="52" t="n">
        <f aca="false">F560-K560</f>
        <v>0</v>
      </c>
      <c r="N560" s="39" t="str">
        <f aca="false">IF(M560&lt;=0,"Lunas",IF(K560&gt;0,"Sebagian","Belum Bayar"))</f>
        <v>Lunas</v>
      </c>
      <c r="O560" s="39" t="n">
        <f aca="false">IF(M560&gt;0,MAX(0,Catatan!$B$3-H560),0)</f>
        <v>0</v>
      </c>
      <c r="P560" s="39" t="str">
        <f aca="false">IF(M560&lt;=0,"Lunas",IF(Catatan!$B$3&lt;=H560,"Belum Jatuh Tempo",IF(O560&lt;=30,"1-30 hari",IF(O560&lt;=60,"31-60 hari",IF(O560&lt;=90,"61-90 hari","90+ hari")))))</f>
        <v>Lunas</v>
      </c>
      <c r="Q560" s="50"/>
      <c r="R560" s="39" t="str">
        <f aca="false">IF(M560&lt;=0,"",IF(O560&gt;60,"1-Tinggi",IF(O560&gt;30,"2-Sedang",IF(O560&gt;0,"3-Rendah","4-Pantau"))))</f>
        <v/>
      </c>
      <c r="S560" s="39" t="str">
        <f aca="false">IF(AND(M560&gt;0,O560&gt;0),O560+M560/1000000000000+ROW()/1000000000000000,"")</f>
        <v/>
      </c>
      <c r="T560" s="39" t="str">
        <f aca="false">IF(J560="Belum ditukar",ROW(),"")</f>
        <v/>
      </c>
    </row>
    <row r="561" customFormat="false" ht="15" hidden="false" customHeight="false" outlineLevel="0" collapsed="false">
      <c r="A561" s="50" t="s">
        <v>842</v>
      </c>
      <c r="B561" s="51" t="n">
        <v>45778</v>
      </c>
      <c r="C561" s="50" t="s">
        <v>354</v>
      </c>
      <c r="D561" s="39" t="str">
        <f aca="false">INDEX(Master_Customer!$B$2:$B$126,MATCH(C561,Master_Customer!$A$2:$A$126,0))</f>
        <v>SUMBER SERVICE MAKMUR</v>
      </c>
      <c r="E561" s="50" t="s">
        <v>31</v>
      </c>
      <c r="F561" s="52" t="n">
        <f aca="false">SUMIFS(Data_Penjualan!$G$2:$G$5998,Data_Penjualan!$A$2:$A$5998,A561)</f>
        <v>7495300</v>
      </c>
      <c r="G561" s="39" t="n">
        <f aca="false">IF(E561="KANTOR",0,INDEX(Master_Customer!$C$2:$C$126,MATCH(C561,Master_Customer!$A$2:$A$126,0)))</f>
        <v>30</v>
      </c>
      <c r="H561" s="53" t="n">
        <f aca="false">B561+G561</f>
        <v>45808</v>
      </c>
      <c r="I561" s="51" t="n">
        <v>45782</v>
      </c>
      <c r="J561" s="39" t="str">
        <f aca="false">IF(G561=0,"Tunai",IF(I561="","Belum ditukar","Sudah ditukar"))</f>
        <v>Sudah ditukar</v>
      </c>
      <c r="K561" s="54" t="n">
        <v>7495300</v>
      </c>
      <c r="L561" s="51" t="n">
        <v>45807</v>
      </c>
      <c r="M561" s="52" t="n">
        <f aca="false">F561-K561</f>
        <v>0</v>
      </c>
      <c r="N561" s="39" t="str">
        <f aca="false">IF(M561&lt;=0,"Lunas",IF(K561&gt;0,"Sebagian","Belum Bayar"))</f>
        <v>Lunas</v>
      </c>
      <c r="O561" s="39" t="n">
        <f aca="false">IF(M561&gt;0,MAX(0,Catatan!$B$3-H561),0)</f>
        <v>0</v>
      </c>
      <c r="P561" s="39" t="str">
        <f aca="false">IF(M561&lt;=0,"Lunas",IF(Catatan!$B$3&lt;=H561,"Belum Jatuh Tempo",IF(O561&lt;=30,"1-30 hari",IF(O561&lt;=60,"31-60 hari",IF(O561&lt;=90,"61-90 hari","90+ hari")))))</f>
        <v>Lunas</v>
      </c>
      <c r="Q561" s="50"/>
      <c r="R561" s="39" t="str">
        <f aca="false">IF(M561&lt;=0,"",IF(O561&gt;60,"1-Tinggi",IF(O561&gt;30,"2-Sedang",IF(O561&gt;0,"3-Rendah","4-Pantau"))))</f>
        <v/>
      </c>
      <c r="S561" s="39" t="str">
        <f aca="false">IF(AND(M561&gt;0,O561&gt;0),O561+M561/1000000000000+ROW()/1000000000000000,"")</f>
        <v/>
      </c>
      <c r="T561" s="39" t="str">
        <f aca="false">IF(J561="Belum ditukar",ROW(),"")</f>
        <v/>
      </c>
    </row>
    <row r="562" customFormat="false" ht="15" hidden="false" customHeight="false" outlineLevel="0" collapsed="false">
      <c r="A562" s="50" t="s">
        <v>843</v>
      </c>
      <c r="B562" s="51" t="n">
        <v>45778</v>
      </c>
      <c r="C562" s="50" t="s">
        <v>317</v>
      </c>
      <c r="D562" s="39" t="str">
        <f aca="false">INDEX(Master_Customer!$B$2:$B$126,MATCH(C562,Master_Customer!$A$2:$A$126,0))</f>
        <v>MAKMUR MOTOR JAYA</v>
      </c>
      <c r="E562" s="50" t="s">
        <v>29</v>
      </c>
      <c r="F562" s="52" t="n">
        <f aca="false">SUMIFS(Data_Penjualan!$G$2:$G$5998,Data_Penjualan!$A$2:$A$5998,A562)</f>
        <v>2494900</v>
      </c>
      <c r="G562" s="39" t="n">
        <f aca="false">IF(E562="KANTOR",0,INDEX(Master_Customer!$C$2:$C$126,MATCH(C562,Master_Customer!$A$2:$A$126,0)))</f>
        <v>0</v>
      </c>
      <c r="H562" s="53" t="n">
        <f aca="false">B562+G562</f>
        <v>45778</v>
      </c>
      <c r="J562" s="39" t="str">
        <f aca="false">IF(G562=0,"Tunai",IF(I562="","Belum ditukar","Sudah ditukar"))</f>
        <v>Tunai</v>
      </c>
      <c r="K562" s="54" t="n">
        <v>2494900</v>
      </c>
      <c r="L562" s="51" t="n">
        <v>45779</v>
      </c>
      <c r="M562" s="52" t="n">
        <f aca="false">F562-K562</f>
        <v>0</v>
      </c>
      <c r="N562" s="39" t="str">
        <f aca="false">IF(M562&lt;=0,"Lunas",IF(K562&gt;0,"Sebagian","Belum Bayar"))</f>
        <v>Lunas</v>
      </c>
      <c r="O562" s="39" t="n">
        <f aca="false">IF(M562&gt;0,MAX(0,Catatan!$B$3-H562),0)</f>
        <v>0</v>
      </c>
      <c r="P562" s="39" t="str">
        <f aca="false">IF(M562&lt;=0,"Lunas",IF(Catatan!$B$3&lt;=H562,"Belum Jatuh Tempo",IF(O562&lt;=30,"1-30 hari",IF(O562&lt;=60,"31-60 hari",IF(O562&lt;=90,"61-90 hari","90+ hari")))))</f>
        <v>Lunas</v>
      </c>
      <c r="Q562" s="50"/>
      <c r="R562" s="39" t="str">
        <f aca="false">IF(M562&lt;=0,"",IF(O562&gt;60,"1-Tinggi",IF(O562&gt;30,"2-Sedang",IF(O562&gt;0,"3-Rendah","4-Pantau"))))</f>
        <v/>
      </c>
      <c r="S562" s="39" t="str">
        <f aca="false">IF(AND(M562&gt;0,O562&gt;0),O562+M562/1000000000000+ROW()/1000000000000000,"")</f>
        <v/>
      </c>
      <c r="T562" s="39" t="str">
        <f aca="false">IF(J562="Belum ditukar",ROW(),"")</f>
        <v/>
      </c>
    </row>
    <row r="563" customFormat="false" ht="15" hidden="false" customHeight="false" outlineLevel="0" collapsed="false">
      <c r="A563" s="50" t="s">
        <v>844</v>
      </c>
      <c r="B563" s="51" t="n">
        <v>45778</v>
      </c>
      <c r="C563" s="50" t="s">
        <v>174</v>
      </c>
      <c r="D563" s="39" t="str">
        <f aca="false">INDEX(Master_Customer!$B$2:$B$126,MATCH(C563,Master_Customer!$A$2:$A$126,0))</f>
        <v>SUMBER TEKNIK SURYA</v>
      </c>
      <c r="E563" s="50" t="s">
        <v>31</v>
      </c>
      <c r="F563" s="52" t="n">
        <f aca="false">SUMIFS(Data_Penjualan!$G$2:$G$5998,Data_Penjualan!$A$2:$A$5998,A563)</f>
        <v>6667200</v>
      </c>
      <c r="G563" s="39" t="n">
        <f aca="false">IF(E563="KANTOR",0,INDEX(Master_Customer!$C$2:$C$126,MATCH(C563,Master_Customer!$A$2:$A$126,0)))</f>
        <v>30</v>
      </c>
      <c r="H563" s="53" t="n">
        <f aca="false">B563+G563</f>
        <v>45808</v>
      </c>
      <c r="I563" s="51" t="n">
        <v>45780</v>
      </c>
      <c r="J563" s="39" t="str">
        <f aca="false">IF(G563=0,"Tunai",IF(I563="","Belum ditukar","Sudah ditukar"))</f>
        <v>Sudah ditukar</v>
      </c>
      <c r="K563" s="54" t="n">
        <v>6667200</v>
      </c>
      <c r="L563" s="51" t="n">
        <v>45805</v>
      </c>
      <c r="M563" s="52" t="n">
        <f aca="false">F563-K563</f>
        <v>0</v>
      </c>
      <c r="N563" s="39" t="str">
        <f aca="false">IF(M563&lt;=0,"Lunas",IF(K563&gt;0,"Sebagian","Belum Bayar"))</f>
        <v>Lunas</v>
      </c>
      <c r="O563" s="39" t="n">
        <f aca="false">IF(M563&gt;0,MAX(0,Catatan!$B$3-H563),0)</f>
        <v>0</v>
      </c>
      <c r="P563" s="39" t="str">
        <f aca="false">IF(M563&lt;=0,"Lunas",IF(Catatan!$B$3&lt;=H563,"Belum Jatuh Tempo",IF(O563&lt;=30,"1-30 hari",IF(O563&lt;=60,"31-60 hari",IF(O563&lt;=90,"61-90 hari","90+ hari")))))</f>
        <v>Lunas</v>
      </c>
      <c r="Q563" s="50"/>
      <c r="R563" s="39" t="str">
        <f aca="false">IF(M563&lt;=0,"",IF(O563&gt;60,"1-Tinggi",IF(O563&gt;30,"2-Sedang",IF(O563&gt;0,"3-Rendah","4-Pantau"))))</f>
        <v/>
      </c>
      <c r="S563" s="39" t="str">
        <f aca="false">IF(AND(M563&gt;0,O563&gt;0),O563+M563/1000000000000+ROW()/1000000000000000,"")</f>
        <v/>
      </c>
      <c r="T563" s="39" t="str">
        <f aca="false">IF(J563="Belum ditukar",ROW(),"")</f>
        <v/>
      </c>
    </row>
    <row r="564" customFormat="false" ht="15" hidden="false" customHeight="false" outlineLevel="0" collapsed="false">
      <c r="A564" s="50" t="s">
        <v>845</v>
      </c>
      <c r="B564" s="51" t="n">
        <v>45779</v>
      </c>
      <c r="C564" s="50" t="s">
        <v>846</v>
      </c>
      <c r="D564" s="39" t="str">
        <f aca="false">INDEX(Master_Customer!$B$2:$B$126,MATCH(C564,Master_Customer!$A$2:$A$126,0))</f>
        <v>UTAMA MOBIL</v>
      </c>
      <c r="E564" s="50" t="s">
        <v>29</v>
      </c>
      <c r="F564" s="52" t="n">
        <f aca="false">SUMIFS(Data_Penjualan!$G$2:$G$5998,Data_Penjualan!$A$2:$A$5998,A564)</f>
        <v>22113700</v>
      </c>
      <c r="G564" s="39" t="n">
        <f aca="false">IF(E564="KANTOR",0,INDEX(Master_Customer!$C$2:$C$126,MATCH(C564,Master_Customer!$A$2:$A$126,0)))</f>
        <v>14</v>
      </c>
      <c r="H564" s="53" t="n">
        <f aca="false">B564+G564</f>
        <v>45793</v>
      </c>
      <c r="I564" s="51" t="n">
        <v>45781</v>
      </c>
      <c r="J564" s="39" t="str">
        <f aca="false">IF(G564=0,"Tunai",IF(I564="","Belum ditukar","Sudah ditukar"))</f>
        <v>Sudah ditukar</v>
      </c>
      <c r="K564" s="54" t="n">
        <v>22113700</v>
      </c>
      <c r="L564" s="51" t="n">
        <v>45803</v>
      </c>
      <c r="M564" s="52" t="n">
        <f aca="false">F564-K564</f>
        <v>0</v>
      </c>
      <c r="N564" s="39" t="str">
        <f aca="false">IF(M564&lt;=0,"Lunas",IF(K564&gt;0,"Sebagian","Belum Bayar"))</f>
        <v>Lunas</v>
      </c>
      <c r="O564" s="39" t="n">
        <f aca="false">IF(M564&gt;0,MAX(0,Catatan!$B$3-H564),0)</f>
        <v>0</v>
      </c>
      <c r="P564" s="39" t="str">
        <f aca="false">IF(M564&lt;=0,"Lunas",IF(Catatan!$B$3&lt;=H564,"Belum Jatuh Tempo",IF(O564&lt;=30,"1-30 hari",IF(O564&lt;=60,"31-60 hari",IF(O564&lt;=90,"61-90 hari","90+ hari")))))</f>
        <v>Lunas</v>
      </c>
      <c r="Q564" s="50"/>
      <c r="R564" s="39" t="str">
        <f aca="false">IF(M564&lt;=0,"",IF(O564&gt;60,"1-Tinggi",IF(O564&gt;30,"2-Sedang",IF(O564&gt;0,"3-Rendah","4-Pantau"))))</f>
        <v/>
      </c>
      <c r="S564" s="39" t="str">
        <f aca="false">IF(AND(M564&gt;0,O564&gt;0),O564+M564/1000000000000+ROW()/1000000000000000,"")</f>
        <v/>
      </c>
      <c r="T564" s="39" t="str">
        <f aca="false">IF(J564="Belum ditukar",ROW(),"")</f>
        <v/>
      </c>
    </row>
    <row r="565" customFormat="false" ht="15" hidden="false" customHeight="false" outlineLevel="0" collapsed="false">
      <c r="A565" s="50" t="s">
        <v>847</v>
      </c>
      <c r="B565" s="51" t="n">
        <v>45779</v>
      </c>
      <c r="C565" s="50" t="s">
        <v>419</v>
      </c>
      <c r="D565" s="39" t="str">
        <f aca="false">INDEX(Master_Customer!$B$2:$B$126,MATCH(C565,Master_Customer!$A$2:$A$126,0))</f>
        <v>UTAMA MOTOR</v>
      </c>
      <c r="E565" s="50" t="s">
        <v>30</v>
      </c>
      <c r="F565" s="52" t="n">
        <f aca="false">SUMIFS(Data_Penjualan!$G$2:$G$5998,Data_Penjualan!$A$2:$A$5998,A565)</f>
        <v>14614300</v>
      </c>
      <c r="G565" s="39" t="n">
        <f aca="false">IF(E565="KANTOR",0,INDEX(Master_Customer!$C$2:$C$126,MATCH(C565,Master_Customer!$A$2:$A$126,0)))</f>
        <v>14</v>
      </c>
      <c r="H565" s="53" t="n">
        <f aca="false">B565+G565</f>
        <v>45793</v>
      </c>
      <c r="I565" s="51" t="n">
        <v>45780</v>
      </c>
      <c r="J565" s="39" t="str">
        <f aca="false">IF(G565=0,"Tunai",IF(I565="","Belum ditukar","Sudah ditukar"))</f>
        <v>Sudah ditukar</v>
      </c>
      <c r="K565" s="54" t="n">
        <v>14614300</v>
      </c>
      <c r="L565" s="51" t="n">
        <v>45795</v>
      </c>
      <c r="M565" s="52" t="n">
        <f aca="false">F565-K565</f>
        <v>0</v>
      </c>
      <c r="N565" s="39" t="str">
        <f aca="false">IF(M565&lt;=0,"Lunas",IF(K565&gt;0,"Sebagian","Belum Bayar"))</f>
        <v>Lunas</v>
      </c>
      <c r="O565" s="39" t="n">
        <f aca="false">IF(M565&gt;0,MAX(0,Catatan!$B$3-H565),0)</f>
        <v>0</v>
      </c>
      <c r="P565" s="39" t="str">
        <f aca="false">IF(M565&lt;=0,"Lunas",IF(Catatan!$B$3&lt;=H565,"Belum Jatuh Tempo",IF(O565&lt;=30,"1-30 hari",IF(O565&lt;=60,"31-60 hari",IF(O565&lt;=90,"61-90 hari","90+ hari")))))</f>
        <v>Lunas</v>
      </c>
      <c r="Q565" s="50"/>
      <c r="R565" s="39" t="str">
        <f aca="false">IF(M565&lt;=0,"",IF(O565&gt;60,"1-Tinggi",IF(O565&gt;30,"2-Sedang",IF(O565&gt;0,"3-Rendah","4-Pantau"))))</f>
        <v/>
      </c>
      <c r="S565" s="39" t="str">
        <f aca="false">IF(AND(M565&gt;0,O565&gt;0),O565+M565/1000000000000+ROW()/1000000000000000,"")</f>
        <v/>
      </c>
      <c r="T565" s="39" t="str">
        <f aca="false">IF(J565="Belum ditukar",ROW(),"")</f>
        <v/>
      </c>
    </row>
    <row r="566" customFormat="false" ht="15" hidden="false" customHeight="false" outlineLevel="0" collapsed="false">
      <c r="A566" s="50" t="s">
        <v>848</v>
      </c>
      <c r="B566" s="51" t="n">
        <v>45779</v>
      </c>
      <c r="C566" s="50" t="s">
        <v>166</v>
      </c>
      <c r="D566" s="39" t="str">
        <f aca="false">INDEX(Master_Customer!$B$2:$B$126,MATCH(C566,Master_Customer!$A$2:$A$126,0))</f>
        <v>SENTOSA SERVICE</v>
      </c>
      <c r="E566" s="50" t="s">
        <v>30</v>
      </c>
      <c r="F566" s="52" t="n">
        <f aca="false">SUMIFS(Data_Penjualan!$G$2:$G$5998,Data_Penjualan!$A$2:$A$5998,A566)</f>
        <v>6959800</v>
      </c>
      <c r="G566" s="39" t="n">
        <f aca="false">IF(E566="KANTOR",0,INDEX(Master_Customer!$C$2:$C$126,MATCH(C566,Master_Customer!$A$2:$A$126,0)))</f>
        <v>0</v>
      </c>
      <c r="H566" s="53" t="n">
        <f aca="false">B566+G566</f>
        <v>45779</v>
      </c>
      <c r="J566" s="39" t="str">
        <f aca="false">IF(G566=0,"Tunai",IF(I566="","Belum ditukar","Sudah ditukar"))</f>
        <v>Tunai</v>
      </c>
      <c r="K566" s="54" t="n">
        <v>6959800</v>
      </c>
      <c r="L566" s="51" t="n">
        <v>45780</v>
      </c>
      <c r="M566" s="52" t="n">
        <f aca="false">F566-K566</f>
        <v>0</v>
      </c>
      <c r="N566" s="39" t="str">
        <f aca="false">IF(M566&lt;=0,"Lunas",IF(K566&gt;0,"Sebagian","Belum Bayar"))</f>
        <v>Lunas</v>
      </c>
      <c r="O566" s="39" t="n">
        <f aca="false">IF(M566&gt;0,MAX(0,Catatan!$B$3-H566),0)</f>
        <v>0</v>
      </c>
      <c r="P566" s="39" t="str">
        <f aca="false">IF(M566&lt;=0,"Lunas",IF(Catatan!$B$3&lt;=H566,"Belum Jatuh Tempo",IF(O566&lt;=30,"1-30 hari",IF(O566&lt;=60,"31-60 hari",IF(O566&lt;=90,"61-90 hari","90+ hari")))))</f>
        <v>Lunas</v>
      </c>
      <c r="Q566" s="50"/>
      <c r="R566" s="39" t="str">
        <f aca="false">IF(M566&lt;=0,"",IF(O566&gt;60,"1-Tinggi",IF(O566&gt;30,"2-Sedang",IF(O566&gt;0,"3-Rendah","4-Pantau"))))</f>
        <v/>
      </c>
      <c r="S566" s="39" t="str">
        <f aca="false">IF(AND(M566&gt;0,O566&gt;0),O566+M566/1000000000000+ROW()/1000000000000000,"")</f>
        <v/>
      </c>
      <c r="T566" s="39" t="str">
        <f aca="false">IF(J566="Belum ditukar",ROW(),"")</f>
        <v/>
      </c>
    </row>
    <row r="567" customFormat="false" ht="15" hidden="false" customHeight="false" outlineLevel="0" collapsed="false">
      <c r="A567" s="50" t="s">
        <v>849</v>
      </c>
      <c r="B567" s="51" t="n">
        <v>45779</v>
      </c>
      <c r="C567" s="50" t="s">
        <v>186</v>
      </c>
      <c r="D567" s="39" t="str">
        <f aca="false">INDEX(Master_Customer!$B$2:$B$126,MATCH(C567,Master_Customer!$A$2:$A$126,0))</f>
        <v>MULIA SPAREPART</v>
      </c>
      <c r="E567" s="50" t="s">
        <v>31</v>
      </c>
      <c r="F567" s="52" t="n">
        <f aca="false">SUMIFS(Data_Penjualan!$G$2:$G$5998,Data_Penjualan!$A$2:$A$5998,A567)</f>
        <v>18069600</v>
      </c>
      <c r="G567" s="39" t="n">
        <f aca="false">IF(E567="KANTOR",0,INDEX(Master_Customer!$C$2:$C$126,MATCH(C567,Master_Customer!$A$2:$A$126,0)))</f>
        <v>30</v>
      </c>
      <c r="H567" s="53" t="n">
        <f aca="false">B567+G567</f>
        <v>45809</v>
      </c>
      <c r="I567" s="51" t="n">
        <v>45782</v>
      </c>
      <c r="J567" s="39" t="str">
        <f aca="false">IF(G567=0,"Tunai",IF(I567="","Belum ditukar","Sudah ditukar"))</f>
        <v>Sudah ditukar</v>
      </c>
      <c r="K567" s="54" t="n">
        <v>18069600</v>
      </c>
      <c r="L567" s="51" t="n">
        <v>45810</v>
      </c>
      <c r="M567" s="52" t="n">
        <f aca="false">F567-K567</f>
        <v>0</v>
      </c>
      <c r="N567" s="39" t="str">
        <f aca="false">IF(M567&lt;=0,"Lunas",IF(K567&gt;0,"Sebagian","Belum Bayar"))</f>
        <v>Lunas</v>
      </c>
      <c r="O567" s="39" t="n">
        <f aca="false">IF(M567&gt;0,MAX(0,Catatan!$B$3-H567),0)</f>
        <v>0</v>
      </c>
      <c r="P567" s="39" t="str">
        <f aca="false">IF(M567&lt;=0,"Lunas",IF(Catatan!$B$3&lt;=H567,"Belum Jatuh Tempo",IF(O567&lt;=30,"1-30 hari",IF(O567&lt;=60,"31-60 hari",IF(O567&lt;=90,"61-90 hari","90+ hari")))))</f>
        <v>Lunas</v>
      </c>
      <c r="Q567" s="50"/>
      <c r="R567" s="39" t="str">
        <f aca="false">IF(M567&lt;=0,"",IF(O567&gt;60,"1-Tinggi",IF(O567&gt;30,"2-Sedang",IF(O567&gt;0,"3-Rendah","4-Pantau"))))</f>
        <v/>
      </c>
      <c r="S567" s="39" t="str">
        <f aca="false">IF(AND(M567&gt;0,O567&gt;0),O567+M567/1000000000000+ROW()/1000000000000000,"")</f>
        <v/>
      </c>
      <c r="T567" s="39" t="str">
        <f aca="false">IF(J567="Belum ditukar",ROW(),"")</f>
        <v/>
      </c>
    </row>
    <row r="568" customFormat="false" ht="15" hidden="false" customHeight="false" outlineLevel="0" collapsed="false">
      <c r="A568" s="50" t="s">
        <v>850</v>
      </c>
      <c r="B568" s="51" t="n">
        <v>45779</v>
      </c>
      <c r="C568" s="50" t="s">
        <v>382</v>
      </c>
      <c r="D568" s="39" t="str">
        <f aca="false">INDEX(Master_Customer!$B$2:$B$126,MATCH(C568,Master_Customer!$A$2:$A$126,0))</f>
        <v>BERKAH SPAREPART</v>
      </c>
      <c r="E568" s="50" t="s">
        <v>29</v>
      </c>
      <c r="F568" s="52" t="n">
        <f aca="false">SUMIFS(Data_Penjualan!$G$2:$G$5998,Data_Penjualan!$A$2:$A$5998,A568)</f>
        <v>2661700</v>
      </c>
      <c r="G568" s="39" t="n">
        <f aca="false">IF(E568="KANTOR",0,INDEX(Master_Customer!$C$2:$C$126,MATCH(C568,Master_Customer!$A$2:$A$126,0)))</f>
        <v>30</v>
      </c>
      <c r="H568" s="53" t="n">
        <f aca="false">B568+G568</f>
        <v>45809</v>
      </c>
      <c r="I568" s="51" t="n">
        <v>45781</v>
      </c>
      <c r="J568" s="39" t="str">
        <f aca="false">IF(G568=0,"Tunai",IF(I568="","Belum ditukar","Sudah ditukar"))</f>
        <v>Sudah ditukar</v>
      </c>
      <c r="K568" s="54" t="n">
        <v>2661700</v>
      </c>
      <c r="L568" s="51" t="n">
        <v>45825</v>
      </c>
      <c r="M568" s="52" t="n">
        <f aca="false">F568-K568</f>
        <v>0</v>
      </c>
      <c r="N568" s="39" t="str">
        <f aca="false">IF(M568&lt;=0,"Lunas",IF(K568&gt;0,"Sebagian","Belum Bayar"))</f>
        <v>Lunas</v>
      </c>
      <c r="O568" s="39" t="n">
        <f aca="false">IF(M568&gt;0,MAX(0,Catatan!$B$3-H568),0)</f>
        <v>0</v>
      </c>
      <c r="P568" s="39" t="str">
        <f aca="false">IF(M568&lt;=0,"Lunas",IF(Catatan!$B$3&lt;=H568,"Belum Jatuh Tempo",IF(O568&lt;=30,"1-30 hari",IF(O568&lt;=60,"31-60 hari",IF(O568&lt;=90,"61-90 hari","90+ hari")))))</f>
        <v>Lunas</v>
      </c>
      <c r="Q568" s="50"/>
      <c r="R568" s="39" t="str">
        <f aca="false">IF(M568&lt;=0,"",IF(O568&gt;60,"1-Tinggi",IF(O568&gt;30,"2-Sedang",IF(O568&gt;0,"3-Rendah","4-Pantau"))))</f>
        <v/>
      </c>
      <c r="S568" s="39" t="str">
        <f aca="false">IF(AND(M568&gt;0,O568&gt;0),O568+M568/1000000000000+ROW()/1000000000000000,"")</f>
        <v/>
      </c>
      <c r="T568" s="39" t="str">
        <f aca="false">IF(J568="Belum ditukar",ROW(),"")</f>
        <v/>
      </c>
    </row>
    <row r="569" customFormat="false" ht="15" hidden="false" customHeight="false" outlineLevel="0" collapsed="false">
      <c r="A569" s="50" t="s">
        <v>129</v>
      </c>
      <c r="B569" s="51" t="n">
        <v>45779</v>
      </c>
      <c r="C569" s="50" t="s">
        <v>174</v>
      </c>
      <c r="D569" s="39" t="str">
        <f aca="false">INDEX(Master_Customer!$B$2:$B$126,MATCH(C569,Master_Customer!$A$2:$A$126,0))</f>
        <v>SUMBER TEKNIK SURYA</v>
      </c>
      <c r="E569" s="50" t="s">
        <v>31</v>
      </c>
      <c r="F569" s="52" t="n">
        <f aca="false">SUMIFS(Data_Penjualan!$G$2:$G$5998,Data_Penjualan!$A$2:$A$5998,A569)</f>
        <v>25641000</v>
      </c>
      <c r="G569" s="39" t="n">
        <f aca="false">IF(E569="KANTOR",0,INDEX(Master_Customer!$C$2:$C$126,MATCH(C569,Master_Customer!$A$2:$A$126,0)))</f>
        <v>30</v>
      </c>
      <c r="H569" s="53" t="n">
        <f aca="false">B569+G569</f>
        <v>45809</v>
      </c>
      <c r="I569" s="51" t="n">
        <v>45781</v>
      </c>
      <c r="J569" s="39" t="str">
        <f aca="false">IF(G569=0,"Tunai",IF(I569="","Belum ditukar","Sudah ditukar"))</f>
        <v>Sudah ditukar</v>
      </c>
      <c r="K569" s="54" t="n">
        <v>9600000</v>
      </c>
      <c r="L569" s="51" t="n">
        <v>45807</v>
      </c>
      <c r="M569" s="52" t="n">
        <f aca="false">F569-K569</f>
        <v>16041000</v>
      </c>
      <c r="N569" s="39" t="str">
        <f aca="false">IF(M569&lt;=0,"Lunas",IF(K569&gt;0,"Sebagian","Belum Bayar"))</f>
        <v>Sebagian</v>
      </c>
      <c r="O569" s="39" t="n">
        <f aca="false">IF(M569&gt;0,MAX(0,Catatan!$B$3-H569),0)</f>
        <v>213</v>
      </c>
      <c r="P569" s="39" t="str">
        <f aca="false">IF(M569&lt;=0,"Lunas",IF(Catatan!$B$3&lt;=H569,"Belum Jatuh Tempo",IF(O569&lt;=30,"1-30 hari",IF(O569&lt;=60,"31-60 hari",IF(O569&lt;=90,"61-90 hari","90+ hari")))))</f>
        <v>90+ hari</v>
      </c>
      <c r="Q569" s="50" t="s">
        <v>712</v>
      </c>
      <c r="R569" s="39" t="str">
        <f aca="false">IF(M569&lt;=0,"",IF(O569&gt;60,"1-Tinggi",IF(O569&gt;30,"2-Sedang",IF(O569&gt;0,"3-Rendah","4-Pantau"))))</f>
        <v>1-Tinggi</v>
      </c>
      <c r="S569" s="39" t="n">
        <f aca="false">IF(AND(M569&gt;0,O569&gt;0),O569+M569/1000000000000+ROW()/1000000000000000,"")</f>
        <v>213.000016041001</v>
      </c>
      <c r="T569" s="39" t="str">
        <f aca="false">IF(J569="Belum ditukar",ROW(),"")</f>
        <v/>
      </c>
    </row>
    <row r="570" customFormat="false" ht="15" hidden="false" customHeight="false" outlineLevel="0" collapsed="false">
      <c r="A570" s="50" t="s">
        <v>851</v>
      </c>
      <c r="B570" s="51" t="n">
        <v>45780</v>
      </c>
      <c r="C570" s="50" t="s">
        <v>778</v>
      </c>
      <c r="D570" s="39" t="str">
        <f aca="false">INDEX(Master_Customer!$B$2:$B$126,MATCH(C570,Master_Customer!$A$2:$A$126,0))</f>
        <v>BINTANG SERVICE MULIA</v>
      </c>
      <c r="E570" s="50" t="s">
        <v>29</v>
      </c>
      <c r="F570" s="52" t="n">
        <f aca="false">SUMIFS(Data_Penjualan!$G$2:$G$5998,Data_Penjualan!$A$2:$A$5998,A570)</f>
        <v>9827500</v>
      </c>
      <c r="G570" s="39" t="n">
        <f aca="false">IF(E570="KANTOR",0,INDEX(Master_Customer!$C$2:$C$126,MATCH(C570,Master_Customer!$A$2:$A$126,0)))</f>
        <v>30</v>
      </c>
      <c r="H570" s="53" t="n">
        <f aca="false">B570+G570</f>
        <v>45810</v>
      </c>
      <c r="I570" s="51" t="n">
        <v>45781</v>
      </c>
      <c r="J570" s="39" t="str">
        <f aca="false">IF(G570=0,"Tunai",IF(I570="","Belum ditukar","Sudah ditukar"))</f>
        <v>Sudah ditukar</v>
      </c>
      <c r="K570" s="54" t="n">
        <v>9827500</v>
      </c>
      <c r="L570" s="51" t="n">
        <v>45806</v>
      </c>
      <c r="M570" s="52" t="n">
        <f aca="false">F570-K570</f>
        <v>0</v>
      </c>
      <c r="N570" s="39" t="str">
        <f aca="false">IF(M570&lt;=0,"Lunas",IF(K570&gt;0,"Sebagian","Belum Bayar"))</f>
        <v>Lunas</v>
      </c>
      <c r="O570" s="39" t="n">
        <f aca="false">IF(M570&gt;0,MAX(0,Catatan!$B$3-H570),0)</f>
        <v>0</v>
      </c>
      <c r="P570" s="39" t="str">
        <f aca="false">IF(M570&lt;=0,"Lunas",IF(Catatan!$B$3&lt;=H570,"Belum Jatuh Tempo",IF(O570&lt;=30,"1-30 hari",IF(O570&lt;=60,"31-60 hari",IF(O570&lt;=90,"61-90 hari","90+ hari")))))</f>
        <v>Lunas</v>
      </c>
      <c r="Q570" s="50"/>
      <c r="R570" s="39" t="str">
        <f aca="false">IF(M570&lt;=0,"",IF(O570&gt;60,"1-Tinggi",IF(O570&gt;30,"2-Sedang",IF(O570&gt;0,"3-Rendah","4-Pantau"))))</f>
        <v/>
      </c>
      <c r="S570" s="39" t="str">
        <f aca="false">IF(AND(M570&gt;0,O570&gt;0),O570+M570/1000000000000+ROW()/1000000000000000,"")</f>
        <v/>
      </c>
      <c r="T570" s="39" t="str">
        <f aca="false">IF(J570="Belum ditukar",ROW(),"")</f>
        <v/>
      </c>
    </row>
    <row r="571" customFormat="false" ht="15" hidden="false" customHeight="false" outlineLevel="0" collapsed="false">
      <c r="A571" s="50" t="s">
        <v>852</v>
      </c>
      <c r="B571" s="51" t="n">
        <v>45780</v>
      </c>
      <c r="C571" s="50" t="s">
        <v>179</v>
      </c>
      <c r="D571" s="39" t="str">
        <f aca="false">INDEX(Master_Customer!$B$2:$B$126,MATCH(C571,Master_Customer!$A$2:$A$126,0))</f>
        <v>BINTANG TEKNIK SURYA</v>
      </c>
      <c r="E571" s="50" t="s">
        <v>29</v>
      </c>
      <c r="F571" s="52" t="n">
        <f aca="false">SUMIFS(Data_Penjualan!$G$2:$G$5998,Data_Penjualan!$A$2:$A$5998,A571)</f>
        <v>8294900</v>
      </c>
      <c r="G571" s="39" t="n">
        <f aca="false">IF(E571="KANTOR",0,INDEX(Master_Customer!$C$2:$C$126,MATCH(C571,Master_Customer!$A$2:$A$126,0)))</f>
        <v>45</v>
      </c>
      <c r="H571" s="53" t="n">
        <f aca="false">B571+G571</f>
        <v>45825</v>
      </c>
      <c r="I571" s="51" t="n">
        <v>45783</v>
      </c>
      <c r="J571" s="39" t="str">
        <f aca="false">IF(G571=0,"Tunai",IF(I571="","Belum ditukar","Sudah ditukar"))</f>
        <v>Sudah ditukar</v>
      </c>
      <c r="K571" s="54" t="n">
        <v>8294900</v>
      </c>
      <c r="L571" s="51" t="n">
        <v>45827</v>
      </c>
      <c r="M571" s="52" t="n">
        <f aca="false">F571-K571</f>
        <v>0</v>
      </c>
      <c r="N571" s="39" t="str">
        <f aca="false">IF(M571&lt;=0,"Lunas",IF(K571&gt;0,"Sebagian","Belum Bayar"))</f>
        <v>Lunas</v>
      </c>
      <c r="O571" s="39" t="n">
        <f aca="false">IF(M571&gt;0,MAX(0,Catatan!$B$3-H571),0)</f>
        <v>0</v>
      </c>
      <c r="P571" s="39" t="str">
        <f aca="false">IF(M571&lt;=0,"Lunas",IF(Catatan!$B$3&lt;=H571,"Belum Jatuh Tempo",IF(O571&lt;=30,"1-30 hari",IF(O571&lt;=60,"31-60 hari",IF(O571&lt;=90,"61-90 hari","90+ hari")))))</f>
        <v>Lunas</v>
      </c>
      <c r="Q571" s="50"/>
      <c r="R571" s="39" t="str">
        <f aca="false">IF(M571&lt;=0,"",IF(O571&gt;60,"1-Tinggi",IF(O571&gt;30,"2-Sedang",IF(O571&gt;0,"3-Rendah","4-Pantau"))))</f>
        <v/>
      </c>
      <c r="S571" s="39" t="str">
        <f aca="false">IF(AND(M571&gt;0,O571&gt;0),O571+M571/1000000000000+ROW()/1000000000000000,"")</f>
        <v/>
      </c>
      <c r="T571" s="39" t="str">
        <f aca="false">IF(J571="Belum ditukar",ROW(),"")</f>
        <v/>
      </c>
    </row>
    <row r="572" customFormat="false" ht="15" hidden="false" customHeight="false" outlineLevel="0" collapsed="false">
      <c r="A572" s="50" t="s">
        <v>853</v>
      </c>
      <c r="B572" s="51" t="n">
        <v>45780</v>
      </c>
      <c r="C572" s="50" t="s">
        <v>168</v>
      </c>
      <c r="D572" s="39" t="str">
        <f aca="false">INDEX(Master_Customer!$B$2:$B$126,MATCH(C572,Master_Customer!$A$2:$A$126,0))</f>
        <v>JAYA LUBRICANT</v>
      </c>
      <c r="E572" s="50" t="s">
        <v>29</v>
      </c>
      <c r="F572" s="52" t="n">
        <f aca="false">SUMIFS(Data_Penjualan!$G$2:$G$5998,Data_Penjualan!$A$2:$A$5998,A572)</f>
        <v>4053500</v>
      </c>
      <c r="G572" s="39" t="n">
        <f aca="false">IF(E572="KANTOR",0,INDEX(Master_Customer!$C$2:$C$126,MATCH(C572,Master_Customer!$A$2:$A$126,0)))</f>
        <v>0</v>
      </c>
      <c r="H572" s="53" t="n">
        <f aca="false">B572+G572</f>
        <v>45780</v>
      </c>
      <c r="J572" s="39" t="str">
        <f aca="false">IF(G572=0,"Tunai",IF(I572="","Belum ditukar","Sudah ditukar"))</f>
        <v>Tunai</v>
      </c>
      <c r="K572" s="54" t="n">
        <v>4053500</v>
      </c>
      <c r="L572" s="51" t="n">
        <v>45781</v>
      </c>
      <c r="M572" s="52" t="n">
        <f aca="false">F572-K572</f>
        <v>0</v>
      </c>
      <c r="N572" s="39" t="str">
        <f aca="false">IF(M572&lt;=0,"Lunas",IF(K572&gt;0,"Sebagian","Belum Bayar"))</f>
        <v>Lunas</v>
      </c>
      <c r="O572" s="39" t="n">
        <f aca="false">IF(M572&gt;0,MAX(0,Catatan!$B$3-H572),0)</f>
        <v>0</v>
      </c>
      <c r="P572" s="39" t="str">
        <f aca="false">IF(M572&lt;=0,"Lunas",IF(Catatan!$B$3&lt;=H572,"Belum Jatuh Tempo",IF(O572&lt;=30,"1-30 hari",IF(O572&lt;=60,"31-60 hari",IF(O572&lt;=90,"61-90 hari","90+ hari")))))</f>
        <v>Lunas</v>
      </c>
      <c r="Q572" s="50"/>
      <c r="R572" s="39" t="str">
        <f aca="false">IF(M572&lt;=0,"",IF(O572&gt;60,"1-Tinggi",IF(O572&gt;30,"2-Sedang",IF(O572&gt;0,"3-Rendah","4-Pantau"))))</f>
        <v/>
      </c>
      <c r="S572" s="39" t="str">
        <f aca="false">IF(AND(M572&gt;0,O572&gt;0),O572+M572/1000000000000+ROW()/1000000000000000,"")</f>
        <v/>
      </c>
      <c r="T572" s="39" t="str">
        <f aca="false">IF(J572="Belum ditukar",ROW(),"")</f>
        <v/>
      </c>
    </row>
    <row r="573" customFormat="false" ht="15" hidden="false" customHeight="false" outlineLevel="0" collapsed="false">
      <c r="A573" s="50" t="s">
        <v>854</v>
      </c>
      <c r="B573" s="51" t="n">
        <v>45780</v>
      </c>
      <c r="C573" s="50" t="s">
        <v>211</v>
      </c>
      <c r="D573" s="39" t="str">
        <f aca="false">INDEX(Master_Customer!$B$2:$B$126,MATCH(C573,Master_Customer!$A$2:$A$126,0))</f>
        <v>PRIMA MOBIL</v>
      </c>
      <c r="E573" s="50" t="s">
        <v>30</v>
      </c>
      <c r="F573" s="52" t="n">
        <f aca="false">SUMIFS(Data_Penjualan!$G$2:$G$5998,Data_Penjualan!$A$2:$A$5998,A573)</f>
        <v>26203800</v>
      </c>
      <c r="G573" s="39" t="n">
        <f aca="false">IF(E573="KANTOR",0,INDEX(Master_Customer!$C$2:$C$126,MATCH(C573,Master_Customer!$A$2:$A$126,0)))</f>
        <v>0</v>
      </c>
      <c r="H573" s="53" t="n">
        <f aca="false">B573+G573</f>
        <v>45780</v>
      </c>
      <c r="J573" s="39" t="str">
        <f aca="false">IF(G573=0,"Tunai",IF(I573="","Belum ditukar","Sudah ditukar"))</f>
        <v>Tunai</v>
      </c>
      <c r="K573" s="54" t="n">
        <v>26203800</v>
      </c>
      <c r="L573" s="51" t="n">
        <v>45780</v>
      </c>
      <c r="M573" s="52" t="n">
        <f aca="false">F573-K573</f>
        <v>0</v>
      </c>
      <c r="N573" s="39" t="str">
        <f aca="false">IF(M573&lt;=0,"Lunas",IF(K573&gt;0,"Sebagian","Belum Bayar"))</f>
        <v>Lunas</v>
      </c>
      <c r="O573" s="39" t="n">
        <f aca="false">IF(M573&gt;0,MAX(0,Catatan!$B$3-H573),0)</f>
        <v>0</v>
      </c>
      <c r="P573" s="39" t="str">
        <f aca="false">IF(M573&lt;=0,"Lunas",IF(Catatan!$B$3&lt;=H573,"Belum Jatuh Tempo",IF(O573&lt;=30,"1-30 hari",IF(O573&lt;=60,"31-60 hari",IF(O573&lt;=90,"61-90 hari","90+ hari")))))</f>
        <v>Lunas</v>
      </c>
      <c r="Q573" s="50"/>
      <c r="R573" s="39" t="str">
        <f aca="false">IF(M573&lt;=0,"",IF(O573&gt;60,"1-Tinggi",IF(O573&gt;30,"2-Sedang",IF(O573&gt;0,"3-Rendah","4-Pantau"))))</f>
        <v/>
      </c>
      <c r="S573" s="39" t="str">
        <f aca="false">IF(AND(M573&gt;0,O573&gt;0),O573+M573/1000000000000+ROW()/1000000000000000,"")</f>
        <v/>
      </c>
      <c r="T573" s="39" t="str">
        <f aca="false">IF(J573="Belum ditukar",ROW(),"")</f>
        <v/>
      </c>
    </row>
    <row r="574" customFormat="false" ht="15" hidden="false" customHeight="false" outlineLevel="0" collapsed="false">
      <c r="A574" s="50" t="s">
        <v>855</v>
      </c>
      <c r="B574" s="51" t="n">
        <v>45782</v>
      </c>
      <c r="C574" s="50" t="s">
        <v>491</v>
      </c>
      <c r="D574" s="39" t="str">
        <f aca="false">INDEX(Master_Customer!$B$2:$B$126,MATCH(C574,Master_Customer!$A$2:$A$126,0))</f>
        <v>SINAR SERVICE</v>
      </c>
      <c r="E574" s="50" t="s">
        <v>31</v>
      </c>
      <c r="F574" s="52" t="n">
        <f aca="false">SUMIFS(Data_Penjualan!$G$2:$G$5998,Data_Penjualan!$A$2:$A$5998,A574)</f>
        <v>7987700</v>
      </c>
      <c r="G574" s="39" t="n">
        <f aca="false">IF(E574="KANTOR",0,INDEX(Master_Customer!$C$2:$C$126,MATCH(C574,Master_Customer!$A$2:$A$126,0)))</f>
        <v>0</v>
      </c>
      <c r="H574" s="53" t="n">
        <f aca="false">B574+G574</f>
        <v>45782</v>
      </c>
      <c r="J574" s="39" t="str">
        <f aca="false">IF(G574=0,"Tunai",IF(I574="","Belum ditukar","Sudah ditukar"))</f>
        <v>Tunai</v>
      </c>
      <c r="K574" s="54" t="n">
        <v>7987700</v>
      </c>
      <c r="L574" s="51" t="n">
        <v>45782</v>
      </c>
      <c r="M574" s="52" t="n">
        <f aca="false">F574-K574</f>
        <v>0</v>
      </c>
      <c r="N574" s="39" t="str">
        <f aca="false">IF(M574&lt;=0,"Lunas",IF(K574&gt;0,"Sebagian","Belum Bayar"))</f>
        <v>Lunas</v>
      </c>
      <c r="O574" s="39" t="n">
        <f aca="false">IF(M574&gt;0,MAX(0,Catatan!$B$3-H574),0)</f>
        <v>0</v>
      </c>
      <c r="P574" s="39" t="str">
        <f aca="false">IF(M574&lt;=0,"Lunas",IF(Catatan!$B$3&lt;=H574,"Belum Jatuh Tempo",IF(O574&lt;=30,"1-30 hari",IF(O574&lt;=60,"31-60 hari",IF(O574&lt;=90,"61-90 hari","90+ hari")))))</f>
        <v>Lunas</v>
      </c>
      <c r="Q574" s="50"/>
      <c r="R574" s="39" t="str">
        <f aca="false">IF(M574&lt;=0,"",IF(O574&gt;60,"1-Tinggi",IF(O574&gt;30,"2-Sedang",IF(O574&gt;0,"3-Rendah","4-Pantau"))))</f>
        <v/>
      </c>
      <c r="S574" s="39" t="str">
        <f aca="false">IF(AND(M574&gt;0,O574&gt;0),O574+M574/1000000000000+ROW()/1000000000000000,"")</f>
        <v/>
      </c>
      <c r="T574" s="39" t="str">
        <f aca="false">IF(J574="Belum ditukar",ROW(),"")</f>
        <v/>
      </c>
    </row>
    <row r="575" customFormat="false" ht="15" hidden="false" customHeight="false" outlineLevel="0" collapsed="false">
      <c r="A575" s="50" t="s">
        <v>856</v>
      </c>
      <c r="B575" s="51" t="n">
        <v>45782</v>
      </c>
      <c r="C575" s="50" t="s">
        <v>168</v>
      </c>
      <c r="D575" s="39" t="str">
        <f aca="false">INDEX(Master_Customer!$B$2:$B$126,MATCH(C575,Master_Customer!$A$2:$A$126,0))</f>
        <v>JAYA LUBRICANT</v>
      </c>
      <c r="E575" s="50" t="s">
        <v>29</v>
      </c>
      <c r="F575" s="52" t="n">
        <f aca="false">SUMIFS(Data_Penjualan!$G$2:$G$5998,Data_Penjualan!$A$2:$A$5998,A575)</f>
        <v>11559500</v>
      </c>
      <c r="G575" s="39" t="n">
        <f aca="false">IF(E575="KANTOR",0,INDEX(Master_Customer!$C$2:$C$126,MATCH(C575,Master_Customer!$A$2:$A$126,0)))</f>
        <v>0</v>
      </c>
      <c r="H575" s="53" t="n">
        <f aca="false">B575+G575</f>
        <v>45782</v>
      </c>
      <c r="J575" s="39" t="str">
        <f aca="false">IF(G575=0,"Tunai",IF(I575="","Belum ditukar","Sudah ditukar"))</f>
        <v>Tunai</v>
      </c>
      <c r="K575" s="54" t="n">
        <v>11559500</v>
      </c>
      <c r="L575" s="51" t="n">
        <v>45783</v>
      </c>
      <c r="M575" s="52" t="n">
        <f aca="false">F575-K575</f>
        <v>0</v>
      </c>
      <c r="N575" s="39" t="str">
        <f aca="false">IF(M575&lt;=0,"Lunas",IF(K575&gt;0,"Sebagian","Belum Bayar"))</f>
        <v>Lunas</v>
      </c>
      <c r="O575" s="39" t="n">
        <f aca="false">IF(M575&gt;0,MAX(0,Catatan!$B$3-H575),0)</f>
        <v>0</v>
      </c>
      <c r="P575" s="39" t="str">
        <f aca="false">IF(M575&lt;=0,"Lunas",IF(Catatan!$B$3&lt;=H575,"Belum Jatuh Tempo",IF(O575&lt;=30,"1-30 hari",IF(O575&lt;=60,"31-60 hari",IF(O575&lt;=90,"61-90 hari","90+ hari")))))</f>
        <v>Lunas</v>
      </c>
      <c r="Q575" s="50"/>
      <c r="R575" s="39" t="str">
        <f aca="false">IF(M575&lt;=0,"",IF(O575&gt;60,"1-Tinggi",IF(O575&gt;30,"2-Sedang",IF(O575&gt;0,"3-Rendah","4-Pantau"))))</f>
        <v/>
      </c>
      <c r="S575" s="39" t="str">
        <f aca="false">IF(AND(M575&gt;0,O575&gt;0),O575+M575/1000000000000+ROW()/1000000000000000,"")</f>
        <v/>
      </c>
      <c r="T575" s="39" t="str">
        <f aca="false">IF(J575="Belum ditukar",ROW(),"")</f>
        <v/>
      </c>
    </row>
    <row r="576" customFormat="false" ht="15" hidden="false" customHeight="false" outlineLevel="0" collapsed="false">
      <c r="A576" s="50" t="s">
        <v>857</v>
      </c>
      <c r="B576" s="51" t="n">
        <v>45783</v>
      </c>
      <c r="C576" s="50" t="s">
        <v>205</v>
      </c>
      <c r="D576" s="39" t="str">
        <f aca="false">INDEX(Master_Customer!$B$2:$B$126,MATCH(C576,Master_Customer!$A$2:$A$126,0))</f>
        <v>BERKAH OLI</v>
      </c>
      <c r="E576" s="50" t="s">
        <v>28</v>
      </c>
      <c r="F576" s="52" t="n">
        <f aca="false">SUMIFS(Data_Penjualan!$G$2:$G$5998,Data_Penjualan!$A$2:$A$5998,A576)</f>
        <v>7800200</v>
      </c>
      <c r="G576" s="39" t="n">
        <f aca="false">IF(E576="KANTOR",0,INDEX(Master_Customer!$C$2:$C$126,MATCH(C576,Master_Customer!$A$2:$A$126,0)))</f>
        <v>0</v>
      </c>
      <c r="H576" s="53" t="n">
        <f aca="false">B576+G576</f>
        <v>45783</v>
      </c>
      <c r="J576" s="39" t="str">
        <f aca="false">IF(G576=0,"Tunai",IF(I576="","Belum ditukar","Sudah ditukar"))</f>
        <v>Tunai</v>
      </c>
      <c r="K576" s="54" t="n">
        <v>7800200</v>
      </c>
      <c r="L576" s="51" t="n">
        <v>45784</v>
      </c>
      <c r="M576" s="52" t="n">
        <f aca="false">F576-K576</f>
        <v>0</v>
      </c>
      <c r="N576" s="39" t="str">
        <f aca="false">IF(M576&lt;=0,"Lunas",IF(K576&gt;0,"Sebagian","Belum Bayar"))</f>
        <v>Lunas</v>
      </c>
      <c r="O576" s="39" t="n">
        <f aca="false">IF(M576&gt;0,MAX(0,Catatan!$B$3-H576),0)</f>
        <v>0</v>
      </c>
      <c r="P576" s="39" t="str">
        <f aca="false">IF(M576&lt;=0,"Lunas",IF(Catatan!$B$3&lt;=H576,"Belum Jatuh Tempo",IF(O576&lt;=30,"1-30 hari",IF(O576&lt;=60,"31-60 hari",IF(O576&lt;=90,"61-90 hari","90+ hari")))))</f>
        <v>Lunas</v>
      </c>
      <c r="Q576" s="50"/>
      <c r="R576" s="39" t="str">
        <f aca="false">IF(M576&lt;=0,"",IF(O576&gt;60,"1-Tinggi",IF(O576&gt;30,"2-Sedang",IF(O576&gt;0,"3-Rendah","4-Pantau"))))</f>
        <v/>
      </c>
      <c r="S576" s="39" t="str">
        <f aca="false">IF(AND(M576&gt;0,O576&gt;0),O576+M576/1000000000000+ROW()/1000000000000000,"")</f>
        <v/>
      </c>
      <c r="T576" s="39" t="str">
        <f aca="false">IF(J576="Belum ditukar",ROW(),"")</f>
        <v/>
      </c>
    </row>
    <row r="577" customFormat="false" ht="15" hidden="false" customHeight="false" outlineLevel="0" collapsed="false">
      <c r="A577" s="50" t="s">
        <v>858</v>
      </c>
      <c r="B577" s="51" t="n">
        <v>45783</v>
      </c>
      <c r="C577" s="50" t="s">
        <v>197</v>
      </c>
      <c r="D577" s="39" t="str">
        <f aca="false">INDEX(Master_Customer!$B$2:$B$126,MATCH(C577,Master_Customer!$A$2:$A$126,0))</f>
        <v>UTAMA LUBRICANT HARAPAN</v>
      </c>
      <c r="E577" s="50" t="s">
        <v>32</v>
      </c>
      <c r="F577" s="52" t="n">
        <f aca="false">SUMIFS(Data_Penjualan!$G$2:$G$5998,Data_Penjualan!$A$2:$A$5998,A577)</f>
        <v>21468300</v>
      </c>
      <c r="G577" s="39" t="n">
        <f aca="false">IF(E577="KANTOR",0,INDEX(Master_Customer!$C$2:$C$126,MATCH(C577,Master_Customer!$A$2:$A$126,0)))</f>
        <v>0</v>
      </c>
      <c r="H577" s="53" t="n">
        <f aca="false">B577+G577</f>
        <v>45783</v>
      </c>
      <c r="J577" s="39" t="str">
        <f aca="false">IF(G577=0,"Tunai",IF(I577="","Belum ditukar","Sudah ditukar"))</f>
        <v>Tunai</v>
      </c>
      <c r="K577" s="54" t="n">
        <v>21468300</v>
      </c>
      <c r="L577" s="51" t="n">
        <v>45783</v>
      </c>
      <c r="M577" s="52" t="n">
        <f aca="false">F577-K577</f>
        <v>0</v>
      </c>
      <c r="N577" s="39" t="str">
        <f aca="false">IF(M577&lt;=0,"Lunas",IF(K577&gt;0,"Sebagian","Belum Bayar"))</f>
        <v>Lunas</v>
      </c>
      <c r="O577" s="39" t="n">
        <f aca="false">IF(M577&gt;0,MAX(0,Catatan!$B$3-H577),0)</f>
        <v>0</v>
      </c>
      <c r="P577" s="39" t="str">
        <f aca="false">IF(M577&lt;=0,"Lunas",IF(Catatan!$B$3&lt;=H577,"Belum Jatuh Tempo",IF(O577&lt;=30,"1-30 hari",IF(O577&lt;=60,"31-60 hari",IF(O577&lt;=90,"61-90 hari","90+ hari")))))</f>
        <v>Lunas</v>
      </c>
      <c r="Q577" s="50"/>
      <c r="R577" s="39" t="str">
        <f aca="false">IF(M577&lt;=0,"",IF(O577&gt;60,"1-Tinggi",IF(O577&gt;30,"2-Sedang",IF(O577&gt;0,"3-Rendah","4-Pantau"))))</f>
        <v/>
      </c>
      <c r="S577" s="39" t="str">
        <f aca="false">IF(AND(M577&gt;0,O577&gt;0),O577+M577/1000000000000+ROW()/1000000000000000,"")</f>
        <v/>
      </c>
      <c r="T577" s="39" t="str">
        <f aca="false">IF(J577="Belum ditukar",ROW(),"")</f>
        <v/>
      </c>
    </row>
    <row r="578" customFormat="false" ht="15" hidden="false" customHeight="false" outlineLevel="0" collapsed="false">
      <c r="A578" s="50" t="s">
        <v>859</v>
      </c>
      <c r="B578" s="51" t="n">
        <v>45783</v>
      </c>
      <c r="C578" s="50" t="s">
        <v>666</v>
      </c>
      <c r="D578" s="39" t="str">
        <f aca="false">INDEX(Master_Customer!$B$2:$B$126,MATCH(C578,Master_Customer!$A$2:$A$126,0))</f>
        <v>SUMBER MOTOR</v>
      </c>
      <c r="E578" s="50" t="s">
        <v>30</v>
      </c>
      <c r="F578" s="52" t="n">
        <f aca="false">SUMIFS(Data_Penjualan!$G$2:$G$5998,Data_Penjualan!$A$2:$A$5998,A578)</f>
        <v>25974700</v>
      </c>
      <c r="G578" s="39" t="n">
        <f aca="false">IF(E578="KANTOR",0,INDEX(Master_Customer!$C$2:$C$126,MATCH(C578,Master_Customer!$A$2:$A$126,0)))</f>
        <v>30</v>
      </c>
      <c r="H578" s="53" t="n">
        <f aca="false">B578+G578</f>
        <v>45813</v>
      </c>
      <c r="I578" s="51" t="n">
        <v>45788</v>
      </c>
      <c r="J578" s="39" t="str">
        <f aca="false">IF(G578=0,"Tunai",IF(I578="","Belum ditukar","Sudah ditukar"))</f>
        <v>Sudah ditukar</v>
      </c>
      <c r="K578" s="54" t="n">
        <v>25974700</v>
      </c>
      <c r="L578" s="51" t="n">
        <v>45811</v>
      </c>
      <c r="M578" s="52" t="n">
        <f aca="false">F578-K578</f>
        <v>0</v>
      </c>
      <c r="N578" s="39" t="str">
        <f aca="false">IF(M578&lt;=0,"Lunas",IF(K578&gt;0,"Sebagian","Belum Bayar"))</f>
        <v>Lunas</v>
      </c>
      <c r="O578" s="39" t="n">
        <f aca="false">IF(M578&gt;0,MAX(0,Catatan!$B$3-H578),0)</f>
        <v>0</v>
      </c>
      <c r="P578" s="39" t="str">
        <f aca="false">IF(M578&lt;=0,"Lunas",IF(Catatan!$B$3&lt;=H578,"Belum Jatuh Tempo",IF(O578&lt;=30,"1-30 hari",IF(O578&lt;=60,"31-60 hari",IF(O578&lt;=90,"61-90 hari","90+ hari")))))</f>
        <v>Lunas</v>
      </c>
      <c r="Q578" s="50"/>
      <c r="R578" s="39" t="str">
        <f aca="false">IF(M578&lt;=0,"",IF(O578&gt;60,"1-Tinggi",IF(O578&gt;30,"2-Sedang",IF(O578&gt;0,"3-Rendah","4-Pantau"))))</f>
        <v/>
      </c>
      <c r="S578" s="39" t="str">
        <f aca="false">IF(AND(M578&gt;0,O578&gt;0),O578+M578/1000000000000+ROW()/1000000000000000,"")</f>
        <v/>
      </c>
      <c r="T578" s="39" t="str">
        <f aca="false">IF(J578="Belum ditukar",ROW(),"")</f>
        <v/>
      </c>
    </row>
    <row r="579" customFormat="false" ht="15" hidden="false" customHeight="false" outlineLevel="0" collapsed="false">
      <c r="A579" s="50" t="s">
        <v>860</v>
      </c>
      <c r="B579" s="51" t="n">
        <v>45783</v>
      </c>
      <c r="C579" s="50" t="s">
        <v>286</v>
      </c>
      <c r="D579" s="39" t="str">
        <f aca="false">INDEX(Master_Customer!$B$2:$B$126,MATCH(C579,Master_Customer!$A$2:$A$126,0))</f>
        <v>CAHAYA AUTO</v>
      </c>
      <c r="E579" s="50" t="s">
        <v>29</v>
      </c>
      <c r="F579" s="52" t="n">
        <f aca="false">SUMIFS(Data_Penjualan!$G$2:$G$5998,Data_Penjualan!$A$2:$A$5998,A579)</f>
        <v>5592700</v>
      </c>
      <c r="G579" s="39" t="n">
        <f aca="false">IF(E579="KANTOR",0,INDEX(Master_Customer!$C$2:$C$126,MATCH(C579,Master_Customer!$A$2:$A$126,0)))</f>
        <v>0</v>
      </c>
      <c r="H579" s="53" t="n">
        <f aca="false">B579+G579</f>
        <v>45783</v>
      </c>
      <c r="J579" s="39" t="str">
        <f aca="false">IF(G579=0,"Tunai",IF(I579="","Belum ditukar","Sudah ditukar"))</f>
        <v>Tunai</v>
      </c>
      <c r="K579" s="54" t="n">
        <v>5592700</v>
      </c>
      <c r="L579" s="51" t="n">
        <v>45783</v>
      </c>
      <c r="M579" s="52" t="n">
        <f aca="false">F579-K579</f>
        <v>0</v>
      </c>
      <c r="N579" s="39" t="str">
        <f aca="false">IF(M579&lt;=0,"Lunas",IF(K579&gt;0,"Sebagian","Belum Bayar"))</f>
        <v>Lunas</v>
      </c>
      <c r="O579" s="39" t="n">
        <f aca="false">IF(M579&gt;0,MAX(0,Catatan!$B$3-H579),0)</f>
        <v>0</v>
      </c>
      <c r="P579" s="39" t="str">
        <f aca="false">IF(M579&lt;=0,"Lunas",IF(Catatan!$B$3&lt;=H579,"Belum Jatuh Tempo",IF(O579&lt;=30,"1-30 hari",IF(O579&lt;=60,"31-60 hari",IF(O579&lt;=90,"61-90 hari","90+ hari")))))</f>
        <v>Lunas</v>
      </c>
      <c r="Q579" s="50"/>
      <c r="R579" s="39" t="str">
        <f aca="false">IF(M579&lt;=0,"",IF(O579&gt;60,"1-Tinggi",IF(O579&gt;30,"2-Sedang",IF(O579&gt;0,"3-Rendah","4-Pantau"))))</f>
        <v/>
      </c>
      <c r="S579" s="39" t="str">
        <f aca="false">IF(AND(M579&gt;0,O579&gt;0),O579+M579/1000000000000+ROW()/1000000000000000,"")</f>
        <v/>
      </c>
      <c r="T579" s="39" t="str">
        <f aca="false">IF(J579="Belum ditukar",ROW(),"")</f>
        <v/>
      </c>
    </row>
    <row r="580" customFormat="false" ht="15" hidden="false" customHeight="false" outlineLevel="0" collapsed="false">
      <c r="A580" s="50" t="s">
        <v>861</v>
      </c>
      <c r="B580" s="51" t="n">
        <v>45784</v>
      </c>
      <c r="C580" s="50" t="s">
        <v>243</v>
      </c>
      <c r="D580" s="39" t="str">
        <f aca="false">INDEX(Master_Customer!$B$2:$B$126,MATCH(C580,Master_Customer!$A$2:$A$126,0))</f>
        <v>SENTOSA LUBRICANT MULIA</v>
      </c>
      <c r="E580" s="50" t="s">
        <v>30</v>
      </c>
      <c r="F580" s="52" t="n">
        <f aca="false">SUMIFS(Data_Penjualan!$G$2:$G$5998,Data_Penjualan!$A$2:$A$5998,A580)</f>
        <v>6722300</v>
      </c>
      <c r="G580" s="39" t="n">
        <f aca="false">IF(E580="KANTOR",0,INDEX(Master_Customer!$C$2:$C$126,MATCH(C580,Master_Customer!$A$2:$A$126,0)))</f>
        <v>45</v>
      </c>
      <c r="H580" s="53" t="n">
        <f aca="false">B580+G580</f>
        <v>45829</v>
      </c>
      <c r="I580" s="51" t="n">
        <v>45789</v>
      </c>
      <c r="J580" s="39" t="str">
        <f aca="false">IF(G580=0,"Tunai",IF(I580="","Belum ditukar","Sudah ditukar"))</f>
        <v>Sudah ditukar</v>
      </c>
      <c r="K580" s="54" t="n">
        <v>6722300</v>
      </c>
      <c r="L580" s="51" t="n">
        <v>45895</v>
      </c>
      <c r="M580" s="52" t="n">
        <f aca="false">F580-K580</f>
        <v>0</v>
      </c>
      <c r="N580" s="39" t="str">
        <f aca="false">IF(M580&lt;=0,"Lunas",IF(K580&gt;0,"Sebagian","Belum Bayar"))</f>
        <v>Lunas</v>
      </c>
      <c r="O580" s="39" t="n">
        <f aca="false">IF(M580&gt;0,MAX(0,Catatan!$B$3-H580),0)</f>
        <v>0</v>
      </c>
      <c r="P580" s="39" t="str">
        <f aca="false">IF(M580&lt;=0,"Lunas",IF(Catatan!$B$3&lt;=H580,"Belum Jatuh Tempo",IF(O580&lt;=30,"1-30 hari",IF(O580&lt;=60,"31-60 hari",IF(O580&lt;=90,"61-90 hari","90+ hari")))))</f>
        <v>Lunas</v>
      </c>
      <c r="Q580" s="50"/>
      <c r="R580" s="39" t="str">
        <f aca="false">IF(M580&lt;=0,"",IF(O580&gt;60,"1-Tinggi",IF(O580&gt;30,"2-Sedang",IF(O580&gt;0,"3-Rendah","4-Pantau"))))</f>
        <v/>
      </c>
      <c r="S580" s="39" t="str">
        <f aca="false">IF(AND(M580&gt;0,O580&gt;0),O580+M580/1000000000000+ROW()/1000000000000000,"")</f>
        <v/>
      </c>
      <c r="T580" s="39" t="str">
        <f aca="false">IF(J580="Belum ditukar",ROW(),"")</f>
        <v/>
      </c>
    </row>
    <row r="581" customFormat="false" ht="15" hidden="false" customHeight="false" outlineLevel="0" collapsed="false">
      <c r="A581" s="50" t="s">
        <v>862</v>
      </c>
      <c r="B581" s="51" t="n">
        <v>45784</v>
      </c>
      <c r="C581" s="50" t="s">
        <v>166</v>
      </c>
      <c r="D581" s="39" t="str">
        <f aca="false">INDEX(Master_Customer!$B$2:$B$126,MATCH(C581,Master_Customer!$A$2:$A$126,0))</f>
        <v>SENTOSA SERVICE</v>
      </c>
      <c r="E581" s="50" t="s">
        <v>32</v>
      </c>
      <c r="F581" s="52" t="n">
        <f aca="false">SUMIFS(Data_Penjualan!$G$2:$G$5998,Data_Penjualan!$A$2:$A$5998,A581)</f>
        <v>13058700</v>
      </c>
      <c r="G581" s="39" t="n">
        <f aca="false">IF(E581="KANTOR",0,INDEX(Master_Customer!$C$2:$C$126,MATCH(C581,Master_Customer!$A$2:$A$126,0)))</f>
        <v>0</v>
      </c>
      <c r="H581" s="53" t="n">
        <f aca="false">B581+G581</f>
        <v>45784</v>
      </c>
      <c r="J581" s="39" t="str">
        <f aca="false">IF(G581=0,"Tunai",IF(I581="","Belum ditukar","Sudah ditukar"))</f>
        <v>Tunai</v>
      </c>
      <c r="K581" s="54" t="n">
        <v>13058700</v>
      </c>
      <c r="L581" s="51" t="n">
        <v>45784</v>
      </c>
      <c r="M581" s="52" t="n">
        <f aca="false">F581-K581</f>
        <v>0</v>
      </c>
      <c r="N581" s="39" t="str">
        <f aca="false">IF(M581&lt;=0,"Lunas",IF(K581&gt;0,"Sebagian","Belum Bayar"))</f>
        <v>Lunas</v>
      </c>
      <c r="O581" s="39" t="n">
        <f aca="false">IF(M581&gt;0,MAX(0,Catatan!$B$3-H581),0)</f>
        <v>0</v>
      </c>
      <c r="P581" s="39" t="str">
        <f aca="false">IF(M581&lt;=0,"Lunas",IF(Catatan!$B$3&lt;=H581,"Belum Jatuh Tempo",IF(O581&lt;=30,"1-30 hari",IF(O581&lt;=60,"31-60 hari",IF(O581&lt;=90,"61-90 hari","90+ hari")))))</f>
        <v>Lunas</v>
      </c>
      <c r="Q581" s="50"/>
      <c r="R581" s="39" t="str">
        <f aca="false">IF(M581&lt;=0,"",IF(O581&gt;60,"1-Tinggi",IF(O581&gt;30,"2-Sedang",IF(O581&gt;0,"3-Rendah","4-Pantau"))))</f>
        <v/>
      </c>
      <c r="S581" s="39" t="str">
        <f aca="false">IF(AND(M581&gt;0,O581&gt;0),O581+M581/1000000000000+ROW()/1000000000000000,"")</f>
        <v/>
      </c>
      <c r="T581" s="39" t="str">
        <f aca="false">IF(J581="Belum ditukar",ROW(),"")</f>
        <v/>
      </c>
    </row>
    <row r="582" customFormat="false" ht="15" hidden="false" customHeight="false" outlineLevel="0" collapsed="false">
      <c r="A582" s="50" t="s">
        <v>863</v>
      </c>
      <c r="B582" s="51" t="n">
        <v>45784</v>
      </c>
      <c r="C582" s="50" t="s">
        <v>298</v>
      </c>
      <c r="D582" s="39" t="str">
        <f aca="false">INDEX(Master_Customer!$B$2:$B$126,MATCH(C582,Master_Customer!$A$2:$A$126,0))</f>
        <v>BERKAH MOBIL MAKMUR</v>
      </c>
      <c r="E582" s="50" t="s">
        <v>32</v>
      </c>
      <c r="F582" s="52" t="n">
        <f aca="false">SUMIFS(Data_Penjualan!$G$2:$G$5998,Data_Penjualan!$A$2:$A$5998,A582)</f>
        <v>6963100</v>
      </c>
      <c r="G582" s="39" t="n">
        <f aca="false">IF(E582="KANTOR",0,INDEX(Master_Customer!$C$2:$C$126,MATCH(C582,Master_Customer!$A$2:$A$126,0)))</f>
        <v>0</v>
      </c>
      <c r="H582" s="53" t="n">
        <f aca="false">B582+G582</f>
        <v>45784</v>
      </c>
      <c r="J582" s="39" t="str">
        <f aca="false">IF(G582=0,"Tunai",IF(I582="","Belum ditukar","Sudah ditukar"))</f>
        <v>Tunai</v>
      </c>
      <c r="K582" s="54" t="n">
        <v>6963100</v>
      </c>
      <c r="L582" s="51" t="n">
        <v>45786</v>
      </c>
      <c r="M582" s="52" t="n">
        <f aca="false">F582-K582</f>
        <v>0</v>
      </c>
      <c r="N582" s="39" t="str">
        <f aca="false">IF(M582&lt;=0,"Lunas",IF(K582&gt;0,"Sebagian","Belum Bayar"))</f>
        <v>Lunas</v>
      </c>
      <c r="O582" s="39" t="n">
        <f aca="false">IF(M582&gt;0,MAX(0,Catatan!$B$3-H582),0)</f>
        <v>0</v>
      </c>
      <c r="P582" s="39" t="str">
        <f aca="false">IF(M582&lt;=0,"Lunas",IF(Catatan!$B$3&lt;=H582,"Belum Jatuh Tempo",IF(O582&lt;=30,"1-30 hari",IF(O582&lt;=60,"31-60 hari",IF(O582&lt;=90,"61-90 hari","90+ hari")))))</f>
        <v>Lunas</v>
      </c>
      <c r="Q582" s="50"/>
      <c r="R582" s="39" t="str">
        <f aca="false">IF(M582&lt;=0,"",IF(O582&gt;60,"1-Tinggi",IF(O582&gt;30,"2-Sedang",IF(O582&gt;0,"3-Rendah","4-Pantau"))))</f>
        <v/>
      </c>
      <c r="S582" s="39" t="str">
        <f aca="false">IF(AND(M582&gt;0,O582&gt;0),O582+M582/1000000000000+ROW()/1000000000000000,"")</f>
        <v/>
      </c>
      <c r="T582" s="39" t="str">
        <f aca="false">IF(J582="Belum ditukar",ROW(),"")</f>
        <v/>
      </c>
    </row>
    <row r="583" customFormat="false" ht="15" hidden="false" customHeight="false" outlineLevel="0" collapsed="false">
      <c r="A583" s="50" t="s">
        <v>864</v>
      </c>
      <c r="B583" s="51" t="n">
        <v>45785</v>
      </c>
      <c r="C583" s="50" t="s">
        <v>289</v>
      </c>
      <c r="D583" s="39" t="str">
        <f aca="false">INDEX(Master_Customer!$B$2:$B$126,MATCH(C583,Master_Customer!$A$2:$A$126,0))</f>
        <v>SINAR GARAGE</v>
      </c>
      <c r="E583" s="50" t="s">
        <v>28</v>
      </c>
      <c r="F583" s="52" t="n">
        <f aca="false">SUMIFS(Data_Penjualan!$G$2:$G$5998,Data_Penjualan!$A$2:$A$5998,A583)</f>
        <v>6794600</v>
      </c>
      <c r="G583" s="39" t="n">
        <f aca="false">IF(E583="KANTOR",0,INDEX(Master_Customer!$C$2:$C$126,MATCH(C583,Master_Customer!$A$2:$A$126,0)))</f>
        <v>30</v>
      </c>
      <c r="H583" s="53" t="n">
        <f aca="false">B583+G583</f>
        <v>45815</v>
      </c>
      <c r="I583" s="51" t="n">
        <v>45786</v>
      </c>
      <c r="J583" s="39" t="str">
        <f aca="false">IF(G583=0,"Tunai",IF(I583="","Belum ditukar","Sudah ditukar"))</f>
        <v>Sudah ditukar</v>
      </c>
      <c r="K583" s="54" t="n">
        <v>6794600</v>
      </c>
      <c r="L583" s="51" t="n">
        <v>45818</v>
      </c>
      <c r="M583" s="52" t="n">
        <f aca="false">F583-K583</f>
        <v>0</v>
      </c>
      <c r="N583" s="39" t="str">
        <f aca="false">IF(M583&lt;=0,"Lunas",IF(K583&gt;0,"Sebagian","Belum Bayar"))</f>
        <v>Lunas</v>
      </c>
      <c r="O583" s="39" t="n">
        <f aca="false">IF(M583&gt;0,MAX(0,Catatan!$B$3-H583),0)</f>
        <v>0</v>
      </c>
      <c r="P583" s="39" t="str">
        <f aca="false">IF(M583&lt;=0,"Lunas",IF(Catatan!$B$3&lt;=H583,"Belum Jatuh Tempo",IF(O583&lt;=30,"1-30 hari",IF(O583&lt;=60,"31-60 hari",IF(O583&lt;=90,"61-90 hari","90+ hari")))))</f>
        <v>Lunas</v>
      </c>
      <c r="Q583" s="50"/>
      <c r="R583" s="39" t="str">
        <f aca="false">IF(M583&lt;=0,"",IF(O583&gt;60,"1-Tinggi",IF(O583&gt;30,"2-Sedang",IF(O583&gt;0,"3-Rendah","4-Pantau"))))</f>
        <v/>
      </c>
      <c r="S583" s="39" t="str">
        <f aca="false">IF(AND(M583&gt;0,O583&gt;0),O583+M583/1000000000000+ROW()/1000000000000000,"")</f>
        <v/>
      </c>
      <c r="T583" s="39" t="str">
        <f aca="false">IF(J583="Belum ditukar",ROW(),"")</f>
        <v/>
      </c>
    </row>
    <row r="584" customFormat="false" ht="15" hidden="false" customHeight="false" outlineLevel="0" collapsed="false">
      <c r="A584" s="50" t="s">
        <v>865</v>
      </c>
      <c r="B584" s="51" t="n">
        <v>45785</v>
      </c>
      <c r="C584" s="50" t="s">
        <v>369</v>
      </c>
      <c r="D584" s="39" t="str">
        <f aca="false">INDEX(Master_Customer!$B$2:$B$126,MATCH(C584,Master_Customer!$A$2:$A$126,0))</f>
        <v>UTAMA TEKNIK</v>
      </c>
      <c r="E584" s="50" t="s">
        <v>31</v>
      </c>
      <c r="F584" s="52" t="n">
        <f aca="false">SUMIFS(Data_Penjualan!$G$2:$G$5998,Data_Penjualan!$A$2:$A$5998,A584)</f>
        <v>10600300</v>
      </c>
      <c r="G584" s="39" t="n">
        <f aca="false">IF(E584="KANTOR",0,INDEX(Master_Customer!$C$2:$C$126,MATCH(C584,Master_Customer!$A$2:$A$126,0)))</f>
        <v>30</v>
      </c>
      <c r="H584" s="53" t="n">
        <f aca="false">B584+G584</f>
        <v>45815</v>
      </c>
      <c r="I584" s="51" t="n">
        <v>45788</v>
      </c>
      <c r="J584" s="39" t="str">
        <f aca="false">IF(G584=0,"Tunai",IF(I584="","Belum ditukar","Sudah ditukar"))</f>
        <v>Sudah ditukar</v>
      </c>
      <c r="K584" s="54" t="n">
        <v>10600300</v>
      </c>
      <c r="L584" s="51" t="n">
        <v>45833</v>
      </c>
      <c r="M584" s="52" t="n">
        <f aca="false">F584-K584</f>
        <v>0</v>
      </c>
      <c r="N584" s="39" t="str">
        <f aca="false">IF(M584&lt;=0,"Lunas",IF(K584&gt;0,"Sebagian","Belum Bayar"))</f>
        <v>Lunas</v>
      </c>
      <c r="O584" s="39" t="n">
        <f aca="false">IF(M584&gt;0,MAX(0,Catatan!$B$3-H584),0)</f>
        <v>0</v>
      </c>
      <c r="P584" s="39" t="str">
        <f aca="false">IF(M584&lt;=0,"Lunas",IF(Catatan!$B$3&lt;=H584,"Belum Jatuh Tempo",IF(O584&lt;=30,"1-30 hari",IF(O584&lt;=60,"31-60 hari",IF(O584&lt;=90,"61-90 hari","90+ hari")))))</f>
        <v>Lunas</v>
      </c>
      <c r="Q584" s="50"/>
      <c r="R584" s="39" t="str">
        <f aca="false">IF(M584&lt;=0,"",IF(O584&gt;60,"1-Tinggi",IF(O584&gt;30,"2-Sedang",IF(O584&gt;0,"3-Rendah","4-Pantau"))))</f>
        <v/>
      </c>
      <c r="S584" s="39" t="str">
        <f aca="false">IF(AND(M584&gt;0,O584&gt;0),O584+M584/1000000000000+ROW()/1000000000000000,"")</f>
        <v/>
      </c>
      <c r="T584" s="39" t="str">
        <f aca="false">IF(J584="Belum ditukar",ROW(),"")</f>
        <v/>
      </c>
    </row>
    <row r="585" customFormat="false" ht="15" hidden="false" customHeight="false" outlineLevel="0" collapsed="false">
      <c r="A585" s="50" t="s">
        <v>866</v>
      </c>
      <c r="B585" s="51" t="n">
        <v>45785</v>
      </c>
      <c r="C585" s="50" t="s">
        <v>188</v>
      </c>
      <c r="D585" s="39" t="str">
        <f aca="false">INDEX(Master_Customer!$B$2:$B$126,MATCH(C585,Master_Customer!$A$2:$A$126,0))</f>
        <v>MAJU GARAGE TIRTA</v>
      </c>
      <c r="E585" s="50" t="s">
        <v>32</v>
      </c>
      <c r="F585" s="52" t="n">
        <f aca="false">SUMIFS(Data_Penjualan!$G$2:$G$5998,Data_Penjualan!$A$2:$A$5998,A585)</f>
        <v>5757000</v>
      </c>
      <c r="G585" s="39" t="n">
        <f aca="false">IF(E585="KANTOR",0,INDEX(Master_Customer!$C$2:$C$126,MATCH(C585,Master_Customer!$A$2:$A$126,0)))</f>
        <v>0</v>
      </c>
      <c r="H585" s="53" t="n">
        <f aca="false">B585+G585</f>
        <v>45785</v>
      </c>
      <c r="J585" s="39" t="str">
        <f aca="false">IF(G585=0,"Tunai",IF(I585="","Belum ditukar","Sudah ditukar"))</f>
        <v>Tunai</v>
      </c>
      <c r="K585" s="54" t="n">
        <v>5757000</v>
      </c>
      <c r="L585" s="51" t="n">
        <v>45785</v>
      </c>
      <c r="M585" s="52" t="n">
        <f aca="false">F585-K585</f>
        <v>0</v>
      </c>
      <c r="N585" s="39" t="str">
        <f aca="false">IF(M585&lt;=0,"Lunas",IF(K585&gt;0,"Sebagian","Belum Bayar"))</f>
        <v>Lunas</v>
      </c>
      <c r="O585" s="39" t="n">
        <f aca="false">IF(M585&gt;0,MAX(0,Catatan!$B$3-H585),0)</f>
        <v>0</v>
      </c>
      <c r="P585" s="39" t="str">
        <f aca="false">IF(M585&lt;=0,"Lunas",IF(Catatan!$B$3&lt;=H585,"Belum Jatuh Tempo",IF(O585&lt;=30,"1-30 hari",IF(O585&lt;=60,"31-60 hari",IF(O585&lt;=90,"61-90 hari","90+ hari")))))</f>
        <v>Lunas</v>
      </c>
      <c r="Q585" s="50"/>
      <c r="R585" s="39" t="str">
        <f aca="false">IF(M585&lt;=0,"",IF(O585&gt;60,"1-Tinggi",IF(O585&gt;30,"2-Sedang",IF(O585&gt;0,"3-Rendah","4-Pantau"))))</f>
        <v/>
      </c>
      <c r="S585" s="39" t="str">
        <f aca="false">IF(AND(M585&gt;0,O585&gt;0),O585+M585/1000000000000+ROW()/1000000000000000,"")</f>
        <v/>
      </c>
      <c r="T585" s="39" t="str">
        <f aca="false">IF(J585="Belum ditukar",ROW(),"")</f>
        <v/>
      </c>
    </row>
    <row r="586" customFormat="false" ht="15" hidden="false" customHeight="false" outlineLevel="0" collapsed="false">
      <c r="A586" s="50" t="s">
        <v>867</v>
      </c>
      <c r="B586" s="51" t="n">
        <v>45785</v>
      </c>
      <c r="C586" s="50" t="s">
        <v>527</v>
      </c>
      <c r="D586" s="39" t="str">
        <f aca="false">INDEX(Master_Customer!$B$2:$B$126,MATCH(C586,Master_Customer!$A$2:$A$126,0))</f>
        <v>BINTANG SPAREPART PRIMA</v>
      </c>
      <c r="E586" s="50" t="s">
        <v>30</v>
      </c>
      <c r="F586" s="52" t="n">
        <f aca="false">SUMIFS(Data_Penjualan!$G$2:$G$5998,Data_Penjualan!$A$2:$A$5998,A586)</f>
        <v>8919500</v>
      </c>
      <c r="G586" s="39" t="n">
        <f aca="false">IF(E586="KANTOR",0,INDEX(Master_Customer!$C$2:$C$126,MATCH(C586,Master_Customer!$A$2:$A$126,0)))</f>
        <v>14</v>
      </c>
      <c r="H586" s="53" t="n">
        <f aca="false">B586+G586</f>
        <v>45799</v>
      </c>
      <c r="I586" s="51" t="n">
        <v>45788</v>
      </c>
      <c r="J586" s="39" t="str">
        <f aca="false">IF(G586=0,"Tunai",IF(I586="","Belum ditukar","Sudah ditukar"))</f>
        <v>Sudah ditukar</v>
      </c>
      <c r="K586" s="54" t="n">
        <v>8919500</v>
      </c>
      <c r="L586" s="51" t="n">
        <v>45818</v>
      </c>
      <c r="M586" s="52" t="n">
        <f aca="false">F586-K586</f>
        <v>0</v>
      </c>
      <c r="N586" s="39" t="str">
        <f aca="false">IF(M586&lt;=0,"Lunas",IF(K586&gt;0,"Sebagian","Belum Bayar"))</f>
        <v>Lunas</v>
      </c>
      <c r="O586" s="39" t="n">
        <f aca="false">IF(M586&gt;0,MAX(0,Catatan!$B$3-H586),0)</f>
        <v>0</v>
      </c>
      <c r="P586" s="39" t="str">
        <f aca="false">IF(M586&lt;=0,"Lunas",IF(Catatan!$B$3&lt;=H586,"Belum Jatuh Tempo",IF(O586&lt;=30,"1-30 hari",IF(O586&lt;=60,"31-60 hari",IF(O586&lt;=90,"61-90 hari","90+ hari")))))</f>
        <v>Lunas</v>
      </c>
      <c r="Q586" s="50"/>
      <c r="R586" s="39" t="str">
        <f aca="false">IF(M586&lt;=0,"",IF(O586&gt;60,"1-Tinggi",IF(O586&gt;30,"2-Sedang",IF(O586&gt;0,"3-Rendah","4-Pantau"))))</f>
        <v/>
      </c>
      <c r="S586" s="39" t="str">
        <f aca="false">IF(AND(M586&gt;0,O586&gt;0),O586+M586/1000000000000+ROW()/1000000000000000,"")</f>
        <v/>
      </c>
      <c r="T586" s="39" t="str">
        <f aca="false">IF(J586="Belum ditukar",ROW(),"")</f>
        <v/>
      </c>
    </row>
    <row r="587" customFormat="false" ht="15" hidden="false" customHeight="false" outlineLevel="0" collapsed="false">
      <c r="A587" s="50" t="s">
        <v>868</v>
      </c>
      <c r="B587" s="51" t="n">
        <v>45785</v>
      </c>
      <c r="C587" s="50" t="s">
        <v>256</v>
      </c>
      <c r="D587" s="39" t="str">
        <f aca="false">INDEX(Master_Customer!$B$2:$B$126,MATCH(C587,Master_Customer!$A$2:$A$126,0))</f>
        <v>HARAPAN SPAREPART</v>
      </c>
      <c r="E587" s="50" t="s">
        <v>31</v>
      </c>
      <c r="F587" s="52" t="n">
        <f aca="false">SUMIFS(Data_Penjualan!$G$2:$G$5998,Data_Penjualan!$A$2:$A$5998,A587)</f>
        <v>17892500</v>
      </c>
      <c r="G587" s="39" t="n">
        <f aca="false">IF(E587="KANTOR",0,INDEX(Master_Customer!$C$2:$C$126,MATCH(C587,Master_Customer!$A$2:$A$126,0)))</f>
        <v>45</v>
      </c>
      <c r="H587" s="53" t="n">
        <f aca="false">B587+G587</f>
        <v>45830</v>
      </c>
      <c r="I587" s="51" t="n">
        <v>45790</v>
      </c>
      <c r="J587" s="39" t="str">
        <f aca="false">IF(G587=0,"Tunai",IF(I587="","Belum ditukar","Sudah ditukar"))</f>
        <v>Sudah ditukar</v>
      </c>
      <c r="K587" s="54" t="n">
        <v>12260700</v>
      </c>
      <c r="L587" s="51" t="n">
        <v>45821</v>
      </c>
      <c r="M587" s="52" t="n">
        <f aca="false">F587-K587</f>
        <v>5631800</v>
      </c>
      <c r="N587" s="39" t="str">
        <f aca="false">IF(M587&lt;=0,"Lunas",IF(K587&gt;0,"Sebagian","Belum Bayar"))</f>
        <v>Sebagian</v>
      </c>
      <c r="O587" s="39" t="n">
        <f aca="false">IF(M587&gt;0,MAX(0,Catatan!$B$3-H587),0)</f>
        <v>192</v>
      </c>
      <c r="P587" s="39" t="str">
        <f aca="false">IF(M587&lt;=0,"Lunas",IF(Catatan!$B$3&lt;=H587,"Belum Jatuh Tempo",IF(O587&lt;=30,"1-30 hari",IF(O587&lt;=60,"31-60 hari",IF(O587&lt;=90,"61-90 hari","90+ hari")))))</f>
        <v>90+ hari</v>
      </c>
      <c r="Q587" s="50" t="s">
        <v>397</v>
      </c>
      <c r="R587" s="39" t="str">
        <f aca="false">IF(M587&lt;=0,"",IF(O587&gt;60,"1-Tinggi",IF(O587&gt;30,"2-Sedang",IF(O587&gt;0,"3-Rendah","4-Pantau"))))</f>
        <v>1-Tinggi</v>
      </c>
      <c r="S587" s="39" t="n">
        <f aca="false">IF(AND(M587&gt;0,O587&gt;0),O587+M587/1000000000000+ROW()/1000000000000000,"")</f>
        <v>192.000005631801</v>
      </c>
      <c r="T587" s="39" t="str">
        <f aca="false">IF(J587="Belum ditukar",ROW(),"")</f>
        <v/>
      </c>
    </row>
    <row r="588" customFormat="false" ht="15" hidden="false" customHeight="false" outlineLevel="0" collapsed="false">
      <c r="A588" s="50" t="s">
        <v>869</v>
      </c>
      <c r="B588" s="51" t="n">
        <v>45786</v>
      </c>
      <c r="C588" s="50" t="s">
        <v>177</v>
      </c>
      <c r="D588" s="39" t="str">
        <f aca="false">INDEX(Master_Customer!$B$2:$B$126,MATCH(C588,Master_Customer!$A$2:$A$126,0))</f>
        <v>PRIMA MOTOR LANCAR</v>
      </c>
      <c r="E588" s="50" t="s">
        <v>29</v>
      </c>
      <c r="F588" s="52" t="n">
        <f aca="false">SUMIFS(Data_Penjualan!$G$2:$G$5998,Data_Penjualan!$A$2:$A$5998,A588)</f>
        <v>14957000</v>
      </c>
      <c r="G588" s="39" t="n">
        <f aca="false">IF(E588="KANTOR",0,INDEX(Master_Customer!$C$2:$C$126,MATCH(C588,Master_Customer!$A$2:$A$126,0)))</f>
        <v>14</v>
      </c>
      <c r="H588" s="53" t="n">
        <f aca="false">B588+G588</f>
        <v>45800</v>
      </c>
      <c r="I588" s="51" t="n">
        <v>45790</v>
      </c>
      <c r="J588" s="39" t="str">
        <f aca="false">IF(G588=0,"Tunai",IF(I588="","Belum ditukar","Sudah ditukar"))</f>
        <v>Sudah ditukar</v>
      </c>
      <c r="K588" s="54" t="n">
        <v>14957000</v>
      </c>
      <c r="L588" s="51" t="n">
        <v>45798</v>
      </c>
      <c r="M588" s="52" t="n">
        <f aca="false">F588-K588</f>
        <v>0</v>
      </c>
      <c r="N588" s="39" t="str">
        <f aca="false">IF(M588&lt;=0,"Lunas",IF(K588&gt;0,"Sebagian","Belum Bayar"))</f>
        <v>Lunas</v>
      </c>
      <c r="O588" s="39" t="n">
        <f aca="false">IF(M588&gt;0,MAX(0,Catatan!$B$3-H588),0)</f>
        <v>0</v>
      </c>
      <c r="P588" s="39" t="str">
        <f aca="false">IF(M588&lt;=0,"Lunas",IF(Catatan!$B$3&lt;=H588,"Belum Jatuh Tempo",IF(O588&lt;=30,"1-30 hari",IF(O588&lt;=60,"31-60 hari",IF(O588&lt;=90,"61-90 hari","90+ hari")))))</f>
        <v>Lunas</v>
      </c>
      <c r="Q588" s="50"/>
      <c r="R588" s="39" t="str">
        <f aca="false">IF(M588&lt;=0,"",IF(O588&gt;60,"1-Tinggi",IF(O588&gt;30,"2-Sedang",IF(O588&gt;0,"3-Rendah","4-Pantau"))))</f>
        <v/>
      </c>
      <c r="S588" s="39" t="str">
        <f aca="false">IF(AND(M588&gt;0,O588&gt;0),O588+M588/1000000000000+ROW()/1000000000000000,"")</f>
        <v/>
      </c>
      <c r="T588" s="39" t="str">
        <f aca="false">IF(J588="Belum ditukar",ROW(),"")</f>
        <v/>
      </c>
    </row>
    <row r="589" customFormat="false" ht="15" hidden="false" customHeight="false" outlineLevel="0" collapsed="false">
      <c r="A589" s="50" t="s">
        <v>870</v>
      </c>
      <c r="B589" s="51" t="n">
        <v>45786</v>
      </c>
      <c r="C589" s="50" t="s">
        <v>467</v>
      </c>
      <c r="D589" s="39" t="str">
        <f aca="false">INDEX(Master_Customer!$B$2:$B$126,MATCH(C589,Master_Customer!$A$2:$A$126,0))</f>
        <v>LANCAR GARAGE UTAMA</v>
      </c>
      <c r="E589" s="50" t="s">
        <v>31</v>
      </c>
      <c r="F589" s="52" t="n">
        <f aca="false">SUMIFS(Data_Penjualan!$G$2:$G$5998,Data_Penjualan!$A$2:$A$5998,A589)</f>
        <v>13102000</v>
      </c>
      <c r="G589" s="39" t="n">
        <f aca="false">IF(E589="KANTOR",0,INDEX(Master_Customer!$C$2:$C$126,MATCH(C589,Master_Customer!$A$2:$A$126,0)))</f>
        <v>14</v>
      </c>
      <c r="H589" s="53" t="n">
        <f aca="false">B589+G589</f>
        <v>45800</v>
      </c>
      <c r="I589" s="51" t="n">
        <v>45787</v>
      </c>
      <c r="J589" s="39" t="str">
        <f aca="false">IF(G589=0,"Tunai",IF(I589="","Belum ditukar","Sudah ditukar"))</f>
        <v>Sudah ditukar</v>
      </c>
      <c r="K589" s="54" t="n">
        <v>13102000</v>
      </c>
      <c r="L589" s="51" t="n">
        <v>45905</v>
      </c>
      <c r="M589" s="52" t="n">
        <f aca="false">F589-K589</f>
        <v>0</v>
      </c>
      <c r="N589" s="39" t="str">
        <f aca="false">IF(M589&lt;=0,"Lunas",IF(K589&gt;0,"Sebagian","Belum Bayar"))</f>
        <v>Lunas</v>
      </c>
      <c r="O589" s="39" t="n">
        <f aca="false">IF(M589&gt;0,MAX(0,Catatan!$B$3-H589),0)</f>
        <v>0</v>
      </c>
      <c r="P589" s="39" t="str">
        <f aca="false">IF(M589&lt;=0,"Lunas",IF(Catatan!$B$3&lt;=H589,"Belum Jatuh Tempo",IF(O589&lt;=30,"1-30 hari",IF(O589&lt;=60,"31-60 hari",IF(O589&lt;=90,"61-90 hari","90+ hari")))))</f>
        <v>Lunas</v>
      </c>
      <c r="Q589" s="50"/>
      <c r="R589" s="39" t="str">
        <f aca="false">IF(M589&lt;=0,"",IF(O589&gt;60,"1-Tinggi",IF(O589&gt;30,"2-Sedang",IF(O589&gt;0,"3-Rendah","4-Pantau"))))</f>
        <v/>
      </c>
      <c r="S589" s="39" t="str">
        <f aca="false">IF(AND(M589&gt;0,O589&gt;0),O589+M589/1000000000000+ROW()/1000000000000000,"")</f>
        <v/>
      </c>
      <c r="T589" s="39" t="str">
        <f aca="false">IF(J589="Belum ditukar",ROW(),"")</f>
        <v/>
      </c>
    </row>
    <row r="590" customFormat="false" ht="15" hidden="false" customHeight="false" outlineLevel="0" collapsed="false">
      <c r="A590" s="50" t="s">
        <v>871</v>
      </c>
      <c r="B590" s="51" t="n">
        <v>45786</v>
      </c>
      <c r="C590" s="50" t="s">
        <v>174</v>
      </c>
      <c r="D590" s="39" t="str">
        <f aca="false">INDEX(Master_Customer!$B$2:$B$126,MATCH(C590,Master_Customer!$A$2:$A$126,0))</f>
        <v>SUMBER TEKNIK SURYA</v>
      </c>
      <c r="E590" s="50" t="s">
        <v>31</v>
      </c>
      <c r="F590" s="52" t="n">
        <f aca="false">SUMIFS(Data_Penjualan!$G$2:$G$5998,Data_Penjualan!$A$2:$A$5998,A590)</f>
        <v>7831000</v>
      </c>
      <c r="G590" s="39" t="n">
        <f aca="false">IF(E590="KANTOR",0,INDEX(Master_Customer!$C$2:$C$126,MATCH(C590,Master_Customer!$A$2:$A$126,0)))</f>
        <v>30</v>
      </c>
      <c r="H590" s="53" t="n">
        <f aca="false">B590+G590</f>
        <v>45816</v>
      </c>
      <c r="I590" s="51" t="n">
        <v>45790</v>
      </c>
      <c r="J590" s="39" t="str">
        <f aca="false">IF(G590=0,"Tunai",IF(I590="","Belum ditukar","Sudah ditukar"))</f>
        <v>Sudah ditukar</v>
      </c>
      <c r="K590" s="54" t="n">
        <v>7831000</v>
      </c>
      <c r="L590" s="51" t="n">
        <v>45819</v>
      </c>
      <c r="M590" s="52" t="n">
        <f aca="false">F590-K590</f>
        <v>0</v>
      </c>
      <c r="N590" s="39" t="str">
        <f aca="false">IF(M590&lt;=0,"Lunas",IF(K590&gt;0,"Sebagian","Belum Bayar"))</f>
        <v>Lunas</v>
      </c>
      <c r="O590" s="39" t="n">
        <f aca="false">IF(M590&gt;0,MAX(0,Catatan!$B$3-H590),0)</f>
        <v>0</v>
      </c>
      <c r="P590" s="39" t="str">
        <f aca="false">IF(M590&lt;=0,"Lunas",IF(Catatan!$B$3&lt;=H590,"Belum Jatuh Tempo",IF(O590&lt;=30,"1-30 hari",IF(O590&lt;=60,"31-60 hari",IF(O590&lt;=90,"61-90 hari","90+ hari")))))</f>
        <v>Lunas</v>
      </c>
      <c r="Q590" s="50"/>
      <c r="R590" s="39" t="str">
        <f aca="false">IF(M590&lt;=0,"",IF(O590&gt;60,"1-Tinggi",IF(O590&gt;30,"2-Sedang",IF(O590&gt;0,"3-Rendah","4-Pantau"))))</f>
        <v/>
      </c>
      <c r="S590" s="39" t="str">
        <f aca="false">IF(AND(M590&gt;0,O590&gt;0),O590+M590/1000000000000+ROW()/1000000000000000,"")</f>
        <v/>
      </c>
      <c r="T590" s="39" t="str">
        <f aca="false">IF(J590="Belum ditukar",ROW(),"")</f>
        <v/>
      </c>
    </row>
    <row r="591" customFormat="false" ht="15" hidden="false" customHeight="false" outlineLevel="0" collapsed="false">
      <c r="A591" s="50" t="s">
        <v>872</v>
      </c>
      <c r="B591" s="51" t="n">
        <v>45786</v>
      </c>
      <c r="C591" s="50" t="s">
        <v>369</v>
      </c>
      <c r="D591" s="39" t="str">
        <f aca="false">INDEX(Master_Customer!$B$2:$B$126,MATCH(C591,Master_Customer!$A$2:$A$126,0))</f>
        <v>UTAMA TEKNIK</v>
      </c>
      <c r="E591" s="50" t="s">
        <v>31</v>
      </c>
      <c r="F591" s="52" t="n">
        <f aca="false">SUMIFS(Data_Penjualan!$G$2:$G$5998,Data_Penjualan!$A$2:$A$5998,A591)</f>
        <v>11816500</v>
      </c>
      <c r="G591" s="39" t="n">
        <f aca="false">IF(E591="KANTOR",0,INDEX(Master_Customer!$C$2:$C$126,MATCH(C591,Master_Customer!$A$2:$A$126,0)))</f>
        <v>30</v>
      </c>
      <c r="H591" s="53" t="n">
        <f aca="false">B591+G591</f>
        <v>45816</v>
      </c>
      <c r="I591" s="51" t="n">
        <v>45787</v>
      </c>
      <c r="J591" s="39" t="str">
        <f aca="false">IF(G591=0,"Tunai",IF(I591="","Belum ditukar","Sudah ditukar"))</f>
        <v>Sudah ditukar</v>
      </c>
      <c r="K591" s="54" t="n">
        <v>11816500</v>
      </c>
      <c r="L591" s="51" t="n">
        <v>45814</v>
      </c>
      <c r="M591" s="52" t="n">
        <f aca="false">F591-K591</f>
        <v>0</v>
      </c>
      <c r="N591" s="39" t="str">
        <f aca="false">IF(M591&lt;=0,"Lunas",IF(K591&gt;0,"Sebagian","Belum Bayar"))</f>
        <v>Lunas</v>
      </c>
      <c r="O591" s="39" t="n">
        <f aca="false">IF(M591&gt;0,MAX(0,Catatan!$B$3-H591),0)</f>
        <v>0</v>
      </c>
      <c r="P591" s="39" t="str">
        <f aca="false">IF(M591&lt;=0,"Lunas",IF(Catatan!$B$3&lt;=H591,"Belum Jatuh Tempo",IF(O591&lt;=30,"1-30 hari",IF(O591&lt;=60,"31-60 hari",IF(O591&lt;=90,"61-90 hari","90+ hari")))))</f>
        <v>Lunas</v>
      </c>
      <c r="Q591" s="50"/>
      <c r="R591" s="39" t="str">
        <f aca="false">IF(M591&lt;=0,"",IF(O591&gt;60,"1-Tinggi",IF(O591&gt;30,"2-Sedang",IF(O591&gt;0,"3-Rendah","4-Pantau"))))</f>
        <v/>
      </c>
      <c r="S591" s="39" t="str">
        <f aca="false">IF(AND(M591&gt;0,O591&gt;0),O591+M591/1000000000000+ROW()/1000000000000000,"")</f>
        <v/>
      </c>
      <c r="T591" s="39" t="str">
        <f aca="false">IF(J591="Belum ditukar",ROW(),"")</f>
        <v/>
      </c>
    </row>
    <row r="592" customFormat="false" ht="15" hidden="false" customHeight="false" outlineLevel="0" collapsed="false">
      <c r="A592" s="50" t="s">
        <v>873</v>
      </c>
      <c r="B592" s="51" t="n">
        <v>45786</v>
      </c>
      <c r="C592" s="50" t="s">
        <v>284</v>
      </c>
      <c r="D592" s="39" t="str">
        <f aca="false">INDEX(Master_Customer!$B$2:$B$126,MATCH(C592,Master_Customer!$A$2:$A$126,0))</f>
        <v>CAHAYA SPAREPART</v>
      </c>
      <c r="E592" s="50" t="s">
        <v>29</v>
      </c>
      <c r="F592" s="52" t="n">
        <f aca="false">SUMIFS(Data_Penjualan!$G$2:$G$5998,Data_Penjualan!$A$2:$A$5998,A592)</f>
        <v>9728400</v>
      </c>
      <c r="G592" s="39" t="n">
        <f aca="false">IF(E592="KANTOR",0,INDEX(Master_Customer!$C$2:$C$126,MATCH(C592,Master_Customer!$A$2:$A$126,0)))</f>
        <v>14</v>
      </c>
      <c r="H592" s="53" t="n">
        <f aca="false">B592+G592</f>
        <v>45800</v>
      </c>
      <c r="I592" s="51" t="n">
        <v>45791</v>
      </c>
      <c r="J592" s="39" t="str">
        <f aca="false">IF(G592=0,"Tunai",IF(I592="","Belum ditukar","Sudah ditukar"))</f>
        <v>Sudah ditukar</v>
      </c>
      <c r="K592" s="54" t="n">
        <v>9728400</v>
      </c>
      <c r="L592" s="51" t="n">
        <v>45807</v>
      </c>
      <c r="M592" s="52" t="n">
        <f aca="false">F592-K592</f>
        <v>0</v>
      </c>
      <c r="N592" s="39" t="str">
        <f aca="false">IF(M592&lt;=0,"Lunas",IF(K592&gt;0,"Sebagian","Belum Bayar"))</f>
        <v>Lunas</v>
      </c>
      <c r="O592" s="39" t="n">
        <f aca="false">IF(M592&gt;0,MAX(0,Catatan!$B$3-H592),0)</f>
        <v>0</v>
      </c>
      <c r="P592" s="39" t="str">
        <f aca="false">IF(M592&lt;=0,"Lunas",IF(Catatan!$B$3&lt;=H592,"Belum Jatuh Tempo",IF(O592&lt;=30,"1-30 hari",IF(O592&lt;=60,"31-60 hari",IF(O592&lt;=90,"61-90 hari","90+ hari")))))</f>
        <v>Lunas</v>
      </c>
      <c r="Q592" s="50"/>
      <c r="R592" s="39" t="str">
        <f aca="false">IF(M592&lt;=0,"",IF(O592&gt;60,"1-Tinggi",IF(O592&gt;30,"2-Sedang",IF(O592&gt;0,"3-Rendah","4-Pantau"))))</f>
        <v/>
      </c>
      <c r="S592" s="39" t="str">
        <f aca="false">IF(AND(M592&gt;0,O592&gt;0),O592+M592/1000000000000+ROW()/1000000000000000,"")</f>
        <v/>
      </c>
      <c r="T592" s="39" t="str">
        <f aca="false">IF(J592="Belum ditukar",ROW(),"")</f>
        <v/>
      </c>
    </row>
    <row r="593" customFormat="false" ht="15" hidden="false" customHeight="false" outlineLevel="0" collapsed="false">
      <c r="A593" s="50" t="s">
        <v>874</v>
      </c>
      <c r="B593" s="51" t="n">
        <v>45786</v>
      </c>
      <c r="C593" s="50" t="s">
        <v>186</v>
      </c>
      <c r="D593" s="39" t="str">
        <f aca="false">INDEX(Master_Customer!$B$2:$B$126,MATCH(C593,Master_Customer!$A$2:$A$126,0))</f>
        <v>MULIA SPAREPART</v>
      </c>
      <c r="E593" s="50" t="s">
        <v>31</v>
      </c>
      <c r="F593" s="52" t="n">
        <f aca="false">SUMIFS(Data_Penjualan!$G$2:$G$5998,Data_Penjualan!$A$2:$A$5998,A593)</f>
        <v>11493300</v>
      </c>
      <c r="G593" s="39" t="n">
        <f aca="false">IF(E593="KANTOR",0,INDEX(Master_Customer!$C$2:$C$126,MATCH(C593,Master_Customer!$A$2:$A$126,0)))</f>
        <v>30</v>
      </c>
      <c r="H593" s="53" t="n">
        <f aca="false">B593+G593</f>
        <v>45816</v>
      </c>
      <c r="I593" s="51" t="n">
        <v>45791</v>
      </c>
      <c r="J593" s="39" t="str">
        <f aca="false">IF(G593=0,"Tunai",IF(I593="","Belum ditukar","Sudah ditukar"))</f>
        <v>Sudah ditukar</v>
      </c>
      <c r="K593" s="54" t="n">
        <v>11493300</v>
      </c>
      <c r="L593" s="51" t="n">
        <v>45826</v>
      </c>
      <c r="M593" s="52" t="n">
        <f aca="false">F593-K593</f>
        <v>0</v>
      </c>
      <c r="N593" s="39" t="str">
        <f aca="false">IF(M593&lt;=0,"Lunas",IF(K593&gt;0,"Sebagian","Belum Bayar"))</f>
        <v>Lunas</v>
      </c>
      <c r="O593" s="39" t="n">
        <f aca="false">IF(M593&gt;0,MAX(0,Catatan!$B$3-H593),0)</f>
        <v>0</v>
      </c>
      <c r="P593" s="39" t="str">
        <f aca="false">IF(M593&lt;=0,"Lunas",IF(Catatan!$B$3&lt;=H593,"Belum Jatuh Tempo",IF(O593&lt;=30,"1-30 hari",IF(O593&lt;=60,"31-60 hari",IF(O593&lt;=90,"61-90 hari","90+ hari")))))</f>
        <v>Lunas</v>
      </c>
      <c r="Q593" s="50"/>
      <c r="R593" s="39" t="str">
        <f aca="false">IF(M593&lt;=0,"",IF(O593&gt;60,"1-Tinggi",IF(O593&gt;30,"2-Sedang",IF(O593&gt;0,"3-Rendah","4-Pantau"))))</f>
        <v/>
      </c>
      <c r="S593" s="39" t="str">
        <f aca="false">IF(AND(M593&gt;0,O593&gt;0),O593+M593/1000000000000+ROW()/1000000000000000,"")</f>
        <v/>
      </c>
      <c r="T593" s="39" t="str">
        <f aca="false">IF(J593="Belum ditukar",ROW(),"")</f>
        <v/>
      </c>
    </row>
    <row r="594" customFormat="false" ht="15" hidden="false" customHeight="false" outlineLevel="0" collapsed="false">
      <c r="A594" s="50" t="s">
        <v>875</v>
      </c>
      <c r="B594" s="51" t="n">
        <v>45787</v>
      </c>
      <c r="C594" s="50" t="s">
        <v>209</v>
      </c>
      <c r="D594" s="39" t="str">
        <f aca="false">INDEX(Master_Customer!$B$2:$B$126,MATCH(C594,Master_Customer!$A$2:$A$126,0))</f>
        <v>PRIMA TEKNIK</v>
      </c>
      <c r="E594" s="50" t="s">
        <v>31</v>
      </c>
      <c r="F594" s="52" t="n">
        <f aca="false">SUMIFS(Data_Penjualan!$G$2:$G$5998,Data_Penjualan!$A$2:$A$5998,A594)</f>
        <v>9954400</v>
      </c>
      <c r="G594" s="39" t="n">
        <f aca="false">IF(E594="KANTOR",0,INDEX(Master_Customer!$C$2:$C$126,MATCH(C594,Master_Customer!$A$2:$A$126,0)))</f>
        <v>30</v>
      </c>
      <c r="H594" s="53" t="n">
        <f aca="false">B594+G594</f>
        <v>45817</v>
      </c>
      <c r="I594" s="51" t="n">
        <v>45788</v>
      </c>
      <c r="J594" s="39" t="str">
        <f aca="false">IF(G594=0,"Tunai",IF(I594="","Belum ditukar","Sudah ditukar"))</f>
        <v>Sudah ditukar</v>
      </c>
      <c r="K594" s="54" t="n">
        <v>9954400</v>
      </c>
      <c r="L594" s="51" t="n">
        <v>45875</v>
      </c>
      <c r="M594" s="52" t="n">
        <f aca="false">F594-K594</f>
        <v>0</v>
      </c>
      <c r="N594" s="39" t="str">
        <f aca="false">IF(M594&lt;=0,"Lunas",IF(K594&gt;0,"Sebagian","Belum Bayar"))</f>
        <v>Lunas</v>
      </c>
      <c r="O594" s="39" t="n">
        <f aca="false">IF(M594&gt;0,MAX(0,Catatan!$B$3-H594),0)</f>
        <v>0</v>
      </c>
      <c r="P594" s="39" t="str">
        <f aca="false">IF(M594&lt;=0,"Lunas",IF(Catatan!$B$3&lt;=H594,"Belum Jatuh Tempo",IF(O594&lt;=30,"1-30 hari",IF(O594&lt;=60,"31-60 hari",IF(O594&lt;=90,"61-90 hari","90+ hari")))))</f>
        <v>Lunas</v>
      </c>
      <c r="Q594" s="50"/>
      <c r="R594" s="39" t="str">
        <f aca="false">IF(M594&lt;=0,"",IF(O594&gt;60,"1-Tinggi",IF(O594&gt;30,"2-Sedang",IF(O594&gt;0,"3-Rendah","4-Pantau"))))</f>
        <v/>
      </c>
      <c r="S594" s="39" t="str">
        <f aca="false">IF(AND(M594&gt;0,O594&gt;0),O594+M594/1000000000000+ROW()/1000000000000000,"")</f>
        <v/>
      </c>
      <c r="T594" s="39" t="str">
        <f aca="false">IF(J594="Belum ditukar",ROW(),"")</f>
        <v/>
      </c>
    </row>
    <row r="595" customFormat="false" ht="15" hidden="false" customHeight="false" outlineLevel="0" collapsed="false">
      <c r="A595" s="50" t="s">
        <v>876</v>
      </c>
      <c r="B595" s="51" t="n">
        <v>45787</v>
      </c>
      <c r="C595" s="50" t="s">
        <v>611</v>
      </c>
      <c r="D595" s="39" t="str">
        <f aca="false">INDEX(Master_Customer!$B$2:$B$126,MATCH(C595,Master_Customer!$A$2:$A$126,0))</f>
        <v>MULIA MOBIL MITRA</v>
      </c>
      <c r="E595" s="50" t="s">
        <v>32</v>
      </c>
      <c r="F595" s="52" t="n">
        <f aca="false">SUMIFS(Data_Penjualan!$G$2:$G$5998,Data_Penjualan!$A$2:$A$5998,A595)</f>
        <v>6892800</v>
      </c>
      <c r="G595" s="39" t="n">
        <f aca="false">IF(E595="KANTOR",0,INDEX(Master_Customer!$C$2:$C$126,MATCH(C595,Master_Customer!$A$2:$A$126,0)))</f>
        <v>0</v>
      </c>
      <c r="H595" s="53" t="n">
        <f aca="false">B595+G595</f>
        <v>45787</v>
      </c>
      <c r="J595" s="39" t="str">
        <f aca="false">IF(G595=0,"Tunai",IF(I595="","Belum ditukar","Sudah ditukar"))</f>
        <v>Tunai</v>
      </c>
      <c r="K595" s="54" t="n">
        <v>6892800</v>
      </c>
      <c r="L595" s="51" t="n">
        <v>45787</v>
      </c>
      <c r="M595" s="52" t="n">
        <f aca="false">F595-K595</f>
        <v>0</v>
      </c>
      <c r="N595" s="39" t="str">
        <f aca="false">IF(M595&lt;=0,"Lunas",IF(K595&gt;0,"Sebagian","Belum Bayar"))</f>
        <v>Lunas</v>
      </c>
      <c r="O595" s="39" t="n">
        <f aca="false">IF(M595&gt;0,MAX(0,Catatan!$B$3-H595),0)</f>
        <v>0</v>
      </c>
      <c r="P595" s="39" t="str">
        <f aca="false">IF(M595&lt;=0,"Lunas",IF(Catatan!$B$3&lt;=H595,"Belum Jatuh Tempo",IF(O595&lt;=30,"1-30 hari",IF(O595&lt;=60,"31-60 hari",IF(O595&lt;=90,"61-90 hari","90+ hari")))))</f>
        <v>Lunas</v>
      </c>
      <c r="Q595" s="50"/>
      <c r="R595" s="39" t="str">
        <f aca="false">IF(M595&lt;=0,"",IF(O595&gt;60,"1-Tinggi",IF(O595&gt;30,"2-Sedang",IF(O595&gt;0,"3-Rendah","4-Pantau"))))</f>
        <v/>
      </c>
      <c r="S595" s="39" t="str">
        <f aca="false">IF(AND(M595&gt;0,O595&gt;0),O595+M595/1000000000000+ROW()/1000000000000000,"")</f>
        <v/>
      </c>
      <c r="T595" s="39" t="str">
        <f aca="false">IF(J595="Belum ditukar",ROW(),"")</f>
        <v/>
      </c>
    </row>
    <row r="596" customFormat="false" ht="15" hidden="false" customHeight="false" outlineLevel="0" collapsed="false">
      <c r="A596" s="50" t="s">
        <v>877</v>
      </c>
      <c r="B596" s="51" t="n">
        <v>45787</v>
      </c>
      <c r="C596" s="50" t="s">
        <v>174</v>
      </c>
      <c r="D596" s="39" t="str">
        <f aca="false">INDEX(Master_Customer!$B$2:$B$126,MATCH(C596,Master_Customer!$A$2:$A$126,0))</f>
        <v>SUMBER TEKNIK SURYA</v>
      </c>
      <c r="E596" s="50" t="s">
        <v>31</v>
      </c>
      <c r="F596" s="52" t="n">
        <f aca="false">SUMIFS(Data_Penjualan!$G$2:$G$5998,Data_Penjualan!$A$2:$A$5998,A596)</f>
        <v>10066700</v>
      </c>
      <c r="G596" s="39" t="n">
        <f aca="false">IF(E596="KANTOR",0,INDEX(Master_Customer!$C$2:$C$126,MATCH(C596,Master_Customer!$A$2:$A$126,0)))</f>
        <v>30</v>
      </c>
      <c r="H596" s="53" t="n">
        <f aca="false">B596+G596</f>
        <v>45817</v>
      </c>
      <c r="I596" s="51" t="n">
        <v>45789</v>
      </c>
      <c r="J596" s="39" t="str">
        <f aca="false">IF(G596=0,"Tunai",IF(I596="","Belum ditukar","Sudah ditukar"))</f>
        <v>Sudah ditukar</v>
      </c>
      <c r="K596" s="54" t="n">
        <v>10066700</v>
      </c>
      <c r="L596" s="51" t="n">
        <v>45809</v>
      </c>
      <c r="M596" s="52" t="n">
        <f aca="false">F596-K596</f>
        <v>0</v>
      </c>
      <c r="N596" s="39" t="str">
        <f aca="false">IF(M596&lt;=0,"Lunas",IF(K596&gt;0,"Sebagian","Belum Bayar"))</f>
        <v>Lunas</v>
      </c>
      <c r="O596" s="39" t="n">
        <f aca="false">IF(M596&gt;0,MAX(0,Catatan!$B$3-H596),0)</f>
        <v>0</v>
      </c>
      <c r="P596" s="39" t="str">
        <f aca="false">IF(M596&lt;=0,"Lunas",IF(Catatan!$B$3&lt;=H596,"Belum Jatuh Tempo",IF(O596&lt;=30,"1-30 hari",IF(O596&lt;=60,"31-60 hari",IF(O596&lt;=90,"61-90 hari","90+ hari")))))</f>
        <v>Lunas</v>
      </c>
      <c r="Q596" s="50"/>
      <c r="R596" s="39" t="str">
        <f aca="false">IF(M596&lt;=0,"",IF(O596&gt;60,"1-Tinggi",IF(O596&gt;30,"2-Sedang",IF(O596&gt;0,"3-Rendah","4-Pantau"))))</f>
        <v/>
      </c>
      <c r="S596" s="39" t="str">
        <f aca="false">IF(AND(M596&gt;0,O596&gt;0),O596+M596/1000000000000+ROW()/1000000000000000,"")</f>
        <v/>
      </c>
      <c r="T596" s="39" t="str">
        <f aca="false">IF(J596="Belum ditukar",ROW(),"")</f>
        <v/>
      </c>
    </row>
    <row r="597" customFormat="false" ht="15" hidden="false" customHeight="false" outlineLevel="0" collapsed="false">
      <c r="A597" s="50" t="s">
        <v>878</v>
      </c>
      <c r="B597" s="51" t="n">
        <v>45787</v>
      </c>
      <c r="C597" s="50" t="s">
        <v>247</v>
      </c>
      <c r="D597" s="39" t="str">
        <f aca="false">INDEX(Master_Customer!$B$2:$B$126,MATCH(C597,Master_Customer!$A$2:$A$126,0))</f>
        <v>BINTANG LUBRICANT SURYA</v>
      </c>
      <c r="E597" s="50" t="s">
        <v>28</v>
      </c>
      <c r="F597" s="52" t="n">
        <f aca="false">SUMIFS(Data_Penjualan!$G$2:$G$5998,Data_Penjualan!$A$2:$A$5998,A597)</f>
        <v>18159100</v>
      </c>
      <c r="G597" s="39" t="n">
        <f aca="false">IF(E597="KANTOR",0,INDEX(Master_Customer!$C$2:$C$126,MATCH(C597,Master_Customer!$A$2:$A$126,0)))</f>
        <v>30</v>
      </c>
      <c r="H597" s="53" t="n">
        <f aca="false">B597+G597</f>
        <v>45817</v>
      </c>
      <c r="I597" s="51" t="n">
        <v>45790</v>
      </c>
      <c r="J597" s="39" t="str">
        <f aca="false">IF(G597=0,"Tunai",IF(I597="","Belum ditukar","Sudah ditukar"))</f>
        <v>Sudah ditukar</v>
      </c>
      <c r="K597" s="54" t="n">
        <v>18159100</v>
      </c>
      <c r="L597" s="51" t="n">
        <v>45814</v>
      </c>
      <c r="M597" s="52" t="n">
        <f aca="false">F597-K597</f>
        <v>0</v>
      </c>
      <c r="N597" s="39" t="str">
        <f aca="false">IF(M597&lt;=0,"Lunas",IF(K597&gt;0,"Sebagian","Belum Bayar"))</f>
        <v>Lunas</v>
      </c>
      <c r="O597" s="39" t="n">
        <f aca="false">IF(M597&gt;0,MAX(0,Catatan!$B$3-H597),0)</f>
        <v>0</v>
      </c>
      <c r="P597" s="39" t="str">
        <f aca="false">IF(M597&lt;=0,"Lunas",IF(Catatan!$B$3&lt;=H597,"Belum Jatuh Tempo",IF(O597&lt;=30,"1-30 hari",IF(O597&lt;=60,"31-60 hari",IF(O597&lt;=90,"61-90 hari","90+ hari")))))</f>
        <v>Lunas</v>
      </c>
      <c r="Q597" s="50"/>
      <c r="R597" s="39" t="str">
        <f aca="false">IF(M597&lt;=0,"",IF(O597&gt;60,"1-Tinggi",IF(O597&gt;30,"2-Sedang",IF(O597&gt;0,"3-Rendah","4-Pantau"))))</f>
        <v/>
      </c>
      <c r="S597" s="39" t="str">
        <f aca="false">IF(AND(M597&gt;0,O597&gt;0),O597+M597/1000000000000+ROW()/1000000000000000,"")</f>
        <v/>
      </c>
      <c r="T597" s="39" t="str">
        <f aca="false">IF(J597="Belum ditukar",ROW(),"")</f>
        <v/>
      </c>
    </row>
    <row r="598" customFormat="false" ht="15" hidden="false" customHeight="false" outlineLevel="0" collapsed="false">
      <c r="A598" s="50" t="s">
        <v>879</v>
      </c>
      <c r="B598" s="51" t="n">
        <v>45787</v>
      </c>
      <c r="C598" s="50" t="s">
        <v>179</v>
      </c>
      <c r="D598" s="39" t="str">
        <f aca="false">INDEX(Master_Customer!$B$2:$B$126,MATCH(C598,Master_Customer!$A$2:$A$126,0))</f>
        <v>BINTANG TEKNIK SURYA</v>
      </c>
      <c r="E598" s="50" t="s">
        <v>29</v>
      </c>
      <c r="F598" s="52" t="n">
        <f aca="false">SUMIFS(Data_Penjualan!$G$2:$G$5998,Data_Penjualan!$A$2:$A$5998,A598)</f>
        <v>11060700</v>
      </c>
      <c r="G598" s="39" t="n">
        <f aca="false">IF(E598="KANTOR",0,INDEX(Master_Customer!$C$2:$C$126,MATCH(C598,Master_Customer!$A$2:$A$126,0)))</f>
        <v>45</v>
      </c>
      <c r="H598" s="53" t="n">
        <f aca="false">B598+G598</f>
        <v>45832</v>
      </c>
      <c r="I598" s="51" t="n">
        <v>45788</v>
      </c>
      <c r="J598" s="39" t="str">
        <f aca="false">IF(G598=0,"Tunai",IF(I598="","Belum ditukar","Sudah ditukar"))</f>
        <v>Sudah ditukar</v>
      </c>
      <c r="K598" s="54" t="n">
        <v>11060700</v>
      </c>
      <c r="L598" s="51" t="n">
        <v>45831</v>
      </c>
      <c r="M598" s="52" t="n">
        <f aca="false">F598-K598</f>
        <v>0</v>
      </c>
      <c r="N598" s="39" t="str">
        <f aca="false">IF(M598&lt;=0,"Lunas",IF(K598&gt;0,"Sebagian","Belum Bayar"))</f>
        <v>Lunas</v>
      </c>
      <c r="O598" s="39" t="n">
        <f aca="false">IF(M598&gt;0,MAX(0,Catatan!$B$3-H598),0)</f>
        <v>0</v>
      </c>
      <c r="P598" s="39" t="str">
        <f aca="false">IF(M598&lt;=0,"Lunas",IF(Catatan!$B$3&lt;=H598,"Belum Jatuh Tempo",IF(O598&lt;=30,"1-30 hari",IF(O598&lt;=60,"31-60 hari",IF(O598&lt;=90,"61-90 hari","90+ hari")))))</f>
        <v>Lunas</v>
      </c>
      <c r="Q598" s="50"/>
      <c r="R598" s="39" t="str">
        <f aca="false">IF(M598&lt;=0,"",IF(O598&gt;60,"1-Tinggi",IF(O598&gt;30,"2-Sedang",IF(O598&gt;0,"3-Rendah","4-Pantau"))))</f>
        <v/>
      </c>
      <c r="S598" s="39" t="str">
        <f aca="false">IF(AND(M598&gt;0,O598&gt;0),O598+M598/1000000000000+ROW()/1000000000000000,"")</f>
        <v/>
      </c>
      <c r="T598" s="39" t="str">
        <f aca="false">IF(J598="Belum ditukar",ROW(),"")</f>
        <v/>
      </c>
    </row>
    <row r="599" customFormat="false" ht="15" hidden="false" customHeight="false" outlineLevel="0" collapsed="false">
      <c r="A599" s="50" t="s">
        <v>880</v>
      </c>
      <c r="B599" s="51" t="n">
        <v>45787</v>
      </c>
      <c r="C599" s="50" t="s">
        <v>315</v>
      </c>
      <c r="D599" s="39" t="str">
        <f aca="false">INDEX(Master_Customer!$B$2:$B$126,MATCH(C599,Master_Customer!$A$2:$A$126,0))</f>
        <v>CAHAYA SERVICE</v>
      </c>
      <c r="E599" s="50" t="s">
        <v>31</v>
      </c>
      <c r="F599" s="52" t="n">
        <f aca="false">SUMIFS(Data_Penjualan!$G$2:$G$5998,Data_Penjualan!$A$2:$A$5998,A599)</f>
        <v>1213900</v>
      </c>
      <c r="G599" s="39" t="n">
        <f aca="false">IF(E599="KANTOR",0,INDEX(Master_Customer!$C$2:$C$126,MATCH(C599,Master_Customer!$A$2:$A$126,0)))</f>
        <v>30</v>
      </c>
      <c r="H599" s="53" t="n">
        <f aca="false">B599+G599</f>
        <v>45817</v>
      </c>
      <c r="I599" s="51" t="n">
        <v>45789</v>
      </c>
      <c r="J599" s="39" t="str">
        <f aca="false">IF(G599=0,"Tunai",IF(I599="","Belum ditukar","Sudah ditukar"))</f>
        <v>Sudah ditukar</v>
      </c>
      <c r="K599" s="54" t="n">
        <v>1213900</v>
      </c>
      <c r="L599" s="51" t="n">
        <v>45822</v>
      </c>
      <c r="M599" s="52" t="n">
        <f aca="false">F599-K599</f>
        <v>0</v>
      </c>
      <c r="N599" s="39" t="str">
        <f aca="false">IF(M599&lt;=0,"Lunas",IF(K599&gt;0,"Sebagian","Belum Bayar"))</f>
        <v>Lunas</v>
      </c>
      <c r="O599" s="39" t="n">
        <f aca="false">IF(M599&gt;0,MAX(0,Catatan!$B$3-H599),0)</f>
        <v>0</v>
      </c>
      <c r="P599" s="39" t="str">
        <f aca="false">IF(M599&lt;=0,"Lunas",IF(Catatan!$B$3&lt;=H599,"Belum Jatuh Tempo",IF(O599&lt;=30,"1-30 hari",IF(O599&lt;=60,"31-60 hari",IF(O599&lt;=90,"61-90 hari","90+ hari")))))</f>
        <v>Lunas</v>
      </c>
      <c r="Q599" s="50"/>
      <c r="R599" s="39" t="str">
        <f aca="false">IF(M599&lt;=0,"",IF(O599&gt;60,"1-Tinggi",IF(O599&gt;30,"2-Sedang",IF(O599&gt;0,"3-Rendah","4-Pantau"))))</f>
        <v/>
      </c>
      <c r="S599" s="39" t="str">
        <f aca="false">IF(AND(M599&gt;0,O599&gt;0),O599+M599/1000000000000+ROW()/1000000000000000,"")</f>
        <v/>
      </c>
      <c r="T599" s="39" t="str">
        <f aca="false">IF(J599="Belum ditukar",ROW(),"")</f>
        <v/>
      </c>
    </row>
    <row r="600" customFormat="false" ht="15" hidden="false" customHeight="false" outlineLevel="0" collapsed="false">
      <c r="A600" s="50" t="s">
        <v>881</v>
      </c>
      <c r="B600" s="51" t="n">
        <v>45787</v>
      </c>
      <c r="C600" s="50" t="s">
        <v>241</v>
      </c>
      <c r="D600" s="39" t="str">
        <f aca="false">INDEX(Master_Customer!$B$2:$B$126,MATCH(C600,Master_Customer!$A$2:$A$126,0))</f>
        <v>GEMILANG GARAGE TIRTA</v>
      </c>
      <c r="E600" s="50" t="s">
        <v>29</v>
      </c>
      <c r="F600" s="52" t="n">
        <f aca="false">SUMIFS(Data_Penjualan!$G$2:$G$5998,Data_Penjualan!$A$2:$A$5998,A600)</f>
        <v>15359500</v>
      </c>
      <c r="G600" s="39" t="n">
        <f aca="false">IF(E600="KANTOR",0,INDEX(Master_Customer!$C$2:$C$126,MATCH(C600,Master_Customer!$A$2:$A$126,0)))</f>
        <v>14</v>
      </c>
      <c r="H600" s="53" t="n">
        <f aca="false">B600+G600</f>
        <v>45801</v>
      </c>
      <c r="I600" s="51" t="n">
        <v>45791</v>
      </c>
      <c r="J600" s="39" t="str">
        <f aca="false">IF(G600=0,"Tunai",IF(I600="","Belum ditukar","Sudah ditukar"))</f>
        <v>Sudah ditukar</v>
      </c>
      <c r="K600" s="54" t="n">
        <v>15359500</v>
      </c>
      <c r="L600" s="51" t="n">
        <v>45789</v>
      </c>
      <c r="M600" s="52" t="n">
        <f aca="false">F600-K600</f>
        <v>0</v>
      </c>
      <c r="N600" s="39" t="str">
        <f aca="false">IF(M600&lt;=0,"Lunas",IF(K600&gt;0,"Sebagian","Belum Bayar"))</f>
        <v>Lunas</v>
      </c>
      <c r="O600" s="39" t="n">
        <f aca="false">IF(M600&gt;0,MAX(0,Catatan!$B$3-H600),0)</f>
        <v>0</v>
      </c>
      <c r="P600" s="39" t="str">
        <f aca="false">IF(M600&lt;=0,"Lunas",IF(Catatan!$B$3&lt;=H600,"Belum Jatuh Tempo",IF(O600&lt;=30,"1-30 hari",IF(O600&lt;=60,"31-60 hari",IF(O600&lt;=90,"61-90 hari","90+ hari")))))</f>
        <v>Lunas</v>
      </c>
      <c r="Q600" s="50"/>
      <c r="R600" s="39" t="str">
        <f aca="false">IF(M600&lt;=0,"",IF(O600&gt;60,"1-Tinggi",IF(O600&gt;30,"2-Sedang",IF(O600&gt;0,"3-Rendah","4-Pantau"))))</f>
        <v/>
      </c>
      <c r="S600" s="39" t="str">
        <f aca="false">IF(AND(M600&gt;0,O600&gt;0),O600+M600/1000000000000+ROW()/1000000000000000,"")</f>
        <v/>
      </c>
      <c r="T600" s="39" t="str">
        <f aca="false">IF(J600="Belum ditukar",ROW(),"")</f>
        <v/>
      </c>
    </row>
    <row r="601" customFormat="false" ht="15" hidden="false" customHeight="false" outlineLevel="0" collapsed="false">
      <c r="A601" s="50" t="s">
        <v>882</v>
      </c>
      <c r="B601" s="51" t="n">
        <v>45787</v>
      </c>
      <c r="C601" s="50" t="s">
        <v>230</v>
      </c>
      <c r="D601" s="39" t="str">
        <f aca="false">INDEX(Master_Customer!$B$2:$B$126,MATCH(C601,Master_Customer!$A$2:$A$126,0))</f>
        <v>BINTANG MOBIL JAYA</v>
      </c>
      <c r="E601" s="50" t="s">
        <v>28</v>
      </c>
      <c r="F601" s="52" t="n">
        <f aca="false">SUMIFS(Data_Penjualan!$G$2:$G$5998,Data_Penjualan!$A$2:$A$5998,A601)</f>
        <v>28909500</v>
      </c>
      <c r="G601" s="39" t="n">
        <f aca="false">IF(E601="KANTOR",0,INDEX(Master_Customer!$C$2:$C$126,MATCH(C601,Master_Customer!$A$2:$A$126,0)))</f>
        <v>45</v>
      </c>
      <c r="H601" s="53" t="n">
        <f aca="false">B601+G601</f>
        <v>45832</v>
      </c>
      <c r="I601" s="51" t="n">
        <v>45790</v>
      </c>
      <c r="J601" s="39" t="str">
        <f aca="false">IF(G601=0,"Tunai",IF(I601="","Belum ditukar","Sudah ditukar"))</f>
        <v>Sudah ditukar</v>
      </c>
      <c r="K601" s="54" t="n">
        <v>28909500</v>
      </c>
      <c r="L601" s="51" t="n">
        <v>45831</v>
      </c>
      <c r="M601" s="52" t="n">
        <f aca="false">F601-K601</f>
        <v>0</v>
      </c>
      <c r="N601" s="39" t="str">
        <f aca="false">IF(M601&lt;=0,"Lunas",IF(K601&gt;0,"Sebagian","Belum Bayar"))</f>
        <v>Lunas</v>
      </c>
      <c r="O601" s="39" t="n">
        <f aca="false">IF(M601&gt;0,MAX(0,Catatan!$B$3-H601),0)</f>
        <v>0</v>
      </c>
      <c r="P601" s="39" t="str">
        <f aca="false">IF(M601&lt;=0,"Lunas",IF(Catatan!$B$3&lt;=H601,"Belum Jatuh Tempo",IF(O601&lt;=30,"1-30 hari",IF(O601&lt;=60,"31-60 hari",IF(O601&lt;=90,"61-90 hari","90+ hari")))))</f>
        <v>Lunas</v>
      </c>
      <c r="Q601" s="50"/>
      <c r="R601" s="39" t="str">
        <f aca="false">IF(M601&lt;=0,"",IF(O601&gt;60,"1-Tinggi",IF(O601&gt;30,"2-Sedang",IF(O601&gt;0,"3-Rendah","4-Pantau"))))</f>
        <v/>
      </c>
      <c r="S601" s="39" t="str">
        <f aca="false">IF(AND(M601&gt;0,O601&gt;0),O601+M601/1000000000000+ROW()/1000000000000000,"")</f>
        <v/>
      </c>
      <c r="T601" s="39" t="str">
        <f aca="false">IF(J601="Belum ditukar",ROW(),"")</f>
        <v/>
      </c>
    </row>
    <row r="602" customFormat="false" ht="15" hidden="false" customHeight="false" outlineLevel="0" collapsed="false">
      <c r="A602" s="50" t="s">
        <v>883</v>
      </c>
      <c r="B602" s="51" t="n">
        <v>45787</v>
      </c>
      <c r="C602" s="50" t="s">
        <v>289</v>
      </c>
      <c r="D602" s="39" t="str">
        <f aca="false">INDEX(Master_Customer!$B$2:$B$126,MATCH(C602,Master_Customer!$A$2:$A$126,0))</f>
        <v>SINAR GARAGE</v>
      </c>
      <c r="E602" s="50" t="s">
        <v>28</v>
      </c>
      <c r="F602" s="52" t="n">
        <f aca="false">SUMIFS(Data_Penjualan!$G$2:$G$5998,Data_Penjualan!$A$2:$A$5998,A602)</f>
        <v>6751700</v>
      </c>
      <c r="G602" s="39" t="n">
        <f aca="false">IF(E602="KANTOR",0,INDEX(Master_Customer!$C$2:$C$126,MATCH(C602,Master_Customer!$A$2:$A$126,0)))</f>
        <v>30</v>
      </c>
      <c r="H602" s="53" t="n">
        <f aca="false">B602+G602</f>
        <v>45817</v>
      </c>
      <c r="I602" s="51" t="n">
        <v>45792</v>
      </c>
      <c r="J602" s="39" t="str">
        <f aca="false">IF(G602=0,"Tunai",IF(I602="","Belum ditukar","Sudah ditukar"))</f>
        <v>Sudah ditukar</v>
      </c>
      <c r="K602" s="54" t="n">
        <v>6751700</v>
      </c>
      <c r="L602" s="51" t="n">
        <v>45819</v>
      </c>
      <c r="M602" s="52" t="n">
        <f aca="false">F602-K602</f>
        <v>0</v>
      </c>
      <c r="N602" s="39" t="str">
        <f aca="false">IF(M602&lt;=0,"Lunas",IF(K602&gt;0,"Sebagian","Belum Bayar"))</f>
        <v>Lunas</v>
      </c>
      <c r="O602" s="39" t="n">
        <f aca="false">IF(M602&gt;0,MAX(0,Catatan!$B$3-H602),0)</f>
        <v>0</v>
      </c>
      <c r="P602" s="39" t="str">
        <f aca="false">IF(M602&lt;=0,"Lunas",IF(Catatan!$B$3&lt;=H602,"Belum Jatuh Tempo",IF(O602&lt;=30,"1-30 hari",IF(O602&lt;=60,"31-60 hari",IF(O602&lt;=90,"61-90 hari","90+ hari")))))</f>
        <v>Lunas</v>
      </c>
      <c r="Q602" s="50"/>
      <c r="R602" s="39" t="str">
        <f aca="false">IF(M602&lt;=0,"",IF(O602&gt;60,"1-Tinggi",IF(O602&gt;30,"2-Sedang",IF(O602&gt;0,"3-Rendah","4-Pantau"))))</f>
        <v/>
      </c>
      <c r="S602" s="39" t="str">
        <f aca="false">IF(AND(M602&gt;0,O602&gt;0),O602+M602/1000000000000+ROW()/1000000000000000,"")</f>
        <v/>
      </c>
      <c r="T602" s="39" t="str">
        <f aca="false">IF(J602="Belum ditukar",ROW(),"")</f>
        <v/>
      </c>
    </row>
    <row r="603" customFormat="false" ht="15" hidden="false" customHeight="false" outlineLevel="0" collapsed="false">
      <c r="A603" s="50" t="s">
        <v>884</v>
      </c>
      <c r="B603" s="51" t="n">
        <v>45789</v>
      </c>
      <c r="C603" s="50" t="s">
        <v>213</v>
      </c>
      <c r="D603" s="39" t="str">
        <f aca="false">INDEX(Master_Customer!$B$2:$B$126,MATCH(C603,Master_Customer!$A$2:$A$126,0))</f>
        <v>ABADI AUTO MAKMUR</v>
      </c>
      <c r="E603" s="50" t="s">
        <v>32</v>
      </c>
      <c r="F603" s="52" t="n">
        <f aca="false">SUMIFS(Data_Penjualan!$G$2:$G$5998,Data_Penjualan!$A$2:$A$5998,A603)</f>
        <v>11948700</v>
      </c>
      <c r="G603" s="39" t="n">
        <f aca="false">IF(E603="KANTOR",0,INDEX(Master_Customer!$C$2:$C$126,MATCH(C603,Master_Customer!$A$2:$A$126,0)))</f>
        <v>0</v>
      </c>
      <c r="H603" s="53" t="n">
        <f aca="false">B603+G603</f>
        <v>45789</v>
      </c>
      <c r="J603" s="39" t="str">
        <f aca="false">IF(G603=0,"Tunai",IF(I603="","Belum ditukar","Sudah ditukar"))</f>
        <v>Tunai</v>
      </c>
      <c r="K603" s="54" t="n">
        <v>11948700</v>
      </c>
      <c r="L603" s="51" t="n">
        <v>45789</v>
      </c>
      <c r="M603" s="52" t="n">
        <f aca="false">F603-K603</f>
        <v>0</v>
      </c>
      <c r="N603" s="39" t="str">
        <f aca="false">IF(M603&lt;=0,"Lunas",IF(K603&gt;0,"Sebagian","Belum Bayar"))</f>
        <v>Lunas</v>
      </c>
      <c r="O603" s="39" t="n">
        <f aca="false">IF(M603&gt;0,MAX(0,Catatan!$B$3-H603),0)</f>
        <v>0</v>
      </c>
      <c r="P603" s="39" t="str">
        <f aca="false">IF(M603&lt;=0,"Lunas",IF(Catatan!$B$3&lt;=H603,"Belum Jatuh Tempo",IF(O603&lt;=30,"1-30 hari",IF(O603&lt;=60,"31-60 hari",IF(O603&lt;=90,"61-90 hari","90+ hari")))))</f>
        <v>Lunas</v>
      </c>
      <c r="Q603" s="50"/>
      <c r="R603" s="39" t="str">
        <f aca="false">IF(M603&lt;=0,"",IF(O603&gt;60,"1-Tinggi",IF(O603&gt;30,"2-Sedang",IF(O603&gt;0,"3-Rendah","4-Pantau"))))</f>
        <v/>
      </c>
      <c r="S603" s="39" t="str">
        <f aca="false">IF(AND(M603&gt;0,O603&gt;0),O603+M603/1000000000000+ROW()/1000000000000000,"")</f>
        <v/>
      </c>
      <c r="T603" s="39" t="str">
        <f aca="false">IF(J603="Belum ditukar",ROW(),"")</f>
        <v/>
      </c>
    </row>
    <row r="604" customFormat="false" ht="15" hidden="false" customHeight="false" outlineLevel="0" collapsed="false">
      <c r="A604" s="50" t="s">
        <v>885</v>
      </c>
      <c r="B604" s="51" t="n">
        <v>45789</v>
      </c>
      <c r="C604" s="50" t="s">
        <v>174</v>
      </c>
      <c r="D604" s="39" t="str">
        <f aca="false">INDEX(Master_Customer!$B$2:$B$126,MATCH(C604,Master_Customer!$A$2:$A$126,0))</f>
        <v>SUMBER TEKNIK SURYA</v>
      </c>
      <c r="E604" s="50" t="s">
        <v>31</v>
      </c>
      <c r="F604" s="52" t="n">
        <f aca="false">SUMIFS(Data_Penjualan!$G$2:$G$5998,Data_Penjualan!$A$2:$A$5998,A604)</f>
        <v>11314800</v>
      </c>
      <c r="G604" s="39" t="n">
        <f aca="false">IF(E604="KANTOR",0,INDEX(Master_Customer!$C$2:$C$126,MATCH(C604,Master_Customer!$A$2:$A$126,0)))</f>
        <v>30</v>
      </c>
      <c r="H604" s="53" t="n">
        <f aca="false">B604+G604</f>
        <v>45819</v>
      </c>
      <c r="I604" s="51" t="n">
        <v>45794</v>
      </c>
      <c r="J604" s="39" t="str">
        <f aca="false">IF(G604=0,"Tunai",IF(I604="","Belum ditukar","Sudah ditukar"))</f>
        <v>Sudah ditukar</v>
      </c>
      <c r="K604" s="54" t="n">
        <v>11314800</v>
      </c>
      <c r="L604" s="51" t="n">
        <v>45823</v>
      </c>
      <c r="M604" s="52" t="n">
        <f aca="false">F604-K604</f>
        <v>0</v>
      </c>
      <c r="N604" s="39" t="str">
        <f aca="false">IF(M604&lt;=0,"Lunas",IF(K604&gt;0,"Sebagian","Belum Bayar"))</f>
        <v>Lunas</v>
      </c>
      <c r="O604" s="39" t="n">
        <f aca="false">IF(M604&gt;0,MAX(0,Catatan!$B$3-H604),0)</f>
        <v>0</v>
      </c>
      <c r="P604" s="39" t="str">
        <f aca="false">IF(M604&lt;=0,"Lunas",IF(Catatan!$B$3&lt;=H604,"Belum Jatuh Tempo",IF(O604&lt;=30,"1-30 hari",IF(O604&lt;=60,"31-60 hari",IF(O604&lt;=90,"61-90 hari","90+ hari")))))</f>
        <v>Lunas</v>
      </c>
      <c r="Q604" s="50"/>
      <c r="R604" s="39" t="str">
        <f aca="false">IF(M604&lt;=0,"",IF(O604&gt;60,"1-Tinggi",IF(O604&gt;30,"2-Sedang",IF(O604&gt;0,"3-Rendah","4-Pantau"))))</f>
        <v/>
      </c>
      <c r="S604" s="39" t="str">
        <f aca="false">IF(AND(M604&gt;0,O604&gt;0),O604+M604/1000000000000+ROW()/1000000000000000,"")</f>
        <v/>
      </c>
      <c r="T604" s="39" t="str">
        <f aca="false">IF(J604="Belum ditukar",ROW(),"")</f>
        <v/>
      </c>
    </row>
    <row r="605" customFormat="false" ht="15" hidden="false" customHeight="false" outlineLevel="0" collapsed="false">
      <c r="A605" s="50" t="s">
        <v>886</v>
      </c>
      <c r="B605" s="51" t="n">
        <v>45789</v>
      </c>
      <c r="C605" s="50" t="s">
        <v>174</v>
      </c>
      <c r="D605" s="39" t="str">
        <f aca="false">INDEX(Master_Customer!$B$2:$B$126,MATCH(C605,Master_Customer!$A$2:$A$126,0))</f>
        <v>SUMBER TEKNIK SURYA</v>
      </c>
      <c r="E605" s="50" t="s">
        <v>32</v>
      </c>
      <c r="F605" s="52" t="n">
        <f aca="false">SUMIFS(Data_Penjualan!$G$2:$G$5998,Data_Penjualan!$A$2:$A$5998,A605)</f>
        <v>4095100</v>
      </c>
      <c r="G605" s="39" t="n">
        <f aca="false">IF(E605="KANTOR",0,INDEX(Master_Customer!$C$2:$C$126,MATCH(C605,Master_Customer!$A$2:$A$126,0)))</f>
        <v>0</v>
      </c>
      <c r="H605" s="53" t="n">
        <f aca="false">B605+G605</f>
        <v>45789</v>
      </c>
      <c r="J605" s="39" t="str">
        <f aca="false">IF(G605=0,"Tunai",IF(I605="","Belum ditukar","Sudah ditukar"))</f>
        <v>Tunai</v>
      </c>
      <c r="K605" s="54" t="n">
        <v>4095100</v>
      </c>
      <c r="L605" s="51" t="n">
        <v>45789</v>
      </c>
      <c r="M605" s="52" t="n">
        <f aca="false">F605-K605</f>
        <v>0</v>
      </c>
      <c r="N605" s="39" t="str">
        <f aca="false">IF(M605&lt;=0,"Lunas",IF(K605&gt;0,"Sebagian","Belum Bayar"))</f>
        <v>Lunas</v>
      </c>
      <c r="O605" s="39" t="n">
        <f aca="false">IF(M605&gt;0,MAX(0,Catatan!$B$3-H605),0)</f>
        <v>0</v>
      </c>
      <c r="P605" s="39" t="str">
        <f aca="false">IF(M605&lt;=0,"Lunas",IF(Catatan!$B$3&lt;=H605,"Belum Jatuh Tempo",IF(O605&lt;=30,"1-30 hari",IF(O605&lt;=60,"31-60 hari",IF(O605&lt;=90,"61-90 hari","90+ hari")))))</f>
        <v>Lunas</v>
      </c>
      <c r="Q605" s="50"/>
      <c r="R605" s="39" t="str">
        <f aca="false">IF(M605&lt;=0,"",IF(O605&gt;60,"1-Tinggi",IF(O605&gt;30,"2-Sedang",IF(O605&gt;0,"3-Rendah","4-Pantau"))))</f>
        <v/>
      </c>
      <c r="S605" s="39" t="str">
        <f aca="false">IF(AND(M605&gt;0,O605&gt;0),O605+M605/1000000000000+ROW()/1000000000000000,"")</f>
        <v/>
      </c>
      <c r="T605" s="39" t="str">
        <f aca="false">IF(J605="Belum ditukar",ROW(),"")</f>
        <v/>
      </c>
    </row>
    <row r="606" customFormat="false" ht="15" hidden="false" customHeight="false" outlineLevel="0" collapsed="false">
      <c r="A606" s="50" t="s">
        <v>887</v>
      </c>
      <c r="B606" s="51" t="n">
        <v>45789</v>
      </c>
      <c r="C606" s="50" t="s">
        <v>168</v>
      </c>
      <c r="D606" s="39" t="str">
        <f aca="false">INDEX(Master_Customer!$B$2:$B$126,MATCH(C606,Master_Customer!$A$2:$A$126,0))</f>
        <v>JAYA LUBRICANT</v>
      </c>
      <c r="E606" s="50" t="s">
        <v>29</v>
      </c>
      <c r="F606" s="52" t="n">
        <f aca="false">SUMIFS(Data_Penjualan!$G$2:$G$5998,Data_Penjualan!$A$2:$A$5998,A606)</f>
        <v>3412600</v>
      </c>
      <c r="G606" s="39" t="n">
        <f aca="false">IF(E606="KANTOR",0,INDEX(Master_Customer!$C$2:$C$126,MATCH(C606,Master_Customer!$A$2:$A$126,0)))</f>
        <v>0</v>
      </c>
      <c r="H606" s="53" t="n">
        <f aca="false">B606+G606</f>
        <v>45789</v>
      </c>
      <c r="J606" s="39" t="str">
        <f aca="false">IF(G606=0,"Tunai",IF(I606="","Belum ditukar","Sudah ditukar"))</f>
        <v>Tunai</v>
      </c>
      <c r="K606" s="54" t="n">
        <v>3412600</v>
      </c>
      <c r="L606" s="51" t="n">
        <v>45791</v>
      </c>
      <c r="M606" s="52" t="n">
        <f aca="false">F606-K606</f>
        <v>0</v>
      </c>
      <c r="N606" s="39" t="str">
        <f aca="false">IF(M606&lt;=0,"Lunas",IF(K606&gt;0,"Sebagian","Belum Bayar"))</f>
        <v>Lunas</v>
      </c>
      <c r="O606" s="39" t="n">
        <f aca="false">IF(M606&gt;0,MAX(0,Catatan!$B$3-H606),0)</f>
        <v>0</v>
      </c>
      <c r="P606" s="39" t="str">
        <f aca="false">IF(M606&lt;=0,"Lunas",IF(Catatan!$B$3&lt;=H606,"Belum Jatuh Tempo",IF(O606&lt;=30,"1-30 hari",IF(O606&lt;=60,"31-60 hari",IF(O606&lt;=90,"61-90 hari","90+ hari")))))</f>
        <v>Lunas</v>
      </c>
      <c r="Q606" s="50"/>
      <c r="R606" s="39" t="str">
        <f aca="false">IF(M606&lt;=0,"",IF(O606&gt;60,"1-Tinggi",IF(O606&gt;30,"2-Sedang",IF(O606&gt;0,"3-Rendah","4-Pantau"))))</f>
        <v/>
      </c>
      <c r="S606" s="39" t="str">
        <f aca="false">IF(AND(M606&gt;0,O606&gt;0),O606+M606/1000000000000+ROW()/1000000000000000,"")</f>
        <v/>
      </c>
      <c r="T606" s="39" t="str">
        <f aca="false">IF(J606="Belum ditukar",ROW(),"")</f>
        <v/>
      </c>
    </row>
    <row r="607" customFormat="false" ht="15" hidden="false" customHeight="false" outlineLevel="0" collapsed="false">
      <c r="A607" s="50" t="s">
        <v>888</v>
      </c>
      <c r="B607" s="51" t="n">
        <v>45789</v>
      </c>
      <c r="C607" s="50" t="s">
        <v>177</v>
      </c>
      <c r="D607" s="39" t="str">
        <f aca="false">INDEX(Master_Customer!$B$2:$B$126,MATCH(C607,Master_Customer!$A$2:$A$126,0))</f>
        <v>PRIMA MOTOR LANCAR</v>
      </c>
      <c r="E607" s="50" t="s">
        <v>29</v>
      </c>
      <c r="F607" s="52" t="n">
        <f aca="false">SUMIFS(Data_Penjualan!$G$2:$G$5998,Data_Penjualan!$A$2:$A$5998,A607)</f>
        <v>2991100</v>
      </c>
      <c r="G607" s="39" t="n">
        <f aca="false">IF(E607="KANTOR",0,INDEX(Master_Customer!$C$2:$C$126,MATCH(C607,Master_Customer!$A$2:$A$126,0)))</f>
        <v>14</v>
      </c>
      <c r="H607" s="53" t="n">
        <f aca="false">B607+G607</f>
        <v>45803</v>
      </c>
      <c r="I607" s="51" t="n">
        <v>45792</v>
      </c>
      <c r="J607" s="39" t="str">
        <f aca="false">IF(G607=0,"Tunai",IF(I607="","Belum ditukar","Sudah ditukar"))</f>
        <v>Sudah ditukar</v>
      </c>
      <c r="K607" s="54" t="n">
        <v>2991100</v>
      </c>
      <c r="L607" s="51" t="n">
        <v>45800</v>
      </c>
      <c r="M607" s="52" t="n">
        <f aca="false">F607-K607</f>
        <v>0</v>
      </c>
      <c r="N607" s="39" t="str">
        <f aca="false">IF(M607&lt;=0,"Lunas",IF(K607&gt;0,"Sebagian","Belum Bayar"))</f>
        <v>Lunas</v>
      </c>
      <c r="O607" s="39" t="n">
        <f aca="false">IF(M607&gt;0,MAX(0,Catatan!$B$3-H607),0)</f>
        <v>0</v>
      </c>
      <c r="P607" s="39" t="str">
        <f aca="false">IF(M607&lt;=0,"Lunas",IF(Catatan!$B$3&lt;=H607,"Belum Jatuh Tempo",IF(O607&lt;=30,"1-30 hari",IF(O607&lt;=60,"31-60 hari",IF(O607&lt;=90,"61-90 hari","90+ hari")))))</f>
        <v>Lunas</v>
      </c>
      <c r="Q607" s="50"/>
      <c r="R607" s="39" t="str">
        <f aca="false">IF(M607&lt;=0,"",IF(O607&gt;60,"1-Tinggi",IF(O607&gt;30,"2-Sedang",IF(O607&gt;0,"3-Rendah","4-Pantau"))))</f>
        <v/>
      </c>
      <c r="S607" s="39" t="str">
        <f aca="false">IF(AND(M607&gt;0,O607&gt;0),O607+M607/1000000000000+ROW()/1000000000000000,"")</f>
        <v/>
      </c>
      <c r="T607" s="39" t="str">
        <f aca="false">IF(J607="Belum ditukar",ROW(),"")</f>
        <v/>
      </c>
    </row>
    <row r="608" customFormat="false" ht="15" hidden="false" customHeight="false" outlineLevel="0" collapsed="false">
      <c r="A608" s="50" t="s">
        <v>889</v>
      </c>
      <c r="B608" s="51" t="n">
        <v>45789</v>
      </c>
      <c r="C608" s="50" t="s">
        <v>666</v>
      </c>
      <c r="D608" s="39" t="str">
        <f aca="false">INDEX(Master_Customer!$B$2:$B$126,MATCH(C608,Master_Customer!$A$2:$A$126,0))</f>
        <v>SUMBER MOTOR</v>
      </c>
      <c r="E608" s="50" t="s">
        <v>32</v>
      </c>
      <c r="F608" s="52" t="n">
        <f aca="false">SUMIFS(Data_Penjualan!$G$2:$G$5998,Data_Penjualan!$A$2:$A$5998,A608)</f>
        <v>15852600</v>
      </c>
      <c r="G608" s="39" t="n">
        <f aca="false">IF(E608="KANTOR",0,INDEX(Master_Customer!$C$2:$C$126,MATCH(C608,Master_Customer!$A$2:$A$126,0)))</f>
        <v>0</v>
      </c>
      <c r="H608" s="53" t="n">
        <f aca="false">B608+G608</f>
        <v>45789</v>
      </c>
      <c r="J608" s="39" t="str">
        <f aca="false">IF(G608=0,"Tunai",IF(I608="","Belum ditukar","Sudah ditukar"))</f>
        <v>Tunai</v>
      </c>
      <c r="K608" s="54" t="n">
        <v>15852600</v>
      </c>
      <c r="L608" s="51" t="n">
        <v>45789</v>
      </c>
      <c r="M608" s="52" t="n">
        <f aca="false">F608-K608</f>
        <v>0</v>
      </c>
      <c r="N608" s="39" t="str">
        <f aca="false">IF(M608&lt;=0,"Lunas",IF(K608&gt;0,"Sebagian","Belum Bayar"))</f>
        <v>Lunas</v>
      </c>
      <c r="O608" s="39" t="n">
        <f aca="false">IF(M608&gt;0,MAX(0,Catatan!$B$3-H608),0)</f>
        <v>0</v>
      </c>
      <c r="P608" s="39" t="str">
        <f aca="false">IF(M608&lt;=0,"Lunas",IF(Catatan!$B$3&lt;=H608,"Belum Jatuh Tempo",IF(O608&lt;=30,"1-30 hari",IF(O608&lt;=60,"31-60 hari",IF(O608&lt;=90,"61-90 hari","90+ hari")))))</f>
        <v>Lunas</v>
      </c>
      <c r="Q608" s="50"/>
      <c r="R608" s="39" t="str">
        <f aca="false">IF(M608&lt;=0,"",IF(O608&gt;60,"1-Tinggi",IF(O608&gt;30,"2-Sedang",IF(O608&gt;0,"3-Rendah","4-Pantau"))))</f>
        <v/>
      </c>
      <c r="S608" s="39" t="str">
        <f aca="false">IF(AND(M608&gt;0,O608&gt;0),O608+M608/1000000000000+ROW()/1000000000000000,"")</f>
        <v/>
      </c>
      <c r="T608" s="39" t="str">
        <f aca="false">IF(J608="Belum ditukar",ROW(),"")</f>
        <v/>
      </c>
    </row>
    <row r="609" customFormat="false" ht="15" hidden="false" customHeight="false" outlineLevel="0" collapsed="false">
      <c r="A609" s="50" t="s">
        <v>890</v>
      </c>
      <c r="B609" s="51" t="n">
        <v>45789</v>
      </c>
      <c r="C609" s="50" t="s">
        <v>562</v>
      </c>
      <c r="D609" s="39" t="str">
        <f aca="false">INDEX(Master_Customer!$B$2:$B$126,MATCH(C609,Master_Customer!$A$2:$A$126,0))</f>
        <v>BERKAH SERVICE SENTOSA</v>
      </c>
      <c r="E609" s="50" t="s">
        <v>28</v>
      </c>
      <c r="F609" s="52" t="n">
        <f aca="false">SUMIFS(Data_Penjualan!$G$2:$G$5998,Data_Penjualan!$A$2:$A$5998,A609)</f>
        <v>6456200</v>
      </c>
      <c r="G609" s="39" t="n">
        <f aca="false">IF(E609="KANTOR",0,INDEX(Master_Customer!$C$2:$C$126,MATCH(C609,Master_Customer!$A$2:$A$126,0)))</f>
        <v>14</v>
      </c>
      <c r="H609" s="53" t="n">
        <f aca="false">B609+G609</f>
        <v>45803</v>
      </c>
      <c r="I609" s="51" t="n">
        <v>45793</v>
      </c>
      <c r="J609" s="39" t="str">
        <f aca="false">IF(G609=0,"Tunai",IF(I609="","Belum ditukar","Sudah ditukar"))</f>
        <v>Sudah ditukar</v>
      </c>
      <c r="K609" s="54" t="n">
        <v>6456200</v>
      </c>
      <c r="L609" s="51" t="n">
        <v>45813</v>
      </c>
      <c r="M609" s="52" t="n">
        <f aca="false">F609-K609</f>
        <v>0</v>
      </c>
      <c r="N609" s="39" t="str">
        <f aca="false">IF(M609&lt;=0,"Lunas",IF(K609&gt;0,"Sebagian","Belum Bayar"))</f>
        <v>Lunas</v>
      </c>
      <c r="O609" s="39" t="n">
        <f aca="false">IF(M609&gt;0,MAX(0,Catatan!$B$3-H609),0)</f>
        <v>0</v>
      </c>
      <c r="P609" s="39" t="str">
        <f aca="false">IF(M609&lt;=0,"Lunas",IF(Catatan!$B$3&lt;=H609,"Belum Jatuh Tempo",IF(O609&lt;=30,"1-30 hari",IF(O609&lt;=60,"31-60 hari",IF(O609&lt;=90,"61-90 hari","90+ hari")))))</f>
        <v>Lunas</v>
      </c>
      <c r="Q609" s="50"/>
      <c r="R609" s="39" t="str">
        <f aca="false">IF(M609&lt;=0,"",IF(O609&gt;60,"1-Tinggi",IF(O609&gt;30,"2-Sedang",IF(O609&gt;0,"3-Rendah","4-Pantau"))))</f>
        <v/>
      </c>
      <c r="S609" s="39" t="str">
        <f aca="false">IF(AND(M609&gt;0,O609&gt;0),O609+M609/1000000000000+ROW()/1000000000000000,"")</f>
        <v/>
      </c>
      <c r="T609" s="39" t="str">
        <f aca="false">IF(J609="Belum ditukar",ROW(),"")</f>
        <v/>
      </c>
    </row>
    <row r="610" customFormat="false" ht="15" hidden="false" customHeight="false" outlineLevel="0" collapsed="false">
      <c r="A610" s="50" t="s">
        <v>891</v>
      </c>
      <c r="B610" s="51" t="n">
        <v>45790</v>
      </c>
      <c r="C610" s="50" t="s">
        <v>205</v>
      </c>
      <c r="D610" s="39" t="str">
        <f aca="false">INDEX(Master_Customer!$B$2:$B$126,MATCH(C610,Master_Customer!$A$2:$A$126,0))</f>
        <v>BERKAH OLI</v>
      </c>
      <c r="E610" s="50" t="s">
        <v>28</v>
      </c>
      <c r="F610" s="52" t="n">
        <f aca="false">SUMIFS(Data_Penjualan!$G$2:$G$5998,Data_Penjualan!$A$2:$A$5998,A610)</f>
        <v>10834800</v>
      </c>
      <c r="G610" s="39" t="n">
        <f aca="false">IF(E610="KANTOR",0,INDEX(Master_Customer!$C$2:$C$126,MATCH(C610,Master_Customer!$A$2:$A$126,0)))</f>
        <v>0</v>
      </c>
      <c r="H610" s="53" t="n">
        <f aca="false">B610+G610</f>
        <v>45790</v>
      </c>
      <c r="J610" s="39" t="str">
        <f aca="false">IF(G610=0,"Tunai",IF(I610="","Belum ditukar","Sudah ditukar"))</f>
        <v>Tunai</v>
      </c>
      <c r="K610" s="54" t="n">
        <v>10834800</v>
      </c>
      <c r="L610" s="51" t="n">
        <v>45790</v>
      </c>
      <c r="M610" s="52" t="n">
        <f aca="false">F610-K610</f>
        <v>0</v>
      </c>
      <c r="N610" s="39" t="str">
        <f aca="false">IF(M610&lt;=0,"Lunas",IF(K610&gt;0,"Sebagian","Belum Bayar"))</f>
        <v>Lunas</v>
      </c>
      <c r="O610" s="39" t="n">
        <f aca="false">IF(M610&gt;0,MAX(0,Catatan!$B$3-H610),0)</f>
        <v>0</v>
      </c>
      <c r="P610" s="39" t="str">
        <f aca="false">IF(M610&lt;=0,"Lunas",IF(Catatan!$B$3&lt;=H610,"Belum Jatuh Tempo",IF(O610&lt;=30,"1-30 hari",IF(O610&lt;=60,"31-60 hari",IF(O610&lt;=90,"61-90 hari","90+ hari")))))</f>
        <v>Lunas</v>
      </c>
      <c r="Q610" s="50"/>
      <c r="R610" s="39" t="str">
        <f aca="false">IF(M610&lt;=0,"",IF(O610&gt;60,"1-Tinggi",IF(O610&gt;30,"2-Sedang",IF(O610&gt;0,"3-Rendah","4-Pantau"))))</f>
        <v/>
      </c>
      <c r="S610" s="39" t="str">
        <f aca="false">IF(AND(M610&gt;0,O610&gt;0),O610+M610/1000000000000+ROW()/1000000000000000,"")</f>
        <v/>
      </c>
      <c r="T610" s="39" t="str">
        <f aca="false">IF(J610="Belum ditukar",ROW(),"")</f>
        <v/>
      </c>
    </row>
    <row r="611" customFormat="false" ht="15" hidden="false" customHeight="false" outlineLevel="0" collapsed="false">
      <c r="A611" s="50" t="s">
        <v>892</v>
      </c>
      <c r="B611" s="51" t="n">
        <v>45790</v>
      </c>
      <c r="C611" s="50" t="s">
        <v>168</v>
      </c>
      <c r="D611" s="39" t="str">
        <f aca="false">INDEX(Master_Customer!$B$2:$B$126,MATCH(C611,Master_Customer!$A$2:$A$126,0))</f>
        <v>JAYA LUBRICANT</v>
      </c>
      <c r="E611" s="50" t="s">
        <v>29</v>
      </c>
      <c r="F611" s="52" t="n">
        <f aca="false">SUMIFS(Data_Penjualan!$G$2:$G$5998,Data_Penjualan!$A$2:$A$5998,A611)</f>
        <v>10715900</v>
      </c>
      <c r="G611" s="39" t="n">
        <f aca="false">IF(E611="KANTOR",0,INDEX(Master_Customer!$C$2:$C$126,MATCH(C611,Master_Customer!$A$2:$A$126,0)))</f>
        <v>0</v>
      </c>
      <c r="H611" s="53" t="n">
        <f aca="false">B611+G611</f>
        <v>45790</v>
      </c>
      <c r="J611" s="39" t="str">
        <f aca="false">IF(G611=0,"Tunai",IF(I611="","Belum ditukar","Sudah ditukar"))</f>
        <v>Tunai</v>
      </c>
      <c r="K611" s="54" t="n">
        <v>10715900</v>
      </c>
      <c r="L611" s="51" t="n">
        <v>45790</v>
      </c>
      <c r="M611" s="52" t="n">
        <f aca="false">F611-K611</f>
        <v>0</v>
      </c>
      <c r="N611" s="39" t="str">
        <f aca="false">IF(M611&lt;=0,"Lunas",IF(K611&gt;0,"Sebagian","Belum Bayar"))</f>
        <v>Lunas</v>
      </c>
      <c r="O611" s="39" t="n">
        <f aca="false">IF(M611&gt;0,MAX(0,Catatan!$B$3-H611),0)</f>
        <v>0</v>
      </c>
      <c r="P611" s="39" t="str">
        <f aca="false">IF(M611&lt;=0,"Lunas",IF(Catatan!$B$3&lt;=H611,"Belum Jatuh Tempo",IF(O611&lt;=30,"1-30 hari",IF(O611&lt;=60,"31-60 hari",IF(O611&lt;=90,"61-90 hari","90+ hari")))))</f>
        <v>Lunas</v>
      </c>
      <c r="Q611" s="50"/>
      <c r="R611" s="39" t="str">
        <f aca="false">IF(M611&lt;=0,"",IF(O611&gt;60,"1-Tinggi",IF(O611&gt;30,"2-Sedang",IF(O611&gt;0,"3-Rendah","4-Pantau"))))</f>
        <v/>
      </c>
      <c r="S611" s="39" t="str">
        <f aca="false">IF(AND(M611&gt;0,O611&gt;0),O611+M611/1000000000000+ROW()/1000000000000000,"")</f>
        <v/>
      </c>
      <c r="T611" s="39" t="str">
        <f aca="false">IF(J611="Belum ditukar",ROW(),"")</f>
        <v/>
      </c>
    </row>
    <row r="612" customFormat="false" ht="15" hidden="false" customHeight="false" outlineLevel="0" collapsed="false">
      <c r="A612" s="50" t="s">
        <v>893</v>
      </c>
      <c r="B612" s="51" t="n">
        <v>45790</v>
      </c>
      <c r="C612" s="50" t="s">
        <v>475</v>
      </c>
      <c r="D612" s="39" t="str">
        <f aca="false">INDEX(Master_Customer!$B$2:$B$126,MATCH(C612,Master_Customer!$A$2:$A$126,0))</f>
        <v>CAHAYA BENGKEL</v>
      </c>
      <c r="E612" s="50" t="s">
        <v>32</v>
      </c>
      <c r="F612" s="52" t="n">
        <f aca="false">SUMIFS(Data_Penjualan!$G$2:$G$5998,Data_Penjualan!$A$2:$A$5998,A612)</f>
        <v>9713000</v>
      </c>
      <c r="G612" s="39" t="n">
        <f aca="false">IF(E612="KANTOR",0,INDEX(Master_Customer!$C$2:$C$126,MATCH(C612,Master_Customer!$A$2:$A$126,0)))</f>
        <v>0</v>
      </c>
      <c r="H612" s="53" t="n">
        <f aca="false">B612+G612</f>
        <v>45790</v>
      </c>
      <c r="J612" s="39" t="str">
        <f aca="false">IF(G612=0,"Tunai",IF(I612="","Belum ditukar","Sudah ditukar"))</f>
        <v>Tunai</v>
      </c>
      <c r="K612" s="54" t="n">
        <v>9713000</v>
      </c>
      <c r="L612" s="51" t="n">
        <v>45790</v>
      </c>
      <c r="M612" s="52" t="n">
        <f aca="false">F612-K612</f>
        <v>0</v>
      </c>
      <c r="N612" s="39" t="str">
        <f aca="false">IF(M612&lt;=0,"Lunas",IF(K612&gt;0,"Sebagian","Belum Bayar"))</f>
        <v>Lunas</v>
      </c>
      <c r="O612" s="39" t="n">
        <f aca="false">IF(M612&gt;0,MAX(0,Catatan!$B$3-H612),0)</f>
        <v>0</v>
      </c>
      <c r="P612" s="39" t="str">
        <f aca="false">IF(M612&lt;=0,"Lunas",IF(Catatan!$B$3&lt;=H612,"Belum Jatuh Tempo",IF(O612&lt;=30,"1-30 hari",IF(O612&lt;=60,"31-60 hari",IF(O612&lt;=90,"61-90 hari","90+ hari")))))</f>
        <v>Lunas</v>
      </c>
      <c r="Q612" s="50"/>
      <c r="R612" s="39" t="str">
        <f aca="false">IF(M612&lt;=0,"",IF(O612&gt;60,"1-Tinggi",IF(O612&gt;30,"2-Sedang",IF(O612&gt;0,"3-Rendah","4-Pantau"))))</f>
        <v/>
      </c>
      <c r="S612" s="39" t="str">
        <f aca="false">IF(AND(M612&gt;0,O612&gt;0),O612+M612/1000000000000+ROW()/1000000000000000,"")</f>
        <v/>
      </c>
      <c r="T612" s="39" t="str">
        <f aca="false">IF(J612="Belum ditukar",ROW(),"")</f>
        <v/>
      </c>
    </row>
    <row r="613" customFormat="false" ht="15" hidden="false" customHeight="false" outlineLevel="0" collapsed="false">
      <c r="A613" s="50" t="s">
        <v>894</v>
      </c>
      <c r="B613" s="51" t="n">
        <v>45790</v>
      </c>
      <c r="C613" s="50" t="s">
        <v>560</v>
      </c>
      <c r="D613" s="39" t="str">
        <f aca="false">INDEX(Master_Customer!$B$2:$B$126,MATCH(C613,Master_Customer!$A$2:$A$126,0))</f>
        <v>UTAMA TEKNIK MITRA</v>
      </c>
      <c r="E613" s="50" t="s">
        <v>30</v>
      </c>
      <c r="F613" s="52" t="n">
        <f aca="false">SUMIFS(Data_Penjualan!$G$2:$G$5998,Data_Penjualan!$A$2:$A$5998,A613)</f>
        <v>984000</v>
      </c>
      <c r="G613" s="39" t="n">
        <f aca="false">IF(E613="KANTOR",0,INDEX(Master_Customer!$C$2:$C$126,MATCH(C613,Master_Customer!$A$2:$A$126,0)))</f>
        <v>30</v>
      </c>
      <c r="H613" s="53" t="n">
        <f aca="false">B613+G613</f>
        <v>45820</v>
      </c>
      <c r="I613" s="51" t="n">
        <v>45791</v>
      </c>
      <c r="J613" s="39" t="str">
        <f aca="false">IF(G613=0,"Tunai",IF(I613="","Belum ditukar","Sudah ditukar"))</f>
        <v>Sudah ditukar</v>
      </c>
      <c r="K613" s="54" t="n">
        <v>984000</v>
      </c>
      <c r="L613" s="51" t="n">
        <v>45827</v>
      </c>
      <c r="M613" s="52" t="n">
        <f aca="false">F613-K613</f>
        <v>0</v>
      </c>
      <c r="N613" s="39" t="str">
        <f aca="false">IF(M613&lt;=0,"Lunas",IF(K613&gt;0,"Sebagian","Belum Bayar"))</f>
        <v>Lunas</v>
      </c>
      <c r="O613" s="39" t="n">
        <f aca="false">IF(M613&gt;0,MAX(0,Catatan!$B$3-H613),0)</f>
        <v>0</v>
      </c>
      <c r="P613" s="39" t="str">
        <f aca="false">IF(M613&lt;=0,"Lunas",IF(Catatan!$B$3&lt;=H613,"Belum Jatuh Tempo",IF(O613&lt;=30,"1-30 hari",IF(O613&lt;=60,"31-60 hari",IF(O613&lt;=90,"61-90 hari","90+ hari")))))</f>
        <v>Lunas</v>
      </c>
      <c r="Q613" s="50"/>
      <c r="R613" s="39" t="str">
        <f aca="false">IF(M613&lt;=0,"",IF(O613&gt;60,"1-Tinggi",IF(O613&gt;30,"2-Sedang",IF(O613&gt;0,"3-Rendah","4-Pantau"))))</f>
        <v/>
      </c>
      <c r="S613" s="39" t="str">
        <f aca="false">IF(AND(M613&gt;0,O613&gt;0),O613+M613/1000000000000+ROW()/1000000000000000,"")</f>
        <v/>
      </c>
      <c r="T613" s="39" t="str">
        <f aca="false">IF(J613="Belum ditukar",ROW(),"")</f>
        <v/>
      </c>
    </row>
    <row r="614" customFormat="false" ht="15" hidden="false" customHeight="false" outlineLevel="0" collapsed="false">
      <c r="A614" s="50" t="s">
        <v>895</v>
      </c>
      <c r="B614" s="51" t="n">
        <v>45790</v>
      </c>
      <c r="C614" s="50" t="s">
        <v>211</v>
      </c>
      <c r="D614" s="39" t="str">
        <f aca="false">INDEX(Master_Customer!$B$2:$B$126,MATCH(C614,Master_Customer!$A$2:$A$126,0))</f>
        <v>PRIMA MOBIL</v>
      </c>
      <c r="E614" s="50" t="s">
        <v>30</v>
      </c>
      <c r="F614" s="52" t="n">
        <f aca="false">SUMIFS(Data_Penjualan!$G$2:$G$5998,Data_Penjualan!$A$2:$A$5998,A614)</f>
        <v>10184700</v>
      </c>
      <c r="G614" s="39" t="n">
        <f aca="false">IF(E614="KANTOR",0,INDEX(Master_Customer!$C$2:$C$126,MATCH(C614,Master_Customer!$A$2:$A$126,0)))</f>
        <v>0</v>
      </c>
      <c r="H614" s="53" t="n">
        <f aca="false">B614+G614</f>
        <v>45790</v>
      </c>
      <c r="J614" s="39" t="str">
        <f aca="false">IF(G614=0,"Tunai",IF(I614="","Belum ditukar","Sudah ditukar"))</f>
        <v>Tunai</v>
      </c>
      <c r="K614" s="54" t="n">
        <v>10184700</v>
      </c>
      <c r="L614" s="51" t="n">
        <v>45790</v>
      </c>
      <c r="M614" s="52" t="n">
        <f aca="false">F614-K614</f>
        <v>0</v>
      </c>
      <c r="N614" s="39" t="str">
        <f aca="false">IF(M614&lt;=0,"Lunas",IF(K614&gt;0,"Sebagian","Belum Bayar"))</f>
        <v>Lunas</v>
      </c>
      <c r="O614" s="39" t="n">
        <f aca="false">IF(M614&gt;0,MAX(0,Catatan!$B$3-H614),0)</f>
        <v>0</v>
      </c>
      <c r="P614" s="39" t="str">
        <f aca="false">IF(M614&lt;=0,"Lunas",IF(Catatan!$B$3&lt;=H614,"Belum Jatuh Tempo",IF(O614&lt;=30,"1-30 hari",IF(O614&lt;=60,"31-60 hari",IF(O614&lt;=90,"61-90 hari","90+ hari")))))</f>
        <v>Lunas</v>
      </c>
      <c r="Q614" s="50"/>
      <c r="R614" s="39" t="str">
        <f aca="false">IF(M614&lt;=0,"",IF(O614&gt;60,"1-Tinggi",IF(O614&gt;30,"2-Sedang",IF(O614&gt;0,"3-Rendah","4-Pantau"))))</f>
        <v/>
      </c>
      <c r="S614" s="39" t="str">
        <f aca="false">IF(AND(M614&gt;0,O614&gt;0),O614+M614/1000000000000+ROW()/1000000000000000,"")</f>
        <v/>
      </c>
      <c r="T614" s="39" t="str">
        <f aca="false">IF(J614="Belum ditukar",ROW(),"")</f>
        <v/>
      </c>
    </row>
    <row r="615" customFormat="false" ht="15" hidden="false" customHeight="false" outlineLevel="0" collapsed="false">
      <c r="A615" s="50" t="s">
        <v>896</v>
      </c>
      <c r="B615" s="51" t="n">
        <v>45791</v>
      </c>
      <c r="C615" s="50" t="s">
        <v>221</v>
      </c>
      <c r="D615" s="39" t="str">
        <f aca="false">INDEX(Master_Customer!$B$2:$B$126,MATCH(C615,Master_Customer!$A$2:$A$126,0))</f>
        <v>ABADI AUTO SURYA</v>
      </c>
      <c r="E615" s="50" t="s">
        <v>31</v>
      </c>
      <c r="F615" s="52" t="n">
        <f aca="false">SUMIFS(Data_Penjualan!$G$2:$G$5998,Data_Penjualan!$A$2:$A$5998,A615)</f>
        <v>10068600</v>
      </c>
      <c r="G615" s="39" t="n">
        <f aca="false">IF(E615="KANTOR",0,INDEX(Master_Customer!$C$2:$C$126,MATCH(C615,Master_Customer!$A$2:$A$126,0)))</f>
        <v>14</v>
      </c>
      <c r="H615" s="53" t="n">
        <f aca="false">B615+G615</f>
        <v>45805</v>
      </c>
      <c r="I615" s="51" t="n">
        <v>45795</v>
      </c>
      <c r="J615" s="39" t="str">
        <f aca="false">IF(G615=0,"Tunai",IF(I615="","Belum ditukar","Sudah ditukar"))</f>
        <v>Sudah ditukar</v>
      </c>
      <c r="K615" s="54" t="n">
        <v>10068600</v>
      </c>
      <c r="L615" s="51" t="n">
        <v>45840</v>
      </c>
      <c r="M615" s="52" t="n">
        <f aca="false">F615-K615</f>
        <v>0</v>
      </c>
      <c r="N615" s="39" t="str">
        <f aca="false">IF(M615&lt;=0,"Lunas",IF(K615&gt;0,"Sebagian","Belum Bayar"))</f>
        <v>Lunas</v>
      </c>
      <c r="O615" s="39" t="n">
        <f aca="false">IF(M615&gt;0,MAX(0,Catatan!$B$3-H615),0)</f>
        <v>0</v>
      </c>
      <c r="P615" s="39" t="str">
        <f aca="false">IF(M615&lt;=0,"Lunas",IF(Catatan!$B$3&lt;=H615,"Belum Jatuh Tempo",IF(O615&lt;=30,"1-30 hari",IF(O615&lt;=60,"31-60 hari",IF(O615&lt;=90,"61-90 hari","90+ hari")))))</f>
        <v>Lunas</v>
      </c>
      <c r="Q615" s="50"/>
      <c r="R615" s="39" t="str">
        <f aca="false">IF(M615&lt;=0,"",IF(O615&gt;60,"1-Tinggi",IF(O615&gt;30,"2-Sedang",IF(O615&gt;0,"3-Rendah","4-Pantau"))))</f>
        <v/>
      </c>
      <c r="S615" s="39" t="str">
        <f aca="false">IF(AND(M615&gt;0,O615&gt;0),O615+M615/1000000000000+ROW()/1000000000000000,"")</f>
        <v/>
      </c>
      <c r="T615" s="39" t="str">
        <f aca="false">IF(J615="Belum ditukar",ROW(),"")</f>
        <v/>
      </c>
    </row>
    <row r="616" customFormat="false" ht="15" hidden="false" customHeight="false" outlineLevel="0" collapsed="false">
      <c r="A616" s="50" t="s">
        <v>897</v>
      </c>
      <c r="B616" s="51" t="n">
        <v>45791</v>
      </c>
      <c r="C616" s="50" t="s">
        <v>261</v>
      </c>
      <c r="D616" s="39" t="str">
        <f aca="false">INDEX(Master_Customer!$B$2:$B$126,MATCH(C616,Master_Customer!$A$2:$A$126,0))</f>
        <v>SUMBER MOTOR UTAMA</v>
      </c>
      <c r="E616" s="50" t="s">
        <v>32</v>
      </c>
      <c r="F616" s="52" t="n">
        <f aca="false">SUMIFS(Data_Penjualan!$G$2:$G$5998,Data_Penjualan!$A$2:$A$5998,A616)</f>
        <v>14561500</v>
      </c>
      <c r="G616" s="39" t="n">
        <f aca="false">IF(E616="KANTOR",0,INDEX(Master_Customer!$C$2:$C$126,MATCH(C616,Master_Customer!$A$2:$A$126,0)))</f>
        <v>0</v>
      </c>
      <c r="H616" s="53" t="n">
        <f aca="false">B616+G616</f>
        <v>45791</v>
      </c>
      <c r="J616" s="39" t="str">
        <f aca="false">IF(G616=0,"Tunai",IF(I616="","Belum ditukar","Sudah ditukar"))</f>
        <v>Tunai</v>
      </c>
      <c r="K616" s="54" t="n">
        <v>14561500</v>
      </c>
      <c r="L616" s="51" t="n">
        <v>45791</v>
      </c>
      <c r="M616" s="52" t="n">
        <f aca="false">F616-K616</f>
        <v>0</v>
      </c>
      <c r="N616" s="39" t="str">
        <f aca="false">IF(M616&lt;=0,"Lunas",IF(K616&gt;0,"Sebagian","Belum Bayar"))</f>
        <v>Lunas</v>
      </c>
      <c r="O616" s="39" t="n">
        <f aca="false">IF(M616&gt;0,MAX(0,Catatan!$B$3-H616),0)</f>
        <v>0</v>
      </c>
      <c r="P616" s="39" t="str">
        <f aca="false">IF(M616&lt;=0,"Lunas",IF(Catatan!$B$3&lt;=H616,"Belum Jatuh Tempo",IF(O616&lt;=30,"1-30 hari",IF(O616&lt;=60,"31-60 hari",IF(O616&lt;=90,"61-90 hari","90+ hari")))))</f>
        <v>Lunas</v>
      </c>
      <c r="Q616" s="50"/>
      <c r="R616" s="39" t="str">
        <f aca="false">IF(M616&lt;=0,"",IF(O616&gt;60,"1-Tinggi",IF(O616&gt;30,"2-Sedang",IF(O616&gt;0,"3-Rendah","4-Pantau"))))</f>
        <v/>
      </c>
      <c r="S616" s="39" t="str">
        <f aca="false">IF(AND(M616&gt;0,O616&gt;0),O616+M616/1000000000000+ROW()/1000000000000000,"")</f>
        <v/>
      </c>
      <c r="T616" s="39" t="str">
        <f aca="false">IF(J616="Belum ditukar",ROW(),"")</f>
        <v/>
      </c>
    </row>
    <row r="617" customFormat="false" ht="15" hidden="false" customHeight="false" outlineLevel="0" collapsed="false">
      <c r="A617" s="50" t="s">
        <v>898</v>
      </c>
      <c r="B617" s="51" t="n">
        <v>45791</v>
      </c>
      <c r="C617" s="50" t="s">
        <v>310</v>
      </c>
      <c r="D617" s="39" t="str">
        <f aca="false">INDEX(Master_Customer!$B$2:$B$126,MATCH(C617,Master_Customer!$A$2:$A$126,0))</f>
        <v>UTAMA OLI BINTANG</v>
      </c>
      <c r="E617" s="50" t="s">
        <v>32</v>
      </c>
      <c r="F617" s="52" t="n">
        <f aca="false">SUMIFS(Data_Penjualan!$G$2:$G$5998,Data_Penjualan!$A$2:$A$5998,A617)</f>
        <v>3965200</v>
      </c>
      <c r="G617" s="39" t="n">
        <f aca="false">IF(E617="KANTOR",0,INDEX(Master_Customer!$C$2:$C$126,MATCH(C617,Master_Customer!$A$2:$A$126,0)))</f>
        <v>0</v>
      </c>
      <c r="H617" s="53" t="n">
        <f aca="false">B617+G617</f>
        <v>45791</v>
      </c>
      <c r="J617" s="39" t="str">
        <f aca="false">IF(G617=0,"Tunai",IF(I617="","Belum ditukar","Sudah ditukar"))</f>
        <v>Tunai</v>
      </c>
      <c r="K617" s="54" t="n">
        <v>3965200</v>
      </c>
      <c r="L617" s="51" t="n">
        <v>45791</v>
      </c>
      <c r="M617" s="52" t="n">
        <f aca="false">F617-K617</f>
        <v>0</v>
      </c>
      <c r="N617" s="39" t="str">
        <f aca="false">IF(M617&lt;=0,"Lunas",IF(K617&gt;0,"Sebagian","Belum Bayar"))</f>
        <v>Lunas</v>
      </c>
      <c r="O617" s="39" t="n">
        <f aca="false">IF(M617&gt;0,MAX(0,Catatan!$B$3-H617),0)</f>
        <v>0</v>
      </c>
      <c r="P617" s="39" t="str">
        <f aca="false">IF(M617&lt;=0,"Lunas",IF(Catatan!$B$3&lt;=H617,"Belum Jatuh Tempo",IF(O617&lt;=30,"1-30 hari",IF(O617&lt;=60,"31-60 hari",IF(O617&lt;=90,"61-90 hari","90+ hari")))))</f>
        <v>Lunas</v>
      </c>
      <c r="Q617" s="50"/>
      <c r="R617" s="39" t="str">
        <f aca="false">IF(M617&lt;=0,"",IF(O617&gt;60,"1-Tinggi",IF(O617&gt;30,"2-Sedang",IF(O617&gt;0,"3-Rendah","4-Pantau"))))</f>
        <v/>
      </c>
      <c r="S617" s="39" t="str">
        <f aca="false">IF(AND(M617&gt;0,O617&gt;0),O617+M617/1000000000000+ROW()/1000000000000000,"")</f>
        <v/>
      </c>
      <c r="T617" s="39" t="str">
        <f aca="false">IF(J617="Belum ditukar",ROW(),"")</f>
        <v/>
      </c>
    </row>
    <row r="618" customFormat="false" ht="15" hidden="false" customHeight="false" outlineLevel="0" collapsed="false">
      <c r="A618" s="50" t="s">
        <v>899</v>
      </c>
      <c r="B618" s="51" t="n">
        <v>45791</v>
      </c>
      <c r="C618" s="50" t="s">
        <v>421</v>
      </c>
      <c r="D618" s="39" t="str">
        <f aca="false">INDEX(Master_Customer!$B$2:$B$126,MATCH(C618,Master_Customer!$A$2:$A$126,0))</f>
        <v>MITRA BENGKEL</v>
      </c>
      <c r="E618" s="50" t="s">
        <v>28</v>
      </c>
      <c r="F618" s="52" t="n">
        <f aca="false">SUMIFS(Data_Penjualan!$G$2:$G$5998,Data_Penjualan!$A$2:$A$5998,A618)</f>
        <v>22937200</v>
      </c>
      <c r="G618" s="39" t="n">
        <f aca="false">IF(E618="KANTOR",0,INDEX(Master_Customer!$C$2:$C$126,MATCH(C618,Master_Customer!$A$2:$A$126,0)))</f>
        <v>30</v>
      </c>
      <c r="H618" s="53" t="n">
        <f aca="false">B618+G618</f>
        <v>45821</v>
      </c>
      <c r="I618" s="51" t="n">
        <v>45796</v>
      </c>
      <c r="J618" s="39" t="str">
        <f aca="false">IF(G618=0,"Tunai",IF(I618="","Belum ditukar","Sudah ditukar"))</f>
        <v>Sudah ditukar</v>
      </c>
      <c r="K618" s="54" t="n">
        <v>22937200</v>
      </c>
      <c r="L618" s="51" t="n">
        <v>45923</v>
      </c>
      <c r="M618" s="52" t="n">
        <f aca="false">F618-K618</f>
        <v>0</v>
      </c>
      <c r="N618" s="39" t="str">
        <f aca="false">IF(M618&lt;=0,"Lunas",IF(K618&gt;0,"Sebagian","Belum Bayar"))</f>
        <v>Lunas</v>
      </c>
      <c r="O618" s="39" t="n">
        <f aca="false">IF(M618&gt;0,MAX(0,Catatan!$B$3-H618),0)</f>
        <v>0</v>
      </c>
      <c r="P618" s="39" t="str">
        <f aca="false">IF(M618&lt;=0,"Lunas",IF(Catatan!$B$3&lt;=H618,"Belum Jatuh Tempo",IF(O618&lt;=30,"1-30 hari",IF(O618&lt;=60,"31-60 hari",IF(O618&lt;=90,"61-90 hari","90+ hari")))))</f>
        <v>Lunas</v>
      </c>
      <c r="Q618" s="50"/>
      <c r="R618" s="39" t="str">
        <f aca="false">IF(M618&lt;=0,"",IF(O618&gt;60,"1-Tinggi",IF(O618&gt;30,"2-Sedang",IF(O618&gt;0,"3-Rendah","4-Pantau"))))</f>
        <v/>
      </c>
      <c r="S618" s="39" t="str">
        <f aca="false">IF(AND(M618&gt;0,O618&gt;0),O618+M618/1000000000000+ROW()/1000000000000000,"")</f>
        <v/>
      </c>
      <c r="T618" s="39" t="str">
        <f aca="false">IF(J618="Belum ditukar",ROW(),"")</f>
        <v/>
      </c>
    </row>
    <row r="619" customFormat="false" ht="15" hidden="false" customHeight="false" outlineLevel="0" collapsed="false">
      <c r="A619" s="50" t="s">
        <v>900</v>
      </c>
      <c r="B619" s="51" t="n">
        <v>45792</v>
      </c>
      <c r="C619" s="50" t="s">
        <v>207</v>
      </c>
      <c r="D619" s="39" t="str">
        <f aca="false">INDEX(Master_Customer!$B$2:$B$126,MATCH(C619,Master_Customer!$A$2:$A$126,0))</f>
        <v>MAKMUR AUTO HARAPAN</v>
      </c>
      <c r="E619" s="50" t="s">
        <v>32</v>
      </c>
      <c r="F619" s="52" t="n">
        <f aca="false">SUMIFS(Data_Penjualan!$G$2:$G$5998,Data_Penjualan!$A$2:$A$5998,A619)</f>
        <v>2902200</v>
      </c>
      <c r="G619" s="39" t="n">
        <f aca="false">IF(E619="KANTOR",0,INDEX(Master_Customer!$C$2:$C$126,MATCH(C619,Master_Customer!$A$2:$A$126,0)))</f>
        <v>0</v>
      </c>
      <c r="H619" s="53" t="n">
        <f aca="false">B619+G619</f>
        <v>45792</v>
      </c>
      <c r="J619" s="39" t="str">
        <f aca="false">IF(G619=0,"Tunai",IF(I619="","Belum ditukar","Sudah ditukar"))</f>
        <v>Tunai</v>
      </c>
      <c r="K619" s="54" t="n">
        <v>2902200</v>
      </c>
      <c r="L619" s="51" t="n">
        <v>45792</v>
      </c>
      <c r="M619" s="52" t="n">
        <f aca="false">F619-K619</f>
        <v>0</v>
      </c>
      <c r="N619" s="39" t="str">
        <f aca="false">IF(M619&lt;=0,"Lunas",IF(K619&gt;0,"Sebagian","Belum Bayar"))</f>
        <v>Lunas</v>
      </c>
      <c r="O619" s="39" t="n">
        <f aca="false">IF(M619&gt;0,MAX(0,Catatan!$B$3-H619),0)</f>
        <v>0</v>
      </c>
      <c r="P619" s="39" t="str">
        <f aca="false">IF(M619&lt;=0,"Lunas",IF(Catatan!$B$3&lt;=H619,"Belum Jatuh Tempo",IF(O619&lt;=30,"1-30 hari",IF(O619&lt;=60,"31-60 hari",IF(O619&lt;=90,"61-90 hari","90+ hari")))))</f>
        <v>Lunas</v>
      </c>
      <c r="Q619" s="50"/>
      <c r="R619" s="39" t="str">
        <f aca="false">IF(M619&lt;=0,"",IF(O619&gt;60,"1-Tinggi",IF(O619&gt;30,"2-Sedang",IF(O619&gt;0,"3-Rendah","4-Pantau"))))</f>
        <v/>
      </c>
      <c r="S619" s="39" t="str">
        <f aca="false">IF(AND(M619&gt;0,O619&gt;0),O619+M619/1000000000000+ROW()/1000000000000000,"")</f>
        <v/>
      </c>
      <c r="T619" s="39" t="str">
        <f aca="false">IF(J619="Belum ditukar",ROW(),"")</f>
        <v/>
      </c>
    </row>
    <row r="620" customFormat="false" ht="15" hidden="false" customHeight="false" outlineLevel="0" collapsed="false">
      <c r="A620" s="50" t="s">
        <v>901</v>
      </c>
      <c r="B620" s="51" t="n">
        <v>45792</v>
      </c>
      <c r="C620" s="50" t="s">
        <v>199</v>
      </c>
      <c r="D620" s="39" t="str">
        <f aca="false">INDEX(Master_Customer!$B$2:$B$126,MATCH(C620,Master_Customer!$A$2:$A$126,0))</f>
        <v>KARYA SPAREPART</v>
      </c>
      <c r="E620" s="50" t="s">
        <v>29</v>
      </c>
      <c r="F620" s="52" t="n">
        <f aca="false">SUMIFS(Data_Penjualan!$G$2:$G$5998,Data_Penjualan!$A$2:$A$5998,A620)</f>
        <v>5574100</v>
      </c>
      <c r="G620" s="39" t="n">
        <f aca="false">IF(E620="KANTOR",0,INDEX(Master_Customer!$C$2:$C$126,MATCH(C620,Master_Customer!$A$2:$A$126,0)))</f>
        <v>45</v>
      </c>
      <c r="H620" s="53" t="n">
        <f aca="false">B620+G620</f>
        <v>45837</v>
      </c>
      <c r="I620" s="51" t="n">
        <v>45797</v>
      </c>
      <c r="J620" s="39" t="str">
        <f aca="false">IF(G620=0,"Tunai",IF(I620="","Belum ditukar","Sudah ditukar"))</f>
        <v>Sudah ditukar</v>
      </c>
      <c r="K620" s="54" t="n">
        <v>5574100</v>
      </c>
      <c r="L620" s="51" t="n">
        <v>45838</v>
      </c>
      <c r="M620" s="52" t="n">
        <f aca="false">F620-K620</f>
        <v>0</v>
      </c>
      <c r="N620" s="39" t="str">
        <f aca="false">IF(M620&lt;=0,"Lunas",IF(K620&gt;0,"Sebagian","Belum Bayar"))</f>
        <v>Lunas</v>
      </c>
      <c r="O620" s="39" t="n">
        <f aca="false">IF(M620&gt;0,MAX(0,Catatan!$B$3-H620),0)</f>
        <v>0</v>
      </c>
      <c r="P620" s="39" t="str">
        <f aca="false">IF(M620&lt;=0,"Lunas",IF(Catatan!$B$3&lt;=H620,"Belum Jatuh Tempo",IF(O620&lt;=30,"1-30 hari",IF(O620&lt;=60,"31-60 hari",IF(O620&lt;=90,"61-90 hari","90+ hari")))))</f>
        <v>Lunas</v>
      </c>
      <c r="Q620" s="50"/>
      <c r="R620" s="39" t="str">
        <f aca="false">IF(M620&lt;=0,"",IF(O620&gt;60,"1-Tinggi",IF(O620&gt;30,"2-Sedang",IF(O620&gt;0,"3-Rendah","4-Pantau"))))</f>
        <v/>
      </c>
      <c r="S620" s="39" t="str">
        <f aca="false">IF(AND(M620&gt;0,O620&gt;0),O620+M620/1000000000000+ROW()/1000000000000000,"")</f>
        <v/>
      </c>
      <c r="T620" s="39" t="str">
        <f aca="false">IF(J620="Belum ditukar",ROW(),"")</f>
        <v/>
      </c>
    </row>
    <row r="621" customFormat="false" ht="15" hidden="false" customHeight="false" outlineLevel="0" collapsed="false">
      <c r="A621" s="50" t="s">
        <v>902</v>
      </c>
      <c r="B621" s="51" t="n">
        <v>45792</v>
      </c>
      <c r="C621" s="50" t="s">
        <v>249</v>
      </c>
      <c r="D621" s="39" t="str">
        <f aca="false">INDEX(Master_Customer!$B$2:$B$126,MATCH(C621,Master_Customer!$A$2:$A$126,0))</f>
        <v>SENTOSA MOTOR</v>
      </c>
      <c r="E621" s="50" t="s">
        <v>31</v>
      </c>
      <c r="F621" s="52" t="n">
        <f aca="false">SUMIFS(Data_Penjualan!$G$2:$G$5998,Data_Penjualan!$A$2:$A$5998,A621)</f>
        <v>2439400</v>
      </c>
      <c r="G621" s="39" t="n">
        <f aca="false">IF(E621="KANTOR",0,INDEX(Master_Customer!$C$2:$C$126,MATCH(C621,Master_Customer!$A$2:$A$126,0)))</f>
        <v>45</v>
      </c>
      <c r="H621" s="53" t="n">
        <f aca="false">B621+G621</f>
        <v>45837</v>
      </c>
      <c r="I621" s="51" t="n">
        <v>45796</v>
      </c>
      <c r="J621" s="39" t="str">
        <f aca="false">IF(G621=0,"Tunai",IF(I621="","Belum ditukar","Sudah ditukar"))</f>
        <v>Sudah ditukar</v>
      </c>
      <c r="K621" s="54" t="n">
        <v>2439400</v>
      </c>
      <c r="L621" s="51" t="n">
        <v>45862</v>
      </c>
      <c r="M621" s="52" t="n">
        <f aca="false">F621-K621</f>
        <v>0</v>
      </c>
      <c r="N621" s="39" t="str">
        <f aca="false">IF(M621&lt;=0,"Lunas",IF(K621&gt;0,"Sebagian","Belum Bayar"))</f>
        <v>Lunas</v>
      </c>
      <c r="O621" s="39" t="n">
        <f aca="false">IF(M621&gt;0,MAX(0,Catatan!$B$3-H621),0)</f>
        <v>0</v>
      </c>
      <c r="P621" s="39" t="str">
        <f aca="false">IF(M621&lt;=0,"Lunas",IF(Catatan!$B$3&lt;=H621,"Belum Jatuh Tempo",IF(O621&lt;=30,"1-30 hari",IF(O621&lt;=60,"31-60 hari",IF(O621&lt;=90,"61-90 hari","90+ hari")))))</f>
        <v>Lunas</v>
      </c>
      <c r="Q621" s="50"/>
      <c r="R621" s="39" t="str">
        <f aca="false">IF(M621&lt;=0,"",IF(O621&gt;60,"1-Tinggi",IF(O621&gt;30,"2-Sedang",IF(O621&gt;0,"3-Rendah","4-Pantau"))))</f>
        <v/>
      </c>
      <c r="S621" s="39" t="str">
        <f aca="false">IF(AND(M621&gt;0,O621&gt;0),O621+M621/1000000000000+ROW()/1000000000000000,"")</f>
        <v/>
      </c>
      <c r="T621" s="39" t="str">
        <f aca="false">IF(J621="Belum ditukar",ROW(),"")</f>
        <v/>
      </c>
    </row>
    <row r="622" customFormat="false" ht="15" hidden="false" customHeight="false" outlineLevel="0" collapsed="false">
      <c r="A622" s="50" t="s">
        <v>903</v>
      </c>
      <c r="B622" s="51" t="n">
        <v>45792</v>
      </c>
      <c r="C622" s="50" t="s">
        <v>382</v>
      </c>
      <c r="D622" s="39" t="str">
        <f aca="false">INDEX(Master_Customer!$B$2:$B$126,MATCH(C622,Master_Customer!$A$2:$A$126,0))</f>
        <v>BERKAH SPAREPART</v>
      </c>
      <c r="E622" s="50" t="s">
        <v>29</v>
      </c>
      <c r="F622" s="52" t="n">
        <f aca="false">SUMIFS(Data_Penjualan!$G$2:$G$5998,Data_Penjualan!$A$2:$A$5998,A622)</f>
        <v>11850700</v>
      </c>
      <c r="G622" s="39" t="n">
        <f aca="false">IF(E622="KANTOR",0,INDEX(Master_Customer!$C$2:$C$126,MATCH(C622,Master_Customer!$A$2:$A$126,0)))</f>
        <v>30</v>
      </c>
      <c r="H622" s="53" t="n">
        <f aca="false">B622+G622</f>
        <v>45822</v>
      </c>
      <c r="I622" s="51" t="n">
        <v>45794</v>
      </c>
      <c r="J622" s="39" t="str">
        <f aca="false">IF(G622=0,"Tunai",IF(I622="","Belum ditukar","Sudah ditukar"))</f>
        <v>Sudah ditukar</v>
      </c>
      <c r="K622" s="54" t="n">
        <v>11850700</v>
      </c>
      <c r="L622" s="51" t="n">
        <v>45866</v>
      </c>
      <c r="M622" s="52" t="n">
        <f aca="false">F622-K622</f>
        <v>0</v>
      </c>
      <c r="N622" s="39" t="str">
        <f aca="false">IF(M622&lt;=0,"Lunas",IF(K622&gt;0,"Sebagian","Belum Bayar"))</f>
        <v>Lunas</v>
      </c>
      <c r="O622" s="39" t="n">
        <f aca="false">IF(M622&gt;0,MAX(0,Catatan!$B$3-H622),0)</f>
        <v>0</v>
      </c>
      <c r="P622" s="39" t="str">
        <f aca="false">IF(M622&lt;=0,"Lunas",IF(Catatan!$B$3&lt;=H622,"Belum Jatuh Tempo",IF(O622&lt;=30,"1-30 hari",IF(O622&lt;=60,"31-60 hari",IF(O622&lt;=90,"61-90 hari","90+ hari")))))</f>
        <v>Lunas</v>
      </c>
      <c r="Q622" s="50"/>
      <c r="R622" s="39" t="str">
        <f aca="false">IF(M622&lt;=0,"",IF(O622&gt;60,"1-Tinggi",IF(O622&gt;30,"2-Sedang",IF(O622&gt;0,"3-Rendah","4-Pantau"))))</f>
        <v/>
      </c>
      <c r="S622" s="39" t="str">
        <f aca="false">IF(AND(M622&gt;0,O622&gt;0),O622+M622/1000000000000+ROW()/1000000000000000,"")</f>
        <v/>
      </c>
      <c r="T622" s="39" t="str">
        <f aca="false">IF(J622="Belum ditukar",ROW(),"")</f>
        <v/>
      </c>
    </row>
    <row r="623" customFormat="false" ht="15" hidden="false" customHeight="false" outlineLevel="0" collapsed="false">
      <c r="A623" s="50" t="s">
        <v>904</v>
      </c>
      <c r="B623" s="51" t="n">
        <v>45792</v>
      </c>
      <c r="C623" s="50" t="s">
        <v>237</v>
      </c>
      <c r="D623" s="39" t="str">
        <f aca="false">INDEX(Master_Customer!$B$2:$B$126,MATCH(C623,Master_Customer!$A$2:$A$126,0))</f>
        <v>SINAR SPAREPART</v>
      </c>
      <c r="E623" s="50" t="s">
        <v>31</v>
      </c>
      <c r="F623" s="52" t="n">
        <f aca="false">SUMIFS(Data_Penjualan!$G$2:$G$5998,Data_Penjualan!$A$2:$A$5998,A623)</f>
        <v>4530700</v>
      </c>
      <c r="G623" s="39" t="n">
        <f aca="false">IF(E623="KANTOR",0,INDEX(Master_Customer!$C$2:$C$126,MATCH(C623,Master_Customer!$A$2:$A$126,0)))</f>
        <v>45</v>
      </c>
      <c r="H623" s="53" t="n">
        <f aca="false">B623+G623</f>
        <v>45837</v>
      </c>
      <c r="I623" s="51" t="n">
        <v>45795</v>
      </c>
      <c r="J623" s="39" t="str">
        <f aca="false">IF(G623=0,"Tunai",IF(I623="","Belum ditukar","Sudah ditukar"))</f>
        <v>Sudah ditukar</v>
      </c>
      <c r="K623" s="54" t="n">
        <v>4530700</v>
      </c>
      <c r="L623" s="51" t="n">
        <v>45837</v>
      </c>
      <c r="M623" s="52" t="n">
        <f aca="false">F623-K623</f>
        <v>0</v>
      </c>
      <c r="N623" s="39" t="str">
        <f aca="false">IF(M623&lt;=0,"Lunas",IF(K623&gt;0,"Sebagian","Belum Bayar"))</f>
        <v>Lunas</v>
      </c>
      <c r="O623" s="39" t="n">
        <f aca="false">IF(M623&gt;0,MAX(0,Catatan!$B$3-H623),0)</f>
        <v>0</v>
      </c>
      <c r="P623" s="39" t="str">
        <f aca="false">IF(M623&lt;=0,"Lunas",IF(Catatan!$B$3&lt;=H623,"Belum Jatuh Tempo",IF(O623&lt;=30,"1-30 hari",IF(O623&lt;=60,"31-60 hari",IF(O623&lt;=90,"61-90 hari","90+ hari")))))</f>
        <v>Lunas</v>
      </c>
      <c r="Q623" s="50"/>
      <c r="R623" s="39" t="str">
        <f aca="false">IF(M623&lt;=0,"",IF(O623&gt;60,"1-Tinggi",IF(O623&gt;30,"2-Sedang",IF(O623&gt;0,"3-Rendah","4-Pantau"))))</f>
        <v/>
      </c>
      <c r="S623" s="39" t="str">
        <f aca="false">IF(AND(M623&gt;0,O623&gt;0),O623+M623/1000000000000+ROW()/1000000000000000,"")</f>
        <v/>
      </c>
      <c r="T623" s="39" t="str">
        <f aca="false">IF(J623="Belum ditukar",ROW(),"")</f>
        <v/>
      </c>
    </row>
    <row r="624" customFormat="false" ht="15" hidden="false" customHeight="false" outlineLevel="0" collapsed="false">
      <c r="A624" s="50" t="s">
        <v>905</v>
      </c>
      <c r="B624" s="51" t="n">
        <v>45792</v>
      </c>
      <c r="C624" s="50" t="s">
        <v>216</v>
      </c>
      <c r="D624" s="39" t="str">
        <f aca="false">INDEX(Master_Customer!$B$2:$B$126,MATCH(C624,Master_Customer!$A$2:$A$126,0))</f>
        <v>SINAR MOTOR UTAMA</v>
      </c>
      <c r="E624" s="50" t="s">
        <v>30</v>
      </c>
      <c r="F624" s="52" t="n">
        <f aca="false">SUMIFS(Data_Penjualan!$G$2:$G$5998,Data_Penjualan!$A$2:$A$5998,A624)</f>
        <v>10211300</v>
      </c>
      <c r="G624" s="39" t="n">
        <f aca="false">IF(E624="KANTOR",0,INDEX(Master_Customer!$C$2:$C$126,MATCH(C624,Master_Customer!$A$2:$A$126,0)))</f>
        <v>0</v>
      </c>
      <c r="H624" s="53" t="n">
        <f aca="false">B624+G624</f>
        <v>45792</v>
      </c>
      <c r="J624" s="39" t="str">
        <f aca="false">IF(G624=0,"Tunai",IF(I624="","Belum ditukar","Sudah ditukar"))</f>
        <v>Tunai</v>
      </c>
      <c r="K624" s="54" t="n">
        <v>10211300</v>
      </c>
      <c r="L624" s="51" t="n">
        <v>45792</v>
      </c>
      <c r="M624" s="52" t="n">
        <f aca="false">F624-K624</f>
        <v>0</v>
      </c>
      <c r="N624" s="39" t="str">
        <f aca="false">IF(M624&lt;=0,"Lunas",IF(K624&gt;0,"Sebagian","Belum Bayar"))</f>
        <v>Lunas</v>
      </c>
      <c r="O624" s="39" t="n">
        <f aca="false">IF(M624&gt;0,MAX(0,Catatan!$B$3-H624),0)</f>
        <v>0</v>
      </c>
      <c r="P624" s="39" t="str">
        <f aca="false">IF(M624&lt;=0,"Lunas",IF(Catatan!$B$3&lt;=H624,"Belum Jatuh Tempo",IF(O624&lt;=30,"1-30 hari",IF(O624&lt;=60,"31-60 hari",IF(O624&lt;=90,"61-90 hari","90+ hari")))))</f>
        <v>Lunas</v>
      </c>
      <c r="Q624" s="50"/>
      <c r="R624" s="39" t="str">
        <f aca="false">IF(M624&lt;=0,"",IF(O624&gt;60,"1-Tinggi",IF(O624&gt;30,"2-Sedang",IF(O624&gt;0,"3-Rendah","4-Pantau"))))</f>
        <v/>
      </c>
      <c r="S624" s="39" t="str">
        <f aca="false">IF(AND(M624&gt;0,O624&gt;0),O624+M624/1000000000000+ROW()/1000000000000000,"")</f>
        <v/>
      </c>
      <c r="T624" s="39" t="str">
        <f aca="false">IF(J624="Belum ditukar",ROW(),"")</f>
        <v/>
      </c>
    </row>
    <row r="625" customFormat="false" ht="15" hidden="false" customHeight="false" outlineLevel="0" collapsed="false">
      <c r="A625" s="50" t="s">
        <v>906</v>
      </c>
      <c r="B625" s="51" t="n">
        <v>45792</v>
      </c>
      <c r="C625" s="50" t="s">
        <v>221</v>
      </c>
      <c r="D625" s="39" t="str">
        <f aca="false">INDEX(Master_Customer!$B$2:$B$126,MATCH(C625,Master_Customer!$A$2:$A$126,0))</f>
        <v>ABADI AUTO SURYA</v>
      </c>
      <c r="E625" s="50" t="s">
        <v>31</v>
      </c>
      <c r="F625" s="52" t="n">
        <f aca="false">SUMIFS(Data_Penjualan!$G$2:$G$5998,Data_Penjualan!$A$2:$A$5998,A625)</f>
        <v>17704600</v>
      </c>
      <c r="G625" s="39" t="n">
        <f aca="false">IF(E625="KANTOR",0,INDEX(Master_Customer!$C$2:$C$126,MATCH(C625,Master_Customer!$A$2:$A$126,0)))</f>
        <v>14</v>
      </c>
      <c r="H625" s="53" t="n">
        <f aca="false">B625+G625</f>
        <v>45806</v>
      </c>
      <c r="I625" s="51" t="n">
        <v>45797</v>
      </c>
      <c r="J625" s="39" t="str">
        <f aca="false">IF(G625=0,"Tunai",IF(I625="","Belum ditukar","Sudah ditukar"))</f>
        <v>Sudah ditukar</v>
      </c>
      <c r="K625" s="54" t="n">
        <v>17704600</v>
      </c>
      <c r="L625" s="51" t="n">
        <v>45876</v>
      </c>
      <c r="M625" s="52" t="n">
        <f aca="false">F625-K625</f>
        <v>0</v>
      </c>
      <c r="N625" s="39" t="str">
        <f aca="false">IF(M625&lt;=0,"Lunas",IF(K625&gt;0,"Sebagian","Belum Bayar"))</f>
        <v>Lunas</v>
      </c>
      <c r="O625" s="39" t="n">
        <f aca="false">IF(M625&gt;0,MAX(0,Catatan!$B$3-H625),0)</f>
        <v>0</v>
      </c>
      <c r="P625" s="39" t="str">
        <f aca="false">IF(M625&lt;=0,"Lunas",IF(Catatan!$B$3&lt;=H625,"Belum Jatuh Tempo",IF(O625&lt;=30,"1-30 hari",IF(O625&lt;=60,"31-60 hari",IF(O625&lt;=90,"61-90 hari","90+ hari")))))</f>
        <v>Lunas</v>
      </c>
      <c r="Q625" s="50"/>
      <c r="R625" s="39" t="str">
        <f aca="false">IF(M625&lt;=0,"",IF(O625&gt;60,"1-Tinggi",IF(O625&gt;30,"2-Sedang",IF(O625&gt;0,"3-Rendah","4-Pantau"))))</f>
        <v/>
      </c>
      <c r="S625" s="39" t="str">
        <f aca="false">IF(AND(M625&gt;0,O625&gt;0),O625+M625/1000000000000+ROW()/1000000000000000,"")</f>
        <v/>
      </c>
      <c r="T625" s="39" t="str">
        <f aca="false">IF(J625="Belum ditukar",ROW(),"")</f>
        <v/>
      </c>
    </row>
    <row r="626" customFormat="false" ht="15" hidden="false" customHeight="false" outlineLevel="0" collapsed="false">
      <c r="A626" s="50" t="s">
        <v>907</v>
      </c>
      <c r="B626" s="51" t="n">
        <v>45792</v>
      </c>
      <c r="C626" s="50" t="s">
        <v>199</v>
      </c>
      <c r="D626" s="39" t="str">
        <f aca="false">INDEX(Master_Customer!$B$2:$B$126,MATCH(C626,Master_Customer!$A$2:$A$126,0))</f>
        <v>KARYA SPAREPART</v>
      </c>
      <c r="E626" s="50" t="s">
        <v>29</v>
      </c>
      <c r="F626" s="52" t="n">
        <f aca="false">SUMIFS(Data_Penjualan!$G$2:$G$5998,Data_Penjualan!$A$2:$A$5998,A626)</f>
        <v>4974800</v>
      </c>
      <c r="G626" s="39" t="n">
        <f aca="false">IF(E626="KANTOR",0,INDEX(Master_Customer!$C$2:$C$126,MATCH(C626,Master_Customer!$A$2:$A$126,0)))</f>
        <v>45</v>
      </c>
      <c r="H626" s="53" t="n">
        <f aca="false">B626+G626</f>
        <v>45837</v>
      </c>
      <c r="I626" s="51" t="n">
        <v>45796</v>
      </c>
      <c r="J626" s="39" t="str">
        <f aca="false">IF(G626=0,"Tunai",IF(I626="","Belum ditukar","Sudah ditukar"))</f>
        <v>Sudah ditukar</v>
      </c>
      <c r="K626" s="54" t="n">
        <v>4974800</v>
      </c>
      <c r="L626" s="51" t="n">
        <v>45831</v>
      </c>
      <c r="M626" s="52" t="n">
        <f aca="false">F626-K626</f>
        <v>0</v>
      </c>
      <c r="N626" s="39" t="str">
        <f aca="false">IF(M626&lt;=0,"Lunas",IF(K626&gt;0,"Sebagian","Belum Bayar"))</f>
        <v>Lunas</v>
      </c>
      <c r="O626" s="39" t="n">
        <f aca="false">IF(M626&gt;0,MAX(0,Catatan!$B$3-H626),0)</f>
        <v>0</v>
      </c>
      <c r="P626" s="39" t="str">
        <f aca="false">IF(M626&lt;=0,"Lunas",IF(Catatan!$B$3&lt;=H626,"Belum Jatuh Tempo",IF(O626&lt;=30,"1-30 hari",IF(O626&lt;=60,"31-60 hari",IF(O626&lt;=90,"61-90 hari","90+ hari")))))</f>
        <v>Lunas</v>
      </c>
      <c r="Q626" s="50"/>
      <c r="R626" s="39" t="str">
        <f aca="false">IF(M626&lt;=0,"",IF(O626&gt;60,"1-Tinggi",IF(O626&gt;30,"2-Sedang",IF(O626&gt;0,"3-Rendah","4-Pantau"))))</f>
        <v/>
      </c>
      <c r="S626" s="39" t="str">
        <f aca="false">IF(AND(M626&gt;0,O626&gt;0),O626+M626/1000000000000+ROW()/1000000000000000,"")</f>
        <v/>
      </c>
      <c r="T626" s="39" t="str">
        <f aca="false">IF(J626="Belum ditukar",ROW(),"")</f>
        <v/>
      </c>
    </row>
    <row r="627" customFormat="false" ht="15" hidden="false" customHeight="false" outlineLevel="0" collapsed="false">
      <c r="A627" s="50" t="s">
        <v>908</v>
      </c>
      <c r="B627" s="51" t="n">
        <v>45793</v>
      </c>
      <c r="C627" s="50" t="s">
        <v>293</v>
      </c>
      <c r="D627" s="39" t="str">
        <f aca="false">INDEX(Master_Customer!$B$2:$B$126,MATCH(C627,Master_Customer!$A$2:$A$126,0))</f>
        <v>SINAR LUBRICANT</v>
      </c>
      <c r="E627" s="50" t="s">
        <v>31</v>
      </c>
      <c r="F627" s="52" t="n">
        <f aca="false">SUMIFS(Data_Penjualan!$G$2:$G$5998,Data_Penjualan!$A$2:$A$5998,A627)</f>
        <v>13327100</v>
      </c>
      <c r="G627" s="39" t="n">
        <f aca="false">IF(E627="KANTOR",0,INDEX(Master_Customer!$C$2:$C$126,MATCH(C627,Master_Customer!$A$2:$A$126,0)))</f>
        <v>30</v>
      </c>
      <c r="H627" s="53" t="n">
        <f aca="false">B627+G627</f>
        <v>45823</v>
      </c>
      <c r="I627" s="51" t="n">
        <v>45794</v>
      </c>
      <c r="J627" s="39" t="str">
        <f aca="false">IF(G627=0,"Tunai",IF(I627="","Belum ditukar","Sudah ditukar"))</f>
        <v>Sudah ditukar</v>
      </c>
      <c r="K627" s="54" t="n">
        <v>13327100</v>
      </c>
      <c r="L627" s="51" t="n">
        <v>45826</v>
      </c>
      <c r="M627" s="52" t="n">
        <f aca="false">F627-K627</f>
        <v>0</v>
      </c>
      <c r="N627" s="39" t="str">
        <f aca="false">IF(M627&lt;=0,"Lunas",IF(K627&gt;0,"Sebagian","Belum Bayar"))</f>
        <v>Lunas</v>
      </c>
      <c r="O627" s="39" t="n">
        <f aca="false">IF(M627&gt;0,MAX(0,Catatan!$B$3-H627),0)</f>
        <v>0</v>
      </c>
      <c r="P627" s="39" t="str">
        <f aca="false">IF(M627&lt;=0,"Lunas",IF(Catatan!$B$3&lt;=H627,"Belum Jatuh Tempo",IF(O627&lt;=30,"1-30 hari",IF(O627&lt;=60,"31-60 hari",IF(O627&lt;=90,"61-90 hari","90+ hari")))))</f>
        <v>Lunas</v>
      </c>
      <c r="Q627" s="50"/>
      <c r="R627" s="39" t="str">
        <f aca="false">IF(M627&lt;=0,"",IF(O627&gt;60,"1-Tinggi",IF(O627&gt;30,"2-Sedang",IF(O627&gt;0,"3-Rendah","4-Pantau"))))</f>
        <v/>
      </c>
      <c r="S627" s="39" t="str">
        <f aca="false">IF(AND(M627&gt;0,O627&gt;0),O627+M627/1000000000000+ROW()/1000000000000000,"")</f>
        <v/>
      </c>
      <c r="T627" s="39" t="str">
        <f aca="false">IF(J627="Belum ditukar",ROW(),"")</f>
        <v/>
      </c>
    </row>
    <row r="628" customFormat="false" ht="15" hidden="false" customHeight="false" outlineLevel="0" collapsed="false">
      <c r="A628" s="50" t="s">
        <v>136</v>
      </c>
      <c r="B628" s="51" t="n">
        <v>45793</v>
      </c>
      <c r="C628" s="50" t="s">
        <v>174</v>
      </c>
      <c r="D628" s="39" t="str">
        <f aca="false">INDEX(Master_Customer!$B$2:$B$126,MATCH(C628,Master_Customer!$A$2:$A$126,0))</f>
        <v>SUMBER TEKNIK SURYA</v>
      </c>
      <c r="E628" s="50" t="s">
        <v>31</v>
      </c>
      <c r="F628" s="52" t="n">
        <f aca="false">SUMIFS(Data_Penjualan!$G$2:$G$5998,Data_Penjualan!$A$2:$A$5998,A628)</f>
        <v>21138500</v>
      </c>
      <c r="G628" s="39" t="n">
        <f aca="false">IF(E628="KANTOR",0,INDEX(Master_Customer!$C$2:$C$126,MATCH(C628,Master_Customer!$A$2:$A$126,0)))</f>
        <v>30</v>
      </c>
      <c r="H628" s="53" t="n">
        <f aca="false">B628+G628</f>
        <v>45823</v>
      </c>
      <c r="I628" s="51" t="n">
        <v>45797</v>
      </c>
      <c r="J628" s="39" t="str">
        <f aca="false">IF(G628=0,"Tunai",IF(I628="","Belum ditukar","Sudah ditukar"))</f>
        <v>Sudah ditukar</v>
      </c>
      <c r="K628" s="54" t="n">
        <v>16134300</v>
      </c>
      <c r="L628" s="51" t="n">
        <v>45820</v>
      </c>
      <c r="M628" s="52" t="n">
        <f aca="false">F628-K628</f>
        <v>5004200</v>
      </c>
      <c r="N628" s="39" t="str">
        <f aca="false">IF(M628&lt;=0,"Lunas",IF(K628&gt;0,"Sebagian","Belum Bayar"))</f>
        <v>Sebagian</v>
      </c>
      <c r="O628" s="39" t="n">
        <f aca="false">IF(M628&gt;0,MAX(0,Catatan!$B$3-H628),0)</f>
        <v>199</v>
      </c>
      <c r="P628" s="39" t="str">
        <f aca="false">IF(M628&lt;=0,"Lunas",IF(Catatan!$B$3&lt;=H628,"Belum Jatuh Tempo",IF(O628&lt;=30,"1-30 hari",IF(O628&lt;=60,"31-60 hari",IF(O628&lt;=90,"61-90 hari","90+ hari")))))</f>
        <v>90+ hari</v>
      </c>
      <c r="Q628" s="50" t="s">
        <v>334</v>
      </c>
      <c r="R628" s="39" t="str">
        <f aca="false">IF(M628&lt;=0,"",IF(O628&gt;60,"1-Tinggi",IF(O628&gt;30,"2-Sedang",IF(O628&gt;0,"3-Rendah","4-Pantau"))))</f>
        <v>1-Tinggi</v>
      </c>
      <c r="S628" s="39" t="n">
        <f aca="false">IF(AND(M628&gt;0,O628&gt;0),O628+M628/1000000000000+ROW()/1000000000000000,"")</f>
        <v>199.000005004201</v>
      </c>
      <c r="T628" s="39" t="str">
        <f aca="false">IF(J628="Belum ditukar",ROW(),"")</f>
        <v/>
      </c>
    </row>
    <row r="629" customFormat="false" ht="15" hidden="false" customHeight="false" outlineLevel="0" collapsed="false">
      <c r="A629" s="50" t="s">
        <v>909</v>
      </c>
      <c r="B629" s="51" t="n">
        <v>45793</v>
      </c>
      <c r="C629" s="50" t="s">
        <v>205</v>
      </c>
      <c r="D629" s="39" t="str">
        <f aca="false">INDEX(Master_Customer!$B$2:$B$126,MATCH(C629,Master_Customer!$A$2:$A$126,0))</f>
        <v>BERKAH OLI</v>
      </c>
      <c r="E629" s="50" t="s">
        <v>28</v>
      </c>
      <c r="F629" s="52" t="n">
        <f aca="false">SUMIFS(Data_Penjualan!$G$2:$G$5998,Data_Penjualan!$A$2:$A$5998,A629)</f>
        <v>8683700</v>
      </c>
      <c r="G629" s="39" t="n">
        <f aca="false">IF(E629="KANTOR",0,INDEX(Master_Customer!$C$2:$C$126,MATCH(C629,Master_Customer!$A$2:$A$126,0)))</f>
        <v>0</v>
      </c>
      <c r="H629" s="53" t="n">
        <f aca="false">B629+G629</f>
        <v>45793</v>
      </c>
      <c r="J629" s="39" t="str">
        <f aca="false">IF(G629=0,"Tunai",IF(I629="","Belum ditukar","Sudah ditukar"))</f>
        <v>Tunai</v>
      </c>
      <c r="K629" s="54" t="n">
        <v>8683700</v>
      </c>
      <c r="L629" s="51" t="n">
        <v>45794</v>
      </c>
      <c r="M629" s="52" t="n">
        <f aca="false">F629-K629</f>
        <v>0</v>
      </c>
      <c r="N629" s="39" t="str">
        <f aca="false">IF(M629&lt;=0,"Lunas",IF(K629&gt;0,"Sebagian","Belum Bayar"))</f>
        <v>Lunas</v>
      </c>
      <c r="O629" s="39" t="n">
        <f aca="false">IF(M629&gt;0,MAX(0,Catatan!$B$3-H629),0)</f>
        <v>0</v>
      </c>
      <c r="P629" s="39" t="str">
        <f aca="false">IF(M629&lt;=0,"Lunas",IF(Catatan!$B$3&lt;=H629,"Belum Jatuh Tempo",IF(O629&lt;=30,"1-30 hari",IF(O629&lt;=60,"31-60 hari",IF(O629&lt;=90,"61-90 hari","90+ hari")))))</f>
        <v>Lunas</v>
      </c>
      <c r="Q629" s="50"/>
      <c r="R629" s="39" t="str">
        <f aca="false">IF(M629&lt;=0,"",IF(O629&gt;60,"1-Tinggi",IF(O629&gt;30,"2-Sedang",IF(O629&gt;0,"3-Rendah","4-Pantau"))))</f>
        <v/>
      </c>
      <c r="S629" s="39" t="str">
        <f aca="false">IF(AND(M629&gt;0,O629&gt;0),O629+M629/1000000000000+ROW()/1000000000000000,"")</f>
        <v/>
      </c>
      <c r="T629" s="39" t="str">
        <f aca="false">IF(J629="Belum ditukar",ROW(),"")</f>
        <v/>
      </c>
    </row>
    <row r="630" customFormat="false" ht="15" hidden="false" customHeight="false" outlineLevel="0" collapsed="false">
      <c r="A630" s="50" t="s">
        <v>910</v>
      </c>
      <c r="B630" s="51" t="n">
        <v>45793</v>
      </c>
      <c r="C630" s="50" t="s">
        <v>209</v>
      </c>
      <c r="D630" s="39" t="str">
        <f aca="false">INDEX(Master_Customer!$B$2:$B$126,MATCH(C630,Master_Customer!$A$2:$A$126,0))</f>
        <v>PRIMA TEKNIK</v>
      </c>
      <c r="E630" s="50" t="s">
        <v>31</v>
      </c>
      <c r="F630" s="52" t="n">
        <f aca="false">SUMIFS(Data_Penjualan!$G$2:$G$5998,Data_Penjualan!$A$2:$A$5998,A630)</f>
        <v>17405200</v>
      </c>
      <c r="G630" s="39" t="n">
        <f aca="false">IF(E630="KANTOR",0,INDEX(Master_Customer!$C$2:$C$126,MATCH(C630,Master_Customer!$A$2:$A$126,0)))</f>
        <v>30</v>
      </c>
      <c r="H630" s="53" t="n">
        <f aca="false">B630+G630</f>
        <v>45823</v>
      </c>
      <c r="I630" s="51" t="n">
        <v>45794</v>
      </c>
      <c r="J630" s="39" t="str">
        <f aca="false">IF(G630=0,"Tunai",IF(I630="","Belum ditukar","Sudah ditukar"))</f>
        <v>Sudah ditukar</v>
      </c>
      <c r="K630" s="54" t="n">
        <v>17405200</v>
      </c>
      <c r="L630" s="51" t="n">
        <v>45858</v>
      </c>
      <c r="M630" s="52" t="n">
        <f aca="false">F630-K630</f>
        <v>0</v>
      </c>
      <c r="N630" s="39" t="str">
        <f aca="false">IF(M630&lt;=0,"Lunas",IF(K630&gt;0,"Sebagian","Belum Bayar"))</f>
        <v>Lunas</v>
      </c>
      <c r="O630" s="39" t="n">
        <f aca="false">IF(M630&gt;0,MAX(0,Catatan!$B$3-H630),0)</f>
        <v>0</v>
      </c>
      <c r="P630" s="39" t="str">
        <f aca="false">IF(M630&lt;=0,"Lunas",IF(Catatan!$B$3&lt;=H630,"Belum Jatuh Tempo",IF(O630&lt;=30,"1-30 hari",IF(O630&lt;=60,"31-60 hari",IF(O630&lt;=90,"61-90 hari","90+ hari")))))</f>
        <v>Lunas</v>
      </c>
      <c r="Q630" s="50"/>
      <c r="R630" s="39" t="str">
        <f aca="false">IF(M630&lt;=0,"",IF(O630&gt;60,"1-Tinggi",IF(O630&gt;30,"2-Sedang",IF(O630&gt;0,"3-Rendah","4-Pantau"))))</f>
        <v/>
      </c>
      <c r="S630" s="39" t="str">
        <f aca="false">IF(AND(M630&gt;0,O630&gt;0),O630+M630/1000000000000+ROW()/1000000000000000,"")</f>
        <v/>
      </c>
      <c r="T630" s="39" t="str">
        <f aca="false">IF(J630="Belum ditukar",ROW(),"")</f>
        <v/>
      </c>
    </row>
    <row r="631" customFormat="false" ht="15" hidden="false" customHeight="false" outlineLevel="0" collapsed="false">
      <c r="A631" s="50" t="s">
        <v>911</v>
      </c>
      <c r="B631" s="51" t="n">
        <v>45793</v>
      </c>
      <c r="C631" s="50" t="s">
        <v>266</v>
      </c>
      <c r="D631" s="39" t="str">
        <f aca="false">INDEX(Master_Customer!$B$2:$B$126,MATCH(C631,Master_Customer!$A$2:$A$126,0))</f>
        <v>BERKAH LUBRICANT SURYA</v>
      </c>
      <c r="E631" s="50" t="s">
        <v>29</v>
      </c>
      <c r="F631" s="52" t="n">
        <f aca="false">SUMIFS(Data_Penjualan!$G$2:$G$5998,Data_Penjualan!$A$2:$A$5998,A631)</f>
        <v>2654200</v>
      </c>
      <c r="G631" s="39" t="n">
        <f aca="false">IF(E631="KANTOR",0,INDEX(Master_Customer!$C$2:$C$126,MATCH(C631,Master_Customer!$A$2:$A$126,0)))</f>
        <v>30</v>
      </c>
      <c r="H631" s="53" t="n">
        <f aca="false">B631+G631</f>
        <v>45823</v>
      </c>
      <c r="I631" s="51" t="n">
        <v>45794</v>
      </c>
      <c r="J631" s="39" t="str">
        <f aca="false">IF(G631=0,"Tunai",IF(I631="","Belum ditukar","Sudah ditukar"))</f>
        <v>Sudah ditukar</v>
      </c>
      <c r="K631" s="54" t="n">
        <v>2654200</v>
      </c>
      <c r="L631" s="51" t="n">
        <v>45813</v>
      </c>
      <c r="M631" s="52" t="n">
        <f aca="false">F631-K631</f>
        <v>0</v>
      </c>
      <c r="N631" s="39" t="str">
        <f aca="false">IF(M631&lt;=0,"Lunas",IF(K631&gt;0,"Sebagian","Belum Bayar"))</f>
        <v>Lunas</v>
      </c>
      <c r="O631" s="39" t="n">
        <f aca="false">IF(M631&gt;0,MAX(0,Catatan!$B$3-H631),0)</f>
        <v>0</v>
      </c>
      <c r="P631" s="39" t="str">
        <f aca="false">IF(M631&lt;=0,"Lunas",IF(Catatan!$B$3&lt;=H631,"Belum Jatuh Tempo",IF(O631&lt;=30,"1-30 hari",IF(O631&lt;=60,"31-60 hari",IF(O631&lt;=90,"61-90 hari","90+ hari")))))</f>
        <v>Lunas</v>
      </c>
      <c r="Q631" s="50"/>
      <c r="R631" s="39" t="str">
        <f aca="false">IF(M631&lt;=0,"",IF(O631&gt;60,"1-Tinggi",IF(O631&gt;30,"2-Sedang",IF(O631&gt;0,"3-Rendah","4-Pantau"))))</f>
        <v/>
      </c>
      <c r="S631" s="39" t="str">
        <f aca="false">IF(AND(M631&gt;0,O631&gt;0),O631+M631/1000000000000+ROW()/1000000000000000,"")</f>
        <v/>
      </c>
      <c r="T631" s="39" t="str">
        <f aca="false">IF(J631="Belum ditukar",ROW(),"")</f>
        <v/>
      </c>
    </row>
    <row r="632" customFormat="false" ht="15" hidden="false" customHeight="false" outlineLevel="0" collapsed="false">
      <c r="A632" s="50" t="s">
        <v>912</v>
      </c>
      <c r="B632" s="51" t="n">
        <v>45793</v>
      </c>
      <c r="C632" s="50" t="s">
        <v>329</v>
      </c>
      <c r="D632" s="39" t="str">
        <f aca="false">INDEX(Master_Customer!$B$2:$B$126,MATCH(C632,Master_Customer!$A$2:$A$126,0))</f>
        <v>MAKMUR OLI</v>
      </c>
      <c r="E632" s="50" t="s">
        <v>28</v>
      </c>
      <c r="F632" s="52" t="n">
        <f aca="false">SUMIFS(Data_Penjualan!$G$2:$G$5998,Data_Penjualan!$A$2:$A$5998,A632)</f>
        <v>13455000</v>
      </c>
      <c r="G632" s="39" t="n">
        <f aca="false">IF(E632="KANTOR",0,INDEX(Master_Customer!$C$2:$C$126,MATCH(C632,Master_Customer!$A$2:$A$126,0)))</f>
        <v>45</v>
      </c>
      <c r="H632" s="53" t="n">
        <f aca="false">B632+G632</f>
        <v>45838</v>
      </c>
      <c r="I632" s="51" t="n">
        <v>45797</v>
      </c>
      <c r="J632" s="39" t="str">
        <f aca="false">IF(G632=0,"Tunai",IF(I632="","Belum ditukar","Sudah ditukar"))</f>
        <v>Sudah ditukar</v>
      </c>
      <c r="K632" s="54" t="n">
        <v>13455000</v>
      </c>
      <c r="L632" s="51" t="n">
        <v>45869</v>
      </c>
      <c r="M632" s="52" t="n">
        <f aca="false">F632-K632</f>
        <v>0</v>
      </c>
      <c r="N632" s="39" t="str">
        <f aca="false">IF(M632&lt;=0,"Lunas",IF(K632&gt;0,"Sebagian","Belum Bayar"))</f>
        <v>Lunas</v>
      </c>
      <c r="O632" s="39" t="n">
        <f aca="false">IF(M632&gt;0,MAX(0,Catatan!$B$3-H632),0)</f>
        <v>0</v>
      </c>
      <c r="P632" s="39" t="str">
        <f aca="false">IF(M632&lt;=0,"Lunas",IF(Catatan!$B$3&lt;=H632,"Belum Jatuh Tempo",IF(O632&lt;=30,"1-30 hari",IF(O632&lt;=60,"31-60 hari",IF(O632&lt;=90,"61-90 hari","90+ hari")))))</f>
        <v>Lunas</v>
      </c>
      <c r="Q632" s="50"/>
      <c r="R632" s="39" t="str">
        <f aca="false">IF(M632&lt;=0,"",IF(O632&gt;60,"1-Tinggi",IF(O632&gt;30,"2-Sedang",IF(O632&gt;0,"3-Rendah","4-Pantau"))))</f>
        <v/>
      </c>
      <c r="S632" s="39" t="str">
        <f aca="false">IF(AND(M632&gt;0,O632&gt;0),O632+M632/1000000000000+ROW()/1000000000000000,"")</f>
        <v/>
      </c>
      <c r="T632" s="39" t="str">
        <f aca="false">IF(J632="Belum ditukar",ROW(),"")</f>
        <v/>
      </c>
    </row>
    <row r="633" customFormat="false" ht="15" hidden="false" customHeight="false" outlineLevel="0" collapsed="false">
      <c r="A633" s="50" t="s">
        <v>913</v>
      </c>
      <c r="B633" s="51" t="n">
        <v>45794</v>
      </c>
      <c r="C633" s="50" t="s">
        <v>177</v>
      </c>
      <c r="D633" s="39" t="str">
        <f aca="false">INDEX(Master_Customer!$B$2:$B$126,MATCH(C633,Master_Customer!$A$2:$A$126,0))</f>
        <v>PRIMA MOTOR LANCAR</v>
      </c>
      <c r="E633" s="50" t="s">
        <v>29</v>
      </c>
      <c r="F633" s="52" t="n">
        <f aca="false">SUMIFS(Data_Penjualan!$G$2:$G$5998,Data_Penjualan!$A$2:$A$5998,A633)</f>
        <v>25785200</v>
      </c>
      <c r="G633" s="39" t="n">
        <f aca="false">IF(E633="KANTOR",0,INDEX(Master_Customer!$C$2:$C$126,MATCH(C633,Master_Customer!$A$2:$A$126,0)))</f>
        <v>14</v>
      </c>
      <c r="H633" s="53" t="n">
        <f aca="false">B633+G633</f>
        <v>45808</v>
      </c>
      <c r="I633" s="51" t="n">
        <v>45797</v>
      </c>
      <c r="J633" s="39" t="str">
        <f aca="false">IF(G633=0,"Tunai",IF(I633="","Belum ditukar","Sudah ditukar"))</f>
        <v>Sudah ditukar</v>
      </c>
      <c r="K633" s="54" t="n">
        <v>25785200</v>
      </c>
      <c r="L633" s="51" t="n">
        <v>45806</v>
      </c>
      <c r="M633" s="52" t="n">
        <f aca="false">F633-K633</f>
        <v>0</v>
      </c>
      <c r="N633" s="39" t="str">
        <f aca="false">IF(M633&lt;=0,"Lunas",IF(K633&gt;0,"Sebagian","Belum Bayar"))</f>
        <v>Lunas</v>
      </c>
      <c r="O633" s="39" t="n">
        <f aca="false">IF(M633&gt;0,MAX(0,Catatan!$B$3-H633),0)</f>
        <v>0</v>
      </c>
      <c r="P633" s="39" t="str">
        <f aca="false">IF(M633&lt;=0,"Lunas",IF(Catatan!$B$3&lt;=H633,"Belum Jatuh Tempo",IF(O633&lt;=30,"1-30 hari",IF(O633&lt;=60,"31-60 hari",IF(O633&lt;=90,"61-90 hari","90+ hari")))))</f>
        <v>Lunas</v>
      </c>
      <c r="Q633" s="50"/>
      <c r="R633" s="39" t="str">
        <f aca="false">IF(M633&lt;=0,"",IF(O633&gt;60,"1-Tinggi",IF(O633&gt;30,"2-Sedang",IF(O633&gt;0,"3-Rendah","4-Pantau"))))</f>
        <v/>
      </c>
      <c r="S633" s="39" t="str">
        <f aca="false">IF(AND(M633&gt;0,O633&gt;0),O633+M633/1000000000000+ROW()/1000000000000000,"")</f>
        <v/>
      </c>
      <c r="T633" s="39" t="str">
        <f aca="false">IF(J633="Belum ditukar",ROW(),"")</f>
        <v/>
      </c>
    </row>
    <row r="634" customFormat="false" ht="15" hidden="false" customHeight="false" outlineLevel="0" collapsed="false">
      <c r="A634" s="50" t="s">
        <v>914</v>
      </c>
      <c r="B634" s="51" t="n">
        <v>45794</v>
      </c>
      <c r="C634" s="50" t="s">
        <v>365</v>
      </c>
      <c r="D634" s="39" t="str">
        <f aca="false">INDEX(Master_Customer!$B$2:$B$126,MATCH(C634,Master_Customer!$A$2:$A$126,0))</f>
        <v>MAKMUR GARAGE</v>
      </c>
      <c r="E634" s="50" t="s">
        <v>28</v>
      </c>
      <c r="F634" s="52" t="n">
        <f aca="false">SUMIFS(Data_Penjualan!$G$2:$G$5998,Data_Penjualan!$A$2:$A$5998,A634)</f>
        <v>18717500</v>
      </c>
      <c r="G634" s="39" t="n">
        <f aca="false">IF(E634="KANTOR",0,INDEX(Master_Customer!$C$2:$C$126,MATCH(C634,Master_Customer!$A$2:$A$126,0)))</f>
        <v>14</v>
      </c>
      <c r="H634" s="53" t="n">
        <f aca="false">B634+G634</f>
        <v>45808</v>
      </c>
      <c r="I634" s="51" t="n">
        <v>45799</v>
      </c>
      <c r="J634" s="39" t="str">
        <f aca="false">IF(G634=0,"Tunai",IF(I634="","Belum ditukar","Sudah ditukar"))</f>
        <v>Sudah ditukar</v>
      </c>
      <c r="K634" s="54" t="n">
        <v>18717500</v>
      </c>
      <c r="L634" s="51" t="n">
        <v>45811</v>
      </c>
      <c r="M634" s="52" t="n">
        <f aca="false">F634-K634</f>
        <v>0</v>
      </c>
      <c r="N634" s="39" t="str">
        <f aca="false">IF(M634&lt;=0,"Lunas",IF(K634&gt;0,"Sebagian","Belum Bayar"))</f>
        <v>Lunas</v>
      </c>
      <c r="O634" s="39" t="n">
        <f aca="false">IF(M634&gt;0,MAX(0,Catatan!$B$3-H634),0)</f>
        <v>0</v>
      </c>
      <c r="P634" s="39" t="str">
        <f aca="false">IF(M634&lt;=0,"Lunas",IF(Catatan!$B$3&lt;=H634,"Belum Jatuh Tempo",IF(O634&lt;=30,"1-30 hari",IF(O634&lt;=60,"31-60 hari",IF(O634&lt;=90,"61-90 hari","90+ hari")))))</f>
        <v>Lunas</v>
      </c>
      <c r="Q634" s="50"/>
      <c r="R634" s="39" t="str">
        <f aca="false">IF(M634&lt;=0,"",IF(O634&gt;60,"1-Tinggi",IF(O634&gt;30,"2-Sedang",IF(O634&gt;0,"3-Rendah","4-Pantau"))))</f>
        <v/>
      </c>
      <c r="S634" s="39" t="str">
        <f aca="false">IF(AND(M634&gt;0,O634&gt;0),O634+M634/1000000000000+ROW()/1000000000000000,"")</f>
        <v/>
      </c>
      <c r="T634" s="39" t="str">
        <f aca="false">IF(J634="Belum ditukar",ROW(),"")</f>
        <v/>
      </c>
    </row>
    <row r="635" customFormat="false" ht="15" hidden="false" customHeight="false" outlineLevel="0" collapsed="false">
      <c r="A635" s="50" t="s">
        <v>915</v>
      </c>
      <c r="B635" s="51" t="n">
        <v>45794</v>
      </c>
      <c r="C635" s="50" t="s">
        <v>205</v>
      </c>
      <c r="D635" s="39" t="str">
        <f aca="false">INDEX(Master_Customer!$B$2:$B$126,MATCH(C635,Master_Customer!$A$2:$A$126,0))</f>
        <v>BERKAH OLI</v>
      </c>
      <c r="E635" s="50" t="s">
        <v>28</v>
      </c>
      <c r="F635" s="52" t="n">
        <f aca="false">SUMIFS(Data_Penjualan!$G$2:$G$5998,Data_Penjualan!$A$2:$A$5998,A635)</f>
        <v>4625600</v>
      </c>
      <c r="G635" s="39" t="n">
        <f aca="false">IF(E635="KANTOR",0,INDEX(Master_Customer!$C$2:$C$126,MATCH(C635,Master_Customer!$A$2:$A$126,0)))</f>
        <v>0</v>
      </c>
      <c r="H635" s="53" t="n">
        <f aca="false">B635+G635</f>
        <v>45794</v>
      </c>
      <c r="J635" s="39" t="str">
        <f aca="false">IF(G635=0,"Tunai",IF(I635="","Belum ditukar","Sudah ditukar"))</f>
        <v>Tunai</v>
      </c>
      <c r="K635" s="54" t="n">
        <v>4625600</v>
      </c>
      <c r="L635" s="51" t="n">
        <v>45794</v>
      </c>
      <c r="M635" s="52" t="n">
        <f aca="false">F635-K635</f>
        <v>0</v>
      </c>
      <c r="N635" s="39" t="str">
        <f aca="false">IF(M635&lt;=0,"Lunas",IF(K635&gt;0,"Sebagian","Belum Bayar"))</f>
        <v>Lunas</v>
      </c>
      <c r="O635" s="39" t="n">
        <f aca="false">IF(M635&gt;0,MAX(0,Catatan!$B$3-H635),0)</f>
        <v>0</v>
      </c>
      <c r="P635" s="39" t="str">
        <f aca="false">IF(M635&lt;=0,"Lunas",IF(Catatan!$B$3&lt;=H635,"Belum Jatuh Tempo",IF(O635&lt;=30,"1-30 hari",IF(O635&lt;=60,"31-60 hari",IF(O635&lt;=90,"61-90 hari","90+ hari")))))</f>
        <v>Lunas</v>
      </c>
      <c r="Q635" s="50"/>
      <c r="R635" s="39" t="str">
        <f aca="false">IF(M635&lt;=0,"",IF(O635&gt;60,"1-Tinggi",IF(O635&gt;30,"2-Sedang",IF(O635&gt;0,"3-Rendah","4-Pantau"))))</f>
        <v/>
      </c>
      <c r="S635" s="39" t="str">
        <f aca="false">IF(AND(M635&gt;0,O635&gt;0),O635+M635/1000000000000+ROW()/1000000000000000,"")</f>
        <v/>
      </c>
      <c r="T635" s="39" t="str">
        <f aca="false">IF(J635="Belum ditukar",ROW(),"")</f>
        <v/>
      </c>
    </row>
    <row r="636" customFormat="false" ht="15" hidden="false" customHeight="false" outlineLevel="0" collapsed="false">
      <c r="A636" s="50" t="s">
        <v>916</v>
      </c>
      <c r="B636" s="51" t="n">
        <v>45794</v>
      </c>
      <c r="C636" s="50" t="s">
        <v>358</v>
      </c>
      <c r="D636" s="39" t="str">
        <f aca="false">INDEX(Master_Customer!$B$2:$B$126,MATCH(C636,Master_Customer!$A$2:$A$126,0))</f>
        <v>HARAPAN TEKNIK</v>
      </c>
      <c r="E636" s="50" t="s">
        <v>31</v>
      </c>
      <c r="F636" s="52" t="n">
        <f aca="false">SUMIFS(Data_Penjualan!$G$2:$G$5998,Data_Penjualan!$A$2:$A$5998,A636)</f>
        <v>12346600</v>
      </c>
      <c r="G636" s="39" t="n">
        <f aca="false">IF(E636="KANTOR",0,INDEX(Master_Customer!$C$2:$C$126,MATCH(C636,Master_Customer!$A$2:$A$126,0)))</f>
        <v>0</v>
      </c>
      <c r="H636" s="53" t="n">
        <f aca="false">B636+G636</f>
        <v>45794</v>
      </c>
      <c r="J636" s="39" t="str">
        <f aca="false">IF(G636=0,"Tunai",IF(I636="","Belum ditukar","Sudah ditukar"))</f>
        <v>Tunai</v>
      </c>
      <c r="K636" s="54" t="n">
        <v>12346600</v>
      </c>
      <c r="L636" s="51" t="n">
        <v>45796</v>
      </c>
      <c r="M636" s="52" t="n">
        <f aca="false">F636-K636</f>
        <v>0</v>
      </c>
      <c r="N636" s="39" t="str">
        <f aca="false">IF(M636&lt;=0,"Lunas",IF(K636&gt;0,"Sebagian","Belum Bayar"))</f>
        <v>Lunas</v>
      </c>
      <c r="O636" s="39" t="n">
        <f aca="false">IF(M636&gt;0,MAX(0,Catatan!$B$3-H636),0)</f>
        <v>0</v>
      </c>
      <c r="P636" s="39" t="str">
        <f aca="false">IF(M636&lt;=0,"Lunas",IF(Catatan!$B$3&lt;=H636,"Belum Jatuh Tempo",IF(O636&lt;=30,"1-30 hari",IF(O636&lt;=60,"31-60 hari",IF(O636&lt;=90,"61-90 hari","90+ hari")))))</f>
        <v>Lunas</v>
      </c>
      <c r="Q636" s="50"/>
      <c r="R636" s="39" t="str">
        <f aca="false">IF(M636&lt;=0,"",IF(O636&gt;60,"1-Tinggi",IF(O636&gt;30,"2-Sedang",IF(O636&gt;0,"3-Rendah","4-Pantau"))))</f>
        <v/>
      </c>
      <c r="S636" s="39" t="str">
        <f aca="false">IF(AND(M636&gt;0,O636&gt;0),O636+M636/1000000000000+ROW()/1000000000000000,"")</f>
        <v/>
      </c>
      <c r="T636" s="39" t="str">
        <f aca="false">IF(J636="Belum ditukar",ROW(),"")</f>
        <v/>
      </c>
    </row>
    <row r="637" customFormat="false" ht="15" hidden="false" customHeight="false" outlineLevel="0" collapsed="false">
      <c r="A637" s="50" t="s">
        <v>917</v>
      </c>
      <c r="B637" s="51" t="n">
        <v>45794</v>
      </c>
      <c r="C637" s="50" t="s">
        <v>211</v>
      </c>
      <c r="D637" s="39" t="str">
        <f aca="false">INDEX(Master_Customer!$B$2:$B$126,MATCH(C637,Master_Customer!$A$2:$A$126,0))</f>
        <v>PRIMA MOBIL</v>
      </c>
      <c r="E637" s="50" t="s">
        <v>30</v>
      </c>
      <c r="F637" s="52" t="n">
        <f aca="false">SUMIFS(Data_Penjualan!$G$2:$G$5998,Data_Penjualan!$A$2:$A$5998,A637)</f>
        <v>16763000</v>
      </c>
      <c r="G637" s="39" t="n">
        <f aca="false">IF(E637="KANTOR",0,INDEX(Master_Customer!$C$2:$C$126,MATCH(C637,Master_Customer!$A$2:$A$126,0)))</f>
        <v>0</v>
      </c>
      <c r="H637" s="53" t="n">
        <f aca="false">B637+G637</f>
        <v>45794</v>
      </c>
      <c r="J637" s="39" t="str">
        <f aca="false">IF(G637=0,"Tunai",IF(I637="","Belum ditukar","Sudah ditukar"))</f>
        <v>Tunai</v>
      </c>
      <c r="K637" s="54" t="n">
        <v>16763000</v>
      </c>
      <c r="L637" s="51" t="n">
        <v>45794</v>
      </c>
      <c r="M637" s="52" t="n">
        <f aca="false">F637-K637</f>
        <v>0</v>
      </c>
      <c r="N637" s="39" t="str">
        <f aca="false">IF(M637&lt;=0,"Lunas",IF(K637&gt;0,"Sebagian","Belum Bayar"))</f>
        <v>Lunas</v>
      </c>
      <c r="O637" s="39" t="n">
        <f aca="false">IF(M637&gt;0,MAX(0,Catatan!$B$3-H637),0)</f>
        <v>0</v>
      </c>
      <c r="P637" s="39" t="str">
        <f aca="false">IF(M637&lt;=0,"Lunas",IF(Catatan!$B$3&lt;=H637,"Belum Jatuh Tempo",IF(O637&lt;=30,"1-30 hari",IF(O637&lt;=60,"31-60 hari",IF(O637&lt;=90,"61-90 hari","90+ hari")))))</f>
        <v>Lunas</v>
      </c>
      <c r="Q637" s="50"/>
      <c r="R637" s="39" t="str">
        <f aca="false">IF(M637&lt;=0,"",IF(O637&gt;60,"1-Tinggi",IF(O637&gt;30,"2-Sedang",IF(O637&gt;0,"3-Rendah","4-Pantau"))))</f>
        <v/>
      </c>
      <c r="S637" s="39" t="str">
        <f aca="false">IF(AND(M637&gt;0,O637&gt;0),O637+M637/1000000000000+ROW()/1000000000000000,"")</f>
        <v/>
      </c>
      <c r="T637" s="39" t="str">
        <f aca="false">IF(J637="Belum ditukar",ROW(),"")</f>
        <v/>
      </c>
    </row>
    <row r="638" customFormat="false" ht="15" hidden="false" customHeight="false" outlineLevel="0" collapsed="false">
      <c r="A638" s="50" t="s">
        <v>918</v>
      </c>
      <c r="B638" s="51" t="n">
        <v>45794</v>
      </c>
      <c r="C638" s="50" t="s">
        <v>223</v>
      </c>
      <c r="D638" s="39" t="str">
        <f aca="false">INDEX(Master_Customer!$B$2:$B$126,MATCH(C638,Master_Customer!$A$2:$A$126,0))</f>
        <v>ABADI AUTO UTAMA</v>
      </c>
      <c r="E638" s="50" t="s">
        <v>31</v>
      </c>
      <c r="F638" s="52" t="n">
        <f aca="false">SUMIFS(Data_Penjualan!$G$2:$G$5998,Data_Penjualan!$A$2:$A$5998,A638)</f>
        <v>4956700</v>
      </c>
      <c r="G638" s="39" t="n">
        <f aca="false">IF(E638="KANTOR",0,INDEX(Master_Customer!$C$2:$C$126,MATCH(C638,Master_Customer!$A$2:$A$126,0)))</f>
        <v>14</v>
      </c>
      <c r="H638" s="53" t="n">
        <f aca="false">B638+G638</f>
        <v>45808</v>
      </c>
      <c r="I638" s="51" t="n">
        <v>45797</v>
      </c>
      <c r="J638" s="39" t="str">
        <f aca="false">IF(G638=0,"Tunai",IF(I638="","Belum ditukar","Sudah ditukar"))</f>
        <v>Sudah ditukar</v>
      </c>
      <c r="K638" s="54" t="n">
        <v>4956700</v>
      </c>
      <c r="L638" s="51" t="n">
        <v>45817</v>
      </c>
      <c r="M638" s="52" t="n">
        <f aca="false">F638-K638</f>
        <v>0</v>
      </c>
      <c r="N638" s="39" t="str">
        <f aca="false">IF(M638&lt;=0,"Lunas",IF(K638&gt;0,"Sebagian","Belum Bayar"))</f>
        <v>Lunas</v>
      </c>
      <c r="O638" s="39" t="n">
        <f aca="false">IF(M638&gt;0,MAX(0,Catatan!$B$3-H638),0)</f>
        <v>0</v>
      </c>
      <c r="P638" s="39" t="str">
        <f aca="false">IF(M638&lt;=0,"Lunas",IF(Catatan!$B$3&lt;=H638,"Belum Jatuh Tempo",IF(O638&lt;=30,"1-30 hari",IF(O638&lt;=60,"31-60 hari",IF(O638&lt;=90,"61-90 hari","90+ hari")))))</f>
        <v>Lunas</v>
      </c>
      <c r="Q638" s="50"/>
      <c r="R638" s="39" t="str">
        <f aca="false">IF(M638&lt;=0,"",IF(O638&gt;60,"1-Tinggi",IF(O638&gt;30,"2-Sedang",IF(O638&gt;0,"3-Rendah","4-Pantau"))))</f>
        <v/>
      </c>
      <c r="S638" s="39" t="str">
        <f aca="false">IF(AND(M638&gt;0,O638&gt;0),O638+M638/1000000000000+ROW()/1000000000000000,"")</f>
        <v/>
      </c>
      <c r="T638" s="39" t="str">
        <f aca="false">IF(J638="Belum ditukar",ROW(),"")</f>
        <v/>
      </c>
    </row>
    <row r="639" customFormat="false" ht="15" hidden="false" customHeight="false" outlineLevel="0" collapsed="false">
      <c r="A639" s="50" t="s">
        <v>919</v>
      </c>
      <c r="B639" s="51" t="n">
        <v>45794</v>
      </c>
      <c r="C639" s="50" t="s">
        <v>218</v>
      </c>
      <c r="D639" s="39" t="str">
        <f aca="false">INDEX(Master_Customer!$B$2:$B$126,MATCH(C639,Master_Customer!$A$2:$A$126,0))</f>
        <v>SURYA SERVICE LANCAR</v>
      </c>
      <c r="E639" s="50" t="s">
        <v>28</v>
      </c>
      <c r="F639" s="52" t="n">
        <f aca="false">SUMIFS(Data_Penjualan!$G$2:$G$5998,Data_Penjualan!$A$2:$A$5998,A639)</f>
        <v>17106400</v>
      </c>
      <c r="G639" s="39" t="n">
        <f aca="false">IF(E639="KANTOR",0,INDEX(Master_Customer!$C$2:$C$126,MATCH(C639,Master_Customer!$A$2:$A$126,0)))</f>
        <v>0</v>
      </c>
      <c r="H639" s="53" t="n">
        <f aca="false">B639+G639</f>
        <v>45794</v>
      </c>
      <c r="J639" s="39" t="str">
        <f aca="false">IF(G639=0,"Tunai",IF(I639="","Belum ditukar","Sudah ditukar"))</f>
        <v>Tunai</v>
      </c>
      <c r="K639" s="54" t="n">
        <v>17106400</v>
      </c>
      <c r="L639" s="51" t="n">
        <v>45794</v>
      </c>
      <c r="M639" s="52" t="n">
        <f aca="false">F639-K639</f>
        <v>0</v>
      </c>
      <c r="N639" s="39" t="str">
        <f aca="false">IF(M639&lt;=0,"Lunas",IF(K639&gt;0,"Sebagian","Belum Bayar"))</f>
        <v>Lunas</v>
      </c>
      <c r="O639" s="39" t="n">
        <f aca="false">IF(M639&gt;0,MAX(0,Catatan!$B$3-H639),0)</f>
        <v>0</v>
      </c>
      <c r="P639" s="39" t="str">
        <f aca="false">IF(M639&lt;=0,"Lunas",IF(Catatan!$B$3&lt;=H639,"Belum Jatuh Tempo",IF(O639&lt;=30,"1-30 hari",IF(O639&lt;=60,"31-60 hari",IF(O639&lt;=90,"61-90 hari","90+ hari")))))</f>
        <v>Lunas</v>
      </c>
      <c r="Q639" s="50"/>
      <c r="R639" s="39" t="str">
        <f aca="false">IF(M639&lt;=0,"",IF(O639&gt;60,"1-Tinggi",IF(O639&gt;30,"2-Sedang",IF(O639&gt;0,"3-Rendah","4-Pantau"))))</f>
        <v/>
      </c>
      <c r="S639" s="39" t="str">
        <f aca="false">IF(AND(M639&gt;0,O639&gt;0),O639+M639/1000000000000+ROW()/1000000000000000,"")</f>
        <v/>
      </c>
      <c r="T639" s="39" t="str">
        <f aca="false">IF(J639="Belum ditukar",ROW(),"")</f>
        <v/>
      </c>
    </row>
    <row r="640" customFormat="false" ht="15" hidden="false" customHeight="false" outlineLevel="0" collapsed="false">
      <c r="A640" s="50" t="s">
        <v>920</v>
      </c>
      <c r="B640" s="51" t="n">
        <v>45796</v>
      </c>
      <c r="C640" s="50" t="s">
        <v>358</v>
      </c>
      <c r="D640" s="39" t="str">
        <f aca="false">INDEX(Master_Customer!$B$2:$B$126,MATCH(C640,Master_Customer!$A$2:$A$126,0))</f>
        <v>HARAPAN TEKNIK</v>
      </c>
      <c r="E640" s="50" t="s">
        <v>31</v>
      </c>
      <c r="F640" s="52" t="n">
        <f aca="false">SUMIFS(Data_Penjualan!$G$2:$G$5998,Data_Penjualan!$A$2:$A$5998,A640)</f>
        <v>10804900</v>
      </c>
      <c r="G640" s="39" t="n">
        <f aca="false">IF(E640="KANTOR",0,INDEX(Master_Customer!$C$2:$C$126,MATCH(C640,Master_Customer!$A$2:$A$126,0)))</f>
        <v>0</v>
      </c>
      <c r="H640" s="53" t="n">
        <f aca="false">B640+G640</f>
        <v>45796</v>
      </c>
      <c r="J640" s="39" t="str">
        <f aca="false">IF(G640=0,"Tunai",IF(I640="","Belum ditukar","Sudah ditukar"))</f>
        <v>Tunai</v>
      </c>
      <c r="K640" s="54" t="n">
        <v>10804900</v>
      </c>
      <c r="L640" s="51" t="n">
        <v>45796</v>
      </c>
      <c r="M640" s="52" t="n">
        <f aca="false">F640-K640</f>
        <v>0</v>
      </c>
      <c r="N640" s="39" t="str">
        <f aca="false">IF(M640&lt;=0,"Lunas",IF(K640&gt;0,"Sebagian","Belum Bayar"))</f>
        <v>Lunas</v>
      </c>
      <c r="O640" s="39" t="n">
        <f aca="false">IF(M640&gt;0,MAX(0,Catatan!$B$3-H640),0)</f>
        <v>0</v>
      </c>
      <c r="P640" s="39" t="str">
        <f aca="false">IF(M640&lt;=0,"Lunas",IF(Catatan!$B$3&lt;=H640,"Belum Jatuh Tempo",IF(O640&lt;=30,"1-30 hari",IF(O640&lt;=60,"31-60 hari",IF(O640&lt;=90,"61-90 hari","90+ hari")))))</f>
        <v>Lunas</v>
      </c>
      <c r="Q640" s="50"/>
      <c r="R640" s="39" t="str">
        <f aca="false">IF(M640&lt;=0,"",IF(O640&gt;60,"1-Tinggi",IF(O640&gt;30,"2-Sedang",IF(O640&gt;0,"3-Rendah","4-Pantau"))))</f>
        <v/>
      </c>
      <c r="S640" s="39" t="str">
        <f aca="false">IF(AND(M640&gt;0,O640&gt;0),O640+M640/1000000000000+ROW()/1000000000000000,"")</f>
        <v/>
      </c>
      <c r="T640" s="39" t="str">
        <f aca="false">IF(J640="Belum ditukar",ROW(),"")</f>
        <v/>
      </c>
    </row>
    <row r="641" customFormat="false" ht="15" hidden="false" customHeight="false" outlineLevel="0" collapsed="false">
      <c r="A641" s="50" t="s">
        <v>921</v>
      </c>
      <c r="B641" s="51" t="n">
        <v>45796</v>
      </c>
      <c r="C641" s="50" t="s">
        <v>419</v>
      </c>
      <c r="D641" s="39" t="str">
        <f aca="false">INDEX(Master_Customer!$B$2:$B$126,MATCH(C641,Master_Customer!$A$2:$A$126,0))</f>
        <v>UTAMA MOTOR</v>
      </c>
      <c r="E641" s="50" t="s">
        <v>30</v>
      </c>
      <c r="F641" s="52" t="n">
        <f aca="false">SUMIFS(Data_Penjualan!$G$2:$G$5998,Data_Penjualan!$A$2:$A$5998,A641)</f>
        <v>10206800</v>
      </c>
      <c r="G641" s="39" t="n">
        <f aca="false">IF(E641="KANTOR",0,INDEX(Master_Customer!$C$2:$C$126,MATCH(C641,Master_Customer!$A$2:$A$126,0)))</f>
        <v>14</v>
      </c>
      <c r="H641" s="53" t="n">
        <f aca="false">B641+G641</f>
        <v>45810</v>
      </c>
      <c r="I641" s="51" t="n">
        <v>45801</v>
      </c>
      <c r="J641" s="39" t="str">
        <f aca="false">IF(G641=0,"Tunai",IF(I641="","Belum ditukar","Sudah ditukar"))</f>
        <v>Sudah ditukar</v>
      </c>
      <c r="K641" s="54" t="n">
        <v>10206800</v>
      </c>
      <c r="L641" s="51" t="n">
        <v>45804</v>
      </c>
      <c r="M641" s="52" t="n">
        <f aca="false">F641-K641</f>
        <v>0</v>
      </c>
      <c r="N641" s="39" t="str">
        <f aca="false">IF(M641&lt;=0,"Lunas",IF(K641&gt;0,"Sebagian","Belum Bayar"))</f>
        <v>Lunas</v>
      </c>
      <c r="O641" s="39" t="n">
        <f aca="false">IF(M641&gt;0,MAX(0,Catatan!$B$3-H641),0)</f>
        <v>0</v>
      </c>
      <c r="P641" s="39" t="str">
        <f aca="false">IF(M641&lt;=0,"Lunas",IF(Catatan!$B$3&lt;=H641,"Belum Jatuh Tempo",IF(O641&lt;=30,"1-30 hari",IF(O641&lt;=60,"31-60 hari",IF(O641&lt;=90,"61-90 hari","90+ hari")))))</f>
        <v>Lunas</v>
      </c>
      <c r="Q641" s="50"/>
      <c r="R641" s="39" t="str">
        <f aca="false">IF(M641&lt;=0,"",IF(O641&gt;60,"1-Tinggi",IF(O641&gt;30,"2-Sedang",IF(O641&gt;0,"3-Rendah","4-Pantau"))))</f>
        <v/>
      </c>
      <c r="S641" s="39" t="str">
        <f aca="false">IF(AND(M641&gt;0,O641&gt;0),O641+M641/1000000000000+ROW()/1000000000000000,"")</f>
        <v/>
      </c>
      <c r="T641" s="39" t="str">
        <f aca="false">IF(J641="Belum ditukar",ROW(),"")</f>
        <v/>
      </c>
    </row>
    <row r="642" customFormat="false" ht="15" hidden="false" customHeight="false" outlineLevel="0" collapsed="false">
      <c r="A642" s="50" t="s">
        <v>922</v>
      </c>
      <c r="B642" s="51" t="n">
        <v>45796</v>
      </c>
      <c r="C642" s="50" t="s">
        <v>174</v>
      </c>
      <c r="D642" s="39" t="str">
        <f aca="false">INDEX(Master_Customer!$B$2:$B$126,MATCH(C642,Master_Customer!$A$2:$A$126,0))</f>
        <v>SUMBER TEKNIK SURYA</v>
      </c>
      <c r="E642" s="50" t="s">
        <v>31</v>
      </c>
      <c r="F642" s="52" t="n">
        <f aca="false">SUMIFS(Data_Penjualan!$G$2:$G$5998,Data_Penjualan!$A$2:$A$5998,A642)</f>
        <v>13722500</v>
      </c>
      <c r="G642" s="39" t="n">
        <f aca="false">IF(E642="KANTOR",0,INDEX(Master_Customer!$C$2:$C$126,MATCH(C642,Master_Customer!$A$2:$A$126,0)))</f>
        <v>30</v>
      </c>
      <c r="H642" s="53" t="n">
        <f aca="false">B642+G642</f>
        <v>45826</v>
      </c>
      <c r="I642" s="51" t="n">
        <v>45798</v>
      </c>
      <c r="J642" s="39" t="str">
        <f aca="false">IF(G642=0,"Tunai",IF(I642="","Belum ditukar","Sudah ditukar"))</f>
        <v>Sudah ditukar</v>
      </c>
      <c r="K642" s="54" t="n">
        <v>13722500</v>
      </c>
      <c r="L642" s="51" t="n">
        <v>45825</v>
      </c>
      <c r="M642" s="52" t="n">
        <f aca="false">F642-K642</f>
        <v>0</v>
      </c>
      <c r="N642" s="39" t="str">
        <f aca="false">IF(M642&lt;=0,"Lunas",IF(K642&gt;0,"Sebagian","Belum Bayar"))</f>
        <v>Lunas</v>
      </c>
      <c r="O642" s="39" t="n">
        <f aca="false">IF(M642&gt;0,MAX(0,Catatan!$B$3-H642),0)</f>
        <v>0</v>
      </c>
      <c r="P642" s="39" t="str">
        <f aca="false">IF(M642&lt;=0,"Lunas",IF(Catatan!$B$3&lt;=H642,"Belum Jatuh Tempo",IF(O642&lt;=30,"1-30 hari",IF(O642&lt;=60,"31-60 hari",IF(O642&lt;=90,"61-90 hari","90+ hari")))))</f>
        <v>Lunas</v>
      </c>
      <c r="Q642" s="50"/>
      <c r="R642" s="39" t="str">
        <f aca="false">IF(M642&lt;=0,"",IF(O642&gt;60,"1-Tinggi",IF(O642&gt;30,"2-Sedang",IF(O642&gt;0,"3-Rendah","4-Pantau"))))</f>
        <v/>
      </c>
      <c r="S642" s="39" t="str">
        <f aca="false">IF(AND(M642&gt;0,O642&gt;0),O642+M642/1000000000000+ROW()/1000000000000000,"")</f>
        <v/>
      </c>
      <c r="T642" s="39" t="str">
        <f aca="false">IF(J642="Belum ditukar",ROW(),"")</f>
        <v/>
      </c>
    </row>
    <row r="643" customFormat="false" ht="15" hidden="false" customHeight="false" outlineLevel="0" collapsed="false">
      <c r="A643" s="50" t="s">
        <v>923</v>
      </c>
      <c r="B643" s="51" t="n">
        <v>45796</v>
      </c>
      <c r="C643" s="50" t="s">
        <v>237</v>
      </c>
      <c r="D643" s="39" t="str">
        <f aca="false">INDEX(Master_Customer!$B$2:$B$126,MATCH(C643,Master_Customer!$A$2:$A$126,0))</f>
        <v>SINAR SPAREPART</v>
      </c>
      <c r="E643" s="50" t="s">
        <v>31</v>
      </c>
      <c r="F643" s="52" t="n">
        <f aca="false">SUMIFS(Data_Penjualan!$G$2:$G$5998,Data_Penjualan!$A$2:$A$5998,A643)</f>
        <v>17602100</v>
      </c>
      <c r="G643" s="39" t="n">
        <f aca="false">IF(E643="KANTOR",0,INDEX(Master_Customer!$C$2:$C$126,MATCH(C643,Master_Customer!$A$2:$A$126,0)))</f>
        <v>45</v>
      </c>
      <c r="H643" s="53" t="n">
        <f aca="false">B643+G643</f>
        <v>45841</v>
      </c>
      <c r="I643" s="51" t="n">
        <v>45799</v>
      </c>
      <c r="J643" s="39" t="str">
        <f aca="false">IF(G643=0,"Tunai",IF(I643="","Belum ditukar","Sudah ditukar"))</f>
        <v>Sudah ditukar</v>
      </c>
      <c r="K643" s="54" t="n">
        <v>17602100</v>
      </c>
      <c r="L643" s="51" t="n">
        <v>45836</v>
      </c>
      <c r="M643" s="52" t="n">
        <f aca="false">F643-K643</f>
        <v>0</v>
      </c>
      <c r="N643" s="39" t="str">
        <f aca="false">IF(M643&lt;=0,"Lunas",IF(K643&gt;0,"Sebagian","Belum Bayar"))</f>
        <v>Lunas</v>
      </c>
      <c r="O643" s="39" t="n">
        <f aca="false">IF(M643&gt;0,MAX(0,Catatan!$B$3-H643),0)</f>
        <v>0</v>
      </c>
      <c r="P643" s="39" t="str">
        <f aca="false">IF(M643&lt;=0,"Lunas",IF(Catatan!$B$3&lt;=H643,"Belum Jatuh Tempo",IF(O643&lt;=30,"1-30 hari",IF(O643&lt;=60,"31-60 hari",IF(O643&lt;=90,"61-90 hari","90+ hari")))))</f>
        <v>Lunas</v>
      </c>
      <c r="Q643" s="50"/>
      <c r="R643" s="39" t="str">
        <f aca="false">IF(M643&lt;=0,"",IF(O643&gt;60,"1-Tinggi",IF(O643&gt;30,"2-Sedang",IF(O643&gt;0,"3-Rendah","4-Pantau"))))</f>
        <v/>
      </c>
      <c r="S643" s="39" t="str">
        <f aca="false">IF(AND(M643&gt;0,O643&gt;0),O643+M643/1000000000000+ROW()/1000000000000000,"")</f>
        <v/>
      </c>
      <c r="T643" s="39" t="str">
        <f aca="false">IF(J643="Belum ditukar",ROW(),"")</f>
        <v/>
      </c>
    </row>
    <row r="644" customFormat="false" ht="15" hidden="false" customHeight="false" outlineLevel="0" collapsed="false">
      <c r="A644" s="50" t="s">
        <v>924</v>
      </c>
      <c r="B644" s="51" t="n">
        <v>45796</v>
      </c>
      <c r="C644" s="50" t="s">
        <v>540</v>
      </c>
      <c r="D644" s="39" t="str">
        <f aca="false">INDEX(Master_Customer!$B$2:$B$126,MATCH(C644,Master_Customer!$A$2:$A$126,0))</f>
        <v>SURYA MOBIL</v>
      </c>
      <c r="E644" s="50" t="s">
        <v>32</v>
      </c>
      <c r="F644" s="52" t="n">
        <f aca="false">SUMIFS(Data_Penjualan!$G$2:$G$5998,Data_Penjualan!$A$2:$A$5998,A644)</f>
        <v>13658900</v>
      </c>
      <c r="G644" s="39" t="n">
        <f aca="false">IF(E644="KANTOR",0,INDEX(Master_Customer!$C$2:$C$126,MATCH(C644,Master_Customer!$A$2:$A$126,0)))</f>
        <v>0</v>
      </c>
      <c r="H644" s="53" t="n">
        <f aca="false">B644+G644</f>
        <v>45796</v>
      </c>
      <c r="J644" s="39" t="str">
        <f aca="false">IF(G644=0,"Tunai",IF(I644="","Belum ditukar","Sudah ditukar"))</f>
        <v>Tunai</v>
      </c>
      <c r="K644" s="54" t="n">
        <v>13658900</v>
      </c>
      <c r="L644" s="51" t="n">
        <v>45798</v>
      </c>
      <c r="M644" s="52" t="n">
        <f aca="false">F644-K644</f>
        <v>0</v>
      </c>
      <c r="N644" s="39" t="str">
        <f aca="false">IF(M644&lt;=0,"Lunas",IF(K644&gt;0,"Sebagian","Belum Bayar"))</f>
        <v>Lunas</v>
      </c>
      <c r="O644" s="39" t="n">
        <f aca="false">IF(M644&gt;0,MAX(0,Catatan!$B$3-H644),0)</f>
        <v>0</v>
      </c>
      <c r="P644" s="39" t="str">
        <f aca="false">IF(M644&lt;=0,"Lunas",IF(Catatan!$B$3&lt;=H644,"Belum Jatuh Tempo",IF(O644&lt;=30,"1-30 hari",IF(O644&lt;=60,"31-60 hari",IF(O644&lt;=90,"61-90 hari","90+ hari")))))</f>
        <v>Lunas</v>
      </c>
      <c r="Q644" s="50"/>
      <c r="R644" s="39" t="str">
        <f aca="false">IF(M644&lt;=0,"",IF(O644&gt;60,"1-Tinggi",IF(O644&gt;30,"2-Sedang",IF(O644&gt;0,"3-Rendah","4-Pantau"))))</f>
        <v/>
      </c>
      <c r="S644" s="39" t="str">
        <f aca="false">IF(AND(M644&gt;0,O644&gt;0),O644+M644/1000000000000+ROW()/1000000000000000,"")</f>
        <v/>
      </c>
      <c r="T644" s="39" t="str">
        <f aca="false">IF(J644="Belum ditukar",ROW(),"")</f>
        <v/>
      </c>
    </row>
    <row r="645" customFormat="false" ht="15" hidden="false" customHeight="false" outlineLevel="0" collapsed="false">
      <c r="A645" s="50" t="s">
        <v>925</v>
      </c>
      <c r="B645" s="51" t="n">
        <v>45796</v>
      </c>
      <c r="C645" s="50" t="s">
        <v>562</v>
      </c>
      <c r="D645" s="39" t="str">
        <f aca="false">INDEX(Master_Customer!$B$2:$B$126,MATCH(C645,Master_Customer!$A$2:$A$126,0))</f>
        <v>BERKAH SERVICE SENTOSA</v>
      </c>
      <c r="E645" s="50" t="s">
        <v>28</v>
      </c>
      <c r="F645" s="52" t="n">
        <f aca="false">SUMIFS(Data_Penjualan!$G$2:$G$5998,Data_Penjualan!$A$2:$A$5998,A645)</f>
        <v>4673300</v>
      </c>
      <c r="G645" s="39" t="n">
        <f aca="false">IF(E645="KANTOR",0,INDEX(Master_Customer!$C$2:$C$126,MATCH(C645,Master_Customer!$A$2:$A$126,0)))</f>
        <v>14</v>
      </c>
      <c r="H645" s="53" t="n">
        <f aca="false">B645+G645</f>
        <v>45810</v>
      </c>
      <c r="I645" s="51" t="n">
        <v>45798</v>
      </c>
      <c r="J645" s="39" t="str">
        <f aca="false">IF(G645=0,"Tunai",IF(I645="","Belum ditukar","Sudah ditukar"))</f>
        <v>Sudah ditukar</v>
      </c>
      <c r="K645" s="54" t="n">
        <v>4673300</v>
      </c>
      <c r="L645" s="51" t="n">
        <v>45831</v>
      </c>
      <c r="M645" s="52" t="n">
        <f aca="false">F645-K645</f>
        <v>0</v>
      </c>
      <c r="N645" s="39" t="str">
        <f aca="false">IF(M645&lt;=0,"Lunas",IF(K645&gt;0,"Sebagian","Belum Bayar"))</f>
        <v>Lunas</v>
      </c>
      <c r="O645" s="39" t="n">
        <f aca="false">IF(M645&gt;0,MAX(0,Catatan!$B$3-H645),0)</f>
        <v>0</v>
      </c>
      <c r="P645" s="39" t="str">
        <f aca="false">IF(M645&lt;=0,"Lunas",IF(Catatan!$B$3&lt;=H645,"Belum Jatuh Tempo",IF(O645&lt;=30,"1-30 hari",IF(O645&lt;=60,"31-60 hari",IF(O645&lt;=90,"61-90 hari","90+ hari")))))</f>
        <v>Lunas</v>
      </c>
      <c r="Q645" s="50"/>
      <c r="R645" s="39" t="str">
        <f aca="false">IF(M645&lt;=0,"",IF(O645&gt;60,"1-Tinggi",IF(O645&gt;30,"2-Sedang",IF(O645&gt;0,"3-Rendah","4-Pantau"))))</f>
        <v/>
      </c>
      <c r="S645" s="39" t="str">
        <f aca="false">IF(AND(M645&gt;0,O645&gt;0),O645+M645/1000000000000+ROW()/1000000000000000,"")</f>
        <v/>
      </c>
      <c r="T645" s="39" t="str">
        <f aca="false">IF(J645="Belum ditukar",ROW(),"")</f>
        <v/>
      </c>
    </row>
    <row r="646" customFormat="false" ht="15" hidden="false" customHeight="false" outlineLevel="0" collapsed="false">
      <c r="A646" s="50" t="s">
        <v>926</v>
      </c>
      <c r="B646" s="51" t="n">
        <v>45796</v>
      </c>
      <c r="C646" s="50" t="s">
        <v>199</v>
      </c>
      <c r="D646" s="39" t="str">
        <f aca="false">INDEX(Master_Customer!$B$2:$B$126,MATCH(C646,Master_Customer!$A$2:$A$126,0))</f>
        <v>KARYA SPAREPART</v>
      </c>
      <c r="E646" s="50" t="s">
        <v>29</v>
      </c>
      <c r="F646" s="52" t="n">
        <f aca="false">SUMIFS(Data_Penjualan!$G$2:$G$5998,Data_Penjualan!$A$2:$A$5998,A646)</f>
        <v>10669600</v>
      </c>
      <c r="G646" s="39" t="n">
        <f aca="false">IF(E646="KANTOR",0,INDEX(Master_Customer!$C$2:$C$126,MATCH(C646,Master_Customer!$A$2:$A$126,0)))</f>
        <v>45</v>
      </c>
      <c r="H646" s="53" t="n">
        <f aca="false">B646+G646</f>
        <v>45841</v>
      </c>
      <c r="I646" s="51" t="n">
        <v>45797</v>
      </c>
      <c r="J646" s="39" t="str">
        <f aca="false">IF(G646=0,"Tunai",IF(I646="","Belum ditukar","Sudah ditukar"))</f>
        <v>Sudah ditukar</v>
      </c>
      <c r="K646" s="54" t="n">
        <v>10669600</v>
      </c>
      <c r="L646" s="51" t="n">
        <v>45834</v>
      </c>
      <c r="M646" s="52" t="n">
        <f aca="false">F646-K646</f>
        <v>0</v>
      </c>
      <c r="N646" s="39" t="str">
        <f aca="false">IF(M646&lt;=0,"Lunas",IF(K646&gt;0,"Sebagian","Belum Bayar"))</f>
        <v>Lunas</v>
      </c>
      <c r="O646" s="39" t="n">
        <f aca="false">IF(M646&gt;0,MAX(0,Catatan!$B$3-H646),0)</f>
        <v>0</v>
      </c>
      <c r="P646" s="39" t="str">
        <f aca="false">IF(M646&lt;=0,"Lunas",IF(Catatan!$B$3&lt;=H646,"Belum Jatuh Tempo",IF(O646&lt;=30,"1-30 hari",IF(O646&lt;=60,"31-60 hari",IF(O646&lt;=90,"61-90 hari","90+ hari")))))</f>
        <v>Lunas</v>
      </c>
      <c r="Q646" s="50"/>
      <c r="R646" s="39" t="str">
        <f aca="false">IF(M646&lt;=0,"",IF(O646&gt;60,"1-Tinggi",IF(O646&gt;30,"2-Sedang",IF(O646&gt;0,"3-Rendah","4-Pantau"))))</f>
        <v/>
      </c>
      <c r="S646" s="39" t="str">
        <f aca="false">IF(AND(M646&gt;0,O646&gt;0),O646+M646/1000000000000+ROW()/1000000000000000,"")</f>
        <v/>
      </c>
      <c r="T646" s="39" t="str">
        <f aca="false">IF(J646="Belum ditukar",ROW(),"")</f>
        <v/>
      </c>
    </row>
    <row r="647" customFormat="false" ht="15" hidden="false" customHeight="false" outlineLevel="0" collapsed="false">
      <c r="A647" s="50" t="s">
        <v>927</v>
      </c>
      <c r="B647" s="51" t="n">
        <v>45797</v>
      </c>
      <c r="C647" s="50" t="s">
        <v>298</v>
      </c>
      <c r="D647" s="39" t="str">
        <f aca="false">INDEX(Master_Customer!$B$2:$B$126,MATCH(C647,Master_Customer!$A$2:$A$126,0))</f>
        <v>BERKAH MOBIL MAKMUR</v>
      </c>
      <c r="E647" s="50" t="s">
        <v>32</v>
      </c>
      <c r="F647" s="52" t="n">
        <f aca="false">SUMIFS(Data_Penjualan!$G$2:$G$5998,Data_Penjualan!$A$2:$A$5998,A647)</f>
        <v>8427000</v>
      </c>
      <c r="G647" s="39" t="n">
        <f aca="false">IF(E647="KANTOR",0,INDEX(Master_Customer!$C$2:$C$126,MATCH(C647,Master_Customer!$A$2:$A$126,0)))</f>
        <v>0</v>
      </c>
      <c r="H647" s="53" t="n">
        <f aca="false">B647+G647</f>
        <v>45797</v>
      </c>
      <c r="J647" s="39" t="str">
        <f aca="false">IF(G647=0,"Tunai",IF(I647="","Belum ditukar","Sudah ditukar"))</f>
        <v>Tunai</v>
      </c>
      <c r="K647" s="54" t="n">
        <v>8427000</v>
      </c>
      <c r="L647" s="51" t="n">
        <v>45797</v>
      </c>
      <c r="M647" s="52" t="n">
        <f aca="false">F647-K647</f>
        <v>0</v>
      </c>
      <c r="N647" s="39" t="str">
        <f aca="false">IF(M647&lt;=0,"Lunas",IF(K647&gt;0,"Sebagian","Belum Bayar"))</f>
        <v>Lunas</v>
      </c>
      <c r="O647" s="39" t="n">
        <f aca="false">IF(M647&gt;0,MAX(0,Catatan!$B$3-H647),0)</f>
        <v>0</v>
      </c>
      <c r="P647" s="39" t="str">
        <f aca="false">IF(M647&lt;=0,"Lunas",IF(Catatan!$B$3&lt;=H647,"Belum Jatuh Tempo",IF(O647&lt;=30,"1-30 hari",IF(O647&lt;=60,"31-60 hari",IF(O647&lt;=90,"61-90 hari","90+ hari")))))</f>
        <v>Lunas</v>
      </c>
      <c r="Q647" s="50"/>
      <c r="R647" s="39" t="str">
        <f aca="false">IF(M647&lt;=0,"",IF(O647&gt;60,"1-Tinggi",IF(O647&gt;30,"2-Sedang",IF(O647&gt;0,"3-Rendah","4-Pantau"))))</f>
        <v/>
      </c>
      <c r="S647" s="39" t="str">
        <f aca="false">IF(AND(M647&gt;0,O647&gt;0),O647+M647/1000000000000+ROW()/1000000000000000,"")</f>
        <v/>
      </c>
      <c r="T647" s="39" t="str">
        <f aca="false">IF(J647="Belum ditukar",ROW(),"")</f>
        <v/>
      </c>
    </row>
    <row r="648" customFormat="false" ht="15" hidden="false" customHeight="false" outlineLevel="0" collapsed="false">
      <c r="A648" s="50" t="s">
        <v>928</v>
      </c>
      <c r="B648" s="51" t="n">
        <v>45797</v>
      </c>
      <c r="C648" s="50" t="s">
        <v>174</v>
      </c>
      <c r="D648" s="39" t="str">
        <f aca="false">INDEX(Master_Customer!$B$2:$B$126,MATCH(C648,Master_Customer!$A$2:$A$126,0))</f>
        <v>SUMBER TEKNIK SURYA</v>
      </c>
      <c r="E648" s="50" t="s">
        <v>31</v>
      </c>
      <c r="F648" s="52" t="n">
        <f aca="false">SUMIFS(Data_Penjualan!$G$2:$G$5998,Data_Penjualan!$A$2:$A$5998,A648)</f>
        <v>12779000</v>
      </c>
      <c r="G648" s="39" t="n">
        <f aca="false">IF(E648="KANTOR",0,INDEX(Master_Customer!$C$2:$C$126,MATCH(C648,Master_Customer!$A$2:$A$126,0)))</f>
        <v>30</v>
      </c>
      <c r="H648" s="53" t="n">
        <f aca="false">B648+G648</f>
        <v>45827</v>
      </c>
      <c r="I648" s="51" t="n">
        <v>45802</v>
      </c>
      <c r="J648" s="39" t="str">
        <f aca="false">IF(G648=0,"Tunai",IF(I648="","Belum ditukar","Sudah ditukar"))</f>
        <v>Sudah ditukar</v>
      </c>
      <c r="K648" s="54" t="n">
        <v>12779000</v>
      </c>
      <c r="L648" s="51" t="n">
        <v>45821</v>
      </c>
      <c r="M648" s="52" t="n">
        <f aca="false">F648-K648</f>
        <v>0</v>
      </c>
      <c r="N648" s="39" t="str">
        <f aca="false">IF(M648&lt;=0,"Lunas",IF(K648&gt;0,"Sebagian","Belum Bayar"))</f>
        <v>Lunas</v>
      </c>
      <c r="O648" s="39" t="n">
        <f aca="false">IF(M648&gt;0,MAX(0,Catatan!$B$3-H648),0)</f>
        <v>0</v>
      </c>
      <c r="P648" s="39" t="str">
        <f aca="false">IF(M648&lt;=0,"Lunas",IF(Catatan!$B$3&lt;=H648,"Belum Jatuh Tempo",IF(O648&lt;=30,"1-30 hari",IF(O648&lt;=60,"31-60 hari",IF(O648&lt;=90,"61-90 hari","90+ hari")))))</f>
        <v>Lunas</v>
      </c>
      <c r="Q648" s="50"/>
      <c r="R648" s="39" t="str">
        <f aca="false">IF(M648&lt;=0,"",IF(O648&gt;60,"1-Tinggi",IF(O648&gt;30,"2-Sedang",IF(O648&gt;0,"3-Rendah","4-Pantau"))))</f>
        <v/>
      </c>
      <c r="S648" s="39" t="str">
        <f aca="false">IF(AND(M648&gt;0,O648&gt;0),O648+M648/1000000000000+ROW()/1000000000000000,"")</f>
        <v/>
      </c>
      <c r="T648" s="39" t="str">
        <f aca="false">IF(J648="Belum ditukar",ROW(),"")</f>
        <v/>
      </c>
    </row>
    <row r="649" customFormat="false" ht="15" hidden="false" customHeight="false" outlineLevel="0" collapsed="false">
      <c r="A649" s="50" t="s">
        <v>929</v>
      </c>
      <c r="B649" s="51" t="n">
        <v>45797</v>
      </c>
      <c r="C649" s="50" t="s">
        <v>475</v>
      </c>
      <c r="D649" s="39" t="str">
        <f aca="false">INDEX(Master_Customer!$B$2:$B$126,MATCH(C649,Master_Customer!$A$2:$A$126,0))</f>
        <v>CAHAYA BENGKEL</v>
      </c>
      <c r="E649" s="50" t="s">
        <v>30</v>
      </c>
      <c r="F649" s="52" t="n">
        <f aca="false">SUMIFS(Data_Penjualan!$G$2:$G$5998,Data_Penjualan!$A$2:$A$5998,A649)</f>
        <v>10890600</v>
      </c>
      <c r="G649" s="39" t="n">
        <f aca="false">IF(E649="KANTOR",0,INDEX(Master_Customer!$C$2:$C$126,MATCH(C649,Master_Customer!$A$2:$A$126,0)))</f>
        <v>30</v>
      </c>
      <c r="H649" s="53" t="n">
        <f aca="false">B649+G649</f>
        <v>45827</v>
      </c>
      <c r="I649" s="51" t="n">
        <v>45800</v>
      </c>
      <c r="J649" s="39" t="str">
        <f aca="false">IF(G649=0,"Tunai",IF(I649="","Belum ditukar","Sudah ditukar"))</f>
        <v>Sudah ditukar</v>
      </c>
      <c r="K649" s="54" t="n">
        <v>10890600</v>
      </c>
      <c r="L649" s="51" t="n">
        <v>45832</v>
      </c>
      <c r="M649" s="52" t="n">
        <f aca="false">F649-K649</f>
        <v>0</v>
      </c>
      <c r="N649" s="39" t="str">
        <f aca="false">IF(M649&lt;=0,"Lunas",IF(K649&gt;0,"Sebagian","Belum Bayar"))</f>
        <v>Lunas</v>
      </c>
      <c r="O649" s="39" t="n">
        <f aca="false">IF(M649&gt;0,MAX(0,Catatan!$B$3-H649),0)</f>
        <v>0</v>
      </c>
      <c r="P649" s="39" t="str">
        <f aca="false">IF(M649&lt;=0,"Lunas",IF(Catatan!$B$3&lt;=H649,"Belum Jatuh Tempo",IF(O649&lt;=30,"1-30 hari",IF(O649&lt;=60,"31-60 hari",IF(O649&lt;=90,"61-90 hari","90+ hari")))))</f>
        <v>Lunas</v>
      </c>
      <c r="Q649" s="50"/>
      <c r="R649" s="39" t="str">
        <f aca="false">IF(M649&lt;=0,"",IF(O649&gt;60,"1-Tinggi",IF(O649&gt;30,"2-Sedang",IF(O649&gt;0,"3-Rendah","4-Pantau"))))</f>
        <v/>
      </c>
      <c r="S649" s="39" t="str">
        <f aca="false">IF(AND(M649&gt;0,O649&gt;0),O649+M649/1000000000000+ROW()/1000000000000000,"")</f>
        <v/>
      </c>
      <c r="T649" s="39" t="str">
        <f aca="false">IF(J649="Belum ditukar",ROW(),"")</f>
        <v/>
      </c>
    </row>
    <row r="650" customFormat="false" ht="15" hidden="false" customHeight="false" outlineLevel="0" collapsed="false">
      <c r="A650" s="50" t="s">
        <v>930</v>
      </c>
      <c r="B650" s="51" t="n">
        <v>45797</v>
      </c>
      <c r="C650" s="50" t="s">
        <v>205</v>
      </c>
      <c r="D650" s="39" t="str">
        <f aca="false">INDEX(Master_Customer!$B$2:$B$126,MATCH(C650,Master_Customer!$A$2:$A$126,0))</f>
        <v>BERKAH OLI</v>
      </c>
      <c r="E650" s="50" t="s">
        <v>28</v>
      </c>
      <c r="F650" s="52" t="n">
        <f aca="false">SUMIFS(Data_Penjualan!$G$2:$G$5998,Data_Penjualan!$A$2:$A$5998,A650)</f>
        <v>17631900</v>
      </c>
      <c r="G650" s="39" t="n">
        <f aca="false">IF(E650="KANTOR",0,INDEX(Master_Customer!$C$2:$C$126,MATCH(C650,Master_Customer!$A$2:$A$126,0)))</f>
        <v>0</v>
      </c>
      <c r="H650" s="53" t="n">
        <f aca="false">B650+G650</f>
        <v>45797</v>
      </c>
      <c r="J650" s="39" t="str">
        <f aca="false">IF(G650=0,"Tunai",IF(I650="","Belum ditukar","Sudah ditukar"))</f>
        <v>Tunai</v>
      </c>
      <c r="K650" s="54" t="n">
        <v>17631900</v>
      </c>
      <c r="L650" s="51" t="n">
        <v>45797</v>
      </c>
      <c r="M650" s="52" t="n">
        <f aca="false">F650-K650</f>
        <v>0</v>
      </c>
      <c r="N650" s="39" t="str">
        <f aca="false">IF(M650&lt;=0,"Lunas",IF(K650&gt;0,"Sebagian","Belum Bayar"))</f>
        <v>Lunas</v>
      </c>
      <c r="O650" s="39" t="n">
        <f aca="false">IF(M650&gt;0,MAX(0,Catatan!$B$3-H650),0)</f>
        <v>0</v>
      </c>
      <c r="P650" s="39" t="str">
        <f aca="false">IF(M650&lt;=0,"Lunas",IF(Catatan!$B$3&lt;=H650,"Belum Jatuh Tempo",IF(O650&lt;=30,"1-30 hari",IF(O650&lt;=60,"31-60 hari",IF(O650&lt;=90,"61-90 hari","90+ hari")))))</f>
        <v>Lunas</v>
      </c>
      <c r="Q650" s="50"/>
      <c r="R650" s="39" t="str">
        <f aca="false">IF(M650&lt;=0,"",IF(O650&gt;60,"1-Tinggi",IF(O650&gt;30,"2-Sedang",IF(O650&gt;0,"3-Rendah","4-Pantau"))))</f>
        <v/>
      </c>
      <c r="S650" s="39" t="str">
        <f aca="false">IF(AND(M650&gt;0,O650&gt;0),O650+M650/1000000000000+ROW()/1000000000000000,"")</f>
        <v/>
      </c>
      <c r="T650" s="39" t="str">
        <f aca="false">IF(J650="Belum ditukar",ROW(),"")</f>
        <v/>
      </c>
    </row>
    <row r="651" customFormat="false" ht="15" hidden="false" customHeight="false" outlineLevel="0" collapsed="false">
      <c r="A651" s="50" t="s">
        <v>931</v>
      </c>
      <c r="B651" s="51" t="n">
        <v>45798</v>
      </c>
      <c r="C651" s="50" t="s">
        <v>241</v>
      </c>
      <c r="D651" s="39" t="str">
        <f aca="false">INDEX(Master_Customer!$B$2:$B$126,MATCH(C651,Master_Customer!$A$2:$A$126,0))</f>
        <v>GEMILANG GARAGE TIRTA</v>
      </c>
      <c r="E651" s="50" t="s">
        <v>32</v>
      </c>
      <c r="F651" s="52" t="n">
        <f aca="false">SUMIFS(Data_Penjualan!$G$2:$G$5998,Data_Penjualan!$A$2:$A$5998,A651)</f>
        <v>18834700</v>
      </c>
      <c r="G651" s="39" t="n">
        <f aca="false">IF(E651="KANTOR",0,INDEX(Master_Customer!$C$2:$C$126,MATCH(C651,Master_Customer!$A$2:$A$126,0)))</f>
        <v>0</v>
      </c>
      <c r="H651" s="53" t="n">
        <f aca="false">B651+G651</f>
        <v>45798</v>
      </c>
      <c r="J651" s="39" t="str">
        <f aca="false">IF(G651=0,"Tunai",IF(I651="","Belum ditukar","Sudah ditukar"))</f>
        <v>Tunai</v>
      </c>
      <c r="K651" s="54" t="n">
        <v>18834700</v>
      </c>
      <c r="L651" s="51" t="n">
        <v>45798</v>
      </c>
      <c r="M651" s="52" t="n">
        <f aca="false">F651-K651</f>
        <v>0</v>
      </c>
      <c r="N651" s="39" t="str">
        <f aca="false">IF(M651&lt;=0,"Lunas",IF(K651&gt;0,"Sebagian","Belum Bayar"))</f>
        <v>Lunas</v>
      </c>
      <c r="O651" s="39" t="n">
        <f aca="false">IF(M651&gt;0,MAX(0,Catatan!$B$3-H651),0)</f>
        <v>0</v>
      </c>
      <c r="P651" s="39" t="str">
        <f aca="false">IF(M651&lt;=0,"Lunas",IF(Catatan!$B$3&lt;=H651,"Belum Jatuh Tempo",IF(O651&lt;=30,"1-30 hari",IF(O651&lt;=60,"31-60 hari",IF(O651&lt;=90,"61-90 hari","90+ hari")))))</f>
        <v>Lunas</v>
      </c>
      <c r="Q651" s="50"/>
      <c r="R651" s="39" t="str">
        <f aca="false">IF(M651&lt;=0,"",IF(O651&gt;60,"1-Tinggi",IF(O651&gt;30,"2-Sedang",IF(O651&gt;0,"3-Rendah","4-Pantau"))))</f>
        <v/>
      </c>
      <c r="S651" s="39" t="str">
        <f aca="false">IF(AND(M651&gt;0,O651&gt;0),O651+M651/1000000000000+ROW()/1000000000000000,"")</f>
        <v/>
      </c>
      <c r="T651" s="39" t="str">
        <f aca="false">IF(J651="Belum ditukar",ROW(),"")</f>
        <v/>
      </c>
    </row>
    <row r="652" customFormat="false" ht="15" hidden="false" customHeight="false" outlineLevel="0" collapsed="false">
      <c r="A652" s="50" t="s">
        <v>932</v>
      </c>
      <c r="B652" s="51" t="n">
        <v>45798</v>
      </c>
      <c r="C652" s="50" t="s">
        <v>197</v>
      </c>
      <c r="D652" s="39" t="str">
        <f aca="false">INDEX(Master_Customer!$B$2:$B$126,MATCH(C652,Master_Customer!$A$2:$A$126,0))</f>
        <v>UTAMA LUBRICANT HARAPAN</v>
      </c>
      <c r="E652" s="50" t="s">
        <v>32</v>
      </c>
      <c r="F652" s="52" t="n">
        <f aca="false">SUMIFS(Data_Penjualan!$G$2:$G$5998,Data_Penjualan!$A$2:$A$5998,A652)</f>
        <v>11411900</v>
      </c>
      <c r="G652" s="39" t="n">
        <f aca="false">IF(E652="KANTOR",0,INDEX(Master_Customer!$C$2:$C$126,MATCH(C652,Master_Customer!$A$2:$A$126,0)))</f>
        <v>0</v>
      </c>
      <c r="H652" s="53" t="n">
        <f aca="false">B652+G652</f>
        <v>45798</v>
      </c>
      <c r="J652" s="39" t="str">
        <f aca="false">IF(G652=0,"Tunai",IF(I652="","Belum ditukar","Sudah ditukar"))</f>
        <v>Tunai</v>
      </c>
      <c r="K652" s="54" t="n">
        <v>11411900</v>
      </c>
      <c r="L652" s="51" t="n">
        <v>45798</v>
      </c>
      <c r="M652" s="52" t="n">
        <f aca="false">F652-K652</f>
        <v>0</v>
      </c>
      <c r="N652" s="39" t="str">
        <f aca="false">IF(M652&lt;=0,"Lunas",IF(K652&gt;0,"Sebagian","Belum Bayar"))</f>
        <v>Lunas</v>
      </c>
      <c r="O652" s="39" t="n">
        <f aca="false">IF(M652&gt;0,MAX(0,Catatan!$B$3-H652),0)</f>
        <v>0</v>
      </c>
      <c r="P652" s="39" t="str">
        <f aca="false">IF(M652&lt;=0,"Lunas",IF(Catatan!$B$3&lt;=H652,"Belum Jatuh Tempo",IF(O652&lt;=30,"1-30 hari",IF(O652&lt;=60,"31-60 hari",IF(O652&lt;=90,"61-90 hari","90+ hari")))))</f>
        <v>Lunas</v>
      </c>
      <c r="Q652" s="50"/>
      <c r="R652" s="39" t="str">
        <f aca="false">IF(M652&lt;=0,"",IF(O652&gt;60,"1-Tinggi",IF(O652&gt;30,"2-Sedang",IF(O652&gt;0,"3-Rendah","4-Pantau"))))</f>
        <v/>
      </c>
      <c r="S652" s="39" t="str">
        <f aca="false">IF(AND(M652&gt;0,O652&gt;0),O652+M652/1000000000000+ROW()/1000000000000000,"")</f>
        <v/>
      </c>
      <c r="T652" s="39" t="str">
        <f aca="false">IF(J652="Belum ditukar",ROW(),"")</f>
        <v/>
      </c>
    </row>
    <row r="653" customFormat="false" ht="15" hidden="false" customHeight="false" outlineLevel="0" collapsed="false">
      <c r="A653" s="50" t="s">
        <v>933</v>
      </c>
      <c r="B653" s="51" t="n">
        <v>45798</v>
      </c>
      <c r="C653" s="50" t="s">
        <v>213</v>
      </c>
      <c r="D653" s="39" t="str">
        <f aca="false">INDEX(Master_Customer!$B$2:$B$126,MATCH(C653,Master_Customer!$A$2:$A$126,0))</f>
        <v>ABADI AUTO MAKMUR</v>
      </c>
      <c r="E653" s="50" t="s">
        <v>30</v>
      </c>
      <c r="F653" s="52" t="n">
        <f aca="false">SUMIFS(Data_Penjualan!$G$2:$G$5998,Data_Penjualan!$A$2:$A$5998,A653)</f>
        <v>12133900</v>
      </c>
      <c r="G653" s="39" t="n">
        <f aca="false">IF(E653="KANTOR",0,INDEX(Master_Customer!$C$2:$C$126,MATCH(C653,Master_Customer!$A$2:$A$126,0)))</f>
        <v>30</v>
      </c>
      <c r="H653" s="53" t="n">
        <f aca="false">B653+G653</f>
        <v>45828</v>
      </c>
      <c r="I653" s="51" t="n">
        <v>45802</v>
      </c>
      <c r="J653" s="39" t="str">
        <f aca="false">IF(G653=0,"Tunai",IF(I653="","Belum ditukar","Sudah ditukar"))</f>
        <v>Sudah ditukar</v>
      </c>
      <c r="K653" s="54" t="n">
        <v>12133900</v>
      </c>
      <c r="L653" s="51" t="n">
        <v>45824</v>
      </c>
      <c r="M653" s="52" t="n">
        <f aca="false">F653-K653</f>
        <v>0</v>
      </c>
      <c r="N653" s="39" t="str">
        <f aca="false">IF(M653&lt;=0,"Lunas",IF(K653&gt;0,"Sebagian","Belum Bayar"))</f>
        <v>Lunas</v>
      </c>
      <c r="O653" s="39" t="n">
        <f aca="false">IF(M653&gt;0,MAX(0,Catatan!$B$3-H653),0)</f>
        <v>0</v>
      </c>
      <c r="P653" s="39" t="str">
        <f aca="false">IF(M653&lt;=0,"Lunas",IF(Catatan!$B$3&lt;=H653,"Belum Jatuh Tempo",IF(O653&lt;=30,"1-30 hari",IF(O653&lt;=60,"31-60 hari",IF(O653&lt;=90,"61-90 hari","90+ hari")))))</f>
        <v>Lunas</v>
      </c>
      <c r="Q653" s="50"/>
      <c r="R653" s="39" t="str">
        <f aca="false">IF(M653&lt;=0,"",IF(O653&gt;60,"1-Tinggi",IF(O653&gt;30,"2-Sedang",IF(O653&gt;0,"3-Rendah","4-Pantau"))))</f>
        <v/>
      </c>
      <c r="S653" s="39" t="str">
        <f aca="false">IF(AND(M653&gt;0,O653&gt;0),O653+M653/1000000000000+ROW()/1000000000000000,"")</f>
        <v/>
      </c>
      <c r="T653" s="39" t="str">
        <f aca="false">IF(J653="Belum ditukar",ROW(),"")</f>
        <v/>
      </c>
    </row>
    <row r="654" customFormat="false" ht="15" hidden="false" customHeight="false" outlineLevel="0" collapsed="false">
      <c r="A654" s="50" t="s">
        <v>934</v>
      </c>
      <c r="B654" s="51" t="n">
        <v>45798</v>
      </c>
      <c r="C654" s="50" t="s">
        <v>271</v>
      </c>
      <c r="D654" s="39" t="str">
        <f aca="false">INDEX(Master_Customer!$B$2:$B$126,MATCH(C654,Master_Customer!$A$2:$A$126,0))</f>
        <v>CAHAYA MOTOR</v>
      </c>
      <c r="E654" s="50" t="s">
        <v>28</v>
      </c>
      <c r="F654" s="52" t="n">
        <f aca="false">SUMIFS(Data_Penjualan!$G$2:$G$5998,Data_Penjualan!$A$2:$A$5998,A654)</f>
        <v>4642500</v>
      </c>
      <c r="G654" s="39" t="n">
        <f aca="false">IF(E654="KANTOR",0,INDEX(Master_Customer!$C$2:$C$126,MATCH(C654,Master_Customer!$A$2:$A$126,0)))</f>
        <v>14</v>
      </c>
      <c r="H654" s="53" t="n">
        <f aca="false">B654+G654</f>
        <v>45812</v>
      </c>
      <c r="I654" s="51" t="n">
        <v>45800</v>
      </c>
      <c r="J654" s="39" t="str">
        <f aca="false">IF(G654=0,"Tunai",IF(I654="","Belum ditukar","Sudah ditukar"))</f>
        <v>Sudah ditukar</v>
      </c>
      <c r="K654" s="54" t="n">
        <v>4642500</v>
      </c>
      <c r="L654" s="51" t="n">
        <v>45813</v>
      </c>
      <c r="M654" s="52" t="n">
        <f aca="false">F654-K654</f>
        <v>0</v>
      </c>
      <c r="N654" s="39" t="str">
        <f aca="false">IF(M654&lt;=0,"Lunas",IF(K654&gt;0,"Sebagian","Belum Bayar"))</f>
        <v>Lunas</v>
      </c>
      <c r="O654" s="39" t="n">
        <f aca="false">IF(M654&gt;0,MAX(0,Catatan!$B$3-H654),0)</f>
        <v>0</v>
      </c>
      <c r="P654" s="39" t="str">
        <f aca="false">IF(M654&lt;=0,"Lunas",IF(Catatan!$B$3&lt;=H654,"Belum Jatuh Tempo",IF(O654&lt;=30,"1-30 hari",IF(O654&lt;=60,"31-60 hari",IF(O654&lt;=90,"61-90 hari","90+ hari")))))</f>
        <v>Lunas</v>
      </c>
      <c r="Q654" s="50"/>
      <c r="R654" s="39" t="str">
        <f aca="false">IF(M654&lt;=0,"",IF(O654&gt;60,"1-Tinggi",IF(O654&gt;30,"2-Sedang",IF(O654&gt;0,"3-Rendah","4-Pantau"))))</f>
        <v/>
      </c>
      <c r="S654" s="39" t="str">
        <f aca="false">IF(AND(M654&gt;0,O654&gt;0),O654+M654/1000000000000+ROW()/1000000000000000,"")</f>
        <v/>
      </c>
      <c r="T654" s="39" t="str">
        <f aca="false">IF(J654="Belum ditukar",ROW(),"")</f>
        <v/>
      </c>
    </row>
    <row r="655" customFormat="false" ht="15" hidden="false" customHeight="false" outlineLevel="0" collapsed="false">
      <c r="A655" s="50" t="s">
        <v>935</v>
      </c>
      <c r="B655" s="51" t="n">
        <v>45798</v>
      </c>
      <c r="C655" s="50" t="s">
        <v>174</v>
      </c>
      <c r="D655" s="39" t="str">
        <f aca="false">INDEX(Master_Customer!$B$2:$B$126,MATCH(C655,Master_Customer!$A$2:$A$126,0))</f>
        <v>SUMBER TEKNIK SURYA</v>
      </c>
      <c r="E655" s="50" t="s">
        <v>31</v>
      </c>
      <c r="F655" s="52" t="n">
        <f aca="false">SUMIFS(Data_Penjualan!$G$2:$G$5998,Data_Penjualan!$A$2:$A$5998,A655)</f>
        <v>10200800</v>
      </c>
      <c r="G655" s="39" t="n">
        <f aca="false">IF(E655="KANTOR",0,INDEX(Master_Customer!$C$2:$C$126,MATCH(C655,Master_Customer!$A$2:$A$126,0)))</f>
        <v>30</v>
      </c>
      <c r="H655" s="53" t="n">
        <f aca="false">B655+G655</f>
        <v>45828</v>
      </c>
      <c r="I655" s="51" t="n">
        <v>45799</v>
      </c>
      <c r="J655" s="39" t="str">
        <f aca="false">IF(G655=0,"Tunai",IF(I655="","Belum ditukar","Sudah ditukar"))</f>
        <v>Sudah ditukar</v>
      </c>
      <c r="K655" s="54" t="n">
        <v>10200800</v>
      </c>
      <c r="L655" s="51" t="n">
        <v>45827</v>
      </c>
      <c r="M655" s="52" t="n">
        <f aca="false">F655-K655</f>
        <v>0</v>
      </c>
      <c r="N655" s="39" t="str">
        <f aca="false">IF(M655&lt;=0,"Lunas",IF(K655&gt;0,"Sebagian","Belum Bayar"))</f>
        <v>Lunas</v>
      </c>
      <c r="O655" s="39" t="n">
        <f aca="false">IF(M655&gt;0,MAX(0,Catatan!$B$3-H655),0)</f>
        <v>0</v>
      </c>
      <c r="P655" s="39" t="str">
        <f aca="false">IF(M655&lt;=0,"Lunas",IF(Catatan!$B$3&lt;=H655,"Belum Jatuh Tempo",IF(O655&lt;=30,"1-30 hari",IF(O655&lt;=60,"31-60 hari",IF(O655&lt;=90,"61-90 hari","90+ hari")))))</f>
        <v>Lunas</v>
      </c>
      <c r="Q655" s="50"/>
      <c r="R655" s="39" t="str">
        <f aca="false">IF(M655&lt;=0,"",IF(O655&gt;60,"1-Tinggi",IF(O655&gt;30,"2-Sedang",IF(O655&gt;0,"3-Rendah","4-Pantau"))))</f>
        <v/>
      </c>
      <c r="S655" s="39" t="str">
        <f aca="false">IF(AND(M655&gt;0,O655&gt;0),O655+M655/1000000000000+ROW()/1000000000000000,"")</f>
        <v/>
      </c>
      <c r="T655" s="39" t="str">
        <f aca="false">IF(J655="Belum ditukar",ROW(),"")</f>
        <v/>
      </c>
    </row>
    <row r="656" customFormat="false" ht="15" hidden="false" customHeight="false" outlineLevel="0" collapsed="false">
      <c r="A656" s="50" t="s">
        <v>936</v>
      </c>
      <c r="B656" s="51" t="n">
        <v>45799</v>
      </c>
      <c r="C656" s="50" t="s">
        <v>166</v>
      </c>
      <c r="D656" s="39" t="str">
        <f aca="false">INDEX(Master_Customer!$B$2:$B$126,MATCH(C656,Master_Customer!$A$2:$A$126,0))</f>
        <v>SENTOSA SERVICE</v>
      </c>
      <c r="E656" s="50" t="s">
        <v>30</v>
      </c>
      <c r="F656" s="52" t="n">
        <f aca="false">SUMIFS(Data_Penjualan!$G$2:$G$5998,Data_Penjualan!$A$2:$A$5998,A656)</f>
        <v>11839000</v>
      </c>
      <c r="G656" s="39" t="n">
        <f aca="false">IF(E656="KANTOR",0,INDEX(Master_Customer!$C$2:$C$126,MATCH(C656,Master_Customer!$A$2:$A$126,0)))</f>
        <v>0</v>
      </c>
      <c r="H656" s="53" t="n">
        <f aca="false">B656+G656</f>
        <v>45799</v>
      </c>
      <c r="J656" s="39" t="str">
        <f aca="false">IF(G656=0,"Tunai",IF(I656="","Belum ditukar","Sudah ditukar"))</f>
        <v>Tunai</v>
      </c>
      <c r="K656" s="54" t="n">
        <v>11839000</v>
      </c>
      <c r="L656" s="51" t="n">
        <v>45799</v>
      </c>
      <c r="M656" s="52" t="n">
        <f aca="false">F656-K656</f>
        <v>0</v>
      </c>
      <c r="N656" s="39" t="str">
        <f aca="false">IF(M656&lt;=0,"Lunas",IF(K656&gt;0,"Sebagian","Belum Bayar"))</f>
        <v>Lunas</v>
      </c>
      <c r="O656" s="39" t="n">
        <f aca="false">IF(M656&gt;0,MAX(0,Catatan!$B$3-H656),0)</f>
        <v>0</v>
      </c>
      <c r="P656" s="39" t="str">
        <f aca="false">IF(M656&lt;=0,"Lunas",IF(Catatan!$B$3&lt;=H656,"Belum Jatuh Tempo",IF(O656&lt;=30,"1-30 hari",IF(O656&lt;=60,"31-60 hari",IF(O656&lt;=90,"61-90 hari","90+ hari")))))</f>
        <v>Lunas</v>
      </c>
      <c r="Q656" s="50"/>
      <c r="R656" s="39" t="str">
        <f aca="false">IF(M656&lt;=0,"",IF(O656&gt;60,"1-Tinggi",IF(O656&gt;30,"2-Sedang",IF(O656&gt;0,"3-Rendah","4-Pantau"))))</f>
        <v/>
      </c>
      <c r="S656" s="39" t="str">
        <f aca="false">IF(AND(M656&gt;0,O656&gt;0),O656+M656/1000000000000+ROW()/1000000000000000,"")</f>
        <v/>
      </c>
      <c r="T656" s="39" t="str">
        <f aca="false">IF(J656="Belum ditukar",ROW(),"")</f>
        <v/>
      </c>
    </row>
    <row r="657" customFormat="false" ht="15" hidden="false" customHeight="false" outlineLevel="0" collapsed="false">
      <c r="A657" s="50" t="s">
        <v>937</v>
      </c>
      <c r="B657" s="51" t="n">
        <v>45799</v>
      </c>
      <c r="C657" s="50" t="s">
        <v>170</v>
      </c>
      <c r="D657" s="39" t="str">
        <f aca="false">INDEX(Master_Customer!$B$2:$B$126,MATCH(C657,Master_Customer!$A$2:$A$126,0))</f>
        <v>HARAPAN MOTOR</v>
      </c>
      <c r="E657" s="50" t="s">
        <v>32</v>
      </c>
      <c r="F657" s="52" t="n">
        <f aca="false">SUMIFS(Data_Penjualan!$G$2:$G$5998,Data_Penjualan!$A$2:$A$5998,A657)</f>
        <v>6608800</v>
      </c>
      <c r="G657" s="39" t="n">
        <f aca="false">IF(E657="KANTOR",0,INDEX(Master_Customer!$C$2:$C$126,MATCH(C657,Master_Customer!$A$2:$A$126,0)))</f>
        <v>0</v>
      </c>
      <c r="H657" s="53" t="n">
        <f aca="false">B657+G657</f>
        <v>45799</v>
      </c>
      <c r="J657" s="39" t="str">
        <f aca="false">IF(G657=0,"Tunai",IF(I657="","Belum ditukar","Sudah ditukar"))</f>
        <v>Tunai</v>
      </c>
      <c r="K657" s="54" t="n">
        <v>6608800</v>
      </c>
      <c r="L657" s="51" t="n">
        <v>45800</v>
      </c>
      <c r="M657" s="52" t="n">
        <f aca="false">F657-K657</f>
        <v>0</v>
      </c>
      <c r="N657" s="39" t="str">
        <f aca="false">IF(M657&lt;=0,"Lunas",IF(K657&gt;0,"Sebagian","Belum Bayar"))</f>
        <v>Lunas</v>
      </c>
      <c r="O657" s="39" t="n">
        <f aca="false">IF(M657&gt;0,MAX(0,Catatan!$B$3-H657),0)</f>
        <v>0</v>
      </c>
      <c r="P657" s="39" t="str">
        <f aca="false">IF(M657&lt;=0,"Lunas",IF(Catatan!$B$3&lt;=H657,"Belum Jatuh Tempo",IF(O657&lt;=30,"1-30 hari",IF(O657&lt;=60,"31-60 hari",IF(O657&lt;=90,"61-90 hari","90+ hari")))))</f>
        <v>Lunas</v>
      </c>
      <c r="Q657" s="50"/>
      <c r="R657" s="39" t="str">
        <f aca="false">IF(M657&lt;=0,"",IF(O657&gt;60,"1-Tinggi",IF(O657&gt;30,"2-Sedang",IF(O657&gt;0,"3-Rendah","4-Pantau"))))</f>
        <v/>
      </c>
      <c r="S657" s="39" t="str">
        <f aca="false">IF(AND(M657&gt;0,O657&gt;0),O657+M657/1000000000000+ROW()/1000000000000000,"")</f>
        <v/>
      </c>
      <c r="T657" s="39" t="str">
        <f aca="false">IF(J657="Belum ditukar",ROW(),"")</f>
        <v/>
      </c>
    </row>
    <row r="658" customFormat="false" ht="15" hidden="false" customHeight="false" outlineLevel="0" collapsed="false">
      <c r="A658" s="50" t="s">
        <v>938</v>
      </c>
      <c r="B658" s="51" t="n">
        <v>45800</v>
      </c>
      <c r="C658" s="50" t="s">
        <v>174</v>
      </c>
      <c r="D658" s="39" t="str">
        <f aca="false">INDEX(Master_Customer!$B$2:$B$126,MATCH(C658,Master_Customer!$A$2:$A$126,0))</f>
        <v>SUMBER TEKNIK SURYA</v>
      </c>
      <c r="E658" s="50" t="s">
        <v>31</v>
      </c>
      <c r="F658" s="52" t="n">
        <f aca="false">SUMIFS(Data_Penjualan!$G$2:$G$5998,Data_Penjualan!$A$2:$A$5998,A658)</f>
        <v>3865600</v>
      </c>
      <c r="G658" s="39" t="n">
        <f aca="false">IF(E658="KANTOR",0,INDEX(Master_Customer!$C$2:$C$126,MATCH(C658,Master_Customer!$A$2:$A$126,0)))</f>
        <v>30</v>
      </c>
      <c r="H658" s="53" t="n">
        <f aca="false">B658+G658</f>
        <v>45830</v>
      </c>
      <c r="I658" s="51" t="n">
        <v>45801</v>
      </c>
      <c r="J658" s="39" t="str">
        <f aca="false">IF(G658=0,"Tunai",IF(I658="","Belum ditukar","Sudah ditukar"))</f>
        <v>Sudah ditukar</v>
      </c>
      <c r="K658" s="54" t="n">
        <v>3865600</v>
      </c>
      <c r="L658" s="51" t="n">
        <v>45832</v>
      </c>
      <c r="M658" s="52" t="n">
        <f aca="false">F658-K658</f>
        <v>0</v>
      </c>
      <c r="N658" s="39" t="str">
        <f aca="false">IF(M658&lt;=0,"Lunas",IF(K658&gt;0,"Sebagian","Belum Bayar"))</f>
        <v>Lunas</v>
      </c>
      <c r="O658" s="39" t="n">
        <f aca="false">IF(M658&gt;0,MAX(0,Catatan!$B$3-H658),0)</f>
        <v>0</v>
      </c>
      <c r="P658" s="39" t="str">
        <f aca="false">IF(M658&lt;=0,"Lunas",IF(Catatan!$B$3&lt;=H658,"Belum Jatuh Tempo",IF(O658&lt;=30,"1-30 hari",IF(O658&lt;=60,"31-60 hari",IF(O658&lt;=90,"61-90 hari","90+ hari")))))</f>
        <v>Lunas</v>
      </c>
      <c r="Q658" s="50"/>
      <c r="R658" s="39" t="str">
        <f aca="false">IF(M658&lt;=0,"",IF(O658&gt;60,"1-Tinggi",IF(O658&gt;30,"2-Sedang",IF(O658&gt;0,"3-Rendah","4-Pantau"))))</f>
        <v/>
      </c>
      <c r="S658" s="39" t="str">
        <f aca="false">IF(AND(M658&gt;0,O658&gt;0),O658+M658/1000000000000+ROW()/1000000000000000,"")</f>
        <v/>
      </c>
      <c r="T658" s="39" t="str">
        <f aca="false">IF(J658="Belum ditukar",ROW(),"")</f>
        <v/>
      </c>
    </row>
    <row r="659" customFormat="false" ht="15" hidden="false" customHeight="false" outlineLevel="0" collapsed="false">
      <c r="A659" s="50" t="s">
        <v>939</v>
      </c>
      <c r="B659" s="51" t="n">
        <v>45800</v>
      </c>
      <c r="C659" s="50" t="s">
        <v>540</v>
      </c>
      <c r="D659" s="39" t="str">
        <f aca="false">INDEX(Master_Customer!$B$2:$B$126,MATCH(C659,Master_Customer!$A$2:$A$126,0))</f>
        <v>SURYA MOBIL</v>
      </c>
      <c r="E659" s="50" t="s">
        <v>31</v>
      </c>
      <c r="F659" s="52" t="n">
        <f aca="false">SUMIFS(Data_Penjualan!$G$2:$G$5998,Data_Penjualan!$A$2:$A$5998,A659)</f>
        <v>8345300</v>
      </c>
      <c r="G659" s="39" t="n">
        <f aca="false">IF(E659="KANTOR",0,INDEX(Master_Customer!$C$2:$C$126,MATCH(C659,Master_Customer!$A$2:$A$126,0)))</f>
        <v>30</v>
      </c>
      <c r="H659" s="53" t="n">
        <f aca="false">B659+G659</f>
        <v>45830</v>
      </c>
      <c r="I659" s="51" t="n">
        <v>45802</v>
      </c>
      <c r="J659" s="39" t="str">
        <f aca="false">IF(G659=0,"Tunai",IF(I659="","Belum ditukar","Sudah ditukar"))</f>
        <v>Sudah ditukar</v>
      </c>
      <c r="K659" s="54" t="n">
        <v>4913100</v>
      </c>
      <c r="L659" s="51" t="n">
        <v>45861</v>
      </c>
      <c r="M659" s="52" t="n">
        <f aca="false">F659-K659</f>
        <v>3432200</v>
      </c>
      <c r="N659" s="39" t="str">
        <f aca="false">IF(M659&lt;=0,"Lunas",IF(K659&gt;0,"Sebagian","Belum Bayar"))</f>
        <v>Sebagian</v>
      </c>
      <c r="O659" s="39" t="n">
        <f aca="false">IF(M659&gt;0,MAX(0,Catatan!$B$3-H659),0)</f>
        <v>192</v>
      </c>
      <c r="P659" s="39" t="str">
        <f aca="false">IF(M659&lt;=0,"Lunas",IF(Catatan!$B$3&lt;=H659,"Belum Jatuh Tempo",IF(O659&lt;=30,"1-30 hari",IF(O659&lt;=60,"31-60 hari",IF(O659&lt;=90,"61-90 hari","90+ hari")))))</f>
        <v>90+ hari</v>
      </c>
      <c r="Q659" s="50" t="s">
        <v>338</v>
      </c>
      <c r="R659" s="39" t="str">
        <f aca="false">IF(M659&lt;=0,"",IF(O659&gt;60,"1-Tinggi",IF(O659&gt;30,"2-Sedang",IF(O659&gt;0,"3-Rendah","4-Pantau"))))</f>
        <v>1-Tinggi</v>
      </c>
      <c r="S659" s="39" t="n">
        <f aca="false">IF(AND(M659&gt;0,O659&gt;0),O659+M659/1000000000000+ROW()/1000000000000000,"")</f>
        <v>192.000003432201</v>
      </c>
      <c r="T659" s="39" t="str">
        <f aca="false">IF(J659="Belum ditukar",ROW(),"")</f>
        <v/>
      </c>
    </row>
    <row r="660" customFormat="false" ht="15" hidden="false" customHeight="false" outlineLevel="0" collapsed="false">
      <c r="A660" s="50" t="s">
        <v>940</v>
      </c>
      <c r="B660" s="51" t="n">
        <v>45800</v>
      </c>
      <c r="C660" s="50" t="s">
        <v>430</v>
      </c>
      <c r="D660" s="39" t="str">
        <f aca="false">INDEX(Master_Customer!$B$2:$B$126,MATCH(C660,Master_Customer!$A$2:$A$126,0))</f>
        <v>TIRTA MOBIL</v>
      </c>
      <c r="E660" s="50" t="s">
        <v>28</v>
      </c>
      <c r="F660" s="52" t="n">
        <f aca="false">SUMIFS(Data_Penjualan!$G$2:$G$5998,Data_Penjualan!$A$2:$A$5998,A660)</f>
        <v>13722600</v>
      </c>
      <c r="G660" s="39" t="n">
        <f aca="false">IF(E660="KANTOR",0,INDEX(Master_Customer!$C$2:$C$126,MATCH(C660,Master_Customer!$A$2:$A$126,0)))</f>
        <v>30</v>
      </c>
      <c r="H660" s="53" t="n">
        <f aca="false">B660+G660</f>
        <v>45830</v>
      </c>
      <c r="I660" s="51" t="n">
        <v>45802</v>
      </c>
      <c r="J660" s="39" t="str">
        <f aca="false">IF(G660=0,"Tunai",IF(I660="","Belum ditukar","Sudah ditukar"))</f>
        <v>Sudah ditukar</v>
      </c>
      <c r="K660" s="54" t="n">
        <v>13722600</v>
      </c>
      <c r="L660" s="51" t="n">
        <v>45830</v>
      </c>
      <c r="M660" s="52" t="n">
        <f aca="false">F660-K660</f>
        <v>0</v>
      </c>
      <c r="N660" s="39" t="str">
        <f aca="false">IF(M660&lt;=0,"Lunas",IF(K660&gt;0,"Sebagian","Belum Bayar"))</f>
        <v>Lunas</v>
      </c>
      <c r="O660" s="39" t="n">
        <f aca="false">IF(M660&gt;0,MAX(0,Catatan!$B$3-H660),0)</f>
        <v>0</v>
      </c>
      <c r="P660" s="39" t="str">
        <f aca="false">IF(M660&lt;=0,"Lunas",IF(Catatan!$B$3&lt;=H660,"Belum Jatuh Tempo",IF(O660&lt;=30,"1-30 hari",IF(O660&lt;=60,"31-60 hari",IF(O660&lt;=90,"61-90 hari","90+ hari")))))</f>
        <v>Lunas</v>
      </c>
      <c r="Q660" s="50"/>
      <c r="R660" s="39" t="str">
        <f aca="false">IF(M660&lt;=0,"",IF(O660&gt;60,"1-Tinggi",IF(O660&gt;30,"2-Sedang",IF(O660&gt;0,"3-Rendah","4-Pantau"))))</f>
        <v/>
      </c>
      <c r="S660" s="39" t="str">
        <f aca="false">IF(AND(M660&gt;0,O660&gt;0),O660+M660/1000000000000+ROW()/1000000000000000,"")</f>
        <v/>
      </c>
      <c r="T660" s="39" t="str">
        <f aca="false">IF(J660="Belum ditukar",ROW(),"")</f>
        <v/>
      </c>
    </row>
    <row r="661" customFormat="false" ht="15" hidden="false" customHeight="false" outlineLevel="0" collapsed="false">
      <c r="A661" s="50" t="s">
        <v>941</v>
      </c>
      <c r="B661" s="51" t="n">
        <v>45800</v>
      </c>
      <c r="C661" s="50" t="s">
        <v>166</v>
      </c>
      <c r="D661" s="39" t="str">
        <f aca="false">INDEX(Master_Customer!$B$2:$B$126,MATCH(C661,Master_Customer!$A$2:$A$126,0))</f>
        <v>SENTOSA SERVICE</v>
      </c>
      <c r="E661" s="50" t="s">
        <v>30</v>
      </c>
      <c r="F661" s="52" t="n">
        <f aca="false">SUMIFS(Data_Penjualan!$G$2:$G$5998,Data_Penjualan!$A$2:$A$5998,A661)</f>
        <v>13193500</v>
      </c>
      <c r="G661" s="39" t="n">
        <f aca="false">IF(E661="KANTOR",0,INDEX(Master_Customer!$C$2:$C$126,MATCH(C661,Master_Customer!$A$2:$A$126,0)))</f>
        <v>0</v>
      </c>
      <c r="H661" s="53" t="n">
        <f aca="false">B661+G661</f>
        <v>45800</v>
      </c>
      <c r="J661" s="39" t="str">
        <f aca="false">IF(G661=0,"Tunai",IF(I661="","Belum ditukar","Sudah ditukar"))</f>
        <v>Tunai</v>
      </c>
      <c r="K661" s="54" t="n">
        <v>13193500</v>
      </c>
      <c r="L661" s="51" t="n">
        <v>45800</v>
      </c>
      <c r="M661" s="52" t="n">
        <f aca="false">F661-K661</f>
        <v>0</v>
      </c>
      <c r="N661" s="39" t="str">
        <f aca="false">IF(M661&lt;=0,"Lunas",IF(K661&gt;0,"Sebagian","Belum Bayar"))</f>
        <v>Lunas</v>
      </c>
      <c r="O661" s="39" t="n">
        <f aca="false">IF(M661&gt;0,MAX(0,Catatan!$B$3-H661),0)</f>
        <v>0</v>
      </c>
      <c r="P661" s="39" t="str">
        <f aca="false">IF(M661&lt;=0,"Lunas",IF(Catatan!$B$3&lt;=H661,"Belum Jatuh Tempo",IF(O661&lt;=30,"1-30 hari",IF(O661&lt;=60,"31-60 hari",IF(O661&lt;=90,"61-90 hari","90+ hari")))))</f>
        <v>Lunas</v>
      </c>
      <c r="Q661" s="50"/>
      <c r="R661" s="39" t="str">
        <f aca="false">IF(M661&lt;=0,"",IF(O661&gt;60,"1-Tinggi",IF(O661&gt;30,"2-Sedang",IF(O661&gt;0,"3-Rendah","4-Pantau"))))</f>
        <v/>
      </c>
      <c r="S661" s="39" t="str">
        <f aca="false">IF(AND(M661&gt;0,O661&gt;0),O661+M661/1000000000000+ROW()/1000000000000000,"")</f>
        <v/>
      </c>
      <c r="T661" s="39" t="str">
        <f aca="false">IF(J661="Belum ditukar",ROW(),"")</f>
        <v/>
      </c>
    </row>
    <row r="662" customFormat="false" ht="15" hidden="false" customHeight="false" outlineLevel="0" collapsed="false">
      <c r="A662" s="50" t="s">
        <v>942</v>
      </c>
      <c r="B662" s="51" t="n">
        <v>45800</v>
      </c>
      <c r="C662" s="50" t="s">
        <v>298</v>
      </c>
      <c r="D662" s="39" t="str">
        <f aca="false">INDEX(Master_Customer!$B$2:$B$126,MATCH(C662,Master_Customer!$A$2:$A$126,0))</f>
        <v>BERKAH MOBIL MAKMUR</v>
      </c>
      <c r="E662" s="50" t="s">
        <v>31</v>
      </c>
      <c r="F662" s="52" t="n">
        <f aca="false">SUMIFS(Data_Penjualan!$G$2:$G$5998,Data_Penjualan!$A$2:$A$5998,A662)</f>
        <v>16471500</v>
      </c>
      <c r="G662" s="39" t="n">
        <f aca="false">IF(E662="KANTOR",0,INDEX(Master_Customer!$C$2:$C$126,MATCH(C662,Master_Customer!$A$2:$A$126,0)))</f>
        <v>14</v>
      </c>
      <c r="H662" s="53" t="n">
        <f aca="false">B662+G662</f>
        <v>45814</v>
      </c>
      <c r="I662" s="51" t="n">
        <v>45805</v>
      </c>
      <c r="J662" s="39" t="str">
        <f aca="false">IF(G662=0,"Tunai",IF(I662="","Belum ditukar","Sudah ditukar"))</f>
        <v>Sudah ditukar</v>
      </c>
      <c r="K662" s="54" t="n">
        <v>16471500</v>
      </c>
      <c r="L662" s="51" t="n">
        <v>45848</v>
      </c>
      <c r="M662" s="52" t="n">
        <f aca="false">F662-K662</f>
        <v>0</v>
      </c>
      <c r="N662" s="39" t="str">
        <f aca="false">IF(M662&lt;=0,"Lunas",IF(K662&gt;0,"Sebagian","Belum Bayar"))</f>
        <v>Lunas</v>
      </c>
      <c r="O662" s="39" t="n">
        <f aca="false">IF(M662&gt;0,MAX(0,Catatan!$B$3-H662),0)</f>
        <v>0</v>
      </c>
      <c r="P662" s="39" t="str">
        <f aca="false">IF(M662&lt;=0,"Lunas",IF(Catatan!$B$3&lt;=H662,"Belum Jatuh Tempo",IF(O662&lt;=30,"1-30 hari",IF(O662&lt;=60,"31-60 hari",IF(O662&lt;=90,"61-90 hari","90+ hari")))))</f>
        <v>Lunas</v>
      </c>
      <c r="Q662" s="50"/>
      <c r="R662" s="39" t="str">
        <f aca="false">IF(M662&lt;=0,"",IF(O662&gt;60,"1-Tinggi",IF(O662&gt;30,"2-Sedang",IF(O662&gt;0,"3-Rendah","4-Pantau"))))</f>
        <v/>
      </c>
      <c r="S662" s="39" t="str">
        <f aca="false">IF(AND(M662&gt;0,O662&gt;0),O662+M662/1000000000000+ROW()/1000000000000000,"")</f>
        <v/>
      </c>
      <c r="T662" s="39" t="str">
        <f aca="false">IF(J662="Belum ditukar",ROW(),"")</f>
        <v/>
      </c>
    </row>
    <row r="663" customFormat="false" ht="15" hidden="false" customHeight="false" outlineLevel="0" collapsed="false">
      <c r="A663" s="50" t="s">
        <v>943</v>
      </c>
      <c r="B663" s="51" t="n">
        <v>45801</v>
      </c>
      <c r="C663" s="50" t="s">
        <v>574</v>
      </c>
      <c r="D663" s="39" t="str">
        <f aca="false">INDEX(Master_Customer!$B$2:$B$126,MATCH(C663,Master_Customer!$A$2:$A$126,0))</f>
        <v>ABADI SERVICE ABADI</v>
      </c>
      <c r="E663" s="50" t="s">
        <v>32</v>
      </c>
      <c r="F663" s="52" t="n">
        <f aca="false">SUMIFS(Data_Penjualan!$G$2:$G$5998,Data_Penjualan!$A$2:$A$5998,A663)</f>
        <v>1266100</v>
      </c>
      <c r="G663" s="39" t="n">
        <f aca="false">IF(E663="KANTOR",0,INDEX(Master_Customer!$C$2:$C$126,MATCH(C663,Master_Customer!$A$2:$A$126,0)))</f>
        <v>0</v>
      </c>
      <c r="H663" s="53" t="n">
        <f aca="false">B663+G663</f>
        <v>45801</v>
      </c>
      <c r="J663" s="39" t="str">
        <f aca="false">IF(G663=0,"Tunai",IF(I663="","Belum ditukar","Sudah ditukar"))</f>
        <v>Tunai</v>
      </c>
      <c r="K663" s="54" t="n">
        <v>1266100</v>
      </c>
      <c r="L663" s="51" t="n">
        <v>45802</v>
      </c>
      <c r="M663" s="52" t="n">
        <f aca="false">F663-K663</f>
        <v>0</v>
      </c>
      <c r="N663" s="39" t="str">
        <f aca="false">IF(M663&lt;=0,"Lunas",IF(K663&gt;0,"Sebagian","Belum Bayar"))</f>
        <v>Lunas</v>
      </c>
      <c r="O663" s="39" t="n">
        <f aca="false">IF(M663&gt;0,MAX(0,Catatan!$B$3-H663),0)</f>
        <v>0</v>
      </c>
      <c r="P663" s="39" t="str">
        <f aca="false">IF(M663&lt;=0,"Lunas",IF(Catatan!$B$3&lt;=H663,"Belum Jatuh Tempo",IF(O663&lt;=30,"1-30 hari",IF(O663&lt;=60,"31-60 hari",IF(O663&lt;=90,"61-90 hari","90+ hari")))))</f>
        <v>Lunas</v>
      </c>
      <c r="Q663" s="50"/>
      <c r="R663" s="39" t="str">
        <f aca="false">IF(M663&lt;=0,"",IF(O663&gt;60,"1-Tinggi",IF(O663&gt;30,"2-Sedang",IF(O663&gt;0,"3-Rendah","4-Pantau"))))</f>
        <v/>
      </c>
      <c r="S663" s="39" t="str">
        <f aca="false">IF(AND(M663&gt;0,O663&gt;0),O663+M663/1000000000000+ROW()/1000000000000000,"")</f>
        <v/>
      </c>
      <c r="T663" s="39" t="str">
        <f aca="false">IF(J663="Belum ditukar",ROW(),"")</f>
        <v/>
      </c>
    </row>
    <row r="664" customFormat="false" ht="15" hidden="false" customHeight="false" outlineLevel="0" collapsed="false">
      <c r="A664" s="50" t="s">
        <v>944</v>
      </c>
      <c r="B664" s="51" t="n">
        <v>45801</v>
      </c>
      <c r="C664" s="50" t="s">
        <v>241</v>
      </c>
      <c r="D664" s="39" t="str">
        <f aca="false">INDEX(Master_Customer!$B$2:$B$126,MATCH(C664,Master_Customer!$A$2:$A$126,0))</f>
        <v>GEMILANG GARAGE TIRTA</v>
      </c>
      <c r="E664" s="50" t="s">
        <v>32</v>
      </c>
      <c r="F664" s="52" t="n">
        <f aca="false">SUMIFS(Data_Penjualan!$G$2:$G$5998,Data_Penjualan!$A$2:$A$5998,A664)</f>
        <v>16699400</v>
      </c>
      <c r="G664" s="39" t="n">
        <f aca="false">IF(E664="KANTOR",0,INDEX(Master_Customer!$C$2:$C$126,MATCH(C664,Master_Customer!$A$2:$A$126,0)))</f>
        <v>0</v>
      </c>
      <c r="H664" s="53" t="n">
        <f aca="false">B664+G664</f>
        <v>45801</v>
      </c>
      <c r="J664" s="39" t="str">
        <f aca="false">IF(G664=0,"Tunai",IF(I664="","Belum ditukar","Sudah ditukar"))</f>
        <v>Tunai</v>
      </c>
      <c r="K664" s="54" t="n">
        <v>16699400</v>
      </c>
      <c r="L664" s="51" t="n">
        <v>45801</v>
      </c>
      <c r="M664" s="52" t="n">
        <f aca="false">F664-K664</f>
        <v>0</v>
      </c>
      <c r="N664" s="39" t="str">
        <f aca="false">IF(M664&lt;=0,"Lunas",IF(K664&gt;0,"Sebagian","Belum Bayar"))</f>
        <v>Lunas</v>
      </c>
      <c r="O664" s="39" t="n">
        <f aca="false">IF(M664&gt;0,MAX(0,Catatan!$B$3-H664),0)</f>
        <v>0</v>
      </c>
      <c r="P664" s="39" t="str">
        <f aca="false">IF(M664&lt;=0,"Lunas",IF(Catatan!$B$3&lt;=H664,"Belum Jatuh Tempo",IF(O664&lt;=30,"1-30 hari",IF(O664&lt;=60,"31-60 hari",IF(O664&lt;=90,"61-90 hari","90+ hari")))))</f>
        <v>Lunas</v>
      </c>
      <c r="Q664" s="50"/>
      <c r="R664" s="39" t="str">
        <f aca="false">IF(M664&lt;=0,"",IF(O664&gt;60,"1-Tinggi",IF(O664&gt;30,"2-Sedang",IF(O664&gt;0,"3-Rendah","4-Pantau"))))</f>
        <v/>
      </c>
      <c r="S664" s="39" t="str">
        <f aca="false">IF(AND(M664&gt;0,O664&gt;0),O664+M664/1000000000000+ROW()/1000000000000000,"")</f>
        <v/>
      </c>
      <c r="T664" s="39" t="str">
        <f aca="false">IF(J664="Belum ditukar",ROW(),"")</f>
        <v/>
      </c>
    </row>
    <row r="665" customFormat="false" ht="15" hidden="false" customHeight="false" outlineLevel="0" collapsed="false">
      <c r="A665" s="50" t="s">
        <v>945</v>
      </c>
      <c r="B665" s="51" t="n">
        <v>45801</v>
      </c>
      <c r="C665" s="50" t="s">
        <v>191</v>
      </c>
      <c r="D665" s="39" t="str">
        <f aca="false">INDEX(Master_Customer!$B$2:$B$126,MATCH(C665,Master_Customer!$A$2:$A$126,0))</f>
        <v>SINAR AUTO BERKAH</v>
      </c>
      <c r="E665" s="50" t="s">
        <v>32</v>
      </c>
      <c r="F665" s="52" t="n">
        <f aca="false">SUMIFS(Data_Penjualan!$G$2:$G$5998,Data_Penjualan!$A$2:$A$5998,A665)</f>
        <v>12424700</v>
      </c>
      <c r="G665" s="39" t="n">
        <f aca="false">IF(E665="KANTOR",0,INDEX(Master_Customer!$C$2:$C$126,MATCH(C665,Master_Customer!$A$2:$A$126,0)))</f>
        <v>0</v>
      </c>
      <c r="H665" s="53" t="n">
        <f aca="false">B665+G665</f>
        <v>45801</v>
      </c>
      <c r="J665" s="39" t="str">
        <f aca="false">IF(G665=0,"Tunai",IF(I665="","Belum ditukar","Sudah ditukar"))</f>
        <v>Tunai</v>
      </c>
      <c r="K665" s="54" t="n">
        <v>12424700</v>
      </c>
      <c r="L665" s="51" t="n">
        <v>45801</v>
      </c>
      <c r="M665" s="52" t="n">
        <f aca="false">F665-K665</f>
        <v>0</v>
      </c>
      <c r="N665" s="39" t="str">
        <f aca="false">IF(M665&lt;=0,"Lunas",IF(K665&gt;0,"Sebagian","Belum Bayar"))</f>
        <v>Lunas</v>
      </c>
      <c r="O665" s="39" t="n">
        <f aca="false">IF(M665&gt;0,MAX(0,Catatan!$B$3-H665),0)</f>
        <v>0</v>
      </c>
      <c r="P665" s="39" t="str">
        <f aca="false">IF(M665&lt;=0,"Lunas",IF(Catatan!$B$3&lt;=H665,"Belum Jatuh Tempo",IF(O665&lt;=30,"1-30 hari",IF(O665&lt;=60,"31-60 hari",IF(O665&lt;=90,"61-90 hari","90+ hari")))))</f>
        <v>Lunas</v>
      </c>
      <c r="Q665" s="50"/>
      <c r="R665" s="39" t="str">
        <f aca="false">IF(M665&lt;=0,"",IF(O665&gt;60,"1-Tinggi",IF(O665&gt;30,"2-Sedang",IF(O665&gt;0,"3-Rendah","4-Pantau"))))</f>
        <v/>
      </c>
      <c r="S665" s="39" t="str">
        <f aca="false">IF(AND(M665&gt;0,O665&gt;0),O665+M665/1000000000000+ROW()/1000000000000000,"")</f>
        <v/>
      </c>
      <c r="T665" s="39" t="str">
        <f aca="false">IF(J665="Belum ditukar",ROW(),"")</f>
        <v/>
      </c>
    </row>
    <row r="666" customFormat="false" ht="15" hidden="false" customHeight="false" outlineLevel="0" collapsed="false">
      <c r="A666" s="50" t="s">
        <v>946</v>
      </c>
      <c r="B666" s="51" t="n">
        <v>45801</v>
      </c>
      <c r="C666" s="50" t="s">
        <v>188</v>
      </c>
      <c r="D666" s="39" t="str">
        <f aca="false">INDEX(Master_Customer!$B$2:$B$126,MATCH(C666,Master_Customer!$A$2:$A$126,0))</f>
        <v>MAJU GARAGE TIRTA</v>
      </c>
      <c r="E666" s="50" t="s">
        <v>31</v>
      </c>
      <c r="F666" s="52" t="n">
        <f aca="false">SUMIFS(Data_Penjualan!$G$2:$G$5998,Data_Penjualan!$A$2:$A$5998,A666)</f>
        <v>16706300</v>
      </c>
      <c r="G666" s="39" t="n">
        <f aca="false">IF(E666="KANTOR",0,INDEX(Master_Customer!$C$2:$C$126,MATCH(C666,Master_Customer!$A$2:$A$126,0)))</f>
        <v>45</v>
      </c>
      <c r="H666" s="53" t="n">
        <f aca="false">B666+G666</f>
        <v>45846</v>
      </c>
      <c r="I666" s="51" t="n">
        <v>45802</v>
      </c>
      <c r="J666" s="39" t="str">
        <f aca="false">IF(G666=0,"Tunai",IF(I666="","Belum ditukar","Sudah ditukar"))</f>
        <v>Sudah ditukar</v>
      </c>
      <c r="K666" s="54" t="n">
        <v>16706300</v>
      </c>
      <c r="L666" s="51" t="n">
        <v>45868</v>
      </c>
      <c r="M666" s="52" t="n">
        <f aca="false">F666-K666</f>
        <v>0</v>
      </c>
      <c r="N666" s="39" t="str">
        <f aca="false">IF(M666&lt;=0,"Lunas",IF(K666&gt;0,"Sebagian","Belum Bayar"))</f>
        <v>Lunas</v>
      </c>
      <c r="O666" s="39" t="n">
        <f aca="false">IF(M666&gt;0,MAX(0,Catatan!$B$3-H666),0)</f>
        <v>0</v>
      </c>
      <c r="P666" s="39" t="str">
        <f aca="false">IF(M666&lt;=0,"Lunas",IF(Catatan!$B$3&lt;=H666,"Belum Jatuh Tempo",IF(O666&lt;=30,"1-30 hari",IF(O666&lt;=60,"31-60 hari",IF(O666&lt;=90,"61-90 hari","90+ hari")))))</f>
        <v>Lunas</v>
      </c>
      <c r="Q666" s="50"/>
      <c r="R666" s="39" t="str">
        <f aca="false">IF(M666&lt;=0,"",IF(O666&gt;60,"1-Tinggi",IF(O666&gt;30,"2-Sedang",IF(O666&gt;0,"3-Rendah","4-Pantau"))))</f>
        <v/>
      </c>
      <c r="S666" s="39" t="str">
        <f aca="false">IF(AND(M666&gt;0,O666&gt;0),O666+M666/1000000000000+ROW()/1000000000000000,"")</f>
        <v/>
      </c>
      <c r="T666" s="39" t="str">
        <f aca="false">IF(J666="Belum ditukar",ROW(),"")</f>
        <v/>
      </c>
    </row>
    <row r="667" customFormat="false" ht="15" hidden="false" customHeight="false" outlineLevel="0" collapsed="false">
      <c r="A667" s="50" t="s">
        <v>947</v>
      </c>
      <c r="B667" s="51" t="n">
        <v>45801</v>
      </c>
      <c r="C667" s="50" t="s">
        <v>188</v>
      </c>
      <c r="D667" s="39" t="str">
        <f aca="false">INDEX(Master_Customer!$B$2:$B$126,MATCH(C667,Master_Customer!$A$2:$A$126,0))</f>
        <v>MAJU GARAGE TIRTA</v>
      </c>
      <c r="E667" s="50" t="s">
        <v>31</v>
      </c>
      <c r="F667" s="52" t="n">
        <f aca="false">SUMIFS(Data_Penjualan!$G$2:$G$5998,Data_Penjualan!$A$2:$A$5998,A667)</f>
        <v>5631400</v>
      </c>
      <c r="G667" s="39" t="n">
        <f aca="false">IF(E667="KANTOR",0,INDEX(Master_Customer!$C$2:$C$126,MATCH(C667,Master_Customer!$A$2:$A$126,0)))</f>
        <v>45</v>
      </c>
      <c r="H667" s="53" t="n">
        <f aca="false">B667+G667</f>
        <v>45846</v>
      </c>
      <c r="I667" s="51" t="n">
        <v>45805</v>
      </c>
      <c r="J667" s="39" t="str">
        <f aca="false">IF(G667=0,"Tunai",IF(I667="","Belum ditukar","Sudah ditukar"))</f>
        <v>Sudah ditukar</v>
      </c>
      <c r="K667" s="54" t="n">
        <v>5631400</v>
      </c>
      <c r="L667" s="51" t="n">
        <v>45857</v>
      </c>
      <c r="M667" s="52" t="n">
        <f aca="false">F667-K667</f>
        <v>0</v>
      </c>
      <c r="N667" s="39" t="str">
        <f aca="false">IF(M667&lt;=0,"Lunas",IF(K667&gt;0,"Sebagian","Belum Bayar"))</f>
        <v>Lunas</v>
      </c>
      <c r="O667" s="39" t="n">
        <f aca="false">IF(M667&gt;0,MAX(0,Catatan!$B$3-H667),0)</f>
        <v>0</v>
      </c>
      <c r="P667" s="39" t="str">
        <f aca="false">IF(M667&lt;=0,"Lunas",IF(Catatan!$B$3&lt;=H667,"Belum Jatuh Tempo",IF(O667&lt;=30,"1-30 hari",IF(O667&lt;=60,"31-60 hari",IF(O667&lt;=90,"61-90 hari","90+ hari")))))</f>
        <v>Lunas</v>
      </c>
      <c r="Q667" s="50"/>
      <c r="R667" s="39" t="str">
        <f aca="false">IF(M667&lt;=0,"",IF(O667&gt;60,"1-Tinggi",IF(O667&gt;30,"2-Sedang",IF(O667&gt;0,"3-Rendah","4-Pantau"))))</f>
        <v/>
      </c>
      <c r="S667" s="39" t="str">
        <f aca="false">IF(AND(M667&gt;0,O667&gt;0),O667+M667/1000000000000+ROW()/1000000000000000,"")</f>
        <v/>
      </c>
      <c r="T667" s="39" t="str">
        <f aca="false">IF(J667="Belum ditukar",ROW(),"")</f>
        <v/>
      </c>
    </row>
    <row r="668" customFormat="false" ht="15" hidden="false" customHeight="false" outlineLevel="0" collapsed="false">
      <c r="A668" s="50" t="s">
        <v>948</v>
      </c>
      <c r="B668" s="51" t="n">
        <v>45803</v>
      </c>
      <c r="C668" s="50" t="s">
        <v>416</v>
      </c>
      <c r="D668" s="39" t="str">
        <f aca="false">INDEX(Master_Customer!$B$2:$B$126,MATCH(C668,Master_Customer!$A$2:$A$126,0))</f>
        <v>KARYA SERVICE</v>
      </c>
      <c r="E668" s="50" t="s">
        <v>30</v>
      </c>
      <c r="F668" s="52" t="n">
        <f aca="false">SUMIFS(Data_Penjualan!$G$2:$G$5998,Data_Penjualan!$A$2:$A$5998,A668)</f>
        <v>3485300</v>
      </c>
      <c r="G668" s="39" t="n">
        <f aca="false">IF(E668="KANTOR",0,INDEX(Master_Customer!$C$2:$C$126,MATCH(C668,Master_Customer!$A$2:$A$126,0)))</f>
        <v>0</v>
      </c>
      <c r="H668" s="53" t="n">
        <f aca="false">B668+G668</f>
        <v>45803</v>
      </c>
      <c r="J668" s="39" t="str">
        <f aca="false">IF(G668=0,"Tunai",IF(I668="","Belum ditukar","Sudah ditukar"))</f>
        <v>Tunai</v>
      </c>
      <c r="K668" s="54" t="n">
        <v>3485300</v>
      </c>
      <c r="L668" s="51" t="n">
        <v>45825</v>
      </c>
      <c r="M668" s="52" t="n">
        <f aca="false">F668-K668</f>
        <v>0</v>
      </c>
      <c r="N668" s="39" t="str">
        <f aca="false">IF(M668&lt;=0,"Lunas",IF(K668&gt;0,"Sebagian","Belum Bayar"))</f>
        <v>Lunas</v>
      </c>
      <c r="O668" s="39" t="n">
        <f aca="false">IF(M668&gt;0,MAX(0,Catatan!$B$3-H668),0)</f>
        <v>0</v>
      </c>
      <c r="P668" s="39" t="str">
        <f aca="false">IF(M668&lt;=0,"Lunas",IF(Catatan!$B$3&lt;=H668,"Belum Jatuh Tempo",IF(O668&lt;=30,"1-30 hari",IF(O668&lt;=60,"31-60 hari",IF(O668&lt;=90,"61-90 hari","90+ hari")))))</f>
        <v>Lunas</v>
      </c>
      <c r="Q668" s="50"/>
      <c r="R668" s="39" t="str">
        <f aca="false">IF(M668&lt;=0,"",IF(O668&gt;60,"1-Tinggi",IF(O668&gt;30,"2-Sedang",IF(O668&gt;0,"3-Rendah","4-Pantau"))))</f>
        <v/>
      </c>
      <c r="S668" s="39" t="str">
        <f aca="false">IF(AND(M668&gt;0,O668&gt;0),O668+M668/1000000000000+ROW()/1000000000000000,"")</f>
        <v/>
      </c>
      <c r="T668" s="39" t="str">
        <f aca="false">IF(J668="Belum ditukar",ROW(),"")</f>
        <v/>
      </c>
    </row>
    <row r="669" customFormat="false" ht="15" hidden="false" customHeight="false" outlineLevel="0" collapsed="false">
      <c r="A669" s="50" t="s">
        <v>949</v>
      </c>
      <c r="B669" s="51" t="n">
        <v>45803</v>
      </c>
      <c r="C669" s="50" t="s">
        <v>216</v>
      </c>
      <c r="D669" s="39" t="str">
        <f aca="false">INDEX(Master_Customer!$B$2:$B$126,MATCH(C669,Master_Customer!$A$2:$A$126,0))</f>
        <v>SINAR MOTOR UTAMA</v>
      </c>
      <c r="E669" s="50" t="s">
        <v>30</v>
      </c>
      <c r="F669" s="52" t="n">
        <f aca="false">SUMIFS(Data_Penjualan!$G$2:$G$5998,Data_Penjualan!$A$2:$A$5998,A669)</f>
        <v>7629500</v>
      </c>
      <c r="G669" s="39" t="n">
        <f aca="false">IF(E669="KANTOR",0,INDEX(Master_Customer!$C$2:$C$126,MATCH(C669,Master_Customer!$A$2:$A$126,0)))</f>
        <v>0</v>
      </c>
      <c r="H669" s="53" t="n">
        <f aca="false">B669+G669</f>
        <v>45803</v>
      </c>
      <c r="J669" s="39" t="str">
        <f aca="false">IF(G669=0,"Tunai",IF(I669="","Belum ditukar","Sudah ditukar"))</f>
        <v>Tunai</v>
      </c>
      <c r="K669" s="54" t="n">
        <v>7629500</v>
      </c>
      <c r="L669" s="51" t="n">
        <v>45804</v>
      </c>
      <c r="M669" s="52" t="n">
        <f aca="false">F669-K669</f>
        <v>0</v>
      </c>
      <c r="N669" s="39" t="str">
        <f aca="false">IF(M669&lt;=0,"Lunas",IF(K669&gt;0,"Sebagian","Belum Bayar"))</f>
        <v>Lunas</v>
      </c>
      <c r="O669" s="39" t="n">
        <f aca="false">IF(M669&gt;0,MAX(0,Catatan!$B$3-H669),0)</f>
        <v>0</v>
      </c>
      <c r="P669" s="39" t="str">
        <f aca="false">IF(M669&lt;=0,"Lunas",IF(Catatan!$B$3&lt;=H669,"Belum Jatuh Tempo",IF(O669&lt;=30,"1-30 hari",IF(O669&lt;=60,"31-60 hari",IF(O669&lt;=90,"61-90 hari","90+ hari")))))</f>
        <v>Lunas</v>
      </c>
      <c r="Q669" s="50"/>
      <c r="R669" s="39" t="str">
        <f aca="false">IF(M669&lt;=0,"",IF(O669&gt;60,"1-Tinggi",IF(O669&gt;30,"2-Sedang",IF(O669&gt;0,"3-Rendah","4-Pantau"))))</f>
        <v/>
      </c>
      <c r="S669" s="39" t="str">
        <f aca="false">IF(AND(M669&gt;0,O669&gt;0),O669+M669/1000000000000+ROW()/1000000000000000,"")</f>
        <v/>
      </c>
      <c r="T669" s="39" t="str">
        <f aca="false">IF(J669="Belum ditukar",ROW(),"")</f>
        <v/>
      </c>
    </row>
    <row r="670" customFormat="false" ht="15" hidden="false" customHeight="false" outlineLevel="0" collapsed="false">
      <c r="A670" s="50" t="s">
        <v>950</v>
      </c>
      <c r="B670" s="51" t="n">
        <v>45803</v>
      </c>
      <c r="C670" s="50" t="s">
        <v>177</v>
      </c>
      <c r="D670" s="39" t="str">
        <f aca="false">INDEX(Master_Customer!$B$2:$B$126,MATCH(C670,Master_Customer!$A$2:$A$126,0))</f>
        <v>PRIMA MOTOR LANCAR</v>
      </c>
      <c r="E670" s="50" t="s">
        <v>29</v>
      </c>
      <c r="F670" s="52" t="n">
        <f aca="false">SUMIFS(Data_Penjualan!$G$2:$G$5998,Data_Penjualan!$A$2:$A$5998,A670)</f>
        <v>11583900</v>
      </c>
      <c r="G670" s="39" t="n">
        <f aca="false">IF(E670="KANTOR",0,INDEX(Master_Customer!$C$2:$C$126,MATCH(C670,Master_Customer!$A$2:$A$126,0)))</f>
        <v>14</v>
      </c>
      <c r="H670" s="53" t="n">
        <f aca="false">B670+G670</f>
        <v>45817</v>
      </c>
      <c r="I670" s="51" t="n">
        <v>45806</v>
      </c>
      <c r="J670" s="39" t="str">
        <f aca="false">IF(G670=0,"Tunai",IF(I670="","Belum ditukar","Sudah ditukar"))</f>
        <v>Sudah ditukar</v>
      </c>
      <c r="K670" s="54" t="n">
        <v>11583900</v>
      </c>
      <c r="L670" s="51" t="n">
        <v>45813</v>
      </c>
      <c r="M670" s="52" t="n">
        <f aca="false">F670-K670</f>
        <v>0</v>
      </c>
      <c r="N670" s="39" t="str">
        <f aca="false">IF(M670&lt;=0,"Lunas",IF(K670&gt;0,"Sebagian","Belum Bayar"))</f>
        <v>Lunas</v>
      </c>
      <c r="O670" s="39" t="n">
        <f aca="false">IF(M670&gt;0,MAX(0,Catatan!$B$3-H670),0)</f>
        <v>0</v>
      </c>
      <c r="P670" s="39" t="str">
        <f aca="false">IF(M670&lt;=0,"Lunas",IF(Catatan!$B$3&lt;=H670,"Belum Jatuh Tempo",IF(O670&lt;=30,"1-30 hari",IF(O670&lt;=60,"31-60 hari",IF(O670&lt;=90,"61-90 hari","90+ hari")))))</f>
        <v>Lunas</v>
      </c>
      <c r="Q670" s="50"/>
      <c r="R670" s="39" t="str">
        <f aca="false">IF(M670&lt;=0,"",IF(O670&gt;60,"1-Tinggi",IF(O670&gt;30,"2-Sedang",IF(O670&gt;0,"3-Rendah","4-Pantau"))))</f>
        <v/>
      </c>
      <c r="S670" s="39" t="str">
        <f aca="false">IF(AND(M670&gt;0,O670&gt;0),O670+M670/1000000000000+ROW()/1000000000000000,"")</f>
        <v/>
      </c>
      <c r="T670" s="39" t="str">
        <f aca="false">IF(J670="Belum ditukar",ROW(),"")</f>
        <v/>
      </c>
    </row>
    <row r="671" customFormat="false" ht="15" hidden="false" customHeight="false" outlineLevel="0" collapsed="false">
      <c r="A671" s="50" t="s">
        <v>951</v>
      </c>
      <c r="B671" s="51" t="n">
        <v>45803</v>
      </c>
      <c r="C671" s="50" t="s">
        <v>317</v>
      </c>
      <c r="D671" s="39" t="str">
        <f aca="false">INDEX(Master_Customer!$B$2:$B$126,MATCH(C671,Master_Customer!$A$2:$A$126,0))</f>
        <v>MAKMUR MOTOR JAYA</v>
      </c>
      <c r="E671" s="50" t="s">
        <v>32</v>
      </c>
      <c r="F671" s="52" t="n">
        <f aca="false">SUMIFS(Data_Penjualan!$G$2:$G$5998,Data_Penjualan!$A$2:$A$5998,A671)</f>
        <v>5279000</v>
      </c>
      <c r="G671" s="39" t="n">
        <f aca="false">IF(E671="KANTOR",0,INDEX(Master_Customer!$C$2:$C$126,MATCH(C671,Master_Customer!$A$2:$A$126,0)))</f>
        <v>0</v>
      </c>
      <c r="H671" s="53" t="n">
        <f aca="false">B671+G671</f>
        <v>45803</v>
      </c>
      <c r="J671" s="39" t="str">
        <f aca="false">IF(G671=0,"Tunai",IF(I671="","Belum ditukar","Sudah ditukar"))</f>
        <v>Tunai</v>
      </c>
      <c r="K671" s="54" t="n">
        <v>5279000</v>
      </c>
      <c r="L671" s="51" t="n">
        <v>45803</v>
      </c>
      <c r="M671" s="52" t="n">
        <f aca="false">F671-K671</f>
        <v>0</v>
      </c>
      <c r="N671" s="39" t="str">
        <f aca="false">IF(M671&lt;=0,"Lunas",IF(K671&gt;0,"Sebagian","Belum Bayar"))</f>
        <v>Lunas</v>
      </c>
      <c r="O671" s="39" t="n">
        <f aca="false">IF(M671&gt;0,MAX(0,Catatan!$B$3-H671),0)</f>
        <v>0</v>
      </c>
      <c r="P671" s="39" t="str">
        <f aca="false">IF(M671&lt;=0,"Lunas",IF(Catatan!$B$3&lt;=H671,"Belum Jatuh Tempo",IF(O671&lt;=30,"1-30 hari",IF(O671&lt;=60,"31-60 hari",IF(O671&lt;=90,"61-90 hari","90+ hari")))))</f>
        <v>Lunas</v>
      </c>
      <c r="Q671" s="50"/>
      <c r="R671" s="39" t="str">
        <f aca="false">IF(M671&lt;=0,"",IF(O671&gt;60,"1-Tinggi",IF(O671&gt;30,"2-Sedang",IF(O671&gt;0,"3-Rendah","4-Pantau"))))</f>
        <v/>
      </c>
      <c r="S671" s="39" t="str">
        <f aca="false">IF(AND(M671&gt;0,O671&gt;0),O671+M671/1000000000000+ROW()/1000000000000000,"")</f>
        <v/>
      </c>
      <c r="T671" s="39" t="str">
        <f aca="false">IF(J671="Belum ditukar",ROW(),"")</f>
        <v/>
      </c>
    </row>
    <row r="672" customFormat="false" ht="15" hidden="false" customHeight="false" outlineLevel="0" collapsed="false">
      <c r="A672" s="50" t="s">
        <v>952</v>
      </c>
      <c r="B672" s="51" t="n">
        <v>45803</v>
      </c>
      <c r="C672" s="50" t="s">
        <v>211</v>
      </c>
      <c r="D672" s="39" t="str">
        <f aca="false">INDEX(Master_Customer!$B$2:$B$126,MATCH(C672,Master_Customer!$A$2:$A$126,0))</f>
        <v>PRIMA MOBIL</v>
      </c>
      <c r="E672" s="50" t="s">
        <v>30</v>
      </c>
      <c r="F672" s="52" t="n">
        <f aca="false">SUMIFS(Data_Penjualan!$G$2:$G$5998,Data_Penjualan!$A$2:$A$5998,A672)</f>
        <v>5374300</v>
      </c>
      <c r="G672" s="39" t="n">
        <f aca="false">IF(E672="KANTOR",0,INDEX(Master_Customer!$C$2:$C$126,MATCH(C672,Master_Customer!$A$2:$A$126,0)))</f>
        <v>0</v>
      </c>
      <c r="H672" s="53" t="n">
        <f aca="false">B672+G672</f>
        <v>45803</v>
      </c>
      <c r="J672" s="39" t="str">
        <f aca="false">IF(G672=0,"Tunai",IF(I672="","Belum ditukar","Sudah ditukar"))</f>
        <v>Tunai</v>
      </c>
      <c r="K672" s="54" t="n">
        <v>5374300</v>
      </c>
      <c r="L672" s="51" t="n">
        <v>45803</v>
      </c>
      <c r="M672" s="52" t="n">
        <f aca="false">F672-K672</f>
        <v>0</v>
      </c>
      <c r="N672" s="39" t="str">
        <f aca="false">IF(M672&lt;=0,"Lunas",IF(K672&gt;0,"Sebagian","Belum Bayar"))</f>
        <v>Lunas</v>
      </c>
      <c r="O672" s="39" t="n">
        <f aca="false">IF(M672&gt;0,MAX(0,Catatan!$B$3-H672),0)</f>
        <v>0</v>
      </c>
      <c r="P672" s="39" t="str">
        <f aca="false">IF(M672&lt;=0,"Lunas",IF(Catatan!$B$3&lt;=H672,"Belum Jatuh Tempo",IF(O672&lt;=30,"1-30 hari",IF(O672&lt;=60,"31-60 hari",IF(O672&lt;=90,"61-90 hari","90+ hari")))))</f>
        <v>Lunas</v>
      </c>
      <c r="Q672" s="50"/>
      <c r="R672" s="39" t="str">
        <f aca="false">IF(M672&lt;=0,"",IF(O672&gt;60,"1-Tinggi",IF(O672&gt;30,"2-Sedang",IF(O672&gt;0,"3-Rendah","4-Pantau"))))</f>
        <v/>
      </c>
      <c r="S672" s="39" t="str">
        <f aca="false">IF(AND(M672&gt;0,O672&gt;0),O672+M672/1000000000000+ROW()/1000000000000000,"")</f>
        <v/>
      </c>
      <c r="T672" s="39" t="str">
        <f aca="false">IF(J672="Belum ditukar",ROW(),"")</f>
        <v/>
      </c>
    </row>
    <row r="673" customFormat="false" ht="15" hidden="false" customHeight="false" outlineLevel="0" collapsed="false">
      <c r="A673" s="50" t="s">
        <v>953</v>
      </c>
      <c r="B673" s="51" t="n">
        <v>45803</v>
      </c>
      <c r="C673" s="50" t="s">
        <v>179</v>
      </c>
      <c r="D673" s="39" t="str">
        <f aca="false">INDEX(Master_Customer!$B$2:$B$126,MATCH(C673,Master_Customer!$A$2:$A$126,0))</f>
        <v>BINTANG TEKNIK SURYA</v>
      </c>
      <c r="E673" s="50" t="s">
        <v>29</v>
      </c>
      <c r="F673" s="52" t="n">
        <f aca="false">SUMIFS(Data_Penjualan!$G$2:$G$5998,Data_Penjualan!$A$2:$A$5998,A673)</f>
        <v>13750200</v>
      </c>
      <c r="G673" s="39" t="n">
        <f aca="false">IF(E673="KANTOR",0,INDEX(Master_Customer!$C$2:$C$126,MATCH(C673,Master_Customer!$A$2:$A$126,0)))</f>
        <v>45</v>
      </c>
      <c r="H673" s="53" t="n">
        <f aca="false">B673+G673</f>
        <v>45848</v>
      </c>
      <c r="I673" s="51" t="n">
        <v>45808</v>
      </c>
      <c r="J673" s="39" t="str">
        <f aca="false">IF(G673=0,"Tunai",IF(I673="","Belum ditukar","Sudah ditukar"))</f>
        <v>Sudah ditukar</v>
      </c>
      <c r="K673" s="54" t="n">
        <v>13750200</v>
      </c>
      <c r="L673" s="51" t="n">
        <v>45849</v>
      </c>
      <c r="M673" s="52" t="n">
        <f aca="false">F673-K673</f>
        <v>0</v>
      </c>
      <c r="N673" s="39" t="str">
        <f aca="false">IF(M673&lt;=0,"Lunas",IF(K673&gt;0,"Sebagian","Belum Bayar"))</f>
        <v>Lunas</v>
      </c>
      <c r="O673" s="39" t="n">
        <f aca="false">IF(M673&gt;0,MAX(0,Catatan!$B$3-H673),0)</f>
        <v>0</v>
      </c>
      <c r="P673" s="39" t="str">
        <f aca="false">IF(M673&lt;=0,"Lunas",IF(Catatan!$B$3&lt;=H673,"Belum Jatuh Tempo",IF(O673&lt;=30,"1-30 hari",IF(O673&lt;=60,"31-60 hari",IF(O673&lt;=90,"61-90 hari","90+ hari")))))</f>
        <v>Lunas</v>
      </c>
      <c r="Q673" s="50"/>
      <c r="R673" s="39" t="str">
        <f aca="false">IF(M673&lt;=0,"",IF(O673&gt;60,"1-Tinggi",IF(O673&gt;30,"2-Sedang",IF(O673&gt;0,"3-Rendah","4-Pantau"))))</f>
        <v/>
      </c>
      <c r="S673" s="39" t="str">
        <f aca="false">IF(AND(M673&gt;0,O673&gt;0),O673+M673/1000000000000+ROW()/1000000000000000,"")</f>
        <v/>
      </c>
      <c r="T673" s="39" t="str">
        <f aca="false">IF(J673="Belum ditukar",ROW(),"")</f>
        <v/>
      </c>
    </row>
    <row r="674" customFormat="false" ht="15" hidden="false" customHeight="false" outlineLevel="0" collapsed="false">
      <c r="A674" s="50" t="s">
        <v>954</v>
      </c>
      <c r="B674" s="51" t="n">
        <v>45803</v>
      </c>
      <c r="C674" s="50" t="s">
        <v>955</v>
      </c>
      <c r="D674" s="39" t="str">
        <f aca="false">INDEX(Master_Customer!$B$2:$B$126,MATCH(C674,Master_Customer!$A$2:$A$126,0))</f>
        <v>GEMILANG BENGKEL SUMBER</v>
      </c>
      <c r="E674" s="50" t="s">
        <v>30</v>
      </c>
      <c r="F674" s="52" t="n">
        <f aca="false">SUMIFS(Data_Penjualan!$G$2:$G$5998,Data_Penjualan!$A$2:$A$5998,A674)</f>
        <v>12185700</v>
      </c>
      <c r="G674" s="39" t="n">
        <f aca="false">IF(E674="KANTOR",0,INDEX(Master_Customer!$C$2:$C$126,MATCH(C674,Master_Customer!$A$2:$A$126,0)))</f>
        <v>30</v>
      </c>
      <c r="H674" s="53" t="n">
        <f aca="false">B674+G674</f>
        <v>45833</v>
      </c>
      <c r="I674" s="51" t="n">
        <v>45805</v>
      </c>
      <c r="J674" s="39" t="str">
        <f aca="false">IF(G674=0,"Tunai",IF(I674="","Belum ditukar","Sudah ditukar"))</f>
        <v>Sudah ditukar</v>
      </c>
      <c r="K674" s="54" t="n">
        <v>12185700</v>
      </c>
      <c r="L674" s="51" t="n">
        <v>45827</v>
      </c>
      <c r="M674" s="52" t="n">
        <f aca="false">F674-K674</f>
        <v>0</v>
      </c>
      <c r="N674" s="39" t="str">
        <f aca="false">IF(M674&lt;=0,"Lunas",IF(K674&gt;0,"Sebagian","Belum Bayar"))</f>
        <v>Lunas</v>
      </c>
      <c r="O674" s="39" t="n">
        <f aca="false">IF(M674&gt;0,MAX(0,Catatan!$B$3-H674),0)</f>
        <v>0</v>
      </c>
      <c r="P674" s="39" t="str">
        <f aca="false">IF(M674&lt;=0,"Lunas",IF(Catatan!$B$3&lt;=H674,"Belum Jatuh Tempo",IF(O674&lt;=30,"1-30 hari",IF(O674&lt;=60,"31-60 hari",IF(O674&lt;=90,"61-90 hari","90+ hari")))))</f>
        <v>Lunas</v>
      </c>
      <c r="Q674" s="50"/>
      <c r="R674" s="39" t="str">
        <f aca="false">IF(M674&lt;=0,"",IF(O674&gt;60,"1-Tinggi",IF(O674&gt;30,"2-Sedang",IF(O674&gt;0,"3-Rendah","4-Pantau"))))</f>
        <v/>
      </c>
      <c r="S674" s="39" t="str">
        <f aca="false">IF(AND(M674&gt;0,O674&gt;0),O674+M674/1000000000000+ROW()/1000000000000000,"")</f>
        <v/>
      </c>
      <c r="T674" s="39" t="str">
        <f aca="false">IF(J674="Belum ditukar",ROW(),"")</f>
        <v/>
      </c>
    </row>
    <row r="675" customFormat="false" ht="15" hidden="false" customHeight="false" outlineLevel="0" collapsed="false">
      <c r="A675" s="50" t="s">
        <v>956</v>
      </c>
      <c r="B675" s="51" t="n">
        <v>45803</v>
      </c>
      <c r="C675" s="50" t="s">
        <v>209</v>
      </c>
      <c r="D675" s="39" t="str">
        <f aca="false">INDEX(Master_Customer!$B$2:$B$126,MATCH(C675,Master_Customer!$A$2:$A$126,0))</f>
        <v>PRIMA TEKNIK</v>
      </c>
      <c r="E675" s="50" t="s">
        <v>32</v>
      </c>
      <c r="F675" s="52" t="n">
        <f aca="false">SUMIFS(Data_Penjualan!$G$2:$G$5998,Data_Penjualan!$A$2:$A$5998,A675)</f>
        <v>5391800</v>
      </c>
      <c r="G675" s="39" t="n">
        <f aca="false">IF(E675="KANTOR",0,INDEX(Master_Customer!$C$2:$C$126,MATCH(C675,Master_Customer!$A$2:$A$126,0)))</f>
        <v>0</v>
      </c>
      <c r="H675" s="53" t="n">
        <f aca="false">B675+G675</f>
        <v>45803</v>
      </c>
      <c r="J675" s="39" t="str">
        <f aca="false">IF(G675=0,"Tunai",IF(I675="","Belum ditukar","Sudah ditukar"))</f>
        <v>Tunai</v>
      </c>
      <c r="K675" s="54" t="n">
        <v>5391800</v>
      </c>
      <c r="L675" s="51" t="n">
        <v>45804</v>
      </c>
      <c r="M675" s="52" t="n">
        <f aca="false">F675-K675</f>
        <v>0</v>
      </c>
      <c r="N675" s="39" t="str">
        <f aca="false">IF(M675&lt;=0,"Lunas",IF(K675&gt;0,"Sebagian","Belum Bayar"))</f>
        <v>Lunas</v>
      </c>
      <c r="O675" s="39" t="n">
        <f aca="false">IF(M675&gt;0,MAX(0,Catatan!$B$3-H675),0)</f>
        <v>0</v>
      </c>
      <c r="P675" s="39" t="str">
        <f aca="false">IF(M675&lt;=0,"Lunas",IF(Catatan!$B$3&lt;=H675,"Belum Jatuh Tempo",IF(O675&lt;=30,"1-30 hari",IF(O675&lt;=60,"31-60 hari",IF(O675&lt;=90,"61-90 hari","90+ hari")))))</f>
        <v>Lunas</v>
      </c>
      <c r="Q675" s="50"/>
      <c r="R675" s="39" t="str">
        <f aca="false">IF(M675&lt;=0,"",IF(O675&gt;60,"1-Tinggi",IF(O675&gt;30,"2-Sedang",IF(O675&gt;0,"3-Rendah","4-Pantau"))))</f>
        <v/>
      </c>
      <c r="S675" s="39" t="str">
        <f aca="false">IF(AND(M675&gt;0,O675&gt;0),O675+M675/1000000000000+ROW()/1000000000000000,"")</f>
        <v/>
      </c>
      <c r="T675" s="39" t="str">
        <f aca="false">IF(J675="Belum ditukar",ROW(),"")</f>
        <v/>
      </c>
    </row>
    <row r="676" customFormat="false" ht="15" hidden="false" customHeight="false" outlineLevel="0" collapsed="false">
      <c r="A676" s="50" t="s">
        <v>957</v>
      </c>
      <c r="B676" s="51" t="n">
        <v>45803</v>
      </c>
      <c r="C676" s="50" t="s">
        <v>174</v>
      </c>
      <c r="D676" s="39" t="str">
        <f aca="false">INDEX(Master_Customer!$B$2:$B$126,MATCH(C676,Master_Customer!$A$2:$A$126,0))</f>
        <v>SUMBER TEKNIK SURYA</v>
      </c>
      <c r="E676" s="50" t="s">
        <v>31</v>
      </c>
      <c r="F676" s="52" t="n">
        <f aca="false">SUMIFS(Data_Penjualan!$G$2:$G$5998,Data_Penjualan!$A$2:$A$5998,A676)</f>
        <v>5934500</v>
      </c>
      <c r="G676" s="39" t="n">
        <f aca="false">IF(E676="KANTOR",0,INDEX(Master_Customer!$C$2:$C$126,MATCH(C676,Master_Customer!$A$2:$A$126,0)))</f>
        <v>30</v>
      </c>
      <c r="H676" s="53" t="n">
        <f aca="false">B676+G676</f>
        <v>45833</v>
      </c>
      <c r="I676" s="51" t="n">
        <v>45808</v>
      </c>
      <c r="J676" s="39" t="str">
        <f aca="false">IF(G676=0,"Tunai",IF(I676="","Belum ditukar","Sudah ditukar"))</f>
        <v>Sudah ditukar</v>
      </c>
      <c r="K676" s="54" t="n">
        <v>5934500</v>
      </c>
      <c r="L676" s="51" t="n">
        <v>45832</v>
      </c>
      <c r="M676" s="52" t="n">
        <f aca="false">F676-K676</f>
        <v>0</v>
      </c>
      <c r="N676" s="39" t="str">
        <f aca="false">IF(M676&lt;=0,"Lunas",IF(K676&gt;0,"Sebagian","Belum Bayar"))</f>
        <v>Lunas</v>
      </c>
      <c r="O676" s="39" t="n">
        <f aca="false">IF(M676&gt;0,MAX(0,Catatan!$B$3-H676),0)</f>
        <v>0</v>
      </c>
      <c r="P676" s="39" t="str">
        <f aca="false">IF(M676&lt;=0,"Lunas",IF(Catatan!$B$3&lt;=H676,"Belum Jatuh Tempo",IF(O676&lt;=30,"1-30 hari",IF(O676&lt;=60,"31-60 hari",IF(O676&lt;=90,"61-90 hari","90+ hari")))))</f>
        <v>Lunas</v>
      </c>
      <c r="Q676" s="50"/>
      <c r="R676" s="39" t="str">
        <f aca="false">IF(M676&lt;=0,"",IF(O676&gt;60,"1-Tinggi",IF(O676&gt;30,"2-Sedang",IF(O676&gt;0,"3-Rendah","4-Pantau"))))</f>
        <v/>
      </c>
      <c r="S676" s="39" t="str">
        <f aca="false">IF(AND(M676&gt;0,O676&gt;0),O676+M676/1000000000000+ROW()/1000000000000000,"")</f>
        <v/>
      </c>
      <c r="T676" s="39" t="str">
        <f aca="false">IF(J676="Belum ditukar",ROW(),"")</f>
        <v/>
      </c>
    </row>
    <row r="677" customFormat="false" ht="15" hidden="false" customHeight="false" outlineLevel="0" collapsed="false">
      <c r="A677" s="50" t="s">
        <v>958</v>
      </c>
      <c r="B677" s="51" t="n">
        <v>45803</v>
      </c>
      <c r="C677" s="50" t="s">
        <v>261</v>
      </c>
      <c r="D677" s="39" t="str">
        <f aca="false">INDEX(Master_Customer!$B$2:$B$126,MATCH(C677,Master_Customer!$A$2:$A$126,0))</f>
        <v>SUMBER MOTOR UTAMA</v>
      </c>
      <c r="E677" s="50" t="s">
        <v>28</v>
      </c>
      <c r="F677" s="52" t="n">
        <f aca="false">SUMIFS(Data_Penjualan!$G$2:$G$5998,Data_Penjualan!$A$2:$A$5998,A677)</f>
        <v>7410000</v>
      </c>
      <c r="G677" s="39" t="n">
        <f aca="false">IF(E677="KANTOR",0,INDEX(Master_Customer!$C$2:$C$126,MATCH(C677,Master_Customer!$A$2:$A$126,0)))</f>
        <v>0</v>
      </c>
      <c r="H677" s="53" t="n">
        <f aca="false">B677+G677</f>
        <v>45803</v>
      </c>
      <c r="J677" s="39" t="str">
        <f aca="false">IF(G677=0,"Tunai",IF(I677="","Belum ditukar","Sudah ditukar"))</f>
        <v>Tunai</v>
      </c>
      <c r="K677" s="54" t="n">
        <v>7410000</v>
      </c>
      <c r="L677" s="51" t="n">
        <v>45804</v>
      </c>
      <c r="M677" s="52" t="n">
        <f aca="false">F677-K677</f>
        <v>0</v>
      </c>
      <c r="N677" s="39" t="str">
        <f aca="false">IF(M677&lt;=0,"Lunas",IF(K677&gt;0,"Sebagian","Belum Bayar"))</f>
        <v>Lunas</v>
      </c>
      <c r="O677" s="39" t="n">
        <f aca="false">IF(M677&gt;0,MAX(0,Catatan!$B$3-H677),0)</f>
        <v>0</v>
      </c>
      <c r="P677" s="39" t="str">
        <f aca="false">IF(M677&lt;=0,"Lunas",IF(Catatan!$B$3&lt;=H677,"Belum Jatuh Tempo",IF(O677&lt;=30,"1-30 hari",IF(O677&lt;=60,"31-60 hari",IF(O677&lt;=90,"61-90 hari","90+ hari")))))</f>
        <v>Lunas</v>
      </c>
      <c r="Q677" s="50"/>
      <c r="R677" s="39" t="str">
        <f aca="false">IF(M677&lt;=0,"",IF(O677&gt;60,"1-Tinggi",IF(O677&gt;30,"2-Sedang",IF(O677&gt;0,"3-Rendah","4-Pantau"))))</f>
        <v/>
      </c>
      <c r="S677" s="39" t="str">
        <f aca="false">IF(AND(M677&gt;0,O677&gt;0),O677+M677/1000000000000+ROW()/1000000000000000,"")</f>
        <v/>
      </c>
      <c r="T677" s="39" t="str">
        <f aca="false">IF(J677="Belum ditukar",ROW(),"")</f>
        <v/>
      </c>
    </row>
    <row r="678" customFormat="false" ht="15" hidden="false" customHeight="false" outlineLevel="0" collapsed="false">
      <c r="A678" s="50" t="s">
        <v>959</v>
      </c>
      <c r="B678" s="51" t="n">
        <v>45803</v>
      </c>
      <c r="C678" s="50" t="s">
        <v>419</v>
      </c>
      <c r="D678" s="39" t="str">
        <f aca="false">INDEX(Master_Customer!$B$2:$B$126,MATCH(C678,Master_Customer!$A$2:$A$126,0))</f>
        <v>UTAMA MOTOR</v>
      </c>
      <c r="E678" s="50" t="s">
        <v>32</v>
      </c>
      <c r="F678" s="52" t="n">
        <f aca="false">SUMIFS(Data_Penjualan!$G$2:$G$5998,Data_Penjualan!$A$2:$A$5998,A678)</f>
        <v>18954900</v>
      </c>
      <c r="G678" s="39" t="n">
        <f aca="false">IF(E678="KANTOR",0,INDEX(Master_Customer!$C$2:$C$126,MATCH(C678,Master_Customer!$A$2:$A$126,0)))</f>
        <v>0</v>
      </c>
      <c r="H678" s="53" t="n">
        <f aca="false">B678+G678</f>
        <v>45803</v>
      </c>
      <c r="J678" s="39" t="str">
        <f aca="false">IF(G678=0,"Tunai",IF(I678="","Belum ditukar","Sudah ditukar"))</f>
        <v>Tunai</v>
      </c>
      <c r="K678" s="54" t="n">
        <v>18954900</v>
      </c>
      <c r="L678" s="51" t="n">
        <v>45803</v>
      </c>
      <c r="M678" s="52" t="n">
        <f aca="false">F678-K678</f>
        <v>0</v>
      </c>
      <c r="N678" s="39" t="str">
        <f aca="false">IF(M678&lt;=0,"Lunas",IF(K678&gt;0,"Sebagian","Belum Bayar"))</f>
        <v>Lunas</v>
      </c>
      <c r="O678" s="39" t="n">
        <f aca="false">IF(M678&gt;0,MAX(0,Catatan!$B$3-H678),0)</f>
        <v>0</v>
      </c>
      <c r="P678" s="39" t="str">
        <f aca="false">IF(M678&lt;=0,"Lunas",IF(Catatan!$B$3&lt;=H678,"Belum Jatuh Tempo",IF(O678&lt;=30,"1-30 hari",IF(O678&lt;=60,"31-60 hari",IF(O678&lt;=90,"61-90 hari","90+ hari")))))</f>
        <v>Lunas</v>
      </c>
      <c r="Q678" s="50"/>
      <c r="R678" s="39" t="str">
        <f aca="false">IF(M678&lt;=0,"",IF(O678&gt;60,"1-Tinggi",IF(O678&gt;30,"2-Sedang",IF(O678&gt;0,"3-Rendah","4-Pantau"))))</f>
        <v/>
      </c>
      <c r="S678" s="39" t="str">
        <f aca="false">IF(AND(M678&gt;0,O678&gt;0),O678+M678/1000000000000+ROW()/1000000000000000,"")</f>
        <v/>
      </c>
      <c r="T678" s="39" t="str">
        <f aca="false">IF(J678="Belum ditukar",ROW(),"")</f>
        <v/>
      </c>
    </row>
    <row r="679" customFormat="false" ht="15" hidden="false" customHeight="false" outlineLevel="0" collapsed="false">
      <c r="A679" s="50" t="s">
        <v>960</v>
      </c>
      <c r="B679" s="51" t="n">
        <v>45803</v>
      </c>
      <c r="C679" s="50" t="s">
        <v>197</v>
      </c>
      <c r="D679" s="39" t="str">
        <f aca="false">INDEX(Master_Customer!$B$2:$B$126,MATCH(C679,Master_Customer!$A$2:$A$126,0))</f>
        <v>UTAMA LUBRICANT HARAPAN</v>
      </c>
      <c r="E679" s="50" t="s">
        <v>30</v>
      </c>
      <c r="F679" s="52" t="n">
        <f aca="false">SUMIFS(Data_Penjualan!$G$2:$G$5998,Data_Penjualan!$A$2:$A$5998,A679)</f>
        <v>6099200</v>
      </c>
      <c r="G679" s="39" t="n">
        <f aca="false">IF(E679="KANTOR",0,INDEX(Master_Customer!$C$2:$C$126,MATCH(C679,Master_Customer!$A$2:$A$126,0)))</f>
        <v>30</v>
      </c>
      <c r="H679" s="53" t="n">
        <f aca="false">B679+G679</f>
        <v>45833</v>
      </c>
      <c r="I679" s="51" t="n">
        <v>45805</v>
      </c>
      <c r="J679" s="39" t="str">
        <f aca="false">IF(G679=0,"Tunai",IF(I679="","Belum ditukar","Sudah ditukar"))</f>
        <v>Sudah ditukar</v>
      </c>
      <c r="K679" s="54" t="n">
        <v>6099200</v>
      </c>
      <c r="L679" s="51" t="n">
        <v>45833</v>
      </c>
      <c r="M679" s="52" t="n">
        <f aca="false">F679-K679</f>
        <v>0</v>
      </c>
      <c r="N679" s="39" t="str">
        <f aca="false">IF(M679&lt;=0,"Lunas",IF(K679&gt;0,"Sebagian","Belum Bayar"))</f>
        <v>Lunas</v>
      </c>
      <c r="O679" s="39" t="n">
        <f aca="false">IF(M679&gt;0,MAX(0,Catatan!$B$3-H679),0)</f>
        <v>0</v>
      </c>
      <c r="P679" s="39" t="str">
        <f aca="false">IF(M679&lt;=0,"Lunas",IF(Catatan!$B$3&lt;=H679,"Belum Jatuh Tempo",IF(O679&lt;=30,"1-30 hari",IF(O679&lt;=60,"31-60 hari",IF(O679&lt;=90,"61-90 hari","90+ hari")))))</f>
        <v>Lunas</v>
      </c>
      <c r="Q679" s="50"/>
      <c r="R679" s="39" t="str">
        <f aca="false">IF(M679&lt;=0,"",IF(O679&gt;60,"1-Tinggi",IF(O679&gt;30,"2-Sedang",IF(O679&gt;0,"3-Rendah","4-Pantau"))))</f>
        <v/>
      </c>
      <c r="S679" s="39" t="str">
        <f aca="false">IF(AND(M679&gt;0,O679&gt;0),O679+M679/1000000000000+ROW()/1000000000000000,"")</f>
        <v/>
      </c>
      <c r="T679" s="39" t="str">
        <f aca="false">IF(J679="Belum ditukar",ROW(),"")</f>
        <v/>
      </c>
    </row>
    <row r="680" customFormat="false" ht="15" hidden="false" customHeight="false" outlineLevel="0" collapsed="false">
      <c r="A680" s="50" t="s">
        <v>961</v>
      </c>
      <c r="B680" s="51" t="n">
        <v>45803</v>
      </c>
      <c r="C680" s="50" t="s">
        <v>962</v>
      </c>
      <c r="D680" s="39" t="str">
        <f aca="false">INDEX(Master_Customer!$B$2:$B$126,MATCH(C680,Master_Customer!$A$2:$A$126,0))</f>
        <v>ABADI OLI</v>
      </c>
      <c r="E680" s="50" t="s">
        <v>28</v>
      </c>
      <c r="F680" s="52" t="n">
        <f aca="false">SUMIFS(Data_Penjualan!$G$2:$G$5998,Data_Penjualan!$A$2:$A$5998,A680)</f>
        <v>10104100</v>
      </c>
      <c r="G680" s="39" t="n">
        <f aca="false">IF(E680="KANTOR",0,INDEX(Master_Customer!$C$2:$C$126,MATCH(C680,Master_Customer!$A$2:$A$126,0)))</f>
        <v>14</v>
      </c>
      <c r="H680" s="53" t="n">
        <f aca="false">B680+G680</f>
        <v>45817</v>
      </c>
      <c r="I680" s="51" t="n">
        <v>45805</v>
      </c>
      <c r="J680" s="39" t="str">
        <f aca="false">IF(G680=0,"Tunai",IF(I680="","Belum ditukar","Sudah ditukar"))</f>
        <v>Sudah ditukar</v>
      </c>
      <c r="K680" s="54" t="n">
        <v>10104100</v>
      </c>
      <c r="L680" s="51" t="n">
        <v>45824</v>
      </c>
      <c r="M680" s="52" t="n">
        <f aca="false">F680-K680</f>
        <v>0</v>
      </c>
      <c r="N680" s="39" t="str">
        <f aca="false">IF(M680&lt;=0,"Lunas",IF(K680&gt;0,"Sebagian","Belum Bayar"))</f>
        <v>Lunas</v>
      </c>
      <c r="O680" s="39" t="n">
        <f aca="false">IF(M680&gt;0,MAX(0,Catatan!$B$3-H680),0)</f>
        <v>0</v>
      </c>
      <c r="P680" s="39" t="str">
        <f aca="false">IF(M680&lt;=0,"Lunas",IF(Catatan!$B$3&lt;=H680,"Belum Jatuh Tempo",IF(O680&lt;=30,"1-30 hari",IF(O680&lt;=60,"31-60 hari",IF(O680&lt;=90,"61-90 hari","90+ hari")))))</f>
        <v>Lunas</v>
      </c>
      <c r="Q680" s="50"/>
      <c r="R680" s="39" t="str">
        <f aca="false">IF(M680&lt;=0,"",IF(O680&gt;60,"1-Tinggi",IF(O680&gt;30,"2-Sedang",IF(O680&gt;0,"3-Rendah","4-Pantau"))))</f>
        <v/>
      </c>
      <c r="S680" s="39" t="str">
        <f aca="false">IF(AND(M680&gt;0,O680&gt;0),O680+M680/1000000000000+ROW()/1000000000000000,"")</f>
        <v/>
      </c>
      <c r="T680" s="39" t="str">
        <f aca="false">IF(J680="Belum ditukar",ROW(),"")</f>
        <v/>
      </c>
    </row>
    <row r="681" customFormat="false" ht="15" hidden="false" customHeight="false" outlineLevel="0" collapsed="false">
      <c r="A681" s="50" t="s">
        <v>963</v>
      </c>
      <c r="B681" s="51" t="n">
        <v>45803</v>
      </c>
      <c r="C681" s="50" t="s">
        <v>271</v>
      </c>
      <c r="D681" s="39" t="str">
        <f aca="false">INDEX(Master_Customer!$B$2:$B$126,MATCH(C681,Master_Customer!$A$2:$A$126,0))</f>
        <v>CAHAYA MOTOR</v>
      </c>
      <c r="E681" s="50" t="s">
        <v>28</v>
      </c>
      <c r="F681" s="52" t="n">
        <f aca="false">SUMIFS(Data_Penjualan!$G$2:$G$5998,Data_Penjualan!$A$2:$A$5998,A681)</f>
        <v>8845600</v>
      </c>
      <c r="G681" s="39" t="n">
        <f aca="false">IF(E681="KANTOR",0,INDEX(Master_Customer!$C$2:$C$126,MATCH(C681,Master_Customer!$A$2:$A$126,0)))</f>
        <v>14</v>
      </c>
      <c r="H681" s="53" t="n">
        <f aca="false">B681+G681</f>
        <v>45817</v>
      </c>
      <c r="I681" s="51" t="n">
        <v>45807</v>
      </c>
      <c r="J681" s="39" t="str">
        <f aca="false">IF(G681=0,"Tunai",IF(I681="","Belum ditukar","Sudah ditukar"))</f>
        <v>Sudah ditukar</v>
      </c>
      <c r="K681" s="54" t="n">
        <v>8845600</v>
      </c>
      <c r="L681" s="51" t="n">
        <v>45817</v>
      </c>
      <c r="M681" s="52" t="n">
        <f aca="false">F681-K681</f>
        <v>0</v>
      </c>
      <c r="N681" s="39" t="str">
        <f aca="false">IF(M681&lt;=0,"Lunas",IF(K681&gt;0,"Sebagian","Belum Bayar"))</f>
        <v>Lunas</v>
      </c>
      <c r="O681" s="39" t="n">
        <f aca="false">IF(M681&gt;0,MAX(0,Catatan!$B$3-H681),0)</f>
        <v>0</v>
      </c>
      <c r="P681" s="39" t="str">
        <f aca="false">IF(M681&lt;=0,"Lunas",IF(Catatan!$B$3&lt;=H681,"Belum Jatuh Tempo",IF(O681&lt;=30,"1-30 hari",IF(O681&lt;=60,"31-60 hari",IF(O681&lt;=90,"61-90 hari","90+ hari")))))</f>
        <v>Lunas</v>
      </c>
      <c r="Q681" s="50"/>
      <c r="R681" s="39" t="str">
        <f aca="false">IF(M681&lt;=0,"",IF(O681&gt;60,"1-Tinggi",IF(O681&gt;30,"2-Sedang",IF(O681&gt;0,"3-Rendah","4-Pantau"))))</f>
        <v/>
      </c>
      <c r="S681" s="39" t="str">
        <f aca="false">IF(AND(M681&gt;0,O681&gt;0),O681+M681/1000000000000+ROW()/1000000000000000,"")</f>
        <v/>
      </c>
      <c r="T681" s="39" t="str">
        <f aca="false">IF(J681="Belum ditukar",ROW(),"")</f>
        <v/>
      </c>
    </row>
    <row r="682" customFormat="false" ht="15" hidden="false" customHeight="false" outlineLevel="0" collapsed="false">
      <c r="A682" s="50" t="s">
        <v>964</v>
      </c>
      <c r="B682" s="51" t="n">
        <v>45804</v>
      </c>
      <c r="C682" s="50" t="s">
        <v>358</v>
      </c>
      <c r="D682" s="39" t="str">
        <f aca="false">INDEX(Master_Customer!$B$2:$B$126,MATCH(C682,Master_Customer!$A$2:$A$126,0))</f>
        <v>HARAPAN TEKNIK</v>
      </c>
      <c r="E682" s="50" t="s">
        <v>31</v>
      </c>
      <c r="F682" s="52" t="n">
        <f aca="false">SUMIFS(Data_Penjualan!$G$2:$G$5998,Data_Penjualan!$A$2:$A$5998,A682)</f>
        <v>3540900</v>
      </c>
      <c r="G682" s="39" t="n">
        <f aca="false">IF(E682="KANTOR",0,INDEX(Master_Customer!$C$2:$C$126,MATCH(C682,Master_Customer!$A$2:$A$126,0)))</f>
        <v>0</v>
      </c>
      <c r="H682" s="53" t="n">
        <f aca="false">B682+G682</f>
        <v>45804</v>
      </c>
      <c r="J682" s="39" t="str">
        <f aca="false">IF(G682=0,"Tunai",IF(I682="","Belum ditukar","Sudah ditukar"))</f>
        <v>Tunai</v>
      </c>
      <c r="K682" s="54" t="n">
        <v>3540900</v>
      </c>
      <c r="L682" s="51" t="n">
        <v>45805</v>
      </c>
      <c r="M682" s="52" t="n">
        <f aca="false">F682-K682</f>
        <v>0</v>
      </c>
      <c r="N682" s="39" t="str">
        <f aca="false">IF(M682&lt;=0,"Lunas",IF(K682&gt;0,"Sebagian","Belum Bayar"))</f>
        <v>Lunas</v>
      </c>
      <c r="O682" s="39" t="n">
        <f aca="false">IF(M682&gt;0,MAX(0,Catatan!$B$3-H682),0)</f>
        <v>0</v>
      </c>
      <c r="P682" s="39" t="str">
        <f aca="false">IF(M682&lt;=0,"Lunas",IF(Catatan!$B$3&lt;=H682,"Belum Jatuh Tempo",IF(O682&lt;=30,"1-30 hari",IF(O682&lt;=60,"31-60 hari",IF(O682&lt;=90,"61-90 hari","90+ hari")))))</f>
        <v>Lunas</v>
      </c>
      <c r="Q682" s="50"/>
      <c r="R682" s="39" t="str">
        <f aca="false">IF(M682&lt;=0,"",IF(O682&gt;60,"1-Tinggi",IF(O682&gt;30,"2-Sedang",IF(O682&gt;0,"3-Rendah","4-Pantau"))))</f>
        <v/>
      </c>
      <c r="S682" s="39" t="str">
        <f aca="false">IF(AND(M682&gt;0,O682&gt;0),O682+M682/1000000000000+ROW()/1000000000000000,"")</f>
        <v/>
      </c>
      <c r="T682" s="39" t="str">
        <f aca="false">IF(J682="Belum ditukar",ROW(),"")</f>
        <v/>
      </c>
    </row>
    <row r="683" customFormat="false" ht="15" hidden="false" customHeight="false" outlineLevel="0" collapsed="false">
      <c r="A683" s="50" t="s">
        <v>965</v>
      </c>
      <c r="B683" s="51" t="n">
        <v>45804</v>
      </c>
      <c r="C683" s="50" t="s">
        <v>205</v>
      </c>
      <c r="D683" s="39" t="str">
        <f aca="false">INDEX(Master_Customer!$B$2:$B$126,MATCH(C683,Master_Customer!$A$2:$A$126,0))</f>
        <v>BERKAH OLI</v>
      </c>
      <c r="E683" s="50" t="s">
        <v>28</v>
      </c>
      <c r="F683" s="52" t="n">
        <f aca="false">SUMIFS(Data_Penjualan!$G$2:$G$5998,Data_Penjualan!$A$2:$A$5998,A683)</f>
        <v>4800200</v>
      </c>
      <c r="G683" s="39" t="n">
        <f aca="false">IF(E683="KANTOR",0,INDEX(Master_Customer!$C$2:$C$126,MATCH(C683,Master_Customer!$A$2:$A$126,0)))</f>
        <v>0</v>
      </c>
      <c r="H683" s="53" t="n">
        <f aca="false">B683+G683</f>
        <v>45804</v>
      </c>
      <c r="J683" s="39" t="str">
        <f aca="false">IF(G683=0,"Tunai",IF(I683="","Belum ditukar","Sudah ditukar"))</f>
        <v>Tunai</v>
      </c>
      <c r="K683" s="54" t="n">
        <v>4800200</v>
      </c>
      <c r="L683" s="51" t="n">
        <v>45806</v>
      </c>
      <c r="M683" s="52" t="n">
        <f aca="false">F683-K683</f>
        <v>0</v>
      </c>
      <c r="N683" s="39" t="str">
        <f aca="false">IF(M683&lt;=0,"Lunas",IF(K683&gt;0,"Sebagian","Belum Bayar"))</f>
        <v>Lunas</v>
      </c>
      <c r="O683" s="39" t="n">
        <f aca="false">IF(M683&gt;0,MAX(0,Catatan!$B$3-H683),0)</f>
        <v>0</v>
      </c>
      <c r="P683" s="39" t="str">
        <f aca="false">IF(M683&lt;=0,"Lunas",IF(Catatan!$B$3&lt;=H683,"Belum Jatuh Tempo",IF(O683&lt;=30,"1-30 hari",IF(O683&lt;=60,"31-60 hari",IF(O683&lt;=90,"61-90 hari","90+ hari")))))</f>
        <v>Lunas</v>
      </c>
      <c r="Q683" s="50"/>
      <c r="R683" s="39" t="str">
        <f aca="false">IF(M683&lt;=0,"",IF(O683&gt;60,"1-Tinggi",IF(O683&gt;30,"2-Sedang",IF(O683&gt;0,"3-Rendah","4-Pantau"))))</f>
        <v/>
      </c>
      <c r="S683" s="39" t="str">
        <f aca="false">IF(AND(M683&gt;0,O683&gt;0),O683+M683/1000000000000+ROW()/1000000000000000,"")</f>
        <v/>
      </c>
      <c r="T683" s="39" t="str">
        <f aca="false">IF(J683="Belum ditukar",ROW(),"")</f>
        <v/>
      </c>
    </row>
    <row r="684" customFormat="false" ht="15" hidden="false" customHeight="false" outlineLevel="0" collapsed="false">
      <c r="A684" s="50" t="s">
        <v>966</v>
      </c>
      <c r="B684" s="51" t="n">
        <v>45804</v>
      </c>
      <c r="C684" s="50" t="s">
        <v>967</v>
      </c>
      <c r="D684" s="39" t="str">
        <f aca="false">INDEX(Master_Customer!$B$2:$B$126,MATCH(C684,Master_Customer!$A$2:$A$126,0))</f>
        <v>MAKMUR SPAREPART GEMILANG</v>
      </c>
      <c r="E684" s="50" t="s">
        <v>32</v>
      </c>
      <c r="F684" s="52" t="n">
        <f aca="false">SUMIFS(Data_Penjualan!$G$2:$G$5998,Data_Penjualan!$A$2:$A$5998,A684)</f>
        <v>12140900</v>
      </c>
      <c r="G684" s="39" t="n">
        <f aca="false">IF(E684="KANTOR",0,INDEX(Master_Customer!$C$2:$C$126,MATCH(C684,Master_Customer!$A$2:$A$126,0)))</f>
        <v>0</v>
      </c>
      <c r="H684" s="53" t="n">
        <f aca="false">B684+G684</f>
        <v>45804</v>
      </c>
      <c r="J684" s="39" t="str">
        <f aca="false">IF(G684=0,"Tunai",IF(I684="","Belum ditukar","Sudah ditukar"))</f>
        <v>Tunai</v>
      </c>
      <c r="K684" s="54" t="n">
        <v>12140900</v>
      </c>
      <c r="L684" s="51" t="n">
        <v>45804</v>
      </c>
      <c r="M684" s="52" t="n">
        <f aca="false">F684-K684</f>
        <v>0</v>
      </c>
      <c r="N684" s="39" t="str">
        <f aca="false">IF(M684&lt;=0,"Lunas",IF(K684&gt;0,"Sebagian","Belum Bayar"))</f>
        <v>Lunas</v>
      </c>
      <c r="O684" s="39" t="n">
        <f aca="false">IF(M684&gt;0,MAX(0,Catatan!$B$3-H684),0)</f>
        <v>0</v>
      </c>
      <c r="P684" s="39" t="str">
        <f aca="false">IF(M684&lt;=0,"Lunas",IF(Catatan!$B$3&lt;=H684,"Belum Jatuh Tempo",IF(O684&lt;=30,"1-30 hari",IF(O684&lt;=60,"31-60 hari",IF(O684&lt;=90,"61-90 hari","90+ hari")))))</f>
        <v>Lunas</v>
      </c>
      <c r="Q684" s="50"/>
      <c r="R684" s="39" t="str">
        <f aca="false">IF(M684&lt;=0,"",IF(O684&gt;60,"1-Tinggi",IF(O684&gt;30,"2-Sedang",IF(O684&gt;0,"3-Rendah","4-Pantau"))))</f>
        <v/>
      </c>
      <c r="S684" s="39" t="str">
        <f aca="false">IF(AND(M684&gt;0,O684&gt;0),O684+M684/1000000000000+ROW()/1000000000000000,"")</f>
        <v/>
      </c>
      <c r="T684" s="39" t="str">
        <f aca="false">IF(J684="Belum ditukar",ROW(),"")</f>
        <v/>
      </c>
    </row>
    <row r="685" customFormat="false" ht="15" hidden="false" customHeight="false" outlineLevel="0" collapsed="false">
      <c r="A685" s="50" t="s">
        <v>968</v>
      </c>
      <c r="B685" s="51" t="n">
        <v>45804</v>
      </c>
      <c r="C685" s="50" t="s">
        <v>241</v>
      </c>
      <c r="D685" s="39" t="str">
        <f aca="false">INDEX(Master_Customer!$B$2:$B$126,MATCH(C685,Master_Customer!$A$2:$A$126,0))</f>
        <v>GEMILANG GARAGE TIRTA</v>
      </c>
      <c r="E685" s="50" t="s">
        <v>32</v>
      </c>
      <c r="F685" s="52" t="n">
        <f aca="false">SUMIFS(Data_Penjualan!$G$2:$G$5998,Data_Penjualan!$A$2:$A$5998,A685)</f>
        <v>17558500</v>
      </c>
      <c r="G685" s="39" t="n">
        <f aca="false">IF(E685="KANTOR",0,INDEX(Master_Customer!$C$2:$C$126,MATCH(C685,Master_Customer!$A$2:$A$126,0)))</f>
        <v>0</v>
      </c>
      <c r="H685" s="53" t="n">
        <f aca="false">B685+G685</f>
        <v>45804</v>
      </c>
      <c r="J685" s="39" t="str">
        <f aca="false">IF(G685=0,"Tunai",IF(I685="","Belum ditukar","Sudah ditukar"))</f>
        <v>Tunai</v>
      </c>
      <c r="K685" s="54" t="n">
        <v>17558500</v>
      </c>
      <c r="L685" s="51" t="n">
        <v>45805</v>
      </c>
      <c r="M685" s="52" t="n">
        <f aca="false">F685-K685</f>
        <v>0</v>
      </c>
      <c r="N685" s="39" t="str">
        <f aca="false">IF(M685&lt;=0,"Lunas",IF(K685&gt;0,"Sebagian","Belum Bayar"))</f>
        <v>Lunas</v>
      </c>
      <c r="O685" s="39" t="n">
        <f aca="false">IF(M685&gt;0,MAX(0,Catatan!$B$3-H685),0)</f>
        <v>0</v>
      </c>
      <c r="P685" s="39" t="str">
        <f aca="false">IF(M685&lt;=0,"Lunas",IF(Catatan!$B$3&lt;=H685,"Belum Jatuh Tempo",IF(O685&lt;=30,"1-30 hari",IF(O685&lt;=60,"31-60 hari",IF(O685&lt;=90,"61-90 hari","90+ hari")))))</f>
        <v>Lunas</v>
      </c>
      <c r="Q685" s="50"/>
      <c r="R685" s="39" t="str">
        <f aca="false">IF(M685&lt;=0,"",IF(O685&gt;60,"1-Tinggi",IF(O685&gt;30,"2-Sedang",IF(O685&gt;0,"3-Rendah","4-Pantau"))))</f>
        <v/>
      </c>
      <c r="S685" s="39" t="str">
        <f aca="false">IF(AND(M685&gt;0,O685&gt;0),O685+M685/1000000000000+ROW()/1000000000000000,"")</f>
        <v/>
      </c>
      <c r="T685" s="39" t="str">
        <f aca="false">IF(J685="Belum ditukar",ROW(),"")</f>
        <v/>
      </c>
    </row>
    <row r="686" customFormat="false" ht="15" hidden="false" customHeight="false" outlineLevel="0" collapsed="false">
      <c r="A686" s="50" t="s">
        <v>969</v>
      </c>
      <c r="B686" s="51" t="n">
        <v>45804</v>
      </c>
      <c r="C686" s="50" t="s">
        <v>419</v>
      </c>
      <c r="D686" s="39" t="str">
        <f aca="false">INDEX(Master_Customer!$B$2:$B$126,MATCH(C686,Master_Customer!$A$2:$A$126,0))</f>
        <v>UTAMA MOTOR</v>
      </c>
      <c r="E686" s="50" t="s">
        <v>30</v>
      </c>
      <c r="F686" s="52" t="n">
        <f aca="false">SUMIFS(Data_Penjualan!$G$2:$G$5998,Data_Penjualan!$A$2:$A$5998,A686)</f>
        <v>5376200</v>
      </c>
      <c r="G686" s="39" t="n">
        <f aca="false">IF(E686="KANTOR",0,INDEX(Master_Customer!$C$2:$C$126,MATCH(C686,Master_Customer!$A$2:$A$126,0)))</f>
        <v>14</v>
      </c>
      <c r="H686" s="53" t="n">
        <f aca="false">B686+G686</f>
        <v>45818</v>
      </c>
      <c r="I686" s="51" t="n">
        <v>45807</v>
      </c>
      <c r="J686" s="39" t="str">
        <f aca="false">IF(G686=0,"Tunai",IF(I686="","Belum ditukar","Sudah ditukar"))</f>
        <v>Sudah ditukar</v>
      </c>
      <c r="K686" s="54" t="n">
        <v>5376200</v>
      </c>
      <c r="L686" s="51" t="n">
        <v>45817</v>
      </c>
      <c r="M686" s="52" t="n">
        <f aca="false">F686-K686</f>
        <v>0</v>
      </c>
      <c r="N686" s="39" t="str">
        <f aca="false">IF(M686&lt;=0,"Lunas",IF(K686&gt;0,"Sebagian","Belum Bayar"))</f>
        <v>Lunas</v>
      </c>
      <c r="O686" s="39" t="n">
        <f aca="false">IF(M686&gt;0,MAX(0,Catatan!$B$3-H686),0)</f>
        <v>0</v>
      </c>
      <c r="P686" s="39" t="str">
        <f aca="false">IF(M686&lt;=0,"Lunas",IF(Catatan!$B$3&lt;=H686,"Belum Jatuh Tempo",IF(O686&lt;=30,"1-30 hari",IF(O686&lt;=60,"31-60 hari",IF(O686&lt;=90,"61-90 hari","90+ hari")))))</f>
        <v>Lunas</v>
      </c>
      <c r="Q686" s="50"/>
      <c r="R686" s="39" t="str">
        <f aca="false">IF(M686&lt;=0,"",IF(O686&gt;60,"1-Tinggi",IF(O686&gt;30,"2-Sedang",IF(O686&gt;0,"3-Rendah","4-Pantau"))))</f>
        <v/>
      </c>
      <c r="S686" s="39" t="str">
        <f aca="false">IF(AND(M686&gt;0,O686&gt;0),O686+M686/1000000000000+ROW()/1000000000000000,"")</f>
        <v/>
      </c>
      <c r="T686" s="39" t="str">
        <f aca="false">IF(J686="Belum ditukar",ROW(),"")</f>
        <v/>
      </c>
    </row>
    <row r="687" customFormat="false" ht="15" hidden="false" customHeight="false" outlineLevel="0" collapsed="false">
      <c r="A687" s="50" t="s">
        <v>970</v>
      </c>
      <c r="B687" s="51" t="n">
        <v>45804</v>
      </c>
      <c r="C687" s="50" t="s">
        <v>308</v>
      </c>
      <c r="D687" s="39" t="str">
        <f aca="false">INDEX(Master_Customer!$B$2:$B$126,MATCH(C687,Master_Customer!$A$2:$A$126,0))</f>
        <v>CAHAYA MOBIL</v>
      </c>
      <c r="E687" s="50" t="s">
        <v>31</v>
      </c>
      <c r="F687" s="52" t="n">
        <f aca="false">SUMIFS(Data_Penjualan!$G$2:$G$5998,Data_Penjualan!$A$2:$A$5998,A687)</f>
        <v>15249800</v>
      </c>
      <c r="G687" s="39" t="n">
        <f aca="false">IF(E687="KANTOR",0,INDEX(Master_Customer!$C$2:$C$126,MATCH(C687,Master_Customer!$A$2:$A$126,0)))</f>
        <v>14</v>
      </c>
      <c r="H687" s="53" t="n">
        <f aca="false">B687+G687</f>
        <v>45818</v>
      </c>
      <c r="I687" s="51" t="n">
        <v>45808</v>
      </c>
      <c r="J687" s="39" t="str">
        <f aca="false">IF(G687=0,"Tunai",IF(I687="","Belum ditukar","Sudah ditukar"))</f>
        <v>Sudah ditukar</v>
      </c>
      <c r="K687" s="54" t="n">
        <v>15249800</v>
      </c>
      <c r="L687" s="51" t="n">
        <v>45814</v>
      </c>
      <c r="M687" s="52" t="n">
        <f aca="false">F687-K687</f>
        <v>0</v>
      </c>
      <c r="N687" s="39" t="str">
        <f aca="false">IF(M687&lt;=0,"Lunas",IF(K687&gt;0,"Sebagian","Belum Bayar"))</f>
        <v>Lunas</v>
      </c>
      <c r="O687" s="39" t="n">
        <f aca="false">IF(M687&gt;0,MAX(0,Catatan!$B$3-H687),0)</f>
        <v>0</v>
      </c>
      <c r="P687" s="39" t="str">
        <f aca="false">IF(M687&lt;=0,"Lunas",IF(Catatan!$B$3&lt;=H687,"Belum Jatuh Tempo",IF(O687&lt;=30,"1-30 hari",IF(O687&lt;=60,"31-60 hari",IF(O687&lt;=90,"61-90 hari","90+ hari")))))</f>
        <v>Lunas</v>
      </c>
      <c r="Q687" s="50"/>
      <c r="R687" s="39" t="str">
        <f aca="false">IF(M687&lt;=0,"",IF(O687&gt;60,"1-Tinggi",IF(O687&gt;30,"2-Sedang",IF(O687&gt;0,"3-Rendah","4-Pantau"))))</f>
        <v/>
      </c>
      <c r="S687" s="39" t="str">
        <f aca="false">IF(AND(M687&gt;0,O687&gt;0),O687+M687/1000000000000+ROW()/1000000000000000,"")</f>
        <v/>
      </c>
      <c r="T687" s="39" t="str">
        <f aca="false">IF(J687="Belum ditukar",ROW(),"")</f>
        <v/>
      </c>
    </row>
    <row r="688" customFormat="false" ht="15" hidden="false" customHeight="false" outlineLevel="0" collapsed="false">
      <c r="A688" s="50" t="s">
        <v>971</v>
      </c>
      <c r="B688" s="51" t="n">
        <v>45804</v>
      </c>
      <c r="C688" s="50" t="s">
        <v>491</v>
      </c>
      <c r="D688" s="39" t="str">
        <f aca="false">INDEX(Master_Customer!$B$2:$B$126,MATCH(C688,Master_Customer!$A$2:$A$126,0))</f>
        <v>SINAR SERVICE</v>
      </c>
      <c r="E688" s="50" t="s">
        <v>31</v>
      </c>
      <c r="F688" s="52" t="n">
        <f aca="false">SUMIFS(Data_Penjualan!$G$2:$G$5998,Data_Penjualan!$A$2:$A$5998,A688)</f>
        <v>12716200</v>
      </c>
      <c r="G688" s="39" t="n">
        <f aca="false">IF(E688="KANTOR",0,INDEX(Master_Customer!$C$2:$C$126,MATCH(C688,Master_Customer!$A$2:$A$126,0)))</f>
        <v>0</v>
      </c>
      <c r="H688" s="53" t="n">
        <f aca="false">B688+G688</f>
        <v>45804</v>
      </c>
      <c r="J688" s="39" t="str">
        <f aca="false">IF(G688=0,"Tunai",IF(I688="","Belum ditukar","Sudah ditukar"))</f>
        <v>Tunai</v>
      </c>
      <c r="K688" s="54" t="n">
        <v>12716200</v>
      </c>
      <c r="L688" s="51" t="n">
        <v>45805</v>
      </c>
      <c r="M688" s="52" t="n">
        <f aca="false">F688-K688</f>
        <v>0</v>
      </c>
      <c r="N688" s="39" t="str">
        <f aca="false">IF(M688&lt;=0,"Lunas",IF(K688&gt;0,"Sebagian","Belum Bayar"))</f>
        <v>Lunas</v>
      </c>
      <c r="O688" s="39" t="n">
        <f aca="false">IF(M688&gt;0,MAX(0,Catatan!$B$3-H688),0)</f>
        <v>0</v>
      </c>
      <c r="P688" s="39" t="str">
        <f aca="false">IF(M688&lt;=0,"Lunas",IF(Catatan!$B$3&lt;=H688,"Belum Jatuh Tempo",IF(O688&lt;=30,"1-30 hari",IF(O688&lt;=60,"31-60 hari",IF(O688&lt;=90,"61-90 hari","90+ hari")))))</f>
        <v>Lunas</v>
      </c>
      <c r="Q688" s="50"/>
      <c r="R688" s="39" t="str">
        <f aca="false">IF(M688&lt;=0,"",IF(O688&gt;60,"1-Tinggi",IF(O688&gt;30,"2-Sedang",IF(O688&gt;0,"3-Rendah","4-Pantau"))))</f>
        <v/>
      </c>
      <c r="S688" s="39" t="str">
        <f aca="false">IF(AND(M688&gt;0,O688&gt;0),O688+M688/1000000000000+ROW()/1000000000000000,"")</f>
        <v/>
      </c>
      <c r="T688" s="39" t="str">
        <f aca="false">IF(J688="Belum ditukar",ROW(),"")</f>
        <v/>
      </c>
    </row>
    <row r="689" customFormat="false" ht="15" hidden="false" customHeight="false" outlineLevel="0" collapsed="false">
      <c r="A689" s="50" t="s">
        <v>972</v>
      </c>
      <c r="B689" s="51" t="n">
        <v>45804</v>
      </c>
      <c r="C689" s="50" t="s">
        <v>419</v>
      </c>
      <c r="D689" s="39" t="str">
        <f aca="false">INDEX(Master_Customer!$B$2:$B$126,MATCH(C689,Master_Customer!$A$2:$A$126,0))</f>
        <v>UTAMA MOTOR</v>
      </c>
      <c r="E689" s="50" t="s">
        <v>30</v>
      </c>
      <c r="F689" s="52" t="n">
        <f aca="false">SUMIFS(Data_Penjualan!$G$2:$G$5998,Data_Penjualan!$A$2:$A$5998,A689)</f>
        <v>480900</v>
      </c>
      <c r="G689" s="39" t="n">
        <f aca="false">IF(E689="KANTOR",0,INDEX(Master_Customer!$C$2:$C$126,MATCH(C689,Master_Customer!$A$2:$A$126,0)))</f>
        <v>14</v>
      </c>
      <c r="H689" s="53" t="n">
        <f aca="false">B689+G689</f>
        <v>45818</v>
      </c>
      <c r="I689" s="51" t="n">
        <v>45808</v>
      </c>
      <c r="J689" s="39" t="str">
        <f aca="false">IF(G689=0,"Tunai",IF(I689="","Belum ditukar","Sudah ditukar"))</f>
        <v>Sudah ditukar</v>
      </c>
      <c r="K689" s="54" t="n">
        <v>480900</v>
      </c>
      <c r="L689" s="51" t="n">
        <v>45815</v>
      </c>
      <c r="M689" s="52" t="n">
        <f aca="false">F689-K689</f>
        <v>0</v>
      </c>
      <c r="N689" s="39" t="str">
        <f aca="false">IF(M689&lt;=0,"Lunas",IF(K689&gt;0,"Sebagian","Belum Bayar"))</f>
        <v>Lunas</v>
      </c>
      <c r="O689" s="39" t="n">
        <f aca="false">IF(M689&gt;0,MAX(0,Catatan!$B$3-H689),0)</f>
        <v>0</v>
      </c>
      <c r="P689" s="39" t="str">
        <f aca="false">IF(M689&lt;=0,"Lunas",IF(Catatan!$B$3&lt;=H689,"Belum Jatuh Tempo",IF(O689&lt;=30,"1-30 hari",IF(O689&lt;=60,"31-60 hari",IF(O689&lt;=90,"61-90 hari","90+ hari")))))</f>
        <v>Lunas</v>
      </c>
      <c r="Q689" s="50"/>
      <c r="R689" s="39" t="str">
        <f aca="false">IF(M689&lt;=0,"",IF(O689&gt;60,"1-Tinggi",IF(O689&gt;30,"2-Sedang",IF(O689&gt;0,"3-Rendah","4-Pantau"))))</f>
        <v/>
      </c>
      <c r="S689" s="39" t="str">
        <f aca="false">IF(AND(M689&gt;0,O689&gt;0),O689+M689/1000000000000+ROW()/1000000000000000,"")</f>
        <v/>
      </c>
      <c r="T689" s="39" t="str">
        <f aca="false">IF(J689="Belum ditukar",ROW(),"")</f>
        <v/>
      </c>
    </row>
    <row r="690" customFormat="false" ht="15" hidden="false" customHeight="false" outlineLevel="0" collapsed="false">
      <c r="A690" s="50" t="s">
        <v>973</v>
      </c>
      <c r="B690" s="51" t="n">
        <v>45804</v>
      </c>
      <c r="C690" s="50" t="s">
        <v>213</v>
      </c>
      <c r="D690" s="39" t="str">
        <f aca="false">INDEX(Master_Customer!$B$2:$B$126,MATCH(C690,Master_Customer!$A$2:$A$126,0))</f>
        <v>ABADI AUTO MAKMUR</v>
      </c>
      <c r="E690" s="50" t="s">
        <v>32</v>
      </c>
      <c r="F690" s="52" t="n">
        <f aca="false">SUMIFS(Data_Penjualan!$G$2:$G$5998,Data_Penjualan!$A$2:$A$5998,A690)</f>
        <v>13941200</v>
      </c>
      <c r="G690" s="39" t="n">
        <f aca="false">IF(E690="KANTOR",0,INDEX(Master_Customer!$C$2:$C$126,MATCH(C690,Master_Customer!$A$2:$A$126,0)))</f>
        <v>0</v>
      </c>
      <c r="H690" s="53" t="n">
        <f aca="false">B690+G690</f>
        <v>45804</v>
      </c>
      <c r="J690" s="39" t="str">
        <f aca="false">IF(G690=0,"Tunai",IF(I690="","Belum ditukar","Sudah ditukar"))</f>
        <v>Tunai</v>
      </c>
      <c r="K690" s="54" t="n">
        <v>13941200</v>
      </c>
      <c r="L690" s="51" t="n">
        <v>45804</v>
      </c>
      <c r="M690" s="52" t="n">
        <f aca="false">F690-K690</f>
        <v>0</v>
      </c>
      <c r="N690" s="39" t="str">
        <f aca="false">IF(M690&lt;=0,"Lunas",IF(K690&gt;0,"Sebagian","Belum Bayar"))</f>
        <v>Lunas</v>
      </c>
      <c r="O690" s="39" t="n">
        <f aca="false">IF(M690&gt;0,MAX(0,Catatan!$B$3-H690),0)</f>
        <v>0</v>
      </c>
      <c r="P690" s="39" t="str">
        <f aca="false">IF(M690&lt;=0,"Lunas",IF(Catatan!$B$3&lt;=H690,"Belum Jatuh Tempo",IF(O690&lt;=30,"1-30 hari",IF(O690&lt;=60,"31-60 hari",IF(O690&lt;=90,"61-90 hari","90+ hari")))))</f>
        <v>Lunas</v>
      </c>
      <c r="Q690" s="50"/>
      <c r="R690" s="39" t="str">
        <f aca="false">IF(M690&lt;=0,"",IF(O690&gt;60,"1-Tinggi",IF(O690&gt;30,"2-Sedang",IF(O690&gt;0,"3-Rendah","4-Pantau"))))</f>
        <v/>
      </c>
      <c r="S690" s="39" t="str">
        <f aca="false">IF(AND(M690&gt;0,O690&gt;0),O690+M690/1000000000000+ROW()/1000000000000000,"")</f>
        <v/>
      </c>
      <c r="T690" s="39" t="str">
        <f aca="false">IF(J690="Belum ditukar",ROW(),"")</f>
        <v/>
      </c>
    </row>
    <row r="691" customFormat="false" ht="15" hidden="false" customHeight="false" outlineLevel="0" collapsed="false">
      <c r="A691" s="50" t="s">
        <v>974</v>
      </c>
      <c r="B691" s="51" t="n">
        <v>45804</v>
      </c>
      <c r="C691" s="50" t="s">
        <v>430</v>
      </c>
      <c r="D691" s="39" t="str">
        <f aca="false">INDEX(Master_Customer!$B$2:$B$126,MATCH(C691,Master_Customer!$A$2:$A$126,0))</f>
        <v>TIRTA MOBIL</v>
      </c>
      <c r="E691" s="50" t="s">
        <v>28</v>
      </c>
      <c r="F691" s="52" t="n">
        <f aca="false">SUMIFS(Data_Penjualan!$G$2:$G$5998,Data_Penjualan!$A$2:$A$5998,A691)</f>
        <v>5034600</v>
      </c>
      <c r="G691" s="39" t="n">
        <f aca="false">IF(E691="KANTOR",0,INDEX(Master_Customer!$C$2:$C$126,MATCH(C691,Master_Customer!$A$2:$A$126,0)))</f>
        <v>30</v>
      </c>
      <c r="H691" s="53" t="n">
        <f aca="false">B691+G691</f>
        <v>45834</v>
      </c>
      <c r="I691" s="51" t="n">
        <v>45808</v>
      </c>
      <c r="J691" s="39" t="str">
        <f aca="false">IF(G691=0,"Tunai",IF(I691="","Belum ditukar","Sudah ditukar"))</f>
        <v>Sudah ditukar</v>
      </c>
      <c r="K691" s="54" t="n">
        <v>5034600</v>
      </c>
      <c r="L691" s="51" t="n">
        <v>45833</v>
      </c>
      <c r="M691" s="52" t="n">
        <f aca="false">F691-K691</f>
        <v>0</v>
      </c>
      <c r="N691" s="39" t="str">
        <f aca="false">IF(M691&lt;=0,"Lunas",IF(K691&gt;0,"Sebagian","Belum Bayar"))</f>
        <v>Lunas</v>
      </c>
      <c r="O691" s="39" t="n">
        <f aca="false">IF(M691&gt;0,MAX(0,Catatan!$B$3-H691),0)</f>
        <v>0</v>
      </c>
      <c r="P691" s="39" t="str">
        <f aca="false">IF(M691&lt;=0,"Lunas",IF(Catatan!$B$3&lt;=H691,"Belum Jatuh Tempo",IF(O691&lt;=30,"1-30 hari",IF(O691&lt;=60,"31-60 hari",IF(O691&lt;=90,"61-90 hari","90+ hari")))))</f>
        <v>Lunas</v>
      </c>
      <c r="Q691" s="50"/>
      <c r="R691" s="39" t="str">
        <f aca="false">IF(M691&lt;=0,"",IF(O691&gt;60,"1-Tinggi",IF(O691&gt;30,"2-Sedang",IF(O691&gt;0,"3-Rendah","4-Pantau"))))</f>
        <v/>
      </c>
      <c r="S691" s="39" t="str">
        <f aca="false">IF(AND(M691&gt;0,O691&gt;0),O691+M691/1000000000000+ROW()/1000000000000000,"")</f>
        <v/>
      </c>
      <c r="T691" s="39" t="str">
        <f aca="false">IF(J691="Belum ditukar",ROW(),"")</f>
        <v/>
      </c>
    </row>
    <row r="692" customFormat="false" ht="15" hidden="false" customHeight="false" outlineLevel="0" collapsed="false">
      <c r="A692" s="50" t="s">
        <v>975</v>
      </c>
      <c r="B692" s="51" t="n">
        <v>45805</v>
      </c>
      <c r="C692" s="50" t="s">
        <v>207</v>
      </c>
      <c r="D692" s="39" t="str">
        <f aca="false">INDEX(Master_Customer!$B$2:$B$126,MATCH(C692,Master_Customer!$A$2:$A$126,0))</f>
        <v>MAKMUR AUTO HARAPAN</v>
      </c>
      <c r="E692" s="50" t="s">
        <v>29</v>
      </c>
      <c r="F692" s="52" t="n">
        <f aca="false">SUMIFS(Data_Penjualan!$G$2:$G$5998,Data_Penjualan!$A$2:$A$5998,A692)</f>
        <v>9489100</v>
      </c>
      <c r="G692" s="39" t="n">
        <f aca="false">IF(E692="KANTOR",0,INDEX(Master_Customer!$C$2:$C$126,MATCH(C692,Master_Customer!$A$2:$A$126,0)))</f>
        <v>30</v>
      </c>
      <c r="H692" s="53" t="n">
        <f aca="false">B692+G692</f>
        <v>45835</v>
      </c>
      <c r="I692" s="51" t="n">
        <v>45807</v>
      </c>
      <c r="J692" s="39" t="str">
        <f aca="false">IF(G692=0,"Tunai",IF(I692="","Belum ditukar","Sudah ditukar"))</f>
        <v>Sudah ditukar</v>
      </c>
      <c r="K692" s="54" t="n">
        <v>9489100</v>
      </c>
      <c r="L692" s="51" t="n">
        <v>45858</v>
      </c>
      <c r="M692" s="52" t="n">
        <f aca="false">F692-K692</f>
        <v>0</v>
      </c>
      <c r="N692" s="39" t="str">
        <f aca="false">IF(M692&lt;=0,"Lunas",IF(K692&gt;0,"Sebagian","Belum Bayar"))</f>
        <v>Lunas</v>
      </c>
      <c r="O692" s="39" t="n">
        <f aca="false">IF(M692&gt;0,MAX(0,Catatan!$B$3-H692),0)</f>
        <v>0</v>
      </c>
      <c r="P692" s="39" t="str">
        <f aca="false">IF(M692&lt;=0,"Lunas",IF(Catatan!$B$3&lt;=H692,"Belum Jatuh Tempo",IF(O692&lt;=30,"1-30 hari",IF(O692&lt;=60,"31-60 hari",IF(O692&lt;=90,"61-90 hari","90+ hari")))))</f>
        <v>Lunas</v>
      </c>
      <c r="Q692" s="50"/>
      <c r="R692" s="39" t="str">
        <f aca="false">IF(M692&lt;=0,"",IF(O692&gt;60,"1-Tinggi",IF(O692&gt;30,"2-Sedang",IF(O692&gt;0,"3-Rendah","4-Pantau"))))</f>
        <v/>
      </c>
      <c r="S692" s="39" t="str">
        <f aca="false">IF(AND(M692&gt;0,O692&gt;0),O692+M692/1000000000000+ROW()/1000000000000000,"")</f>
        <v/>
      </c>
      <c r="T692" s="39" t="str">
        <f aca="false">IF(J692="Belum ditukar",ROW(),"")</f>
        <v/>
      </c>
    </row>
    <row r="693" customFormat="false" ht="15" hidden="false" customHeight="false" outlineLevel="0" collapsed="false">
      <c r="A693" s="50" t="s">
        <v>976</v>
      </c>
      <c r="B693" s="51" t="n">
        <v>45805</v>
      </c>
      <c r="C693" s="50" t="s">
        <v>213</v>
      </c>
      <c r="D693" s="39" t="str">
        <f aca="false">INDEX(Master_Customer!$B$2:$B$126,MATCH(C693,Master_Customer!$A$2:$A$126,0))</f>
        <v>ABADI AUTO MAKMUR</v>
      </c>
      <c r="E693" s="50" t="s">
        <v>32</v>
      </c>
      <c r="F693" s="52" t="n">
        <f aca="false">SUMIFS(Data_Penjualan!$G$2:$G$5998,Data_Penjualan!$A$2:$A$5998,A693)</f>
        <v>27353700</v>
      </c>
      <c r="G693" s="39" t="n">
        <f aca="false">IF(E693="KANTOR",0,INDEX(Master_Customer!$C$2:$C$126,MATCH(C693,Master_Customer!$A$2:$A$126,0)))</f>
        <v>0</v>
      </c>
      <c r="H693" s="53" t="n">
        <f aca="false">B693+G693</f>
        <v>45805</v>
      </c>
      <c r="J693" s="39" t="str">
        <f aca="false">IF(G693=0,"Tunai",IF(I693="","Belum ditukar","Sudah ditukar"))</f>
        <v>Tunai</v>
      </c>
      <c r="K693" s="54" t="n">
        <v>27353700</v>
      </c>
      <c r="L693" s="51" t="n">
        <v>45805</v>
      </c>
      <c r="M693" s="52" t="n">
        <f aca="false">F693-K693</f>
        <v>0</v>
      </c>
      <c r="N693" s="39" t="str">
        <f aca="false">IF(M693&lt;=0,"Lunas",IF(K693&gt;0,"Sebagian","Belum Bayar"))</f>
        <v>Lunas</v>
      </c>
      <c r="O693" s="39" t="n">
        <f aca="false">IF(M693&gt;0,MAX(0,Catatan!$B$3-H693),0)</f>
        <v>0</v>
      </c>
      <c r="P693" s="39" t="str">
        <f aca="false">IF(M693&lt;=0,"Lunas",IF(Catatan!$B$3&lt;=H693,"Belum Jatuh Tempo",IF(O693&lt;=30,"1-30 hari",IF(O693&lt;=60,"31-60 hari",IF(O693&lt;=90,"61-90 hari","90+ hari")))))</f>
        <v>Lunas</v>
      </c>
      <c r="Q693" s="50"/>
      <c r="R693" s="39" t="str">
        <f aca="false">IF(M693&lt;=0,"",IF(O693&gt;60,"1-Tinggi",IF(O693&gt;30,"2-Sedang",IF(O693&gt;0,"3-Rendah","4-Pantau"))))</f>
        <v/>
      </c>
      <c r="S693" s="39" t="str">
        <f aca="false">IF(AND(M693&gt;0,O693&gt;0),O693+M693/1000000000000+ROW()/1000000000000000,"")</f>
        <v/>
      </c>
      <c r="T693" s="39" t="str">
        <f aca="false">IF(J693="Belum ditukar",ROW(),"")</f>
        <v/>
      </c>
    </row>
    <row r="694" customFormat="false" ht="15" hidden="false" customHeight="false" outlineLevel="0" collapsed="false">
      <c r="A694" s="50" t="s">
        <v>977</v>
      </c>
      <c r="B694" s="51" t="n">
        <v>45805</v>
      </c>
      <c r="C694" s="50" t="s">
        <v>249</v>
      </c>
      <c r="D694" s="39" t="str">
        <f aca="false">INDEX(Master_Customer!$B$2:$B$126,MATCH(C694,Master_Customer!$A$2:$A$126,0))</f>
        <v>SENTOSA MOTOR</v>
      </c>
      <c r="E694" s="50" t="s">
        <v>31</v>
      </c>
      <c r="F694" s="52" t="n">
        <f aca="false">SUMIFS(Data_Penjualan!$G$2:$G$5998,Data_Penjualan!$A$2:$A$5998,A694)</f>
        <v>4683600</v>
      </c>
      <c r="G694" s="39" t="n">
        <f aca="false">IF(E694="KANTOR",0,INDEX(Master_Customer!$C$2:$C$126,MATCH(C694,Master_Customer!$A$2:$A$126,0)))</f>
        <v>45</v>
      </c>
      <c r="H694" s="53" t="n">
        <f aca="false">B694+G694</f>
        <v>45850</v>
      </c>
      <c r="I694" s="51" t="n">
        <v>45808</v>
      </c>
      <c r="J694" s="39" t="str">
        <f aca="false">IF(G694=0,"Tunai",IF(I694="","Belum ditukar","Sudah ditukar"))</f>
        <v>Sudah ditukar</v>
      </c>
      <c r="K694" s="54" t="n">
        <v>4683600</v>
      </c>
      <c r="L694" s="51" t="n">
        <v>45867</v>
      </c>
      <c r="M694" s="52" t="n">
        <f aca="false">F694-K694</f>
        <v>0</v>
      </c>
      <c r="N694" s="39" t="str">
        <f aca="false">IF(M694&lt;=0,"Lunas",IF(K694&gt;0,"Sebagian","Belum Bayar"))</f>
        <v>Lunas</v>
      </c>
      <c r="O694" s="39" t="n">
        <f aca="false">IF(M694&gt;0,MAX(0,Catatan!$B$3-H694),0)</f>
        <v>0</v>
      </c>
      <c r="P694" s="39" t="str">
        <f aca="false">IF(M694&lt;=0,"Lunas",IF(Catatan!$B$3&lt;=H694,"Belum Jatuh Tempo",IF(O694&lt;=30,"1-30 hari",IF(O694&lt;=60,"31-60 hari",IF(O694&lt;=90,"61-90 hari","90+ hari")))))</f>
        <v>Lunas</v>
      </c>
      <c r="Q694" s="50"/>
      <c r="R694" s="39" t="str">
        <f aca="false">IF(M694&lt;=0,"",IF(O694&gt;60,"1-Tinggi",IF(O694&gt;30,"2-Sedang",IF(O694&gt;0,"3-Rendah","4-Pantau"))))</f>
        <v/>
      </c>
      <c r="S694" s="39" t="str">
        <f aca="false">IF(AND(M694&gt;0,O694&gt;0),O694+M694/1000000000000+ROW()/1000000000000000,"")</f>
        <v/>
      </c>
      <c r="T694" s="39" t="str">
        <f aca="false">IF(J694="Belum ditukar",ROW(),"")</f>
        <v/>
      </c>
    </row>
    <row r="695" customFormat="false" ht="15" hidden="false" customHeight="false" outlineLevel="0" collapsed="false">
      <c r="A695" s="50" t="s">
        <v>978</v>
      </c>
      <c r="B695" s="51" t="n">
        <v>45805</v>
      </c>
      <c r="C695" s="50" t="s">
        <v>174</v>
      </c>
      <c r="D695" s="39" t="str">
        <f aca="false">INDEX(Master_Customer!$B$2:$B$126,MATCH(C695,Master_Customer!$A$2:$A$126,0))</f>
        <v>SUMBER TEKNIK SURYA</v>
      </c>
      <c r="E695" s="50" t="s">
        <v>31</v>
      </c>
      <c r="F695" s="52" t="n">
        <f aca="false">SUMIFS(Data_Penjualan!$G$2:$G$5998,Data_Penjualan!$A$2:$A$5998,A695)</f>
        <v>12570600</v>
      </c>
      <c r="G695" s="39" t="n">
        <f aca="false">IF(E695="KANTOR",0,INDEX(Master_Customer!$C$2:$C$126,MATCH(C695,Master_Customer!$A$2:$A$126,0)))</f>
        <v>30</v>
      </c>
      <c r="H695" s="53" t="n">
        <f aca="false">B695+G695</f>
        <v>45835</v>
      </c>
      <c r="I695" s="51" t="n">
        <v>45810</v>
      </c>
      <c r="J695" s="39" t="str">
        <f aca="false">IF(G695=0,"Tunai",IF(I695="","Belum ditukar","Sudah ditukar"))</f>
        <v>Sudah ditukar</v>
      </c>
      <c r="K695" s="54" t="n">
        <v>12570600</v>
      </c>
      <c r="L695" s="51" t="n">
        <v>45836</v>
      </c>
      <c r="M695" s="52" t="n">
        <f aca="false">F695-K695</f>
        <v>0</v>
      </c>
      <c r="N695" s="39" t="str">
        <f aca="false">IF(M695&lt;=0,"Lunas",IF(K695&gt;0,"Sebagian","Belum Bayar"))</f>
        <v>Lunas</v>
      </c>
      <c r="O695" s="39" t="n">
        <f aca="false">IF(M695&gt;0,MAX(0,Catatan!$B$3-H695),0)</f>
        <v>0</v>
      </c>
      <c r="P695" s="39" t="str">
        <f aca="false">IF(M695&lt;=0,"Lunas",IF(Catatan!$B$3&lt;=H695,"Belum Jatuh Tempo",IF(O695&lt;=30,"1-30 hari",IF(O695&lt;=60,"31-60 hari",IF(O695&lt;=90,"61-90 hari","90+ hari")))))</f>
        <v>Lunas</v>
      </c>
      <c r="Q695" s="50"/>
      <c r="R695" s="39" t="str">
        <f aca="false">IF(M695&lt;=0,"",IF(O695&gt;60,"1-Tinggi",IF(O695&gt;30,"2-Sedang",IF(O695&gt;0,"3-Rendah","4-Pantau"))))</f>
        <v/>
      </c>
      <c r="S695" s="39" t="str">
        <f aca="false">IF(AND(M695&gt;0,O695&gt;0),O695+M695/1000000000000+ROW()/1000000000000000,"")</f>
        <v/>
      </c>
      <c r="T695" s="39" t="str">
        <f aca="false">IF(J695="Belum ditukar",ROW(),"")</f>
        <v/>
      </c>
    </row>
    <row r="696" customFormat="false" ht="15" hidden="false" customHeight="false" outlineLevel="0" collapsed="false">
      <c r="A696" s="50" t="s">
        <v>979</v>
      </c>
      <c r="B696" s="51" t="n">
        <v>45805</v>
      </c>
      <c r="C696" s="50" t="s">
        <v>216</v>
      </c>
      <c r="D696" s="39" t="str">
        <f aca="false">INDEX(Master_Customer!$B$2:$B$126,MATCH(C696,Master_Customer!$A$2:$A$126,0))</f>
        <v>SINAR MOTOR UTAMA</v>
      </c>
      <c r="E696" s="50" t="s">
        <v>32</v>
      </c>
      <c r="F696" s="52" t="n">
        <f aca="false">SUMIFS(Data_Penjualan!$G$2:$G$5998,Data_Penjualan!$A$2:$A$5998,A696)</f>
        <v>8625700</v>
      </c>
      <c r="G696" s="39" t="n">
        <f aca="false">IF(E696="KANTOR",0,INDEX(Master_Customer!$C$2:$C$126,MATCH(C696,Master_Customer!$A$2:$A$126,0)))</f>
        <v>0</v>
      </c>
      <c r="H696" s="53" t="n">
        <f aca="false">B696+G696</f>
        <v>45805</v>
      </c>
      <c r="J696" s="39" t="str">
        <f aca="false">IF(G696=0,"Tunai",IF(I696="","Belum ditukar","Sudah ditukar"))</f>
        <v>Tunai</v>
      </c>
      <c r="K696" s="54" t="n">
        <v>8625700</v>
      </c>
      <c r="L696" s="51" t="n">
        <v>45806</v>
      </c>
      <c r="M696" s="52" t="n">
        <f aca="false">F696-K696</f>
        <v>0</v>
      </c>
      <c r="N696" s="39" t="str">
        <f aca="false">IF(M696&lt;=0,"Lunas",IF(K696&gt;0,"Sebagian","Belum Bayar"))</f>
        <v>Lunas</v>
      </c>
      <c r="O696" s="39" t="n">
        <f aca="false">IF(M696&gt;0,MAX(0,Catatan!$B$3-H696),0)</f>
        <v>0</v>
      </c>
      <c r="P696" s="39" t="str">
        <f aca="false">IF(M696&lt;=0,"Lunas",IF(Catatan!$B$3&lt;=H696,"Belum Jatuh Tempo",IF(O696&lt;=30,"1-30 hari",IF(O696&lt;=60,"31-60 hari",IF(O696&lt;=90,"61-90 hari","90+ hari")))))</f>
        <v>Lunas</v>
      </c>
      <c r="Q696" s="50"/>
      <c r="R696" s="39" t="str">
        <f aca="false">IF(M696&lt;=0,"",IF(O696&gt;60,"1-Tinggi",IF(O696&gt;30,"2-Sedang",IF(O696&gt;0,"3-Rendah","4-Pantau"))))</f>
        <v/>
      </c>
      <c r="S696" s="39" t="str">
        <f aca="false">IF(AND(M696&gt;0,O696&gt;0),O696+M696/1000000000000+ROW()/1000000000000000,"")</f>
        <v/>
      </c>
      <c r="T696" s="39" t="str">
        <f aca="false">IF(J696="Belum ditukar",ROW(),"")</f>
        <v/>
      </c>
    </row>
    <row r="697" customFormat="false" ht="15" hidden="false" customHeight="false" outlineLevel="0" collapsed="false">
      <c r="A697" s="50" t="s">
        <v>980</v>
      </c>
      <c r="B697" s="51" t="n">
        <v>45805</v>
      </c>
      <c r="C697" s="50" t="s">
        <v>168</v>
      </c>
      <c r="D697" s="39" t="str">
        <f aca="false">INDEX(Master_Customer!$B$2:$B$126,MATCH(C697,Master_Customer!$A$2:$A$126,0))</f>
        <v>JAYA LUBRICANT</v>
      </c>
      <c r="E697" s="50" t="s">
        <v>32</v>
      </c>
      <c r="F697" s="52" t="n">
        <f aca="false">SUMIFS(Data_Penjualan!$G$2:$G$5998,Data_Penjualan!$A$2:$A$5998,A697)</f>
        <v>8190400</v>
      </c>
      <c r="G697" s="39" t="n">
        <f aca="false">IF(E697="KANTOR",0,INDEX(Master_Customer!$C$2:$C$126,MATCH(C697,Master_Customer!$A$2:$A$126,0)))</f>
        <v>0</v>
      </c>
      <c r="H697" s="53" t="n">
        <f aca="false">B697+G697</f>
        <v>45805</v>
      </c>
      <c r="J697" s="39" t="str">
        <f aca="false">IF(G697=0,"Tunai",IF(I697="","Belum ditukar","Sudah ditukar"))</f>
        <v>Tunai</v>
      </c>
      <c r="K697" s="54" t="n">
        <v>8190400</v>
      </c>
      <c r="L697" s="51" t="n">
        <v>45805</v>
      </c>
      <c r="M697" s="52" t="n">
        <f aca="false">F697-K697</f>
        <v>0</v>
      </c>
      <c r="N697" s="39" t="str">
        <f aca="false">IF(M697&lt;=0,"Lunas",IF(K697&gt;0,"Sebagian","Belum Bayar"))</f>
        <v>Lunas</v>
      </c>
      <c r="O697" s="39" t="n">
        <f aca="false">IF(M697&gt;0,MAX(0,Catatan!$B$3-H697),0)</f>
        <v>0</v>
      </c>
      <c r="P697" s="39" t="str">
        <f aca="false">IF(M697&lt;=0,"Lunas",IF(Catatan!$B$3&lt;=H697,"Belum Jatuh Tempo",IF(O697&lt;=30,"1-30 hari",IF(O697&lt;=60,"31-60 hari",IF(O697&lt;=90,"61-90 hari","90+ hari")))))</f>
        <v>Lunas</v>
      </c>
      <c r="Q697" s="50"/>
      <c r="R697" s="39" t="str">
        <f aca="false">IF(M697&lt;=0,"",IF(O697&gt;60,"1-Tinggi",IF(O697&gt;30,"2-Sedang",IF(O697&gt;0,"3-Rendah","4-Pantau"))))</f>
        <v/>
      </c>
      <c r="S697" s="39" t="str">
        <f aca="false">IF(AND(M697&gt;0,O697&gt;0),O697+M697/1000000000000+ROW()/1000000000000000,"")</f>
        <v/>
      </c>
      <c r="T697" s="39" t="str">
        <f aca="false">IF(J697="Belum ditukar",ROW(),"")</f>
        <v/>
      </c>
    </row>
    <row r="698" customFormat="false" ht="15" hidden="false" customHeight="false" outlineLevel="0" collapsed="false">
      <c r="A698" s="50" t="s">
        <v>981</v>
      </c>
      <c r="B698" s="51" t="n">
        <v>45806</v>
      </c>
      <c r="C698" s="50" t="s">
        <v>382</v>
      </c>
      <c r="D698" s="39" t="str">
        <f aca="false">INDEX(Master_Customer!$B$2:$B$126,MATCH(C698,Master_Customer!$A$2:$A$126,0))</f>
        <v>BERKAH SPAREPART</v>
      </c>
      <c r="E698" s="50" t="s">
        <v>29</v>
      </c>
      <c r="F698" s="52" t="n">
        <f aca="false">SUMIFS(Data_Penjualan!$G$2:$G$5998,Data_Penjualan!$A$2:$A$5998,A698)</f>
        <v>5831900</v>
      </c>
      <c r="G698" s="39" t="n">
        <f aca="false">IF(E698="KANTOR",0,INDEX(Master_Customer!$C$2:$C$126,MATCH(C698,Master_Customer!$A$2:$A$126,0)))</f>
        <v>30</v>
      </c>
      <c r="H698" s="53" t="n">
        <f aca="false">B698+G698</f>
        <v>45836</v>
      </c>
      <c r="I698" s="51" t="n">
        <v>45809</v>
      </c>
      <c r="J698" s="39" t="str">
        <f aca="false">IF(G698=0,"Tunai",IF(I698="","Belum ditukar","Sudah ditukar"))</f>
        <v>Sudah ditukar</v>
      </c>
      <c r="K698" s="54" t="n">
        <v>5831900</v>
      </c>
      <c r="L698" s="51" t="n">
        <v>45870</v>
      </c>
      <c r="M698" s="52" t="n">
        <f aca="false">F698-K698</f>
        <v>0</v>
      </c>
      <c r="N698" s="39" t="str">
        <f aca="false">IF(M698&lt;=0,"Lunas",IF(K698&gt;0,"Sebagian","Belum Bayar"))</f>
        <v>Lunas</v>
      </c>
      <c r="O698" s="39" t="n">
        <f aca="false">IF(M698&gt;0,MAX(0,Catatan!$B$3-H698),0)</f>
        <v>0</v>
      </c>
      <c r="P698" s="39" t="str">
        <f aca="false">IF(M698&lt;=0,"Lunas",IF(Catatan!$B$3&lt;=H698,"Belum Jatuh Tempo",IF(O698&lt;=30,"1-30 hari",IF(O698&lt;=60,"31-60 hari",IF(O698&lt;=90,"61-90 hari","90+ hari")))))</f>
        <v>Lunas</v>
      </c>
      <c r="Q698" s="50"/>
      <c r="R698" s="39" t="str">
        <f aca="false">IF(M698&lt;=0,"",IF(O698&gt;60,"1-Tinggi",IF(O698&gt;30,"2-Sedang",IF(O698&gt;0,"3-Rendah","4-Pantau"))))</f>
        <v/>
      </c>
      <c r="S698" s="39" t="str">
        <f aca="false">IF(AND(M698&gt;0,O698&gt;0),O698+M698/1000000000000+ROW()/1000000000000000,"")</f>
        <v/>
      </c>
      <c r="T698" s="39" t="str">
        <f aca="false">IF(J698="Belum ditukar",ROW(),"")</f>
        <v/>
      </c>
    </row>
    <row r="699" customFormat="false" ht="15" hidden="false" customHeight="false" outlineLevel="0" collapsed="false">
      <c r="A699" s="50" t="s">
        <v>982</v>
      </c>
      <c r="B699" s="51" t="n">
        <v>45806</v>
      </c>
      <c r="C699" s="50" t="s">
        <v>172</v>
      </c>
      <c r="D699" s="39" t="str">
        <f aca="false">INDEX(Master_Customer!$B$2:$B$126,MATCH(C699,Master_Customer!$A$2:$A$126,0))</f>
        <v>SURYA GARAGE MITRA</v>
      </c>
      <c r="E699" s="50" t="s">
        <v>32</v>
      </c>
      <c r="F699" s="52" t="n">
        <f aca="false">SUMIFS(Data_Penjualan!$G$2:$G$5998,Data_Penjualan!$A$2:$A$5998,A699)</f>
        <v>8811800</v>
      </c>
      <c r="G699" s="39" t="n">
        <f aca="false">IF(E699="KANTOR",0,INDEX(Master_Customer!$C$2:$C$126,MATCH(C699,Master_Customer!$A$2:$A$126,0)))</f>
        <v>0</v>
      </c>
      <c r="H699" s="53" t="n">
        <f aca="false">B699+G699</f>
        <v>45806</v>
      </c>
      <c r="J699" s="39" t="str">
        <f aca="false">IF(G699=0,"Tunai",IF(I699="","Belum ditukar","Sudah ditukar"))</f>
        <v>Tunai</v>
      </c>
      <c r="K699" s="54" t="n">
        <v>8811800</v>
      </c>
      <c r="L699" s="51" t="n">
        <v>45806</v>
      </c>
      <c r="M699" s="52" t="n">
        <f aca="false">F699-K699</f>
        <v>0</v>
      </c>
      <c r="N699" s="39" t="str">
        <f aca="false">IF(M699&lt;=0,"Lunas",IF(K699&gt;0,"Sebagian","Belum Bayar"))</f>
        <v>Lunas</v>
      </c>
      <c r="O699" s="39" t="n">
        <f aca="false">IF(M699&gt;0,MAX(0,Catatan!$B$3-H699),0)</f>
        <v>0</v>
      </c>
      <c r="P699" s="39" t="str">
        <f aca="false">IF(M699&lt;=0,"Lunas",IF(Catatan!$B$3&lt;=H699,"Belum Jatuh Tempo",IF(O699&lt;=30,"1-30 hari",IF(O699&lt;=60,"31-60 hari",IF(O699&lt;=90,"61-90 hari","90+ hari")))))</f>
        <v>Lunas</v>
      </c>
      <c r="Q699" s="50"/>
      <c r="R699" s="39" t="str">
        <f aca="false">IF(M699&lt;=0,"",IF(O699&gt;60,"1-Tinggi",IF(O699&gt;30,"2-Sedang",IF(O699&gt;0,"3-Rendah","4-Pantau"))))</f>
        <v/>
      </c>
      <c r="S699" s="39" t="str">
        <f aca="false">IF(AND(M699&gt;0,O699&gt;0),O699+M699/1000000000000+ROW()/1000000000000000,"")</f>
        <v/>
      </c>
      <c r="T699" s="39" t="str">
        <f aca="false">IF(J699="Belum ditukar",ROW(),"")</f>
        <v/>
      </c>
    </row>
    <row r="700" customFormat="false" ht="15" hidden="false" customHeight="false" outlineLevel="0" collapsed="false">
      <c r="A700" s="50" t="s">
        <v>983</v>
      </c>
      <c r="B700" s="51" t="n">
        <v>45806</v>
      </c>
      <c r="C700" s="50" t="s">
        <v>199</v>
      </c>
      <c r="D700" s="39" t="str">
        <f aca="false">INDEX(Master_Customer!$B$2:$B$126,MATCH(C700,Master_Customer!$A$2:$A$126,0))</f>
        <v>KARYA SPAREPART</v>
      </c>
      <c r="E700" s="50" t="s">
        <v>29</v>
      </c>
      <c r="F700" s="52" t="n">
        <f aca="false">SUMIFS(Data_Penjualan!$G$2:$G$5998,Data_Penjualan!$A$2:$A$5998,A700)</f>
        <v>12871300</v>
      </c>
      <c r="G700" s="39" t="n">
        <f aca="false">IF(E700="KANTOR",0,INDEX(Master_Customer!$C$2:$C$126,MATCH(C700,Master_Customer!$A$2:$A$126,0)))</f>
        <v>45</v>
      </c>
      <c r="H700" s="53" t="n">
        <f aca="false">B700+G700</f>
        <v>45851</v>
      </c>
      <c r="I700" s="51" t="n">
        <v>45807</v>
      </c>
      <c r="J700" s="39" t="str">
        <f aca="false">IF(G700=0,"Tunai",IF(I700="","Belum ditukar","Sudah ditukar"))</f>
        <v>Sudah ditukar</v>
      </c>
      <c r="K700" s="54" t="n">
        <v>12871300</v>
      </c>
      <c r="L700" s="51" t="n">
        <v>45854</v>
      </c>
      <c r="M700" s="52" t="n">
        <f aca="false">F700-K700</f>
        <v>0</v>
      </c>
      <c r="N700" s="39" t="str">
        <f aca="false">IF(M700&lt;=0,"Lunas",IF(K700&gt;0,"Sebagian","Belum Bayar"))</f>
        <v>Lunas</v>
      </c>
      <c r="O700" s="39" t="n">
        <f aca="false">IF(M700&gt;0,MAX(0,Catatan!$B$3-H700),0)</f>
        <v>0</v>
      </c>
      <c r="P700" s="39" t="str">
        <f aca="false">IF(M700&lt;=0,"Lunas",IF(Catatan!$B$3&lt;=H700,"Belum Jatuh Tempo",IF(O700&lt;=30,"1-30 hari",IF(O700&lt;=60,"31-60 hari",IF(O700&lt;=90,"61-90 hari","90+ hari")))))</f>
        <v>Lunas</v>
      </c>
      <c r="Q700" s="50"/>
      <c r="R700" s="39" t="str">
        <f aca="false">IF(M700&lt;=0,"",IF(O700&gt;60,"1-Tinggi",IF(O700&gt;30,"2-Sedang",IF(O700&gt;0,"3-Rendah","4-Pantau"))))</f>
        <v/>
      </c>
      <c r="S700" s="39" t="str">
        <f aca="false">IF(AND(M700&gt;0,O700&gt;0),O700+M700/1000000000000+ROW()/1000000000000000,"")</f>
        <v/>
      </c>
      <c r="T700" s="39" t="str">
        <f aca="false">IF(J700="Belum ditukar",ROW(),"")</f>
        <v/>
      </c>
    </row>
    <row r="701" customFormat="false" ht="15" hidden="false" customHeight="false" outlineLevel="0" collapsed="false">
      <c r="A701" s="50" t="s">
        <v>984</v>
      </c>
      <c r="B701" s="51" t="n">
        <v>45806</v>
      </c>
      <c r="C701" s="50" t="s">
        <v>778</v>
      </c>
      <c r="D701" s="39" t="str">
        <f aca="false">INDEX(Master_Customer!$B$2:$B$126,MATCH(C701,Master_Customer!$A$2:$A$126,0))</f>
        <v>BINTANG SERVICE MULIA</v>
      </c>
      <c r="E701" s="50" t="s">
        <v>29</v>
      </c>
      <c r="F701" s="52" t="n">
        <f aca="false">SUMIFS(Data_Penjualan!$G$2:$G$5998,Data_Penjualan!$A$2:$A$5998,A701)</f>
        <v>3067000</v>
      </c>
      <c r="G701" s="39" t="n">
        <f aca="false">IF(E701="KANTOR",0,INDEX(Master_Customer!$C$2:$C$126,MATCH(C701,Master_Customer!$A$2:$A$126,0)))</f>
        <v>30</v>
      </c>
      <c r="H701" s="53" t="n">
        <f aca="false">B701+G701</f>
        <v>45836</v>
      </c>
      <c r="I701" s="51" t="n">
        <v>45808</v>
      </c>
      <c r="J701" s="39" t="str">
        <f aca="false">IF(G701=0,"Tunai",IF(I701="","Belum ditukar","Sudah ditukar"))</f>
        <v>Sudah ditukar</v>
      </c>
      <c r="K701" s="54" t="n">
        <v>3067000</v>
      </c>
      <c r="L701" s="51" t="n">
        <v>45838</v>
      </c>
      <c r="M701" s="52" t="n">
        <f aca="false">F701-K701</f>
        <v>0</v>
      </c>
      <c r="N701" s="39" t="str">
        <f aca="false">IF(M701&lt;=0,"Lunas",IF(K701&gt;0,"Sebagian","Belum Bayar"))</f>
        <v>Lunas</v>
      </c>
      <c r="O701" s="39" t="n">
        <f aca="false">IF(M701&gt;0,MAX(0,Catatan!$B$3-H701),0)</f>
        <v>0</v>
      </c>
      <c r="P701" s="39" t="str">
        <f aca="false">IF(M701&lt;=0,"Lunas",IF(Catatan!$B$3&lt;=H701,"Belum Jatuh Tempo",IF(O701&lt;=30,"1-30 hari",IF(O701&lt;=60,"31-60 hari",IF(O701&lt;=90,"61-90 hari","90+ hari")))))</f>
        <v>Lunas</v>
      </c>
      <c r="Q701" s="50"/>
      <c r="R701" s="39" t="str">
        <f aca="false">IF(M701&lt;=0,"",IF(O701&gt;60,"1-Tinggi",IF(O701&gt;30,"2-Sedang",IF(O701&gt;0,"3-Rendah","4-Pantau"))))</f>
        <v/>
      </c>
      <c r="S701" s="39" t="str">
        <f aca="false">IF(AND(M701&gt;0,O701&gt;0),O701+M701/1000000000000+ROW()/1000000000000000,"")</f>
        <v/>
      </c>
      <c r="T701" s="39" t="str">
        <f aca="false">IF(J701="Belum ditukar",ROW(),"")</f>
        <v/>
      </c>
    </row>
    <row r="702" customFormat="false" ht="15" hidden="false" customHeight="false" outlineLevel="0" collapsed="false">
      <c r="A702" s="50" t="s">
        <v>133</v>
      </c>
      <c r="B702" s="51" t="n">
        <v>45806</v>
      </c>
      <c r="C702" s="50" t="s">
        <v>419</v>
      </c>
      <c r="D702" s="39" t="str">
        <f aca="false">INDEX(Master_Customer!$B$2:$B$126,MATCH(C702,Master_Customer!$A$2:$A$126,0))</f>
        <v>UTAMA MOTOR</v>
      </c>
      <c r="E702" s="50" t="s">
        <v>30</v>
      </c>
      <c r="F702" s="52" t="n">
        <f aca="false">SUMIFS(Data_Penjualan!$G$2:$G$5998,Data_Penjualan!$A$2:$A$5998,A702)</f>
        <v>12232000</v>
      </c>
      <c r="G702" s="39" t="n">
        <f aca="false">IF(E702="KANTOR",0,INDEX(Master_Customer!$C$2:$C$126,MATCH(C702,Master_Customer!$A$2:$A$126,0)))</f>
        <v>14</v>
      </c>
      <c r="H702" s="53" t="n">
        <f aca="false">B702+G702</f>
        <v>45820</v>
      </c>
      <c r="I702" s="51" t="n">
        <v>45808</v>
      </c>
      <c r="J702" s="39" t="str">
        <f aca="false">IF(G702=0,"Tunai",IF(I702="","Belum ditukar","Sudah ditukar"))</f>
        <v>Sudah ditukar</v>
      </c>
      <c r="K702" s="54" t="n">
        <v>7567000</v>
      </c>
      <c r="L702" s="51" t="n">
        <v>45817</v>
      </c>
      <c r="M702" s="52" t="n">
        <f aca="false">F702-K702</f>
        <v>4665000</v>
      </c>
      <c r="N702" s="39" t="str">
        <f aca="false">IF(M702&lt;=0,"Lunas",IF(K702&gt;0,"Sebagian","Belum Bayar"))</f>
        <v>Sebagian</v>
      </c>
      <c r="O702" s="39" t="n">
        <f aca="false">IF(M702&gt;0,MAX(0,Catatan!$B$3-H702),0)</f>
        <v>202</v>
      </c>
      <c r="P702" s="39" t="str">
        <f aca="false">IF(M702&lt;=0,"Lunas",IF(Catatan!$B$3&lt;=H702,"Belum Jatuh Tempo",IF(O702&lt;=30,"1-30 hari",IF(O702&lt;=60,"31-60 hari",IF(O702&lt;=90,"61-90 hari","90+ hari")))))</f>
        <v>90+ hari</v>
      </c>
      <c r="Q702" s="50" t="s">
        <v>712</v>
      </c>
      <c r="R702" s="39" t="str">
        <f aca="false">IF(M702&lt;=0,"",IF(O702&gt;60,"1-Tinggi",IF(O702&gt;30,"2-Sedang",IF(O702&gt;0,"3-Rendah","4-Pantau"))))</f>
        <v>1-Tinggi</v>
      </c>
      <c r="S702" s="39" t="n">
        <f aca="false">IF(AND(M702&gt;0,O702&gt;0),O702+M702/1000000000000+ROW()/1000000000000000,"")</f>
        <v>202.000004665001</v>
      </c>
      <c r="T702" s="39" t="str">
        <f aca="false">IF(J702="Belum ditukar",ROW(),"")</f>
        <v/>
      </c>
    </row>
    <row r="703" customFormat="false" ht="15" hidden="false" customHeight="false" outlineLevel="0" collapsed="false">
      <c r="A703" s="50" t="s">
        <v>985</v>
      </c>
      <c r="B703" s="51" t="n">
        <v>45806</v>
      </c>
      <c r="C703" s="50" t="s">
        <v>216</v>
      </c>
      <c r="D703" s="39" t="str">
        <f aca="false">INDEX(Master_Customer!$B$2:$B$126,MATCH(C703,Master_Customer!$A$2:$A$126,0))</f>
        <v>SINAR MOTOR UTAMA</v>
      </c>
      <c r="E703" s="50" t="s">
        <v>30</v>
      </c>
      <c r="F703" s="52" t="n">
        <f aca="false">SUMIFS(Data_Penjualan!$G$2:$G$5998,Data_Penjualan!$A$2:$A$5998,A703)</f>
        <v>19805700</v>
      </c>
      <c r="G703" s="39" t="n">
        <f aca="false">IF(E703="KANTOR",0,INDEX(Master_Customer!$C$2:$C$126,MATCH(C703,Master_Customer!$A$2:$A$126,0)))</f>
        <v>0</v>
      </c>
      <c r="H703" s="53" t="n">
        <f aca="false">B703+G703</f>
        <v>45806</v>
      </c>
      <c r="J703" s="39" t="str">
        <f aca="false">IF(G703=0,"Tunai",IF(I703="","Belum ditukar","Sudah ditukar"))</f>
        <v>Tunai</v>
      </c>
      <c r="K703" s="54" t="n">
        <v>19805700</v>
      </c>
      <c r="L703" s="51" t="n">
        <v>45806</v>
      </c>
      <c r="M703" s="52" t="n">
        <f aca="false">F703-K703</f>
        <v>0</v>
      </c>
      <c r="N703" s="39" t="str">
        <f aca="false">IF(M703&lt;=0,"Lunas",IF(K703&gt;0,"Sebagian","Belum Bayar"))</f>
        <v>Lunas</v>
      </c>
      <c r="O703" s="39" t="n">
        <f aca="false">IF(M703&gt;0,MAX(0,Catatan!$B$3-H703),0)</f>
        <v>0</v>
      </c>
      <c r="P703" s="39" t="str">
        <f aca="false">IF(M703&lt;=0,"Lunas",IF(Catatan!$B$3&lt;=H703,"Belum Jatuh Tempo",IF(O703&lt;=30,"1-30 hari",IF(O703&lt;=60,"31-60 hari",IF(O703&lt;=90,"61-90 hari","90+ hari")))))</f>
        <v>Lunas</v>
      </c>
      <c r="Q703" s="50"/>
      <c r="R703" s="39" t="str">
        <f aca="false">IF(M703&lt;=0,"",IF(O703&gt;60,"1-Tinggi",IF(O703&gt;30,"2-Sedang",IF(O703&gt;0,"3-Rendah","4-Pantau"))))</f>
        <v/>
      </c>
      <c r="S703" s="39" t="str">
        <f aca="false">IF(AND(M703&gt;0,O703&gt;0),O703+M703/1000000000000+ROW()/1000000000000000,"")</f>
        <v/>
      </c>
      <c r="T703" s="39" t="str">
        <f aca="false">IF(J703="Belum ditukar",ROW(),"")</f>
        <v/>
      </c>
    </row>
    <row r="704" customFormat="false" ht="15" hidden="false" customHeight="false" outlineLevel="0" collapsed="false">
      <c r="A704" s="50" t="s">
        <v>986</v>
      </c>
      <c r="B704" s="51" t="n">
        <v>45807</v>
      </c>
      <c r="C704" s="50" t="s">
        <v>166</v>
      </c>
      <c r="D704" s="39" t="str">
        <f aca="false">INDEX(Master_Customer!$B$2:$B$126,MATCH(C704,Master_Customer!$A$2:$A$126,0))</f>
        <v>SENTOSA SERVICE</v>
      </c>
      <c r="E704" s="50" t="s">
        <v>30</v>
      </c>
      <c r="F704" s="52" t="n">
        <f aca="false">SUMIFS(Data_Penjualan!$G$2:$G$5998,Data_Penjualan!$A$2:$A$5998,A704)</f>
        <v>20733700</v>
      </c>
      <c r="G704" s="39" t="n">
        <f aca="false">IF(E704="KANTOR",0,INDEX(Master_Customer!$C$2:$C$126,MATCH(C704,Master_Customer!$A$2:$A$126,0)))</f>
        <v>0</v>
      </c>
      <c r="H704" s="53" t="n">
        <f aca="false">B704+G704</f>
        <v>45807</v>
      </c>
      <c r="J704" s="39" t="str">
        <f aca="false">IF(G704=0,"Tunai",IF(I704="","Belum ditukar","Sudah ditukar"))</f>
        <v>Tunai</v>
      </c>
      <c r="K704" s="54" t="n">
        <v>20733700</v>
      </c>
      <c r="L704" s="51" t="n">
        <v>45807</v>
      </c>
      <c r="M704" s="52" t="n">
        <f aca="false">F704-K704</f>
        <v>0</v>
      </c>
      <c r="N704" s="39" t="str">
        <f aca="false">IF(M704&lt;=0,"Lunas",IF(K704&gt;0,"Sebagian","Belum Bayar"))</f>
        <v>Lunas</v>
      </c>
      <c r="O704" s="39" t="n">
        <f aca="false">IF(M704&gt;0,MAX(0,Catatan!$B$3-H704),0)</f>
        <v>0</v>
      </c>
      <c r="P704" s="39" t="str">
        <f aca="false">IF(M704&lt;=0,"Lunas",IF(Catatan!$B$3&lt;=H704,"Belum Jatuh Tempo",IF(O704&lt;=30,"1-30 hari",IF(O704&lt;=60,"31-60 hari",IF(O704&lt;=90,"61-90 hari","90+ hari")))))</f>
        <v>Lunas</v>
      </c>
      <c r="Q704" s="50"/>
      <c r="R704" s="39" t="str">
        <f aca="false">IF(M704&lt;=0,"",IF(O704&gt;60,"1-Tinggi",IF(O704&gt;30,"2-Sedang",IF(O704&gt;0,"3-Rendah","4-Pantau"))))</f>
        <v/>
      </c>
      <c r="S704" s="39" t="str">
        <f aca="false">IF(AND(M704&gt;0,O704&gt;0),O704+M704/1000000000000+ROW()/1000000000000000,"")</f>
        <v/>
      </c>
      <c r="T704" s="39" t="str">
        <f aca="false">IF(J704="Belum ditukar",ROW(),"")</f>
        <v/>
      </c>
    </row>
    <row r="705" customFormat="false" ht="15" hidden="false" customHeight="false" outlineLevel="0" collapsed="false">
      <c r="A705" s="50" t="s">
        <v>987</v>
      </c>
      <c r="B705" s="51" t="n">
        <v>45807</v>
      </c>
      <c r="C705" s="50" t="s">
        <v>174</v>
      </c>
      <c r="D705" s="39" t="str">
        <f aca="false">INDEX(Master_Customer!$B$2:$B$126,MATCH(C705,Master_Customer!$A$2:$A$126,0))</f>
        <v>SUMBER TEKNIK SURYA</v>
      </c>
      <c r="E705" s="50" t="s">
        <v>31</v>
      </c>
      <c r="F705" s="52" t="n">
        <f aca="false">SUMIFS(Data_Penjualan!$G$2:$G$5998,Data_Penjualan!$A$2:$A$5998,A705)</f>
        <v>3131000</v>
      </c>
      <c r="G705" s="39" t="n">
        <f aca="false">IF(E705="KANTOR",0,INDEX(Master_Customer!$C$2:$C$126,MATCH(C705,Master_Customer!$A$2:$A$126,0)))</f>
        <v>30</v>
      </c>
      <c r="H705" s="53" t="n">
        <f aca="false">B705+G705</f>
        <v>45837</v>
      </c>
      <c r="I705" s="51" t="n">
        <v>45809</v>
      </c>
      <c r="J705" s="39" t="str">
        <f aca="false">IF(G705=0,"Tunai",IF(I705="","Belum ditukar","Sudah ditukar"))</f>
        <v>Sudah ditukar</v>
      </c>
      <c r="K705" s="54" t="n">
        <v>3131000</v>
      </c>
      <c r="L705" s="51" t="n">
        <v>45832</v>
      </c>
      <c r="M705" s="52" t="n">
        <f aca="false">F705-K705</f>
        <v>0</v>
      </c>
      <c r="N705" s="39" t="str">
        <f aca="false">IF(M705&lt;=0,"Lunas",IF(K705&gt;0,"Sebagian","Belum Bayar"))</f>
        <v>Lunas</v>
      </c>
      <c r="O705" s="39" t="n">
        <f aca="false">IF(M705&gt;0,MAX(0,Catatan!$B$3-H705),0)</f>
        <v>0</v>
      </c>
      <c r="P705" s="39" t="str">
        <f aca="false">IF(M705&lt;=0,"Lunas",IF(Catatan!$B$3&lt;=H705,"Belum Jatuh Tempo",IF(O705&lt;=30,"1-30 hari",IF(O705&lt;=60,"31-60 hari",IF(O705&lt;=90,"61-90 hari","90+ hari")))))</f>
        <v>Lunas</v>
      </c>
      <c r="Q705" s="50"/>
      <c r="R705" s="39" t="str">
        <f aca="false">IF(M705&lt;=0,"",IF(O705&gt;60,"1-Tinggi",IF(O705&gt;30,"2-Sedang",IF(O705&gt;0,"3-Rendah","4-Pantau"))))</f>
        <v/>
      </c>
      <c r="S705" s="39" t="str">
        <f aca="false">IF(AND(M705&gt;0,O705&gt;0),O705+M705/1000000000000+ROW()/1000000000000000,"")</f>
        <v/>
      </c>
      <c r="T705" s="39" t="str">
        <f aca="false">IF(J705="Belum ditukar",ROW(),"")</f>
        <v/>
      </c>
    </row>
    <row r="706" customFormat="false" ht="15" hidden="false" customHeight="false" outlineLevel="0" collapsed="false">
      <c r="A706" s="50" t="s">
        <v>988</v>
      </c>
      <c r="B706" s="51" t="n">
        <v>45807</v>
      </c>
      <c r="C706" s="50" t="s">
        <v>405</v>
      </c>
      <c r="D706" s="39" t="str">
        <f aca="false">INDEX(Master_Customer!$B$2:$B$126,MATCH(C706,Master_Customer!$A$2:$A$126,0))</f>
        <v>BINTANG BENGKEL HARAPAN</v>
      </c>
      <c r="E706" s="50" t="s">
        <v>30</v>
      </c>
      <c r="F706" s="52" t="n">
        <f aca="false">SUMIFS(Data_Penjualan!$G$2:$G$5998,Data_Penjualan!$A$2:$A$5998,A706)</f>
        <v>12499600</v>
      </c>
      <c r="G706" s="39" t="n">
        <f aca="false">IF(E706="KANTOR",0,INDEX(Master_Customer!$C$2:$C$126,MATCH(C706,Master_Customer!$A$2:$A$126,0)))</f>
        <v>14</v>
      </c>
      <c r="H706" s="53" t="n">
        <f aca="false">B706+G706</f>
        <v>45821</v>
      </c>
      <c r="I706" s="51" t="n">
        <v>45811</v>
      </c>
      <c r="J706" s="39" t="str">
        <f aca="false">IF(G706=0,"Tunai",IF(I706="","Belum ditukar","Sudah ditukar"))</f>
        <v>Sudah ditukar</v>
      </c>
      <c r="K706" s="54" t="n">
        <v>12499600</v>
      </c>
      <c r="L706" s="51" t="n">
        <v>45819</v>
      </c>
      <c r="M706" s="52" t="n">
        <f aca="false">F706-K706</f>
        <v>0</v>
      </c>
      <c r="N706" s="39" t="str">
        <f aca="false">IF(M706&lt;=0,"Lunas",IF(K706&gt;0,"Sebagian","Belum Bayar"))</f>
        <v>Lunas</v>
      </c>
      <c r="O706" s="39" t="n">
        <f aca="false">IF(M706&gt;0,MAX(0,Catatan!$B$3-H706),0)</f>
        <v>0</v>
      </c>
      <c r="P706" s="39" t="str">
        <f aca="false">IF(M706&lt;=0,"Lunas",IF(Catatan!$B$3&lt;=H706,"Belum Jatuh Tempo",IF(O706&lt;=30,"1-30 hari",IF(O706&lt;=60,"31-60 hari",IF(O706&lt;=90,"61-90 hari","90+ hari")))))</f>
        <v>Lunas</v>
      </c>
      <c r="Q706" s="50"/>
      <c r="R706" s="39" t="str">
        <f aca="false">IF(M706&lt;=0,"",IF(O706&gt;60,"1-Tinggi",IF(O706&gt;30,"2-Sedang",IF(O706&gt;0,"3-Rendah","4-Pantau"))))</f>
        <v/>
      </c>
      <c r="S706" s="39" t="str">
        <f aca="false">IF(AND(M706&gt;0,O706&gt;0),O706+M706/1000000000000+ROW()/1000000000000000,"")</f>
        <v/>
      </c>
      <c r="T706" s="39" t="str">
        <f aca="false">IF(J706="Belum ditukar",ROW(),"")</f>
        <v/>
      </c>
    </row>
    <row r="707" customFormat="false" ht="15" hidden="false" customHeight="false" outlineLevel="0" collapsed="false">
      <c r="A707" s="50" t="s">
        <v>989</v>
      </c>
      <c r="B707" s="51" t="n">
        <v>45807</v>
      </c>
      <c r="C707" s="50" t="s">
        <v>838</v>
      </c>
      <c r="D707" s="39" t="str">
        <f aca="false">INDEX(Master_Customer!$B$2:$B$126,MATCH(C707,Master_Customer!$A$2:$A$126,0))</f>
        <v>HARAPAN AUTO</v>
      </c>
      <c r="E707" s="50" t="s">
        <v>30</v>
      </c>
      <c r="F707" s="52" t="n">
        <f aca="false">SUMIFS(Data_Penjualan!$G$2:$G$5998,Data_Penjualan!$A$2:$A$5998,A707)</f>
        <v>9745400</v>
      </c>
      <c r="G707" s="39" t="n">
        <f aca="false">IF(E707="KANTOR",0,INDEX(Master_Customer!$C$2:$C$126,MATCH(C707,Master_Customer!$A$2:$A$126,0)))</f>
        <v>30</v>
      </c>
      <c r="H707" s="53" t="n">
        <f aca="false">B707+G707</f>
        <v>45837</v>
      </c>
      <c r="I707" s="51" t="n">
        <v>45812</v>
      </c>
      <c r="J707" s="39" t="str">
        <f aca="false">IF(G707=0,"Tunai",IF(I707="","Belum ditukar","Sudah ditukar"))</f>
        <v>Sudah ditukar</v>
      </c>
      <c r="K707" s="54" t="n">
        <v>9745400</v>
      </c>
      <c r="L707" s="51" t="n">
        <v>45836</v>
      </c>
      <c r="M707" s="52" t="n">
        <f aca="false">F707-K707</f>
        <v>0</v>
      </c>
      <c r="N707" s="39" t="str">
        <f aca="false">IF(M707&lt;=0,"Lunas",IF(K707&gt;0,"Sebagian","Belum Bayar"))</f>
        <v>Lunas</v>
      </c>
      <c r="O707" s="39" t="n">
        <f aca="false">IF(M707&gt;0,MAX(0,Catatan!$B$3-H707),0)</f>
        <v>0</v>
      </c>
      <c r="P707" s="39" t="str">
        <f aca="false">IF(M707&lt;=0,"Lunas",IF(Catatan!$B$3&lt;=H707,"Belum Jatuh Tempo",IF(O707&lt;=30,"1-30 hari",IF(O707&lt;=60,"31-60 hari",IF(O707&lt;=90,"61-90 hari","90+ hari")))))</f>
        <v>Lunas</v>
      </c>
      <c r="Q707" s="50"/>
      <c r="R707" s="39" t="str">
        <f aca="false">IF(M707&lt;=0,"",IF(O707&gt;60,"1-Tinggi",IF(O707&gt;30,"2-Sedang",IF(O707&gt;0,"3-Rendah","4-Pantau"))))</f>
        <v/>
      </c>
      <c r="S707" s="39" t="str">
        <f aca="false">IF(AND(M707&gt;0,O707&gt;0),O707+M707/1000000000000+ROW()/1000000000000000,"")</f>
        <v/>
      </c>
      <c r="T707" s="39" t="str">
        <f aca="false">IF(J707="Belum ditukar",ROW(),"")</f>
        <v/>
      </c>
    </row>
    <row r="708" customFormat="false" ht="15" hidden="false" customHeight="false" outlineLevel="0" collapsed="false">
      <c r="A708" s="50" t="s">
        <v>990</v>
      </c>
      <c r="B708" s="51" t="n">
        <v>45807</v>
      </c>
      <c r="C708" s="50" t="s">
        <v>199</v>
      </c>
      <c r="D708" s="39" t="str">
        <f aca="false">INDEX(Master_Customer!$B$2:$B$126,MATCH(C708,Master_Customer!$A$2:$A$126,0))</f>
        <v>KARYA SPAREPART</v>
      </c>
      <c r="E708" s="50" t="s">
        <v>32</v>
      </c>
      <c r="F708" s="52" t="n">
        <f aca="false">SUMIFS(Data_Penjualan!$G$2:$G$5998,Data_Penjualan!$A$2:$A$5998,A708)</f>
        <v>23750100</v>
      </c>
      <c r="G708" s="39" t="n">
        <f aca="false">IF(E708="KANTOR",0,INDEX(Master_Customer!$C$2:$C$126,MATCH(C708,Master_Customer!$A$2:$A$126,0)))</f>
        <v>0</v>
      </c>
      <c r="H708" s="53" t="n">
        <f aca="false">B708+G708</f>
        <v>45807</v>
      </c>
      <c r="J708" s="39" t="str">
        <f aca="false">IF(G708=0,"Tunai",IF(I708="","Belum ditukar","Sudah ditukar"))</f>
        <v>Tunai</v>
      </c>
      <c r="K708" s="54" t="n">
        <v>23750100</v>
      </c>
      <c r="L708" s="51" t="n">
        <v>45807</v>
      </c>
      <c r="M708" s="52" t="n">
        <f aca="false">F708-K708</f>
        <v>0</v>
      </c>
      <c r="N708" s="39" t="str">
        <f aca="false">IF(M708&lt;=0,"Lunas",IF(K708&gt;0,"Sebagian","Belum Bayar"))</f>
        <v>Lunas</v>
      </c>
      <c r="O708" s="39" t="n">
        <f aca="false">IF(M708&gt;0,MAX(0,Catatan!$B$3-H708),0)</f>
        <v>0</v>
      </c>
      <c r="P708" s="39" t="str">
        <f aca="false">IF(M708&lt;=0,"Lunas",IF(Catatan!$B$3&lt;=H708,"Belum Jatuh Tempo",IF(O708&lt;=30,"1-30 hari",IF(O708&lt;=60,"31-60 hari",IF(O708&lt;=90,"61-90 hari","90+ hari")))))</f>
        <v>Lunas</v>
      </c>
      <c r="Q708" s="50"/>
      <c r="R708" s="39" t="str">
        <f aca="false">IF(M708&lt;=0,"",IF(O708&gt;60,"1-Tinggi",IF(O708&gt;30,"2-Sedang",IF(O708&gt;0,"3-Rendah","4-Pantau"))))</f>
        <v/>
      </c>
      <c r="S708" s="39" t="str">
        <f aca="false">IF(AND(M708&gt;0,O708&gt;0),O708+M708/1000000000000+ROW()/1000000000000000,"")</f>
        <v/>
      </c>
      <c r="T708" s="39" t="str">
        <f aca="false">IF(J708="Belum ditukar",ROW(),"")</f>
        <v/>
      </c>
    </row>
    <row r="709" customFormat="false" ht="15" hidden="false" customHeight="false" outlineLevel="0" collapsed="false">
      <c r="A709" s="50" t="s">
        <v>991</v>
      </c>
      <c r="B709" s="51" t="n">
        <v>45807</v>
      </c>
      <c r="C709" s="50" t="s">
        <v>634</v>
      </c>
      <c r="D709" s="39" t="str">
        <f aca="false">INDEX(Master_Customer!$B$2:$B$126,MATCH(C709,Master_Customer!$A$2:$A$126,0))</f>
        <v>TIRTA GARAGE</v>
      </c>
      <c r="E709" s="50" t="s">
        <v>29</v>
      </c>
      <c r="F709" s="52" t="n">
        <f aca="false">SUMIFS(Data_Penjualan!$G$2:$G$5998,Data_Penjualan!$A$2:$A$5998,A709)</f>
        <v>13015900</v>
      </c>
      <c r="G709" s="39" t="n">
        <f aca="false">IF(E709="KANTOR",0,INDEX(Master_Customer!$C$2:$C$126,MATCH(C709,Master_Customer!$A$2:$A$126,0)))</f>
        <v>30</v>
      </c>
      <c r="H709" s="53" t="n">
        <f aca="false">B709+G709</f>
        <v>45837</v>
      </c>
      <c r="I709" s="51" t="n">
        <v>45808</v>
      </c>
      <c r="J709" s="39" t="str">
        <f aca="false">IF(G709=0,"Tunai",IF(I709="","Belum ditukar","Sudah ditukar"))</f>
        <v>Sudah ditukar</v>
      </c>
      <c r="K709" s="54" t="n">
        <v>13015900</v>
      </c>
      <c r="L709" s="51" t="n">
        <v>45833</v>
      </c>
      <c r="M709" s="52" t="n">
        <f aca="false">F709-K709</f>
        <v>0</v>
      </c>
      <c r="N709" s="39" t="str">
        <f aca="false">IF(M709&lt;=0,"Lunas",IF(K709&gt;0,"Sebagian","Belum Bayar"))</f>
        <v>Lunas</v>
      </c>
      <c r="O709" s="39" t="n">
        <f aca="false">IF(M709&gt;0,MAX(0,Catatan!$B$3-H709),0)</f>
        <v>0</v>
      </c>
      <c r="P709" s="39" t="str">
        <f aca="false">IF(M709&lt;=0,"Lunas",IF(Catatan!$B$3&lt;=H709,"Belum Jatuh Tempo",IF(O709&lt;=30,"1-30 hari",IF(O709&lt;=60,"31-60 hari",IF(O709&lt;=90,"61-90 hari","90+ hari")))))</f>
        <v>Lunas</v>
      </c>
      <c r="Q709" s="50"/>
      <c r="R709" s="39" t="str">
        <f aca="false">IF(M709&lt;=0,"",IF(O709&gt;60,"1-Tinggi",IF(O709&gt;30,"2-Sedang",IF(O709&gt;0,"3-Rendah","4-Pantau"))))</f>
        <v/>
      </c>
      <c r="S709" s="39" t="str">
        <f aca="false">IF(AND(M709&gt;0,O709&gt;0),O709+M709/1000000000000+ROW()/1000000000000000,"")</f>
        <v/>
      </c>
      <c r="T709" s="39" t="str">
        <f aca="false">IF(J709="Belum ditukar",ROW(),"")</f>
        <v/>
      </c>
    </row>
    <row r="710" customFormat="false" ht="15" hidden="false" customHeight="false" outlineLevel="0" collapsed="false">
      <c r="A710" s="50" t="s">
        <v>992</v>
      </c>
      <c r="B710" s="51" t="n">
        <v>45807</v>
      </c>
      <c r="C710" s="50" t="s">
        <v>358</v>
      </c>
      <c r="D710" s="39" t="str">
        <f aca="false">INDEX(Master_Customer!$B$2:$B$126,MATCH(C710,Master_Customer!$A$2:$A$126,0))</f>
        <v>HARAPAN TEKNIK</v>
      </c>
      <c r="E710" s="50" t="s">
        <v>31</v>
      </c>
      <c r="F710" s="52" t="n">
        <f aca="false">SUMIFS(Data_Penjualan!$G$2:$G$5998,Data_Penjualan!$A$2:$A$5998,A710)</f>
        <v>4605500</v>
      </c>
      <c r="G710" s="39" t="n">
        <f aca="false">IF(E710="KANTOR",0,INDEX(Master_Customer!$C$2:$C$126,MATCH(C710,Master_Customer!$A$2:$A$126,0)))</f>
        <v>0</v>
      </c>
      <c r="H710" s="53" t="n">
        <f aca="false">B710+G710</f>
        <v>45807</v>
      </c>
      <c r="J710" s="39" t="str">
        <f aca="false">IF(G710=0,"Tunai",IF(I710="","Belum ditukar","Sudah ditukar"))</f>
        <v>Tunai</v>
      </c>
      <c r="K710" s="54" t="n">
        <v>4605500</v>
      </c>
      <c r="L710" s="51" t="n">
        <v>45809</v>
      </c>
      <c r="M710" s="52" t="n">
        <f aca="false">F710-K710</f>
        <v>0</v>
      </c>
      <c r="N710" s="39" t="str">
        <f aca="false">IF(M710&lt;=0,"Lunas",IF(K710&gt;0,"Sebagian","Belum Bayar"))</f>
        <v>Lunas</v>
      </c>
      <c r="O710" s="39" t="n">
        <f aca="false">IF(M710&gt;0,MAX(0,Catatan!$B$3-H710),0)</f>
        <v>0</v>
      </c>
      <c r="P710" s="39" t="str">
        <f aca="false">IF(M710&lt;=0,"Lunas",IF(Catatan!$B$3&lt;=H710,"Belum Jatuh Tempo",IF(O710&lt;=30,"1-30 hari",IF(O710&lt;=60,"31-60 hari",IF(O710&lt;=90,"61-90 hari","90+ hari")))))</f>
        <v>Lunas</v>
      </c>
      <c r="Q710" s="50"/>
      <c r="R710" s="39" t="str">
        <f aca="false">IF(M710&lt;=0,"",IF(O710&gt;60,"1-Tinggi",IF(O710&gt;30,"2-Sedang",IF(O710&gt;0,"3-Rendah","4-Pantau"))))</f>
        <v/>
      </c>
      <c r="S710" s="39" t="str">
        <f aca="false">IF(AND(M710&gt;0,O710&gt;0),O710+M710/1000000000000+ROW()/1000000000000000,"")</f>
        <v/>
      </c>
      <c r="T710" s="39" t="str">
        <f aca="false">IF(J710="Belum ditukar",ROW(),"")</f>
        <v/>
      </c>
    </row>
    <row r="711" customFormat="false" ht="15" hidden="false" customHeight="false" outlineLevel="0" collapsed="false">
      <c r="A711" s="50" t="s">
        <v>993</v>
      </c>
      <c r="B711" s="51" t="n">
        <v>45807</v>
      </c>
      <c r="C711" s="50" t="s">
        <v>243</v>
      </c>
      <c r="D711" s="39" t="str">
        <f aca="false">INDEX(Master_Customer!$B$2:$B$126,MATCH(C711,Master_Customer!$A$2:$A$126,0))</f>
        <v>SENTOSA LUBRICANT MULIA</v>
      </c>
      <c r="E711" s="50" t="s">
        <v>32</v>
      </c>
      <c r="F711" s="52" t="n">
        <f aca="false">SUMIFS(Data_Penjualan!$G$2:$G$5998,Data_Penjualan!$A$2:$A$5998,A711)</f>
        <v>14911900</v>
      </c>
      <c r="G711" s="39" t="n">
        <f aca="false">IF(E711="KANTOR",0,INDEX(Master_Customer!$C$2:$C$126,MATCH(C711,Master_Customer!$A$2:$A$126,0)))</f>
        <v>0</v>
      </c>
      <c r="H711" s="53" t="n">
        <f aca="false">B711+G711</f>
        <v>45807</v>
      </c>
      <c r="J711" s="39" t="str">
        <f aca="false">IF(G711=0,"Tunai",IF(I711="","Belum ditukar","Sudah ditukar"))</f>
        <v>Tunai</v>
      </c>
      <c r="K711" s="54" t="n">
        <v>14911900</v>
      </c>
      <c r="L711" s="51" t="n">
        <v>45808</v>
      </c>
      <c r="M711" s="52" t="n">
        <f aca="false">F711-K711</f>
        <v>0</v>
      </c>
      <c r="N711" s="39" t="str">
        <f aca="false">IF(M711&lt;=0,"Lunas",IF(K711&gt;0,"Sebagian","Belum Bayar"))</f>
        <v>Lunas</v>
      </c>
      <c r="O711" s="39" t="n">
        <f aca="false">IF(M711&gt;0,MAX(0,Catatan!$B$3-H711),0)</f>
        <v>0</v>
      </c>
      <c r="P711" s="39" t="str">
        <f aca="false">IF(M711&lt;=0,"Lunas",IF(Catatan!$B$3&lt;=H711,"Belum Jatuh Tempo",IF(O711&lt;=30,"1-30 hari",IF(O711&lt;=60,"31-60 hari",IF(O711&lt;=90,"61-90 hari","90+ hari")))))</f>
        <v>Lunas</v>
      </c>
      <c r="Q711" s="50"/>
      <c r="R711" s="39" t="str">
        <f aca="false">IF(M711&lt;=0,"",IF(O711&gt;60,"1-Tinggi",IF(O711&gt;30,"2-Sedang",IF(O711&gt;0,"3-Rendah","4-Pantau"))))</f>
        <v/>
      </c>
      <c r="S711" s="39" t="str">
        <f aca="false">IF(AND(M711&gt;0,O711&gt;0),O711+M711/1000000000000+ROW()/1000000000000000,"")</f>
        <v/>
      </c>
      <c r="T711" s="39" t="str">
        <f aca="false">IF(J711="Belum ditukar",ROW(),"")</f>
        <v/>
      </c>
    </row>
    <row r="712" customFormat="false" ht="15" hidden="false" customHeight="false" outlineLevel="0" collapsed="false">
      <c r="A712" s="50" t="s">
        <v>994</v>
      </c>
      <c r="B712" s="51" t="n">
        <v>45808</v>
      </c>
      <c r="C712" s="50" t="s">
        <v>174</v>
      </c>
      <c r="D712" s="39" t="str">
        <f aca="false">INDEX(Master_Customer!$B$2:$B$126,MATCH(C712,Master_Customer!$A$2:$A$126,0))</f>
        <v>SUMBER TEKNIK SURYA</v>
      </c>
      <c r="E712" s="50" t="s">
        <v>31</v>
      </c>
      <c r="F712" s="52" t="n">
        <f aca="false">SUMIFS(Data_Penjualan!$G$2:$G$5998,Data_Penjualan!$A$2:$A$5998,A712)</f>
        <v>11953300</v>
      </c>
      <c r="G712" s="39" t="n">
        <f aca="false">IF(E712="KANTOR",0,INDEX(Master_Customer!$C$2:$C$126,MATCH(C712,Master_Customer!$A$2:$A$126,0)))</f>
        <v>30</v>
      </c>
      <c r="H712" s="53" t="n">
        <f aca="false">B712+G712</f>
        <v>45838</v>
      </c>
      <c r="I712" s="51" t="n">
        <v>45811</v>
      </c>
      <c r="J712" s="39" t="str">
        <f aca="false">IF(G712=0,"Tunai",IF(I712="","Belum ditukar","Sudah ditukar"))</f>
        <v>Sudah ditukar</v>
      </c>
      <c r="K712" s="54" t="n">
        <v>11953300</v>
      </c>
      <c r="L712" s="51" t="n">
        <v>45837</v>
      </c>
      <c r="M712" s="52" t="n">
        <f aca="false">F712-K712</f>
        <v>0</v>
      </c>
      <c r="N712" s="39" t="str">
        <f aca="false">IF(M712&lt;=0,"Lunas",IF(K712&gt;0,"Sebagian","Belum Bayar"))</f>
        <v>Lunas</v>
      </c>
      <c r="O712" s="39" t="n">
        <f aca="false">IF(M712&gt;0,MAX(0,Catatan!$B$3-H712),0)</f>
        <v>0</v>
      </c>
      <c r="P712" s="39" t="str">
        <f aca="false">IF(M712&lt;=0,"Lunas",IF(Catatan!$B$3&lt;=H712,"Belum Jatuh Tempo",IF(O712&lt;=30,"1-30 hari",IF(O712&lt;=60,"31-60 hari",IF(O712&lt;=90,"61-90 hari","90+ hari")))))</f>
        <v>Lunas</v>
      </c>
      <c r="Q712" s="50"/>
      <c r="R712" s="39" t="str">
        <f aca="false">IF(M712&lt;=0,"",IF(O712&gt;60,"1-Tinggi",IF(O712&gt;30,"2-Sedang",IF(O712&gt;0,"3-Rendah","4-Pantau"))))</f>
        <v/>
      </c>
      <c r="S712" s="39" t="str">
        <f aca="false">IF(AND(M712&gt;0,O712&gt;0),O712+M712/1000000000000+ROW()/1000000000000000,"")</f>
        <v/>
      </c>
      <c r="T712" s="39" t="str">
        <f aca="false">IF(J712="Belum ditukar",ROW(),"")</f>
        <v/>
      </c>
    </row>
    <row r="713" customFormat="false" ht="15" hidden="false" customHeight="false" outlineLevel="0" collapsed="false">
      <c r="A713" s="50" t="s">
        <v>995</v>
      </c>
      <c r="B713" s="51" t="n">
        <v>45808</v>
      </c>
      <c r="C713" s="50" t="s">
        <v>197</v>
      </c>
      <c r="D713" s="39" t="str">
        <f aca="false">INDEX(Master_Customer!$B$2:$B$126,MATCH(C713,Master_Customer!$A$2:$A$126,0))</f>
        <v>UTAMA LUBRICANT HARAPAN</v>
      </c>
      <c r="E713" s="50" t="s">
        <v>30</v>
      </c>
      <c r="F713" s="52" t="n">
        <f aca="false">SUMIFS(Data_Penjualan!$G$2:$G$5998,Data_Penjualan!$A$2:$A$5998,A713)</f>
        <v>1808900</v>
      </c>
      <c r="G713" s="39" t="n">
        <f aca="false">IF(E713="KANTOR",0,INDEX(Master_Customer!$C$2:$C$126,MATCH(C713,Master_Customer!$A$2:$A$126,0)))</f>
        <v>30</v>
      </c>
      <c r="H713" s="53" t="n">
        <f aca="false">B713+G713</f>
        <v>45838</v>
      </c>
      <c r="I713" s="51" t="n">
        <v>45811</v>
      </c>
      <c r="J713" s="39" t="str">
        <f aca="false">IF(G713=0,"Tunai",IF(I713="","Belum ditukar","Sudah ditukar"))</f>
        <v>Sudah ditukar</v>
      </c>
      <c r="K713" s="54" t="n">
        <v>1808900</v>
      </c>
      <c r="L713" s="51" t="n">
        <v>45835</v>
      </c>
      <c r="M713" s="52" t="n">
        <f aca="false">F713-K713</f>
        <v>0</v>
      </c>
      <c r="N713" s="39" t="str">
        <f aca="false">IF(M713&lt;=0,"Lunas",IF(K713&gt;0,"Sebagian","Belum Bayar"))</f>
        <v>Lunas</v>
      </c>
      <c r="O713" s="39" t="n">
        <f aca="false">IF(M713&gt;0,MAX(0,Catatan!$B$3-H713),0)</f>
        <v>0</v>
      </c>
      <c r="P713" s="39" t="str">
        <f aca="false">IF(M713&lt;=0,"Lunas",IF(Catatan!$B$3&lt;=H713,"Belum Jatuh Tempo",IF(O713&lt;=30,"1-30 hari",IF(O713&lt;=60,"31-60 hari",IF(O713&lt;=90,"61-90 hari","90+ hari")))))</f>
        <v>Lunas</v>
      </c>
      <c r="Q713" s="50"/>
      <c r="R713" s="39" t="str">
        <f aca="false">IF(M713&lt;=0,"",IF(O713&gt;60,"1-Tinggi",IF(O713&gt;30,"2-Sedang",IF(O713&gt;0,"3-Rendah","4-Pantau"))))</f>
        <v/>
      </c>
      <c r="S713" s="39" t="str">
        <f aca="false">IF(AND(M713&gt;0,O713&gt;0),O713+M713/1000000000000+ROW()/1000000000000000,"")</f>
        <v/>
      </c>
      <c r="T713" s="39" t="str">
        <f aca="false">IF(J713="Belum ditukar",ROW(),"")</f>
        <v/>
      </c>
    </row>
    <row r="714" customFormat="false" ht="15" hidden="false" customHeight="false" outlineLevel="0" collapsed="false">
      <c r="A714" s="50" t="s">
        <v>996</v>
      </c>
      <c r="B714" s="51" t="n">
        <v>45808</v>
      </c>
      <c r="C714" s="50" t="s">
        <v>223</v>
      </c>
      <c r="D714" s="39" t="str">
        <f aca="false">INDEX(Master_Customer!$B$2:$B$126,MATCH(C714,Master_Customer!$A$2:$A$126,0))</f>
        <v>ABADI AUTO UTAMA</v>
      </c>
      <c r="E714" s="50" t="s">
        <v>31</v>
      </c>
      <c r="F714" s="52" t="n">
        <f aca="false">SUMIFS(Data_Penjualan!$G$2:$G$5998,Data_Penjualan!$A$2:$A$5998,A714)</f>
        <v>2469800</v>
      </c>
      <c r="G714" s="39" t="n">
        <f aca="false">IF(E714="KANTOR",0,INDEX(Master_Customer!$C$2:$C$126,MATCH(C714,Master_Customer!$A$2:$A$126,0)))</f>
        <v>14</v>
      </c>
      <c r="H714" s="53" t="n">
        <f aca="false">B714+G714</f>
        <v>45822</v>
      </c>
      <c r="I714" s="51" t="n">
        <v>45809</v>
      </c>
      <c r="J714" s="39" t="str">
        <f aca="false">IF(G714=0,"Tunai",IF(I714="","Belum ditukar","Sudah ditukar"))</f>
        <v>Sudah ditukar</v>
      </c>
      <c r="K714" s="54" t="n">
        <v>2469800</v>
      </c>
      <c r="L714" s="51" t="n">
        <v>45873</v>
      </c>
      <c r="M714" s="52" t="n">
        <f aca="false">F714-K714</f>
        <v>0</v>
      </c>
      <c r="N714" s="39" t="str">
        <f aca="false">IF(M714&lt;=0,"Lunas",IF(K714&gt;0,"Sebagian","Belum Bayar"))</f>
        <v>Lunas</v>
      </c>
      <c r="O714" s="39" t="n">
        <f aca="false">IF(M714&gt;0,MAX(0,Catatan!$B$3-H714),0)</f>
        <v>0</v>
      </c>
      <c r="P714" s="39" t="str">
        <f aca="false">IF(M714&lt;=0,"Lunas",IF(Catatan!$B$3&lt;=H714,"Belum Jatuh Tempo",IF(O714&lt;=30,"1-30 hari",IF(O714&lt;=60,"31-60 hari",IF(O714&lt;=90,"61-90 hari","90+ hari")))))</f>
        <v>Lunas</v>
      </c>
      <c r="Q714" s="50"/>
      <c r="R714" s="39" t="str">
        <f aca="false">IF(M714&lt;=0,"",IF(O714&gt;60,"1-Tinggi",IF(O714&gt;30,"2-Sedang",IF(O714&gt;0,"3-Rendah","4-Pantau"))))</f>
        <v/>
      </c>
      <c r="S714" s="39" t="str">
        <f aca="false">IF(AND(M714&gt;0,O714&gt;0),O714+M714/1000000000000+ROW()/1000000000000000,"")</f>
        <v/>
      </c>
      <c r="T714" s="39" t="str">
        <f aca="false">IF(J714="Belum ditukar",ROW(),"")</f>
        <v/>
      </c>
    </row>
    <row r="715" customFormat="false" ht="15" hidden="false" customHeight="false" outlineLevel="0" collapsed="false">
      <c r="A715" s="50" t="s">
        <v>997</v>
      </c>
      <c r="B715" s="51" t="n">
        <v>45808</v>
      </c>
      <c r="C715" s="50" t="s">
        <v>349</v>
      </c>
      <c r="D715" s="39" t="str">
        <f aca="false">INDEX(Master_Customer!$B$2:$B$126,MATCH(C715,Master_Customer!$A$2:$A$126,0))</f>
        <v>MITRA GARAGE MULIA</v>
      </c>
      <c r="E715" s="50" t="s">
        <v>32</v>
      </c>
      <c r="F715" s="52" t="n">
        <f aca="false">SUMIFS(Data_Penjualan!$G$2:$G$5998,Data_Penjualan!$A$2:$A$5998,A715)</f>
        <v>6875200</v>
      </c>
      <c r="G715" s="39" t="n">
        <f aca="false">IF(E715="KANTOR",0,INDEX(Master_Customer!$C$2:$C$126,MATCH(C715,Master_Customer!$A$2:$A$126,0)))</f>
        <v>0</v>
      </c>
      <c r="H715" s="53" t="n">
        <f aca="false">B715+G715</f>
        <v>45808</v>
      </c>
      <c r="J715" s="39" t="str">
        <f aca="false">IF(G715=0,"Tunai",IF(I715="","Belum ditukar","Sudah ditukar"))</f>
        <v>Tunai</v>
      </c>
      <c r="K715" s="54" t="n">
        <v>6875200</v>
      </c>
      <c r="L715" s="51" t="n">
        <v>45808</v>
      </c>
      <c r="M715" s="52" t="n">
        <f aca="false">F715-K715</f>
        <v>0</v>
      </c>
      <c r="N715" s="39" t="str">
        <f aca="false">IF(M715&lt;=0,"Lunas",IF(K715&gt;0,"Sebagian","Belum Bayar"))</f>
        <v>Lunas</v>
      </c>
      <c r="O715" s="39" t="n">
        <f aca="false">IF(M715&gt;0,MAX(0,Catatan!$B$3-H715),0)</f>
        <v>0</v>
      </c>
      <c r="P715" s="39" t="str">
        <f aca="false">IF(M715&lt;=0,"Lunas",IF(Catatan!$B$3&lt;=H715,"Belum Jatuh Tempo",IF(O715&lt;=30,"1-30 hari",IF(O715&lt;=60,"31-60 hari",IF(O715&lt;=90,"61-90 hari","90+ hari")))))</f>
        <v>Lunas</v>
      </c>
      <c r="Q715" s="50"/>
      <c r="R715" s="39" t="str">
        <f aca="false">IF(M715&lt;=0,"",IF(O715&gt;60,"1-Tinggi",IF(O715&gt;30,"2-Sedang",IF(O715&gt;0,"3-Rendah","4-Pantau"))))</f>
        <v/>
      </c>
      <c r="S715" s="39" t="str">
        <f aca="false">IF(AND(M715&gt;0,O715&gt;0),O715+M715/1000000000000+ROW()/1000000000000000,"")</f>
        <v/>
      </c>
      <c r="T715" s="39" t="str">
        <f aca="false">IF(J715="Belum ditukar",ROW(),"")</f>
        <v/>
      </c>
    </row>
    <row r="716" customFormat="false" ht="15" hidden="false" customHeight="false" outlineLevel="0" collapsed="false">
      <c r="A716" s="50" t="s">
        <v>998</v>
      </c>
      <c r="B716" s="51" t="n">
        <v>45810</v>
      </c>
      <c r="C716" s="50" t="s">
        <v>967</v>
      </c>
      <c r="D716" s="39" t="str">
        <f aca="false">INDEX(Master_Customer!$B$2:$B$126,MATCH(C716,Master_Customer!$A$2:$A$126,0))</f>
        <v>MAKMUR SPAREPART GEMILANG</v>
      </c>
      <c r="E716" s="50" t="s">
        <v>29</v>
      </c>
      <c r="F716" s="52" t="n">
        <f aca="false">SUMIFS(Data_Penjualan!$G$2:$G$5998,Data_Penjualan!$A$2:$A$5998,A716)</f>
        <v>6263000</v>
      </c>
      <c r="G716" s="39" t="n">
        <f aca="false">IF(E716="KANTOR",0,INDEX(Master_Customer!$C$2:$C$126,MATCH(C716,Master_Customer!$A$2:$A$126,0)))</f>
        <v>14</v>
      </c>
      <c r="H716" s="53" t="n">
        <f aca="false">B716+G716</f>
        <v>45824</v>
      </c>
      <c r="I716" s="51" t="n">
        <v>45814</v>
      </c>
      <c r="J716" s="39" t="str">
        <f aca="false">IF(G716=0,"Tunai",IF(I716="","Belum ditukar","Sudah ditukar"))</f>
        <v>Sudah ditukar</v>
      </c>
      <c r="K716" s="54" t="n">
        <v>6263000</v>
      </c>
      <c r="L716" s="51" t="n">
        <v>45823</v>
      </c>
      <c r="M716" s="52" t="n">
        <f aca="false">F716-K716</f>
        <v>0</v>
      </c>
      <c r="N716" s="39" t="str">
        <f aca="false">IF(M716&lt;=0,"Lunas",IF(K716&gt;0,"Sebagian","Belum Bayar"))</f>
        <v>Lunas</v>
      </c>
      <c r="O716" s="39" t="n">
        <f aca="false">IF(M716&gt;0,MAX(0,Catatan!$B$3-H716),0)</f>
        <v>0</v>
      </c>
      <c r="P716" s="39" t="str">
        <f aca="false">IF(M716&lt;=0,"Lunas",IF(Catatan!$B$3&lt;=H716,"Belum Jatuh Tempo",IF(O716&lt;=30,"1-30 hari",IF(O716&lt;=60,"31-60 hari",IF(O716&lt;=90,"61-90 hari","90+ hari")))))</f>
        <v>Lunas</v>
      </c>
      <c r="Q716" s="50"/>
      <c r="R716" s="39" t="str">
        <f aca="false">IF(M716&lt;=0,"",IF(O716&gt;60,"1-Tinggi",IF(O716&gt;30,"2-Sedang",IF(O716&gt;0,"3-Rendah","4-Pantau"))))</f>
        <v/>
      </c>
      <c r="S716" s="39" t="str">
        <f aca="false">IF(AND(M716&gt;0,O716&gt;0),O716+M716/1000000000000+ROW()/1000000000000000,"")</f>
        <v/>
      </c>
      <c r="T716" s="39" t="str">
        <f aca="false">IF(J716="Belum ditukar",ROW(),"")</f>
        <v/>
      </c>
    </row>
    <row r="717" customFormat="false" ht="15" hidden="false" customHeight="false" outlineLevel="0" collapsed="false">
      <c r="A717" s="50" t="s">
        <v>999</v>
      </c>
      <c r="B717" s="51" t="n">
        <v>45810</v>
      </c>
      <c r="C717" s="50" t="s">
        <v>395</v>
      </c>
      <c r="D717" s="39" t="str">
        <f aca="false">INDEX(Master_Customer!$B$2:$B$126,MATCH(C717,Master_Customer!$A$2:$A$126,0))</f>
        <v>TIRTA SERVICE</v>
      </c>
      <c r="E717" s="50" t="s">
        <v>28</v>
      </c>
      <c r="F717" s="52" t="n">
        <f aca="false">SUMIFS(Data_Penjualan!$G$2:$G$5998,Data_Penjualan!$A$2:$A$5998,A717)</f>
        <v>8552600</v>
      </c>
      <c r="G717" s="39" t="n">
        <f aca="false">IF(E717="KANTOR",0,INDEX(Master_Customer!$C$2:$C$126,MATCH(C717,Master_Customer!$A$2:$A$126,0)))</f>
        <v>0</v>
      </c>
      <c r="H717" s="53" t="n">
        <f aca="false">B717+G717</f>
        <v>45810</v>
      </c>
      <c r="J717" s="39" t="str">
        <f aca="false">IF(G717=0,"Tunai",IF(I717="","Belum ditukar","Sudah ditukar"))</f>
        <v>Tunai</v>
      </c>
      <c r="K717" s="54" t="n">
        <v>8552600</v>
      </c>
      <c r="L717" s="51" t="n">
        <v>45810</v>
      </c>
      <c r="M717" s="52" t="n">
        <f aca="false">F717-K717</f>
        <v>0</v>
      </c>
      <c r="N717" s="39" t="str">
        <f aca="false">IF(M717&lt;=0,"Lunas",IF(K717&gt;0,"Sebagian","Belum Bayar"))</f>
        <v>Lunas</v>
      </c>
      <c r="O717" s="39" t="n">
        <f aca="false">IF(M717&gt;0,MAX(0,Catatan!$B$3-H717),0)</f>
        <v>0</v>
      </c>
      <c r="P717" s="39" t="str">
        <f aca="false">IF(M717&lt;=0,"Lunas",IF(Catatan!$B$3&lt;=H717,"Belum Jatuh Tempo",IF(O717&lt;=30,"1-30 hari",IF(O717&lt;=60,"31-60 hari",IF(O717&lt;=90,"61-90 hari","90+ hari")))))</f>
        <v>Lunas</v>
      </c>
      <c r="Q717" s="50"/>
      <c r="R717" s="39" t="str">
        <f aca="false">IF(M717&lt;=0,"",IF(O717&gt;60,"1-Tinggi",IF(O717&gt;30,"2-Sedang",IF(O717&gt;0,"3-Rendah","4-Pantau"))))</f>
        <v/>
      </c>
      <c r="S717" s="39" t="str">
        <f aca="false">IF(AND(M717&gt;0,O717&gt;0),O717+M717/1000000000000+ROW()/1000000000000000,"")</f>
        <v/>
      </c>
      <c r="T717" s="39" t="str">
        <f aca="false">IF(J717="Belum ditukar",ROW(),"")</f>
        <v/>
      </c>
    </row>
    <row r="718" customFormat="false" ht="15" hidden="false" customHeight="false" outlineLevel="0" collapsed="false">
      <c r="A718" s="50" t="s">
        <v>1000</v>
      </c>
      <c r="B718" s="51" t="n">
        <v>45810</v>
      </c>
      <c r="C718" s="50" t="s">
        <v>174</v>
      </c>
      <c r="D718" s="39" t="str">
        <f aca="false">INDEX(Master_Customer!$B$2:$B$126,MATCH(C718,Master_Customer!$A$2:$A$126,0))</f>
        <v>SUMBER TEKNIK SURYA</v>
      </c>
      <c r="E718" s="50" t="s">
        <v>31</v>
      </c>
      <c r="F718" s="52" t="n">
        <f aca="false">SUMIFS(Data_Penjualan!$G$2:$G$5998,Data_Penjualan!$A$2:$A$5998,A718)</f>
        <v>8272700</v>
      </c>
      <c r="G718" s="39" t="n">
        <f aca="false">IF(E718="KANTOR",0,INDEX(Master_Customer!$C$2:$C$126,MATCH(C718,Master_Customer!$A$2:$A$126,0)))</f>
        <v>30</v>
      </c>
      <c r="H718" s="53" t="n">
        <f aca="false">B718+G718</f>
        <v>45840</v>
      </c>
      <c r="I718" s="51" t="n">
        <v>45814</v>
      </c>
      <c r="J718" s="39" t="str">
        <f aca="false">IF(G718=0,"Tunai",IF(I718="","Belum ditukar","Sudah ditukar"))</f>
        <v>Sudah ditukar</v>
      </c>
      <c r="K718" s="54" t="n">
        <v>8272700</v>
      </c>
      <c r="L718" s="51" t="n">
        <v>45836</v>
      </c>
      <c r="M718" s="52" t="n">
        <f aca="false">F718-K718</f>
        <v>0</v>
      </c>
      <c r="N718" s="39" t="str">
        <f aca="false">IF(M718&lt;=0,"Lunas",IF(K718&gt;0,"Sebagian","Belum Bayar"))</f>
        <v>Lunas</v>
      </c>
      <c r="O718" s="39" t="n">
        <f aca="false">IF(M718&gt;0,MAX(0,Catatan!$B$3-H718),0)</f>
        <v>0</v>
      </c>
      <c r="P718" s="39" t="str">
        <f aca="false">IF(M718&lt;=0,"Lunas",IF(Catatan!$B$3&lt;=H718,"Belum Jatuh Tempo",IF(O718&lt;=30,"1-30 hari",IF(O718&lt;=60,"31-60 hari",IF(O718&lt;=90,"61-90 hari","90+ hari")))))</f>
        <v>Lunas</v>
      </c>
      <c r="Q718" s="50"/>
      <c r="R718" s="39" t="str">
        <f aca="false">IF(M718&lt;=0,"",IF(O718&gt;60,"1-Tinggi",IF(O718&gt;30,"2-Sedang",IF(O718&gt;0,"3-Rendah","4-Pantau"))))</f>
        <v/>
      </c>
      <c r="S718" s="39" t="str">
        <f aca="false">IF(AND(M718&gt;0,O718&gt;0),O718+M718/1000000000000+ROW()/1000000000000000,"")</f>
        <v/>
      </c>
      <c r="T718" s="39" t="str">
        <f aca="false">IF(J718="Belum ditukar",ROW(),"")</f>
        <v/>
      </c>
    </row>
    <row r="719" customFormat="false" ht="15" hidden="false" customHeight="false" outlineLevel="0" collapsed="false">
      <c r="A719" s="50" t="s">
        <v>1001</v>
      </c>
      <c r="B719" s="51" t="n">
        <v>45810</v>
      </c>
      <c r="C719" s="50" t="s">
        <v>256</v>
      </c>
      <c r="D719" s="39" t="str">
        <f aca="false">INDEX(Master_Customer!$B$2:$B$126,MATCH(C719,Master_Customer!$A$2:$A$126,0))</f>
        <v>HARAPAN SPAREPART</v>
      </c>
      <c r="E719" s="50" t="s">
        <v>31</v>
      </c>
      <c r="F719" s="52" t="n">
        <f aca="false">SUMIFS(Data_Penjualan!$G$2:$G$5998,Data_Penjualan!$A$2:$A$5998,A719)</f>
        <v>20682400</v>
      </c>
      <c r="G719" s="39" t="n">
        <f aca="false">IF(E719="KANTOR",0,INDEX(Master_Customer!$C$2:$C$126,MATCH(C719,Master_Customer!$A$2:$A$126,0)))</f>
        <v>45</v>
      </c>
      <c r="H719" s="53" t="n">
        <f aca="false">B719+G719</f>
        <v>45855</v>
      </c>
      <c r="I719" s="51" t="n">
        <v>45812</v>
      </c>
      <c r="J719" s="39" t="str">
        <f aca="false">IF(G719=0,"Tunai",IF(I719="","Belum ditukar","Sudah ditukar"))</f>
        <v>Sudah ditukar</v>
      </c>
      <c r="K719" s="54" t="n">
        <v>20682400</v>
      </c>
      <c r="L719" s="51" t="n">
        <v>45850</v>
      </c>
      <c r="M719" s="52" t="n">
        <f aca="false">F719-K719</f>
        <v>0</v>
      </c>
      <c r="N719" s="39" t="str">
        <f aca="false">IF(M719&lt;=0,"Lunas",IF(K719&gt;0,"Sebagian","Belum Bayar"))</f>
        <v>Lunas</v>
      </c>
      <c r="O719" s="39" t="n">
        <f aca="false">IF(M719&gt;0,MAX(0,Catatan!$B$3-H719),0)</f>
        <v>0</v>
      </c>
      <c r="P719" s="39" t="str">
        <f aca="false">IF(M719&lt;=0,"Lunas",IF(Catatan!$B$3&lt;=H719,"Belum Jatuh Tempo",IF(O719&lt;=30,"1-30 hari",IF(O719&lt;=60,"31-60 hari",IF(O719&lt;=90,"61-90 hari","90+ hari")))))</f>
        <v>Lunas</v>
      </c>
      <c r="Q719" s="50"/>
      <c r="R719" s="39" t="str">
        <f aca="false">IF(M719&lt;=0,"",IF(O719&gt;60,"1-Tinggi",IF(O719&gt;30,"2-Sedang",IF(O719&gt;0,"3-Rendah","4-Pantau"))))</f>
        <v/>
      </c>
      <c r="S719" s="39" t="str">
        <f aca="false">IF(AND(M719&gt;0,O719&gt;0),O719+M719/1000000000000+ROW()/1000000000000000,"")</f>
        <v/>
      </c>
      <c r="T719" s="39" t="str">
        <f aca="false">IF(J719="Belum ditukar",ROW(),"")</f>
        <v/>
      </c>
    </row>
    <row r="720" customFormat="false" ht="15" hidden="false" customHeight="false" outlineLevel="0" collapsed="false">
      <c r="A720" s="50" t="s">
        <v>1002</v>
      </c>
      <c r="B720" s="51" t="n">
        <v>45811</v>
      </c>
      <c r="C720" s="50" t="s">
        <v>436</v>
      </c>
      <c r="D720" s="39" t="str">
        <f aca="false">INDEX(Master_Customer!$B$2:$B$126,MATCH(C720,Master_Customer!$A$2:$A$126,0))</f>
        <v>TIRTA AUTO</v>
      </c>
      <c r="E720" s="50" t="s">
        <v>30</v>
      </c>
      <c r="F720" s="52" t="n">
        <f aca="false">SUMIFS(Data_Penjualan!$G$2:$G$5998,Data_Penjualan!$A$2:$A$5998,A720)</f>
        <v>18172400</v>
      </c>
      <c r="G720" s="39" t="n">
        <f aca="false">IF(E720="KANTOR",0,INDEX(Master_Customer!$C$2:$C$126,MATCH(C720,Master_Customer!$A$2:$A$126,0)))</f>
        <v>14</v>
      </c>
      <c r="H720" s="53" t="n">
        <f aca="false">B720+G720</f>
        <v>45825</v>
      </c>
      <c r="I720" s="51" t="n">
        <v>45813</v>
      </c>
      <c r="J720" s="39" t="str">
        <f aca="false">IF(G720=0,"Tunai",IF(I720="","Belum ditukar","Sudah ditukar"))</f>
        <v>Sudah ditukar</v>
      </c>
      <c r="K720" s="54" t="n">
        <v>18172400</v>
      </c>
      <c r="L720" s="51" t="n">
        <v>45826</v>
      </c>
      <c r="M720" s="52" t="n">
        <f aca="false">F720-K720</f>
        <v>0</v>
      </c>
      <c r="N720" s="39" t="str">
        <f aca="false">IF(M720&lt;=0,"Lunas",IF(K720&gt;0,"Sebagian","Belum Bayar"))</f>
        <v>Lunas</v>
      </c>
      <c r="O720" s="39" t="n">
        <f aca="false">IF(M720&gt;0,MAX(0,Catatan!$B$3-H720),0)</f>
        <v>0</v>
      </c>
      <c r="P720" s="39" t="str">
        <f aca="false">IF(M720&lt;=0,"Lunas",IF(Catatan!$B$3&lt;=H720,"Belum Jatuh Tempo",IF(O720&lt;=30,"1-30 hari",IF(O720&lt;=60,"31-60 hari",IF(O720&lt;=90,"61-90 hari","90+ hari")))))</f>
        <v>Lunas</v>
      </c>
      <c r="Q720" s="50"/>
      <c r="R720" s="39" t="str">
        <f aca="false">IF(M720&lt;=0,"",IF(O720&gt;60,"1-Tinggi",IF(O720&gt;30,"2-Sedang",IF(O720&gt;0,"3-Rendah","4-Pantau"))))</f>
        <v/>
      </c>
      <c r="S720" s="39" t="str">
        <f aca="false">IF(AND(M720&gt;0,O720&gt;0),O720+M720/1000000000000+ROW()/1000000000000000,"")</f>
        <v/>
      </c>
      <c r="T720" s="39" t="str">
        <f aca="false">IF(J720="Belum ditukar",ROW(),"")</f>
        <v/>
      </c>
    </row>
    <row r="721" customFormat="false" ht="15" hidden="false" customHeight="false" outlineLevel="0" collapsed="false">
      <c r="A721" s="50" t="s">
        <v>1003</v>
      </c>
      <c r="B721" s="51" t="n">
        <v>45811</v>
      </c>
      <c r="C721" s="50" t="s">
        <v>505</v>
      </c>
      <c r="D721" s="39" t="str">
        <f aca="false">INDEX(Master_Customer!$B$2:$B$126,MATCH(C721,Master_Customer!$A$2:$A$126,0))</f>
        <v>GEMILANG OLI CAHAYA</v>
      </c>
      <c r="E721" s="50" t="s">
        <v>31</v>
      </c>
      <c r="F721" s="52" t="n">
        <f aca="false">SUMIFS(Data_Penjualan!$G$2:$G$5998,Data_Penjualan!$A$2:$A$5998,A721)</f>
        <v>9060300</v>
      </c>
      <c r="G721" s="39" t="n">
        <f aca="false">IF(E721="KANTOR",0,INDEX(Master_Customer!$C$2:$C$126,MATCH(C721,Master_Customer!$A$2:$A$126,0)))</f>
        <v>0</v>
      </c>
      <c r="H721" s="53" t="n">
        <f aca="false">B721+G721</f>
        <v>45811</v>
      </c>
      <c r="J721" s="39" t="str">
        <f aca="false">IF(G721=0,"Tunai",IF(I721="","Belum ditukar","Sudah ditukar"))</f>
        <v>Tunai</v>
      </c>
      <c r="K721" s="54" t="n">
        <v>9060300</v>
      </c>
      <c r="L721" s="51" t="n">
        <v>45812</v>
      </c>
      <c r="M721" s="52" t="n">
        <f aca="false">F721-K721</f>
        <v>0</v>
      </c>
      <c r="N721" s="39" t="str">
        <f aca="false">IF(M721&lt;=0,"Lunas",IF(K721&gt;0,"Sebagian","Belum Bayar"))</f>
        <v>Lunas</v>
      </c>
      <c r="O721" s="39" t="n">
        <f aca="false">IF(M721&gt;0,MAX(0,Catatan!$B$3-H721),0)</f>
        <v>0</v>
      </c>
      <c r="P721" s="39" t="str">
        <f aca="false">IF(M721&lt;=0,"Lunas",IF(Catatan!$B$3&lt;=H721,"Belum Jatuh Tempo",IF(O721&lt;=30,"1-30 hari",IF(O721&lt;=60,"31-60 hari",IF(O721&lt;=90,"61-90 hari","90+ hari")))))</f>
        <v>Lunas</v>
      </c>
      <c r="Q721" s="50"/>
      <c r="R721" s="39" t="str">
        <f aca="false">IF(M721&lt;=0,"",IF(O721&gt;60,"1-Tinggi",IF(O721&gt;30,"2-Sedang",IF(O721&gt;0,"3-Rendah","4-Pantau"))))</f>
        <v/>
      </c>
      <c r="S721" s="39" t="str">
        <f aca="false">IF(AND(M721&gt;0,O721&gt;0),O721+M721/1000000000000+ROW()/1000000000000000,"")</f>
        <v/>
      </c>
      <c r="T721" s="39" t="str">
        <f aca="false">IF(J721="Belum ditukar",ROW(),"")</f>
        <v/>
      </c>
    </row>
    <row r="722" customFormat="false" ht="15" hidden="false" customHeight="false" outlineLevel="0" collapsed="false">
      <c r="A722" s="50" t="s">
        <v>1004</v>
      </c>
      <c r="B722" s="51" t="n">
        <v>45811</v>
      </c>
      <c r="C722" s="50" t="s">
        <v>293</v>
      </c>
      <c r="D722" s="39" t="str">
        <f aca="false">INDEX(Master_Customer!$B$2:$B$126,MATCH(C722,Master_Customer!$A$2:$A$126,0))</f>
        <v>SINAR LUBRICANT</v>
      </c>
      <c r="E722" s="50" t="s">
        <v>31</v>
      </c>
      <c r="F722" s="52" t="n">
        <f aca="false">SUMIFS(Data_Penjualan!$G$2:$G$5998,Data_Penjualan!$A$2:$A$5998,A722)</f>
        <v>22462000</v>
      </c>
      <c r="G722" s="39" t="n">
        <f aca="false">IF(E722="KANTOR",0,INDEX(Master_Customer!$C$2:$C$126,MATCH(C722,Master_Customer!$A$2:$A$126,0)))</f>
        <v>30</v>
      </c>
      <c r="H722" s="53" t="n">
        <f aca="false">B722+G722</f>
        <v>45841</v>
      </c>
      <c r="I722" s="51" t="n">
        <v>45814</v>
      </c>
      <c r="J722" s="39" t="str">
        <f aca="false">IF(G722=0,"Tunai",IF(I722="","Belum ditukar","Sudah ditukar"))</f>
        <v>Sudah ditukar</v>
      </c>
      <c r="K722" s="54" t="n">
        <v>22462000</v>
      </c>
      <c r="L722" s="51" t="n">
        <v>45848</v>
      </c>
      <c r="M722" s="52" t="n">
        <f aca="false">F722-K722</f>
        <v>0</v>
      </c>
      <c r="N722" s="39" t="str">
        <f aca="false">IF(M722&lt;=0,"Lunas",IF(K722&gt;0,"Sebagian","Belum Bayar"))</f>
        <v>Lunas</v>
      </c>
      <c r="O722" s="39" t="n">
        <f aca="false">IF(M722&gt;0,MAX(0,Catatan!$B$3-H722),0)</f>
        <v>0</v>
      </c>
      <c r="P722" s="39" t="str">
        <f aca="false">IF(M722&lt;=0,"Lunas",IF(Catatan!$B$3&lt;=H722,"Belum Jatuh Tempo",IF(O722&lt;=30,"1-30 hari",IF(O722&lt;=60,"31-60 hari",IF(O722&lt;=90,"61-90 hari","90+ hari")))))</f>
        <v>Lunas</v>
      </c>
      <c r="Q722" s="50"/>
      <c r="R722" s="39" t="str">
        <f aca="false">IF(M722&lt;=0,"",IF(O722&gt;60,"1-Tinggi",IF(O722&gt;30,"2-Sedang",IF(O722&gt;0,"3-Rendah","4-Pantau"))))</f>
        <v/>
      </c>
      <c r="S722" s="39" t="str">
        <f aca="false">IF(AND(M722&gt;0,O722&gt;0),O722+M722/1000000000000+ROW()/1000000000000000,"")</f>
        <v/>
      </c>
      <c r="T722" s="39" t="str">
        <f aca="false">IF(J722="Belum ditukar",ROW(),"")</f>
        <v/>
      </c>
    </row>
    <row r="723" customFormat="false" ht="15" hidden="false" customHeight="false" outlineLevel="0" collapsed="false">
      <c r="A723" s="50" t="s">
        <v>1005</v>
      </c>
      <c r="B723" s="51" t="n">
        <v>45811</v>
      </c>
      <c r="C723" s="50" t="s">
        <v>228</v>
      </c>
      <c r="D723" s="39" t="str">
        <f aca="false">INDEX(Master_Customer!$B$2:$B$126,MATCH(C723,Master_Customer!$A$2:$A$126,0))</f>
        <v>MAKMUR SERVICE JAYA</v>
      </c>
      <c r="E723" s="50" t="s">
        <v>32</v>
      </c>
      <c r="F723" s="52" t="n">
        <f aca="false">SUMIFS(Data_Penjualan!$G$2:$G$5998,Data_Penjualan!$A$2:$A$5998,A723)</f>
        <v>9364700</v>
      </c>
      <c r="G723" s="39" t="n">
        <f aca="false">IF(E723="KANTOR",0,INDEX(Master_Customer!$C$2:$C$126,MATCH(C723,Master_Customer!$A$2:$A$126,0)))</f>
        <v>0</v>
      </c>
      <c r="H723" s="53" t="n">
        <f aca="false">B723+G723</f>
        <v>45811</v>
      </c>
      <c r="J723" s="39" t="str">
        <f aca="false">IF(G723=0,"Tunai",IF(I723="","Belum ditukar","Sudah ditukar"))</f>
        <v>Tunai</v>
      </c>
      <c r="K723" s="54" t="n">
        <v>9364700</v>
      </c>
      <c r="L723" s="51" t="n">
        <v>45811</v>
      </c>
      <c r="M723" s="52" t="n">
        <f aca="false">F723-K723</f>
        <v>0</v>
      </c>
      <c r="N723" s="39" t="str">
        <f aca="false">IF(M723&lt;=0,"Lunas",IF(K723&gt;0,"Sebagian","Belum Bayar"))</f>
        <v>Lunas</v>
      </c>
      <c r="O723" s="39" t="n">
        <f aca="false">IF(M723&gt;0,MAX(0,Catatan!$B$3-H723),0)</f>
        <v>0</v>
      </c>
      <c r="P723" s="39" t="str">
        <f aca="false">IF(M723&lt;=0,"Lunas",IF(Catatan!$B$3&lt;=H723,"Belum Jatuh Tempo",IF(O723&lt;=30,"1-30 hari",IF(O723&lt;=60,"31-60 hari",IF(O723&lt;=90,"61-90 hari","90+ hari")))))</f>
        <v>Lunas</v>
      </c>
      <c r="Q723" s="50"/>
      <c r="R723" s="39" t="str">
        <f aca="false">IF(M723&lt;=0,"",IF(O723&gt;60,"1-Tinggi",IF(O723&gt;30,"2-Sedang",IF(O723&gt;0,"3-Rendah","4-Pantau"))))</f>
        <v/>
      </c>
      <c r="S723" s="39" t="str">
        <f aca="false">IF(AND(M723&gt;0,O723&gt;0),O723+M723/1000000000000+ROW()/1000000000000000,"")</f>
        <v/>
      </c>
      <c r="T723" s="39" t="str">
        <f aca="false">IF(J723="Belum ditukar",ROW(),"")</f>
        <v/>
      </c>
    </row>
    <row r="724" customFormat="false" ht="15" hidden="false" customHeight="false" outlineLevel="0" collapsed="false">
      <c r="A724" s="50" t="s">
        <v>1006</v>
      </c>
      <c r="B724" s="51" t="n">
        <v>45811</v>
      </c>
      <c r="C724" s="50" t="s">
        <v>205</v>
      </c>
      <c r="D724" s="39" t="str">
        <f aca="false">INDEX(Master_Customer!$B$2:$B$126,MATCH(C724,Master_Customer!$A$2:$A$126,0))</f>
        <v>BERKAH OLI</v>
      </c>
      <c r="E724" s="50" t="s">
        <v>28</v>
      </c>
      <c r="F724" s="52" t="n">
        <f aca="false">SUMIFS(Data_Penjualan!$G$2:$G$5998,Data_Penjualan!$A$2:$A$5998,A724)</f>
        <v>23312700</v>
      </c>
      <c r="G724" s="39" t="n">
        <f aca="false">IF(E724="KANTOR",0,INDEX(Master_Customer!$C$2:$C$126,MATCH(C724,Master_Customer!$A$2:$A$126,0)))</f>
        <v>0</v>
      </c>
      <c r="H724" s="53" t="n">
        <f aca="false">B724+G724</f>
        <v>45811</v>
      </c>
      <c r="J724" s="39" t="str">
        <f aca="false">IF(G724=0,"Tunai",IF(I724="","Belum ditukar","Sudah ditukar"))</f>
        <v>Tunai</v>
      </c>
      <c r="K724" s="54" t="n">
        <v>23312700</v>
      </c>
      <c r="L724" s="51" t="n">
        <v>45811</v>
      </c>
      <c r="M724" s="52" t="n">
        <f aca="false">F724-K724</f>
        <v>0</v>
      </c>
      <c r="N724" s="39" t="str">
        <f aca="false">IF(M724&lt;=0,"Lunas",IF(K724&gt;0,"Sebagian","Belum Bayar"))</f>
        <v>Lunas</v>
      </c>
      <c r="O724" s="39" t="n">
        <f aca="false">IF(M724&gt;0,MAX(0,Catatan!$B$3-H724),0)</f>
        <v>0</v>
      </c>
      <c r="P724" s="39" t="str">
        <f aca="false">IF(M724&lt;=0,"Lunas",IF(Catatan!$B$3&lt;=H724,"Belum Jatuh Tempo",IF(O724&lt;=30,"1-30 hari",IF(O724&lt;=60,"31-60 hari",IF(O724&lt;=90,"61-90 hari","90+ hari")))))</f>
        <v>Lunas</v>
      </c>
      <c r="Q724" s="50"/>
      <c r="R724" s="39" t="str">
        <f aca="false">IF(M724&lt;=0,"",IF(O724&gt;60,"1-Tinggi",IF(O724&gt;30,"2-Sedang",IF(O724&gt;0,"3-Rendah","4-Pantau"))))</f>
        <v/>
      </c>
      <c r="S724" s="39" t="str">
        <f aca="false">IF(AND(M724&gt;0,O724&gt;0),O724+M724/1000000000000+ROW()/1000000000000000,"")</f>
        <v/>
      </c>
      <c r="T724" s="39" t="str">
        <f aca="false">IF(J724="Belum ditukar",ROW(),"")</f>
        <v/>
      </c>
    </row>
    <row r="725" customFormat="false" ht="15" hidden="false" customHeight="false" outlineLevel="0" collapsed="false">
      <c r="A725" s="50" t="s">
        <v>1007</v>
      </c>
      <c r="B725" s="51" t="n">
        <v>45811</v>
      </c>
      <c r="C725" s="50" t="s">
        <v>211</v>
      </c>
      <c r="D725" s="39" t="str">
        <f aca="false">INDEX(Master_Customer!$B$2:$B$126,MATCH(C725,Master_Customer!$A$2:$A$126,0))</f>
        <v>PRIMA MOBIL</v>
      </c>
      <c r="E725" s="50" t="s">
        <v>30</v>
      </c>
      <c r="F725" s="52" t="n">
        <f aca="false">SUMIFS(Data_Penjualan!$G$2:$G$5998,Data_Penjualan!$A$2:$A$5998,A725)</f>
        <v>5852000</v>
      </c>
      <c r="G725" s="39" t="n">
        <f aca="false">IF(E725="KANTOR",0,INDEX(Master_Customer!$C$2:$C$126,MATCH(C725,Master_Customer!$A$2:$A$126,0)))</f>
        <v>0</v>
      </c>
      <c r="H725" s="53" t="n">
        <f aca="false">B725+G725</f>
        <v>45811</v>
      </c>
      <c r="J725" s="39" t="str">
        <f aca="false">IF(G725=0,"Tunai",IF(I725="","Belum ditukar","Sudah ditukar"))</f>
        <v>Tunai</v>
      </c>
      <c r="K725" s="54" t="n">
        <v>5852000</v>
      </c>
      <c r="L725" s="51" t="n">
        <v>45811</v>
      </c>
      <c r="M725" s="52" t="n">
        <f aca="false">F725-K725</f>
        <v>0</v>
      </c>
      <c r="N725" s="39" t="str">
        <f aca="false">IF(M725&lt;=0,"Lunas",IF(K725&gt;0,"Sebagian","Belum Bayar"))</f>
        <v>Lunas</v>
      </c>
      <c r="O725" s="39" t="n">
        <f aca="false">IF(M725&gt;0,MAX(0,Catatan!$B$3-H725),0)</f>
        <v>0</v>
      </c>
      <c r="P725" s="39" t="str">
        <f aca="false">IF(M725&lt;=0,"Lunas",IF(Catatan!$B$3&lt;=H725,"Belum Jatuh Tempo",IF(O725&lt;=30,"1-30 hari",IF(O725&lt;=60,"31-60 hari",IF(O725&lt;=90,"61-90 hari","90+ hari")))))</f>
        <v>Lunas</v>
      </c>
      <c r="Q725" s="50"/>
      <c r="R725" s="39" t="str">
        <f aca="false">IF(M725&lt;=0,"",IF(O725&gt;60,"1-Tinggi",IF(O725&gt;30,"2-Sedang",IF(O725&gt;0,"3-Rendah","4-Pantau"))))</f>
        <v/>
      </c>
      <c r="S725" s="39" t="str">
        <f aca="false">IF(AND(M725&gt;0,O725&gt;0),O725+M725/1000000000000+ROW()/1000000000000000,"")</f>
        <v/>
      </c>
      <c r="T725" s="39" t="str">
        <f aca="false">IF(J725="Belum ditukar",ROW(),"")</f>
        <v/>
      </c>
    </row>
    <row r="726" customFormat="false" ht="15" hidden="false" customHeight="false" outlineLevel="0" collapsed="false">
      <c r="A726" s="50" t="s">
        <v>1008</v>
      </c>
      <c r="B726" s="51" t="n">
        <v>45811</v>
      </c>
      <c r="C726" s="50" t="s">
        <v>358</v>
      </c>
      <c r="D726" s="39" t="str">
        <f aca="false">INDEX(Master_Customer!$B$2:$B$126,MATCH(C726,Master_Customer!$A$2:$A$126,0))</f>
        <v>HARAPAN TEKNIK</v>
      </c>
      <c r="E726" s="50" t="s">
        <v>31</v>
      </c>
      <c r="F726" s="52" t="n">
        <f aca="false">SUMIFS(Data_Penjualan!$G$2:$G$5998,Data_Penjualan!$A$2:$A$5998,A726)</f>
        <v>10492300</v>
      </c>
      <c r="G726" s="39" t="n">
        <f aca="false">IF(E726="KANTOR",0,INDEX(Master_Customer!$C$2:$C$126,MATCH(C726,Master_Customer!$A$2:$A$126,0)))</f>
        <v>0</v>
      </c>
      <c r="H726" s="53" t="n">
        <f aca="false">B726+G726</f>
        <v>45811</v>
      </c>
      <c r="J726" s="39" t="str">
        <f aca="false">IF(G726=0,"Tunai",IF(I726="","Belum ditukar","Sudah ditukar"))</f>
        <v>Tunai</v>
      </c>
      <c r="K726" s="54" t="n">
        <v>10492300</v>
      </c>
      <c r="L726" s="51" t="n">
        <v>45811</v>
      </c>
      <c r="M726" s="52" t="n">
        <f aca="false">F726-K726</f>
        <v>0</v>
      </c>
      <c r="N726" s="39" t="str">
        <f aca="false">IF(M726&lt;=0,"Lunas",IF(K726&gt;0,"Sebagian","Belum Bayar"))</f>
        <v>Lunas</v>
      </c>
      <c r="O726" s="39" t="n">
        <f aca="false">IF(M726&gt;0,MAX(0,Catatan!$B$3-H726),0)</f>
        <v>0</v>
      </c>
      <c r="P726" s="39" t="str">
        <f aca="false">IF(M726&lt;=0,"Lunas",IF(Catatan!$B$3&lt;=H726,"Belum Jatuh Tempo",IF(O726&lt;=30,"1-30 hari",IF(O726&lt;=60,"31-60 hari",IF(O726&lt;=90,"61-90 hari","90+ hari")))))</f>
        <v>Lunas</v>
      </c>
      <c r="Q726" s="50"/>
      <c r="R726" s="39" t="str">
        <f aca="false">IF(M726&lt;=0,"",IF(O726&gt;60,"1-Tinggi",IF(O726&gt;30,"2-Sedang",IF(O726&gt;0,"3-Rendah","4-Pantau"))))</f>
        <v/>
      </c>
      <c r="S726" s="39" t="str">
        <f aca="false">IF(AND(M726&gt;0,O726&gt;0),O726+M726/1000000000000+ROW()/1000000000000000,"")</f>
        <v/>
      </c>
      <c r="T726" s="39" t="str">
        <f aca="false">IF(J726="Belum ditukar",ROW(),"")</f>
        <v/>
      </c>
    </row>
    <row r="727" customFormat="false" ht="15" hidden="false" customHeight="false" outlineLevel="0" collapsed="false">
      <c r="A727" s="50" t="s">
        <v>1009</v>
      </c>
      <c r="B727" s="51" t="n">
        <v>45811</v>
      </c>
      <c r="C727" s="50" t="s">
        <v>195</v>
      </c>
      <c r="D727" s="39" t="str">
        <f aca="false">INDEX(Master_Customer!$B$2:$B$126,MATCH(C727,Master_Customer!$A$2:$A$126,0))</f>
        <v>KARYA LUBRICANT BINTANG</v>
      </c>
      <c r="E727" s="50" t="s">
        <v>30</v>
      </c>
      <c r="F727" s="52" t="n">
        <f aca="false">SUMIFS(Data_Penjualan!$G$2:$G$5998,Data_Penjualan!$A$2:$A$5998,A727)</f>
        <v>21700600</v>
      </c>
      <c r="G727" s="39" t="n">
        <f aca="false">IF(E727="KANTOR",0,INDEX(Master_Customer!$C$2:$C$126,MATCH(C727,Master_Customer!$A$2:$A$126,0)))</f>
        <v>14</v>
      </c>
      <c r="H727" s="53" t="n">
        <f aca="false">B727+G727</f>
        <v>45825</v>
      </c>
      <c r="I727" s="51" t="n">
        <v>45812</v>
      </c>
      <c r="J727" s="39" t="str">
        <f aca="false">IF(G727=0,"Tunai",IF(I727="","Belum ditukar","Sudah ditukar"))</f>
        <v>Sudah ditukar</v>
      </c>
      <c r="K727" s="54" t="n">
        <v>21700600</v>
      </c>
      <c r="L727" s="51" t="n">
        <v>45822</v>
      </c>
      <c r="M727" s="52" t="n">
        <f aca="false">F727-K727</f>
        <v>0</v>
      </c>
      <c r="N727" s="39" t="str">
        <f aca="false">IF(M727&lt;=0,"Lunas",IF(K727&gt;0,"Sebagian","Belum Bayar"))</f>
        <v>Lunas</v>
      </c>
      <c r="O727" s="39" t="n">
        <f aca="false">IF(M727&gt;0,MAX(0,Catatan!$B$3-H727),0)</f>
        <v>0</v>
      </c>
      <c r="P727" s="39" t="str">
        <f aca="false">IF(M727&lt;=0,"Lunas",IF(Catatan!$B$3&lt;=H727,"Belum Jatuh Tempo",IF(O727&lt;=30,"1-30 hari",IF(O727&lt;=60,"31-60 hari",IF(O727&lt;=90,"61-90 hari","90+ hari")))))</f>
        <v>Lunas</v>
      </c>
      <c r="Q727" s="50"/>
      <c r="R727" s="39" t="str">
        <f aca="false">IF(M727&lt;=0,"",IF(O727&gt;60,"1-Tinggi",IF(O727&gt;30,"2-Sedang",IF(O727&gt;0,"3-Rendah","4-Pantau"))))</f>
        <v/>
      </c>
      <c r="S727" s="39" t="str">
        <f aca="false">IF(AND(M727&gt;0,O727&gt;0),O727+M727/1000000000000+ROW()/1000000000000000,"")</f>
        <v/>
      </c>
      <c r="T727" s="39" t="str">
        <f aca="false">IF(J727="Belum ditukar",ROW(),"")</f>
        <v/>
      </c>
    </row>
    <row r="728" customFormat="false" ht="15" hidden="false" customHeight="false" outlineLevel="0" collapsed="false">
      <c r="A728" s="50" t="s">
        <v>1010</v>
      </c>
      <c r="B728" s="51" t="n">
        <v>45811</v>
      </c>
      <c r="C728" s="50" t="s">
        <v>188</v>
      </c>
      <c r="D728" s="39" t="str">
        <f aca="false">INDEX(Master_Customer!$B$2:$B$126,MATCH(C728,Master_Customer!$A$2:$A$126,0))</f>
        <v>MAJU GARAGE TIRTA</v>
      </c>
      <c r="E728" s="50" t="s">
        <v>31</v>
      </c>
      <c r="F728" s="52" t="n">
        <f aca="false">SUMIFS(Data_Penjualan!$G$2:$G$5998,Data_Penjualan!$A$2:$A$5998,A728)</f>
        <v>10420700</v>
      </c>
      <c r="G728" s="39" t="n">
        <f aca="false">IF(E728="KANTOR",0,INDEX(Master_Customer!$C$2:$C$126,MATCH(C728,Master_Customer!$A$2:$A$126,0)))</f>
        <v>45</v>
      </c>
      <c r="H728" s="53" t="n">
        <f aca="false">B728+G728</f>
        <v>45856</v>
      </c>
      <c r="I728" s="51" t="n">
        <v>45815</v>
      </c>
      <c r="J728" s="39" t="str">
        <f aca="false">IF(G728=0,"Tunai",IF(I728="","Belum ditukar","Sudah ditukar"))</f>
        <v>Sudah ditukar</v>
      </c>
      <c r="K728" s="54" t="n">
        <v>10420700</v>
      </c>
      <c r="L728" s="51" t="n">
        <v>45868</v>
      </c>
      <c r="M728" s="52" t="n">
        <f aca="false">F728-K728</f>
        <v>0</v>
      </c>
      <c r="N728" s="39" t="str">
        <f aca="false">IF(M728&lt;=0,"Lunas",IF(K728&gt;0,"Sebagian","Belum Bayar"))</f>
        <v>Lunas</v>
      </c>
      <c r="O728" s="39" t="n">
        <f aca="false">IF(M728&gt;0,MAX(0,Catatan!$B$3-H728),0)</f>
        <v>0</v>
      </c>
      <c r="P728" s="39" t="str">
        <f aca="false">IF(M728&lt;=0,"Lunas",IF(Catatan!$B$3&lt;=H728,"Belum Jatuh Tempo",IF(O728&lt;=30,"1-30 hari",IF(O728&lt;=60,"31-60 hari",IF(O728&lt;=90,"61-90 hari","90+ hari")))))</f>
        <v>Lunas</v>
      </c>
      <c r="Q728" s="50"/>
      <c r="R728" s="39" t="str">
        <f aca="false">IF(M728&lt;=0,"",IF(O728&gt;60,"1-Tinggi",IF(O728&gt;30,"2-Sedang",IF(O728&gt;0,"3-Rendah","4-Pantau"))))</f>
        <v/>
      </c>
      <c r="S728" s="39" t="str">
        <f aca="false">IF(AND(M728&gt;0,O728&gt;0),O728+M728/1000000000000+ROW()/1000000000000000,"")</f>
        <v/>
      </c>
      <c r="T728" s="39" t="str">
        <f aca="false">IF(J728="Belum ditukar",ROW(),"")</f>
        <v/>
      </c>
    </row>
    <row r="729" customFormat="false" ht="15" hidden="false" customHeight="false" outlineLevel="0" collapsed="false">
      <c r="A729" s="50" t="s">
        <v>1011</v>
      </c>
      <c r="B729" s="51" t="n">
        <v>45811</v>
      </c>
      <c r="C729" s="50" t="s">
        <v>766</v>
      </c>
      <c r="D729" s="39" t="str">
        <f aca="false">INDEX(Master_Customer!$B$2:$B$126,MATCH(C729,Master_Customer!$A$2:$A$126,0))</f>
        <v>TIRTA SPAREPART BINTANG</v>
      </c>
      <c r="E729" s="50" t="s">
        <v>32</v>
      </c>
      <c r="F729" s="52" t="n">
        <f aca="false">SUMIFS(Data_Penjualan!$G$2:$G$5998,Data_Penjualan!$A$2:$A$5998,A729)</f>
        <v>18235200</v>
      </c>
      <c r="G729" s="39" t="n">
        <f aca="false">IF(E729="KANTOR",0,INDEX(Master_Customer!$C$2:$C$126,MATCH(C729,Master_Customer!$A$2:$A$126,0)))</f>
        <v>0</v>
      </c>
      <c r="H729" s="53" t="n">
        <f aca="false">B729+G729</f>
        <v>45811</v>
      </c>
      <c r="J729" s="39" t="str">
        <f aca="false">IF(G729=0,"Tunai",IF(I729="","Belum ditukar","Sudah ditukar"))</f>
        <v>Tunai</v>
      </c>
      <c r="K729" s="54" t="n">
        <v>18235200</v>
      </c>
      <c r="L729" s="51" t="n">
        <v>45812</v>
      </c>
      <c r="M729" s="52" t="n">
        <f aca="false">F729-K729</f>
        <v>0</v>
      </c>
      <c r="N729" s="39" t="str">
        <f aca="false">IF(M729&lt;=0,"Lunas",IF(K729&gt;0,"Sebagian","Belum Bayar"))</f>
        <v>Lunas</v>
      </c>
      <c r="O729" s="39" t="n">
        <f aca="false">IF(M729&gt;0,MAX(0,Catatan!$B$3-H729),0)</f>
        <v>0</v>
      </c>
      <c r="P729" s="39" t="str">
        <f aca="false">IF(M729&lt;=0,"Lunas",IF(Catatan!$B$3&lt;=H729,"Belum Jatuh Tempo",IF(O729&lt;=30,"1-30 hari",IF(O729&lt;=60,"31-60 hari",IF(O729&lt;=90,"61-90 hari","90+ hari")))))</f>
        <v>Lunas</v>
      </c>
      <c r="Q729" s="50"/>
      <c r="R729" s="39" t="str">
        <f aca="false">IF(M729&lt;=0,"",IF(O729&gt;60,"1-Tinggi",IF(O729&gt;30,"2-Sedang",IF(O729&gt;0,"3-Rendah","4-Pantau"))))</f>
        <v/>
      </c>
      <c r="S729" s="39" t="str">
        <f aca="false">IF(AND(M729&gt;0,O729&gt;0),O729+M729/1000000000000+ROW()/1000000000000000,"")</f>
        <v/>
      </c>
      <c r="T729" s="39" t="str">
        <f aca="false">IF(J729="Belum ditukar",ROW(),"")</f>
        <v/>
      </c>
    </row>
    <row r="730" customFormat="false" ht="15" hidden="false" customHeight="false" outlineLevel="0" collapsed="false">
      <c r="A730" s="50" t="s">
        <v>1012</v>
      </c>
      <c r="B730" s="51" t="n">
        <v>45812</v>
      </c>
      <c r="C730" s="50" t="s">
        <v>166</v>
      </c>
      <c r="D730" s="39" t="str">
        <f aca="false">INDEX(Master_Customer!$B$2:$B$126,MATCH(C730,Master_Customer!$A$2:$A$126,0))</f>
        <v>SENTOSA SERVICE</v>
      </c>
      <c r="E730" s="50" t="s">
        <v>30</v>
      </c>
      <c r="F730" s="52" t="n">
        <f aca="false">SUMIFS(Data_Penjualan!$G$2:$G$5998,Data_Penjualan!$A$2:$A$5998,A730)</f>
        <v>4583100</v>
      </c>
      <c r="G730" s="39" t="n">
        <f aca="false">IF(E730="KANTOR",0,INDEX(Master_Customer!$C$2:$C$126,MATCH(C730,Master_Customer!$A$2:$A$126,0)))</f>
        <v>0</v>
      </c>
      <c r="H730" s="53" t="n">
        <f aca="false">B730+G730</f>
        <v>45812</v>
      </c>
      <c r="J730" s="39" t="str">
        <f aca="false">IF(G730=0,"Tunai",IF(I730="","Belum ditukar","Sudah ditukar"))</f>
        <v>Tunai</v>
      </c>
      <c r="K730" s="54" t="n">
        <v>4583100</v>
      </c>
      <c r="L730" s="51" t="n">
        <v>45812</v>
      </c>
      <c r="M730" s="52" t="n">
        <f aca="false">F730-K730</f>
        <v>0</v>
      </c>
      <c r="N730" s="39" t="str">
        <f aca="false">IF(M730&lt;=0,"Lunas",IF(K730&gt;0,"Sebagian","Belum Bayar"))</f>
        <v>Lunas</v>
      </c>
      <c r="O730" s="39" t="n">
        <f aca="false">IF(M730&gt;0,MAX(0,Catatan!$B$3-H730),0)</f>
        <v>0</v>
      </c>
      <c r="P730" s="39" t="str">
        <f aca="false">IF(M730&lt;=0,"Lunas",IF(Catatan!$B$3&lt;=H730,"Belum Jatuh Tempo",IF(O730&lt;=30,"1-30 hari",IF(O730&lt;=60,"31-60 hari",IF(O730&lt;=90,"61-90 hari","90+ hari")))))</f>
        <v>Lunas</v>
      </c>
      <c r="Q730" s="50"/>
      <c r="R730" s="39" t="str">
        <f aca="false">IF(M730&lt;=0,"",IF(O730&gt;60,"1-Tinggi",IF(O730&gt;30,"2-Sedang",IF(O730&gt;0,"3-Rendah","4-Pantau"))))</f>
        <v/>
      </c>
      <c r="S730" s="39" t="str">
        <f aca="false">IF(AND(M730&gt;0,O730&gt;0),O730+M730/1000000000000+ROW()/1000000000000000,"")</f>
        <v/>
      </c>
      <c r="T730" s="39" t="str">
        <f aca="false">IF(J730="Belum ditukar",ROW(),"")</f>
        <v/>
      </c>
    </row>
    <row r="731" customFormat="false" ht="15" hidden="false" customHeight="false" outlineLevel="0" collapsed="false">
      <c r="A731" s="50" t="s">
        <v>1013</v>
      </c>
      <c r="B731" s="51" t="n">
        <v>45812</v>
      </c>
      <c r="C731" s="50" t="s">
        <v>228</v>
      </c>
      <c r="D731" s="39" t="str">
        <f aca="false">INDEX(Master_Customer!$B$2:$B$126,MATCH(C731,Master_Customer!$A$2:$A$126,0))</f>
        <v>MAKMUR SERVICE JAYA</v>
      </c>
      <c r="E731" s="50" t="s">
        <v>29</v>
      </c>
      <c r="F731" s="52" t="n">
        <f aca="false">SUMIFS(Data_Penjualan!$G$2:$G$5998,Data_Penjualan!$A$2:$A$5998,A731)</f>
        <v>12653600</v>
      </c>
      <c r="G731" s="39" t="n">
        <f aca="false">IF(E731="KANTOR",0,INDEX(Master_Customer!$C$2:$C$126,MATCH(C731,Master_Customer!$A$2:$A$126,0)))</f>
        <v>30</v>
      </c>
      <c r="H731" s="53" t="n">
        <f aca="false">B731+G731</f>
        <v>45842</v>
      </c>
      <c r="I731" s="51" t="n">
        <v>45813</v>
      </c>
      <c r="J731" s="39" t="str">
        <f aca="false">IF(G731=0,"Tunai",IF(I731="","Belum ditukar","Sudah ditukar"))</f>
        <v>Sudah ditukar</v>
      </c>
      <c r="K731" s="54" t="n">
        <v>12653600</v>
      </c>
      <c r="L731" s="51" t="n">
        <v>45877</v>
      </c>
      <c r="M731" s="52" t="n">
        <f aca="false">F731-K731</f>
        <v>0</v>
      </c>
      <c r="N731" s="39" t="str">
        <f aca="false">IF(M731&lt;=0,"Lunas",IF(K731&gt;0,"Sebagian","Belum Bayar"))</f>
        <v>Lunas</v>
      </c>
      <c r="O731" s="39" t="n">
        <f aca="false">IF(M731&gt;0,MAX(0,Catatan!$B$3-H731),0)</f>
        <v>0</v>
      </c>
      <c r="P731" s="39" t="str">
        <f aca="false">IF(M731&lt;=0,"Lunas",IF(Catatan!$B$3&lt;=H731,"Belum Jatuh Tempo",IF(O731&lt;=30,"1-30 hari",IF(O731&lt;=60,"31-60 hari",IF(O731&lt;=90,"61-90 hari","90+ hari")))))</f>
        <v>Lunas</v>
      </c>
      <c r="Q731" s="50"/>
      <c r="R731" s="39" t="str">
        <f aca="false">IF(M731&lt;=0,"",IF(O731&gt;60,"1-Tinggi",IF(O731&gt;30,"2-Sedang",IF(O731&gt;0,"3-Rendah","4-Pantau"))))</f>
        <v/>
      </c>
      <c r="S731" s="39" t="str">
        <f aca="false">IF(AND(M731&gt;0,O731&gt;0),O731+M731/1000000000000+ROW()/1000000000000000,"")</f>
        <v/>
      </c>
      <c r="T731" s="39" t="str">
        <f aca="false">IF(J731="Belum ditukar",ROW(),"")</f>
        <v/>
      </c>
    </row>
    <row r="732" customFormat="false" ht="15" hidden="false" customHeight="false" outlineLevel="0" collapsed="false">
      <c r="A732" s="50" t="s">
        <v>1014</v>
      </c>
      <c r="B732" s="51" t="n">
        <v>45812</v>
      </c>
      <c r="C732" s="50" t="s">
        <v>174</v>
      </c>
      <c r="D732" s="39" t="str">
        <f aca="false">INDEX(Master_Customer!$B$2:$B$126,MATCH(C732,Master_Customer!$A$2:$A$126,0))</f>
        <v>SUMBER TEKNIK SURYA</v>
      </c>
      <c r="E732" s="50" t="s">
        <v>31</v>
      </c>
      <c r="F732" s="52" t="n">
        <f aca="false">SUMIFS(Data_Penjualan!$G$2:$G$5998,Data_Penjualan!$A$2:$A$5998,A732)</f>
        <v>5716700</v>
      </c>
      <c r="G732" s="39" t="n">
        <f aca="false">IF(E732="KANTOR",0,INDEX(Master_Customer!$C$2:$C$126,MATCH(C732,Master_Customer!$A$2:$A$126,0)))</f>
        <v>30</v>
      </c>
      <c r="H732" s="53" t="n">
        <f aca="false">B732+G732</f>
        <v>45842</v>
      </c>
      <c r="I732" s="51" t="n">
        <v>45814</v>
      </c>
      <c r="J732" s="39" t="str">
        <f aca="false">IF(G732=0,"Tunai",IF(I732="","Belum ditukar","Sudah ditukar"))</f>
        <v>Sudah ditukar</v>
      </c>
      <c r="K732" s="54" t="n">
        <v>5716700</v>
      </c>
      <c r="L732" s="51" t="n">
        <v>45844</v>
      </c>
      <c r="M732" s="52" t="n">
        <f aca="false">F732-K732</f>
        <v>0</v>
      </c>
      <c r="N732" s="39" t="str">
        <f aca="false">IF(M732&lt;=0,"Lunas",IF(K732&gt;0,"Sebagian","Belum Bayar"))</f>
        <v>Lunas</v>
      </c>
      <c r="O732" s="39" t="n">
        <f aca="false">IF(M732&gt;0,MAX(0,Catatan!$B$3-H732),0)</f>
        <v>0</v>
      </c>
      <c r="P732" s="39" t="str">
        <f aca="false">IF(M732&lt;=0,"Lunas",IF(Catatan!$B$3&lt;=H732,"Belum Jatuh Tempo",IF(O732&lt;=30,"1-30 hari",IF(O732&lt;=60,"31-60 hari",IF(O732&lt;=90,"61-90 hari","90+ hari")))))</f>
        <v>Lunas</v>
      </c>
      <c r="Q732" s="50"/>
      <c r="R732" s="39" t="str">
        <f aca="false">IF(M732&lt;=0,"",IF(O732&gt;60,"1-Tinggi",IF(O732&gt;30,"2-Sedang",IF(O732&gt;0,"3-Rendah","4-Pantau"))))</f>
        <v/>
      </c>
      <c r="S732" s="39" t="str">
        <f aca="false">IF(AND(M732&gt;0,O732&gt;0),O732+M732/1000000000000+ROW()/1000000000000000,"")</f>
        <v/>
      </c>
      <c r="T732" s="39" t="str">
        <f aca="false">IF(J732="Belum ditukar",ROW(),"")</f>
        <v/>
      </c>
    </row>
    <row r="733" customFormat="false" ht="15" hidden="false" customHeight="false" outlineLevel="0" collapsed="false">
      <c r="A733" s="50" t="s">
        <v>1015</v>
      </c>
      <c r="B733" s="51" t="n">
        <v>45813</v>
      </c>
      <c r="C733" s="50" t="s">
        <v>284</v>
      </c>
      <c r="D733" s="39" t="str">
        <f aca="false">INDEX(Master_Customer!$B$2:$B$126,MATCH(C733,Master_Customer!$A$2:$A$126,0))</f>
        <v>CAHAYA SPAREPART</v>
      </c>
      <c r="E733" s="50" t="s">
        <v>29</v>
      </c>
      <c r="F733" s="52" t="n">
        <f aca="false">SUMIFS(Data_Penjualan!$G$2:$G$5998,Data_Penjualan!$A$2:$A$5998,A733)</f>
        <v>2858600</v>
      </c>
      <c r="G733" s="39" t="n">
        <f aca="false">IF(E733="KANTOR",0,INDEX(Master_Customer!$C$2:$C$126,MATCH(C733,Master_Customer!$A$2:$A$126,0)))</f>
        <v>14</v>
      </c>
      <c r="H733" s="53" t="n">
        <f aca="false">B733+G733</f>
        <v>45827</v>
      </c>
      <c r="I733" s="51" t="n">
        <v>45816</v>
      </c>
      <c r="J733" s="39" t="str">
        <f aca="false">IF(G733=0,"Tunai",IF(I733="","Belum ditukar","Sudah ditukar"))</f>
        <v>Sudah ditukar</v>
      </c>
      <c r="K733" s="54" t="n">
        <v>2858600</v>
      </c>
      <c r="L733" s="51" t="n">
        <v>45844</v>
      </c>
      <c r="M733" s="52" t="n">
        <f aca="false">F733-K733</f>
        <v>0</v>
      </c>
      <c r="N733" s="39" t="str">
        <f aca="false">IF(M733&lt;=0,"Lunas",IF(K733&gt;0,"Sebagian","Belum Bayar"))</f>
        <v>Lunas</v>
      </c>
      <c r="O733" s="39" t="n">
        <f aca="false">IF(M733&gt;0,MAX(0,Catatan!$B$3-H733),0)</f>
        <v>0</v>
      </c>
      <c r="P733" s="39" t="str">
        <f aca="false">IF(M733&lt;=0,"Lunas",IF(Catatan!$B$3&lt;=H733,"Belum Jatuh Tempo",IF(O733&lt;=30,"1-30 hari",IF(O733&lt;=60,"31-60 hari",IF(O733&lt;=90,"61-90 hari","90+ hari")))))</f>
        <v>Lunas</v>
      </c>
      <c r="Q733" s="50"/>
      <c r="R733" s="39" t="str">
        <f aca="false">IF(M733&lt;=0,"",IF(O733&gt;60,"1-Tinggi",IF(O733&gt;30,"2-Sedang",IF(O733&gt;0,"3-Rendah","4-Pantau"))))</f>
        <v/>
      </c>
      <c r="S733" s="39" t="str">
        <f aca="false">IF(AND(M733&gt;0,O733&gt;0),O733+M733/1000000000000+ROW()/1000000000000000,"")</f>
        <v/>
      </c>
      <c r="T733" s="39" t="str">
        <f aca="false">IF(J733="Belum ditukar",ROW(),"")</f>
        <v/>
      </c>
    </row>
    <row r="734" customFormat="false" ht="15" hidden="false" customHeight="false" outlineLevel="0" collapsed="false">
      <c r="A734" s="50" t="s">
        <v>1016</v>
      </c>
      <c r="B734" s="51" t="n">
        <v>45813</v>
      </c>
      <c r="C734" s="50" t="s">
        <v>329</v>
      </c>
      <c r="D734" s="39" t="str">
        <f aca="false">INDEX(Master_Customer!$B$2:$B$126,MATCH(C734,Master_Customer!$A$2:$A$126,0))</f>
        <v>MAKMUR OLI</v>
      </c>
      <c r="E734" s="50" t="s">
        <v>28</v>
      </c>
      <c r="F734" s="52" t="n">
        <f aca="false">SUMIFS(Data_Penjualan!$G$2:$G$5998,Data_Penjualan!$A$2:$A$5998,A734)</f>
        <v>16860400</v>
      </c>
      <c r="G734" s="39" t="n">
        <f aca="false">IF(E734="KANTOR",0,INDEX(Master_Customer!$C$2:$C$126,MATCH(C734,Master_Customer!$A$2:$A$126,0)))</f>
        <v>45</v>
      </c>
      <c r="H734" s="53" t="n">
        <f aca="false">B734+G734</f>
        <v>45858</v>
      </c>
      <c r="I734" s="51" t="n">
        <v>45815</v>
      </c>
      <c r="J734" s="39" t="str">
        <f aca="false">IF(G734=0,"Tunai",IF(I734="","Belum ditukar","Sudah ditukar"))</f>
        <v>Sudah ditukar</v>
      </c>
      <c r="K734" s="54" t="n">
        <v>16860400</v>
      </c>
      <c r="L734" s="51" t="n">
        <v>45875</v>
      </c>
      <c r="M734" s="52" t="n">
        <f aca="false">F734-K734</f>
        <v>0</v>
      </c>
      <c r="N734" s="39" t="str">
        <f aca="false">IF(M734&lt;=0,"Lunas",IF(K734&gt;0,"Sebagian","Belum Bayar"))</f>
        <v>Lunas</v>
      </c>
      <c r="O734" s="39" t="n">
        <f aca="false">IF(M734&gt;0,MAX(0,Catatan!$B$3-H734),0)</f>
        <v>0</v>
      </c>
      <c r="P734" s="39" t="str">
        <f aca="false">IF(M734&lt;=0,"Lunas",IF(Catatan!$B$3&lt;=H734,"Belum Jatuh Tempo",IF(O734&lt;=30,"1-30 hari",IF(O734&lt;=60,"31-60 hari",IF(O734&lt;=90,"61-90 hari","90+ hari")))))</f>
        <v>Lunas</v>
      </c>
      <c r="Q734" s="50"/>
      <c r="R734" s="39" t="str">
        <f aca="false">IF(M734&lt;=0,"",IF(O734&gt;60,"1-Tinggi",IF(O734&gt;30,"2-Sedang",IF(O734&gt;0,"3-Rendah","4-Pantau"))))</f>
        <v/>
      </c>
      <c r="S734" s="39" t="str">
        <f aca="false">IF(AND(M734&gt;0,O734&gt;0),O734+M734/1000000000000+ROW()/1000000000000000,"")</f>
        <v/>
      </c>
      <c r="T734" s="39" t="str">
        <f aca="false">IF(J734="Belum ditukar",ROW(),"")</f>
        <v/>
      </c>
    </row>
    <row r="735" customFormat="false" ht="15" hidden="false" customHeight="false" outlineLevel="0" collapsed="false">
      <c r="A735" s="50" t="s">
        <v>1017</v>
      </c>
      <c r="B735" s="51" t="n">
        <v>45813</v>
      </c>
      <c r="C735" s="50" t="s">
        <v>358</v>
      </c>
      <c r="D735" s="39" t="str">
        <f aca="false">INDEX(Master_Customer!$B$2:$B$126,MATCH(C735,Master_Customer!$A$2:$A$126,0))</f>
        <v>HARAPAN TEKNIK</v>
      </c>
      <c r="E735" s="50" t="s">
        <v>31</v>
      </c>
      <c r="F735" s="52" t="n">
        <f aca="false">SUMIFS(Data_Penjualan!$G$2:$G$5998,Data_Penjualan!$A$2:$A$5998,A735)</f>
        <v>7650000</v>
      </c>
      <c r="G735" s="39" t="n">
        <f aca="false">IF(E735="KANTOR",0,INDEX(Master_Customer!$C$2:$C$126,MATCH(C735,Master_Customer!$A$2:$A$126,0)))</f>
        <v>0</v>
      </c>
      <c r="H735" s="53" t="n">
        <f aca="false">B735+G735</f>
        <v>45813</v>
      </c>
      <c r="J735" s="39" t="str">
        <f aca="false">IF(G735=0,"Tunai",IF(I735="","Belum ditukar","Sudah ditukar"))</f>
        <v>Tunai</v>
      </c>
      <c r="K735" s="54" t="n">
        <v>7650000</v>
      </c>
      <c r="L735" s="51" t="n">
        <v>45813</v>
      </c>
      <c r="M735" s="52" t="n">
        <f aca="false">F735-K735</f>
        <v>0</v>
      </c>
      <c r="N735" s="39" t="str">
        <f aca="false">IF(M735&lt;=0,"Lunas",IF(K735&gt;0,"Sebagian","Belum Bayar"))</f>
        <v>Lunas</v>
      </c>
      <c r="O735" s="39" t="n">
        <f aca="false">IF(M735&gt;0,MAX(0,Catatan!$B$3-H735),0)</f>
        <v>0</v>
      </c>
      <c r="P735" s="39" t="str">
        <f aca="false">IF(M735&lt;=0,"Lunas",IF(Catatan!$B$3&lt;=H735,"Belum Jatuh Tempo",IF(O735&lt;=30,"1-30 hari",IF(O735&lt;=60,"31-60 hari",IF(O735&lt;=90,"61-90 hari","90+ hari")))))</f>
        <v>Lunas</v>
      </c>
      <c r="Q735" s="50"/>
      <c r="R735" s="39" t="str">
        <f aca="false">IF(M735&lt;=0,"",IF(O735&gt;60,"1-Tinggi",IF(O735&gt;30,"2-Sedang",IF(O735&gt;0,"3-Rendah","4-Pantau"))))</f>
        <v/>
      </c>
      <c r="S735" s="39" t="str">
        <f aca="false">IF(AND(M735&gt;0,O735&gt;0),O735+M735/1000000000000+ROW()/1000000000000000,"")</f>
        <v/>
      </c>
      <c r="T735" s="39" t="str">
        <f aca="false">IF(J735="Belum ditukar",ROW(),"")</f>
        <v/>
      </c>
    </row>
    <row r="736" customFormat="false" ht="15" hidden="false" customHeight="false" outlineLevel="0" collapsed="false">
      <c r="A736" s="50" t="s">
        <v>1018</v>
      </c>
      <c r="B736" s="51" t="n">
        <v>45814</v>
      </c>
      <c r="C736" s="50" t="s">
        <v>967</v>
      </c>
      <c r="D736" s="39" t="str">
        <f aca="false">INDEX(Master_Customer!$B$2:$B$126,MATCH(C736,Master_Customer!$A$2:$A$126,0))</f>
        <v>MAKMUR SPAREPART GEMILANG</v>
      </c>
      <c r="E736" s="50" t="s">
        <v>29</v>
      </c>
      <c r="F736" s="52" t="n">
        <f aca="false">SUMIFS(Data_Penjualan!$G$2:$G$5998,Data_Penjualan!$A$2:$A$5998,A736)</f>
        <v>16454600</v>
      </c>
      <c r="G736" s="39" t="n">
        <f aca="false">IF(E736="KANTOR",0,INDEX(Master_Customer!$C$2:$C$126,MATCH(C736,Master_Customer!$A$2:$A$126,0)))</f>
        <v>14</v>
      </c>
      <c r="H736" s="53" t="n">
        <f aca="false">B736+G736</f>
        <v>45828</v>
      </c>
      <c r="I736" s="51" t="n">
        <v>45817</v>
      </c>
      <c r="J736" s="39" t="str">
        <f aca="false">IF(G736=0,"Tunai",IF(I736="","Belum ditukar","Sudah ditukar"))</f>
        <v>Sudah ditukar</v>
      </c>
      <c r="K736" s="54" t="n">
        <v>16454600</v>
      </c>
      <c r="L736" s="51" t="n">
        <v>45827</v>
      </c>
      <c r="M736" s="52" t="n">
        <f aca="false">F736-K736</f>
        <v>0</v>
      </c>
      <c r="N736" s="39" t="str">
        <f aca="false">IF(M736&lt;=0,"Lunas",IF(K736&gt;0,"Sebagian","Belum Bayar"))</f>
        <v>Lunas</v>
      </c>
      <c r="O736" s="39" t="n">
        <f aca="false">IF(M736&gt;0,MAX(0,Catatan!$B$3-H736),0)</f>
        <v>0</v>
      </c>
      <c r="P736" s="39" t="str">
        <f aca="false">IF(M736&lt;=0,"Lunas",IF(Catatan!$B$3&lt;=H736,"Belum Jatuh Tempo",IF(O736&lt;=30,"1-30 hari",IF(O736&lt;=60,"31-60 hari",IF(O736&lt;=90,"61-90 hari","90+ hari")))))</f>
        <v>Lunas</v>
      </c>
      <c r="Q736" s="50"/>
      <c r="R736" s="39" t="str">
        <f aca="false">IF(M736&lt;=0,"",IF(O736&gt;60,"1-Tinggi",IF(O736&gt;30,"2-Sedang",IF(O736&gt;0,"3-Rendah","4-Pantau"))))</f>
        <v/>
      </c>
      <c r="S736" s="39" t="str">
        <f aca="false">IF(AND(M736&gt;0,O736&gt;0),O736+M736/1000000000000+ROW()/1000000000000000,"")</f>
        <v/>
      </c>
      <c r="T736" s="39" t="str">
        <f aca="false">IF(J736="Belum ditukar",ROW(),"")</f>
        <v/>
      </c>
    </row>
    <row r="737" customFormat="false" ht="15" hidden="false" customHeight="false" outlineLevel="0" collapsed="false">
      <c r="A737" s="50" t="s">
        <v>1019</v>
      </c>
      <c r="B737" s="51" t="n">
        <v>45814</v>
      </c>
      <c r="C737" s="50" t="s">
        <v>174</v>
      </c>
      <c r="D737" s="39" t="str">
        <f aca="false">INDEX(Master_Customer!$B$2:$B$126,MATCH(C737,Master_Customer!$A$2:$A$126,0))</f>
        <v>SUMBER TEKNIK SURYA</v>
      </c>
      <c r="E737" s="50" t="s">
        <v>31</v>
      </c>
      <c r="F737" s="52" t="n">
        <f aca="false">SUMIFS(Data_Penjualan!$G$2:$G$5998,Data_Penjualan!$A$2:$A$5998,A737)</f>
        <v>12241700</v>
      </c>
      <c r="G737" s="39" t="n">
        <f aca="false">IF(E737="KANTOR",0,INDEX(Master_Customer!$C$2:$C$126,MATCH(C737,Master_Customer!$A$2:$A$126,0)))</f>
        <v>30</v>
      </c>
      <c r="H737" s="53" t="n">
        <f aca="false">B737+G737</f>
        <v>45844</v>
      </c>
      <c r="I737" s="51" t="n">
        <v>45817</v>
      </c>
      <c r="J737" s="39" t="str">
        <f aca="false">IF(G737=0,"Tunai",IF(I737="","Belum ditukar","Sudah ditukar"))</f>
        <v>Sudah ditukar</v>
      </c>
      <c r="K737" s="54" t="n">
        <v>12241700</v>
      </c>
      <c r="L737" s="51" t="n">
        <v>45834</v>
      </c>
      <c r="M737" s="52" t="n">
        <f aca="false">F737-K737</f>
        <v>0</v>
      </c>
      <c r="N737" s="39" t="str">
        <f aca="false">IF(M737&lt;=0,"Lunas",IF(K737&gt;0,"Sebagian","Belum Bayar"))</f>
        <v>Lunas</v>
      </c>
      <c r="O737" s="39" t="n">
        <f aca="false">IF(M737&gt;0,MAX(0,Catatan!$B$3-H737),0)</f>
        <v>0</v>
      </c>
      <c r="P737" s="39" t="str">
        <f aca="false">IF(M737&lt;=0,"Lunas",IF(Catatan!$B$3&lt;=H737,"Belum Jatuh Tempo",IF(O737&lt;=30,"1-30 hari",IF(O737&lt;=60,"31-60 hari",IF(O737&lt;=90,"61-90 hari","90+ hari")))))</f>
        <v>Lunas</v>
      </c>
      <c r="Q737" s="50"/>
      <c r="R737" s="39" t="str">
        <f aca="false">IF(M737&lt;=0,"",IF(O737&gt;60,"1-Tinggi",IF(O737&gt;30,"2-Sedang",IF(O737&gt;0,"3-Rendah","4-Pantau"))))</f>
        <v/>
      </c>
      <c r="S737" s="39" t="str">
        <f aca="false">IF(AND(M737&gt;0,O737&gt;0),O737+M737/1000000000000+ROW()/1000000000000000,"")</f>
        <v/>
      </c>
      <c r="T737" s="39" t="str">
        <f aca="false">IF(J737="Belum ditukar",ROW(),"")</f>
        <v/>
      </c>
    </row>
    <row r="738" customFormat="false" ht="15" hidden="false" customHeight="false" outlineLevel="0" collapsed="false">
      <c r="A738" s="50" t="s">
        <v>1020</v>
      </c>
      <c r="B738" s="51" t="n">
        <v>45814</v>
      </c>
      <c r="C738" s="50" t="s">
        <v>465</v>
      </c>
      <c r="D738" s="39" t="str">
        <f aca="false">INDEX(Master_Customer!$B$2:$B$126,MATCH(C738,Master_Customer!$A$2:$A$126,0))</f>
        <v>CAHAYA SERVICE BINTANG</v>
      </c>
      <c r="E738" s="50" t="s">
        <v>28</v>
      </c>
      <c r="F738" s="52" t="n">
        <f aca="false">SUMIFS(Data_Penjualan!$G$2:$G$5998,Data_Penjualan!$A$2:$A$5998,A738)</f>
        <v>22418600</v>
      </c>
      <c r="G738" s="39" t="n">
        <f aca="false">IF(E738="KANTOR",0,INDEX(Master_Customer!$C$2:$C$126,MATCH(C738,Master_Customer!$A$2:$A$126,0)))</f>
        <v>30</v>
      </c>
      <c r="H738" s="53" t="n">
        <f aca="false">B738+G738</f>
        <v>45844</v>
      </c>
      <c r="I738" s="51" t="n">
        <v>45815</v>
      </c>
      <c r="J738" s="39" t="str">
        <f aca="false">IF(G738=0,"Tunai",IF(I738="","Belum ditukar","Sudah ditukar"))</f>
        <v>Sudah ditukar</v>
      </c>
      <c r="K738" s="54" t="n">
        <v>22418600</v>
      </c>
      <c r="L738" s="51" t="n">
        <v>45845</v>
      </c>
      <c r="M738" s="52" t="n">
        <f aca="false">F738-K738</f>
        <v>0</v>
      </c>
      <c r="N738" s="39" t="str">
        <f aca="false">IF(M738&lt;=0,"Lunas",IF(K738&gt;0,"Sebagian","Belum Bayar"))</f>
        <v>Lunas</v>
      </c>
      <c r="O738" s="39" t="n">
        <f aca="false">IF(M738&gt;0,MAX(0,Catatan!$B$3-H738),0)</f>
        <v>0</v>
      </c>
      <c r="P738" s="39" t="str">
        <f aca="false">IF(M738&lt;=0,"Lunas",IF(Catatan!$B$3&lt;=H738,"Belum Jatuh Tempo",IF(O738&lt;=30,"1-30 hari",IF(O738&lt;=60,"31-60 hari",IF(O738&lt;=90,"61-90 hari","90+ hari")))))</f>
        <v>Lunas</v>
      </c>
      <c r="Q738" s="50"/>
      <c r="R738" s="39" t="str">
        <f aca="false">IF(M738&lt;=0,"",IF(O738&gt;60,"1-Tinggi",IF(O738&gt;30,"2-Sedang",IF(O738&gt;0,"3-Rendah","4-Pantau"))))</f>
        <v/>
      </c>
      <c r="S738" s="39" t="str">
        <f aca="false">IF(AND(M738&gt;0,O738&gt;0),O738+M738/1000000000000+ROW()/1000000000000000,"")</f>
        <v/>
      </c>
      <c r="T738" s="39" t="str">
        <f aca="false">IF(J738="Belum ditukar",ROW(),"")</f>
        <v/>
      </c>
    </row>
    <row r="739" customFormat="false" ht="15" hidden="false" customHeight="false" outlineLevel="0" collapsed="false">
      <c r="A739" s="50" t="s">
        <v>1021</v>
      </c>
      <c r="B739" s="51" t="n">
        <v>45814</v>
      </c>
      <c r="C739" s="50" t="s">
        <v>778</v>
      </c>
      <c r="D739" s="39" t="str">
        <f aca="false">INDEX(Master_Customer!$B$2:$B$126,MATCH(C739,Master_Customer!$A$2:$A$126,0))</f>
        <v>BINTANG SERVICE MULIA</v>
      </c>
      <c r="E739" s="50" t="s">
        <v>29</v>
      </c>
      <c r="F739" s="52" t="n">
        <f aca="false">SUMIFS(Data_Penjualan!$G$2:$G$5998,Data_Penjualan!$A$2:$A$5998,A739)</f>
        <v>13864200</v>
      </c>
      <c r="G739" s="39" t="n">
        <f aca="false">IF(E739="KANTOR",0,INDEX(Master_Customer!$C$2:$C$126,MATCH(C739,Master_Customer!$A$2:$A$126,0)))</f>
        <v>30</v>
      </c>
      <c r="H739" s="53" t="n">
        <f aca="false">B739+G739</f>
        <v>45844</v>
      </c>
      <c r="I739" s="51" t="n">
        <v>45818</v>
      </c>
      <c r="J739" s="39" t="str">
        <f aca="false">IF(G739=0,"Tunai",IF(I739="","Belum ditukar","Sudah ditukar"))</f>
        <v>Sudah ditukar</v>
      </c>
      <c r="K739" s="54" t="n">
        <v>13864200</v>
      </c>
      <c r="L739" s="51" t="n">
        <v>45838</v>
      </c>
      <c r="M739" s="52" t="n">
        <f aca="false">F739-K739</f>
        <v>0</v>
      </c>
      <c r="N739" s="39" t="str">
        <f aca="false">IF(M739&lt;=0,"Lunas",IF(K739&gt;0,"Sebagian","Belum Bayar"))</f>
        <v>Lunas</v>
      </c>
      <c r="O739" s="39" t="n">
        <f aca="false">IF(M739&gt;0,MAX(0,Catatan!$B$3-H739),0)</f>
        <v>0</v>
      </c>
      <c r="P739" s="39" t="str">
        <f aca="false">IF(M739&lt;=0,"Lunas",IF(Catatan!$B$3&lt;=H739,"Belum Jatuh Tempo",IF(O739&lt;=30,"1-30 hari",IF(O739&lt;=60,"31-60 hari",IF(O739&lt;=90,"61-90 hari","90+ hari")))))</f>
        <v>Lunas</v>
      </c>
      <c r="Q739" s="50"/>
      <c r="R739" s="39" t="str">
        <f aca="false">IF(M739&lt;=0,"",IF(O739&gt;60,"1-Tinggi",IF(O739&gt;30,"2-Sedang",IF(O739&gt;0,"3-Rendah","4-Pantau"))))</f>
        <v/>
      </c>
      <c r="S739" s="39" t="str">
        <f aca="false">IF(AND(M739&gt;0,O739&gt;0),O739+M739/1000000000000+ROW()/1000000000000000,"")</f>
        <v/>
      </c>
      <c r="T739" s="39" t="str">
        <f aca="false">IF(J739="Belum ditukar",ROW(),"")</f>
        <v/>
      </c>
    </row>
    <row r="740" customFormat="false" ht="15" hidden="false" customHeight="false" outlineLevel="0" collapsed="false">
      <c r="A740" s="50" t="s">
        <v>1022</v>
      </c>
      <c r="B740" s="51" t="n">
        <v>45815</v>
      </c>
      <c r="C740" s="50" t="s">
        <v>166</v>
      </c>
      <c r="D740" s="39" t="str">
        <f aca="false">INDEX(Master_Customer!$B$2:$B$126,MATCH(C740,Master_Customer!$A$2:$A$126,0))</f>
        <v>SENTOSA SERVICE</v>
      </c>
      <c r="E740" s="50" t="s">
        <v>30</v>
      </c>
      <c r="F740" s="52" t="n">
        <f aca="false">SUMIFS(Data_Penjualan!$G$2:$G$5998,Data_Penjualan!$A$2:$A$5998,A740)</f>
        <v>10621600</v>
      </c>
      <c r="G740" s="39" t="n">
        <f aca="false">IF(E740="KANTOR",0,INDEX(Master_Customer!$C$2:$C$126,MATCH(C740,Master_Customer!$A$2:$A$126,0)))</f>
        <v>0</v>
      </c>
      <c r="H740" s="53" t="n">
        <f aca="false">B740+G740</f>
        <v>45815</v>
      </c>
      <c r="J740" s="39" t="str">
        <f aca="false">IF(G740=0,"Tunai",IF(I740="","Belum ditukar","Sudah ditukar"))</f>
        <v>Tunai</v>
      </c>
      <c r="K740" s="54" t="n">
        <v>10621600</v>
      </c>
      <c r="L740" s="51" t="n">
        <v>45816</v>
      </c>
      <c r="M740" s="52" t="n">
        <f aca="false">F740-K740</f>
        <v>0</v>
      </c>
      <c r="N740" s="39" t="str">
        <f aca="false">IF(M740&lt;=0,"Lunas",IF(K740&gt;0,"Sebagian","Belum Bayar"))</f>
        <v>Lunas</v>
      </c>
      <c r="O740" s="39" t="n">
        <f aca="false">IF(M740&gt;0,MAX(0,Catatan!$B$3-H740),0)</f>
        <v>0</v>
      </c>
      <c r="P740" s="39" t="str">
        <f aca="false">IF(M740&lt;=0,"Lunas",IF(Catatan!$B$3&lt;=H740,"Belum Jatuh Tempo",IF(O740&lt;=30,"1-30 hari",IF(O740&lt;=60,"31-60 hari",IF(O740&lt;=90,"61-90 hari","90+ hari")))))</f>
        <v>Lunas</v>
      </c>
      <c r="Q740" s="50"/>
      <c r="R740" s="39" t="str">
        <f aca="false">IF(M740&lt;=0,"",IF(O740&gt;60,"1-Tinggi",IF(O740&gt;30,"2-Sedang",IF(O740&gt;0,"3-Rendah","4-Pantau"))))</f>
        <v/>
      </c>
      <c r="S740" s="39" t="str">
        <f aca="false">IF(AND(M740&gt;0,O740&gt;0),O740+M740/1000000000000+ROW()/1000000000000000,"")</f>
        <v/>
      </c>
      <c r="T740" s="39" t="str">
        <f aca="false">IF(J740="Belum ditukar",ROW(),"")</f>
        <v/>
      </c>
    </row>
    <row r="741" customFormat="false" ht="15" hidden="false" customHeight="false" outlineLevel="0" collapsed="false">
      <c r="A741" s="50" t="s">
        <v>1023</v>
      </c>
      <c r="B741" s="51" t="n">
        <v>45815</v>
      </c>
      <c r="C741" s="50" t="s">
        <v>172</v>
      </c>
      <c r="D741" s="39" t="str">
        <f aca="false">INDEX(Master_Customer!$B$2:$B$126,MATCH(C741,Master_Customer!$A$2:$A$126,0))</f>
        <v>SURYA GARAGE MITRA</v>
      </c>
      <c r="E741" s="50" t="s">
        <v>32</v>
      </c>
      <c r="F741" s="52" t="n">
        <f aca="false">SUMIFS(Data_Penjualan!$G$2:$G$5998,Data_Penjualan!$A$2:$A$5998,A741)</f>
        <v>9155800</v>
      </c>
      <c r="G741" s="39" t="n">
        <f aca="false">IF(E741="KANTOR",0,INDEX(Master_Customer!$C$2:$C$126,MATCH(C741,Master_Customer!$A$2:$A$126,0)))</f>
        <v>0</v>
      </c>
      <c r="H741" s="53" t="n">
        <f aca="false">B741+G741</f>
        <v>45815</v>
      </c>
      <c r="J741" s="39" t="str">
        <f aca="false">IF(G741=0,"Tunai",IF(I741="","Belum ditukar","Sudah ditukar"))</f>
        <v>Tunai</v>
      </c>
      <c r="K741" s="54" t="n">
        <v>9155800</v>
      </c>
      <c r="L741" s="51" t="n">
        <v>45816</v>
      </c>
      <c r="M741" s="52" t="n">
        <f aca="false">F741-K741</f>
        <v>0</v>
      </c>
      <c r="N741" s="39" t="str">
        <f aca="false">IF(M741&lt;=0,"Lunas",IF(K741&gt;0,"Sebagian","Belum Bayar"))</f>
        <v>Lunas</v>
      </c>
      <c r="O741" s="39" t="n">
        <f aca="false">IF(M741&gt;0,MAX(0,Catatan!$B$3-H741),0)</f>
        <v>0</v>
      </c>
      <c r="P741" s="39" t="str">
        <f aca="false">IF(M741&lt;=0,"Lunas",IF(Catatan!$B$3&lt;=H741,"Belum Jatuh Tempo",IF(O741&lt;=30,"1-30 hari",IF(O741&lt;=60,"31-60 hari",IF(O741&lt;=90,"61-90 hari","90+ hari")))))</f>
        <v>Lunas</v>
      </c>
      <c r="Q741" s="50"/>
      <c r="R741" s="39" t="str">
        <f aca="false">IF(M741&lt;=0,"",IF(O741&gt;60,"1-Tinggi",IF(O741&gt;30,"2-Sedang",IF(O741&gt;0,"3-Rendah","4-Pantau"))))</f>
        <v/>
      </c>
      <c r="S741" s="39" t="str">
        <f aca="false">IF(AND(M741&gt;0,O741&gt;0),O741+M741/1000000000000+ROW()/1000000000000000,"")</f>
        <v/>
      </c>
      <c r="T741" s="39" t="str">
        <f aca="false">IF(J741="Belum ditukar",ROW(),"")</f>
        <v/>
      </c>
    </row>
    <row r="742" customFormat="false" ht="15" hidden="false" customHeight="false" outlineLevel="0" collapsed="false">
      <c r="A742" s="50" t="s">
        <v>1024</v>
      </c>
      <c r="B742" s="51" t="n">
        <v>45815</v>
      </c>
      <c r="C742" s="50" t="s">
        <v>410</v>
      </c>
      <c r="D742" s="39" t="str">
        <f aca="false">INDEX(Master_Customer!$B$2:$B$126,MATCH(C742,Master_Customer!$A$2:$A$126,0))</f>
        <v>BINTANG SERVICE</v>
      </c>
      <c r="E742" s="50" t="s">
        <v>28</v>
      </c>
      <c r="F742" s="52" t="n">
        <f aca="false">SUMIFS(Data_Penjualan!$G$2:$G$5998,Data_Penjualan!$A$2:$A$5998,A742)</f>
        <v>6410000</v>
      </c>
      <c r="G742" s="39" t="n">
        <f aca="false">IF(E742="KANTOR",0,INDEX(Master_Customer!$C$2:$C$126,MATCH(C742,Master_Customer!$A$2:$A$126,0)))</f>
        <v>14</v>
      </c>
      <c r="H742" s="53" t="n">
        <f aca="false">B742+G742</f>
        <v>45829</v>
      </c>
      <c r="I742" s="51" t="n">
        <v>45817</v>
      </c>
      <c r="J742" s="39" t="str">
        <f aca="false">IF(G742=0,"Tunai",IF(I742="","Belum ditukar","Sudah ditukar"))</f>
        <v>Sudah ditukar</v>
      </c>
      <c r="K742" s="54" t="n">
        <v>6410000</v>
      </c>
      <c r="L742" s="51" t="n">
        <v>45829</v>
      </c>
      <c r="M742" s="52" t="n">
        <f aca="false">F742-K742</f>
        <v>0</v>
      </c>
      <c r="N742" s="39" t="str">
        <f aca="false">IF(M742&lt;=0,"Lunas",IF(K742&gt;0,"Sebagian","Belum Bayar"))</f>
        <v>Lunas</v>
      </c>
      <c r="O742" s="39" t="n">
        <f aca="false">IF(M742&gt;0,MAX(0,Catatan!$B$3-H742),0)</f>
        <v>0</v>
      </c>
      <c r="P742" s="39" t="str">
        <f aca="false">IF(M742&lt;=0,"Lunas",IF(Catatan!$B$3&lt;=H742,"Belum Jatuh Tempo",IF(O742&lt;=30,"1-30 hari",IF(O742&lt;=60,"31-60 hari",IF(O742&lt;=90,"61-90 hari","90+ hari")))))</f>
        <v>Lunas</v>
      </c>
      <c r="Q742" s="50"/>
      <c r="R742" s="39" t="str">
        <f aca="false">IF(M742&lt;=0,"",IF(O742&gt;60,"1-Tinggi",IF(O742&gt;30,"2-Sedang",IF(O742&gt;0,"3-Rendah","4-Pantau"))))</f>
        <v/>
      </c>
      <c r="S742" s="39" t="str">
        <f aca="false">IF(AND(M742&gt;0,O742&gt;0),O742+M742/1000000000000+ROW()/1000000000000000,"")</f>
        <v/>
      </c>
      <c r="T742" s="39" t="str">
        <f aca="false">IF(J742="Belum ditukar",ROW(),"")</f>
        <v/>
      </c>
    </row>
    <row r="743" customFormat="false" ht="15" hidden="false" customHeight="false" outlineLevel="0" collapsed="false">
      <c r="A743" s="50" t="s">
        <v>1025</v>
      </c>
      <c r="B743" s="51" t="n">
        <v>45815</v>
      </c>
      <c r="C743" s="50" t="s">
        <v>467</v>
      </c>
      <c r="D743" s="39" t="str">
        <f aca="false">INDEX(Master_Customer!$B$2:$B$126,MATCH(C743,Master_Customer!$A$2:$A$126,0))</f>
        <v>LANCAR GARAGE UTAMA</v>
      </c>
      <c r="E743" s="50" t="s">
        <v>31</v>
      </c>
      <c r="F743" s="52" t="n">
        <f aca="false">SUMIFS(Data_Penjualan!$G$2:$G$5998,Data_Penjualan!$A$2:$A$5998,A743)</f>
        <v>16281400</v>
      </c>
      <c r="G743" s="39" t="n">
        <f aca="false">IF(E743="KANTOR",0,INDEX(Master_Customer!$C$2:$C$126,MATCH(C743,Master_Customer!$A$2:$A$126,0)))</f>
        <v>14</v>
      </c>
      <c r="H743" s="53" t="n">
        <f aca="false">B743+G743</f>
        <v>45829</v>
      </c>
      <c r="I743" s="51" t="n">
        <v>45818</v>
      </c>
      <c r="J743" s="39" t="str">
        <f aca="false">IF(G743=0,"Tunai",IF(I743="","Belum ditukar","Sudah ditukar"))</f>
        <v>Sudah ditukar</v>
      </c>
      <c r="K743" s="54" t="n">
        <v>16281400</v>
      </c>
      <c r="L743" s="51" t="n">
        <v>45815</v>
      </c>
      <c r="M743" s="52" t="n">
        <f aca="false">F743-K743</f>
        <v>0</v>
      </c>
      <c r="N743" s="39" t="str">
        <f aca="false">IF(M743&lt;=0,"Lunas",IF(K743&gt;0,"Sebagian","Belum Bayar"))</f>
        <v>Lunas</v>
      </c>
      <c r="O743" s="39" t="n">
        <f aca="false">IF(M743&gt;0,MAX(0,Catatan!$B$3-H743),0)</f>
        <v>0</v>
      </c>
      <c r="P743" s="39" t="str">
        <f aca="false">IF(M743&lt;=0,"Lunas",IF(Catatan!$B$3&lt;=H743,"Belum Jatuh Tempo",IF(O743&lt;=30,"1-30 hari",IF(O743&lt;=60,"31-60 hari",IF(O743&lt;=90,"61-90 hari","90+ hari")))))</f>
        <v>Lunas</v>
      </c>
      <c r="Q743" s="50"/>
      <c r="R743" s="39" t="str">
        <f aca="false">IF(M743&lt;=0,"",IF(O743&gt;60,"1-Tinggi",IF(O743&gt;30,"2-Sedang",IF(O743&gt;0,"3-Rendah","4-Pantau"))))</f>
        <v/>
      </c>
      <c r="S743" s="39" t="str">
        <f aca="false">IF(AND(M743&gt;0,O743&gt;0),O743+M743/1000000000000+ROW()/1000000000000000,"")</f>
        <v/>
      </c>
      <c r="T743" s="39" t="str">
        <f aca="false">IF(J743="Belum ditukar",ROW(),"")</f>
        <v/>
      </c>
    </row>
    <row r="744" customFormat="false" ht="15" hidden="false" customHeight="false" outlineLevel="0" collapsed="false">
      <c r="A744" s="50" t="s">
        <v>1026</v>
      </c>
      <c r="B744" s="51" t="n">
        <v>45815</v>
      </c>
      <c r="C744" s="50" t="s">
        <v>505</v>
      </c>
      <c r="D744" s="39" t="str">
        <f aca="false">INDEX(Master_Customer!$B$2:$B$126,MATCH(C744,Master_Customer!$A$2:$A$126,0))</f>
        <v>GEMILANG OLI CAHAYA</v>
      </c>
      <c r="E744" s="50" t="s">
        <v>32</v>
      </c>
      <c r="F744" s="52" t="n">
        <f aca="false">SUMIFS(Data_Penjualan!$G$2:$G$5998,Data_Penjualan!$A$2:$A$5998,A744)</f>
        <v>4723000</v>
      </c>
      <c r="G744" s="39" t="n">
        <f aca="false">IF(E744="KANTOR",0,INDEX(Master_Customer!$C$2:$C$126,MATCH(C744,Master_Customer!$A$2:$A$126,0)))</f>
        <v>0</v>
      </c>
      <c r="H744" s="53" t="n">
        <f aca="false">B744+G744</f>
        <v>45815</v>
      </c>
      <c r="J744" s="39" t="str">
        <f aca="false">IF(G744=0,"Tunai",IF(I744="","Belum ditukar","Sudah ditukar"))</f>
        <v>Tunai</v>
      </c>
      <c r="K744" s="54" t="n">
        <v>4723000</v>
      </c>
      <c r="L744" s="51" t="n">
        <v>45815</v>
      </c>
      <c r="M744" s="52" t="n">
        <f aca="false">F744-K744</f>
        <v>0</v>
      </c>
      <c r="N744" s="39" t="str">
        <f aca="false">IF(M744&lt;=0,"Lunas",IF(K744&gt;0,"Sebagian","Belum Bayar"))</f>
        <v>Lunas</v>
      </c>
      <c r="O744" s="39" t="n">
        <f aca="false">IF(M744&gt;0,MAX(0,Catatan!$B$3-H744),0)</f>
        <v>0</v>
      </c>
      <c r="P744" s="39" t="str">
        <f aca="false">IF(M744&lt;=0,"Lunas",IF(Catatan!$B$3&lt;=H744,"Belum Jatuh Tempo",IF(O744&lt;=30,"1-30 hari",IF(O744&lt;=60,"31-60 hari",IF(O744&lt;=90,"61-90 hari","90+ hari")))))</f>
        <v>Lunas</v>
      </c>
      <c r="Q744" s="50"/>
      <c r="R744" s="39" t="str">
        <f aca="false">IF(M744&lt;=0,"",IF(O744&gt;60,"1-Tinggi",IF(O744&gt;30,"2-Sedang",IF(O744&gt;0,"3-Rendah","4-Pantau"))))</f>
        <v/>
      </c>
      <c r="S744" s="39" t="str">
        <f aca="false">IF(AND(M744&gt;0,O744&gt;0),O744+M744/1000000000000+ROW()/1000000000000000,"")</f>
        <v/>
      </c>
      <c r="T744" s="39" t="str">
        <f aca="false">IF(J744="Belum ditukar",ROW(),"")</f>
        <v/>
      </c>
    </row>
    <row r="745" customFormat="false" ht="15" hidden="false" customHeight="false" outlineLevel="0" collapsed="false">
      <c r="A745" s="50" t="s">
        <v>1027</v>
      </c>
      <c r="B745" s="51" t="n">
        <v>45817</v>
      </c>
      <c r="C745" s="50" t="s">
        <v>286</v>
      </c>
      <c r="D745" s="39" t="str">
        <f aca="false">INDEX(Master_Customer!$B$2:$B$126,MATCH(C745,Master_Customer!$A$2:$A$126,0))</f>
        <v>CAHAYA AUTO</v>
      </c>
      <c r="E745" s="50" t="s">
        <v>29</v>
      </c>
      <c r="F745" s="52" t="n">
        <f aca="false">SUMIFS(Data_Penjualan!$G$2:$G$5998,Data_Penjualan!$A$2:$A$5998,A745)</f>
        <v>8343500</v>
      </c>
      <c r="G745" s="39" t="n">
        <f aca="false">IF(E745="KANTOR",0,INDEX(Master_Customer!$C$2:$C$126,MATCH(C745,Master_Customer!$A$2:$A$126,0)))</f>
        <v>0</v>
      </c>
      <c r="H745" s="53" t="n">
        <f aca="false">B745+G745</f>
        <v>45817</v>
      </c>
      <c r="J745" s="39" t="str">
        <f aca="false">IF(G745=0,"Tunai",IF(I745="","Belum ditukar","Sudah ditukar"))</f>
        <v>Tunai</v>
      </c>
      <c r="K745" s="54" t="n">
        <v>8343500</v>
      </c>
      <c r="L745" s="51" t="n">
        <v>45817</v>
      </c>
      <c r="M745" s="52" t="n">
        <f aca="false">F745-K745</f>
        <v>0</v>
      </c>
      <c r="N745" s="39" t="str">
        <f aca="false">IF(M745&lt;=0,"Lunas",IF(K745&gt;0,"Sebagian","Belum Bayar"))</f>
        <v>Lunas</v>
      </c>
      <c r="O745" s="39" t="n">
        <f aca="false">IF(M745&gt;0,MAX(0,Catatan!$B$3-H745),0)</f>
        <v>0</v>
      </c>
      <c r="P745" s="39" t="str">
        <f aca="false">IF(M745&lt;=0,"Lunas",IF(Catatan!$B$3&lt;=H745,"Belum Jatuh Tempo",IF(O745&lt;=30,"1-30 hari",IF(O745&lt;=60,"31-60 hari",IF(O745&lt;=90,"61-90 hari","90+ hari")))))</f>
        <v>Lunas</v>
      </c>
      <c r="Q745" s="50"/>
      <c r="R745" s="39" t="str">
        <f aca="false">IF(M745&lt;=0,"",IF(O745&gt;60,"1-Tinggi",IF(O745&gt;30,"2-Sedang",IF(O745&gt;0,"3-Rendah","4-Pantau"))))</f>
        <v/>
      </c>
      <c r="S745" s="39" t="str">
        <f aca="false">IF(AND(M745&gt;0,O745&gt;0),O745+M745/1000000000000+ROW()/1000000000000000,"")</f>
        <v/>
      </c>
      <c r="T745" s="39" t="str">
        <f aca="false">IF(J745="Belum ditukar",ROW(),"")</f>
        <v/>
      </c>
    </row>
    <row r="746" customFormat="false" ht="15" hidden="false" customHeight="false" outlineLevel="0" collapsed="false">
      <c r="A746" s="50" t="s">
        <v>1028</v>
      </c>
      <c r="B746" s="51" t="n">
        <v>45817</v>
      </c>
      <c r="C746" s="50" t="s">
        <v>177</v>
      </c>
      <c r="D746" s="39" t="str">
        <f aca="false">INDEX(Master_Customer!$B$2:$B$126,MATCH(C746,Master_Customer!$A$2:$A$126,0))</f>
        <v>PRIMA MOTOR LANCAR</v>
      </c>
      <c r="E746" s="50" t="s">
        <v>32</v>
      </c>
      <c r="F746" s="52" t="n">
        <f aca="false">SUMIFS(Data_Penjualan!$G$2:$G$5998,Data_Penjualan!$A$2:$A$5998,A746)</f>
        <v>10493800</v>
      </c>
      <c r="G746" s="39" t="n">
        <f aca="false">IF(E746="KANTOR",0,INDEX(Master_Customer!$C$2:$C$126,MATCH(C746,Master_Customer!$A$2:$A$126,0)))</f>
        <v>0</v>
      </c>
      <c r="H746" s="53" t="n">
        <f aca="false">B746+G746</f>
        <v>45817</v>
      </c>
      <c r="J746" s="39" t="str">
        <f aca="false">IF(G746=0,"Tunai",IF(I746="","Belum ditukar","Sudah ditukar"))</f>
        <v>Tunai</v>
      </c>
      <c r="K746" s="54" t="n">
        <v>10493800</v>
      </c>
      <c r="L746" s="51" t="n">
        <v>45817</v>
      </c>
      <c r="M746" s="52" t="n">
        <f aca="false">F746-K746</f>
        <v>0</v>
      </c>
      <c r="N746" s="39" t="str">
        <f aca="false">IF(M746&lt;=0,"Lunas",IF(K746&gt;0,"Sebagian","Belum Bayar"))</f>
        <v>Lunas</v>
      </c>
      <c r="O746" s="39" t="n">
        <f aca="false">IF(M746&gt;0,MAX(0,Catatan!$B$3-H746),0)</f>
        <v>0</v>
      </c>
      <c r="P746" s="39" t="str">
        <f aca="false">IF(M746&lt;=0,"Lunas",IF(Catatan!$B$3&lt;=H746,"Belum Jatuh Tempo",IF(O746&lt;=30,"1-30 hari",IF(O746&lt;=60,"31-60 hari",IF(O746&lt;=90,"61-90 hari","90+ hari")))))</f>
        <v>Lunas</v>
      </c>
      <c r="Q746" s="50"/>
      <c r="R746" s="39" t="str">
        <f aca="false">IF(M746&lt;=0,"",IF(O746&gt;60,"1-Tinggi",IF(O746&gt;30,"2-Sedang",IF(O746&gt;0,"3-Rendah","4-Pantau"))))</f>
        <v/>
      </c>
      <c r="S746" s="39" t="str">
        <f aca="false">IF(AND(M746&gt;0,O746&gt;0),O746+M746/1000000000000+ROW()/1000000000000000,"")</f>
        <v/>
      </c>
      <c r="T746" s="39" t="str">
        <f aca="false">IF(J746="Belum ditukar",ROW(),"")</f>
        <v/>
      </c>
    </row>
    <row r="747" customFormat="false" ht="15" hidden="false" customHeight="false" outlineLevel="0" collapsed="false">
      <c r="A747" s="50" t="s">
        <v>1029</v>
      </c>
      <c r="B747" s="51" t="n">
        <v>45817</v>
      </c>
      <c r="C747" s="50" t="s">
        <v>247</v>
      </c>
      <c r="D747" s="39" t="str">
        <f aca="false">INDEX(Master_Customer!$B$2:$B$126,MATCH(C747,Master_Customer!$A$2:$A$126,0))</f>
        <v>BINTANG LUBRICANT SURYA</v>
      </c>
      <c r="E747" s="50" t="s">
        <v>28</v>
      </c>
      <c r="F747" s="52" t="n">
        <f aca="false">SUMIFS(Data_Penjualan!$G$2:$G$5998,Data_Penjualan!$A$2:$A$5998,A747)</f>
        <v>3730900</v>
      </c>
      <c r="G747" s="39" t="n">
        <f aca="false">IF(E747="KANTOR",0,INDEX(Master_Customer!$C$2:$C$126,MATCH(C747,Master_Customer!$A$2:$A$126,0)))</f>
        <v>30</v>
      </c>
      <c r="H747" s="53" t="n">
        <f aca="false">B747+G747</f>
        <v>45847</v>
      </c>
      <c r="I747" s="51" t="n">
        <v>45818</v>
      </c>
      <c r="J747" s="39" t="str">
        <f aca="false">IF(G747=0,"Tunai",IF(I747="","Belum ditukar","Sudah ditukar"))</f>
        <v>Sudah ditukar</v>
      </c>
      <c r="K747" s="54" t="n">
        <v>3730900</v>
      </c>
      <c r="L747" s="51" t="n">
        <v>45840</v>
      </c>
      <c r="M747" s="52" t="n">
        <f aca="false">F747-K747</f>
        <v>0</v>
      </c>
      <c r="N747" s="39" t="str">
        <f aca="false">IF(M747&lt;=0,"Lunas",IF(K747&gt;0,"Sebagian","Belum Bayar"))</f>
        <v>Lunas</v>
      </c>
      <c r="O747" s="39" t="n">
        <f aca="false">IF(M747&gt;0,MAX(0,Catatan!$B$3-H747),0)</f>
        <v>0</v>
      </c>
      <c r="P747" s="39" t="str">
        <f aca="false">IF(M747&lt;=0,"Lunas",IF(Catatan!$B$3&lt;=H747,"Belum Jatuh Tempo",IF(O747&lt;=30,"1-30 hari",IF(O747&lt;=60,"31-60 hari",IF(O747&lt;=90,"61-90 hari","90+ hari")))))</f>
        <v>Lunas</v>
      </c>
      <c r="Q747" s="50"/>
      <c r="R747" s="39" t="str">
        <f aca="false">IF(M747&lt;=0,"",IF(O747&gt;60,"1-Tinggi",IF(O747&gt;30,"2-Sedang",IF(O747&gt;0,"3-Rendah","4-Pantau"))))</f>
        <v/>
      </c>
      <c r="S747" s="39" t="str">
        <f aca="false">IF(AND(M747&gt;0,O747&gt;0),O747+M747/1000000000000+ROW()/1000000000000000,"")</f>
        <v/>
      </c>
      <c r="T747" s="39" t="str">
        <f aca="false">IF(J747="Belum ditukar",ROW(),"")</f>
        <v/>
      </c>
    </row>
    <row r="748" customFormat="false" ht="15" hidden="false" customHeight="false" outlineLevel="0" collapsed="false">
      <c r="A748" s="50" t="s">
        <v>1030</v>
      </c>
      <c r="B748" s="51" t="n">
        <v>45817</v>
      </c>
      <c r="C748" s="50" t="s">
        <v>228</v>
      </c>
      <c r="D748" s="39" t="str">
        <f aca="false">INDEX(Master_Customer!$B$2:$B$126,MATCH(C748,Master_Customer!$A$2:$A$126,0))</f>
        <v>MAKMUR SERVICE JAYA</v>
      </c>
      <c r="E748" s="50" t="s">
        <v>29</v>
      </c>
      <c r="F748" s="52" t="n">
        <f aca="false">SUMIFS(Data_Penjualan!$G$2:$G$5998,Data_Penjualan!$A$2:$A$5998,A748)</f>
        <v>13643200</v>
      </c>
      <c r="G748" s="39" t="n">
        <f aca="false">IF(E748="KANTOR",0,INDEX(Master_Customer!$C$2:$C$126,MATCH(C748,Master_Customer!$A$2:$A$126,0)))</f>
        <v>30</v>
      </c>
      <c r="H748" s="53" t="n">
        <f aca="false">B748+G748</f>
        <v>45847</v>
      </c>
      <c r="I748" s="51" t="n">
        <v>45820</v>
      </c>
      <c r="J748" s="39" t="str">
        <f aca="false">IF(G748=0,"Tunai",IF(I748="","Belum ditukar","Sudah ditukar"))</f>
        <v>Sudah ditukar</v>
      </c>
      <c r="K748" s="54" t="n">
        <v>13643200</v>
      </c>
      <c r="L748" s="51" t="n">
        <v>45863</v>
      </c>
      <c r="M748" s="52" t="n">
        <f aca="false">F748-K748</f>
        <v>0</v>
      </c>
      <c r="N748" s="39" t="str">
        <f aca="false">IF(M748&lt;=0,"Lunas",IF(K748&gt;0,"Sebagian","Belum Bayar"))</f>
        <v>Lunas</v>
      </c>
      <c r="O748" s="39" t="n">
        <f aca="false">IF(M748&gt;0,MAX(0,Catatan!$B$3-H748),0)</f>
        <v>0</v>
      </c>
      <c r="P748" s="39" t="str">
        <f aca="false">IF(M748&lt;=0,"Lunas",IF(Catatan!$B$3&lt;=H748,"Belum Jatuh Tempo",IF(O748&lt;=30,"1-30 hari",IF(O748&lt;=60,"31-60 hari",IF(O748&lt;=90,"61-90 hari","90+ hari")))))</f>
        <v>Lunas</v>
      </c>
      <c r="Q748" s="50"/>
      <c r="R748" s="39" t="str">
        <f aca="false">IF(M748&lt;=0,"",IF(O748&gt;60,"1-Tinggi",IF(O748&gt;30,"2-Sedang",IF(O748&gt;0,"3-Rendah","4-Pantau"))))</f>
        <v/>
      </c>
      <c r="S748" s="39" t="str">
        <f aca="false">IF(AND(M748&gt;0,O748&gt;0),O748+M748/1000000000000+ROW()/1000000000000000,"")</f>
        <v/>
      </c>
      <c r="T748" s="39" t="str">
        <f aca="false">IF(J748="Belum ditukar",ROW(),"")</f>
        <v/>
      </c>
    </row>
    <row r="749" customFormat="false" ht="15" hidden="false" customHeight="false" outlineLevel="0" collapsed="false">
      <c r="A749" s="50" t="s">
        <v>1031</v>
      </c>
      <c r="B749" s="51" t="n">
        <v>45817</v>
      </c>
      <c r="C749" s="50" t="s">
        <v>278</v>
      </c>
      <c r="D749" s="39" t="str">
        <f aca="false">INDEX(Master_Customer!$B$2:$B$126,MATCH(C749,Master_Customer!$A$2:$A$126,0))</f>
        <v>SURYA MOTOR</v>
      </c>
      <c r="E749" s="50" t="s">
        <v>31</v>
      </c>
      <c r="F749" s="52" t="n">
        <f aca="false">SUMIFS(Data_Penjualan!$G$2:$G$5998,Data_Penjualan!$A$2:$A$5998,A749)</f>
        <v>6936800</v>
      </c>
      <c r="G749" s="39" t="n">
        <f aca="false">IF(E749="KANTOR",0,INDEX(Master_Customer!$C$2:$C$126,MATCH(C749,Master_Customer!$A$2:$A$126,0)))</f>
        <v>14</v>
      </c>
      <c r="H749" s="53" t="n">
        <f aca="false">B749+G749</f>
        <v>45831</v>
      </c>
      <c r="I749" s="51" t="n">
        <v>45822</v>
      </c>
      <c r="J749" s="39" t="str">
        <f aca="false">IF(G749=0,"Tunai",IF(I749="","Belum ditukar","Sudah ditukar"))</f>
        <v>Sudah ditukar</v>
      </c>
      <c r="K749" s="54" t="n">
        <v>6936800</v>
      </c>
      <c r="L749" s="51" t="n">
        <v>45831</v>
      </c>
      <c r="M749" s="52" t="n">
        <f aca="false">F749-K749</f>
        <v>0</v>
      </c>
      <c r="N749" s="39" t="str">
        <f aca="false">IF(M749&lt;=0,"Lunas",IF(K749&gt;0,"Sebagian","Belum Bayar"))</f>
        <v>Lunas</v>
      </c>
      <c r="O749" s="39" t="n">
        <f aca="false">IF(M749&gt;0,MAX(0,Catatan!$B$3-H749),0)</f>
        <v>0</v>
      </c>
      <c r="P749" s="39" t="str">
        <f aca="false">IF(M749&lt;=0,"Lunas",IF(Catatan!$B$3&lt;=H749,"Belum Jatuh Tempo",IF(O749&lt;=30,"1-30 hari",IF(O749&lt;=60,"31-60 hari",IF(O749&lt;=90,"61-90 hari","90+ hari")))))</f>
        <v>Lunas</v>
      </c>
      <c r="Q749" s="50"/>
      <c r="R749" s="39" t="str">
        <f aca="false">IF(M749&lt;=0,"",IF(O749&gt;60,"1-Tinggi",IF(O749&gt;30,"2-Sedang",IF(O749&gt;0,"3-Rendah","4-Pantau"))))</f>
        <v/>
      </c>
      <c r="S749" s="39" t="str">
        <f aca="false">IF(AND(M749&gt;0,O749&gt;0),O749+M749/1000000000000+ROW()/1000000000000000,"")</f>
        <v/>
      </c>
      <c r="T749" s="39" t="str">
        <f aca="false">IF(J749="Belum ditukar",ROW(),"")</f>
        <v/>
      </c>
    </row>
    <row r="750" customFormat="false" ht="15" hidden="false" customHeight="false" outlineLevel="0" collapsed="false">
      <c r="A750" s="50" t="s">
        <v>1032</v>
      </c>
      <c r="B750" s="51" t="n">
        <v>45818</v>
      </c>
      <c r="C750" s="50" t="s">
        <v>228</v>
      </c>
      <c r="D750" s="39" t="str">
        <f aca="false">INDEX(Master_Customer!$B$2:$B$126,MATCH(C750,Master_Customer!$A$2:$A$126,0))</f>
        <v>MAKMUR SERVICE JAYA</v>
      </c>
      <c r="E750" s="50" t="s">
        <v>32</v>
      </c>
      <c r="F750" s="52" t="n">
        <f aca="false">SUMIFS(Data_Penjualan!$G$2:$G$5998,Data_Penjualan!$A$2:$A$5998,A750)</f>
        <v>11194300</v>
      </c>
      <c r="G750" s="39" t="n">
        <f aca="false">IF(E750="KANTOR",0,INDEX(Master_Customer!$C$2:$C$126,MATCH(C750,Master_Customer!$A$2:$A$126,0)))</f>
        <v>0</v>
      </c>
      <c r="H750" s="53" t="n">
        <f aca="false">B750+G750</f>
        <v>45818</v>
      </c>
      <c r="J750" s="39" t="str">
        <f aca="false">IF(G750=0,"Tunai",IF(I750="","Belum ditukar","Sudah ditukar"))</f>
        <v>Tunai</v>
      </c>
      <c r="K750" s="54" t="n">
        <v>11194300</v>
      </c>
      <c r="L750" s="51" t="n">
        <v>45819</v>
      </c>
      <c r="M750" s="52" t="n">
        <f aca="false">F750-K750</f>
        <v>0</v>
      </c>
      <c r="N750" s="39" t="str">
        <f aca="false">IF(M750&lt;=0,"Lunas",IF(K750&gt;0,"Sebagian","Belum Bayar"))</f>
        <v>Lunas</v>
      </c>
      <c r="O750" s="39" t="n">
        <f aca="false">IF(M750&gt;0,MAX(0,Catatan!$B$3-H750),0)</f>
        <v>0</v>
      </c>
      <c r="P750" s="39" t="str">
        <f aca="false">IF(M750&lt;=0,"Lunas",IF(Catatan!$B$3&lt;=H750,"Belum Jatuh Tempo",IF(O750&lt;=30,"1-30 hari",IF(O750&lt;=60,"31-60 hari",IF(O750&lt;=90,"61-90 hari","90+ hari")))))</f>
        <v>Lunas</v>
      </c>
      <c r="Q750" s="50"/>
      <c r="R750" s="39" t="str">
        <f aca="false">IF(M750&lt;=0,"",IF(O750&gt;60,"1-Tinggi",IF(O750&gt;30,"2-Sedang",IF(O750&gt;0,"3-Rendah","4-Pantau"))))</f>
        <v/>
      </c>
      <c r="S750" s="39" t="str">
        <f aca="false">IF(AND(M750&gt;0,O750&gt;0),O750+M750/1000000000000+ROW()/1000000000000000,"")</f>
        <v/>
      </c>
      <c r="T750" s="39" t="str">
        <f aca="false">IF(J750="Belum ditukar",ROW(),"")</f>
        <v/>
      </c>
    </row>
    <row r="751" customFormat="false" ht="15" hidden="false" customHeight="false" outlineLevel="0" collapsed="false">
      <c r="A751" s="50" t="s">
        <v>1033</v>
      </c>
      <c r="B751" s="51" t="n">
        <v>45818</v>
      </c>
      <c r="C751" s="50" t="s">
        <v>166</v>
      </c>
      <c r="D751" s="39" t="str">
        <f aca="false">INDEX(Master_Customer!$B$2:$B$126,MATCH(C751,Master_Customer!$A$2:$A$126,0))</f>
        <v>SENTOSA SERVICE</v>
      </c>
      <c r="E751" s="50" t="s">
        <v>30</v>
      </c>
      <c r="F751" s="52" t="n">
        <f aca="false">SUMIFS(Data_Penjualan!$G$2:$G$5998,Data_Penjualan!$A$2:$A$5998,A751)</f>
        <v>25481300</v>
      </c>
      <c r="G751" s="39" t="n">
        <f aca="false">IF(E751="KANTOR",0,INDEX(Master_Customer!$C$2:$C$126,MATCH(C751,Master_Customer!$A$2:$A$126,0)))</f>
        <v>0</v>
      </c>
      <c r="H751" s="53" t="n">
        <f aca="false">B751+G751</f>
        <v>45818</v>
      </c>
      <c r="J751" s="39" t="str">
        <f aca="false">IF(G751=0,"Tunai",IF(I751="","Belum ditukar","Sudah ditukar"))</f>
        <v>Tunai</v>
      </c>
      <c r="K751" s="54" t="n">
        <v>25481300</v>
      </c>
      <c r="L751" s="51" t="n">
        <v>45818</v>
      </c>
      <c r="M751" s="52" t="n">
        <f aca="false">F751-K751</f>
        <v>0</v>
      </c>
      <c r="N751" s="39" t="str">
        <f aca="false">IF(M751&lt;=0,"Lunas",IF(K751&gt;0,"Sebagian","Belum Bayar"))</f>
        <v>Lunas</v>
      </c>
      <c r="O751" s="39" t="n">
        <f aca="false">IF(M751&gt;0,MAX(0,Catatan!$B$3-H751),0)</f>
        <v>0</v>
      </c>
      <c r="P751" s="39" t="str">
        <f aca="false">IF(M751&lt;=0,"Lunas",IF(Catatan!$B$3&lt;=H751,"Belum Jatuh Tempo",IF(O751&lt;=30,"1-30 hari",IF(O751&lt;=60,"31-60 hari",IF(O751&lt;=90,"61-90 hari","90+ hari")))))</f>
        <v>Lunas</v>
      </c>
      <c r="Q751" s="50"/>
      <c r="R751" s="39" t="str">
        <f aca="false">IF(M751&lt;=0,"",IF(O751&gt;60,"1-Tinggi",IF(O751&gt;30,"2-Sedang",IF(O751&gt;0,"3-Rendah","4-Pantau"))))</f>
        <v/>
      </c>
      <c r="S751" s="39" t="str">
        <f aca="false">IF(AND(M751&gt;0,O751&gt;0),O751+M751/1000000000000+ROW()/1000000000000000,"")</f>
        <v/>
      </c>
      <c r="T751" s="39" t="str">
        <f aca="false">IF(J751="Belum ditukar",ROW(),"")</f>
        <v/>
      </c>
    </row>
    <row r="752" customFormat="false" ht="15" hidden="false" customHeight="false" outlineLevel="0" collapsed="false">
      <c r="A752" s="50" t="s">
        <v>1034</v>
      </c>
      <c r="B752" s="51" t="n">
        <v>45818</v>
      </c>
      <c r="C752" s="50" t="s">
        <v>560</v>
      </c>
      <c r="D752" s="39" t="str">
        <f aca="false">INDEX(Master_Customer!$B$2:$B$126,MATCH(C752,Master_Customer!$A$2:$A$126,0))</f>
        <v>UTAMA TEKNIK MITRA</v>
      </c>
      <c r="E752" s="50" t="s">
        <v>30</v>
      </c>
      <c r="F752" s="52" t="n">
        <f aca="false">SUMIFS(Data_Penjualan!$G$2:$G$5998,Data_Penjualan!$A$2:$A$5998,A752)</f>
        <v>12904200</v>
      </c>
      <c r="G752" s="39" t="n">
        <f aca="false">IF(E752="KANTOR",0,INDEX(Master_Customer!$C$2:$C$126,MATCH(C752,Master_Customer!$A$2:$A$126,0)))</f>
        <v>30</v>
      </c>
      <c r="H752" s="53" t="n">
        <f aca="false">B752+G752</f>
        <v>45848</v>
      </c>
      <c r="I752" s="51" t="n">
        <v>45823</v>
      </c>
      <c r="J752" s="39" t="str">
        <f aca="false">IF(G752=0,"Tunai",IF(I752="","Belum ditukar","Sudah ditukar"))</f>
        <v>Sudah ditukar</v>
      </c>
      <c r="K752" s="54" t="n">
        <v>12904200</v>
      </c>
      <c r="L752" s="51" t="n">
        <v>45846</v>
      </c>
      <c r="M752" s="52" t="n">
        <f aca="false">F752-K752</f>
        <v>0</v>
      </c>
      <c r="N752" s="39" t="str">
        <f aca="false">IF(M752&lt;=0,"Lunas",IF(K752&gt;0,"Sebagian","Belum Bayar"))</f>
        <v>Lunas</v>
      </c>
      <c r="O752" s="39" t="n">
        <f aca="false">IF(M752&gt;0,MAX(0,Catatan!$B$3-H752),0)</f>
        <v>0</v>
      </c>
      <c r="P752" s="39" t="str">
        <f aca="false">IF(M752&lt;=0,"Lunas",IF(Catatan!$B$3&lt;=H752,"Belum Jatuh Tempo",IF(O752&lt;=30,"1-30 hari",IF(O752&lt;=60,"31-60 hari",IF(O752&lt;=90,"61-90 hari","90+ hari")))))</f>
        <v>Lunas</v>
      </c>
      <c r="Q752" s="50"/>
      <c r="R752" s="39" t="str">
        <f aca="false">IF(M752&lt;=0,"",IF(O752&gt;60,"1-Tinggi",IF(O752&gt;30,"2-Sedang",IF(O752&gt;0,"3-Rendah","4-Pantau"))))</f>
        <v/>
      </c>
      <c r="S752" s="39" t="str">
        <f aca="false">IF(AND(M752&gt;0,O752&gt;0),O752+M752/1000000000000+ROW()/1000000000000000,"")</f>
        <v/>
      </c>
      <c r="T752" s="39" t="str">
        <f aca="false">IF(J752="Belum ditukar",ROW(),"")</f>
        <v/>
      </c>
    </row>
    <row r="753" customFormat="false" ht="15" hidden="false" customHeight="false" outlineLevel="0" collapsed="false">
      <c r="A753" s="50" t="s">
        <v>1035</v>
      </c>
      <c r="B753" s="51" t="n">
        <v>45818</v>
      </c>
      <c r="C753" s="50" t="s">
        <v>179</v>
      </c>
      <c r="D753" s="39" t="str">
        <f aca="false">INDEX(Master_Customer!$B$2:$B$126,MATCH(C753,Master_Customer!$A$2:$A$126,0))</f>
        <v>BINTANG TEKNIK SURYA</v>
      </c>
      <c r="E753" s="50" t="s">
        <v>32</v>
      </c>
      <c r="F753" s="52" t="n">
        <f aca="false">SUMIFS(Data_Penjualan!$G$2:$G$5998,Data_Penjualan!$A$2:$A$5998,A753)</f>
        <v>8308200</v>
      </c>
      <c r="G753" s="39" t="n">
        <f aca="false">IF(E753="KANTOR",0,INDEX(Master_Customer!$C$2:$C$126,MATCH(C753,Master_Customer!$A$2:$A$126,0)))</f>
        <v>0</v>
      </c>
      <c r="H753" s="53" t="n">
        <f aca="false">B753+G753</f>
        <v>45818</v>
      </c>
      <c r="J753" s="39" t="str">
        <f aca="false">IF(G753=0,"Tunai",IF(I753="","Belum ditukar","Sudah ditukar"))</f>
        <v>Tunai</v>
      </c>
      <c r="K753" s="54" t="n">
        <v>8308200</v>
      </c>
      <c r="L753" s="51" t="n">
        <v>45818</v>
      </c>
      <c r="M753" s="52" t="n">
        <f aca="false">F753-K753</f>
        <v>0</v>
      </c>
      <c r="N753" s="39" t="str">
        <f aca="false">IF(M753&lt;=0,"Lunas",IF(K753&gt;0,"Sebagian","Belum Bayar"))</f>
        <v>Lunas</v>
      </c>
      <c r="O753" s="39" t="n">
        <f aca="false">IF(M753&gt;0,MAX(0,Catatan!$B$3-H753),0)</f>
        <v>0</v>
      </c>
      <c r="P753" s="39" t="str">
        <f aca="false">IF(M753&lt;=0,"Lunas",IF(Catatan!$B$3&lt;=H753,"Belum Jatuh Tempo",IF(O753&lt;=30,"1-30 hari",IF(O753&lt;=60,"31-60 hari",IF(O753&lt;=90,"61-90 hari","90+ hari")))))</f>
        <v>Lunas</v>
      </c>
      <c r="Q753" s="50"/>
      <c r="R753" s="39" t="str">
        <f aca="false">IF(M753&lt;=0,"",IF(O753&gt;60,"1-Tinggi",IF(O753&gt;30,"2-Sedang",IF(O753&gt;0,"3-Rendah","4-Pantau"))))</f>
        <v/>
      </c>
      <c r="S753" s="39" t="str">
        <f aca="false">IF(AND(M753&gt;0,O753&gt;0),O753+M753/1000000000000+ROW()/1000000000000000,"")</f>
        <v/>
      </c>
      <c r="T753" s="39" t="str">
        <f aca="false">IF(J753="Belum ditukar",ROW(),"")</f>
        <v/>
      </c>
    </row>
    <row r="754" customFormat="false" ht="15" hidden="false" customHeight="false" outlineLevel="0" collapsed="false">
      <c r="A754" s="50" t="s">
        <v>1036</v>
      </c>
      <c r="B754" s="51" t="n">
        <v>45819</v>
      </c>
      <c r="C754" s="50" t="s">
        <v>174</v>
      </c>
      <c r="D754" s="39" t="str">
        <f aca="false">INDEX(Master_Customer!$B$2:$B$126,MATCH(C754,Master_Customer!$A$2:$A$126,0))</f>
        <v>SUMBER TEKNIK SURYA</v>
      </c>
      <c r="E754" s="50" t="s">
        <v>31</v>
      </c>
      <c r="F754" s="52" t="n">
        <f aca="false">SUMIFS(Data_Penjualan!$G$2:$G$5998,Data_Penjualan!$A$2:$A$5998,A754)</f>
        <v>4778900</v>
      </c>
      <c r="G754" s="39" t="n">
        <f aca="false">IF(E754="KANTOR",0,INDEX(Master_Customer!$C$2:$C$126,MATCH(C754,Master_Customer!$A$2:$A$126,0)))</f>
        <v>30</v>
      </c>
      <c r="H754" s="53" t="n">
        <f aca="false">B754+G754</f>
        <v>45849</v>
      </c>
      <c r="I754" s="51" t="n">
        <v>45823</v>
      </c>
      <c r="J754" s="39" t="str">
        <f aca="false">IF(G754=0,"Tunai",IF(I754="","Belum ditukar","Sudah ditukar"))</f>
        <v>Sudah ditukar</v>
      </c>
      <c r="K754" s="54" t="n">
        <v>4778900</v>
      </c>
      <c r="L754" s="51" t="n">
        <v>45848</v>
      </c>
      <c r="M754" s="52" t="n">
        <f aca="false">F754-K754</f>
        <v>0</v>
      </c>
      <c r="N754" s="39" t="str">
        <f aca="false">IF(M754&lt;=0,"Lunas",IF(K754&gt;0,"Sebagian","Belum Bayar"))</f>
        <v>Lunas</v>
      </c>
      <c r="O754" s="39" t="n">
        <f aca="false">IF(M754&gt;0,MAX(0,Catatan!$B$3-H754),0)</f>
        <v>0</v>
      </c>
      <c r="P754" s="39" t="str">
        <f aca="false">IF(M754&lt;=0,"Lunas",IF(Catatan!$B$3&lt;=H754,"Belum Jatuh Tempo",IF(O754&lt;=30,"1-30 hari",IF(O754&lt;=60,"31-60 hari",IF(O754&lt;=90,"61-90 hari","90+ hari")))))</f>
        <v>Lunas</v>
      </c>
      <c r="Q754" s="50"/>
      <c r="R754" s="39" t="str">
        <f aca="false">IF(M754&lt;=0,"",IF(O754&gt;60,"1-Tinggi",IF(O754&gt;30,"2-Sedang",IF(O754&gt;0,"3-Rendah","4-Pantau"))))</f>
        <v/>
      </c>
      <c r="S754" s="39" t="str">
        <f aca="false">IF(AND(M754&gt;0,O754&gt;0),O754+M754/1000000000000+ROW()/1000000000000000,"")</f>
        <v/>
      </c>
      <c r="T754" s="39" t="str">
        <f aca="false">IF(J754="Belum ditukar",ROW(),"")</f>
        <v/>
      </c>
    </row>
    <row r="755" customFormat="false" ht="15" hidden="false" customHeight="false" outlineLevel="0" collapsed="false">
      <c r="A755" s="50" t="s">
        <v>1037</v>
      </c>
      <c r="B755" s="51" t="n">
        <v>45819</v>
      </c>
      <c r="C755" s="50" t="s">
        <v>207</v>
      </c>
      <c r="D755" s="39" t="str">
        <f aca="false">INDEX(Master_Customer!$B$2:$B$126,MATCH(C755,Master_Customer!$A$2:$A$126,0))</f>
        <v>MAKMUR AUTO HARAPAN</v>
      </c>
      <c r="E755" s="50" t="s">
        <v>29</v>
      </c>
      <c r="F755" s="52" t="n">
        <f aca="false">SUMIFS(Data_Penjualan!$G$2:$G$5998,Data_Penjualan!$A$2:$A$5998,A755)</f>
        <v>3968300</v>
      </c>
      <c r="G755" s="39" t="n">
        <f aca="false">IF(E755="KANTOR",0,INDEX(Master_Customer!$C$2:$C$126,MATCH(C755,Master_Customer!$A$2:$A$126,0)))</f>
        <v>30</v>
      </c>
      <c r="H755" s="53" t="n">
        <f aca="false">B755+G755</f>
        <v>45849</v>
      </c>
      <c r="I755" s="51" t="n">
        <v>45821</v>
      </c>
      <c r="J755" s="39" t="str">
        <f aca="false">IF(G755=0,"Tunai",IF(I755="","Belum ditukar","Sudah ditukar"))</f>
        <v>Sudah ditukar</v>
      </c>
      <c r="K755" s="54" t="n">
        <v>3968300</v>
      </c>
      <c r="L755" s="51" t="n">
        <v>45853</v>
      </c>
      <c r="M755" s="52" t="n">
        <f aca="false">F755-K755</f>
        <v>0</v>
      </c>
      <c r="N755" s="39" t="str">
        <f aca="false">IF(M755&lt;=0,"Lunas",IF(K755&gt;0,"Sebagian","Belum Bayar"))</f>
        <v>Lunas</v>
      </c>
      <c r="O755" s="39" t="n">
        <f aca="false">IF(M755&gt;0,MAX(0,Catatan!$B$3-H755),0)</f>
        <v>0</v>
      </c>
      <c r="P755" s="39" t="str">
        <f aca="false">IF(M755&lt;=0,"Lunas",IF(Catatan!$B$3&lt;=H755,"Belum Jatuh Tempo",IF(O755&lt;=30,"1-30 hari",IF(O755&lt;=60,"31-60 hari",IF(O755&lt;=90,"61-90 hari","90+ hari")))))</f>
        <v>Lunas</v>
      </c>
      <c r="Q755" s="50"/>
      <c r="R755" s="39" t="str">
        <f aca="false">IF(M755&lt;=0,"",IF(O755&gt;60,"1-Tinggi",IF(O755&gt;30,"2-Sedang",IF(O755&gt;0,"3-Rendah","4-Pantau"))))</f>
        <v/>
      </c>
      <c r="S755" s="39" t="str">
        <f aca="false">IF(AND(M755&gt;0,O755&gt;0),O755+M755/1000000000000+ROW()/1000000000000000,"")</f>
        <v/>
      </c>
      <c r="T755" s="39" t="str">
        <f aca="false">IF(J755="Belum ditukar",ROW(),"")</f>
        <v/>
      </c>
    </row>
    <row r="756" customFormat="false" ht="15" hidden="false" customHeight="false" outlineLevel="0" collapsed="false">
      <c r="A756" s="50" t="s">
        <v>1038</v>
      </c>
      <c r="B756" s="51" t="n">
        <v>45819</v>
      </c>
      <c r="C756" s="50" t="s">
        <v>168</v>
      </c>
      <c r="D756" s="39" t="str">
        <f aca="false">INDEX(Master_Customer!$B$2:$B$126,MATCH(C756,Master_Customer!$A$2:$A$126,0))</f>
        <v>JAYA LUBRICANT</v>
      </c>
      <c r="E756" s="50" t="s">
        <v>29</v>
      </c>
      <c r="F756" s="52" t="n">
        <f aca="false">SUMIFS(Data_Penjualan!$G$2:$G$5998,Data_Penjualan!$A$2:$A$5998,A756)</f>
        <v>6476500</v>
      </c>
      <c r="G756" s="39" t="n">
        <f aca="false">IF(E756="KANTOR",0,INDEX(Master_Customer!$C$2:$C$126,MATCH(C756,Master_Customer!$A$2:$A$126,0)))</f>
        <v>0</v>
      </c>
      <c r="H756" s="53" t="n">
        <f aca="false">B756+G756</f>
        <v>45819</v>
      </c>
      <c r="J756" s="39" t="str">
        <f aca="false">IF(G756=0,"Tunai",IF(I756="","Belum ditukar","Sudah ditukar"))</f>
        <v>Tunai</v>
      </c>
      <c r="K756" s="54" t="n">
        <v>6476500</v>
      </c>
      <c r="L756" s="51" t="n">
        <v>45819</v>
      </c>
      <c r="M756" s="52" t="n">
        <f aca="false">F756-K756</f>
        <v>0</v>
      </c>
      <c r="N756" s="39" t="str">
        <f aca="false">IF(M756&lt;=0,"Lunas",IF(K756&gt;0,"Sebagian","Belum Bayar"))</f>
        <v>Lunas</v>
      </c>
      <c r="O756" s="39" t="n">
        <f aca="false">IF(M756&gt;0,MAX(0,Catatan!$B$3-H756),0)</f>
        <v>0</v>
      </c>
      <c r="P756" s="39" t="str">
        <f aca="false">IF(M756&lt;=0,"Lunas",IF(Catatan!$B$3&lt;=H756,"Belum Jatuh Tempo",IF(O756&lt;=30,"1-30 hari",IF(O756&lt;=60,"31-60 hari",IF(O756&lt;=90,"61-90 hari","90+ hari")))))</f>
        <v>Lunas</v>
      </c>
      <c r="Q756" s="50"/>
      <c r="R756" s="39" t="str">
        <f aca="false">IF(M756&lt;=0,"",IF(O756&gt;60,"1-Tinggi",IF(O756&gt;30,"2-Sedang",IF(O756&gt;0,"3-Rendah","4-Pantau"))))</f>
        <v/>
      </c>
      <c r="S756" s="39" t="str">
        <f aca="false">IF(AND(M756&gt;0,O756&gt;0),O756+M756/1000000000000+ROW()/1000000000000000,"")</f>
        <v/>
      </c>
      <c r="T756" s="39" t="str">
        <f aca="false">IF(J756="Belum ditukar",ROW(),"")</f>
        <v/>
      </c>
    </row>
    <row r="757" customFormat="false" ht="15" hidden="false" customHeight="false" outlineLevel="0" collapsed="false">
      <c r="A757" s="50" t="s">
        <v>1039</v>
      </c>
      <c r="B757" s="51" t="n">
        <v>45819</v>
      </c>
      <c r="C757" s="50" t="s">
        <v>243</v>
      </c>
      <c r="D757" s="39" t="str">
        <f aca="false">INDEX(Master_Customer!$B$2:$B$126,MATCH(C757,Master_Customer!$A$2:$A$126,0))</f>
        <v>SENTOSA LUBRICANT MULIA</v>
      </c>
      <c r="E757" s="50" t="s">
        <v>30</v>
      </c>
      <c r="F757" s="52" t="n">
        <f aca="false">SUMIFS(Data_Penjualan!$G$2:$G$5998,Data_Penjualan!$A$2:$A$5998,A757)</f>
        <v>14616500</v>
      </c>
      <c r="G757" s="39" t="n">
        <f aca="false">IF(E757="KANTOR",0,INDEX(Master_Customer!$C$2:$C$126,MATCH(C757,Master_Customer!$A$2:$A$126,0)))</f>
        <v>45</v>
      </c>
      <c r="H757" s="53" t="n">
        <f aca="false">B757+G757</f>
        <v>45864</v>
      </c>
      <c r="I757" s="51" t="n">
        <v>45824</v>
      </c>
      <c r="J757" s="39" t="str">
        <f aca="false">IF(G757=0,"Tunai",IF(I757="","Belum ditukar","Sudah ditukar"))</f>
        <v>Sudah ditukar</v>
      </c>
      <c r="K757" s="54" t="n">
        <v>14616500</v>
      </c>
      <c r="L757" s="51" t="n">
        <v>45924</v>
      </c>
      <c r="M757" s="52" t="n">
        <f aca="false">F757-K757</f>
        <v>0</v>
      </c>
      <c r="N757" s="39" t="str">
        <f aca="false">IF(M757&lt;=0,"Lunas",IF(K757&gt;0,"Sebagian","Belum Bayar"))</f>
        <v>Lunas</v>
      </c>
      <c r="O757" s="39" t="n">
        <f aca="false">IF(M757&gt;0,MAX(0,Catatan!$B$3-H757),0)</f>
        <v>0</v>
      </c>
      <c r="P757" s="39" t="str">
        <f aca="false">IF(M757&lt;=0,"Lunas",IF(Catatan!$B$3&lt;=H757,"Belum Jatuh Tempo",IF(O757&lt;=30,"1-30 hari",IF(O757&lt;=60,"31-60 hari",IF(O757&lt;=90,"61-90 hari","90+ hari")))))</f>
        <v>Lunas</v>
      </c>
      <c r="Q757" s="50"/>
      <c r="R757" s="39" t="str">
        <f aca="false">IF(M757&lt;=0,"",IF(O757&gt;60,"1-Tinggi",IF(O757&gt;30,"2-Sedang",IF(O757&gt;0,"3-Rendah","4-Pantau"))))</f>
        <v/>
      </c>
      <c r="S757" s="39" t="str">
        <f aca="false">IF(AND(M757&gt;0,O757&gt;0),O757+M757/1000000000000+ROW()/1000000000000000,"")</f>
        <v/>
      </c>
      <c r="T757" s="39" t="str">
        <f aca="false">IF(J757="Belum ditukar",ROW(),"")</f>
        <v/>
      </c>
    </row>
    <row r="758" customFormat="false" ht="15" hidden="false" customHeight="false" outlineLevel="0" collapsed="false">
      <c r="A758" s="50" t="s">
        <v>1040</v>
      </c>
      <c r="B758" s="51" t="n">
        <v>45819</v>
      </c>
      <c r="C758" s="50" t="s">
        <v>505</v>
      </c>
      <c r="D758" s="39" t="str">
        <f aca="false">INDEX(Master_Customer!$B$2:$B$126,MATCH(C758,Master_Customer!$A$2:$A$126,0))</f>
        <v>GEMILANG OLI CAHAYA</v>
      </c>
      <c r="E758" s="50" t="s">
        <v>31</v>
      </c>
      <c r="F758" s="52" t="n">
        <f aca="false">SUMIFS(Data_Penjualan!$G$2:$G$5998,Data_Penjualan!$A$2:$A$5998,A758)</f>
        <v>15711900</v>
      </c>
      <c r="G758" s="39" t="n">
        <f aca="false">IF(E758="KANTOR",0,INDEX(Master_Customer!$C$2:$C$126,MATCH(C758,Master_Customer!$A$2:$A$126,0)))</f>
        <v>0</v>
      </c>
      <c r="H758" s="53" t="n">
        <f aca="false">B758+G758</f>
        <v>45819</v>
      </c>
      <c r="J758" s="39" t="str">
        <f aca="false">IF(G758=0,"Tunai",IF(I758="","Belum ditukar","Sudah ditukar"))</f>
        <v>Tunai</v>
      </c>
      <c r="K758" s="54" t="n">
        <v>15711900</v>
      </c>
      <c r="L758" s="51" t="n">
        <v>45819</v>
      </c>
      <c r="M758" s="52" t="n">
        <f aca="false">F758-K758</f>
        <v>0</v>
      </c>
      <c r="N758" s="39" t="str">
        <f aca="false">IF(M758&lt;=0,"Lunas",IF(K758&gt;0,"Sebagian","Belum Bayar"))</f>
        <v>Lunas</v>
      </c>
      <c r="O758" s="39" t="n">
        <f aca="false">IF(M758&gt;0,MAX(0,Catatan!$B$3-H758),0)</f>
        <v>0</v>
      </c>
      <c r="P758" s="39" t="str">
        <f aca="false">IF(M758&lt;=0,"Lunas",IF(Catatan!$B$3&lt;=H758,"Belum Jatuh Tempo",IF(O758&lt;=30,"1-30 hari",IF(O758&lt;=60,"31-60 hari",IF(O758&lt;=90,"61-90 hari","90+ hari")))))</f>
        <v>Lunas</v>
      </c>
      <c r="Q758" s="50"/>
      <c r="R758" s="39" t="str">
        <f aca="false">IF(M758&lt;=0,"",IF(O758&gt;60,"1-Tinggi",IF(O758&gt;30,"2-Sedang",IF(O758&gt;0,"3-Rendah","4-Pantau"))))</f>
        <v/>
      </c>
      <c r="S758" s="39" t="str">
        <f aca="false">IF(AND(M758&gt;0,O758&gt;0),O758+M758/1000000000000+ROW()/1000000000000000,"")</f>
        <v/>
      </c>
      <c r="T758" s="39" t="str">
        <f aca="false">IF(J758="Belum ditukar",ROW(),"")</f>
        <v/>
      </c>
    </row>
    <row r="759" customFormat="false" ht="15" hidden="false" customHeight="false" outlineLevel="0" collapsed="false">
      <c r="A759" s="50" t="s">
        <v>1041</v>
      </c>
      <c r="B759" s="51" t="n">
        <v>45819</v>
      </c>
      <c r="C759" s="50" t="s">
        <v>191</v>
      </c>
      <c r="D759" s="39" t="str">
        <f aca="false">INDEX(Master_Customer!$B$2:$B$126,MATCH(C759,Master_Customer!$A$2:$A$126,0))</f>
        <v>SINAR AUTO BERKAH</v>
      </c>
      <c r="E759" s="50" t="s">
        <v>30</v>
      </c>
      <c r="F759" s="52" t="n">
        <f aca="false">SUMIFS(Data_Penjualan!$G$2:$G$5998,Data_Penjualan!$A$2:$A$5998,A759)</f>
        <v>2758300</v>
      </c>
      <c r="G759" s="39" t="n">
        <f aca="false">IF(E759="KANTOR",0,INDEX(Master_Customer!$C$2:$C$126,MATCH(C759,Master_Customer!$A$2:$A$126,0)))</f>
        <v>30</v>
      </c>
      <c r="H759" s="53" t="n">
        <f aca="false">B759+G759</f>
        <v>45849</v>
      </c>
      <c r="I759" s="51" t="n">
        <v>45821</v>
      </c>
      <c r="J759" s="39" t="str">
        <f aca="false">IF(G759=0,"Tunai",IF(I759="","Belum ditukar","Sudah ditukar"))</f>
        <v>Sudah ditukar</v>
      </c>
      <c r="K759" s="54" t="n">
        <v>2758300</v>
      </c>
      <c r="L759" s="51" t="n">
        <v>45930</v>
      </c>
      <c r="M759" s="52" t="n">
        <f aca="false">F759-K759</f>
        <v>0</v>
      </c>
      <c r="N759" s="39" t="str">
        <f aca="false">IF(M759&lt;=0,"Lunas",IF(K759&gt;0,"Sebagian","Belum Bayar"))</f>
        <v>Lunas</v>
      </c>
      <c r="O759" s="39" t="n">
        <f aca="false">IF(M759&gt;0,MAX(0,Catatan!$B$3-H759),0)</f>
        <v>0</v>
      </c>
      <c r="P759" s="39" t="str">
        <f aca="false">IF(M759&lt;=0,"Lunas",IF(Catatan!$B$3&lt;=H759,"Belum Jatuh Tempo",IF(O759&lt;=30,"1-30 hari",IF(O759&lt;=60,"31-60 hari",IF(O759&lt;=90,"61-90 hari","90+ hari")))))</f>
        <v>Lunas</v>
      </c>
      <c r="Q759" s="50"/>
      <c r="R759" s="39" t="str">
        <f aca="false">IF(M759&lt;=0,"",IF(O759&gt;60,"1-Tinggi",IF(O759&gt;30,"2-Sedang",IF(O759&gt;0,"3-Rendah","4-Pantau"))))</f>
        <v/>
      </c>
      <c r="S759" s="39" t="str">
        <f aca="false">IF(AND(M759&gt;0,O759&gt;0),O759+M759/1000000000000+ROW()/1000000000000000,"")</f>
        <v/>
      </c>
      <c r="T759" s="39" t="str">
        <f aca="false">IF(J759="Belum ditukar",ROW(),"")</f>
        <v/>
      </c>
    </row>
    <row r="760" customFormat="false" ht="15" hidden="false" customHeight="false" outlineLevel="0" collapsed="false">
      <c r="A760" s="50" t="s">
        <v>1042</v>
      </c>
      <c r="B760" s="51" t="n">
        <v>45819</v>
      </c>
      <c r="C760" s="50" t="s">
        <v>527</v>
      </c>
      <c r="D760" s="39" t="str">
        <f aca="false">INDEX(Master_Customer!$B$2:$B$126,MATCH(C760,Master_Customer!$A$2:$A$126,0))</f>
        <v>BINTANG SPAREPART PRIMA</v>
      </c>
      <c r="E760" s="50" t="s">
        <v>30</v>
      </c>
      <c r="F760" s="52" t="n">
        <f aca="false">SUMIFS(Data_Penjualan!$G$2:$G$5998,Data_Penjualan!$A$2:$A$5998,A760)</f>
        <v>14433200</v>
      </c>
      <c r="G760" s="39" t="n">
        <f aca="false">IF(E760="KANTOR",0,INDEX(Master_Customer!$C$2:$C$126,MATCH(C760,Master_Customer!$A$2:$A$126,0)))</f>
        <v>14</v>
      </c>
      <c r="H760" s="53" t="n">
        <f aca="false">B760+G760</f>
        <v>45833</v>
      </c>
      <c r="I760" s="51" t="n">
        <v>45821</v>
      </c>
      <c r="J760" s="39" t="str">
        <f aca="false">IF(G760=0,"Tunai",IF(I760="","Belum ditukar","Sudah ditukar"))</f>
        <v>Sudah ditukar</v>
      </c>
      <c r="K760" s="54" t="n">
        <v>14433200</v>
      </c>
      <c r="L760" s="51" t="n">
        <v>45835</v>
      </c>
      <c r="M760" s="52" t="n">
        <f aca="false">F760-K760</f>
        <v>0</v>
      </c>
      <c r="N760" s="39" t="str">
        <f aca="false">IF(M760&lt;=0,"Lunas",IF(K760&gt;0,"Sebagian","Belum Bayar"))</f>
        <v>Lunas</v>
      </c>
      <c r="O760" s="39" t="n">
        <f aca="false">IF(M760&gt;0,MAX(0,Catatan!$B$3-H760),0)</f>
        <v>0</v>
      </c>
      <c r="P760" s="39" t="str">
        <f aca="false">IF(M760&lt;=0,"Lunas",IF(Catatan!$B$3&lt;=H760,"Belum Jatuh Tempo",IF(O760&lt;=30,"1-30 hari",IF(O760&lt;=60,"31-60 hari",IF(O760&lt;=90,"61-90 hari","90+ hari")))))</f>
        <v>Lunas</v>
      </c>
      <c r="Q760" s="50"/>
      <c r="R760" s="39" t="str">
        <f aca="false">IF(M760&lt;=0,"",IF(O760&gt;60,"1-Tinggi",IF(O760&gt;30,"2-Sedang",IF(O760&gt;0,"3-Rendah","4-Pantau"))))</f>
        <v/>
      </c>
      <c r="S760" s="39" t="str">
        <f aca="false">IF(AND(M760&gt;0,O760&gt;0),O760+M760/1000000000000+ROW()/1000000000000000,"")</f>
        <v/>
      </c>
      <c r="T760" s="39" t="str">
        <f aca="false">IF(J760="Belum ditukar",ROW(),"")</f>
        <v/>
      </c>
    </row>
    <row r="761" customFormat="false" ht="15" hidden="false" customHeight="false" outlineLevel="0" collapsed="false">
      <c r="A761" s="50" t="s">
        <v>1043</v>
      </c>
      <c r="B761" s="51" t="n">
        <v>45819</v>
      </c>
      <c r="C761" s="50" t="s">
        <v>540</v>
      </c>
      <c r="D761" s="39" t="str">
        <f aca="false">INDEX(Master_Customer!$B$2:$B$126,MATCH(C761,Master_Customer!$A$2:$A$126,0))</f>
        <v>SURYA MOBIL</v>
      </c>
      <c r="E761" s="50" t="s">
        <v>31</v>
      </c>
      <c r="F761" s="52" t="n">
        <f aca="false">SUMIFS(Data_Penjualan!$G$2:$G$5998,Data_Penjualan!$A$2:$A$5998,A761)</f>
        <v>11187000</v>
      </c>
      <c r="G761" s="39" t="n">
        <f aca="false">IF(E761="KANTOR",0,INDEX(Master_Customer!$C$2:$C$126,MATCH(C761,Master_Customer!$A$2:$A$126,0)))</f>
        <v>30</v>
      </c>
      <c r="H761" s="53" t="n">
        <f aca="false">B761+G761</f>
        <v>45849</v>
      </c>
      <c r="I761" s="51" t="n">
        <v>45822</v>
      </c>
      <c r="J761" s="39" t="str">
        <f aca="false">IF(G761=0,"Tunai",IF(I761="","Belum ditukar","Sudah ditukar"))</f>
        <v>Sudah ditukar</v>
      </c>
      <c r="K761" s="54" t="n">
        <v>11187000</v>
      </c>
      <c r="L761" s="51" t="n">
        <v>45885</v>
      </c>
      <c r="M761" s="52" t="n">
        <f aca="false">F761-K761</f>
        <v>0</v>
      </c>
      <c r="N761" s="39" t="str">
        <f aca="false">IF(M761&lt;=0,"Lunas",IF(K761&gt;0,"Sebagian","Belum Bayar"))</f>
        <v>Lunas</v>
      </c>
      <c r="O761" s="39" t="n">
        <f aca="false">IF(M761&gt;0,MAX(0,Catatan!$B$3-H761),0)</f>
        <v>0</v>
      </c>
      <c r="P761" s="39" t="str">
        <f aca="false">IF(M761&lt;=0,"Lunas",IF(Catatan!$B$3&lt;=H761,"Belum Jatuh Tempo",IF(O761&lt;=30,"1-30 hari",IF(O761&lt;=60,"31-60 hari",IF(O761&lt;=90,"61-90 hari","90+ hari")))))</f>
        <v>Lunas</v>
      </c>
      <c r="Q761" s="50"/>
      <c r="R761" s="39" t="str">
        <f aca="false">IF(M761&lt;=0,"",IF(O761&gt;60,"1-Tinggi",IF(O761&gt;30,"2-Sedang",IF(O761&gt;0,"3-Rendah","4-Pantau"))))</f>
        <v/>
      </c>
      <c r="S761" s="39" t="str">
        <f aca="false">IF(AND(M761&gt;0,O761&gt;0),O761+M761/1000000000000+ROW()/1000000000000000,"")</f>
        <v/>
      </c>
      <c r="T761" s="39" t="str">
        <f aca="false">IF(J761="Belum ditukar",ROW(),"")</f>
        <v/>
      </c>
    </row>
    <row r="762" customFormat="false" ht="15" hidden="false" customHeight="false" outlineLevel="0" collapsed="false">
      <c r="A762" s="50" t="s">
        <v>1044</v>
      </c>
      <c r="B762" s="51" t="n">
        <v>45820</v>
      </c>
      <c r="C762" s="50" t="s">
        <v>373</v>
      </c>
      <c r="D762" s="39" t="str">
        <f aca="false">INDEX(Master_Customer!$B$2:$B$126,MATCH(C762,Master_Customer!$A$2:$A$126,0))</f>
        <v>BINTANG SPAREPART BERKAH</v>
      </c>
      <c r="E762" s="50" t="s">
        <v>32</v>
      </c>
      <c r="F762" s="52" t="n">
        <f aca="false">SUMIFS(Data_Penjualan!$G$2:$G$5998,Data_Penjualan!$A$2:$A$5998,A762)</f>
        <v>4498800</v>
      </c>
      <c r="G762" s="39" t="n">
        <f aca="false">IF(E762="KANTOR",0,INDEX(Master_Customer!$C$2:$C$126,MATCH(C762,Master_Customer!$A$2:$A$126,0)))</f>
        <v>0</v>
      </c>
      <c r="H762" s="53" t="n">
        <f aca="false">B762+G762</f>
        <v>45820</v>
      </c>
      <c r="J762" s="39" t="str">
        <f aca="false">IF(G762=0,"Tunai",IF(I762="","Belum ditukar","Sudah ditukar"))</f>
        <v>Tunai</v>
      </c>
      <c r="K762" s="54" t="n">
        <v>4498800</v>
      </c>
      <c r="L762" s="51" t="n">
        <v>45820</v>
      </c>
      <c r="M762" s="52" t="n">
        <f aca="false">F762-K762</f>
        <v>0</v>
      </c>
      <c r="N762" s="39" t="str">
        <f aca="false">IF(M762&lt;=0,"Lunas",IF(K762&gt;0,"Sebagian","Belum Bayar"))</f>
        <v>Lunas</v>
      </c>
      <c r="O762" s="39" t="n">
        <f aca="false">IF(M762&gt;0,MAX(0,Catatan!$B$3-H762),0)</f>
        <v>0</v>
      </c>
      <c r="P762" s="39" t="str">
        <f aca="false">IF(M762&lt;=0,"Lunas",IF(Catatan!$B$3&lt;=H762,"Belum Jatuh Tempo",IF(O762&lt;=30,"1-30 hari",IF(O762&lt;=60,"31-60 hari",IF(O762&lt;=90,"61-90 hari","90+ hari")))))</f>
        <v>Lunas</v>
      </c>
      <c r="Q762" s="50"/>
      <c r="R762" s="39" t="str">
        <f aca="false">IF(M762&lt;=0,"",IF(O762&gt;60,"1-Tinggi",IF(O762&gt;30,"2-Sedang",IF(O762&gt;0,"3-Rendah","4-Pantau"))))</f>
        <v/>
      </c>
      <c r="S762" s="39" t="str">
        <f aca="false">IF(AND(M762&gt;0,O762&gt;0),O762+M762/1000000000000+ROW()/1000000000000000,"")</f>
        <v/>
      </c>
      <c r="T762" s="39" t="str">
        <f aca="false">IF(J762="Belum ditukar",ROW(),"")</f>
        <v/>
      </c>
    </row>
    <row r="763" customFormat="false" ht="15" hidden="false" customHeight="false" outlineLevel="0" collapsed="false">
      <c r="A763" s="50" t="s">
        <v>1045</v>
      </c>
      <c r="B763" s="51" t="n">
        <v>45820</v>
      </c>
      <c r="C763" s="50" t="s">
        <v>191</v>
      </c>
      <c r="D763" s="39" t="str">
        <f aca="false">INDEX(Master_Customer!$B$2:$B$126,MATCH(C763,Master_Customer!$A$2:$A$126,0))</f>
        <v>SINAR AUTO BERKAH</v>
      </c>
      <c r="E763" s="50" t="s">
        <v>30</v>
      </c>
      <c r="F763" s="52" t="n">
        <f aca="false">SUMIFS(Data_Penjualan!$G$2:$G$5998,Data_Penjualan!$A$2:$A$5998,A763)</f>
        <v>21336400</v>
      </c>
      <c r="G763" s="39" t="n">
        <f aca="false">IF(E763="KANTOR",0,INDEX(Master_Customer!$C$2:$C$126,MATCH(C763,Master_Customer!$A$2:$A$126,0)))</f>
        <v>30</v>
      </c>
      <c r="H763" s="53" t="n">
        <f aca="false">B763+G763</f>
        <v>45850</v>
      </c>
      <c r="I763" s="51" t="n">
        <v>45821</v>
      </c>
      <c r="J763" s="39" t="str">
        <f aca="false">IF(G763=0,"Tunai",IF(I763="","Belum ditukar","Sudah ditukar"))</f>
        <v>Sudah ditukar</v>
      </c>
      <c r="K763" s="54" t="n">
        <v>21336400</v>
      </c>
      <c r="L763" s="51" t="n">
        <v>45870</v>
      </c>
      <c r="M763" s="52" t="n">
        <f aca="false">F763-K763</f>
        <v>0</v>
      </c>
      <c r="N763" s="39" t="str">
        <f aca="false">IF(M763&lt;=0,"Lunas",IF(K763&gt;0,"Sebagian","Belum Bayar"))</f>
        <v>Lunas</v>
      </c>
      <c r="O763" s="39" t="n">
        <f aca="false">IF(M763&gt;0,MAX(0,Catatan!$B$3-H763),0)</f>
        <v>0</v>
      </c>
      <c r="P763" s="39" t="str">
        <f aca="false">IF(M763&lt;=0,"Lunas",IF(Catatan!$B$3&lt;=H763,"Belum Jatuh Tempo",IF(O763&lt;=30,"1-30 hari",IF(O763&lt;=60,"31-60 hari",IF(O763&lt;=90,"61-90 hari","90+ hari")))))</f>
        <v>Lunas</v>
      </c>
      <c r="Q763" s="50"/>
      <c r="R763" s="39" t="str">
        <f aca="false">IF(M763&lt;=0,"",IF(O763&gt;60,"1-Tinggi",IF(O763&gt;30,"2-Sedang",IF(O763&gt;0,"3-Rendah","4-Pantau"))))</f>
        <v/>
      </c>
      <c r="S763" s="39" t="str">
        <f aca="false">IF(AND(M763&gt;0,O763&gt;0),O763+M763/1000000000000+ROW()/1000000000000000,"")</f>
        <v/>
      </c>
      <c r="T763" s="39" t="str">
        <f aca="false">IF(J763="Belum ditukar",ROW(),"")</f>
        <v/>
      </c>
    </row>
    <row r="764" customFormat="false" ht="15" hidden="false" customHeight="false" outlineLevel="0" collapsed="false">
      <c r="A764" s="50" t="s">
        <v>1046</v>
      </c>
      <c r="B764" s="51" t="n">
        <v>45820</v>
      </c>
      <c r="C764" s="50" t="s">
        <v>284</v>
      </c>
      <c r="D764" s="39" t="str">
        <f aca="false">INDEX(Master_Customer!$B$2:$B$126,MATCH(C764,Master_Customer!$A$2:$A$126,0))</f>
        <v>CAHAYA SPAREPART</v>
      </c>
      <c r="E764" s="50" t="s">
        <v>32</v>
      </c>
      <c r="F764" s="52" t="n">
        <f aca="false">SUMIFS(Data_Penjualan!$G$2:$G$5998,Data_Penjualan!$A$2:$A$5998,A764)</f>
        <v>3588400</v>
      </c>
      <c r="G764" s="39" t="n">
        <f aca="false">IF(E764="KANTOR",0,INDEX(Master_Customer!$C$2:$C$126,MATCH(C764,Master_Customer!$A$2:$A$126,0)))</f>
        <v>0</v>
      </c>
      <c r="H764" s="53" t="n">
        <f aca="false">B764+G764</f>
        <v>45820</v>
      </c>
      <c r="J764" s="39" t="str">
        <f aca="false">IF(G764=0,"Tunai",IF(I764="","Belum ditukar","Sudah ditukar"))</f>
        <v>Tunai</v>
      </c>
      <c r="K764" s="54" t="n">
        <v>3588400</v>
      </c>
      <c r="L764" s="51" t="n">
        <v>45820</v>
      </c>
      <c r="M764" s="52" t="n">
        <f aca="false">F764-K764</f>
        <v>0</v>
      </c>
      <c r="N764" s="39" t="str">
        <f aca="false">IF(M764&lt;=0,"Lunas",IF(K764&gt;0,"Sebagian","Belum Bayar"))</f>
        <v>Lunas</v>
      </c>
      <c r="O764" s="39" t="n">
        <f aca="false">IF(M764&gt;0,MAX(0,Catatan!$B$3-H764),0)</f>
        <v>0</v>
      </c>
      <c r="P764" s="39" t="str">
        <f aca="false">IF(M764&lt;=0,"Lunas",IF(Catatan!$B$3&lt;=H764,"Belum Jatuh Tempo",IF(O764&lt;=30,"1-30 hari",IF(O764&lt;=60,"31-60 hari",IF(O764&lt;=90,"61-90 hari","90+ hari")))))</f>
        <v>Lunas</v>
      </c>
      <c r="Q764" s="50"/>
      <c r="R764" s="39" t="str">
        <f aca="false">IF(M764&lt;=0,"",IF(O764&gt;60,"1-Tinggi",IF(O764&gt;30,"2-Sedang",IF(O764&gt;0,"3-Rendah","4-Pantau"))))</f>
        <v/>
      </c>
      <c r="S764" s="39" t="str">
        <f aca="false">IF(AND(M764&gt;0,O764&gt;0),O764+M764/1000000000000+ROW()/1000000000000000,"")</f>
        <v/>
      </c>
      <c r="T764" s="39" t="str">
        <f aca="false">IF(J764="Belum ditukar",ROW(),"")</f>
        <v/>
      </c>
    </row>
    <row r="765" customFormat="false" ht="15" hidden="false" customHeight="false" outlineLevel="0" collapsed="false">
      <c r="A765" s="50" t="s">
        <v>1047</v>
      </c>
      <c r="B765" s="51" t="n">
        <v>45821</v>
      </c>
      <c r="C765" s="50" t="s">
        <v>1048</v>
      </c>
      <c r="D765" s="39" t="str">
        <f aca="false">INDEX(Master_Customer!$B$2:$B$126,MATCH(C765,Master_Customer!$A$2:$A$126,0))</f>
        <v>ABADI LUBRICANT</v>
      </c>
      <c r="E765" s="50" t="s">
        <v>28</v>
      </c>
      <c r="F765" s="52" t="n">
        <f aca="false">SUMIFS(Data_Penjualan!$G$2:$G$5998,Data_Penjualan!$A$2:$A$5998,A765)</f>
        <v>13816600</v>
      </c>
      <c r="G765" s="39" t="n">
        <f aca="false">IF(E765="KANTOR",0,INDEX(Master_Customer!$C$2:$C$126,MATCH(C765,Master_Customer!$A$2:$A$126,0)))</f>
        <v>30</v>
      </c>
      <c r="H765" s="53" t="n">
        <f aca="false">B765+G765</f>
        <v>45851</v>
      </c>
      <c r="I765" s="51" t="n">
        <v>45823</v>
      </c>
      <c r="J765" s="39" t="str">
        <f aca="false">IF(G765=0,"Tunai",IF(I765="","Belum ditukar","Sudah ditukar"))</f>
        <v>Sudah ditukar</v>
      </c>
      <c r="K765" s="54" t="n">
        <v>13816600</v>
      </c>
      <c r="L765" s="51" t="n">
        <v>45857</v>
      </c>
      <c r="M765" s="52" t="n">
        <f aca="false">F765-K765</f>
        <v>0</v>
      </c>
      <c r="N765" s="39" t="str">
        <f aca="false">IF(M765&lt;=0,"Lunas",IF(K765&gt;0,"Sebagian","Belum Bayar"))</f>
        <v>Lunas</v>
      </c>
      <c r="O765" s="39" t="n">
        <f aca="false">IF(M765&gt;0,MAX(0,Catatan!$B$3-H765),0)</f>
        <v>0</v>
      </c>
      <c r="P765" s="39" t="str">
        <f aca="false">IF(M765&lt;=0,"Lunas",IF(Catatan!$B$3&lt;=H765,"Belum Jatuh Tempo",IF(O765&lt;=30,"1-30 hari",IF(O765&lt;=60,"31-60 hari",IF(O765&lt;=90,"61-90 hari","90+ hari")))))</f>
        <v>Lunas</v>
      </c>
      <c r="Q765" s="50"/>
      <c r="R765" s="39" t="str">
        <f aca="false">IF(M765&lt;=0,"",IF(O765&gt;60,"1-Tinggi",IF(O765&gt;30,"2-Sedang",IF(O765&gt;0,"3-Rendah","4-Pantau"))))</f>
        <v/>
      </c>
      <c r="S765" s="39" t="str">
        <f aca="false">IF(AND(M765&gt;0,O765&gt;0),O765+M765/1000000000000+ROW()/1000000000000000,"")</f>
        <v/>
      </c>
      <c r="T765" s="39" t="str">
        <f aca="false">IF(J765="Belum ditukar",ROW(),"")</f>
        <v/>
      </c>
    </row>
    <row r="766" customFormat="false" ht="15" hidden="false" customHeight="false" outlineLevel="0" collapsed="false">
      <c r="A766" s="50" t="s">
        <v>1049</v>
      </c>
      <c r="B766" s="51" t="n">
        <v>45821</v>
      </c>
      <c r="C766" s="50" t="s">
        <v>207</v>
      </c>
      <c r="D766" s="39" t="str">
        <f aca="false">INDEX(Master_Customer!$B$2:$B$126,MATCH(C766,Master_Customer!$A$2:$A$126,0))</f>
        <v>MAKMUR AUTO HARAPAN</v>
      </c>
      <c r="E766" s="50" t="s">
        <v>32</v>
      </c>
      <c r="F766" s="52" t="n">
        <f aca="false">SUMIFS(Data_Penjualan!$G$2:$G$5998,Data_Penjualan!$A$2:$A$5998,A766)</f>
        <v>13933200</v>
      </c>
      <c r="G766" s="39" t="n">
        <f aca="false">IF(E766="KANTOR",0,INDEX(Master_Customer!$C$2:$C$126,MATCH(C766,Master_Customer!$A$2:$A$126,0)))</f>
        <v>0</v>
      </c>
      <c r="H766" s="53" t="n">
        <f aca="false">B766+G766</f>
        <v>45821</v>
      </c>
      <c r="J766" s="39" t="str">
        <f aca="false">IF(G766=0,"Tunai",IF(I766="","Belum ditukar","Sudah ditukar"))</f>
        <v>Tunai</v>
      </c>
      <c r="K766" s="54" t="n">
        <v>13933200</v>
      </c>
      <c r="L766" s="51" t="n">
        <v>45821</v>
      </c>
      <c r="M766" s="52" t="n">
        <f aca="false">F766-K766</f>
        <v>0</v>
      </c>
      <c r="N766" s="39" t="str">
        <f aca="false">IF(M766&lt;=0,"Lunas",IF(K766&gt;0,"Sebagian","Belum Bayar"))</f>
        <v>Lunas</v>
      </c>
      <c r="O766" s="39" t="n">
        <f aca="false">IF(M766&gt;0,MAX(0,Catatan!$B$3-H766),0)</f>
        <v>0</v>
      </c>
      <c r="P766" s="39" t="str">
        <f aca="false">IF(M766&lt;=0,"Lunas",IF(Catatan!$B$3&lt;=H766,"Belum Jatuh Tempo",IF(O766&lt;=30,"1-30 hari",IF(O766&lt;=60,"31-60 hari",IF(O766&lt;=90,"61-90 hari","90+ hari")))))</f>
        <v>Lunas</v>
      </c>
      <c r="Q766" s="50"/>
      <c r="R766" s="39" t="str">
        <f aca="false">IF(M766&lt;=0,"",IF(O766&gt;60,"1-Tinggi",IF(O766&gt;30,"2-Sedang",IF(O766&gt;0,"3-Rendah","4-Pantau"))))</f>
        <v/>
      </c>
      <c r="S766" s="39" t="str">
        <f aca="false">IF(AND(M766&gt;0,O766&gt;0),O766+M766/1000000000000+ROW()/1000000000000000,"")</f>
        <v/>
      </c>
      <c r="T766" s="39" t="str">
        <f aca="false">IF(J766="Belum ditukar",ROW(),"")</f>
        <v/>
      </c>
    </row>
    <row r="767" customFormat="false" ht="15" hidden="false" customHeight="false" outlineLevel="0" collapsed="false">
      <c r="A767" s="50" t="s">
        <v>1050</v>
      </c>
      <c r="B767" s="51" t="n">
        <v>45821</v>
      </c>
      <c r="C767" s="50" t="s">
        <v>278</v>
      </c>
      <c r="D767" s="39" t="str">
        <f aca="false">INDEX(Master_Customer!$B$2:$B$126,MATCH(C767,Master_Customer!$A$2:$A$126,0))</f>
        <v>SURYA MOTOR</v>
      </c>
      <c r="E767" s="50" t="s">
        <v>31</v>
      </c>
      <c r="F767" s="52" t="n">
        <f aca="false">SUMIFS(Data_Penjualan!$G$2:$G$5998,Data_Penjualan!$A$2:$A$5998,A767)</f>
        <v>9342500</v>
      </c>
      <c r="G767" s="39" t="n">
        <f aca="false">IF(E767="KANTOR",0,INDEX(Master_Customer!$C$2:$C$126,MATCH(C767,Master_Customer!$A$2:$A$126,0)))</f>
        <v>14</v>
      </c>
      <c r="H767" s="53" t="n">
        <f aca="false">B767+G767</f>
        <v>45835</v>
      </c>
      <c r="I767" s="51" t="n">
        <v>45822</v>
      </c>
      <c r="J767" s="39" t="str">
        <f aca="false">IF(G767=0,"Tunai",IF(I767="","Belum ditukar","Sudah ditukar"))</f>
        <v>Sudah ditukar</v>
      </c>
      <c r="K767" s="54" t="n">
        <v>9342500</v>
      </c>
      <c r="L767" s="51" t="n">
        <v>45826</v>
      </c>
      <c r="M767" s="52" t="n">
        <f aca="false">F767-K767</f>
        <v>0</v>
      </c>
      <c r="N767" s="39" t="str">
        <f aca="false">IF(M767&lt;=0,"Lunas",IF(K767&gt;0,"Sebagian","Belum Bayar"))</f>
        <v>Lunas</v>
      </c>
      <c r="O767" s="39" t="n">
        <f aca="false">IF(M767&gt;0,MAX(0,Catatan!$B$3-H767),0)</f>
        <v>0</v>
      </c>
      <c r="P767" s="39" t="str">
        <f aca="false">IF(M767&lt;=0,"Lunas",IF(Catatan!$B$3&lt;=H767,"Belum Jatuh Tempo",IF(O767&lt;=30,"1-30 hari",IF(O767&lt;=60,"31-60 hari",IF(O767&lt;=90,"61-90 hari","90+ hari")))))</f>
        <v>Lunas</v>
      </c>
      <c r="Q767" s="50"/>
      <c r="R767" s="39" t="str">
        <f aca="false">IF(M767&lt;=0,"",IF(O767&gt;60,"1-Tinggi",IF(O767&gt;30,"2-Sedang",IF(O767&gt;0,"3-Rendah","4-Pantau"))))</f>
        <v/>
      </c>
      <c r="S767" s="39" t="str">
        <f aca="false">IF(AND(M767&gt;0,O767&gt;0),O767+M767/1000000000000+ROW()/1000000000000000,"")</f>
        <v/>
      </c>
      <c r="T767" s="39" t="str">
        <f aca="false">IF(J767="Belum ditukar",ROW(),"")</f>
        <v/>
      </c>
    </row>
    <row r="768" customFormat="false" ht="15" hidden="false" customHeight="false" outlineLevel="0" collapsed="false">
      <c r="A768" s="50" t="s">
        <v>1051</v>
      </c>
      <c r="B768" s="51" t="n">
        <v>45821</v>
      </c>
      <c r="C768" s="50" t="s">
        <v>195</v>
      </c>
      <c r="D768" s="39" t="str">
        <f aca="false">INDEX(Master_Customer!$B$2:$B$126,MATCH(C768,Master_Customer!$A$2:$A$126,0))</f>
        <v>KARYA LUBRICANT BINTANG</v>
      </c>
      <c r="E768" s="50" t="s">
        <v>32</v>
      </c>
      <c r="F768" s="52" t="n">
        <f aca="false">SUMIFS(Data_Penjualan!$G$2:$G$5998,Data_Penjualan!$A$2:$A$5998,A768)</f>
        <v>9050700</v>
      </c>
      <c r="G768" s="39" t="n">
        <f aca="false">IF(E768="KANTOR",0,INDEX(Master_Customer!$C$2:$C$126,MATCH(C768,Master_Customer!$A$2:$A$126,0)))</f>
        <v>0</v>
      </c>
      <c r="H768" s="53" t="n">
        <f aca="false">B768+G768</f>
        <v>45821</v>
      </c>
      <c r="J768" s="39" t="str">
        <f aca="false">IF(G768=0,"Tunai",IF(I768="","Belum ditukar","Sudah ditukar"))</f>
        <v>Tunai</v>
      </c>
      <c r="K768" s="54" t="n">
        <v>9050700</v>
      </c>
      <c r="L768" s="51" t="n">
        <v>45821</v>
      </c>
      <c r="M768" s="52" t="n">
        <f aca="false">F768-K768</f>
        <v>0</v>
      </c>
      <c r="N768" s="39" t="str">
        <f aca="false">IF(M768&lt;=0,"Lunas",IF(K768&gt;0,"Sebagian","Belum Bayar"))</f>
        <v>Lunas</v>
      </c>
      <c r="O768" s="39" t="n">
        <f aca="false">IF(M768&gt;0,MAX(0,Catatan!$B$3-H768),0)</f>
        <v>0</v>
      </c>
      <c r="P768" s="39" t="str">
        <f aca="false">IF(M768&lt;=0,"Lunas",IF(Catatan!$B$3&lt;=H768,"Belum Jatuh Tempo",IF(O768&lt;=30,"1-30 hari",IF(O768&lt;=60,"31-60 hari",IF(O768&lt;=90,"61-90 hari","90+ hari")))))</f>
        <v>Lunas</v>
      </c>
      <c r="Q768" s="50"/>
      <c r="R768" s="39" t="str">
        <f aca="false">IF(M768&lt;=0,"",IF(O768&gt;60,"1-Tinggi",IF(O768&gt;30,"2-Sedang",IF(O768&gt;0,"3-Rendah","4-Pantau"))))</f>
        <v/>
      </c>
      <c r="S768" s="39" t="str">
        <f aca="false">IF(AND(M768&gt;0,O768&gt;0),O768+M768/1000000000000+ROW()/1000000000000000,"")</f>
        <v/>
      </c>
      <c r="T768" s="39" t="str">
        <f aca="false">IF(J768="Belum ditukar",ROW(),"")</f>
        <v/>
      </c>
    </row>
    <row r="769" customFormat="false" ht="15" hidden="false" customHeight="false" outlineLevel="0" collapsed="false">
      <c r="A769" s="50" t="s">
        <v>1052</v>
      </c>
      <c r="B769" s="51" t="n">
        <v>45821</v>
      </c>
      <c r="C769" s="50" t="s">
        <v>239</v>
      </c>
      <c r="D769" s="39" t="str">
        <f aca="false">INDEX(Master_Customer!$B$2:$B$126,MATCH(C769,Master_Customer!$A$2:$A$126,0))</f>
        <v>MAJU SPAREPART UTAMA</v>
      </c>
      <c r="E769" s="50" t="s">
        <v>32</v>
      </c>
      <c r="F769" s="52" t="n">
        <f aca="false">SUMIFS(Data_Penjualan!$G$2:$G$5998,Data_Penjualan!$A$2:$A$5998,A769)</f>
        <v>8987800</v>
      </c>
      <c r="G769" s="39" t="n">
        <f aca="false">IF(E769="KANTOR",0,INDEX(Master_Customer!$C$2:$C$126,MATCH(C769,Master_Customer!$A$2:$A$126,0)))</f>
        <v>0</v>
      </c>
      <c r="H769" s="53" t="n">
        <f aca="false">B769+G769</f>
        <v>45821</v>
      </c>
      <c r="J769" s="39" t="str">
        <f aca="false">IF(G769=0,"Tunai",IF(I769="","Belum ditukar","Sudah ditukar"))</f>
        <v>Tunai</v>
      </c>
      <c r="K769" s="54" t="n">
        <v>8987800</v>
      </c>
      <c r="L769" s="51" t="n">
        <v>45822</v>
      </c>
      <c r="M769" s="52" t="n">
        <f aca="false">F769-K769</f>
        <v>0</v>
      </c>
      <c r="N769" s="39" t="str">
        <f aca="false">IF(M769&lt;=0,"Lunas",IF(K769&gt;0,"Sebagian","Belum Bayar"))</f>
        <v>Lunas</v>
      </c>
      <c r="O769" s="39" t="n">
        <f aca="false">IF(M769&gt;0,MAX(0,Catatan!$B$3-H769),0)</f>
        <v>0</v>
      </c>
      <c r="P769" s="39" t="str">
        <f aca="false">IF(M769&lt;=0,"Lunas",IF(Catatan!$B$3&lt;=H769,"Belum Jatuh Tempo",IF(O769&lt;=30,"1-30 hari",IF(O769&lt;=60,"31-60 hari",IF(O769&lt;=90,"61-90 hari","90+ hari")))))</f>
        <v>Lunas</v>
      </c>
      <c r="Q769" s="50"/>
      <c r="R769" s="39" t="str">
        <f aca="false">IF(M769&lt;=0,"",IF(O769&gt;60,"1-Tinggi",IF(O769&gt;30,"2-Sedang",IF(O769&gt;0,"3-Rendah","4-Pantau"))))</f>
        <v/>
      </c>
      <c r="S769" s="39" t="str">
        <f aca="false">IF(AND(M769&gt;0,O769&gt;0),O769+M769/1000000000000+ROW()/1000000000000000,"")</f>
        <v/>
      </c>
      <c r="T769" s="39" t="str">
        <f aca="false">IF(J769="Belum ditukar",ROW(),"")</f>
        <v/>
      </c>
    </row>
    <row r="770" customFormat="false" ht="15" hidden="false" customHeight="false" outlineLevel="0" collapsed="false">
      <c r="A770" s="50" t="s">
        <v>1053</v>
      </c>
      <c r="B770" s="51" t="n">
        <v>45821</v>
      </c>
      <c r="C770" s="50" t="s">
        <v>234</v>
      </c>
      <c r="D770" s="39" t="str">
        <f aca="false">INDEX(Master_Customer!$B$2:$B$126,MATCH(C770,Master_Customer!$A$2:$A$126,0))</f>
        <v>CAHAYA OLI</v>
      </c>
      <c r="E770" s="50" t="s">
        <v>28</v>
      </c>
      <c r="F770" s="52" t="n">
        <f aca="false">SUMIFS(Data_Penjualan!$G$2:$G$5998,Data_Penjualan!$A$2:$A$5998,A770)</f>
        <v>15034300</v>
      </c>
      <c r="G770" s="39" t="n">
        <f aca="false">IF(E770="KANTOR",0,INDEX(Master_Customer!$C$2:$C$126,MATCH(C770,Master_Customer!$A$2:$A$126,0)))</f>
        <v>30</v>
      </c>
      <c r="H770" s="53" t="n">
        <f aca="false">B770+G770</f>
        <v>45851</v>
      </c>
      <c r="I770" s="51" t="n">
        <v>45826</v>
      </c>
      <c r="J770" s="39" t="str">
        <f aca="false">IF(G770=0,"Tunai",IF(I770="","Belum ditukar","Sudah ditukar"))</f>
        <v>Sudah ditukar</v>
      </c>
      <c r="K770" s="54" t="n">
        <v>15034300</v>
      </c>
      <c r="L770" s="51" t="n">
        <v>45849</v>
      </c>
      <c r="M770" s="52" t="n">
        <f aca="false">F770-K770</f>
        <v>0</v>
      </c>
      <c r="N770" s="39" t="str">
        <f aca="false">IF(M770&lt;=0,"Lunas",IF(K770&gt;0,"Sebagian","Belum Bayar"))</f>
        <v>Lunas</v>
      </c>
      <c r="O770" s="39" t="n">
        <f aca="false">IF(M770&gt;0,MAX(0,Catatan!$B$3-H770),0)</f>
        <v>0</v>
      </c>
      <c r="P770" s="39" t="str">
        <f aca="false">IF(M770&lt;=0,"Lunas",IF(Catatan!$B$3&lt;=H770,"Belum Jatuh Tempo",IF(O770&lt;=30,"1-30 hari",IF(O770&lt;=60,"31-60 hari",IF(O770&lt;=90,"61-90 hari","90+ hari")))))</f>
        <v>Lunas</v>
      </c>
      <c r="Q770" s="50"/>
      <c r="R770" s="39" t="str">
        <f aca="false">IF(M770&lt;=0,"",IF(O770&gt;60,"1-Tinggi",IF(O770&gt;30,"2-Sedang",IF(O770&gt;0,"3-Rendah","4-Pantau"))))</f>
        <v/>
      </c>
      <c r="S770" s="39" t="str">
        <f aca="false">IF(AND(M770&gt;0,O770&gt;0),O770+M770/1000000000000+ROW()/1000000000000000,"")</f>
        <v/>
      </c>
      <c r="T770" s="39" t="str">
        <f aca="false">IF(J770="Belum ditukar",ROW(),"")</f>
        <v/>
      </c>
    </row>
    <row r="771" customFormat="false" ht="15" hidden="false" customHeight="false" outlineLevel="0" collapsed="false">
      <c r="A771" s="50" t="s">
        <v>1054</v>
      </c>
      <c r="B771" s="51" t="n">
        <v>45822</v>
      </c>
      <c r="C771" s="50" t="s">
        <v>505</v>
      </c>
      <c r="D771" s="39" t="str">
        <f aca="false">INDEX(Master_Customer!$B$2:$B$126,MATCH(C771,Master_Customer!$A$2:$A$126,0))</f>
        <v>GEMILANG OLI CAHAYA</v>
      </c>
      <c r="E771" s="50" t="s">
        <v>32</v>
      </c>
      <c r="F771" s="52" t="n">
        <f aca="false">SUMIFS(Data_Penjualan!$G$2:$G$5998,Data_Penjualan!$A$2:$A$5998,A771)</f>
        <v>10272000</v>
      </c>
      <c r="G771" s="39" t="n">
        <f aca="false">IF(E771="KANTOR",0,INDEX(Master_Customer!$C$2:$C$126,MATCH(C771,Master_Customer!$A$2:$A$126,0)))</f>
        <v>0</v>
      </c>
      <c r="H771" s="53" t="n">
        <f aca="false">B771+G771</f>
        <v>45822</v>
      </c>
      <c r="J771" s="39" t="str">
        <f aca="false">IF(G771=0,"Tunai",IF(I771="","Belum ditukar","Sudah ditukar"))</f>
        <v>Tunai</v>
      </c>
      <c r="K771" s="54" t="n">
        <v>10272000</v>
      </c>
      <c r="L771" s="51" t="n">
        <v>45822</v>
      </c>
      <c r="M771" s="52" t="n">
        <f aca="false">F771-K771</f>
        <v>0</v>
      </c>
      <c r="N771" s="39" t="str">
        <f aca="false">IF(M771&lt;=0,"Lunas",IF(K771&gt;0,"Sebagian","Belum Bayar"))</f>
        <v>Lunas</v>
      </c>
      <c r="O771" s="39" t="n">
        <f aca="false">IF(M771&gt;0,MAX(0,Catatan!$B$3-H771),0)</f>
        <v>0</v>
      </c>
      <c r="P771" s="39" t="str">
        <f aca="false">IF(M771&lt;=0,"Lunas",IF(Catatan!$B$3&lt;=H771,"Belum Jatuh Tempo",IF(O771&lt;=30,"1-30 hari",IF(O771&lt;=60,"31-60 hari",IF(O771&lt;=90,"61-90 hari","90+ hari")))))</f>
        <v>Lunas</v>
      </c>
      <c r="Q771" s="50"/>
      <c r="R771" s="39" t="str">
        <f aca="false">IF(M771&lt;=0,"",IF(O771&gt;60,"1-Tinggi",IF(O771&gt;30,"2-Sedang",IF(O771&gt;0,"3-Rendah","4-Pantau"))))</f>
        <v/>
      </c>
      <c r="S771" s="39" t="str">
        <f aca="false">IF(AND(M771&gt;0,O771&gt;0),O771+M771/1000000000000+ROW()/1000000000000000,"")</f>
        <v/>
      </c>
      <c r="T771" s="39" t="str">
        <f aca="false">IF(J771="Belum ditukar",ROW(),"")</f>
        <v/>
      </c>
    </row>
    <row r="772" customFormat="false" ht="15" hidden="false" customHeight="false" outlineLevel="0" collapsed="false">
      <c r="A772" s="50" t="s">
        <v>1055</v>
      </c>
      <c r="B772" s="51" t="n">
        <v>45822</v>
      </c>
      <c r="C772" s="50" t="s">
        <v>168</v>
      </c>
      <c r="D772" s="39" t="str">
        <f aca="false">INDEX(Master_Customer!$B$2:$B$126,MATCH(C772,Master_Customer!$A$2:$A$126,0))</f>
        <v>JAYA LUBRICANT</v>
      </c>
      <c r="E772" s="50" t="s">
        <v>29</v>
      </c>
      <c r="F772" s="52" t="n">
        <f aca="false">SUMIFS(Data_Penjualan!$G$2:$G$5998,Data_Penjualan!$A$2:$A$5998,A772)</f>
        <v>9742400</v>
      </c>
      <c r="G772" s="39" t="n">
        <f aca="false">IF(E772="KANTOR",0,INDEX(Master_Customer!$C$2:$C$126,MATCH(C772,Master_Customer!$A$2:$A$126,0)))</f>
        <v>0</v>
      </c>
      <c r="H772" s="53" t="n">
        <f aca="false">B772+G772</f>
        <v>45822</v>
      </c>
      <c r="J772" s="39" t="str">
        <f aca="false">IF(G772=0,"Tunai",IF(I772="","Belum ditukar","Sudah ditukar"))</f>
        <v>Tunai</v>
      </c>
      <c r="K772" s="54" t="n">
        <v>9742400</v>
      </c>
      <c r="L772" s="51" t="n">
        <v>45822</v>
      </c>
      <c r="M772" s="52" t="n">
        <f aca="false">F772-K772</f>
        <v>0</v>
      </c>
      <c r="N772" s="39" t="str">
        <f aca="false">IF(M772&lt;=0,"Lunas",IF(K772&gt;0,"Sebagian","Belum Bayar"))</f>
        <v>Lunas</v>
      </c>
      <c r="O772" s="39" t="n">
        <f aca="false">IF(M772&gt;0,MAX(0,Catatan!$B$3-H772),0)</f>
        <v>0</v>
      </c>
      <c r="P772" s="39" t="str">
        <f aca="false">IF(M772&lt;=0,"Lunas",IF(Catatan!$B$3&lt;=H772,"Belum Jatuh Tempo",IF(O772&lt;=30,"1-30 hari",IF(O772&lt;=60,"31-60 hari",IF(O772&lt;=90,"61-90 hari","90+ hari")))))</f>
        <v>Lunas</v>
      </c>
      <c r="Q772" s="50"/>
      <c r="R772" s="39" t="str">
        <f aca="false">IF(M772&lt;=0,"",IF(O772&gt;60,"1-Tinggi",IF(O772&gt;30,"2-Sedang",IF(O772&gt;0,"3-Rendah","4-Pantau"))))</f>
        <v/>
      </c>
      <c r="S772" s="39" t="str">
        <f aca="false">IF(AND(M772&gt;0,O772&gt;0),O772+M772/1000000000000+ROW()/1000000000000000,"")</f>
        <v/>
      </c>
      <c r="T772" s="39" t="str">
        <f aca="false">IF(J772="Belum ditukar",ROW(),"")</f>
        <v/>
      </c>
    </row>
    <row r="773" customFormat="false" ht="15" hidden="false" customHeight="false" outlineLevel="0" collapsed="false">
      <c r="A773" s="50" t="s">
        <v>1056</v>
      </c>
      <c r="B773" s="51" t="n">
        <v>45822</v>
      </c>
      <c r="C773" s="50" t="s">
        <v>223</v>
      </c>
      <c r="D773" s="39" t="str">
        <f aca="false">INDEX(Master_Customer!$B$2:$B$126,MATCH(C773,Master_Customer!$A$2:$A$126,0))</f>
        <v>ABADI AUTO UTAMA</v>
      </c>
      <c r="E773" s="50" t="s">
        <v>32</v>
      </c>
      <c r="F773" s="52" t="n">
        <f aca="false">SUMIFS(Data_Penjualan!$G$2:$G$5998,Data_Penjualan!$A$2:$A$5998,A773)</f>
        <v>9516000</v>
      </c>
      <c r="G773" s="39" t="n">
        <f aca="false">IF(E773="KANTOR",0,INDEX(Master_Customer!$C$2:$C$126,MATCH(C773,Master_Customer!$A$2:$A$126,0)))</f>
        <v>0</v>
      </c>
      <c r="H773" s="53" t="n">
        <f aca="false">B773+G773</f>
        <v>45822</v>
      </c>
      <c r="J773" s="39" t="str">
        <f aca="false">IF(G773=0,"Tunai",IF(I773="","Belum ditukar","Sudah ditukar"))</f>
        <v>Tunai</v>
      </c>
      <c r="K773" s="54" t="n">
        <v>9516000</v>
      </c>
      <c r="L773" s="51" t="n">
        <v>45822</v>
      </c>
      <c r="M773" s="52" t="n">
        <f aca="false">F773-K773</f>
        <v>0</v>
      </c>
      <c r="N773" s="39" t="str">
        <f aca="false">IF(M773&lt;=0,"Lunas",IF(K773&gt;0,"Sebagian","Belum Bayar"))</f>
        <v>Lunas</v>
      </c>
      <c r="O773" s="39" t="n">
        <f aca="false">IF(M773&gt;0,MAX(0,Catatan!$B$3-H773),0)</f>
        <v>0</v>
      </c>
      <c r="P773" s="39" t="str">
        <f aca="false">IF(M773&lt;=0,"Lunas",IF(Catatan!$B$3&lt;=H773,"Belum Jatuh Tempo",IF(O773&lt;=30,"1-30 hari",IF(O773&lt;=60,"31-60 hari",IF(O773&lt;=90,"61-90 hari","90+ hari")))))</f>
        <v>Lunas</v>
      </c>
      <c r="Q773" s="50"/>
      <c r="R773" s="39" t="str">
        <f aca="false">IF(M773&lt;=0,"",IF(O773&gt;60,"1-Tinggi",IF(O773&gt;30,"2-Sedang",IF(O773&gt;0,"3-Rendah","4-Pantau"))))</f>
        <v/>
      </c>
      <c r="S773" s="39" t="str">
        <f aca="false">IF(AND(M773&gt;0,O773&gt;0),O773+M773/1000000000000+ROW()/1000000000000000,"")</f>
        <v/>
      </c>
      <c r="T773" s="39" t="str">
        <f aca="false">IF(J773="Belum ditukar",ROW(),"")</f>
        <v/>
      </c>
    </row>
    <row r="774" customFormat="false" ht="15" hidden="false" customHeight="false" outlineLevel="0" collapsed="false">
      <c r="A774" s="50" t="s">
        <v>1057</v>
      </c>
      <c r="B774" s="51" t="n">
        <v>45822</v>
      </c>
      <c r="C774" s="50" t="s">
        <v>251</v>
      </c>
      <c r="D774" s="39" t="str">
        <f aca="false">INDEX(Master_Customer!$B$2:$B$126,MATCH(C774,Master_Customer!$A$2:$A$126,0))</f>
        <v>MAJU SPAREPART</v>
      </c>
      <c r="E774" s="50" t="s">
        <v>29</v>
      </c>
      <c r="F774" s="52" t="n">
        <f aca="false">SUMIFS(Data_Penjualan!$G$2:$G$5998,Data_Penjualan!$A$2:$A$5998,A774)</f>
        <v>7757800</v>
      </c>
      <c r="G774" s="39" t="n">
        <f aca="false">IF(E774="KANTOR",0,INDEX(Master_Customer!$C$2:$C$126,MATCH(C774,Master_Customer!$A$2:$A$126,0)))</f>
        <v>45</v>
      </c>
      <c r="H774" s="53" t="n">
        <f aca="false">B774+G774</f>
        <v>45867</v>
      </c>
      <c r="I774" s="51" t="n">
        <v>45826</v>
      </c>
      <c r="J774" s="39" t="str">
        <f aca="false">IF(G774=0,"Tunai",IF(I774="","Belum ditukar","Sudah ditukar"))</f>
        <v>Sudah ditukar</v>
      </c>
      <c r="K774" s="54" t="n">
        <v>7757800</v>
      </c>
      <c r="L774" s="51" t="n">
        <v>45875</v>
      </c>
      <c r="M774" s="52" t="n">
        <f aca="false">F774-K774</f>
        <v>0</v>
      </c>
      <c r="N774" s="39" t="str">
        <f aca="false">IF(M774&lt;=0,"Lunas",IF(K774&gt;0,"Sebagian","Belum Bayar"))</f>
        <v>Lunas</v>
      </c>
      <c r="O774" s="39" t="n">
        <f aca="false">IF(M774&gt;0,MAX(0,Catatan!$B$3-H774),0)</f>
        <v>0</v>
      </c>
      <c r="P774" s="39" t="str">
        <f aca="false">IF(M774&lt;=0,"Lunas",IF(Catatan!$B$3&lt;=H774,"Belum Jatuh Tempo",IF(O774&lt;=30,"1-30 hari",IF(O774&lt;=60,"31-60 hari",IF(O774&lt;=90,"61-90 hari","90+ hari")))))</f>
        <v>Lunas</v>
      </c>
      <c r="Q774" s="50"/>
      <c r="R774" s="39" t="str">
        <f aca="false">IF(M774&lt;=0,"",IF(O774&gt;60,"1-Tinggi",IF(O774&gt;30,"2-Sedang",IF(O774&gt;0,"3-Rendah","4-Pantau"))))</f>
        <v/>
      </c>
      <c r="S774" s="39" t="str">
        <f aca="false">IF(AND(M774&gt;0,O774&gt;0),O774+M774/1000000000000+ROW()/1000000000000000,"")</f>
        <v/>
      </c>
      <c r="T774" s="39" t="str">
        <f aca="false">IF(J774="Belum ditukar",ROW(),"")</f>
        <v/>
      </c>
    </row>
    <row r="775" customFormat="false" ht="15" hidden="false" customHeight="false" outlineLevel="0" collapsed="false">
      <c r="A775" s="50" t="s">
        <v>1058</v>
      </c>
      <c r="B775" s="51" t="n">
        <v>45822</v>
      </c>
      <c r="C775" s="50" t="s">
        <v>168</v>
      </c>
      <c r="D775" s="39" t="str">
        <f aca="false">INDEX(Master_Customer!$B$2:$B$126,MATCH(C775,Master_Customer!$A$2:$A$126,0))</f>
        <v>JAYA LUBRICANT</v>
      </c>
      <c r="E775" s="50" t="s">
        <v>29</v>
      </c>
      <c r="F775" s="52" t="n">
        <f aca="false">SUMIFS(Data_Penjualan!$G$2:$G$5998,Data_Penjualan!$A$2:$A$5998,A775)</f>
        <v>8767100</v>
      </c>
      <c r="G775" s="39" t="n">
        <f aca="false">IF(E775="KANTOR",0,INDEX(Master_Customer!$C$2:$C$126,MATCH(C775,Master_Customer!$A$2:$A$126,0)))</f>
        <v>0</v>
      </c>
      <c r="H775" s="53" t="n">
        <f aca="false">B775+G775</f>
        <v>45822</v>
      </c>
      <c r="J775" s="39" t="str">
        <f aca="false">IF(G775=0,"Tunai",IF(I775="","Belum ditukar","Sudah ditukar"))</f>
        <v>Tunai</v>
      </c>
      <c r="K775" s="54" t="n">
        <v>8767100</v>
      </c>
      <c r="L775" s="51" t="n">
        <v>45823</v>
      </c>
      <c r="M775" s="52" t="n">
        <f aca="false">F775-K775</f>
        <v>0</v>
      </c>
      <c r="N775" s="39" t="str">
        <f aca="false">IF(M775&lt;=0,"Lunas",IF(K775&gt;0,"Sebagian","Belum Bayar"))</f>
        <v>Lunas</v>
      </c>
      <c r="O775" s="39" t="n">
        <f aca="false">IF(M775&gt;0,MAX(0,Catatan!$B$3-H775),0)</f>
        <v>0</v>
      </c>
      <c r="P775" s="39" t="str">
        <f aca="false">IF(M775&lt;=0,"Lunas",IF(Catatan!$B$3&lt;=H775,"Belum Jatuh Tempo",IF(O775&lt;=30,"1-30 hari",IF(O775&lt;=60,"31-60 hari",IF(O775&lt;=90,"61-90 hari","90+ hari")))))</f>
        <v>Lunas</v>
      </c>
      <c r="Q775" s="50"/>
      <c r="R775" s="39" t="str">
        <f aca="false">IF(M775&lt;=0,"",IF(O775&gt;60,"1-Tinggi",IF(O775&gt;30,"2-Sedang",IF(O775&gt;0,"3-Rendah","4-Pantau"))))</f>
        <v/>
      </c>
      <c r="S775" s="39" t="str">
        <f aca="false">IF(AND(M775&gt;0,O775&gt;0),O775+M775/1000000000000+ROW()/1000000000000000,"")</f>
        <v/>
      </c>
      <c r="T775" s="39" t="str">
        <f aca="false">IF(J775="Belum ditukar",ROW(),"")</f>
        <v/>
      </c>
    </row>
    <row r="776" customFormat="false" ht="15" hidden="false" customHeight="false" outlineLevel="0" collapsed="false">
      <c r="A776" s="50" t="s">
        <v>1059</v>
      </c>
      <c r="B776" s="51" t="n">
        <v>45822</v>
      </c>
      <c r="C776" s="50" t="s">
        <v>199</v>
      </c>
      <c r="D776" s="39" t="str">
        <f aca="false">INDEX(Master_Customer!$B$2:$B$126,MATCH(C776,Master_Customer!$A$2:$A$126,0))</f>
        <v>KARYA SPAREPART</v>
      </c>
      <c r="E776" s="50" t="s">
        <v>29</v>
      </c>
      <c r="F776" s="52" t="n">
        <f aca="false">SUMIFS(Data_Penjualan!$G$2:$G$5998,Data_Penjualan!$A$2:$A$5998,A776)</f>
        <v>10701900</v>
      </c>
      <c r="G776" s="39" t="n">
        <f aca="false">IF(E776="KANTOR",0,INDEX(Master_Customer!$C$2:$C$126,MATCH(C776,Master_Customer!$A$2:$A$126,0)))</f>
        <v>45</v>
      </c>
      <c r="H776" s="53" t="n">
        <f aca="false">B776+G776</f>
        <v>45867</v>
      </c>
      <c r="I776" s="51" t="n">
        <v>45825</v>
      </c>
      <c r="J776" s="39" t="str">
        <f aca="false">IF(G776=0,"Tunai",IF(I776="","Belum ditukar","Sudah ditukar"))</f>
        <v>Sudah ditukar</v>
      </c>
      <c r="K776" s="54" t="n">
        <v>10701900</v>
      </c>
      <c r="L776" s="51" t="n">
        <v>45866</v>
      </c>
      <c r="M776" s="52" t="n">
        <f aca="false">F776-K776</f>
        <v>0</v>
      </c>
      <c r="N776" s="39" t="str">
        <f aca="false">IF(M776&lt;=0,"Lunas",IF(K776&gt;0,"Sebagian","Belum Bayar"))</f>
        <v>Lunas</v>
      </c>
      <c r="O776" s="39" t="n">
        <f aca="false">IF(M776&gt;0,MAX(0,Catatan!$B$3-H776),0)</f>
        <v>0</v>
      </c>
      <c r="P776" s="39" t="str">
        <f aca="false">IF(M776&lt;=0,"Lunas",IF(Catatan!$B$3&lt;=H776,"Belum Jatuh Tempo",IF(O776&lt;=30,"1-30 hari",IF(O776&lt;=60,"31-60 hari",IF(O776&lt;=90,"61-90 hari","90+ hari")))))</f>
        <v>Lunas</v>
      </c>
      <c r="Q776" s="50"/>
      <c r="R776" s="39" t="str">
        <f aca="false">IF(M776&lt;=0,"",IF(O776&gt;60,"1-Tinggi",IF(O776&gt;30,"2-Sedang",IF(O776&gt;0,"3-Rendah","4-Pantau"))))</f>
        <v/>
      </c>
      <c r="S776" s="39" t="str">
        <f aca="false">IF(AND(M776&gt;0,O776&gt;0),O776+M776/1000000000000+ROW()/1000000000000000,"")</f>
        <v/>
      </c>
      <c r="T776" s="39" t="str">
        <f aca="false">IF(J776="Belum ditukar",ROW(),"")</f>
        <v/>
      </c>
    </row>
    <row r="777" customFormat="false" ht="15" hidden="false" customHeight="false" outlineLevel="0" collapsed="false">
      <c r="A777" s="50" t="s">
        <v>1060</v>
      </c>
      <c r="B777" s="51" t="n">
        <v>45822</v>
      </c>
      <c r="C777" s="50" t="s">
        <v>168</v>
      </c>
      <c r="D777" s="39" t="str">
        <f aca="false">INDEX(Master_Customer!$B$2:$B$126,MATCH(C777,Master_Customer!$A$2:$A$126,0))</f>
        <v>JAYA LUBRICANT</v>
      </c>
      <c r="E777" s="50" t="s">
        <v>29</v>
      </c>
      <c r="F777" s="52" t="n">
        <f aca="false">SUMIFS(Data_Penjualan!$G$2:$G$5998,Data_Penjualan!$A$2:$A$5998,A777)</f>
        <v>2881900</v>
      </c>
      <c r="G777" s="39" t="n">
        <f aca="false">IF(E777="KANTOR",0,INDEX(Master_Customer!$C$2:$C$126,MATCH(C777,Master_Customer!$A$2:$A$126,0)))</f>
        <v>0</v>
      </c>
      <c r="H777" s="53" t="n">
        <f aca="false">B777+G777</f>
        <v>45822</v>
      </c>
      <c r="J777" s="39" t="str">
        <f aca="false">IF(G777=0,"Tunai",IF(I777="","Belum ditukar","Sudah ditukar"))</f>
        <v>Tunai</v>
      </c>
      <c r="K777" s="54" t="n">
        <v>2881900</v>
      </c>
      <c r="L777" s="51" t="n">
        <v>45822</v>
      </c>
      <c r="M777" s="52" t="n">
        <f aca="false">F777-K777</f>
        <v>0</v>
      </c>
      <c r="N777" s="39" t="str">
        <f aca="false">IF(M777&lt;=0,"Lunas",IF(K777&gt;0,"Sebagian","Belum Bayar"))</f>
        <v>Lunas</v>
      </c>
      <c r="O777" s="39" t="n">
        <f aca="false">IF(M777&gt;0,MAX(0,Catatan!$B$3-H777),0)</f>
        <v>0</v>
      </c>
      <c r="P777" s="39" t="str">
        <f aca="false">IF(M777&lt;=0,"Lunas",IF(Catatan!$B$3&lt;=H777,"Belum Jatuh Tempo",IF(O777&lt;=30,"1-30 hari",IF(O777&lt;=60,"31-60 hari",IF(O777&lt;=90,"61-90 hari","90+ hari")))))</f>
        <v>Lunas</v>
      </c>
      <c r="Q777" s="50"/>
      <c r="R777" s="39" t="str">
        <f aca="false">IF(M777&lt;=0,"",IF(O777&gt;60,"1-Tinggi",IF(O777&gt;30,"2-Sedang",IF(O777&gt;0,"3-Rendah","4-Pantau"))))</f>
        <v/>
      </c>
      <c r="S777" s="39" t="str">
        <f aca="false">IF(AND(M777&gt;0,O777&gt;0),O777+M777/1000000000000+ROW()/1000000000000000,"")</f>
        <v/>
      </c>
      <c r="T777" s="39" t="str">
        <f aca="false">IF(J777="Belum ditukar",ROW(),"")</f>
        <v/>
      </c>
    </row>
    <row r="778" customFormat="false" ht="15" hidden="false" customHeight="false" outlineLevel="0" collapsed="false">
      <c r="A778" s="50" t="s">
        <v>1061</v>
      </c>
      <c r="B778" s="51" t="n">
        <v>45822</v>
      </c>
      <c r="C778" s="50" t="s">
        <v>382</v>
      </c>
      <c r="D778" s="39" t="str">
        <f aca="false">INDEX(Master_Customer!$B$2:$B$126,MATCH(C778,Master_Customer!$A$2:$A$126,0))</f>
        <v>BERKAH SPAREPART</v>
      </c>
      <c r="E778" s="50" t="s">
        <v>29</v>
      </c>
      <c r="F778" s="52" t="n">
        <f aca="false">SUMIFS(Data_Penjualan!$G$2:$G$5998,Data_Penjualan!$A$2:$A$5998,A778)</f>
        <v>7505800</v>
      </c>
      <c r="G778" s="39" t="n">
        <f aca="false">IF(E778="KANTOR",0,INDEX(Master_Customer!$C$2:$C$126,MATCH(C778,Master_Customer!$A$2:$A$126,0)))</f>
        <v>30</v>
      </c>
      <c r="H778" s="53" t="n">
        <f aca="false">B778+G778</f>
        <v>45852</v>
      </c>
      <c r="I778" s="51" t="n">
        <v>45824</v>
      </c>
      <c r="J778" s="39" t="str">
        <f aca="false">IF(G778=0,"Tunai",IF(I778="","Belum ditukar","Sudah ditukar"))</f>
        <v>Sudah ditukar</v>
      </c>
      <c r="K778" s="54" t="n">
        <v>7505800</v>
      </c>
      <c r="L778" s="51" t="n">
        <v>45911</v>
      </c>
      <c r="M778" s="52" t="n">
        <f aca="false">F778-K778</f>
        <v>0</v>
      </c>
      <c r="N778" s="39" t="str">
        <f aca="false">IF(M778&lt;=0,"Lunas",IF(K778&gt;0,"Sebagian","Belum Bayar"))</f>
        <v>Lunas</v>
      </c>
      <c r="O778" s="39" t="n">
        <f aca="false">IF(M778&gt;0,MAX(0,Catatan!$B$3-H778),0)</f>
        <v>0</v>
      </c>
      <c r="P778" s="39" t="str">
        <f aca="false">IF(M778&lt;=0,"Lunas",IF(Catatan!$B$3&lt;=H778,"Belum Jatuh Tempo",IF(O778&lt;=30,"1-30 hari",IF(O778&lt;=60,"31-60 hari",IF(O778&lt;=90,"61-90 hari","90+ hari")))))</f>
        <v>Lunas</v>
      </c>
      <c r="Q778" s="50"/>
      <c r="R778" s="39" t="str">
        <f aca="false">IF(M778&lt;=0,"",IF(O778&gt;60,"1-Tinggi",IF(O778&gt;30,"2-Sedang",IF(O778&gt;0,"3-Rendah","4-Pantau"))))</f>
        <v/>
      </c>
      <c r="S778" s="39" t="str">
        <f aca="false">IF(AND(M778&gt;0,O778&gt;0),O778+M778/1000000000000+ROW()/1000000000000000,"")</f>
        <v/>
      </c>
      <c r="T778" s="39" t="str">
        <f aca="false">IF(J778="Belum ditukar",ROW(),"")</f>
        <v/>
      </c>
    </row>
    <row r="779" customFormat="false" ht="15" hidden="false" customHeight="false" outlineLevel="0" collapsed="false">
      <c r="A779" s="50" t="s">
        <v>1062</v>
      </c>
      <c r="B779" s="51" t="n">
        <v>45824</v>
      </c>
      <c r="C779" s="50" t="s">
        <v>199</v>
      </c>
      <c r="D779" s="39" t="str">
        <f aca="false">INDEX(Master_Customer!$B$2:$B$126,MATCH(C779,Master_Customer!$A$2:$A$126,0))</f>
        <v>KARYA SPAREPART</v>
      </c>
      <c r="E779" s="50" t="s">
        <v>29</v>
      </c>
      <c r="F779" s="52" t="n">
        <f aca="false">SUMIFS(Data_Penjualan!$G$2:$G$5998,Data_Penjualan!$A$2:$A$5998,A779)</f>
        <v>10586300</v>
      </c>
      <c r="G779" s="39" t="n">
        <f aca="false">IF(E779="KANTOR",0,INDEX(Master_Customer!$C$2:$C$126,MATCH(C779,Master_Customer!$A$2:$A$126,0)))</f>
        <v>45</v>
      </c>
      <c r="H779" s="53" t="n">
        <f aca="false">B779+G779</f>
        <v>45869</v>
      </c>
      <c r="I779" s="51" t="n">
        <v>45825</v>
      </c>
      <c r="J779" s="39" t="str">
        <f aca="false">IF(G779=0,"Tunai",IF(I779="","Belum ditukar","Sudah ditukar"))</f>
        <v>Sudah ditukar</v>
      </c>
      <c r="K779" s="54" t="n">
        <v>10586300</v>
      </c>
      <c r="L779" s="51" t="n">
        <v>45868</v>
      </c>
      <c r="M779" s="52" t="n">
        <f aca="false">F779-K779</f>
        <v>0</v>
      </c>
      <c r="N779" s="39" t="str">
        <f aca="false">IF(M779&lt;=0,"Lunas",IF(K779&gt;0,"Sebagian","Belum Bayar"))</f>
        <v>Lunas</v>
      </c>
      <c r="O779" s="39" t="n">
        <f aca="false">IF(M779&gt;0,MAX(0,Catatan!$B$3-H779),0)</f>
        <v>0</v>
      </c>
      <c r="P779" s="39" t="str">
        <f aca="false">IF(M779&lt;=0,"Lunas",IF(Catatan!$B$3&lt;=H779,"Belum Jatuh Tempo",IF(O779&lt;=30,"1-30 hari",IF(O779&lt;=60,"31-60 hari",IF(O779&lt;=90,"61-90 hari","90+ hari")))))</f>
        <v>Lunas</v>
      </c>
      <c r="Q779" s="50"/>
      <c r="R779" s="39" t="str">
        <f aca="false">IF(M779&lt;=0,"",IF(O779&gt;60,"1-Tinggi",IF(O779&gt;30,"2-Sedang",IF(O779&gt;0,"3-Rendah","4-Pantau"))))</f>
        <v/>
      </c>
      <c r="S779" s="39" t="str">
        <f aca="false">IF(AND(M779&gt;0,O779&gt;0),O779+M779/1000000000000+ROW()/1000000000000000,"")</f>
        <v/>
      </c>
      <c r="T779" s="39" t="str">
        <f aca="false">IF(J779="Belum ditukar",ROW(),"")</f>
        <v/>
      </c>
    </row>
    <row r="780" customFormat="false" ht="15" hidden="false" customHeight="false" outlineLevel="0" collapsed="false">
      <c r="A780" s="50" t="s">
        <v>1063</v>
      </c>
      <c r="B780" s="51" t="n">
        <v>45824</v>
      </c>
      <c r="C780" s="50" t="s">
        <v>373</v>
      </c>
      <c r="D780" s="39" t="str">
        <f aca="false">INDEX(Master_Customer!$B$2:$B$126,MATCH(C780,Master_Customer!$A$2:$A$126,0))</f>
        <v>BINTANG SPAREPART BERKAH</v>
      </c>
      <c r="E780" s="50" t="s">
        <v>32</v>
      </c>
      <c r="F780" s="52" t="n">
        <f aca="false">SUMIFS(Data_Penjualan!$G$2:$G$5998,Data_Penjualan!$A$2:$A$5998,A780)</f>
        <v>9729200</v>
      </c>
      <c r="G780" s="39" t="n">
        <f aca="false">IF(E780="KANTOR",0,INDEX(Master_Customer!$C$2:$C$126,MATCH(C780,Master_Customer!$A$2:$A$126,0)))</f>
        <v>0</v>
      </c>
      <c r="H780" s="53" t="n">
        <f aca="false">B780+G780</f>
        <v>45824</v>
      </c>
      <c r="J780" s="39" t="str">
        <f aca="false">IF(G780=0,"Tunai",IF(I780="","Belum ditukar","Sudah ditukar"))</f>
        <v>Tunai</v>
      </c>
      <c r="K780" s="54" t="n">
        <v>9729200</v>
      </c>
      <c r="L780" s="51" t="n">
        <v>45824</v>
      </c>
      <c r="M780" s="52" t="n">
        <f aca="false">F780-K780</f>
        <v>0</v>
      </c>
      <c r="N780" s="39" t="str">
        <f aca="false">IF(M780&lt;=0,"Lunas",IF(K780&gt;0,"Sebagian","Belum Bayar"))</f>
        <v>Lunas</v>
      </c>
      <c r="O780" s="39" t="n">
        <f aca="false">IF(M780&gt;0,MAX(0,Catatan!$B$3-H780),0)</f>
        <v>0</v>
      </c>
      <c r="P780" s="39" t="str">
        <f aca="false">IF(M780&lt;=0,"Lunas",IF(Catatan!$B$3&lt;=H780,"Belum Jatuh Tempo",IF(O780&lt;=30,"1-30 hari",IF(O780&lt;=60,"31-60 hari",IF(O780&lt;=90,"61-90 hari","90+ hari")))))</f>
        <v>Lunas</v>
      </c>
      <c r="Q780" s="50"/>
      <c r="R780" s="39" t="str">
        <f aca="false">IF(M780&lt;=0,"",IF(O780&gt;60,"1-Tinggi",IF(O780&gt;30,"2-Sedang",IF(O780&gt;0,"3-Rendah","4-Pantau"))))</f>
        <v/>
      </c>
      <c r="S780" s="39" t="str">
        <f aca="false">IF(AND(M780&gt;0,O780&gt;0),O780+M780/1000000000000+ROW()/1000000000000000,"")</f>
        <v/>
      </c>
      <c r="T780" s="39" t="str">
        <f aca="false">IF(J780="Belum ditukar",ROW(),"")</f>
        <v/>
      </c>
    </row>
    <row r="781" customFormat="false" ht="15" hidden="false" customHeight="false" outlineLevel="0" collapsed="false">
      <c r="A781" s="50" t="s">
        <v>1064</v>
      </c>
      <c r="B781" s="51" t="n">
        <v>45824</v>
      </c>
      <c r="C781" s="50" t="s">
        <v>225</v>
      </c>
      <c r="D781" s="39" t="str">
        <f aca="false">INDEX(Master_Customer!$B$2:$B$126,MATCH(C781,Master_Customer!$A$2:$A$126,0))</f>
        <v>KARYA LUBRICANT ABADI</v>
      </c>
      <c r="E781" s="50" t="s">
        <v>30</v>
      </c>
      <c r="F781" s="52" t="n">
        <f aca="false">SUMIFS(Data_Penjualan!$G$2:$G$5998,Data_Penjualan!$A$2:$A$5998,A781)</f>
        <v>2596200</v>
      </c>
      <c r="G781" s="39" t="n">
        <f aca="false">IF(E781="KANTOR",0,INDEX(Master_Customer!$C$2:$C$126,MATCH(C781,Master_Customer!$A$2:$A$126,0)))</f>
        <v>0</v>
      </c>
      <c r="H781" s="53" t="n">
        <f aca="false">B781+G781</f>
        <v>45824</v>
      </c>
      <c r="J781" s="39" t="str">
        <f aca="false">IF(G781=0,"Tunai",IF(I781="","Belum ditukar","Sudah ditukar"))</f>
        <v>Tunai</v>
      </c>
      <c r="K781" s="54" t="n">
        <v>2596200</v>
      </c>
      <c r="L781" s="51" t="n">
        <v>45826</v>
      </c>
      <c r="M781" s="52" t="n">
        <f aca="false">F781-K781</f>
        <v>0</v>
      </c>
      <c r="N781" s="39" t="str">
        <f aca="false">IF(M781&lt;=0,"Lunas",IF(K781&gt;0,"Sebagian","Belum Bayar"))</f>
        <v>Lunas</v>
      </c>
      <c r="O781" s="39" t="n">
        <f aca="false">IF(M781&gt;0,MAX(0,Catatan!$B$3-H781),0)</f>
        <v>0</v>
      </c>
      <c r="P781" s="39" t="str">
        <f aca="false">IF(M781&lt;=0,"Lunas",IF(Catatan!$B$3&lt;=H781,"Belum Jatuh Tempo",IF(O781&lt;=30,"1-30 hari",IF(O781&lt;=60,"31-60 hari",IF(O781&lt;=90,"61-90 hari","90+ hari")))))</f>
        <v>Lunas</v>
      </c>
      <c r="Q781" s="50"/>
      <c r="R781" s="39" t="str">
        <f aca="false">IF(M781&lt;=0,"",IF(O781&gt;60,"1-Tinggi",IF(O781&gt;30,"2-Sedang",IF(O781&gt;0,"3-Rendah","4-Pantau"))))</f>
        <v/>
      </c>
      <c r="S781" s="39" t="str">
        <f aca="false">IF(AND(M781&gt;0,O781&gt;0),O781+M781/1000000000000+ROW()/1000000000000000,"")</f>
        <v/>
      </c>
      <c r="T781" s="39" t="str">
        <f aca="false">IF(J781="Belum ditukar",ROW(),"")</f>
        <v/>
      </c>
    </row>
    <row r="782" customFormat="false" ht="15" hidden="false" customHeight="false" outlineLevel="0" collapsed="false">
      <c r="A782" s="50" t="s">
        <v>1065</v>
      </c>
      <c r="B782" s="51" t="n">
        <v>45824</v>
      </c>
      <c r="C782" s="50" t="s">
        <v>199</v>
      </c>
      <c r="D782" s="39" t="str">
        <f aca="false">INDEX(Master_Customer!$B$2:$B$126,MATCH(C782,Master_Customer!$A$2:$A$126,0))</f>
        <v>KARYA SPAREPART</v>
      </c>
      <c r="E782" s="50" t="s">
        <v>29</v>
      </c>
      <c r="F782" s="52" t="n">
        <f aca="false">SUMIFS(Data_Penjualan!$G$2:$G$5998,Data_Penjualan!$A$2:$A$5998,A782)</f>
        <v>16550100</v>
      </c>
      <c r="G782" s="39" t="n">
        <f aca="false">IF(E782="KANTOR",0,INDEX(Master_Customer!$C$2:$C$126,MATCH(C782,Master_Customer!$A$2:$A$126,0)))</f>
        <v>45</v>
      </c>
      <c r="H782" s="53" t="n">
        <f aca="false">B782+G782</f>
        <v>45869</v>
      </c>
      <c r="I782" s="51" t="n">
        <v>45829</v>
      </c>
      <c r="J782" s="39" t="str">
        <f aca="false">IF(G782=0,"Tunai",IF(I782="","Belum ditukar","Sudah ditukar"))</f>
        <v>Sudah ditukar</v>
      </c>
      <c r="K782" s="54" t="n">
        <v>16550100</v>
      </c>
      <c r="L782" s="51" t="n">
        <v>45872</v>
      </c>
      <c r="M782" s="52" t="n">
        <f aca="false">F782-K782</f>
        <v>0</v>
      </c>
      <c r="N782" s="39" t="str">
        <f aca="false">IF(M782&lt;=0,"Lunas",IF(K782&gt;0,"Sebagian","Belum Bayar"))</f>
        <v>Lunas</v>
      </c>
      <c r="O782" s="39" t="n">
        <f aca="false">IF(M782&gt;0,MAX(0,Catatan!$B$3-H782),0)</f>
        <v>0</v>
      </c>
      <c r="P782" s="39" t="str">
        <f aca="false">IF(M782&lt;=0,"Lunas",IF(Catatan!$B$3&lt;=H782,"Belum Jatuh Tempo",IF(O782&lt;=30,"1-30 hari",IF(O782&lt;=60,"31-60 hari",IF(O782&lt;=90,"61-90 hari","90+ hari")))))</f>
        <v>Lunas</v>
      </c>
      <c r="Q782" s="50"/>
      <c r="R782" s="39" t="str">
        <f aca="false">IF(M782&lt;=0,"",IF(O782&gt;60,"1-Tinggi",IF(O782&gt;30,"2-Sedang",IF(O782&gt;0,"3-Rendah","4-Pantau"))))</f>
        <v/>
      </c>
      <c r="S782" s="39" t="str">
        <f aca="false">IF(AND(M782&gt;0,O782&gt;0),O782+M782/1000000000000+ROW()/1000000000000000,"")</f>
        <v/>
      </c>
      <c r="T782" s="39" t="str">
        <f aca="false">IF(J782="Belum ditukar",ROW(),"")</f>
        <v/>
      </c>
    </row>
    <row r="783" customFormat="false" ht="15" hidden="false" customHeight="false" outlineLevel="0" collapsed="false">
      <c r="A783" s="50" t="s">
        <v>1066</v>
      </c>
      <c r="B783" s="51" t="n">
        <v>45825</v>
      </c>
      <c r="C783" s="50" t="s">
        <v>693</v>
      </c>
      <c r="D783" s="39" t="str">
        <f aca="false">INDEX(Master_Customer!$B$2:$B$126,MATCH(C783,Master_Customer!$A$2:$A$126,0))</f>
        <v>SUMBER OLI GEMILANG</v>
      </c>
      <c r="E783" s="50" t="s">
        <v>30</v>
      </c>
      <c r="F783" s="52" t="n">
        <f aca="false">SUMIFS(Data_Penjualan!$G$2:$G$5998,Data_Penjualan!$A$2:$A$5998,A783)</f>
        <v>4643000</v>
      </c>
      <c r="G783" s="39" t="n">
        <f aca="false">IF(E783="KANTOR",0,INDEX(Master_Customer!$C$2:$C$126,MATCH(C783,Master_Customer!$A$2:$A$126,0)))</f>
        <v>30</v>
      </c>
      <c r="H783" s="53" t="n">
        <f aca="false">B783+G783</f>
        <v>45855</v>
      </c>
      <c r="I783" s="51" t="n">
        <v>45830</v>
      </c>
      <c r="J783" s="39" t="str">
        <f aca="false">IF(G783=0,"Tunai",IF(I783="","Belum ditukar","Sudah ditukar"))</f>
        <v>Sudah ditukar</v>
      </c>
      <c r="K783" s="54" t="n">
        <v>4643000</v>
      </c>
      <c r="L783" s="51" t="n">
        <v>45866</v>
      </c>
      <c r="M783" s="52" t="n">
        <f aca="false">F783-K783</f>
        <v>0</v>
      </c>
      <c r="N783" s="39" t="str">
        <f aca="false">IF(M783&lt;=0,"Lunas",IF(K783&gt;0,"Sebagian","Belum Bayar"))</f>
        <v>Lunas</v>
      </c>
      <c r="O783" s="39" t="n">
        <f aca="false">IF(M783&gt;0,MAX(0,Catatan!$B$3-H783),0)</f>
        <v>0</v>
      </c>
      <c r="P783" s="39" t="str">
        <f aca="false">IF(M783&lt;=0,"Lunas",IF(Catatan!$B$3&lt;=H783,"Belum Jatuh Tempo",IF(O783&lt;=30,"1-30 hari",IF(O783&lt;=60,"31-60 hari",IF(O783&lt;=90,"61-90 hari","90+ hari")))))</f>
        <v>Lunas</v>
      </c>
      <c r="Q783" s="50"/>
      <c r="R783" s="39" t="str">
        <f aca="false">IF(M783&lt;=0,"",IF(O783&gt;60,"1-Tinggi",IF(O783&gt;30,"2-Sedang",IF(O783&gt;0,"3-Rendah","4-Pantau"))))</f>
        <v/>
      </c>
      <c r="S783" s="39" t="str">
        <f aca="false">IF(AND(M783&gt;0,O783&gt;0),O783+M783/1000000000000+ROW()/1000000000000000,"")</f>
        <v/>
      </c>
      <c r="T783" s="39" t="str">
        <f aca="false">IF(J783="Belum ditukar",ROW(),"")</f>
        <v/>
      </c>
    </row>
    <row r="784" customFormat="false" ht="15" hidden="false" customHeight="false" outlineLevel="0" collapsed="false">
      <c r="A784" s="50" t="s">
        <v>1067</v>
      </c>
      <c r="B784" s="51" t="n">
        <v>45825</v>
      </c>
      <c r="C784" s="50" t="s">
        <v>329</v>
      </c>
      <c r="D784" s="39" t="str">
        <f aca="false">INDEX(Master_Customer!$B$2:$B$126,MATCH(C784,Master_Customer!$A$2:$A$126,0))</f>
        <v>MAKMUR OLI</v>
      </c>
      <c r="E784" s="50" t="s">
        <v>28</v>
      </c>
      <c r="F784" s="52" t="n">
        <f aca="false">SUMIFS(Data_Penjualan!$G$2:$G$5998,Data_Penjualan!$A$2:$A$5998,A784)</f>
        <v>4504400</v>
      </c>
      <c r="G784" s="39" t="n">
        <f aca="false">IF(E784="KANTOR",0,INDEX(Master_Customer!$C$2:$C$126,MATCH(C784,Master_Customer!$A$2:$A$126,0)))</f>
        <v>45</v>
      </c>
      <c r="H784" s="53" t="n">
        <f aca="false">B784+G784</f>
        <v>45870</v>
      </c>
      <c r="I784" s="51" t="n">
        <v>45830</v>
      </c>
      <c r="J784" s="39" t="str">
        <f aca="false">IF(G784=0,"Tunai",IF(I784="","Belum ditukar","Sudah ditukar"))</f>
        <v>Sudah ditukar</v>
      </c>
      <c r="K784" s="54" t="n">
        <v>4504400</v>
      </c>
      <c r="L784" s="51" t="n">
        <v>45899</v>
      </c>
      <c r="M784" s="52" t="n">
        <f aca="false">F784-K784</f>
        <v>0</v>
      </c>
      <c r="N784" s="39" t="str">
        <f aca="false">IF(M784&lt;=0,"Lunas",IF(K784&gt;0,"Sebagian","Belum Bayar"))</f>
        <v>Lunas</v>
      </c>
      <c r="O784" s="39" t="n">
        <f aca="false">IF(M784&gt;0,MAX(0,Catatan!$B$3-H784),0)</f>
        <v>0</v>
      </c>
      <c r="P784" s="39" t="str">
        <f aca="false">IF(M784&lt;=0,"Lunas",IF(Catatan!$B$3&lt;=H784,"Belum Jatuh Tempo",IF(O784&lt;=30,"1-30 hari",IF(O784&lt;=60,"31-60 hari",IF(O784&lt;=90,"61-90 hari","90+ hari")))))</f>
        <v>Lunas</v>
      </c>
      <c r="Q784" s="50"/>
      <c r="R784" s="39" t="str">
        <f aca="false">IF(M784&lt;=0,"",IF(O784&gt;60,"1-Tinggi",IF(O784&gt;30,"2-Sedang",IF(O784&gt;0,"3-Rendah","4-Pantau"))))</f>
        <v/>
      </c>
      <c r="S784" s="39" t="str">
        <f aca="false">IF(AND(M784&gt;0,O784&gt;0),O784+M784/1000000000000+ROW()/1000000000000000,"")</f>
        <v/>
      </c>
      <c r="T784" s="39" t="str">
        <f aca="false">IF(J784="Belum ditukar",ROW(),"")</f>
        <v/>
      </c>
    </row>
    <row r="785" customFormat="false" ht="15" hidden="false" customHeight="false" outlineLevel="0" collapsed="false">
      <c r="A785" s="50" t="s">
        <v>1068</v>
      </c>
      <c r="B785" s="51" t="n">
        <v>45825</v>
      </c>
      <c r="C785" s="50" t="s">
        <v>195</v>
      </c>
      <c r="D785" s="39" t="str">
        <f aca="false">INDEX(Master_Customer!$B$2:$B$126,MATCH(C785,Master_Customer!$A$2:$A$126,0))</f>
        <v>KARYA LUBRICANT BINTANG</v>
      </c>
      <c r="E785" s="50" t="s">
        <v>32</v>
      </c>
      <c r="F785" s="52" t="n">
        <f aca="false">SUMIFS(Data_Penjualan!$G$2:$G$5998,Data_Penjualan!$A$2:$A$5998,A785)</f>
        <v>8292900</v>
      </c>
      <c r="G785" s="39" t="n">
        <f aca="false">IF(E785="KANTOR",0,INDEX(Master_Customer!$C$2:$C$126,MATCH(C785,Master_Customer!$A$2:$A$126,0)))</f>
        <v>0</v>
      </c>
      <c r="H785" s="53" t="n">
        <f aca="false">B785+G785</f>
        <v>45825</v>
      </c>
      <c r="J785" s="39" t="str">
        <f aca="false">IF(G785=0,"Tunai",IF(I785="","Belum ditukar","Sudah ditukar"))</f>
        <v>Tunai</v>
      </c>
      <c r="K785" s="54" t="n">
        <v>8292900</v>
      </c>
      <c r="L785" s="51" t="n">
        <v>45825</v>
      </c>
      <c r="M785" s="52" t="n">
        <f aca="false">F785-K785</f>
        <v>0</v>
      </c>
      <c r="N785" s="39" t="str">
        <f aca="false">IF(M785&lt;=0,"Lunas",IF(K785&gt;0,"Sebagian","Belum Bayar"))</f>
        <v>Lunas</v>
      </c>
      <c r="O785" s="39" t="n">
        <f aca="false">IF(M785&gt;0,MAX(0,Catatan!$B$3-H785),0)</f>
        <v>0</v>
      </c>
      <c r="P785" s="39" t="str">
        <f aca="false">IF(M785&lt;=0,"Lunas",IF(Catatan!$B$3&lt;=H785,"Belum Jatuh Tempo",IF(O785&lt;=30,"1-30 hari",IF(O785&lt;=60,"31-60 hari",IF(O785&lt;=90,"61-90 hari","90+ hari")))))</f>
        <v>Lunas</v>
      </c>
      <c r="Q785" s="50"/>
      <c r="R785" s="39" t="str">
        <f aca="false">IF(M785&lt;=0,"",IF(O785&gt;60,"1-Tinggi",IF(O785&gt;30,"2-Sedang",IF(O785&gt;0,"3-Rendah","4-Pantau"))))</f>
        <v/>
      </c>
      <c r="S785" s="39" t="str">
        <f aca="false">IF(AND(M785&gt;0,O785&gt;0),O785+M785/1000000000000+ROW()/1000000000000000,"")</f>
        <v/>
      </c>
      <c r="T785" s="39" t="str">
        <f aca="false">IF(J785="Belum ditukar",ROW(),"")</f>
        <v/>
      </c>
    </row>
    <row r="786" customFormat="false" ht="15" hidden="false" customHeight="false" outlineLevel="0" collapsed="false">
      <c r="A786" s="50" t="s">
        <v>1069</v>
      </c>
      <c r="B786" s="51" t="n">
        <v>45825</v>
      </c>
      <c r="C786" s="50" t="s">
        <v>223</v>
      </c>
      <c r="D786" s="39" t="str">
        <f aca="false">INDEX(Master_Customer!$B$2:$B$126,MATCH(C786,Master_Customer!$A$2:$A$126,0))</f>
        <v>ABADI AUTO UTAMA</v>
      </c>
      <c r="E786" s="50" t="s">
        <v>31</v>
      </c>
      <c r="F786" s="52" t="n">
        <f aca="false">SUMIFS(Data_Penjualan!$G$2:$G$5998,Data_Penjualan!$A$2:$A$5998,A786)</f>
        <v>10306000</v>
      </c>
      <c r="G786" s="39" t="n">
        <f aca="false">IF(E786="KANTOR",0,INDEX(Master_Customer!$C$2:$C$126,MATCH(C786,Master_Customer!$A$2:$A$126,0)))</f>
        <v>14</v>
      </c>
      <c r="H786" s="53" t="n">
        <f aca="false">B786+G786</f>
        <v>45839</v>
      </c>
      <c r="I786" s="51" t="n">
        <v>45829</v>
      </c>
      <c r="J786" s="39" t="str">
        <f aca="false">IF(G786=0,"Tunai",IF(I786="","Belum ditukar","Sudah ditukar"))</f>
        <v>Sudah ditukar</v>
      </c>
      <c r="K786" s="54" t="n">
        <v>10306000</v>
      </c>
      <c r="L786" s="51" t="n">
        <v>45866</v>
      </c>
      <c r="M786" s="52" t="n">
        <f aca="false">F786-K786</f>
        <v>0</v>
      </c>
      <c r="N786" s="39" t="str">
        <f aca="false">IF(M786&lt;=0,"Lunas",IF(K786&gt;0,"Sebagian","Belum Bayar"))</f>
        <v>Lunas</v>
      </c>
      <c r="O786" s="39" t="n">
        <f aca="false">IF(M786&gt;0,MAX(0,Catatan!$B$3-H786),0)</f>
        <v>0</v>
      </c>
      <c r="P786" s="39" t="str">
        <f aca="false">IF(M786&lt;=0,"Lunas",IF(Catatan!$B$3&lt;=H786,"Belum Jatuh Tempo",IF(O786&lt;=30,"1-30 hari",IF(O786&lt;=60,"31-60 hari",IF(O786&lt;=90,"61-90 hari","90+ hari")))))</f>
        <v>Lunas</v>
      </c>
      <c r="Q786" s="50"/>
      <c r="R786" s="39" t="str">
        <f aca="false">IF(M786&lt;=0,"",IF(O786&gt;60,"1-Tinggi",IF(O786&gt;30,"2-Sedang",IF(O786&gt;0,"3-Rendah","4-Pantau"))))</f>
        <v/>
      </c>
      <c r="S786" s="39" t="str">
        <f aca="false">IF(AND(M786&gt;0,O786&gt;0),O786+M786/1000000000000+ROW()/1000000000000000,"")</f>
        <v/>
      </c>
      <c r="T786" s="39" t="str">
        <f aca="false">IF(J786="Belum ditukar",ROW(),"")</f>
        <v/>
      </c>
    </row>
    <row r="787" customFormat="false" ht="15" hidden="false" customHeight="false" outlineLevel="0" collapsed="false">
      <c r="A787" s="50" t="s">
        <v>1070</v>
      </c>
      <c r="B787" s="51" t="n">
        <v>45826</v>
      </c>
      <c r="C787" s="50" t="s">
        <v>419</v>
      </c>
      <c r="D787" s="39" t="str">
        <f aca="false">INDEX(Master_Customer!$B$2:$B$126,MATCH(C787,Master_Customer!$A$2:$A$126,0))</f>
        <v>UTAMA MOTOR</v>
      </c>
      <c r="E787" s="50" t="s">
        <v>30</v>
      </c>
      <c r="F787" s="52" t="n">
        <f aca="false">SUMIFS(Data_Penjualan!$G$2:$G$5998,Data_Penjualan!$A$2:$A$5998,A787)</f>
        <v>13743600</v>
      </c>
      <c r="G787" s="39" t="n">
        <f aca="false">IF(E787="KANTOR",0,INDEX(Master_Customer!$C$2:$C$126,MATCH(C787,Master_Customer!$A$2:$A$126,0)))</f>
        <v>14</v>
      </c>
      <c r="H787" s="53" t="n">
        <f aca="false">B787+G787</f>
        <v>45840</v>
      </c>
      <c r="I787" s="51" t="n">
        <v>45827</v>
      </c>
      <c r="J787" s="39" t="str">
        <f aca="false">IF(G787=0,"Tunai",IF(I787="","Belum ditukar","Sudah ditukar"))</f>
        <v>Sudah ditukar</v>
      </c>
      <c r="K787" s="54" t="n">
        <v>13743600</v>
      </c>
      <c r="L787" s="51" t="n">
        <v>45839</v>
      </c>
      <c r="M787" s="52" t="n">
        <f aca="false">F787-K787</f>
        <v>0</v>
      </c>
      <c r="N787" s="39" t="str">
        <f aca="false">IF(M787&lt;=0,"Lunas",IF(K787&gt;0,"Sebagian","Belum Bayar"))</f>
        <v>Lunas</v>
      </c>
      <c r="O787" s="39" t="n">
        <f aca="false">IF(M787&gt;0,MAX(0,Catatan!$B$3-H787),0)</f>
        <v>0</v>
      </c>
      <c r="P787" s="39" t="str">
        <f aca="false">IF(M787&lt;=0,"Lunas",IF(Catatan!$B$3&lt;=H787,"Belum Jatuh Tempo",IF(O787&lt;=30,"1-30 hari",IF(O787&lt;=60,"31-60 hari",IF(O787&lt;=90,"61-90 hari","90+ hari")))))</f>
        <v>Lunas</v>
      </c>
      <c r="Q787" s="50"/>
      <c r="R787" s="39" t="str">
        <f aca="false">IF(M787&lt;=0,"",IF(O787&gt;60,"1-Tinggi",IF(O787&gt;30,"2-Sedang",IF(O787&gt;0,"3-Rendah","4-Pantau"))))</f>
        <v/>
      </c>
      <c r="S787" s="39" t="str">
        <f aca="false">IF(AND(M787&gt;0,O787&gt;0),O787+M787/1000000000000+ROW()/1000000000000000,"")</f>
        <v/>
      </c>
      <c r="T787" s="39" t="str">
        <f aca="false">IF(J787="Belum ditukar",ROW(),"")</f>
        <v/>
      </c>
    </row>
    <row r="788" customFormat="false" ht="15" hidden="false" customHeight="false" outlineLevel="0" collapsed="false">
      <c r="A788" s="50" t="s">
        <v>1071</v>
      </c>
      <c r="B788" s="51" t="n">
        <v>45826</v>
      </c>
      <c r="C788" s="50" t="s">
        <v>205</v>
      </c>
      <c r="D788" s="39" t="str">
        <f aca="false">INDEX(Master_Customer!$B$2:$B$126,MATCH(C788,Master_Customer!$A$2:$A$126,0))</f>
        <v>BERKAH OLI</v>
      </c>
      <c r="E788" s="50" t="s">
        <v>28</v>
      </c>
      <c r="F788" s="52" t="n">
        <f aca="false">SUMIFS(Data_Penjualan!$G$2:$G$5998,Data_Penjualan!$A$2:$A$5998,A788)</f>
        <v>10281200</v>
      </c>
      <c r="G788" s="39" t="n">
        <f aca="false">IF(E788="KANTOR",0,INDEX(Master_Customer!$C$2:$C$126,MATCH(C788,Master_Customer!$A$2:$A$126,0)))</f>
        <v>0</v>
      </c>
      <c r="H788" s="53" t="n">
        <f aca="false">B788+G788</f>
        <v>45826</v>
      </c>
      <c r="J788" s="39" t="str">
        <f aca="false">IF(G788=0,"Tunai",IF(I788="","Belum ditukar","Sudah ditukar"))</f>
        <v>Tunai</v>
      </c>
      <c r="K788" s="54" t="n">
        <v>10281200</v>
      </c>
      <c r="L788" s="51" t="n">
        <v>45826</v>
      </c>
      <c r="M788" s="52" t="n">
        <f aca="false">F788-K788</f>
        <v>0</v>
      </c>
      <c r="N788" s="39" t="str">
        <f aca="false">IF(M788&lt;=0,"Lunas",IF(K788&gt;0,"Sebagian","Belum Bayar"))</f>
        <v>Lunas</v>
      </c>
      <c r="O788" s="39" t="n">
        <f aca="false">IF(M788&gt;0,MAX(0,Catatan!$B$3-H788),0)</f>
        <v>0</v>
      </c>
      <c r="P788" s="39" t="str">
        <f aca="false">IF(M788&lt;=0,"Lunas",IF(Catatan!$B$3&lt;=H788,"Belum Jatuh Tempo",IF(O788&lt;=30,"1-30 hari",IF(O788&lt;=60,"31-60 hari",IF(O788&lt;=90,"61-90 hari","90+ hari")))))</f>
        <v>Lunas</v>
      </c>
      <c r="Q788" s="50"/>
      <c r="R788" s="39" t="str">
        <f aca="false">IF(M788&lt;=0,"",IF(O788&gt;60,"1-Tinggi",IF(O788&gt;30,"2-Sedang",IF(O788&gt;0,"3-Rendah","4-Pantau"))))</f>
        <v/>
      </c>
      <c r="S788" s="39" t="str">
        <f aca="false">IF(AND(M788&gt;0,O788&gt;0),O788+M788/1000000000000+ROW()/1000000000000000,"")</f>
        <v/>
      </c>
      <c r="T788" s="39" t="str">
        <f aca="false">IF(J788="Belum ditukar",ROW(),"")</f>
        <v/>
      </c>
    </row>
    <row r="789" customFormat="false" ht="15" hidden="false" customHeight="false" outlineLevel="0" collapsed="false">
      <c r="A789" s="50" t="s">
        <v>1072</v>
      </c>
      <c r="B789" s="51" t="n">
        <v>45826</v>
      </c>
      <c r="C789" s="50" t="s">
        <v>766</v>
      </c>
      <c r="D789" s="39" t="str">
        <f aca="false">INDEX(Master_Customer!$B$2:$B$126,MATCH(C789,Master_Customer!$A$2:$A$126,0))</f>
        <v>TIRTA SPAREPART BINTANG</v>
      </c>
      <c r="E789" s="50" t="s">
        <v>32</v>
      </c>
      <c r="F789" s="52" t="n">
        <f aca="false">SUMIFS(Data_Penjualan!$G$2:$G$5998,Data_Penjualan!$A$2:$A$5998,A789)</f>
        <v>3506900</v>
      </c>
      <c r="G789" s="39" t="n">
        <f aca="false">IF(E789="KANTOR",0,INDEX(Master_Customer!$C$2:$C$126,MATCH(C789,Master_Customer!$A$2:$A$126,0)))</f>
        <v>0</v>
      </c>
      <c r="H789" s="53" t="n">
        <f aca="false">B789+G789</f>
        <v>45826</v>
      </c>
      <c r="J789" s="39" t="str">
        <f aca="false">IF(G789=0,"Tunai",IF(I789="","Belum ditukar","Sudah ditukar"))</f>
        <v>Tunai</v>
      </c>
      <c r="K789" s="54" t="n">
        <v>3506900</v>
      </c>
      <c r="L789" s="51" t="n">
        <v>45826</v>
      </c>
      <c r="M789" s="52" t="n">
        <f aca="false">F789-K789</f>
        <v>0</v>
      </c>
      <c r="N789" s="39" t="str">
        <f aca="false">IF(M789&lt;=0,"Lunas",IF(K789&gt;0,"Sebagian","Belum Bayar"))</f>
        <v>Lunas</v>
      </c>
      <c r="O789" s="39" t="n">
        <f aca="false">IF(M789&gt;0,MAX(0,Catatan!$B$3-H789),0)</f>
        <v>0</v>
      </c>
      <c r="P789" s="39" t="str">
        <f aca="false">IF(M789&lt;=0,"Lunas",IF(Catatan!$B$3&lt;=H789,"Belum Jatuh Tempo",IF(O789&lt;=30,"1-30 hari",IF(O789&lt;=60,"31-60 hari",IF(O789&lt;=90,"61-90 hari","90+ hari")))))</f>
        <v>Lunas</v>
      </c>
      <c r="Q789" s="50"/>
      <c r="R789" s="39" t="str">
        <f aca="false">IF(M789&lt;=0,"",IF(O789&gt;60,"1-Tinggi",IF(O789&gt;30,"2-Sedang",IF(O789&gt;0,"3-Rendah","4-Pantau"))))</f>
        <v/>
      </c>
      <c r="S789" s="39" t="str">
        <f aca="false">IF(AND(M789&gt;0,O789&gt;0),O789+M789/1000000000000+ROW()/1000000000000000,"")</f>
        <v/>
      </c>
      <c r="T789" s="39" t="str">
        <f aca="false">IF(J789="Belum ditukar",ROW(),"")</f>
        <v/>
      </c>
    </row>
    <row r="790" customFormat="false" ht="15" hidden="false" customHeight="false" outlineLevel="0" collapsed="false">
      <c r="A790" s="50" t="s">
        <v>1073</v>
      </c>
      <c r="B790" s="51" t="n">
        <v>45826</v>
      </c>
      <c r="C790" s="50" t="s">
        <v>566</v>
      </c>
      <c r="D790" s="39" t="str">
        <f aca="false">INDEX(Master_Customer!$B$2:$B$126,MATCH(C790,Master_Customer!$A$2:$A$126,0))</f>
        <v>UTAMA OLI SUMBER</v>
      </c>
      <c r="E790" s="50" t="s">
        <v>28</v>
      </c>
      <c r="F790" s="52" t="n">
        <f aca="false">SUMIFS(Data_Penjualan!$G$2:$G$5998,Data_Penjualan!$A$2:$A$5998,A790)</f>
        <v>4643000</v>
      </c>
      <c r="G790" s="39" t="n">
        <f aca="false">IF(E790="KANTOR",0,INDEX(Master_Customer!$C$2:$C$126,MATCH(C790,Master_Customer!$A$2:$A$126,0)))</f>
        <v>14</v>
      </c>
      <c r="H790" s="53" t="n">
        <f aca="false">B790+G790</f>
        <v>45840</v>
      </c>
      <c r="I790" s="51" t="n">
        <v>45829</v>
      </c>
      <c r="J790" s="39" t="str">
        <f aca="false">IF(G790=0,"Tunai",IF(I790="","Belum ditukar","Sudah ditukar"))</f>
        <v>Sudah ditukar</v>
      </c>
      <c r="K790" s="54" t="n">
        <v>4643000</v>
      </c>
      <c r="L790" s="51" t="n">
        <v>45846</v>
      </c>
      <c r="M790" s="52" t="n">
        <f aca="false">F790-K790</f>
        <v>0</v>
      </c>
      <c r="N790" s="39" t="str">
        <f aca="false">IF(M790&lt;=0,"Lunas",IF(K790&gt;0,"Sebagian","Belum Bayar"))</f>
        <v>Lunas</v>
      </c>
      <c r="O790" s="39" t="n">
        <f aca="false">IF(M790&gt;0,MAX(0,Catatan!$B$3-H790),0)</f>
        <v>0</v>
      </c>
      <c r="P790" s="39" t="str">
        <f aca="false">IF(M790&lt;=0,"Lunas",IF(Catatan!$B$3&lt;=H790,"Belum Jatuh Tempo",IF(O790&lt;=30,"1-30 hari",IF(O790&lt;=60,"31-60 hari",IF(O790&lt;=90,"61-90 hari","90+ hari")))))</f>
        <v>Lunas</v>
      </c>
      <c r="Q790" s="50"/>
      <c r="R790" s="39" t="str">
        <f aca="false">IF(M790&lt;=0,"",IF(O790&gt;60,"1-Tinggi",IF(O790&gt;30,"2-Sedang",IF(O790&gt;0,"3-Rendah","4-Pantau"))))</f>
        <v/>
      </c>
      <c r="S790" s="39" t="str">
        <f aca="false">IF(AND(M790&gt;0,O790&gt;0),O790+M790/1000000000000+ROW()/1000000000000000,"")</f>
        <v/>
      </c>
      <c r="T790" s="39" t="str">
        <f aca="false">IF(J790="Belum ditukar",ROW(),"")</f>
        <v/>
      </c>
    </row>
    <row r="791" customFormat="false" ht="15" hidden="false" customHeight="false" outlineLevel="0" collapsed="false">
      <c r="A791" s="50" t="s">
        <v>1074</v>
      </c>
      <c r="B791" s="51" t="n">
        <v>45826</v>
      </c>
      <c r="C791" s="50" t="s">
        <v>188</v>
      </c>
      <c r="D791" s="39" t="str">
        <f aca="false">INDEX(Master_Customer!$B$2:$B$126,MATCH(C791,Master_Customer!$A$2:$A$126,0))</f>
        <v>MAJU GARAGE TIRTA</v>
      </c>
      <c r="E791" s="50" t="s">
        <v>32</v>
      </c>
      <c r="F791" s="52" t="n">
        <f aca="false">SUMIFS(Data_Penjualan!$G$2:$G$5998,Data_Penjualan!$A$2:$A$5998,A791)</f>
        <v>9196500</v>
      </c>
      <c r="G791" s="39" t="n">
        <f aca="false">IF(E791="KANTOR",0,INDEX(Master_Customer!$C$2:$C$126,MATCH(C791,Master_Customer!$A$2:$A$126,0)))</f>
        <v>0</v>
      </c>
      <c r="H791" s="53" t="n">
        <f aca="false">B791+G791</f>
        <v>45826</v>
      </c>
      <c r="J791" s="39" t="str">
        <f aca="false">IF(G791=0,"Tunai",IF(I791="","Belum ditukar","Sudah ditukar"))</f>
        <v>Tunai</v>
      </c>
      <c r="K791" s="54" t="n">
        <v>9196500</v>
      </c>
      <c r="L791" s="51" t="n">
        <v>45826</v>
      </c>
      <c r="M791" s="52" t="n">
        <f aca="false">F791-K791</f>
        <v>0</v>
      </c>
      <c r="N791" s="39" t="str">
        <f aca="false">IF(M791&lt;=0,"Lunas",IF(K791&gt;0,"Sebagian","Belum Bayar"))</f>
        <v>Lunas</v>
      </c>
      <c r="O791" s="39" t="n">
        <f aca="false">IF(M791&gt;0,MAX(0,Catatan!$B$3-H791),0)</f>
        <v>0</v>
      </c>
      <c r="P791" s="39" t="str">
        <f aca="false">IF(M791&lt;=0,"Lunas",IF(Catatan!$B$3&lt;=H791,"Belum Jatuh Tempo",IF(O791&lt;=30,"1-30 hari",IF(O791&lt;=60,"31-60 hari",IF(O791&lt;=90,"61-90 hari","90+ hari")))))</f>
        <v>Lunas</v>
      </c>
      <c r="Q791" s="50"/>
      <c r="R791" s="39" t="str">
        <f aca="false">IF(M791&lt;=0,"",IF(O791&gt;60,"1-Tinggi",IF(O791&gt;30,"2-Sedang",IF(O791&gt;0,"3-Rendah","4-Pantau"))))</f>
        <v/>
      </c>
      <c r="S791" s="39" t="str">
        <f aca="false">IF(AND(M791&gt;0,O791&gt;0),O791+M791/1000000000000+ROW()/1000000000000000,"")</f>
        <v/>
      </c>
      <c r="T791" s="39" t="str">
        <f aca="false">IF(J791="Belum ditukar",ROW(),"")</f>
        <v/>
      </c>
    </row>
    <row r="792" customFormat="false" ht="15" hidden="false" customHeight="false" outlineLevel="0" collapsed="false">
      <c r="A792" s="50" t="s">
        <v>1075</v>
      </c>
      <c r="B792" s="51" t="n">
        <v>45826</v>
      </c>
      <c r="C792" s="50" t="s">
        <v>197</v>
      </c>
      <c r="D792" s="39" t="str">
        <f aca="false">INDEX(Master_Customer!$B$2:$B$126,MATCH(C792,Master_Customer!$A$2:$A$126,0))</f>
        <v>UTAMA LUBRICANT HARAPAN</v>
      </c>
      <c r="E792" s="50" t="s">
        <v>32</v>
      </c>
      <c r="F792" s="52" t="n">
        <f aca="false">SUMIFS(Data_Penjualan!$G$2:$G$5998,Data_Penjualan!$A$2:$A$5998,A792)</f>
        <v>10108300</v>
      </c>
      <c r="G792" s="39" t="n">
        <f aca="false">IF(E792="KANTOR",0,INDEX(Master_Customer!$C$2:$C$126,MATCH(C792,Master_Customer!$A$2:$A$126,0)))</f>
        <v>0</v>
      </c>
      <c r="H792" s="53" t="n">
        <f aca="false">B792+G792</f>
        <v>45826</v>
      </c>
      <c r="J792" s="39" t="str">
        <f aca="false">IF(G792=0,"Tunai",IF(I792="","Belum ditukar","Sudah ditukar"))</f>
        <v>Tunai</v>
      </c>
      <c r="K792" s="54" t="n">
        <v>10108300</v>
      </c>
      <c r="L792" s="51" t="n">
        <v>45826</v>
      </c>
      <c r="M792" s="52" t="n">
        <f aca="false">F792-K792</f>
        <v>0</v>
      </c>
      <c r="N792" s="39" t="str">
        <f aca="false">IF(M792&lt;=0,"Lunas",IF(K792&gt;0,"Sebagian","Belum Bayar"))</f>
        <v>Lunas</v>
      </c>
      <c r="O792" s="39" t="n">
        <f aca="false">IF(M792&gt;0,MAX(0,Catatan!$B$3-H792),0)</f>
        <v>0</v>
      </c>
      <c r="P792" s="39" t="str">
        <f aca="false">IF(M792&lt;=0,"Lunas",IF(Catatan!$B$3&lt;=H792,"Belum Jatuh Tempo",IF(O792&lt;=30,"1-30 hari",IF(O792&lt;=60,"31-60 hari",IF(O792&lt;=90,"61-90 hari","90+ hari")))))</f>
        <v>Lunas</v>
      </c>
      <c r="Q792" s="50"/>
      <c r="R792" s="39" t="str">
        <f aca="false">IF(M792&lt;=0,"",IF(O792&gt;60,"1-Tinggi",IF(O792&gt;30,"2-Sedang",IF(O792&gt;0,"3-Rendah","4-Pantau"))))</f>
        <v/>
      </c>
      <c r="S792" s="39" t="str">
        <f aca="false">IF(AND(M792&gt;0,O792&gt;0),O792+M792/1000000000000+ROW()/1000000000000000,"")</f>
        <v/>
      </c>
      <c r="T792" s="39" t="str">
        <f aca="false">IF(J792="Belum ditukar",ROW(),"")</f>
        <v/>
      </c>
    </row>
    <row r="793" customFormat="false" ht="15" hidden="false" customHeight="false" outlineLevel="0" collapsed="false">
      <c r="A793" s="50" t="s">
        <v>1076</v>
      </c>
      <c r="B793" s="51" t="n">
        <v>45826</v>
      </c>
      <c r="C793" s="50" t="s">
        <v>205</v>
      </c>
      <c r="D793" s="39" t="str">
        <f aca="false">INDEX(Master_Customer!$B$2:$B$126,MATCH(C793,Master_Customer!$A$2:$A$126,0))</f>
        <v>BERKAH OLI</v>
      </c>
      <c r="E793" s="50" t="s">
        <v>28</v>
      </c>
      <c r="F793" s="52" t="n">
        <f aca="false">SUMIFS(Data_Penjualan!$G$2:$G$5998,Data_Penjualan!$A$2:$A$5998,A793)</f>
        <v>2621000</v>
      </c>
      <c r="G793" s="39" t="n">
        <f aca="false">IF(E793="KANTOR",0,INDEX(Master_Customer!$C$2:$C$126,MATCH(C793,Master_Customer!$A$2:$A$126,0)))</f>
        <v>0</v>
      </c>
      <c r="H793" s="53" t="n">
        <f aca="false">B793+G793</f>
        <v>45826</v>
      </c>
      <c r="J793" s="39" t="str">
        <f aca="false">IF(G793=0,"Tunai",IF(I793="","Belum ditukar","Sudah ditukar"))</f>
        <v>Tunai</v>
      </c>
      <c r="K793" s="54" t="n">
        <v>2621000</v>
      </c>
      <c r="L793" s="51" t="n">
        <v>45826</v>
      </c>
      <c r="M793" s="52" t="n">
        <f aca="false">F793-K793</f>
        <v>0</v>
      </c>
      <c r="N793" s="39" t="str">
        <f aca="false">IF(M793&lt;=0,"Lunas",IF(K793&gt;0,"Sebagian","Belum Bayar"))</f>
        <v>Lunas</v>
      </c>
      <c r="O793" s="39" t="n">
        <f aca="false">IF(M793&gt;0,MAX(0,Catatan!$B$3-H793),0)</f>
        <v>0</v>
      </c>
      <c r="P793" s="39" t="str">
        <f aca="false">IF(M793&lt;=0,"Lunas",IF(Catatan!$B$3&lt;=H793,"Belum Jatuh Tempo",IF(O793&lt;=30,"1-30 hari",IF(O793&lt;=60,"31-60 hari",IF(O793&lt;=90,"61-90 hari","90+ hari")))))</f>
        <v>Lunas</v>
      </c>
      <c r="Q793" s="50"/>
      <c r="R793" s="39" t="str">
        <f aca="false">IF(M793&lt;=0,"",IF(O793&gt;60,"1-Tinggi",IF(O793&gt;30,"2-Sedang",IF(O793&gt;0,"3-Rendah","4-Pantau"))))</f>
        <v/>
      </c>
      <c r="S793" s="39" t="str">
        <f aca="false">IF(AND(M793&gt;0,O793&gt;0),O793+M793/1000000000000+ROW()/1000000000000000,"")</f>
        <v/>
      </c>
      <c r="T793" s="39" t="str">
        <f aca="false">IF(J793="Belum ditukar",ROW(),"")</f>
        <v/>
      </c>
    </row>
    <row r="794" customFormat="false" ht="15" hidden="false" customHeight="false" outlineLevel="0" collapsed="false">
      <c r="A794" s="50" t="s">
        <v>1077</v>
      </c>
      <c r="B794" s="51" t="n">
        <v>45826</v>
      </c>
      <c r="C794" s="50" t="s">
        <v>261</v>
      </c>
      <c r="D794" s="39" t="str">
        <f aca="false">INDEX(Master_Customer!$B$2:$B$126,MATCH(C794,Master_Customer!$A$2:$A$126,0))</f>
        <v>SUMBER MOTOR UTAMA</v>
      </c>
      <c r="E794" s="50" t="s">
        <v>28</v>
      </c>
      <c r="F794" s="52" t="n">
        <f aca="false">SUMIFS(Data_Penjualan!$G$2:$G$5998,Data_Penjualan!$A$2:$A$5998,A794)</f>
        <v>13691400</v>
      </c>
      <c r="G794" s="39" t="n">
        <f aca="false">IF(E794="KANTOR",0,INDEX(Master_Customer!$C$2:$C$126,MATCH(C794,Master_Customer!$A$2:$A$126,0)))</f>
        <v>0</v>
      </c>
      <c r="H794" s="53" t="n">
        <f aca="false">B794+G794</f>
        <v>45826</v>
      </c>
      <c r="J794" s="39" t="str">
        <f aca="false">IF(G794=0,"Tunai",IF(I794="","Belum ditukar","Sudah ditukar"))</f>
        <v>Tunai</v>
      </c>
      <c r="K794" s="54" t="n">
        <v>13691400</v>
      </c>
      <c r="L794" s="51" t="n">
        <v>45826</v>
      </c>
      <c r="M794" s="52" t="n">
        <f aca="false">F794-K794</f>
        <v>0</v>
      </c>
      <c r="N794" s="39" t="str">
        <f aca="false">IF(M794&lt;=0,"Lunas",IF(K794&gt;0,"Sebagian","Belum Bayar"))</f>
        <v>Lunas</v>
      </c>
      <c r="O794" s="39" t="n">
        <f aca="false">IF(M794&gt;0,MAX(0,Catatan!$B$3-H794),0)</f>
        <v>0</v>
      </c>
      <c r="P794" s="39" t="str">
        <f aca="false">IF(M794&lt;=0,"Lunas",IF(Catatan!$B$3&lt;=H794,"Belum Jatuh Tempo",IF(O794&lt;=30,"1-30 hari",IF(O794&lt;=60,"31-60 hari",IF(O794&lt;=90,"61-90 hari","90+ hari")))))</f>
        <v>Lunas</v>
      </c>
      <c r="Q794" s="50"/>
      <c r="R794" s="39" t="str">
        <f aca="false">IF(M794&lt;=0,"",IF(O794&gt;60,"1-Tinggi",IF(O794&gt;30,"2-Sedang",IF(O794&gt;0,"3-Rendah","4-Pantau"))))</f>
        <v/>
      </c>
      <c r="S794" s="39" t="str">
        <f aca="false">IF(AND(M794&gt;0,O794&gt;0),O794+M794/1000000000000+ROW()/1000000000000000,"")</f>
        <v/>
      </c>
      <c r="T794" s="39" t="str">
        <f aca="false">IF(J794="Belum ditukar",ROW(),"")</f>
        <v/>
      </c>
    </row>
    <row r="795" customFormat="false" ht="15" hidden="false" customHeight="false" outlineLevel="0" collapsed="false">
      <c r="A795" s="50" t="s">
        <v>1078</v>
      </c>
      <c r="B795" s="51" t="n">
        <v>45826</v>
      </c>
      <c r="C795" s="50" t="s">
        <v>223</v>
      </c>
      <c r="D795" s="39" t="str">
        <f aca="false">INDEX(Master_Customer!$B$2:$B$126,MATCH(C795,Master_Customer!$A$2:$A$126,0))</f>
        <v>ABADI AUTO UTAMA</v>
      </c>
      <c r="E795" s="50" t="s">
        <v>32</v>
      </c>
      <c r="F795" s="52" t="n">
        <f aca="false">SUMIFS(Data_Penjualan!$G$2:$G$5998,Data_Penjualan!$A$2:$A$5998,A795)</f>
        <v>5158300</v>
      </c>
      <c r="G795" s="39" t="n">
        <f aca="false">IF(E795="KANTOR",0,INDEX(Master_Customer!$C$2:$C$126,MATCH(C795,Master_Customer!$A$2:$A$126,0)))</f>
        <v>0</v>
      </c>
      <c r="H795" s="53" t="n">
        <f aca="false">B795+G795</f>
        <v>45826</v>
      </c>
      <c r="J795" s="39" t="str">
        <f aca="false">IF(G795=0,"Tunai",IF(I795="","Belum ditukar","Sudah ditukar"))</f>
        <v>Tunai</v>
      </c>
      <c r="K795" s="54" t="n">
        <v>5158300</v>
      </c>
      <c r="L795" s="51" t="n">
        <v>45826</v>
      </c>
      <c r="M795" s="52" t="n">
        <f aca="false">F795-K795</f>
        <v>0</v>
      </c>
      <c r="N795" s="39" t="str">
        <f aca="false">IF(M795&lt;=0,"Lunas",IF(K795&gt;0,"Sebagian","Belum Bayar"))</f>
        <v>Lunas</v>
      </c>
      <c r="O795" s="39" t="n">
        <f aca="false">IF(M795&gt;0,MAX(0,Catatan!$B$3-H795),0)</f>
        <v>0</v>
      </c>
      <c r="P795" s="39" t="str">
        <f aca="false">IF(M795&lt;=0,"Lunas",IF(Catatan!$B$3&lt;=H795,"Belum Jatuh Tempo",IF(O795&lt;=30,"1-30 hari",IF(O795&lt;=60,"31-60 hari",IF(O795&lt;=90,"61-90 hari","90+ hari")))))</f>
        <v>Lunas</v>
      </c>
      <c r="Q795" s="50"/>
      <c r="R795" s="39" t="str">
        <f aca="false">IF(M795&lt;=0,"",IF(O795&gt;60,"1-Tinggi",IF(O795&gt;30,"2-Sedang",IF(O795&gt;0,"3-Rendah","4-Pantau"))))</f>
        <v/>
      </c>
      <c r="S795" s="39" t="str">
        <f aca="false">IF(AND(M795&gt;0,O795&gt;0),O795+M795/1000000000000+ROW()/1000000000000000,"")</f>
        <v/>
      </c>
      <c r="T795" s="39" t="str">
        <f aca="false">IF(J795="Belum ditukar",ROW(),"")</f>
        <v/>
      </c>
    </row>
    <row r="796" customFormat="false" ht="15" hidden="false" customHeight="false" outlineLevel="0" collapsed="false">
      <c r="A796" s="50" t="s">
        <v>1079</v>
      </c>
      <c r="B796" s="51" t="n">
        <v>45827</v>
      </c>
      <c r="C796" s="50" t="s">
        <v>296</v>
      </c>
      <c r="D796" s="39" t="str">
        <f aca="false">INDEX(Master_Customer!$B$2:$B$126,MATCH(C796,Master_Customer!$A$2:$A$126,0))</f>
        <v>KARYA LUBRICANT MAJU</v>
      </c>
      <c r="E796" s="50" t="s">
        <v>29</v>
      </c>
      <c r="F796" s="52" t="n">
        <f aca="false">SUMIFS(Data_Penjualan!$G$2:$G$5998,Data_Penjualan!$A$2:$A$5998,A796)</f>
        <v>15458400</v>
      </c>
      <c r="G796" s="39" t="n">
        <f aca="false">IF(E796="KANTOR",0,INDEX(Master_Customer!$C$2:$C$126,MATCH(C796,Master_Customer!$A$2:$A$126,0)))</f>
        <v>14</v>
      </c>
      <c r="H796" s="53" t="n">
        <f aca="false">B796+G796</f>
        <v>45841</v>
      </c>
      <c r="I796" s="51" t="n">
        <v>45830</v>
      </c>
      <c r="J796" s="39" t="str">
        <f aca="false">IF(G796=0,"Tunai",IF(I796="","Belum ditukar","Sudah ditukar"))</f>
        <v>Sudah ditukar</v>
      </c>
      <c r="K796" s="54" t="n">
        <v>15458400</v>
      </c>
      <c r="L796" s="51" t="n">
        <v>45839</v>
      </c>
      <c r="M796" s="52" t="n">
        <f aca="false">F796-K796</f>
        <v>0</v>
      </c>
      <c r="N796" s="39" t="str">
        <f aca="false">IF(M796&lt;=0,"Lunas",IF(K796&gt;0,"Sebagian","Belum Bayar"))</f>
        <v>Lunas</v>
      </c>
      <c r="O796" s="39" t="n">
        <f aca="false">IF(M796&gt;0,MAX(0,Catatan!$B$3-H796),0)</f>
        <v>0</v>
      </c>
      <c r="P796" s="39" t="str">
        <f aca="false">IF(M796&lt;=0,"Lunas",IF(Catatan!$B$3&lt;=H796,"Belum Jatuh Tempo",IF(O796&lt;=30,"1-30 hari",IF(O796&lt;=60,"31-60 hari",IF(O796&lt;=90,"61-90 hari","90+ hari")))))</f>
        <v>Lunas</v>
      </c>
      <c r="Q796" s="50"/>
      <c r="R796" s="39" t="str">
        <f aca="false">IF(M796&lt;=0,"",IF(O796&gt;60,"1-Tinggi",IF(O796&gt;30,"2-Sedang",IF(O796&gt;0,"3-Rendah","4-Pantau"))))</f>
        <v/>
      </c>
      <c r="S796" s="39" t="str">
        <f aca="false">IF(AND(M796&gt;0,O796&gt;0),O796+M796/1000000000000+ROW()/1000000000000000,"")</f>
        <v/>
      </c>
      <c r="T796" s="39" t="str">
        <f aca="false">IF(J796="Belum ditukar",ROW(),"")</f>
        <v/>
      </c>
    </row>
    <row r="797" customFormat="false" ht="15" hidden="false" customHeight="false" outlineLevel="0" collapsed="false">
      <c r="A797" s="50" t="s">
        <v>1080</v>
      </c>
      <c r="B797" s="51" t="n">
        <v>45827</v>
      </c>
      <c r="C797" s="50" t="s">
        <v>491</v>
      </c>
      <c r="D797" s="39" t="str">
        <f aca="false">INDEX(Master_Customer!$B$2:$B$126,MATCH(C797,Master_Customer!$A$2:$A$126,0))</f>
        <v>SINAR SERVICE</v>
      </c>
      <c r="E797" s="50" t="s">
        <v>31</v>
      </c>
      <c r="F797" s="52" t="n">
        <f aca="false">SUMIFS(Data_Penjualan!$G$2:$G$5998,Data_Penjualan!$A$2:$A$5998,A797)</f>
        <v>6340800</v>
      </c>
      <c r="G797" s="39" t="n">
        <f aca="false">IF(E797="KANTOR",0,INDEX(Master_Customer!$C$2:$C$126,MATCH(C797,Master_Customer!$A$2:$A$126,0)))</f>
        <v>0</v>
      </c>
      <c r="H797" s="53" t="n">
        <f aca="false">B797+G797</f>
        <v>45827</v>
      </c>
      <c r="J797" s="39" t="str">
        <f aca="false">IF(G797=0,"Tunai",IF(I797="","Belum ditukar","Sudah ditukar"))</f>
        <v>Tunai</v>
      </c>
      <c r="K797" s="54" t="n">
        <v>6340800</v>
      </c>
      <c r="L797" s="51" t="n">
        <v>45828</v>
      </c>
      <c r="M797" s="52" t="n">
        <f aca="false">F797-K797</f>
        <v>0</v>
      </c>
      <c r="N797" s="39" t="str">
        <f aca="false">IF(M797&lt;=0,"Lunas",IF(K797&gt;0,"Sebagian","Belum Bayar"))</f>
        <v>Lunas</v>
      </c>
      <c r="O797" s="39" t="n">
        <f aca="false">IF(M797&gt;0,MAX(0,Catatan!$B$3-H797),0)</f>
        <v>0</v>
      </c>
      <c r="P797" s="39" t="str">
        <f aca="false">IF(M797&lt;=0,"Lunas",IF(Catatan!$B$3&lt;=H797,"Belum Jatuh Tempo",IF(O797&lt;=30,"1-30 hari",IF(O797&lt;=60,"31-60 hari",IF(O797&lt;=90,"61-90 hari","90+ hari")))))</f>
        <v>Lunas</v>
      </c>
      <c r="Q797" s="50"/>
      <c r="R797" s="39" t="str">
        <f aca="false">IF(M797&lt;=0,"",IF(O797&gt;60,"1-Tinggi",IF(O797&gt;30,"2-Sedang",IF(O797&gt;0,"3-Rendah","4-Pantau"))))</f>
        <v/>
      </c>
      <c r="S797" s="39" t="str">
        <f aca="false">IF(AND(M797&gt;0,O797&gt;0),O797+M797/1000000000000+ROW()/1000000000000000,"")</f>
        <v/>
      </c>
      <c r="T797" s="39" t="str">
        <f aca="false">IF(J797="Belum ditukar",ROW(),"")</f>
        <v/>
      </c>
    </row>
    <row r="798" customFormat="false" ht="15" hidden="false" customHeight="false" outlineLevel="0" collapsed="false">
      <c r="A798" s="50" t="s">
        <v>1081</v>
      </c>
      <c r="B798" s="51" t="n">
        <v>45827</v>
      </c>
      <c r="C798" s="50" t="s">
        <v>237</v>
      </c>
      <c r="D798" s="39" t="str">
        <f aca="false">INDEX(Master_Customer!$B$2:$B$126,MATCH(C798,Master_Customer!$A$2:$A$126,0))</f>
        <v>SINAR SPAREPART</v>
      </c>
      <c r="E798" s="50" t="s">
        <v>32</v>
      </c>
      <c r="F798" s="52" t="n">
        <f aca="false">SUMIFS(Data_Penjualan!$G$2:$G$5998,Data_Penjualan!$A$2:$A$5998,A798)</f>
        <v>1480300</v>
      </c>
      <c r="G798" s="39" t="n">
        <f aca="false">IF(E798="KANTOR",0,INDEX(Master_Customer!$C$2:$C$126,MATCH(C798,Master_Customer!$A$2:$A$126,0)))</f>
        <v>0</v>
      </c>
      <c r="H798" s="53" t="n">
        <f aca="false">B798+G798</f>
        <v>45827</v>
      </c>
      <c r="J798" s="39" t="str">
        <f aca="false">IF(G798=0,"Tunai",IF(I798="","Belum ditukar","Sudah ditukar"))</f>
        <v>Tunai</v>
      </c>
      <c r="K798" s="54" t="n">
        <v>1480300</v>
      </c>
      <c r="L798" s="51" t="n">
        <v>45829</v>
      </c>
      <c r="M798" s="52" t="n">
        <f aca="false">F798-K798</f>
        <v>0</v>
      </c>
      <c r="N798" s="39" t="str">
        <f aca="false">IF(M798&lt;=0,"Lunas",IF(K798&gt;0,"Sebagian","Belum Bayar"))</f>
        <v>Lunas</v>
      </c>
      <c r="O798" s="39" t="n">
        <f aca="false">IF(M798&gt;0,MAX(0,Catatan!$B$3-H798),0)</f>
        <v>0</v>
      </c>
      <c r="P798" s="39" t="str">
        <f aca="false">IF(M798&lt;=0,"Lunas",IF(Catatan!$B$3&lt;=H798,"Belum Jatuh Tempo",IF(O798&lt;=30,"1-30 hari",IF(O798&lt;=60,"31-60 hari",IF(O798&lt;=90,"61-90 hari","90+ hari")))))</f>
        <v>Lunas</v>
      </c>
      <c r="Q798" s="50"/>
      <c r="R798" s="39" t="str">
        <f aca="false">IF(M798&lt;=0,"",IF(O798&gt;60,"1-Tinggi",IF(O798&gt;30,"2-Sedang",IF(O798&gt;0,"3-Rendah","4-Pantau"))))</f>
        <v/>
      </c>
      <c r="S798" s="39" t="str">
        <f aca="false">IF(AND(M798&gt;0,O798&gt;0),O798+M798/1000000000000+ROW()/1000000000000000,"")</f>
        <v/>
      </c>
      <c r="T798" s="39" t="str">
        <f aca="false">IF(J798="Belum ditukar",ROW(),"")</f>
        <v/>
      </c>
    </row>
    <row r="799" customFormat="false" ht="15" hidden="false" customHeight="false" outlineLevel="0" collapsed="false">
      <c r="A799" s="50" t="s">
        <v>1082</v>
      </c>
      <c r="B799" s="51" t="n">
        <v>45827</v>
      </c>
      <c r="C799" s="50" t="s">
        <v>562</v>
      </c>
      <c r="D799" s="39" t="str">
        <f aca="false">INDEX(Master_Customer!$B$2:$B$126,MATCH(C799,Master_Customer!$A$2:$A$126,0))</f>
        <v>BERKAH SERVICE SENTOSA</v>
      </c>
      <c r="E799" s="50" t="s">
        <v>28</v>
      </c>
      <c r="F799" s="52" t="n">
        <f aca="false">SUMIFS(Data_Penjualan!$G$2:$G$5998,Data_Penjualan!$A$2:$A$5998,A799)</f>
        <v>4036700</v>
      </c>
      <c r="G799" s="39" t="n">
        <f aca="false">IF(E799="KANTOR",0,INDEX(Master_Customer!$C$2:$C$126,MATCH(C799,Master_Customer!$A$2:$A$126,0)))</f>
        <v>14</v>
      </c>
      <c r="H799" s="53" t="n">
        <f aca="false">B799+G799</f>
        <v>45841</v>
      </c>
      <c r="I799" s="51" t="n">
        <v>45831</v>
      </c>
      <c r="J799" s="39" t="str">
        <f aca="false">IF(G799=0,"Tunai",IF(I799="","Belum ditukar","Sudah ditukar"))</f>
        <v>Sudah ditukar</v>
      </c>
      <c r="K799" s="54" t="n">
        <v>4036700</v>
      </c>
      <c r="L799" s="51" t="n">
        <v>45860</v>
      </c>
      <c r="M799" s="52" t="n">
        <f aca="false">F799-K799</f>
        <v>0</v>
      </c>
      <c r="N799" s="39" t="str">
        <f aca="false">IF(M799&lt;=0,"Lunas",IF(K799&gt;0,"Sebagian","Belum Bayar"))</f>
        <v>Lunas</v>
      </c>
      <c r="O799" s="39" t="n">
        <f aca="false">IF(M799&gt;0,MAX(0,Catatan!$B$3-H799),0)</f>
        <v>0</v>
      </c>
      <c r="P799" s="39" t="str">
        <f aca="false">IF(M799&lt;=0,"Lunas",IF(Catatan!$B$3&lt;=H799,"Belum Jatuh Tempo",IF(O799&lt;=30,"1-30 hari",IF(O799&lt;=60,"31-60 hari",IF(O799&lt;=90,"61-90 hari","90+ hari")))))</f>
        <v>Lunas</v>
      </c>
      <c r="Q799" s="50"/>
      <c r="R799" s="39" t="str">
        <f aca="false">IF(M799&lt;=0,"",IF(O799&gt;60,"1-Tinggi",IF(O799&gt;30,"2-Sedang",IF(O799&gt;0,"3-Rendah","4-Pantau"))))</f>
        <v/>
      </c>
      <c r="S799" s="39" t="str">
        <f aca="false">IF(AND(M799&gt;0,O799&gt;0),O799+M799/1000000000000+ROW()/1000000000000000,"")</f>
        <v/>
      </c>
      <c r="T799" s="39" t="str">
        <f aca="false">IF(J799="Belum ditukar",ROW(),"")</f>
        <v/>
      </c>
    </row>
    <row r="800" customFormat="false" ht="15" hidden="false" customHeight="false" outlineLevel="0" collapsed="false">
      <c r="A800" s="50" t="s">
        <v>1083</v>
      </c>
      <c r="B800" s="51" t="n">
        <v>45827</v>
      </c>
      <c r="C800" s="50" t="s">
        <v>211</v>
      </c>
      <c r="D800" s="39" t="str">
        <f aca="false">INDEX(Master_Customer!$B$2:$B$126,MATCH(C800,Master_Customer!$A$2:$A$126,0))</f>
        <v>PRIMA MOBIL</v>
      </c>
      <c r="E800" s="50" t="s">
        <v>30</v>
      </c>
      <c r="F800" s="52" t="n">
        <f aca="false">SUMIFS(Data_Penjualan!$G$2:$G$5998,Data_Penjualan!$A$2:$A$5998,A800)</f>
        <v>11862700</v>
      </c>
      <c r="G800" s="39" t="n">
        <f aca="false">IF(E800="KANTOR",0,INDEX(Master_Customer!$C$2:$C$126,MATCH(C800,Master_Customer!$A$2:$A$126,0)))</f>
        <v>0</v>
      </c>
      <c r="H800" s="53" t="n">
        <f aca="false">B800+G800</f>
        <v>45827</v>
      </c>
      <c r="J800" s="39" t="str">
        <f aca="false">IF(G800=0,"Tunai",IF(I800="","Belum ditukar","Sudah ditukar"))</f>
        <v>Tunai</v>
      </c>
      <c r="K800" s="54" t="n">
        <v>11862700</v>
      </c>
      <c r="L800" s="51" t="n">
        <v>45828</v>
      </c>
      <c r="M800" s="52" t="n">
        <f aca="false">F800-K800</f>
        <v>0</v>
      </c>
      <c r="N800" s="39" t="str">
        <f aca="false">IF(M800&lt;=0,"Lunas",IF(K800&gt;0,"Sebagian","Belum Bayar"))</f>
        <v>Lunas</v>
      </c>
      <c r="O800" s="39" t="n">
        <f aca="false">IF(M800&gt;0,MAX(0,Catatan!$B$3-H800),0)</f>
        <v>0</v>
      </c>
      <c r="P800" s="39" t="str">
        <f aca="false">IF(M800&lt;=0,"Lunas",IF(Catatan!$B$3&lt;=H800,"Belum Jatuh Tempo",IF(O800&lt;=30,"1-30 hari",IF(O800&lt;=60,"31-60 hari",IF(O800&lt;=90,"61-90 hari","90+ hari")))))</f>
        <v>Lunas</v>
      </c>
      <c r="Q800" s="50"/>
      <c r="R800" s="39" t="str">
        <f aca="false">IF(M800&lt;=0,"",IF(O800&gt;60,"1-Tinggi",IF(O800&gt;30,"2-Sedang",IF(O800&gt;0,"3-Rendah","4-Pantau"))))</f>
        <v/>
      </c>
      <c r="S800" s="39" t="str">
        <f aca="false">IF(AND(M800&gt;0,O800&gt;0),O800+M800/1000000000000+ROW()/1000000000000000,"")</f>
        <v/>
      </c>
      <c r="T800" s="39" t="str">
        <f aca="false">IF(J800="Belum ditukar",ROW(),"")</f>
        <v/>
      </c>
    </row>
    <row r="801" customFormat="false" ht="15" hidden="false" customHeight="false" outlineLevel="0" collapsed="false">
      <c r="A801" s="50" t="s">
        <v>1084</v>
      </c>
      <c r="B801" s="51" t="n">
        <v>45827</v>
      </c>
      <c r="C801" s="50" t="s">
        <v>174</v>
      </c>
      <c r="D801" s="39" t="str">
        <f aca="false">INDEX(Master_Customer!$B$2:$B$126,MATCH(C801,Master_Customer!$A$2:$A$126,0))</f>
        <v>SUMBER TEKNIK SURYA</v>
      </c>
      <c r="E801" s="50" t="s">
        <v>31</v>
      </c>
      <c r="F801" s="52" t="n">
        <f aca="false">SUMIFS(Data_Penjualan!$G$2:$G$5998,Data_Penjualan!$A$2:$A$5998,A801)</f>
        <v>4036300</v>
      </c>
      <c r="G801" s="39" t="n">
        <f aca="false">IF(E801="KANTOR",0,INDEX(Master_Customer!$C$2:$C$126,MATCH(C801,Master_Customer!$A$2:$A$126,0)))</f>
        <v>30</v>
      </c>
      <c r="H801" s="53" t="n">
        <f aca="false">B801+G801</f>
        <v>45857</v>
      </c>
      <c r="I801" s="51" t="n">
        <v>45831</v>
      </c>
      <c r="J801" s="39" t="str">
        <f aca="false">IF(G801=0,"Tunai",IF(I801="","Belum ditukar","Sudah ditukar"))</f>
        <v>Sudah ditukar</v>
      </c>
      <c r="K801" s="54" t="n">
        <v>4036300</v>
      </c>
      <c r="L801" s="51" t="n">
        <v>45849</v>
      </c>
      <c r="M801" s="52" t="n">
        <f aca="false">F801-K801</f>
        <v>0</v>
      </c>
      <c r="N801" s="39" t="str">
        <f aca="false">IF(M801&lt;=0,"Lunas",IF(K801&gt;0,"Sebagian","Belum Bayar"))</f>
        <v>Lunas</v>
      </c>
      <c r="O801" s="39" t="n">
        <f aca="false">IF(M801&gt;0,MAX(0,Catatan!$B$3-H801),0)</f>
        <v>0</v>
      </c>
      <c r="P801" s="39" t="str">
        <f aca="false">IF(M801&lt;=0,"Lunas",IF(Catatan!$B$3&lt;=H801,"Belum Jatuh Tempo",IF(O801&lt;=30,"1-30 hari",IF(O801&lt;=60,"31-60 hari",IF(O801&lt;=90,"61-90 hari","90+ hari")))))</f>
        <v>Lunas</v>
      </c>
      <c r="Q801" s="50"/>
      <c r="R801" s="39" t="str">
        <f aca="false">IF(M801&lt;=0,"",IF(O801&gt;60,"1-Tinggi",IF(O801&gt;30,"2-Sedang",IF(O801&gt;0,"3-Rendah","4-Pantau"))))</f>
        <v/>
      </c>
      <c r="S801" s="39" t="str">
        <f aca="false">IF(AND(M801&gt;0,O801&gt;0),O801+M801/1000000000000+ROW()/1000000000000000,"")</f>
        <v/>
      </c>
      <c r="T801" s="39" t="str">
        <f aca="false">IF(J801="Belum ditukar",ROW(),"")</f>
        <v/>
      </c>
    </row>
    <row r="802" customFormat="false" ht="15" hidden="false" customHeight="false" outlineLevel="0" collapsed="false">
      <c r="A802" s="50" t="s">
        <v>1085</v>
      </c>
      <c r="B802" s="51" t="n">
        <v>45827</v>
      </c>
      <c r="C802" s="50" t="s">
        <v>209</v>
      </c>
      <c r="D802" s="39" t="str">
        <f aca="false">INDEX(Master_Customer!$B$2:$B$126,MATCH(C802,Master_Customer!$A$2:$A$126,0))</f>
        <v>PRIMA TEKNIK</v>
      </c>
      <c r="E802" s="50" t="s">
        <v>32</v>
      </c>
      <c r="F802" s="52" t="n">
        <f aca="false">SUMIFS(Data_Penjualan!$G$2:$G$5998,Data_Penjualan!$A$2:$A$5998,A802)</f>
        <v>6603800</v>
      </c>
      <c r="G802" s="39" t="n">
        <f aca="false">IF(E802="KANTOR",0,INDEX(Master_Customer!$C$2:$C$126,MATCH(C802,Master_Customer!$A$2:$A$126,0)))</f>
        <v>0</v>
      </c>
      <c r="H802" s="53" t="n">
        <f aca="false">B802+G802</f>
        <v>45827</v>
      </c>
      <c r="J802" s="39" t="str">
        <f aca="false">IF(G802=0,"Tunai",IF(I802="","Belum ditukar","Sudah ditukar"))</f>
        <v>Tunai</v>
      </c>
      <c r="K802" s="54" t="n">
        <v>6603800</v>
      </c>
      <c r="L802" s="51" t="n">
        <v>45827</v>
      </c>
      <c r="M802" s="52" t="n">
        <f aca="false">F802-K802</f>
        <v>0</v>
      </c>
      <c r="N802" s="39" t="str">
        <f aca="false">IF(M802&lt;=0,"Lunas",IF(K802&gt;0,"Sebagian","Belum Bayar"))</f>
        <v>Lunas</v>
      </c>
      <c r="O802" s="39" t="n">
        <f aca="false">IF(M802&gt;0,MAX(0,Catatan!$B$3-H802),0)</f>
        <v>0</v>
      </c>
      <c r="P802" s="39" t="str">
        <f aca="false">IF(M802&lt;=0,"Lunas",IF(Catatan!$B$3&lt;=H802,"Belum Jatuh Tempo",IF(O802&lt;=30,"1-30 hari",IF(O802&lt;=60,"31-60 hari",IF(O802&lt;=90,"61-90 hari","90+ hari")))))</f>
        <v>Lunas</v>
      </c>
      <c r="Q802" s="50"/>
      <c r="R802" s="39" t="str">
        <f aca="false">IF(M802&lt;=0,"",IF(O802&gt;60,"1-Tinggi",IF(O802&gt;30,"2-Sedang",IF(O802&gt;0,"3-Rendah","4-Pantau"))))</f>
        <v/>
      </c>
      <c r="S802" s="39" t="str">
        <f aca="false">IF(AND(M802&gt;0,O802&gt;0),O802+M802/1000000000000+ROW()/1000000000000000,"")</f>
        <v/>
      </c>
      <c r="T802" s="39" t="str">
        <f aca="false">IF(J802="Belum ditukar",ROW(),"")</f>
        <v/>
      </c>
    </row>
    <row r="803" customFormat="false" ht="15" hidden="false" customHeight="false" outlineLevel="0" collapsed="false">
      <c r="A803" s="50" t="s">
        <v>1086</v>
      </c>
      <c r="B803" s="51" t="n">
        <v>45828</v>
      </c>
      <c r="C803" s="50" t="s">
        <v>315</v>
      </c>
      <c r="D803" s="39" t="str">
        <f aca="false">INDEX(Master_Customer!$B$2:$B$126,MATCH(C803,Master_Customer!$A$2:$A$126,0))</f>
        <v>CAHAYA SERVICE</v>
      </c>
      <c r="E803" s="50" t="s">
        <v>31</v>
      </c>
      <c r="F803" s="52" t="n">
        <f aca="false">SUMIFS(Data_Penjualan!$G$2:$G$5998,Data_Penjualan!$A$2:$A$5998,A803)</f>
        <v>7681400</v>
      </c>
      <c r="G803" s="39" t="n">
        <f aca="false">IF(E803="KANTOR",0,INDEX(Master_Customer!$C$2:$C$126,MATCH(C803,Master_Customer!$A$2:$A$126,0)))</f>
        <v>30</v>
      </c>
      <c r="H803" s="53" t="n">
        <f aca="false">B803+G803</f>
        <v>45858</v>
      </c>
      <c r="I803" s="51" t="n">
        <v>45831</v>
      </c>
      <c r="J803" s="39" t="str">
        <f aca="false">IF(G803=0,"Tunai",IF(I803="","Belum ditukar","Sudah ditukar"))</f>
        <v>Sudah ditukar</v>
      </c>
      <c r="K803" s="54" t="n">
        <v>7681400</v>
      </c>
      <c r="L803" s="51" t="n">
        <v>45853</v>
      </c>
      <c r="M803" s="52" t="n">
        <f aca="false">F803-K803</f>
        <v>0</v>
      </c>
      <c r="N803" s="39" t="str">
        <f aca="false">IF(M803&lt;=0,"Lunas",IF(K803&gt;0,"Sebagian","Belum Bayar"))</f>
        <v>Lunas</v>
      </c>
      <c r="O803" s="39" t="n">
        <f aca="false">IF(M803&gt;0,MAX(0,Catatan!$B$3-H803),0)</f>
        <v>0</v>
      </c>
      <c r="P803" s="39" t="str">
        <f aca="false">IF(M803&lt;=0,"Lunas",IF(Catatan!$B$3&lt;=H803,"Belum Jatuh Tempo",IF(O803&lt;=30,"1-30 hari",IF(O803&lt;=60,"31-60 hari",IF(O803&lt;=90,"61-90 hari","90+ hari")))))</f>
        <v>Lunas</v>
      </c>
      <c r="Q803" s="50"/>
      <c r="R803" s="39" t="str">
        <f aca="false">IF(M803&lt;=0,"",IF(O803&gt;60,"1-Tinggi",IF(O803&gt;30,"2-Sedang",IF(O803&gt;0,"3-Rendah","4-Pantau"))))</f>
        <v/>
      </c>
      <c r="S803" s="39" t="str">
        <f aca="false">IF(AND(M803&gt;0,O803&gt;0),O803+M803/1000000000000+ROW()/1000000000000000,"")</f>
        <v/>
      </c>
      <c r="T803" s="39" t="str">
        <f aca="false">IF(J803="Belum ditukar",ROW(),"")</f>
        <v/>
      </c>
    </row>
    <row r="804" customFormat="false" ht="15" hidden="false" customHeight="false" outlineLevel="0" collapsed="false">
      <c r="A804" s="50" t="s">
        <v>1087</v>
      </c>
      <c r="B804" s="51" t="n">
        <v>45828</v>
      </c>
      <c r="C804" s="50" t="s">
        <v>168</v>
      </c>
      <c r="D804" s="39" t="str">
        <f aca="false">INDEX(Master_Customer!$B$2:$B$126,MATCH(C804,Master_Customer!$A$2:$A$126,0))</f>
        <v>JAYA LUBRICANT</v>
      </c>
      <c r="E804" s="50" t="s">
        <v>32</v>
      </c>
      <c r="F804" s="52" t="n">
        <f aca="false">SUMIFS(Data_Penjualan!$G$2:$G$5998,Data_Penjualan!$A$2:$A$5998,A804)</f>
        <v>3872600</v>
      </c>
      <c r="G804" s="39" t="n">
        <f aca="false">IF(E804="KANTOR",0,INDEX(Master_Customer!$C$2:$C$126,MATCH(C804,Master_Customer!$A$2:$A$126,0)))</f>
        <v>0</v>
      </c>
      <c r="H804" s="53" t="n">
        <f aca="false">B804+G804</f>
        <v>45828</v>
      </c>
      <c r="J804" s="39" t="str">
        <f aca="false">IF(G804=0,"Tunai",IF(I804="","Belum ditukar","Sudah ditukar"))</f>
        <v>Tunai</v>
      </c>
      <c r="K804" s="54" t="n">
        <v>3872600</v>
      </c>
      <c r="L804" s="51" t="n">
        <v>45828</v>
      </c>
      <c r="M804" s="52" t="n">
        <f aca="false">F804-K804</f>
        <v>0</v>
      </c>
      <c r="N804" s="39" t="str">
        <f aca="false">IF(M804&lt;=0,"Lunas",IF(K804&gt;0,"Sebagian","Belum Bayar"))</f>
        <v>Lunas</v>
      </c>
      <c r="O804" s="39" t="n">
        <f aca="false">IF(M804&gt;0,MAX(0,Catatan!$B$3-H804),0)</f>
        <v>0</v>
      </c>
      <c r="P804" s="39" t="str">
        <f aca="false">IF(M804&lt;=0,"Lunas",IF(Catatan!$B$3&lt;=H804,"Belum Jatuh Tempo",IF(O804&lt;=30,"1-30 hari",IF(O804&lt;=60,"31-60 hari",IF(O804&lt;=90,"61-90 hari","90+ hari")))))</f>
        <v>Lunas</v>
      </c>
      <c r="Q804" s="50"/>
      <c r="R804" s="39" t="str">
        <f aca="false">IF(M804&lt;=0,"",IF(O804&gt;60,"1-Tinggi",IF(O804&gt;30,"2-Sedang",IF(O804&gt;0,"3-Rendah","4-Pantau"))))</f>
        <v/>
      </c>
      <c r="S804" s="39" t="str">
        <f aca="false">IF(AND(M804&gt;0,O804&gt;0),O804+M804/1000000000000+ROW()/1000000000000000,"")</f>
        <v/>
      </c>
      <c r="T804" s="39" t="str">
        <f aca="false">IF(J804="Belum ditukar",ROW(),"")</f>
        <v/>
      </c>
    </row>
    <row r="805" customFormat="false" ht="15" hidden="false" customHeight="false" outlineLevel="0" collapsed="false">
      <c r="A805" s="50" t="s">
        <v>1088</v>
      </c>
      <c r="B805" s="51" t="n">
        <v>45828</v>
      </c>
      <c r="C805" s="50" t="s">
        <v>241</v>
      </c>
      <c r="D805" s="39" t="str">
        <f aca="false">INDEX(Master_Customer!$B$2:$B$126,MATCH(C805,Master_Customer!$A$2:$A$126,0))</f>
        <v>GEMILANG GARAGE TIRTA</v>
      </c>
      <c r="E805" s="50" t="s">
        <v>32</v>
      </c>
      <c r="F805" s="52" t="n">
        <f aca="false">SUMIFS(Data_Penjualan!$G$2:$G$5998,Data_Penjualan!$A$2:$A$5998,A805)</f>
        <v>7795800</v>
      </c>
      <c r="G805" s="39" t="n">
        <f aca="false">IF(E805="KANTOR",0,INDEX(Master_Customer!$C$2:$C$126,MATCH(C805,Master_Customer!$A$2:$A$126,0)))</f>
        <v>0</v>
      </c>
      <c r="H805" s="53" t="n">
        <f aca="false">B805+G805</f>
        <v>45828</v>
      </c>
      <c r="J805" s="39" t="str">
        <f aca="false">IF(G805=0,"Tunai",IF(I805="","Belum ditukar","Sudah ditukar"))</f>
        <v>Tunai</v>
      </c>
      <c r="K805" s="54" t="n">
        <v>7795800</v>
      </c>
      <c r="L805" s="51" t="n">
        <v>45828</v>
      </c>
      <c r="M805" s="52" t="n">
        <f aca="false">F805-K805</f>
        <v>0</v>
      </c>
      <c r="N805" s="39" t="str">
        <f aca="false">IF(M805&lt;=0,"Lunas",IF(K805&gt;0,"Sebagian","Belum Bayar"))</f>
        <v>Lunas</v>
      </c>
      <c r="O805" s="39" t="n">
        <f aca="false">IF(M805&gt;0,MAX(0,Catatan!$B$3-H805),0)</f>
        <v>0</v>
      </c>
      <c r="P805" s="39" t="str">
        <f aca="false">IF(M805&lt;=0,"Lunas",IF(Catatan!$B$3&lt;=H805,"Belum Jatuh Tempo",IF(O805&lt;=30,"1-30 hari",IF(O805&lt;=60,"31-60 hari",IF(O805&lt;=90,"61-90 hari","90+ hari")))))</f>
        <v>Lunas</v>
      </c>
      <c r="Q805" s="50"/>
      <c r="R805" s="39" t="str">
        <f aca="false">IF(M805&lt;=0,"",IF(O805&gt;60,"1-Tinggi",IF(O805&gt;30,"2-Sedang",IF(O805&gt;0,"3-Rendah","4-Pantau"))))</f>
        <v/>
      </c>
      <c r="S805" s="39" t="str">
        <f aca="false">IF(AND(M805&gt;0,O805&gt;0),O805+M805/1000000000000+ROW()/1000000000000000,"")</f>
        <v/>
      </c>
      <c r="T805" s="39" t="str">
        <f aca="false">IF(J805="Belum ditukar",ROW(),"")</f>
        <v/>
      </c>
    </row>
    <row r="806" customFormat="false" ht="15" hidden="false" customHeight="false" outlineLevel="0" collapsed="false">
      <c r="A806" s="50" t="s">
        <v>1089</v>
      </c>
      <c r="B806" s="51" t="n">
        <v>45828</v>
      </c>
      <c r="C806" s="50" t="s">
        <v>223</v>
      </c>
      <c r="D806" s="39" t="str">
        <f aca="false">INDEX(Master_Customer!$B$2:$B$126,MATCH(C806,Master_Customer!$A$2:$A$126,0))</f>
        <v>ABADI AUTO UTAMA</v>
      </c>
      <c r="E806" s="50" t="s">
        <v>31</v>
      </c>
      <c r="F806" s="52" t="n">
        <f aca="false">SUMIFS(Data_Penjualan!$G$2:$G$5998,Data_Penjualan!$A$2:$A$5998,A806)</f>
        <v>10968800</v>
      </c>
      <c r="G806" s="39" t="n">
        <f aca="false">IF(E806="KANTOR",0,INDEX(Master_Customer!$C$2:$C$126,MATCH(C806,Master_Customer!$A$2:$A$126,0)))</f>
        <v>14</v>
      </c>
      <c r="H806" s="53" t="n">
        <f aca="false">B806+G806</f>
        <v>45842</v>
      </c>
      <c r="I806" s="51" t="n">
        <v>45829</v>
      </c>
      <c r="J806" s="39" t="str">
        <f aca="false">IF(G806=0,"Tunai",IF(I806="","Belum ditukar","Sudah ditukar"))</f>
        <v>Sudah ditukar</v>
      </c>
      <c r="K806" s="54" t="n">
        <v>10968800</v>
      </c>
      <c r="L806" s="51" t="n">
        <v>45902</v>
      </c>
      <c r="M806" s="52" t="n">
        <f aca="false">F806-K806</f>
        <v>0</v>
      </c>
      <c r="N806" s="39" t="str">
        <f aca="false">IF(M806&lt;=0,"Lunas",IF(K806&gt;0,"Sebagian","Belum Bayar"))</f>
        <v>Lunas</v>
      </c>
      <c r="O806" s="39" t="n">
        <f aca="false">IF(M806&gt;0,MAX(0,Catatan!$B$3-H806),0)</f>
        <v>0</v>
      </c>
      <c r="P806" s="39" t="str">
        <f aca="false">IF(M806&lt;=0,"Lunas",IF(Catatan!$B$3&lt;=H806,"Belum Jatuh Tempo",IF(O806&lt;=30,"1-30 hari",IF(O806&lt;=60,"31-60 hari",IF(O806&lt;=90,"61-90 hari","90+ hari")))))</f>
        <v>Lunas</v>
      </c>
      <c r="Q806" s="50"/>
      <c r="R806" s="39" t="str">
        <f aca="false">IF(M806&lt;=0,"",IF(O806&gt;60,"1-Tinggi",IF(O806&gt;30,"2-Sedang",IF(O806&gt;0,"3-Rendah","4-Pantau"))))</f>
        <v/>
      </c>
      <c r="S806" s="39" t="str">
        <f aca="false">IF(AND(M806&gt;0,O806&gt;0),O806+M806/1000000000000+ROW()/1000000000000000,"")</f>
        <v/>
      </c>
      <c r="T806" s="39" t="str">
        <f aca="false">IF(J806="Belum ditukar",ROW(),"")</f>
        <v/>
      </c>
    </row>
    <row r="807" customFormat="false" ht="15" hidden="false" customHeight="false" outlineLevel="0" collapsed="false">
      <c r="A807" s="50" t="s">
        <v>1090</v>
      </c>
      <c r="B807" s="51" t="n">
        <v>45828</v>
      </c>
      <c r="C807" s="50" t="s">
        <v>354</v>
      </c>
      <c r="D807" s="39" t="str">
        <f aca="false">INDEX(Master_Customer!$B$2:$B$126,MATCH(C807,Master_Customer!$A$2:$A$126,0))</f>
        <v>SUMBER SERVICE MAKMUR</v>
      </c>
      <c r="E807" s="50" t="s">
        <v>31</v>
      </c>
      <c r="F807" s="52" t="n">
        <f aca="false">SUMIFS(Data_Penjualan!$G$2:$G$5998,Data_Penjualan!$A$2:$A$5998,A807)</f>
        <v>9841800</v>
      </c>
      <c r="G807" s="39" t="n">
        <f aca="false">IF(E807="KANTOR",0,INDEX(Master_Customer!$C$2:$C$126,MATCH(C807,Master_Customer!$A$2:$A$126,0)))</f>
        <v>30</v>
      </c>
      <c r="H807" s="53" t="n">
        <f aca="false">B807+G807</f>
        <v>45858</v>
      </c>
      <c r="I807" s="51" t="n">
        <v>45833</v>
      </c>
      <c r="J807" s="39" t="str">
        <f aca="false">IF(G807=0,"Tunai",IF(I807="","Belum ditukar","Sudah ditukar"))</f>
        <v>Sudah ditukar</v>
      </c>
      <c r="K807" s="54" t="n">
        <v>9841800</v>
      </c>
      <c r="L807" s="51" t="n">
        <v>45855</v>
      </c>
      <c r="M807" s="52" t="n">
        <f aca="false">F807-K807</f>
        <v>0</v>
      </c>
      <c r="N807" s="39" t="str">
        <f aca="false">IF(M807&lt;=0,"Lunas",IF(K807&gt;0,"Sebagian","Belum Bayar"))</f>
        <v>Lunas</v>
      </c>
      <c r="O807" s="39" t="n">
        <f aca="false">IF(M807&gt;0,MAX(0,Catatan!$B$3-H807),0)</f>
        <v>0</v>
      </c>
      <c r="P807" s="39" t="str">
        <f aca="false">IF(M807&lt;=0,"Lunas",IF(Catatan!$B$3&lt;=H807,"Belum Jatuh Tempo",IF(O807&lt;=30,"1-30 hari",IF(O807&lt;=60,"31-60 hari",IF(O807&lt;=90,"61-90 hari","90+ hari")))))</f>
        <v>Lunas</v>
      </c>
      <c r="Q807" s="50"/>
      <c r="R807" s="39" t="str">
        <f aca="false">IF(M807&lt;=0,"",IF(O807&gt;60,"1-Tinggi",IF(O807&gt;30,"2-Sedang",IF(O807&gt;0,"3-Rendah","4-Pantau"))))</f>
        <v/>
      </c>
      <c r="S807" s="39" t="str">
        <f aca="false">IF(AND(M807&gt;0,O807&gt;0),O807+M807/1000000000000+ROW()/1000000000000000,"")</f>
        <v/>
      </c>
      <c r="T807" s="39" t="str">
        <f aca="false">IF(J807="Belum ditukar",ROW(),"")</f>
        <v/>
      </c>
    </row>
    <row r="808" customFormat="false" ht="15" hidden="false" customHeight="false" outlineLevel="0" collapsed="false">
      <c r="A808" s="50" t="s">
        <v>1091</v>
      </c>
      <c r="B808" s="51" t="n">
        <v>45828</v>
      </c>
      <c r="C808" s="50" t="s">
        <v>280</v>
      </c>
      <c r="D808" s="39" t="str">
        <f aca="false">INDEX(Master_Customer!$B$2:$B$126,MATCH(C808,Master_Customer!$A$2:$A$126,0))</f>
        <v>CAHAYA TEKNIK SURYA</v>
      </c>
      <c r="E808" s="50" t="s">
        <v>29</v>
      </c>
      <c r="F808" s="52" t="n">
        <f aca="false">SUMIFS(Data_Penjualan!$G$2:$G$5998,Data_Penjualan!$A$2:$A$5998,A808)</f>
        <v>14141000</v>
      </c>
      <c r="G808" s="39" t="n">
        <f aca="false">IF(E808="KANTOR",0,INDEX(Master_Customer!$C$2:$C$126,MATCH(C808,Master_Customer!$A$2:$A$126,0)))</f>
        <v>30</v>
      </c>
      <c r="H808" s="53" t="n">
        <f aca="false">B808+G808</f>
        <v>45858</v>
      </c>
      <c r="I808" s="51" t="n">
        <v>45830</v>
      </c>
      <c r="J808" s="39" t="str">
        <f aca="false">IF(G808=0,"Tunai",IF(I808="","Belum ditukar","Sudah ditukar"))</f>
        <v>Sudah ditukar</v>
      </c>
      <c r="K808" s="54" t="n">
        <v>14141000</v>
      </c>
      <c r="L808" s="51" t="n">
        <v>45853</v>
      </c>
      <c r="M808" s="52" t="n">
        <f aca="false">F808-K808</f>
        <v>0</v>
      </c>
      <c r="N808" s="39" t="str">
        <f aca="false">IF(M808&lt;=0,"Lunas",IF(K808&gt;0,"Sebagian","Belum Bayar"))</f>
        <v>Lunas</v>
      </c>
      <c r="O808" s="39" t="n">
        <f aca="false">IF(M808&gt;0,MAX(0,Catatan!$B$3-H808),0)</f>
        <v>0</v>
      </c>
      <c r="P808" s="39" t="str">
        <f aca="false">IF(M808&lt;=0,"Lunas",IF(Catatan!$B$3&lt;=H808,"Belum Jatuh Tempo",IF(O808&lt;=30,"1-30 hari",IF(O808&lt;=60,"31-60 hari",IF(O808&lt;=90,"61-90 hari","90+ hari")))))</f>
        <v>Lunas</v>
      </c>
      <c r="Q808" s="50"/>
      <c r="R808" s="39" t="str">
        <f aca="false">IF(M808&lt;=0,"",IF(O808&gt;60,"1-Tinggi",IF(O808&gt;30,"2-Sedang",IF(O808&gt;0,"3-Rendah","4-Pantau"))))</f>
        <v/>
      </c>
      <c r="S808" s="39" t="str">
        <f aca="false">IF(AND(M808&gt;0,O808&gt;0),O808+M808/1000000000000+ROW()/1000000000000000,"")</f>
        <v/>
      </c>
      <c r="T808" s="39" t="str">
        <f aca="false">IF(J808="Belum ditukar",ROW(),"")</f>
        <v/>
      </c>
    </row>
    <row r="809" customFormat="false" ht="15" hidden="false" customHeight="false" outlineLevel="0" collapsed="false">
      <c r="A809" s="50" t="s">
        <v>1092</v>
      </c>
      <c r="B809" s="51" t="n">
        <v>45829</v>
      </c>
      <c r="C809" s="50" t="s">
        <v>271</v>
      </c>
      <c r="D809" s="39" t="str">
        <f aca="false">INDEX(Master_Customer!$B$2:$B$126,MATCH(C809,Master_Customer!$A$2:$A$126,0))</f>
        <v>CAHAYA MOTOR</v>
      </c>
      <c r="E809" s="50" t="s">
        <v>28</v>
      </c>
      <c r="F809" s="52" t="n">
        <f aca="false">SUMIFS(Data_Penjualan!$G$2:$G$5998,Data_Penjualan!$A$2:$A$5998,A809)</f>
        <v>10647200</v>
      </c>
      <c r="G809" s="39" t="n">
        <f aca="false">IF(E809="KANTOR",0,INDEX(Master_Customer!$C$2:$C$126,MATCH(C809,Master_Customer!$A$2:$A$126,0)))</f>
        <v>14</v>
      </c>
      <c r="H809" s="53" t="n">
        <f aca="false">B809+G809</f>
        <v>45843</v>
      </c>
      <c r="I809" s="51" t="n">
        <v>45831</v>
      </c>
      <c r="J809" s="39" t="str">
        <f aca="false">IF(G809=0,"Tunai",IF(I809="","Belum ditukar","Sudah ditukar"))</f>
        <v>Sudah ditukar</v>
      </c>
      <c r="K809" s="54" t="n">
        <v>10647200</v>
      </c>
      <c r="L809" s="51" t="n">
        <v>45840</v>
      </c>
      <c r="M809" s="52" t="n">
        <f aca="false">F809-K809</f>
        <v>0</v>
      </c>
      <c r="N809" s="39" t="str">
        <f aca="false">IF(M809&lt;=0,"Lunas",IF(K809&gt;0,"Sebagian","Belum Bayar"))</f>
        <v>Lunas</v>
      </c>
      <c r="O809" s="39" t="n">
        <f aca="false">IF(M809&gt;0,MAX(0,Catatan!$B$3-H809),0)</f>
        <v>0</v>
      </c>
      <c r="P809" s="39" t="str">
        <f aca="false">IF(M809&lt;=0,"Lunas",IF(Catatan!$B$3&lt;=H809,"Belum Jatuh Tempo",IF(O809&lt;=30,"1-30 hari",IF(O809&lt;=60,"31-60 hari",IF(O809&lt;=90,"61-90 hari","90+ hari")))))</f>
        <v>Lunas</v>
      </c>
      <c r="Q809" s="50"/>
      <c r="R809" s="39" t="str">
        <f aca="false">IF(M809&lt;=0,"",IF(O809&gt;60,"1-Tinggi",IF(O809&gt;30,"2-Sedang",IF(O809&gt;0,"3-Rendah","4-Pantau"))))</f>
        <v/>
      </c>
      <c r="S809" s="39" t="str">
        <f aca="false">IF(AND(M809&gt;0,O809&gt;0),O809+M809/1000000000000+ROW()/1000000000000000,"")</f>
        <v/>
      </c>
      <c r="T809" s="39" t="str">
        <f aca="false">IF(J809="Belum ditukar",ROW(),"")</f>
        <v/>
      </c>
    </row>
    <row r="810" customFormat="false" ht="15" hidden="false" customHeight="false" outlineLevel="0" collapsed="false">
      <c r="A810" s="50" t="s">
        <v>1093</v>
      </c>
      <c r="B810" s="51" t="n">
        <v>45831</v>
      </c>
      <c r="C810" s="50" t="s">
        <v>188</v>
      </c>
      <c r="D810" s="39" t="str">
        <f aca="false">INDEX(Master_Customer!$B$2:$B$126,MATCH(C810,Master_Customer!$A$2:$A$126,0))</f>
        <v>MAJU GARAGE TIRTA</v>
      </c>
      <c r="E810" s="50" t="s">
        <v>31</v>
      </c>
      <c r="F810" s="52" t="n">
        <f aca="false">SUMIFS(Data_Penjualan!$G$2:$G$5998,Data_Penjualan!$A$2:$A$5998,A810)</f>
        <v>10942800</v>
      </c>
      <c r="G810" s="39" t="n">
        <f aca="false">IF(E810="KANTOR",0,INDEX(Master_Customer!$C$2:$C$126,MATCH(C810,Master_Customer!$A$2:$A$126,0)))</f>
        <v>45</v>
      </c>
      <c r="H810" s="53" t="n">
        <f aca="false">B810+G810</f>
        <v>45876</v>
      </c>
      <c r="I810" s="51" t="n">
        <v>45832</v>
      </c>
      <c r="J810" s="39" t="str">
        <f aca="false">IF(G810=0,"Tunai",IF(I810="","Belum ditukar","Sudah ditukar"))</f>
        <v>Sudah ditukar</v>
      </c>
      <c r="K810" s="54" t="n">
        <v>10942800</v>
      </c>
      <c r="L810" s="51" t="n">
        <v>45883</v>
      </c>
      <c r="M810" s="52" t="n">
        <f aca="false">F810-K810</f>
        <v>0</v>
      </c>
      <c r="N810" s="39" t="str">
        <f aca="false">IF(M810&lt;=0,"Lunas",IF(K810&gt;0,"Sebagian","Belum Bayar"))</f>
        <v>Lunas</v>
      </c>
      <c r="O810" s="39" t="n">
        <f aca="false">IF(M810&gt;0,MAX(0,Catatan!$B$3-H810),0)</f>
        <v>0</v>
      </c>
      <c r="P810" s="39" t="str">
        <f aca="false">IF(M810&lt;=0,"Lunas",IF(Catatan!$B$3&lt;=H810,"Belum Jatuh Tempo",IF(O810&lt;=30,"1-30 hari",IF(O810&lt;=60,"31-60 hari",IF(O810&lt;=90,"61-90 hari","90+ hari")))))</f>
        <v>Lunas</v>
      </c>
      <c r="Q810" s="50"/>
      <c r="R810" s="39" t="str">
        <f aca="false">IF(M810&lt;=0,"",IF(O810&gt;60,"1-Tinggi",IF(O810&gt;30,"2-Sedang",IF(O810&gt;0,"3-Rendah","4-Pantau"))))</f>
        <v/>
      </c>
      <c r="S810" s="39" t="str">
        <f aca="false">IF(AND(M810&gt;0,O810&gt;0),O810+M810/1000000000000+ROW()/1000000000000000,"")</f>
        <v/>
      </c>
      <c r="T810" s="39" t="str">
        <f aca="false">IF(J810="Belum ditukar",ROW(),"")</f>
        <v/>
      </c>
    </row>
    <row r="811" customFormat="false" ht="15" hidden="false" customHeight="false" outlineLevel="0" collapsed="false">
      <c r="A811" s="50" t="s">
        <v>1094</v>
      </c>
      <c r="B811" s="51" t="n">
        <v>45831</v>
      </c>
      <c r="C811" s="50" t="s">
        <v>228</v>
      </c>
      <c r="D811" s="39" t="str">
        <f aca="false">INDEX(Master_Customer!$B$2:$B$126,MATCH(C811,Master_Customer!$A$2:$A$126,0))</f>
        <v>MAKMUR SERVICE JAYA</v>
      </c>
      <c r="E811" s="50" t="s">
        <v>29</v>
      </c>
      <c r="F811" s="52" t="n">
        <f aca="false">SUMIFS(Data_Penjualan!$G$2:$G$5998,Data_Penjualan!$A$2:$A$5998,A811)</f>
        <v>16909900</v>
      </c>
      <c r="G811" s="39" t="n">
        <f aca="false">IF(E811="KANTOR",0,INDEX(Master_Customer!$C$2:$C$126,MATCH(C811,Master_Customer!$A$2:$A$126,0)))</f>
        <v>30</v>
      </c>
      <c r="H811" s="53" t="n">
        <f aca="false">B811+G811</f>
        <v>45861</v>
      </c>
      <c r="I811" s="51" t="n">
        <v>45834</v>
      </c>
      <c r="J811" s="39" t="str">
        <f aca="false">IF(G811=0,"Tunai",IF(I811="","Belum ditukar","Sudah ditukar"))</f>
        <v>Sudah ditukar</v>
      </c>
      <c r="K811" s="54" t="n">
        <v>16909900</v>
      </c>
      <c r="L811" s="51" t="n">
        <v>45902</v>
      </c>
      <c r="M811" s="52" t="n">
        <f aca="false">F811-K811</f>
        <v>0</v>
      </c>
      <c r="N811" s="39" t="str">
        <f aca="false">IF(M811&lt;=0,"Lunas",IF(K811&gt;0,"Sebagian","Belum Bayar"))</f>
        <v>Lunas</v>
      </c>
      <c r="O811" s="39" t="n">
        <f aca="false">IF(M811&gt;0,MAX(0,Catatan!$B$3-H811),0)</f>
        <v>0</v>
      </c>
      <c r="P811" s="39" t="str">
        <f aca="false">IF(M811&lt;=0,"Lunas",IF(Catatan!$B$3&lt;=H811,"Belum Jatuh Tempo",IF(O811&lt;=30,"1-30 hari",IF(O811&lt;=60,"31-60 hari",IF(O811&lt;=90,"61-90 hari","90+ hari")))))</f>
        <v>Lunas</v>
      </c>
      <c r="Q811" s="50"/>
      <c r="R811" s="39" t="str">
        <f aca="false">IF(M811&lt;=0,"",IF(O811&gt;60,"1-Tinggi",IF(O811&gt;30,"2-Sedang",IF(O811&gt;0,"3-Rendah","4-Pantau"))))</f>
        <v/>
      </c>
      <c r="S811" s="39" t="str">
        <f aca="false">IF(AND(M811&gt;0,O811&gt;0),O811+M811/1000000000000+ROW()/1000000000000000,"")</f>
        <v/>
      </c>
      <c r="T811" s="39" t="str">
        <f aca="false">IF(J811="Belum ditukar",ROW(),"")</f>
        <v/>
      </c>
    </row>
    <row r="812" customFormat="false" ht="15" hidden="false" customHeight="false" outlineLevel="0" collapsed="false">
      <c r="A812" s="50" t="s">
        <v>1095</v>
      </c>
      <c r="B812" s="51" t="n">
        <v>45831</v>
      </c>
      <c r="C812" s="50" t="s">
        <v>358</v>
      </c>
      <c r="D812" s="39" t="str">
        <f aca="false">INDEX(Master_Customer!$B$2:$B$126,MATCH(C812,Master_Customer!$A$2:$A$126,0))</f>
        <v>HARAPAN TEKNIK</v>
      </c>
      <c r="E812" s="50" t="s">
        <v>32</v>
      </c>
      <c r="F812" s="52" t="n">
        <f aca="false">SUMIFS(Data_Penjualan!$G$2:$G$5998,Data_Penjualan!$A$2:$A$5998,A812)</f>
        <v>5594300</v>
      </c>
      <c r="G812" s="39" t="n">
        <f aca="false">IF(E812="KANTOR",0,INDEX(Master_Customer!$C$2:$C$126,MATCH(C812,Master_Customer!$A$2:$A$126,0)))</f>
        <v>0</v>
      </c>
      <c r="H812" s="53" t="n">
        <f aca="false">B812+G812</f>
        <v>45831</v>
      </c>
      <c r="J812" s="39" t="str">
        <f aca="false">IF(G812=0,"Tunai",IF(I812="","Belum ditukar","Sudah ditukar"))</f>
        <v>Tunai</v>
      </c>
      <c r="K812" s="54" t="n">
        <v>5594300</v>
      </c>
      <c r="L812" s="51" t="n">
        <v>45831</v>
      </c>
      <c r="M812" s="52" t="n">
        <f aca="false">F812-K812</f>
        <v>0</v>
      </c>
      <c r="N812" s="39" t="str">
        <f aca="false">IF(M812&lt;=0,"Lunas",IF(K812&gt;0,"Sebagian","Belum Bayar"))</f>
        <v>Lunas</v>
      </c>
      <c r="O812" s="39" t="n">
        <f aca="false">IF(M812&gt;0,MAX(0,Catatan!$B$3-H812),0)</f>
        <v>0</v>
      </c>
      <c r="P812" s="39" t="str">
        <f aca="false">IF(M812&lt;=0,"Lunas",IF(Catatan!$B$3&lt;=H812,"Belum Jatuh Tempo",IF(O812&lt;=30,"1-30 hari",IF(O812&lt;=60,"31-60 hari",IF(O812&lt;=90,"61-90 hari","90+ hari")))))</f>
        <v>Lunas</v>
      </c>
      <c r="Q812" s="50"/>
      <c r="R812" s="39" t="str">
        <f aca="false">IF(M812&lt;=0,"",IF(O812&gt;60,"1-Tinggi",IF(O812&gt;30,"2-Sedang",IF(O812&gt;0,"3-Rendah","4-Pantau"))))</f>
        <v/>
      </c>
      <c r="S812" s="39" t="str">
        <f aca="false">IF(AND(M812&gt;0,O812&gt;0),O812+M812/1000000000000+ROW()/1000000000000000,"")</f>
        <v/>
      </c>
      <c r="T812" s="39" t="str">
        <f aca="false">IF(J812="Belum ditukar",ROW(),"")</f>
        <v/>
      </c>
    </row>
    <row r="813" customFormat="false" ht="15" hidden="false" customHeight="false" outlineLevel="0" collapsed="false">
      <c r="A813" s="50" t="s">
        <v>1096</v>
      </c>
      <c r="B813" s="51" t="n">
        <v>45831</v>
      </c>
      <c r="C813" s="50" t="s">
        <v>174</v>
      </c>
      <c r="D813" s="39" t="str">
        <f aca="false">INDEX(Master_Customer!$B$2:$B$126,MATCH(C813,Master_Customer!$A$2:$A$126,0))</f>
        <v>SUMBER TEKNIK SURYA</v>
      </c>
      <c r="E813" s="50" t="s">
        <v>31</v>
      </c>
      <c r="F813" s="52" t="n">
        <f aca="false">SUMIFS(Data_Penjualan!$G$2:$G$5998,Data_Penjualan!$A$2:$A$5998,A813)</f>
        <v>16159300</v>
      </c>
      <c r="G813" s="39" t="n">
        <f aca="false">IF(E813="KANTOR",0,INDEX(Master_Customer!$C$2:$C$126,MATCH(C813,Master_Customer!$A$2:$A$126,0)))</f>
        <v>30</v>
      </c>
      <c r="H813" s="53" t="n">
        <f aca="false">B813+G813</f>
        <v>45861</v>
      </c>
      <c r="I813" s="51" t="n">
        <v>45836</v>
      </c>
      <c r="J813" s="39" t="str">
        <f aca="false">IF(G813=0,"Tunai",IF(I813="","Belum ditukar","Sudah ditukar"))</f>
        <v>Sudah ditukar</v>
      </c>
      <c r="K813" s="54" t="n">
        <v>16159300</v>
      </c>
      <c r="L813" s="51" t="n">
        <v>45867</v>
      </c>
      <c r="M813" s="52" t="n">
        <f aca="false">F813-K813</f>
        <v>0</v>
      </c>
      <c r="N813" s="39" t="str">
        <f aca="false">IF(M813&lt;=0,"Lunas",IF(K813&gt;0,"Sebagian","Belum Bayar"))</f>
        <v>Lunas</v>
      </c>
      <c r="O813" s="39" t="n">
        <f aca="false">IF(M813&gt;0,MAX(0,Catatan!$B$3-H813),0)</f>
        <v>0</v>
      </c>
      <c r="P813" s="39" t="str">
        <f aca="false">IF(M813&lt;=0,"Lunas",IF(Catatan!$B$3&lt;=H813,"Belum Jatuh Tempo",IF(O813&lt;=30,"1-30 hari",IF(O813&lt;=60,"31-60 hari",IF(O813&lt;=90,"61-90 hari","90+ hari")))))</f>
        <v>Lunas</v>
      </c>
      <c r="Q813" s="50"/>
      <c r="R813" s="39" t="str">
        <f aca="false">IF(M813&lt;=0,"",IF(O813&gt;60,"1-Tinggi",IF(O813&gt;30,"2-Sedang",IF(O813&gt;0,"3-Rendah","4-Pantau"))))</f>
        <v/>
      </c>
      <c r="S813" s="39" t="str">
        <f aca="false">IF(AND(M813&gt;0,O813&gt;0),O813+M813/1000000000000+ROW()/1000000000000000,"")</f>
        <v/>
      </c>
      <c r="T813" s="39" t="str">
        <f aca="false">IF(J813="Belum ditukar",ROW(),"")</f>
        <v/>
      </c>
    </row>
    <row r="814" customFormat="false" ht="15" hidden="false" customHeight="false" outlineLevel="0" collapsed="false">
      <c r="A814" s="50" t="s">
        <v>1097</v>
      </c>
      <c r="B814" s="51" t="n">
        <v>45832</v>
      </c>
      <c r="C814" s="50" t="s">
        <v>243</v>
      </c>
      <c r="D814" s="39" t="str">
        <f aca="false">INDEX(Master_Customer!$B$2:$B$126,MATCH(C814,Master_Customer!$A$2:$A$126,0))</f>
        <v>SENTOSA LUBRICANT MULIA</v>
      </c>
      <c r="E814" s="50" t="s">
        <v>30</v>
      </c>
      <c r="F814" s="52" t="n">
        <f aca="false">SUMIFS(Data_Penjualan!$G$2:$G$5998,Data_Penjualan!$A$2:$A$5998,A814)</f>
        <v>4890500</v>
      </c>
      <c r="G814" s="39" t="n">
        <f aca="false">IF(E814="KANTOR",0,INDEX(Master_Customer!$C$2:$C$126,MATCH(C814,Master_Customer!$A$2:$A$126,0)))</f>
        <v>45</v>
      </c>
      <c r="H814" s="53" t="n">
        <f aca="false">B814+G814</f>
        <v>45877</v>
      </c>
      <c r="I814" s="51" t="n">
        <v>45834</v>
      </c>
      <c r="J814" s="39" t="str">
        <f aca="false">IF(G814=0,"Tunai",IF(I814="","Belum ditukar","Sudah ditukar"))</f>
        <v>Sudah ditukar</v>
      </c>
      <c r="K814" s="54" t="n">
        <v>4890500</v>
      </c>
      <c r="L814" s="51" t="n">
        <v>45910</v>
      </c>
      <c r="M814" s="52" t="n">
        <f aca="false">F814-K814</f>
        <v>0</v>
      </c>
      <c r="N814" s="39" t="str">
        <f aca="false">IF(M814&lt;=0,"Lunas",IF(K814&gt;0,"Sebagian","Belum Bayar"))</f>
        <v>Lunas</v>
      </c>
      <c r="O814" s="39" t="n">
        <f aca="false">IF(M814&gt;0,MAX(0,Catatan!$B$3-H814),0)</f>
        <v>0</v>
      </c>
      <c r="P814" s="39" t="str">
        <f aca="false">IF(M814&lt;=0,"Lunas",IF(Catatan!$B$3&lt;=H814,"Belum Jatuh Tempo",IF(O814&lt;=30,"1-30 hari",IF(O814&lt;=60,"31-60 hari",IF(O814&lt;=90,"61-90 hari","90+ hari")))))</f>
        <v>Lunas</v>
      </c>
      <c r="Q814" s="50"/>
      <c r="R814" s="39" t="str">
        <f aca="false">IF(M814&lt;=0,"",IF(O814&gt;60,"1-Tinggi",IF(O814&gt;30,"2-Sedang",IF(O814&gt;0,"3-Rendah","4-Pantau"))))</f>
        <v/>
      </c>
      <c r="S814" s="39" t="str">
        <f aca="false">IF(AND(M814&gt;0,O814&gt;0),O814+M814/1000000000000+ROW()/1000000000000000,"")</f>
        <v/>
      </c>
      <c r="T814" s="39" t="str">
        <f aca="false">IF(J814="Belum ditukar",ROW(),"")</f>
        <v/>
      </c>
    </row>
    <row r="815" customFormat="false" ht="15" hidden="false" customHeight="false" outlineLevel="0" collapsed="false">
      <c r="A815" s="50" t="s">
        <v>1098</v>
      </c>
      <c r="B815" s="51" t="n">
        <v>45832</v>
      </c>
      <c r="C815" s="50" t="s">
        <v>1099</v>
      </c>
      <c r="D815" s="39" t="str">
        <f aca="false">INDEX(Master_Customer!$B$2:$B$126,MATCH(C815,Master_Customer!$A$2:$A$126,0))</f>
        <v>SENTOSA SPAREPART</v>
      </c>
      <c r="E815" s="50" t="s">
        <v>32</v>
      </c>
      <c r="F815" s="52" t="n">
        <f aca="false">SUMIFS(Data_Penjualan!$G$2:$G$5998,Data_Penjualan!$A$2:$A$5998,A815)</f>
        <v>24812300</v>
      </c>
      <c r="G815" s="39" t="n">
        <f aca="false">IF(E815="KANTOR",0,INDEX(Master_Customer!$C$2:$C$126,MATCH(C815,Master_Customer!$A$2:$A$126,0)))</f>
        <v>0</v>
      </c>
      <c r="H815" s="53" t="n">
        <f aca="false">B815+G815</f>
        <v>45832</v>
      </c>
      <c r="J815" s="39" t="str">
        <f aca="false">IF(G815=0,"Tunai",IF(I815="","Belum ditukar","Sudah ditukar"))</f>
        <v>Tunai</v>
      </c>
      <c r="K815" s="54" t="n">
        <v>24812300</v>
      </c>
      <c r="L815" s="51" t="n">
        <v>45832</v>
      </c>
      <c r="M815" s="52" t="n">
        <f aca="false">F815-K815</f>
        <v>0</v>
      </c>
      <c r="N815" s="39" t="str">
        <f aca="false">IF(M815&lt;=0,"Lunas",IF(K815&gt;0,"Sebagian","Belum Bayar"))</f>
        <v>Lunas</v>
      </c>
      <c r="O815" s="39" t="n">
        <f aca="false">IF(M815&gt;0,MAX(0,Catatan!$B$3-H815),0)</f>
        <v>0</v>
      </c>
      <c r="P815" s="39" t="str">
        <f aca="false">IF(M815&lt;=0,"Lunas",IF(Catatan!$B$3&lt;=H815,"Belum Jatuh Tempo",IF(O815&lt;=30,"1-30 hari",IF(O815&lt;=60,"31-60 hari",IF(O815&lt;=90,"61-90 hari","90+ hari")))))</f>
        <v>Lunas</v>
      </c>
      <c r="Q815" s="50"/>
      <c r="R815" s="39" t="str">
        <f aca="false">IF(M815&lt;=0,"",IF(O815&gt;60,"1-Tinggi",IF(O815&gt;30,"2-Sedang",IF(O815&gt;0,"3-Rendah","4-Pantau"))))</f>
        <v/>
      </c>
      <c r="S815" s="39" t="str">
        <f aca="false">IF(AND(M815&gt;0,O815&gt;0),O815+M815/1000000000000+ROW()/1000000000000000,"")</f>
        <v/>
      </c>
      <c r="T815" s="39" t="str">
        <f aca="false">IF(J815="Belum ditukar",ROW(),"")</f>
        <v/>
      </c>
    </row>
    <row r="816" customFormat="false" ht="15" hidden="false" customHeight="false" outlineLevel="0" collapsed="false">
      <c r="A816" s="50" t="s">
        <v>1100</v>
      </c>
      <c r="B816" s="51" t="n">
        <v>45832</v>
      </c>
      <c r="C816" s="50" t="s">
        <v>166</v>
      </c>
      <c r="D816" s="39" t="str">
        <f aca="false">INDEX(Master_Customer!$B$2:$B$126,MATCH(C816,Master_Customer!$A$2:$A$126,0))</f>
        <v>SENTOSA SERVICE</v>
      </c>
      <c r="E816" s="50" t="s">
        <v>30</v>
      </c>
      <c r="F816" s="52" t="n">
        <f aca="false">SUMIFS(Data_Penjualan!$G$2:$G$5998,Data_Penjualan!$A$2:$A$5998,A816)</f>
        <v>2416200</v>
      </c>
      <c r="G816" s="39" t="n">
        <f aca="false">IF(E816="KANTOR",0,INDEX(Master_Customer!$C$2:$C$126,MATCH(C816,Master_Customer!$A$2:$A$126,0)))</f>
        <v>0</v>
      </c>
      <c r="H816" s="53" t="n">
        <f aca="false">B816+G816</f>
        <v>45832</v>
      </c>
      <c r="J816" s="39" t="str">
        <f aca="false">IF(G816=0,"Tunai",IF(I816="","Belum ditukar","Sudah ditukar"))</f>
        <v>Tunai</v>
      </c>
      <c r="K816" s="54" t="n">
        <v>2416200</v>
      </c>
      <c r="L816" s="51" t="n">
        <v>45832</v>
      </c>
      <c r="M816" s="52" t="n">
        <f aca="false">F816-K816</f>
        <v>0</v>
      </c>
      <c r="N816" s="39" t="str">
        <f aca="false">IF(M816&lt;=0,"Lunas",IF(K816&gt;0,"Sebagian","Belum Bayar"))</f>
        <v>Lunas</v>
      </c>
      <c r="O816" s="39" t="n">
        <f aca="false">IF(M816&gt;0,MAX(0,Catatan!$B$3-H816),0)</f>
        <v>0</v>
      </c>
      <c r="P816" s="39" t="str">
        <f aca="false">IF(M816&lt;=0,"Lunas",IF(Catatan!$B$3&lt;=H816,"Belum Jatuh Tempo",IF(O816&lt;=30,"1-30 hari",IF(O816&lt;=60,"31-60 hari",IF(O816&lt;=90,"61-90 hari","90+ hari")))))</f>
        <v>Lunas</v>
      </c>
      <c r="Q816" s="50"/>
      <c r="R816" s="39" t="str">
        <f aca="false">IF(M816&lt;=0,"",IF(O816&gt;60,"1-Tinggi",IF(O816&gt;30,"2-Sedang",IF(O816&gt;0,"3-Rendah","4-Pantau"))))</f>
        <v/>
      </c>
      <c r="S816" s="39" t="str">
        <f aca="false">IF(AND(M816&gt;0,O816&gt;0),O816+M816/1000000000000+ROW()/1000000000000000,"")</f>
        <v/>
      </c>
      <c r="T816" s="39" t="str">
        <f aca="false">IF(J816="Belum ditukar",ROW(),"")</f>
        <v/>
      </c>
    </row>
    <row r="817" customFormat="false" ht="15" hidden="false" customHeight="false" outlineLevel="0" collapsed="false">
      <c r="A817" s="50" t="s">
        <v>1101</v>
      </c>
      <c r="B817" s="51" t="n">
        <v>45832</v>
      </c>
      <c r="C817" s="50" t="s">
        <v>284</v>
      </c>
      <c r="D817" s="39" t="str">
        <f aca="false">INDEX(Master_Customer!$B$2:$B$126,MATCH(C817,Master_Customer!$A$2:$A$126,0))</f>
        <v>CAHAYA SPAREPART</v>
      </c>
      <c r="E817" s="50" t="s">
        <v>29</v>
      </c>
      <c r="F817" s="52" t="n">
        <f aca="false">SUMIFS(Data_Penjualan!$G$2:$G$5998,Data_Penjualan!$A$2:$A$5998,A817)</f>
        <v>2128600</v>
      </c>
      <c r="G817" s="39" t="n">
        <f aca="false">IF(E817="KANTOR",0,INDEX(Master_Customer!$C$2:$C$126,MATCH(C817,Master_Customer!$A$2:$A$126,0)))</f>
        <v>14</v>
      </c>
      <c r="H817" s="53" t="n">
        <f aca="false">B817+G817</f>
        <v>45846</v>
      </c>
      <c r="I817" s="51" t="n">
        <v>45833</v>
      </c>
      <c r="J817" s="39" t="str">
        <f aca="false">IF(G817=0,"Tunai",IF(I817="","Belum ditukar","Sudah ditukar"))</f>
        <v>Sudah ditukar</v>
      </c>
      <c r="K817" s="54" t="n">
        <v>2128600</v>
      </c>
      <c r="L817" s="51" t="n">
        <v>45854</v>
      </c>
      <c r="M817" s="52" t="n">
        <f aca="false">F817-K817</f>
        <v>0</v>
      </c>
      <c r="N817" s="39" t="str">
        <f aca="false">IF(M817&lt;=0,"Lunas",IF(K817&gt;0,"Sebagian","Belum Bayar"))</f>
        <v>Lunas</v>
      </c>
      <c r="O817" s="39" t="n">
        <f aca="false">IF(M817&gt;0,MAX(0,Catatan!$B$3-H817),0)</f>
        <v>0</v>
      </c>
      <c r="P817" s="39" t="str">
        <f aca="false">IF(M817&lt;=0,"Lunas",IF(Catatan!$B$3&lt;=H817,"Belum Jatuh Tempo",IF(O817&lt;=30,"1-30 hari",IF(O817&lt;=60,"31-60 hari",IF(O817&lt;=90,"61-90 hari","90+ hari")))))</f>
        <v>Lunas</v>
      </c>
      <c r="Q817" s="50"/>
      <c r="R817" s="39" t="str">
        <f aca="false">IF(M817&lt;=0,"",IF(O817&gt;60,"1-Tinggi",IF(O817&gt;30,"2-Sedang",IF(O817&gt;0,"3-Rendah","4-Pantau"))))</f>
        <v/>
      </c>
      <c r="S817" s="39" t="str">
        <f aca="false">IF(AND(M817&gt;0,O817&gt;0),O817+M817/1000000000000+ROW()/1000000000000000,"")</f>
        <v/>
      </c>
      <c r="T817" s="39" t="str">
        <f aca="false">IF(J817="Belum ditukar",ROW(),"")</f>
        <v/>
      </c>
    </row>
    <row r="818" customFormat="false" ht="15" hidden="false" customHeight="false" outlineLevel="0" collapsed="false">
      <c r="A818" s="50" t="s">
        <v>1102</v>
      </c>
      <c r="B818" s="51" t="n">
        <v>45832</v>
      </c>
      <c r="C818" s="50" t="s">
        <v>416</v>
      </c>
      <c r="D818" s="39" t="str">
        <f aca="false">INDEX(Master_Customer!$B$2:$B$126,MATCH(C818,Master_Customer!$A$2:$A$126,0))</f>
        <v>KARYA SERVICE</v>
      </c>
      <c r="E818" s="50" t="s">
        <v>32</v>
      </c>
      <c r="F818" s="52" t="n">
        <f aca="false">SUMIFS(Data_Penjualan!$G$2:$G$5998,Data_Penjualan!$A$2:$A$5998,A818)</f>
        <v>5514900</v>
      </c>
      <c r="G818" s="39" t="n">
        <f aca="false">IF(E818="KANTOR",0,INDEX(Master_Customer!$C$2:$C$126,MATCH(C818,Master_Customer!$A$2:$A$126,0)))</f>
        <v>0</v>
      </c>
      <c r="H818" s="53" t="n">
        <f aca="false">B818+G818</f>
        <v>45832</v>
      </c>
      <c r="J818" s="39" t="str">
        <f aca="false">IF(G818=0,"Tunai",IF(I818="","Belum ditukar","Sudah ditukar"))</f>
        <v>Tunai</v>
      </c>
      <c r="K818" s="54" t="n">
        <v>5514900</v>
      </c>
      <c r="L818" s="51" t="n">
        <v>45832</v>
      </c>
      <c r="M818" s="52" t="n">
        <f aca="false">F818-K818</f>
        <v>0</v>
      </c>
      <c r="N818" s="39" t="str">
        <f aca="false">IF(M818&lt;=0,"Lunas",IF(K818&gt;0,"Sebagian","Belum Bayar"))</f>
        <v>Lunas</v>
      </c>
      <c r="O818" s="39" t="n">
        <f aca="false">IF(M818&gt;0,MAX(0,Catatan!$B$3-H818),0)</f>
        <v>0</v>
      </c>
      <c r="P818" s="39" t="str">
        <f aca="false">IF(M818&lt;=0,"Lunas",IF(Catatan!$B$3&lt;=H818,"Belum Jatuh Tempo",IF(O818&lt;=30,"1-30 hari",IF(O818&lt;=60,"31-60 hari",IF(O818&lt;=90,"61-90 hari","90+ hari")))))</f>
        <v>Lunas</v>
      </c>
      <c r="Q818" s="50"/>
      <c r="R818" s="39" t="str">
        <f aca="false">IF(M818&lt;=0,"",IF(O818&gt;60,"1-Tinggi",IF(O818&gt;30,"2-Sedang",IF(O818&gt;0,"3-Rendah","4-Pantau"))))</f>
        <v/>
      </c>
      <c r="S818" s="39" t="str">
        <f aca="false">IF(AND(M818&gt;0,O818&gt;0),O818+M818/1000000000000+ROW()/1000000000000000,"")</f>
        <v/>
      </c>
      <c r="T818" s="39" t="str">
        <f aca="false">IF(J818="Belum ditukar",ROW(),"")</f>
        <v/>
      </c>
    </row>
    <row r="819" customFormat="false" ht="15" hidden="false" customHeight="false" outlineLevel="0" collapsed="false">
      <c r="A819" s="50" t="s">
        <v>1103</v>
      </c>
      <c r="B819" s="51" t="n">
        <v>45833</v>
      </c>
      <c r="C819" s="50" t="s">
        <v>259</v>
      </c>
      <c r="D819" s="39" t="str">
        <f aca="false">INDEX(Master_Customer!$B$2:$B$126,MATCH(C819,Master_Customer!$A$2:$A$126,0))</f>
        <v>LANCAR OLI</v>
      </c>
      <c r="E819" s="50" t="s">
        <v>32</v>
      </c>
      <c r="F819" s="52" t="n">
        <f aca="false">SUMIFS(Data_Penjualan!$G$2:$G$5998,Data_Penjualan!$A$2:$A$5998,A819)</f>
        <v>9282900</v>
      </c>
      <c r="G819" s="39" t="n">
        <f aca="false">IF(E819="KANTOR",0,INDEX(Master_Customer!$C$2:$C$126,MATCH(C819,Master_Customer!$A$2:$A$126,0)))</f>
        <v>0</v>
      </c>
      <c r="H819" s="53" t="n">
        <f aca="false">B819+G819</f>
        <v>45833</v>
      </c>
      <c r="J819" s="39" t="str">
        <f aca="false">IF(G819=0,"Tunai",IF(I819="","Belum ditukar","Sudah ditukar"))</f>
        <v>Tunai</v>
      </c>
      <c r="K819" s="54" t="n">
        <v>9282900</v>
      </c>
      <c r="L819" s="51" t="n">
        <v>45833</v>
      </c>
      <c r="M819" s="52" t="n">
        <f aca="false">F819-K819</f>
        <v>0</v>
      </c>
      <c r="N819" s="39" t="str">
        <f aca="false">IF(M819&lt;=0,"Lunas",IF(K819&gt;0,"Sebagian","Belum Bayar"))</f>
        <v>Lunas</v>
      </c>
      <c r="O819" s="39" t="n">
        <f aca="false">IF(M819&gt;0,MAX(0,Catatan!$B$3-H819),0)</f>
        <v>0</v>
      </c>
      <c r="P819" s="39" t="str">
        <f aca="false">IF(M819&lt;=0,"Lunas",IF(Catatan!$B$3&lt;=H819,"Belum Jatuh Tempo",IF(O819&lt;=30,"1-30 hari",IF(O819&lt;=60,"31-60 hari",IF(O819&lt;=90,"61-90 hari","90+ hari")))))</f>
        <v>Lunas</v>
      </c>
      <c r="Q819" s="50"/>
      <c r="R819" s="39" t="str">
        <f aca="false">IF(M819&lt;=0,"",IF(O819&gt;60,"1-Tinggi",IF(O819&gt;30,"2-Sedang",IF(O819&gt;0,"3-Rendah","4-Pantau"))))</f>
        <v/>
      </c>
      <c r="S819" s="39" t="str">
        <f aca="false">IF(AND(M819&gt;0,O819&gt;0),O819+M819/1000000000000+ROW()/1000000000000000,"")</f>
        <v/>
      </c>
      <c r="T819" s="39" t="str">
        <f aca="false">IF(J819="Belum ditukar",ROW(),"")</f>
        <v/>
      </c>
    </row>
    <row r="820" customFormat="false" ht="15" hidden="false" customHeight="false" outlineLevel="0" collapsed="false">
      <c r="A820" s="50" t="s">
        <v>1104</v>
      </c>
      <c r="B820" s="51" t="n">
        <v>45833</v>
      </c>
      <c r="C820" s="50" t="s">
        <v>188</v>
      </c>
      <c r="D820" s="39" t="str">
        <f aca="false">INDEX(Master_Customer!$B$2:$B$126,MATCH(C820,Master_Customer!$A$2:$A$126,0))</f>
        <v>MAJU GARAGE TIRTA</v>
      </c>
      <c r="E820" s="50" t="s">
        <v>31</v>
      </c>
      <c r="F820" s="52" t="n">
        <f aca="false">SUMIFS(Data_Penjualan!$G$2:$G$5998,Data_Penjualan!$A$2:$A$5998,A820)</f>
        <v>9985400</v>
      </c>
      <c r="G820" s="39" t="n">
        <f aca="false">IF(E820="KANTOR",0,INDEX(Master_Customer!$C$2:$C$126,MATCH(C820,Master_Customer!$A$2:$A$126,0)))</f>
        <v>45</v>
      </c>
      <c r="H820" s="53" t="n">
        <f aca="false">B820+G820</f>
        <v>45878</v>
      </c>
      <c r="I820" s="51" t="n">
        <v>45836</v>
      </c>
      <c r="J820" s="39" t="str">
        <f aca="false">IF(G820=0,"Tunai",IF(I820="","Belum ditukar","Sudah ditukar"))</f>
        <v>Sudah ditukar</v>
      </c>
      <c r="K820" s="54" t="n">
        <v>9985400</v>
      </c>
      <c r="L820" s="51" t="n">
        <v>45888</v>
      </c>
      <c r="M820" s="52" t="n">
        <f aca="false">F820-K820</f>
        <v>0</v>
      </c>
      <c r="N820" s="39" t="str">
        <f aca="false">IF(M820&lt;=0,"Lunas",IF(K820&gt;0,"Sebagian","Belum Bayar"))</f>
        <v>Lunas</v>
      </c>
      <c r="O820" s="39" t="n">
        <f aca="false">IF(M820&gt;0,MAX(0,Catatan!$B$3-H820),0)</f>
        <v>0</v>
      </c>
      <c r="P820" s="39" t="str">
        <f aca="false">IF(M820&lt;=0,"Lunas",IF(Catatan!$B$3&lt;=H820,"Belum Jatuh Tempo",IF(O820&lt;=30,"1-30 hari",IF(O820&lt;=60,"31-60 hari",IF(O820&lt;=90,"61-90 hari","90+ hari")))))</f>
        <v>Lunas</v>
      </c>
      <c r="Q820" s="50"/>
      <c r="R820" s="39" t="str">
        <f aca="false">IF(M820&lt;=0,"",IF(O820&gt;60,"1-Tinggi",IF(O820&gt;30,"2-Sedang",IF(O820&gt;0,"3-Rendah","4-Pantau"))))</f>
        <v/>
      </c>
      <c r="S820" s="39" t="str">
        <f aca="false">IF(AND(M820&gt;0,O820&gt;0),O820+M820/1000000000000+ROW()/1000000000000000,"")</f>
        <v/>
      </c>
      <c r="T820" s="39" t="str">
        <f aca="false">IF(J820="Belum ditukar",ROW(),"")</f>
        <v/>
      </c>
    </row>
    <row r="821" customFormat="false" ht="15" hidden="false" customHeight="false" outlineLevel="0" collapsed="false">
      <c r="A821" s="50" t="s">
        <v>1105</v>
      </c>
      <c r="B821" s="51" t="n">
        <v>45834</v>
      </c>
      <c r="C821" s="50" t="s">
        <v>225</v>
      </c>
      <c r="D821" s="39" t="str">
        <f aca="false">INDEX(Master_Customer!$B$2:$B$126,MATCH(C821,Master_Customer!$A$2:$A$126,0))</f>
        <v>KARYA LUBRICANT ABADI</v>
      </c>
      <c r="E821" s="50" t="s">
        <v>30</v>
      </c>
      <c r="F821" s="52" t="n">
        <f aca="false">SUMIFS(Data_Penjualan!$G$2:$G$5998,Data_Penjualan!$A$2:$A$5998,A821)</f>
        <v>11509900</v>
      </c>
      <c r="G821" s="39" t="n">
        <f aca="false">IF(E821="KANTOR",0,INDEX(Master_Customer!$C$2:$C$126,MATCH(C821,Master_Customer!$A$2:$A$126,0)))</f>
        <v>0</v>
      </c>
      <c r="H821" s="53" t="n">
        <f aca="false">B821+G821</f>
        <v>45834</v>
      </c>
      <c r="J821" s="39" t="str">
        <f aca="false">IF(G821=0,"Tunai",IF(I821="","Belum ditukar","Sudah ditukar"))</f>
        <v>Tunai</v>
      </c>
      <c r="K821" s="54" t="n">
        <v>11509900</v>
      </c>
      <c r="L821" s="51" t="n">
        <v>45835</v>
      </c>
      <c r="M821" s="52" t="n">
        <f aca="false">F821-K821</f>
        <v>0</v>
      </c>
      <c r="N821" s="39" t="str">
        <f aca="false">IF(M821&lt;=0,"Lunas",IF(K821&gt;0,"Sebagian","Belum Bayar"))</f>
        <v>Lunas</v>
      </c>
      <c r="O821" s="39" t="n">
        <f aca="false">IF(M821&gt;0,MAX(0,Catatan!$B$3-H821),0)</f>
        <v>0</v>
      </c>
      <c r="P821" s="39" t="str">
        <f aca="false">IF(M821&lt;=0,"Lunas",IF(Catatan!$B$3&lt;=H821,"Belum Jatuh Tempo",IF(O821&lt;=30,"1-30 hari",IF(O821&lt;=60,"31-60 hari",IF(O821&lt;=90,"61-90 hari","90+ hari")))))</f>
        <v>Lunas</v>
      </c>
      <c r="Q821" s="50"/>
      <c r="R821" s="39" t="str">
        <f aca="false">IF(M821&lt;=0,"",IF(O821&gt;60,"1-Tinggi",IF(O821&gt;30,"2-Sedang",IF(O821&gt;0,"3-Rendah","4-Pantau"))))</f>
        <v/>
      </c>
      <c r="S821" s="39" t="str">
        <f aca="false">IF(AND(M821&gt;0,O821&gt;0),O821+M821/1000000000000+ROW()/1000000000000000,"")</f>
        <v/>
      </c>
      <c r="T821" s="39" t="str">
        <f aca="false">IF(J821="Belum ditukar",ROW(),"")</f>
        <v/>
      </c>
    </row>
    <row r="822" customFormat="false" ht="15" hidden="false" customHeight="false" outlineLevel="0" collapsed="false">
      <c r="A822" s="50" t="s">
        <v>1106</v>
      </c>
      <c r="B822" s="51" t="n">
        <v>45834</v>
      </c>
      <c r="C822" s="50" t="s">
        <v>174</v>
      </c>
      <c r="D822" s="39" t="str">
        <f aca="false">INDEX(Master_Customer!$B$2:$B$126,MATCH(C822,Master_Customer!$A$2:$A$126,0))</f>
        <v>SUMBER TEKNIK SURYA</v>
      </c>
      <c r="E822" s="50" t="s">
        <v>31</v>
      </c>
      <c r="F822" s="52" t="n">
        <f aca="false">SUMIFS(Data_Penjualan!$G$2:$G$5998,Data_Penjualan!$A$2:$A$5998,A822)</f>
        <v>14555000</v>
      </c>
      <c r="G822" s="39" t="n">
        <f aca="false">IF(E822="KANTOR",0,INDEX(Master_Customer!$C$2:$C$126,MATCH(C822,Master_Customer!$A$2:$A$126,0)))</f>
        <v>30</v>
      </c>
      <c r="H822" s="53" t="n">
        <f aca="false">B822+G822</f>
        <v>45864</v>
      </c>
      <c r="I822" s="51" t="n">
        <v>45839</v>
      </c>
      <c r="J822" s="39" t="str">
        <f aca="false">IF(G822=0,"Tunai",IF(I822="","Belum ditukar","Sudah ditukar"))</f>
        <v>Sudah ditukar</v>
      </c>
      <c r="K822" s="54" t="n">
        <v>14555000</v>
      </c>
      <c r="L822" s="51" t="n">
        <v>45862</v>
      </c>
      <c r="M822" s="52" t="n">
        <f aca="false">F822-K822</f>
        <v>0</v>
      </c>
      <c r="N822" s="39" t="str">
        <f aca="false">IF(M822&lt;=0,"Lunas",IF(K822&gt;0,"Sebagian","Belum Bayar"))</f>
        <v>Lunas</v>
      </c>
      <c r="O822" s="39" t="n">
        <f aca="false">IF(M822&gt;0,MAX(0,Catatan!$B$3-H822),0)</f>
        <v>0</v>
      </c>
      <c r="P822" s="39" t="str">
        <f aca="false">IF(M822&lt;=0,"Lunas",IF(Catatan!$B$3&lt;=H822,"Belum Jatuh Tempo",IF(O822&lt;=30,"1-30 hari",IF(O822&lt;=60,"31-60 hari",IF(O822&lt;=90,"61-90 hari","90+ hari")))))</f>
        <v>Lunas</v>
      </c>
      <c r="Q822" s="50"/>
      <c r="R822" s="39" t="str">
        <f aca="false">IF(M822&lt;=0,"",IF(O822&gt;60,"1-Tinggi",IF(O822&gt;30,"2-Sedang",IF(O822&gt;0,"3-Rendah","4-Pantau"))))</f>
        <v/>
      </c>
      <c r="S822" s="39" t="str">
        <f aca="false">IF(AND(M822&gt;0,O822&gt;0),O822+M822/1000000000000+ROW()/1000000000000000,"")</f>
        <v/>
      </c>
      <c r="T822" s="39" t="str">
        <f aca="false">IF(J822="Belum ditukar",ROW(),"")</f>
        <v/>
      </c>
    </row>
    <row r="823" customFormat="false" ht="15" hidden="false" customHeight="false" outlineLevel="0" collapsed="false">
      <c r="A823" s="50" t="s">
        <v>1107</v>
      </c>
      <c r="B823" s="51" t="n">
        <v>45834</v>
      </c>
      <c r="C823" s="50" t="s">
        <v>170</v>
      </c>
      <c r="D823" s="39" t="str">
        <f aca="false">INDEX(Master_Customer!$B$2:$B$126,MATCH(C823,Master_Customer!$A$2:$A$126,0))</f>
        <v>HARAPAN MOTOR</v>
      </c>
      <c r="E823" s="50" t="s">
        <v>30</v>
      </c>
      <c r="F823" s="52" t="n">
        <f aca="false">SUMIFS(Data_Penjualan!$G$2:$G$5998,Data_Penjualan!$A$2:$A$5998,A823)</f>
        <v>7374100</v>
      </c>
      <c r="G823" s="39" t="n">
        <f aca="false">IF(E823="KANTOR",0,INDEX(Master_Customer!$C$2:$C$126,MATCH(C823,Master_Customer!$A$2:$A$126,0)))</f>
        <v>45</v>
      </c>
      <c r="H823" s="53" t="n">
        <f aca="false">B823+G823</f>
        <v>45879</v>
      </c>
      <c r="I823" s="51" t="n">
        <v>45838</v>
      </c>
      <c r="J823" s="39" t="str">
        <f aca="false">IF(G823=0,"Tunai",IF(I823="","Belum ditukar","Sudah ditukar"))</f>
        <v>Sudah ditukar</v>
      </c>
      <c r="K823" s="54" t="n">
        <v>7374100</v>
      </c>
      <c r="L823" s="51" t="n">
        <v>45873</v>
      </c>
      <c r="M823" s="52" t="n">
        <f aca="false">F823-K823</f>
        <v>0</v>
      </c>
      <c r="N823" s="39" t="str">
        <f aca="false">IF(M823&lt;=0,"Lunas",IF(K823&gt;0,"Sebagian","Belum Bayar"))</f>
        <v>Lunas</v>
      </c>
      <c r="O823" s="39" t="n">
        <f aca="false">IF(M823&gt;0,MAX(0,Catatan!$B$3-H823),0)</f>
        <v>0</v>
      </c>
      <c r="P823" s="39" t="str">
        <f aca="false">IF(M823&lt;=0,"Lunas",IF(Catatan!$B$3&lt;=H823,"Belum Jatuh Tempo",IF(O823&lt;=30,"1-30 hari",IF(O823&lt;=60,"31-60 hari",IF(O823&lt;=90,"61-90 hari","90+ hari")))))</f>
        <v>Lunas</v>
      </c>
      <c r="Q823" s="50"/>
      <c r="R823" s="39" t="str">
        <f aca="false">IF(M823&lt;=0,"",IF(O823&gt;60,"1-Tinggi",IF(O823&gt;30,"2-Sedang",IF(O823&gt;0,"3-Rendah","4-Pantau"))))</f>
        <v/>
      </c>
      <c r="S823" s="39" t="str">
        <f aca="false">IF(AND(M823&gt;0,O823&gt;0),O823+M823/1000000000000+ROW()/1000000000000000,"")</f>
        <v/>
      </c>
      <c r="T823" s="39" t="str">
        <f aca="false">IF(J823="Belum ditukar",ROW(),"")</f>
        <v/>
      </c>
    </row>
    <row r="824" customFormat="false" ht="15" hidden="false" customHeight="false" outlineLevel="0" collapsed="false">
      <c r="A824" s="50" t="s">
        <v>1108</v>
      </c>
      <c r="B824" s="51" t="n">
        <v>45834</v>
      </c>
      <c r="C824" s="50" t="s">
        <v>205</v>
      </c>
      <c r="D824" s="39" t="str">
        <f aca="false">INDEX(Master_Customer!$B$2:$B$126,MATCH(C824,Master_Customer!$A$2:$A$126,0))</f>
        <v>BERKAH OLI</v>
      </c>
      <c r="E824" s="50" t="s">
        <v>32</v>
      </c>
      <c r="F824" s="52" t="n">
        <f aca="false">SUMIFS(Data_Penjualan!$G$2:$G$5998,Data_Penjualan!$A$2:$A$5998,A824)</f>
        <v>16367600</v>
      </c>
      <c r="G824" s="39" t="n">
        <f aca="false">IF(E824="KANTOR",0,INDEX(Master_Customer!$C$2:$C$126,MATCH(C824,Master_Customer!$A$2:$A$126,0)))</f>
        <v>0</v>
      </c>
      <c r="H824" s="53" t="n">
        <f aca="false">B824+G824</f>
        <v>45834</v>
      </c>
      <c r="J824" s="39" t="str">
        <f aca="false">IF(G824=0,"Tunai",IF(I824="","Belum ditukar","Sudah ditukar"))</f>
        <v>Tunai</v>
      </c>
      <c r="K824" s="54" t="n">
        <v>16367600</v>
      </c>
      <c r="L824" s="51" t="n">
        <v>45836</v>
      </c>
      <c r="M824" s="52" t="n">
        <f aca="false">F824-K824</f>
        <v>0</v>
      </c>
      <c r="N824" s="39" t="str">
        <f aca="false">IF(M824&lt;=0,"Lunas",IF(K824&gt;0,"Sebagian","Belum Bayar"))</f>
        <v>Lunas</v>
      </c>
      <c r="O824" s="39" t="n">
        <f aca="false">IF(M824&gt;0,MAX(0,Catatan!$B$3-H824),0)</f>
        <v>0</v>
      </c>
      <c r="P824" s="39" t="str">
        <f aca="false">IF(M824&lt;=0,"Lunas",IF(Catatan!$B$3&lt;=H824,"Belum Jatuh Tempo",IF(O824&lt;=30,"1-30 hari",IF(O824&lt;=60,"31-60 hari",IF(O824&lt;=90,"61-90 hari","90+ hari")))))</f>
        <v>Lunas</v>
      </c>
      <c r="Q824" s="50"/>
      <c r="R824" s="39" t="str">
        <f aca="false">IF(M824&lt;=0,"",IF(O824&gt;60,"1-Tinggi",IF(O824&gt;30,"2-Sedang",IF(O824&gt;0,"3-Rendah","4-Pantau"))))</f>
        <v/>
      </c>
      <c r="S824" s="39" t="str">
        <f aca="false">IF(AND(M824&gt;0,O824&gt;0),O824+M824/1000000000000+ROW()/1000000000000000,"")</f>
        <v/>
      </c>
      <c r="T824" s="39" t="str">
        <f aca="false">IF(J824="Belum ditukar",ROW(),"")</f>
        <v/>
      </c>
    </row>
    <row r="825" customFormat="false" ht="15" hidden="false" customHeight="false" outlineLevel="0" collapsed="false">
      <c r="A825" s="50" t="s">
        <v>1109</v>
      </c>
      <c r="B825" s="51" t="n">
        <v>45834</v>
      </c>
      <c r="C825" s="50" t="s">
        <v>234</v>
      </c>
      <c r="D825" s="39" t="str">
        <f aca="false">INDEX(Master_Customer!$B$2:$B$126,MATCH(C825,Master_Customer!$A$2:$A$126,0))</f>
        <v>CAHAYA OLI</v>
      </c>
      <c r="E825" s="50" t="s">
        <v>28</v>
      </c>
      <c r="F825" s="52" t="n">
        <f aca="false">SUMIFS(Data_Penjualan!$G$2:$G$5998,Data_Penjualan!$A$2:$A$5998,A825)</f>
        <v>1156900</v>
      </c>
      <c r="G825" s="39" t="n">
        <f aca="false">IF(E825="KANTOR",0,INDEX(Master_Customer!$C$2:$C$126,MATCH(C825,Master_Customer!$A$2:$A$126,0)))</f>
        <v>30</v>
      </c>
      <c r="H825" s="53" t="n">
        <f aca="false">B825+G825</f>
        <v>45864</v>
      </c>
      <c r="I825" s="51" t="n">
        <v>45839</v>
      </c>
      <c r="J825" s="39" t="str">
        <f aca="false">IF(G825=0,"Tunai",IF(I825="","Belum ditukar","Sudah ditukar"))</f>
        <v>Sudah ditukar</v>
      </c>
      <c r="K825" s="54" t="n">
        <v>1156900</v>
      </c>
      <c r="L825" s="51" t="n">
        <v>45859</v>
      </c>
      <c r="M825" s="52" t="n">
        <f aca="false">F825-K825</f>
        <v>0</v>
      </c>
      <c r="N825" s="39" t="str">
        <f aca="false">IF(M825&lt;=0,"Lunas",IF(K825&gt;0,"Sebagian","Belum Bayar"))</f>
        <v>Lunas</v>
      </c>
      <c r="O825" s="39" t="n">
        <f aca="false">IF(M825&gt;0,MAX(0,Catatan!$B$3-H825),0)</f>
        <v>0</v>
      </c>
      <c r="P825" s="39" t="str">
        <f aca="false">IF(M825&lt;=0,"Lunas",IF(Catatan!$B$3&lt;=H825,"Belum Jatuh Tempo",IF(O825&lt;=30,"1-30 hari",IF(O825&lt;=60,"31-60 hari",IF(O825&lt;=90,"61-90 hari","90+ hari")))))</f>
        <v>Lunas</v>
      </c>
      <c r="Q825" s="50"/>
      <c r="R825" s="39" t="str">
        <f aca="false">IF(M825&lt;=0,"",IF(O825&gt;60,"1-Tinggi",IF(O825&gt;30,"2-Sedang",IF(O825&gt;0,"3-Rendah","4-Pantau"))))</f>
        <v/>
      </c>
      <c r="S825" s="39" t="str">
        <f aca="false">IF(AND(M825&gt;0,O825&gt;0),O825+M825/1000000000000+ROW()/1000000000000000,"")</f>
        <v/>
      </c>
      <c r="T825" s="39" t="str">
        <f aca="false">IF(J825="Belum ditukar",ROW(),"")</f>
        <v/>
      </c>
    </row>
    <row r="826" customFormat="false" ht="15" hidden="false" customHeight="false" outlineLevel="0" collapsed="false">
      <c r="A826" s="50" t="s">
        <v>1110</v>
      </c>
      <c r="B826" s="51" t="n">
        <v>45835</v>
      </c>
      <c r="C826" s="50" t="s">
        <v>221</v>
      </c>
      <c r="D826" s="39" t="str">
        <f aca="false">INDEX(Master_Customer!$B$2:$B$126,MATCH(C826,Master_Customer!$A$2:$A$126,0))</f>
        <v>ABADI AUTO SURYA</v>
      </c>
      <c r="E826" s="50" t="s">
        <v>31</v>
      </c>
      <c r="F826" s="52" t="n">
        <f aca="false">SUMIFS(Data_Penjualan!$G$2:$G$5998,Data_Penjualan!$A$2:$A$5998,A826)</f>
        <v>5626700</v>
      </c>
      <c r="G826" s="39" t="n">
        <f aca="false">IF(E826="KANTOR",0,INDEX(Master_Customer!$C$2:$C$126,MATCH(C826,Master_Customer!$A$2:$A$126,0)))</f>
        <v>14</v>
      </c>
      <c r="H826" s="53" t="n">
        <f aca="false">B826+G826</f>
        <v>45849</v>
      </c>
      <c r="I826" s="51" t="n">
        <v>45837</v>
      </c>
      <c r="J826" s="39" t="str">
        <f aca="false">IF(G826=0,"Tunai",IF(I826="","Belum ditukar","Sudah ditukar"))</f>
        <v>Sudah ditukar</v>
      </c>
      <c r="K826" s="54" t="n">
        <v>5626700</v>
      </c>
      <c r="L826" s="51" t="n">
        <v>45867</v>
      </c>
      <c r="M826" s="52" t="n">
        <f aca="false">F826-K826</f>
        <v>0</v>
      </c>
      <c r="N826" s="39" t="str">
        <f aca="false">IF(M826&lt;=0,"Lunas",IF(K826&gt;0,"Sebagian","Belum Bayar"))</f>
        <v>Lunas</v>
      </c>
      <c r="O826" s="39" t="n">
        <f aca="false">IF(M826&gt;0,MAX(0,Catatan!$B$3-H826),0)</f>
        <v>0</v>
      </c>
      <c r="P826" s="39" t="str">
        <f aca="false">IF(M826&lt;=0,"Lunas",IF(Catatan!$B$3&lt;=H826,"Belum Jatuh Tempo",IF(O826&lt;=30,"1-30 hari",IF(O826&lt;=60,"31-60 hari",IF(O826&lt;=90,"61-90 hari","90+ hari")))))</f>
        <v>Lunas</v>
      </c>
      <c r="Q826" s="50"/>
      <c r="R826" s="39" t="str">
        <f aca="false">IF(M826&lt;=0,"",IF(O826&gt;60,"1-Tinggi",IF(O826&gt;30,"2-Sedang",IF(O826&gt;0,"3-Rendah","4-Pantau"))))</f>
        <v/>
      </c>
      <c r="S826" s="39" t="str">
        <f aca="false">IF(AND(M826&gt;0,O826&gt;0),O826+M826/1000000000000+ROW()/1000000000000000,"")</f>
        <v/>
      </c>
      <c r="T826" s="39" t="str">
        <f aca="false">IF(J826="Belum ditukar",ROW(),"")</f>
        <v/>
      </c>
    </row>
    <row r="827" customFormat="false" ht="15" hidden="false" customHeight="false" outlineLevel="0" collapsed="false">
      <c r="A827" s="50" t="s">
        <v>1111</v>
      </c>
      <c r="B827" s="51" t="n">
        <v>45835</v>
      </c>
      <c r="C827" s="50" t="s">
        <v>177</v>
      </c>
      <c r="D827" s="39" t="str">
        <f aca="false">INDEX(Master_Customer!$B$2:$B$126,MATCH(C827,Master_Customer!$A$2:$A$126,0))</f>
        <v>PRIMA MOTOR LANCAR</v>
      </c>
      <c r="E827" s="50" t="s">
        <v>29</v>
      </c>
      <c r="F827" s="52" t="n">
        <f aca="false">SUMIFS(Data_Penjualan!$G$2:$G$5998,Data_Penjualan!$A$2:$A$5998,A827)</f>
        <v>11722700</v>
      </c>
      <c r="G827" s="39" t="n">
        <f aca="false">IF(E827="KANTOR",0,INDEX(Master_Customer!$C$2:$C$126,MATCH(C827,Master_Customer!$A$2:$A$126,0)))</f>
        <v>14</v>
      </c>
      <c r="H827" s="53" t="n">
        <f aca="false">B827+G827</f>
        <v>45849</v>
      </c>
      <c r="I827" s="51" t="n">
        <v>45838</v>
      </c>
      <c r="J827" s="39" t="str">
        <f aca="false">IF(G827=0,"Tunai",IF(I827="","Belum ditukar","Sudah ditukar"))</f>
        <v>Sudah ditukar</v>
      </c>
      <c r="K827" s="54" t="n">
        <v>11722700</v>
      </c>
      <c r="L827" s="51" t="n">
        <v>45853</v>
      </c>
      <c r="M827" s="52" t="n">
        <f aca="false">F827-K827</f>
        <v>0</v>
      </c>
      <c r="N827" s="39" t="str">
        <f aca="false">IF(M827&lt;=0,"Lunas",IF(K827&gt;0,"Sebagian","Belum Bayar"))</f>
        <v>Lunas</v>
      </c>
      <c r="O827" s="39" t="n">
        <f aca="false">IF(M827&gt;0,MAX(0,Catatan!$B$3-H827),0)</f>
        <v>0</v>
      </c>
      <c r="P827" s="39" t="str">
        <f aca="false">IF(M827&lt;=0,"Lunas",IF(Catatan!$B$3&lt;=H827,"Belum Jatuh Tempo",IF(O827&lt;=30,"1-30 hari",IF(O827&lt;=60,"31-60 hari",IF(O827&lt;=90,"61-90 hari","90+ hari")))))</f>
        <v>Lunas</v>
      </c>
      <c r="Q827" s="50"/>
      <c r="R827" s="39" t="str">
        <f aca="false">IF(M827&lt;=0,"",IF(O827&gt;60,"1-Tinggi",IF(O827&gt;30,"2-Sedang",IF(O827&gt;0,"3-Rendah","4-Pantau"))))</f>
        <v/>
      </c>
      <c r="S827" s="39" t="str">
        <f aca="false">IF(AND(M827&gt;0,O827&gt;0),O827+M827/1000000000000+ROW()/1000000000000000,"")</f>
        <v/>
      </c>
      <c r="T827" s="39" t="str">
        <f aca="false">IF(J827="Belum ditukar",ROW(),"")</f>
        <v/>
      </c>
    </row>
    <row r="828" customFormat="false" ht="15" hidden="false" customHeight="false" outlineLevel="0" collapsed="false">
      <c r="A828" s="50" t="s">
        <v>1112</v>
      </c>
      <c r="B828" s="51" t="n">
        <v>45835</v>
      </c>
      <c r="C828" s="50" t="s">
        <v>188</v>
      </c>
      <c r="D828" s="39" t="str">
        <f aca="false">INDEX(Master_Customer!$B$2:$B$126,MATCH(C828,Master_Customer!$A$2:$A$126,0))</f>
        <v>MAJU GARAGE TIRTA</v>
      </c>
      <c r="E828" s="50" t="s">
        <v>31</v>
      </c>
      <c r="F828" s="52" t="n">
        <f aca="false">SUMIFS(Data_Penjualan!$G$2:$G$5998,Data_Penjualan!$A$2:$A$5998,A828)</f>
        <v>6925300</v>
      </c>
      <c r="G828" s="39" t="n">
        <f aca="false">IF(E828="KANTOR",0,INDEX(Master_Customer!$C$2:$C$126,MATCH(C828,Master_Customer!$A$2:$A$126,0)))</f>
        <v>45</v>
      </c>
      <c r="H828" s="53" t="n">
        <f aca="false">B828+G828</f>
        <v>45880</v>
      </c>
      <c r="I828" s="51" t="n">
        <v>45836</v>
      </c>
      <c r="J828" s="39" t="str">
        <f aca="false">IF(G828=0,"Tunai",IF(I828="","Belum ditukar","Sudah ditukar"))</f>
        <v>Sudah ditukar</v>
      </c>
      <c r="K828" s="54" t="n">
        <v>6925300</v>
      </c>
      <c r="L828" s="51" t="n">
        <v>45893</v>
      </c>
      <c r="M828" s="52" t="n">
        <f aca="false">F828-K828</f>
        <v>0</v>
      </c>
      <c r="N828" s="39" t="str">
        <f aca="false">IF(M828&lt;=0,"Lunas",IF(K828&gt;0,"Sebagian","Belum Bayar"))</f>
        <v>Lunas</v>
      </c>
      <c r="O828" s="39" t="n">
        <f aca="false">IF(M828&gt;0,MAX(0,Catatan!$B$3-H828),0)</f>
        <v>0</v>
      </c>
      <c r="P828" s="39" t="str">
        <f aca="false">IF(M828&lt;=0,"Lunas",IF(Catatan!$B$3&lt;=H828,"Belum Jatuh Tempo",IF(O828&lt;=30,"1-30 hari",IF(O828&lt;=60,"31-60 hari",IF(O828&lt;=90,"61-90 hari","90+ hari")))))</f>
        <v>Lunas</v>
      </c>
      <c r="Q828" s="50"/>
      <c r="R828" s="39" t="str">
        <f aca="false">IF(M828&lt;=0,"",IF(O828&gt;60,"1-Tinggi",IF(O828&gt;30,"2-Sedang",IF(O828&gt;0,"3-Rendah","4-Pantau"))))</f>
        <v/>
      </c>
      <c r="S828" s="39" t="str">
        <f aca="false">IF(AND(M828&gt;0,O828&gt;0),O828+M828/1000000000000+ROW()/1000000000000000,"")</f>
        <v/>
      </c>
      <c r="T828" s="39" t="str">
        <f aca="false">IF(J828="Belum ditukar",ROW(),"")</f>
        <v/>
      </c>
    </row>
    <row r="829" customFormat="false" ht="15" hidden="false" customHeight="false" outlineLevel="0" collapsed="false">
      <c r="A829" s="50" t="s">
        <v>139</v>
      </c>
      <c r="B829" s="51" t="n">
        <v>45835</v>
      </c>
      <c r="C829" s="50" t="s">
        <v>191</v>
      </c>
      <c r="D829" s="39" t="str">
        <f aca="false">INDEX(Master_Customer!$B$2:$B$126,MATCH(C829,Master_Customer!$A$2:$A$126,0))</f>
        <v>SINAR AUTO BERKAH</v>
      </c>
      <c r="E829" s="50" t="s">
        <v>30</v>
      </c>
      <c r="F829" s="52" t="n">
        <f aca="false">SUMIFS(Data_Penjualan!$G$2:$G$5998,Data_Penjualan!$A$2:$A$5998,A829)</f>
        <v>12711100</v>
      </c>
      <c r="G829" s="39" t="n">
        <f aca="false">IF(E829="KANTOR",0,INDEX(Master_Customer!$C$2:$C$126,MATCH(C829,Master_Customer!$A$2:$A$126,0)))</f>
        <v>30</v>
      </c>
      <c r="H829" s="53" t="n">
        <f aca="false">B829+G829</f>
        <v>45865</v>
      </c>
      <c r="I829" s="51" t="n">
        <v>45839</v>
      </c>
      <c r="J829" s="39" t="str">
        <f aca="false">IF(G829=0,"Tunai",IF(I829="","Belum ditukar","Sudah ditukar"))</f>
        <v>Sudah ditukar</v>
      </c>
      <c r="K829" s="54" t="n">
        <v>4263000</v>
      </c>
      <c r="L829" s="51" t="n">
        <v>45927</v>
      </c>
      <c r="M829" s="52" t="n">
        <f aca="false">F829-K829</f>
        <v>8448100</v>
      </c>
      <c r="N829" s="39" t="str">
        <f aca="false">IF(M829&lt;=0,"Lunas",IF(K829&gt;0,"Sebagian","Belum Bayar"))</f>
        <v>Sebagian</v>
      </c>
      <c r="O829" s="39" t="n">
        <f aca="false">IF(M829&gt;0,MAX(0,Catatan!$B$3-H829),0)</f>
        <v>157</v>
      </c>
      <c r="P829" s="39" t="str">
        <f aca="false">IF(M829&lt;=0,"Lunas",IF(Catatan!$B$3&lt;=H829,"Belum Jatuh Tempo",IF(O829&lt;=30,"1-30 hari",IF(O829&lt;=60,"31-60 hari",IF(O829&lt;=90,"61-90 hari","90+ hari")))))</f>
        <v>90+ hari</v>
      </c>
      <c r="Q829" s="50" t="s">
        <v>338</v>
      </c>
      <c r="R829" s="39" t="str">
        <f aca="false">IF(M829&lt;=0,"",IF(O829&gt;60,"1-Tinggi",IF(O829&gt;30,"2-Sedang",IF(O829&gt;0,"3-Rendah","4-Pantau"))))</f>
        <v>1-Tinggi</v>
      </c>
      <c r="S829" s="39" t="n">
        <f aca="false">IF(AND(M829&gt;0,O829&gt;0),O829+M829/1000000000000+ROW()/1000000000000000,"")</f>
        <v>157.000008448101</v>
      </c>
      <c r="T829" s="39" t="str">
        <f aca="false">IF(J829="Belum ditukar",ROW(),"")</f>
        <v/>
      </c>
    </row>
    <row r="830" customFormat="false" ht="15" hidden="false" customHeight="false" outlineLevel="0" collapsed="false">
      <c r="A830" s="50" t="s">
        <v>1113</v>
      </c>
      <c r="B830" s="51" t="n">
        <v>45835</v>
      </c>
      <c r="C830" s="50" t="s">
        <v>298</v>
      </c>
      <c r="D830" s="39" t="str">
        <f aca="false">INDEX(Master_Customer!$B$2:$B$126,MATCH(C830,Master_Customer!$A$2:$A$126,0))</f>
        <v>BERKAH MOBIL MAKMUR</v>
      </c>
      <c r="E830" s="50" t="s">
        <v>31</v>
      </c>
      <c r="F830" s="52" t="n">
        <f aca="false">SUMIFS(Data_Penjualan!$G$2:$G$5998,Data_Penjualan!$A$2:$A$5998,A830)</f>
        <v>5094700</v>
      </c>
      <c r="G830" s="39" t="n">
        <f aca="false">IF(E830="KANTOR",0,INDEX(Master_Customer!$C$2:$C$126,MATCH(C830,Master_Customer!$A$2:$A$126,0)))</f>
        <v>14</v>
      </c>
      <c r="H830" s="53" t="n">
        <f aca="false">B830+G830</f>
        <v>45849</v>
      </c>
      <c r="I830" s="51" t="n">
        <v>45836</v>
      </c>
      <c r="J830" s="39" t="str">
        <f aca="false">IF(G830=0,"Tunai",IF(I830="","Belum ditukar","Sudah ditukar"))</f>
        <v>Sudah ditukar</v>
      </c>
      <c r="K830" s="54" t="n">
        <v>5094700</v>
      </c>
      <c r="L830" s="51" t="n">
        <v>45898</v>
      </c>
      <c r="M830" s="52" t="n">
        <f aca="false">F830-K830</f>
        <v>0</v>
      </c>
      <c r="N830" s="39" t="str">
        <f aca="false">IF(M830&lt;=0,"Lunas",IF(K830&gt;0,"Sebagian","Belum Bayar"))</f>
        <v>Lunas</v>
      </c>
      <c r="O830" s="39" t="n">
        <f aca="false">IF(M830&gt;0,MAX(0,Catatan!$B$3-H830),0)</f>
        <v>0</v>
      </c>
      <c r="P830" s="39" t="str">
        <f aca="false">IF(M830&lt;=0,"Lunas",IF(Catatan!$B$3&lt;=H830,"Belum Jatuh Tempo",IF(O830&lt;=30,"1-30 hari",IF(O830&lt;=60,"31-60 hari",IF(O830&lt;=90,"61-90 hari","90+ hari")))))</f>
        <v>Lunas</v>
      </c>
      <c r="Q830" s="50"/>
      <c r="R830" s="39" t="str">
        <f aca="false">IF(M830&lt;=0,"",IF(O830&gt;60,"1-Tinggi",IF(O830&gt;30,"2-Sedang",IF(O830&gt;0,"3-Rendah","4-Pantau"))))</f>
        <v/>
      </c>
      <c r="S830" s="39" t="str">
        <f aca="false">IF(AND(M830&gt;0,O830&gt;0),O830+M830/1000000000000+ROW()/1000000000000000,"")</f>
        <v/>
      </c>
      <c r="T830" s="39" t="str">
        <f aca="false">IF(J830="Belum ditukar",ROW(),"")</f>
        <v/>
      </c>
    </row>
    <row r="831" customFormat="false" ht="15" hidden="false" customHeight="false" outlineLevel="0" collapsed="false">
      <c r="A831" s="50" t="s">
        <v>1114</v>
      </c>
      <c r="B831" s="51" t="n">
        <v>45835</v>
      </c>
      <c r="C831" s="50" t="s">
        <v>168</v>
      </c>
      <c r="D831" s="39" t="str">
        <f aca="false">INDEX(Master_Customer!$B$2:$B$126,MATCH(C831,Master_Customer!$A$2:$A$126,0))</f>
        <v>JAYA LUBRICANT</v>
      </c>
      <c r="E831" s="50" t="s">
        <v>29</v>
      </c>
      <c r="F831" s="52" t="n">
        <f aca="false">SUMIFS(Data_Penjualan!$G$2:$G$5998,Data_Penjualan!$A$2:$A$5998,A831)</f>
        <v>4246000</v>
      </c>
      <c r="G831" s="39" t="n">
        <f aca="false">IF(E831="KANTOR",0,INDEX(Master_Customer!$C$2:$C$126,MATCH(C831,Master_Customer!$A$2:$A$126,0)))</f>
        <v>0</v>
      </c>
      <c r="H831" s="53" t="n">
        <f aca="false">B831+G831</f>
        <v>45835</v>
      </c>
      <c r="J831" s="39" t="str">
        <f aca="false">IF(G831=0,"Tunai",IF(I831="","Belum ditukar","Sudah ditukar"))</f>
        <v>Tunai</v>
      </c>
      <c r="K831" s="54" t="n">
        <v>4246000</v>
      </c>
      <c r="L831" s="51" t="n">
        <v>45835</v>
      </c>
      <c r="M831" s="52" t="n">
        <f aca="false">F831-K831</f>
        <v>0</v>
      </c>
      <c r="N831" s="39" t="str">
        <f aca="false">IF(M831&lt;=0,"Lunas",IF(K831&gt;0,"Sebagian","Belum Bayar"))</f>
        <v>Lunas</v>
      </c>
      <c r="O831" s="39" t="n">
        <f aca="false">IF(M831&gt;0,MAX(0,Catatan!$B$3-H831),0)</f>
        <v>0</v>
      </c>
      <c r="P831" s="39" t="str">
        <f aca="false">IF(M831&lt;=0,"Lunas",IF(Catatan!$B$3&lt;=H831,"Belum Jatuh Tempo",IF(O831&lt;=30,"1-30 hari",IF(O831&lt;=60,"31-60 hari",IF(O831&lt;=90,"61-90 hari","90+ hari")))))</f>
        <v>Lunas</v>
      </c>
      <c r="Q831" s="50"/>
      <c r="R831" s="39" t="str">
        <f aca="false">IF(M831&lt;=0,"",IF(O831&gt;60,"1-Tinggi",IF(O831&gt;30,"2-Sedang",IF(O831&gt;0,"3-Rendah","4-Pantau"))))</f>
        <v/>
      </c>
      <c r="S831" s="39" t="str">
        <f aca="false">IF(AND(M831&gt;0,O831&gt;0),O831+M831/1000000000000+ROW()/1000000000000000,"")</f>
        <v/>
      </c>
      <c r="T831" s="39" t="str">
        <f aca="false">IF(J831="Belum ditukar",ROW(),"")</f>
        <v/>
      </c>
    </row>
    <row r="832" customFormat="false" ht="15" hidden="false" customHeight="false" outlineLevel="0" collapsed="false">
      <c r="A832" s="50" t="s">
        <v>1115</v>
      </c>
      <c r="B832" s="51" t="n">
        <v>45835</v>
      </c>
      <c r="C832" s="50" t="s">
        <v>481</v>
      </c>
      <c r="D832" s="39" t="str">
        <f aca="false">INDEX(Master_Customer!$B$2:$B$126,MATCH(C832,Master_Customer!$A$2:$A$126,0))</f>
        <v>MITRA GARAGE</v>
      </c>
      <c r="E832" s="50" t="s">
        <v>32</v>
      </c>
      <c r="F832" s="52" t="n">
        <f aca="false">SUMIFS(Data_Penjualan!$G$2:$G$5998,Data_Penjualan!$A$2:$A$5998,A832)</f>
        <v>832400</v>
      </c>
      <c r="G832" s="39" t="n">
        <f aca="false">IF(E832="KANTOR",0,INDEX(Master_Customer!$C$2:$C$126,MATCH(C832,Master_Customer!$A$2:$A$126,0)))</f>
        <v>0</v>
      </c>
      <c r="H832" s="53" t="n">
        <f aca="false">B832+G832</f>
        <v>45835</v>
      </c>
      <c r="J832" s="39" t="str">
        <f aca="false">IF(G832=0,"Tunai",IF(I832="","Belum ditukar","Sudah ditukar"))</f>
        <v>Tunai</v>
      </c>
      <c r="K832" s="54" t="n">
        <v>832400</v>
      </c>
      <c r="L832" s="51" t="n">
        <v>45836</v>
      </c>
      <c r="M832" s="52" t="n">
        <f aca="false">F832-K832</f>
        <v>0</v>
      </c>
      <c r="N832" s="39" t="str">
        <f aca="false">IF(M832&lt;=0,"Lunas",IF(K832&gt;0,"Sebagian","Belum Bayar"))</f>
        <v>Lunas</v>
      </c>
      <c r="O832" s="39" t="n">
        <f aca="false">IF(M832&gt;0,MAX(0,Catatan!$B$3-H832),0)</f>
        <v>0</v>
      </c>
      <c r="P832" s="39" t="str">
        <f aca="false">IF(M832&lt;=0,"Lunas",IF(Catatan!$B$3&lt;=H832,"Belum Jatuh Tempo",IF(O832&lt;=30,"1-30 hari",IF(O832&lt;=60,"31-60 hari",IF(O832&lt;=90,"61-90 hari","90+ hari")))))</f>
        <v>Lunas</v>
      </c>
      <c r="Q832" s="50"/>
      <c r="R832" s="39" t="str">
        <f aca="false">IF(M832&lt;=0,"",IF(O832&gt;60,"1-Tinggi",IF(O832&gt;30,"2-Sedang",IF(O832&gt;0,"3-Rendah","4-Pantau"))))</f>
        <v/>
      </c>
      <c r="S832" s="39" t="str">
        <f aca="false">IF(AND(M832&gt;0,O832&gt;0),O832+M832/1000000000000+ROW()/1000000000000000,"")</f>
        <v/>
      </c>
      <c r="T832" s="39" t="str">
        <f aca="false">IF(J832="Belum ditukar",ROW(),"")</f>
        <v/>
      </c>
    </row>
    <row r="833" customFormat="false" ht="15" hidden="false" customHeight="false" outlineLevel="0" collapsed="false">
      <c r="A833" s="50" t="s">
        <v>1116</v>
      </c>
      <c r="B833" s="51" t="n">
        <v>45835</v>
      </c>
      <c r="C833" s="50" t="s">
        <v>188</v>
      </c>
      <c r="D833" s="39" t="str">
        <f aca="false">INDEX(Master_Customer!$B$2:$B$126,MATCH(C833,Master_Customer!$A$2:$A$126,0))</f>
        <v>MAJU GARAGE TIRTA</v>
      </c>
      <c r="E833" s="50" t="s">
        <v>32</v>
      </c>
      <c r="F833" s="52" t="n">
        <f aca="false">SUMIFS(Data_Penjualan!$G$2:$G$5998,Data_Penjualan!$A$2:$A$5998,A833)</f>
        <v>9248300</v>
      </c>
      <c r="G833" s="39" t="n">
        <f aca="false">IF(E833="KANTOR",0,INDEX(Master_Customer!$C$2:$C$126,MATCH(C833,Master_Customer!$A$2:$A$126,0)))</f>
        <v>0</v>
      </c>
      <c r="H833" s="53" t="n">
        <f aca="false">B833+G833</f>
        <v>45835</v>
      </c>
      <c r="J833" s="39" t="str">
        <f aca="false">IF(G833=0,"Tunai",IF(I833="","Belum ditukar","Sudah ditukar"))</f>
        <v>Tunai</v>
      </c>
      <c r="K833" s="54" t="n">
        <v>9248300</v>
      </c>
      <c r="L833" s="51" t="n">
        <v>45837</v>
      </c>
      <c r="M833" s="52" t="n">
        <f aca="false">F833-K833</f>
        <v>0</v>
      </c>
      <c r="N833" s="39" t="str">
        <f aca="false">IF(M833&lt;=0,"Lunas",IF(K833&gt;0,"Sebagian","Belum Bayar"))</f>
        <v>Lunas</v>
      </c>
      <c r="O833" s="39" t="n">
        <f aca="false">IF(M833&gt;0,MAX(0,Catatan!$B$3-H833),0)</f>
        <v>0</v>
      </c>
      <c r="P833" s="39" t="str">
        <f aca="false">IF(M833&lt;=0,"Lunas",IF(Catatan!$B$3&lt;=H833,"Belum Jatuh Tempo",IF(O833&lt;=30,"1-30 hari",IF(O833&lt;=60,"31-60 hari",IF(O833&lt;=90,"61-90 hari","90+ hari")))))</f>
        <v>Lunas</v>
      </c>
      <c r="Q833" s="50"/>
      <c r="R833" s="39" t="str">
        <f aca="false">IF(M833&lt;=0,"",IF(O833&gt;60,"1-Tinggi",IF(O833&gt;30,"2-Sedang",IF(O833&gt;0,"3-Rendah","4-Pantau"))))</f>
        <v/>
      </c>
      <c r="S833" s="39" t="str">
        <f aca="false">IF(AND(M833&gt;0,O833&gt;0),O833+M833/1000000000000+ROW()/1000000000000000,"")</f>
        <v/>
      </c>
      <c r="T833" s="39" t="str">
        <f aca="false">IF(J833="Belum ditukar",ROW(),"")</f>
        <v/>
      </c>
    </row>
    <row r="834" customFormat="false" ht="15" hidden="false" customHeight="false" outlineLevel="0" collapsed="false">
      <c r="A834" s="50" t="s">
        <v>1117</v>
      </c>
      <c r="B834" s="51" t="n">
        <v>45835</v>
      </c>
      <c r="C834" s="50" t="s">
        <v>174</v>
      </c>
      <c r="D834" s="39" t="str">
        <f aca="false">INDEX(Master_Customer!$B$2:$B$126,MATCH(C834,Master_Customer!$A$2:$A$126,0))</f>
        <v>SUMBER TEKNIK SURYA</v>
      </c>
      <c r="E834" s="50" t="s">
        <v>32</v>
      </c>
      <c r="F834" s="52" t="n">
        <f aca="false">SUMIFS(Data_Penjualan!$G$2:$G$5998,Data_Penjualan!$A$2:$A$5998,A834)</f>
        <v>10386100</v>
      </c>
      <c r="G834" s="39" t="n">
        <f aca="false">IF(E834="KANTOR",0,INDEX(Master_Customer!$C$2:$C$126,MATCH(C834,Master_Customer!$A$2:$A$126,0)))</f>
        <v>0</v>
      </c>
      <c r="H834" s="53" t="n">
        <f aca="false">B834+G834</f>
        <v>45835</v>
      </c>
      <c r="J834" s="39" t="str">
        <f aca="false">IF(G834=0,"Tunai",IF(I834="","Belum ditukar","Sudah ditukar"))</f>
        <v>Tunai</v>
      </c>
      <c r="K834" s="54" t="n">
        <v>10386100</v>
      </c>
      <c r="L834" s="51" t="n">
        <v>45836</v>
      </c>
      <c r="M834" s="52" t="n">
        <f aca="false">F834-K834</f>
        <v>0</v>
      </c>
      <c r="N834" s="39" t="str">
        <f aca="false">IF(M834&lt;=0,"Lunas",IF(K834&gt;0,"Sebagian","Belum Bayar"))</f>
        <v>Lunas</v>
      </c>
      <c r="O834" s="39" t="n">
        <f aca="false">IF(M834&gt;0,MAX(0,Catatan!$B$3-H834),0)</f>
        <v>0</v>
      </c>
      <c r="P834" s="39" t="str">
        <f aca="false">IF(M834&lt;=0,"Lunas",IF(Catatan!$B$3&lt;=H834,"Belum Jatuh Tempo",IF(O834&lt;=30,"1-30 hari",IF(O834&lt;=60,"31-60 hari",IF(O834&lt;=90,"61-90 hari","90+ hari")))))</f>
        <v>Lunas</v>
      </c>
      <c r="Q834" s="50"/>
      <c r="R834" s="39" t="str">
        <f aca="false">IF(M834&lt;=0,"",IF(O834&gt;60,"1-Tinggi",IF(O834&gt;30,"2-Sedang",IF(O834&gt;0,"3-Rendah","4-Pantau"))))</f>
        <v/>
      </c>
      <c r="S834" s="39" t="str">
        <f aca="false">IF(AND(M834&gt;0,O834&gt;0),O834+M834/1000000000000+ROW()/1000000000000000,"")</f>
        <v/>
      </c>
      <c r="T834" s="39" t="str">
        <f aca="false">IF(J834="Belum ditukar",ROW(),"")</f>
        <v/>
      </c>
    </row>
    <row r="835" customFormat="false" ht="15" hidden="false" customHeight="false" outlineLevel="0" collapsed="false">
      <c r="A835" s="50" t="s">
        <v>1118</v>
      </c>
      <c r="B835" s="51" t="n">
        <v>45836</v>
      </c>
      <c r="C835" s="50" t="s">
        <v>298</v>
      </c>
      <c r="D835" s="39" t="str">
        <f aca="false">INDEX(Master_Customer!$B$2:$B$126,MATCH(C835,Master_Customer!$A$2:$A$126,0))</f>
        <v>BERKAH MOBIL MAKMUR</v>
      </c>
      <c r="E835" s="50" t="s">
        <v>32</v>
      </c>
      <c r="F835" s="52" t="n">
        <f aca="false">SUMIFS(Data_Penjualan!$G$2:$G$5998,Data_Penjualan!$A$2:$A$5998,A835)</f>
        <v>5138800</v>
      </c>
      <c r="G835" s="39" t="n">
        <f aca="false">IF(E835="KANTOR",0,INDEX(Master_Customer!$C$2:$C$126,MATCH(C835,Master_Customer!$A$2:$A$126,0)))</f>
        <v>0</v>
      </c>
      <c r="H835" s="53" t="n">
        <f aca="false">B835+G835</f>
        <v>45836</v>
      </c>
      <c r="J835" s="39" t="str">
        <f aca="false">IF(G835=0,"Tunai",IF(I835="","Belum ditukar","Sudah ditukar"))</f>
        <v>Tunai</v>
      </c>
      <c r="K835" s="54" t="n">
        <v>5138800</v>
      </c>
      <c r="L835" s="51" t="n">
        <v>45836</v>
      </c>
      <c r="M835" s="52" t="n">
        <f aca="false">F835-K835</f>
        <v>0</v>
      </c>
      <c r="N835" s="39" t="str">
        <f aca="false">IF(M835&lt;=0,"Lunas",IF(K835&gt;0,"Sebagian","Belum Bayar"))</f>
        <v>Lunas</v>
      </c>
      <c r="O835" s="39" t="n">
        <f aca="false">IF(M835&gt;0,MAX(0,Catatan!$B$3-H835),0)</f>
        <v>0</v>
      </c>
      <c r="P835" s="39" t="str">
        <f aca="false">IF(M835&lt;=0,"Lunas",IF(Catatan!$B$3&lt;=H835,"Belum Jatuh Tempo",IF(O835&lt;=30,"1-30 hari",IF(O835&lt;=60,"31-60 hari",IF(O835&lt;=90,"61-90 hari","90+ hari")))))</f>
        <v>Lunas</v>
      </c>
      <c r="Q835" s="50"/>
      <c r="R835" s="39" t="str">
        <f aca="false">IF(M835&lt;=0,"",IF(O835&gt;60,"1-Tinggi",IF(O835&gt;30,"2-Sedang",IF(O835&gt;0,"3-Rendah","4-Pantau"))))</f>
        <v/>
      </c>
      <c r="S835" s="39" t="str">
        <f aca="false">IF(AND(M835&gt;0,O835&gt;0),O835+M835/1000000000000+ROW()/1000000000000000,"")</f>
        <v/>
      </c>
      <c r="T835" s="39" t="str">
        <f aca="false">IF(J835="Belum ditukar",ROW(),"")</f>
        <v/>
      </c>
    </row>
    <row r="836" customFormat="false" ht="15" hidden="false" customHeight="false" outlineLevel="0" collapsed="false">
      <c r="A836" s="50" t="s">
        <v>1119</v>
      </c>
      <c r="B836" s="51" t="n">
        <v>45836</v>
      </c>
      <c r="C836" s="50" t="s">
        <v>166</v>
      </c>
      <c r="D836" s="39" t="str">
        <f aca="false">INDEX(Master_Customer!$B$2:$B$126,MATCH(C836,Master_Customer!$A$2:$A$126,0))</f>
        <v>SENTOSA SERVICE</v>
      </c>
      <c r="E836" s="50" t="s">
        <v>32</v>
      </c>
      <c r="F836" s="52" t="n">
        <f aca="false">SUMIFS(Data_Penjualan!$G$2:$G$5998,Data_Penjualan!$A$2:$A$5998,A836)</f>
        <v>14469200</v>
      </c>
      <c r="G836" s="39" t="n">
        <f aca="false">IF(E836="KANTOR",0,INDEX(Master_Customer!$C$2:$C$126,MATCH(C836,Master_Customer!$A$2:$A$126,0)))</f>
        <v>0</v>
      </c>
      <c r="H836" s="53" t="n">
        <f aca="false">B836+G836</f>
        <v>45836</v>
      </c>
      <c r="J836" s="39" t="str">
        <f aca="false">IF(G836=0,"Tunai",IF(I836="","Belum ditukar","Sudah ditukar"))</f>
        <v>Tunai</v>
      </c>
      <c r="K836" s="54" t="n">
        <v>14469200</v>
      </c>
      <c r="L836" s="51" t="n">
        <v>45836</v>
      </c>
      <c r="M836" s="52" t="n">
        <f aca="false">F836-K836</f>
        <v>0</v>
      </c>
      <c r="N836" s="39" t="str">
        <f aca="false">IF(M836&lt;=0,"Lunas",IF(K836&gt;0,"Sebagian","Belum Bayar"))</f>
        <v>Lunas</v>
      </c>
      <c r="O836" s="39" t="n">
        <f aca="false">IF(M836&gt;0,MAX(0,Catatan!$B$3-H836),0)</f>
        <v>0</v>
      </c>
      <c r="P836" s="39" t="str">
        <f aca="false">IF(M836&lt;=0,"Lunas",IF(Catatan!$B$3&lt;=H836,"Belum Jatuh Tempo",IF(O836&lt;=30,"1-30 hari",IF(O836&lt;=60,"31-60 hari",IF(O836&lt;=90,"61-90 hari","90+ hari")))))</f>
        <v>Lunas</v>
      </c>
      <c r="Q836" s="50"/>
      <c r="R836" s="39" t="str">
        <f aca="false">IF(M836&lt;=0,"",IF(O836&gt;60,"1-Tinggi",IF(O836&gt;30,"2-Sedang",IF(O836&gt;0,"3-Rendah","4-Pantau"))))</f>
        <v/>
      </c>
      <c r="S836" s="39" t="str">
        <f aca="false">IF(AND(M836&gt;0,O836&gt;0),O836+M836/1000000000000+ROW()/1000000000000000,"")</f>
        <v/>
      </c>
      <c r="T836" s="39" t="str">
        <f aca="false">IF(J836="Belum ditukar",ROW(),"")</f>
        <v/>
      </c>
    </row>
    <row r="837" customFormat="false" ht="15" hidden="false" customHeight="false" outlineLevel="0" collapsed="false">
      <c r="A837" s="50" t="s">
        <v>1120</v>
      </c>
      <c r="B837" s="51" t="n">
        <v>45838</v>
      </c>
      <c r="C837" s="50" t="s">
        <v>329</v>
      </c>
      <c r="D837" s="39" t="str">
        <f aca="false">INDEX(Master_Customer!$B$2:$B$126,MATCH(C837,Master_Customer!$A$2:$A$126,0))</f>
        <v>MAKMUR OLI</v>
      </c>
      <c r="E837" s="50" t="s">
        <v>28</v>
      </c>
      <c r="F837" s="52" t="n">
        <f aca="false">SUMIFS(Data_Penjualan!$G$2:$G$5998,Data_Penjualan!$A$2:$A$5998,A837)</f>
        <v>9592000</v>
      </c>
      <c r="G837" s="39" t="n">
        <f aca="false">IF(E837="KANTOR",0,INDEX(Master_Customer!$C$2:$C$126,MATCH(C837,Master_Customer!$A$2:$A$126,0)))</f>
        <v>45</v>
      </c>
      <c r="H837" s="53" t="n">
        <f aca="false">B837+G837</f>
        <v>45883</v>
      </c>
      <c r="I837" s="51" t="n">
        <v>45839</v>
      </c>
      <c r="J837" s="39" t="str">
        <f aca="false">IF(G837=0,"Tunai",IF(I837="","Belum ditukar","Sudah ditukar"))</f>
        <v>Sudah ditukar</v>
      </c>
      <c r="K837" s="54" t="n">
        <v>9592000</v>
      </c>
      <c r="L837" s="51" t="n">
        <v>45920</v>
      </c>
      <c r="M837" s="52" t="n">
        <f aca="false">F837-K837</f>
        <v>0</v>
      </c>
      <c r="N837" s="39" t="str">
        <f aca="false">IF(M837&lt;=0,"Lunas",IF(K837&gt;0,"Sebagian","Belum Bayar"))</f>
        <v>Lunas</v>
      </c>
      <c r="O837" s="39" t="n">
        <f aca="false">IF(M837&gt;0,MAX(0,Catatan!$B$3-H837),0)</f>
        <v>0</v>
      </c>
      <c r="P837" s="39" t="str">
        <f aca="false">IF(M837&lt;=0,"Lunas",IF(Catatan!$B$3&lt;=H837,"Belum Jatuh Tempo",IF(O837&lt;=30,"1-30 hari",IF(O837&lt;=60,"31-60 hari",IF(O837&lt;=90,"61-90 hari","90+ hari")))))</f>
        <v>Lunas</v>
      </c>
      <c r="Q837" s="50"/>
      <c r="R837" s="39" t="str">
        <f aca="false">IF(M837&lt;=0,"",IF(O837&gt;60,"1-Tinggi",IF(O837&gt;30,"2-Sedang",IF(O837&gt;0,"3-Rendah","4-Pantau"))))</f>
        <v/>
      </c>
      <c r="S837" s="39" t="str">
        <f aca="false">IF(AND(M837&gt;0,O837&gt;0),O837+M837/1000000000000+ROW()/1000000000000000,"")</f>
        <v/>
      </c>
      <c r="T837" s="39" t="str">
        <f aca="false">IF(J837="Belum ditukar",ROW(),"")</f>
        <v/>
      </c>
    </row>
    <row r="838" customFormat="false" ht="15" hidden="false" customHeight="false" outlineLevel="0" collapsed="false">
      <c r="A838" s="50" t="s">
        <v>1121</v>
      </c>
      <c r="B838" s="51" t="n">
        <v>45838</v>
      </c>
      <c r="C838" s="50" t="s">
        <v>574</v>
      </c>
      <c r="D838" s="39" t="str">
        <f aca="false">INDEX(Master_Customer!$B$2:$B$126,MATCH(C838,Master_Customer!$A$2:$A$126,0))</f>
        <v>ABADI SERVICE ABADI</v>
      </c>
      <c r="E838" s="50" t="s">
        <v>32</v>
      </c>
      <c r="F838" s="52" t="n">
        <f aca="false">SUMIFS(Data_Penjualan!$G$2:$G$5998,Data_Penjualan!$A$2:$A$5998,A838)</f>
        <v>26970500</v>
      </c>
      <c r="G838" s="39" t="n">
        <f aca="false">IF(E838="KANTOR",0,INDEX(Master_Customer!$C$2:$C$126,MATCH(C838,Master_Customer!$A$2:$A$126,0)))</f>
        <v>0</v>
      </c>
      <c r="H838" s="53" t="n">
        <f aca="false">B838+G838</f>
        <v>45838</v>
      </c>
      <c r="J838" s="39" t="str">
        <f aca="false">IF(G838=0,"Tunai",IF(I838="","Belum ditukar","Sudah ditukar"))</f>
        <v>Tunai</v>
      </c>
      <c r="K838" s="54" t="n">
        <v>26970500</v>
      </c>
      <c r="L838" s="51" t="n">
        <v>45838</v>
      </c>
      <c r="M838" s="52" t="n">
        <f aca="false">F838-K838</f>
        <v>0</v>
      </c>
      <c r="N838" s="39" t="str">
        <f aca="false">IF(M838&lt;=0,"Lunas",IF(K838&gt;0,"Sebagian","Belum Bayar"))</f>
        <v>Lunas</v>
      </c>
      <c r="O838" s="39" t="n">
        <f aca="false">IF(M838&gt;0,MAX(0,Catatan!$B$3-H838),0)</f>
        <v>0</v>
      </c>
      <c r="P838" s="39" t="str">
        <f aca="false">IF(M838&lt;=0,"Lunas",IF(Catatan!$B$3&lt;=H838,"Belum Jatuh Tempo",IF(O838&lt;=30,"1-30 hari",IF(O838&lt;=60,"31-60 hari",IF(O838&lt;=90,"61-90 hari","90+ hari")))))</f>
        <v>Lunas</v>
      </c>
      <c r="Q838" s="50"/>
      <c r="R838" s="39" t="str">
        <f aca="false">IF(M838&lt;=0,"",IF(O838&gt;60,"1-Tinggi",IF(O838&gt;30,"2-Sedang",IF(O838&gt;0,"3-Rendah","4-Pantau"))))</f>
        <v/>
      </c>
      <c r="S838" s="39" t="str">
        <f aca="false">IF(AND(M838&gt;0,O838&gt;0),O838+M838/1000000000000+ROW()/1000000000000000,"")</f>
        <v/>
      </c>
      <c r="T838" s="39" t="str">
        <f aca="false">IF(J838="Belum ditukar",ROW(),"")</f>
        <v/>
      </c>
    </row>
    <row r="839" customFormat="false" ht="15" hidden="false" customHeight="false" outlineLevel="0" collapsed="false">
      <c r="A839" s="50" t="s">
        <v>1122</v>
      </c>
      <c r="B839" s="51" t="n">
        <v>45838</v>
      </c>
      <c r="C839" s="50" t="s">
        <v>223</v>
      </c>
      <c r="D839" s="39" t="str">
        <f aca="false">INDEX(Master_Customer!$B$2:$B$126,MATCH(C839,Master_Customer!$A$2:$A$126,0))</f>
        <v>ABADI AUTO UTAMA</v>
      </c>
      <c r="E839" s="50" t="s">
        <v>31</v>
      </c>
      <c r="F839" s="52" t="n">
        <f aca="false">SUMIFS(Data_Penjualan!$G$2:$G$5998,Data_Penjualan!$A$2:$A$5998,A839)</f>
        <v>4493700</v>
      </c>
      <c r="G839" s="39" t="n">
        <f aca="false">IF(E839="KANTOR",0,INDEX(Master_Customer!$C$2:$C$126,MATCH(C839,Master_Customer!$A$2:$A$126,0)))</f>
        <v>14</v>
      </c>
      <c r="H839" s="53" t="n">
        <f aca="false">B839+G839</f>
        <v>45852</v>
      </c>
      <c r="I839" s="51" t="n">
        <v>45840</v>
      </c>
      <c r="J839" s="39" t="str">
        <f aca="false">IF(G839=0,"Tunai",IF(I839="","Belum ditukar","Sudah ditukar"))</f>
        <v>Sudah ditukar</v>
      </c>
      <c r="K839" s="54" t="n">
        <v>4493700</v>
      </c>
      <c r="L839" s="51" t="n">
        <v>45892</v>
      </c>
      <c r="M839" s="52" t="n">
        <f aca="false">F839-K839</f>
        <v>0</v>
      </c>
      <c r="N839" s="39" t="str">
        <f aca="false">IF(M839&lt;=0,"Lunas",IF(K839&gt;0,"Sebagian","Belum Bayar"))</f>
        <v>Lunas</v>
      </c>
      <c r="O839" s="39" t="n">
        <f aca="false">IF(M839&gt;0,MAX(0,Catatan!$B$3-H839),0)</f>
        <v>0</v>
      </c>
      <c r="P839" s="39" t="str">
        <f aca="false">IF(M839&lt;=0,"Lunas",IF(Catatan!$B$3&lt;=H839,"Belum Jatuh Tempo",IF(O839&lt;=30,"1-30 hari",IF(O839&lt;=60,"31-60 hari",IF(O839&lt;=90,"61-90 hari","90+ hari")))))</f>
        <v>Lunas</v>
      </c>
      <c r="Q839" s="50"/>
      <c r="R839" s="39" t="str">
        <f aca="false">IF(M839&lt;=0,"",IF(O839&gt;60,"1-Tinggi",IF(O839&gt;30,"2-Sedang",IF(O839&gt;0,"3-Rendah","4-Pantau"))))</f>
        <v/>
      </c>
      <c r="S839" s="39" t="str">
        <f aca="false">IF(AND(M839&gt;0,O839&gt;0),O839+M839/1000000000000+ROW()/1000000000000000,"")</f>
        <v/>
      </c>
      <c r="T839" s="39" t="str">
        <f aca="false">IF(J839="Belum ditukar",ROW(),"")</f>
        <v/>
      </c>
    </row>
    <row r="840" customFormat="false" ht="15" hidden="false" customHeight="false" outlineLevel="0" collapsed="false">
      <c r="A840" s="50" t="s">
        <v>1123</v>
      </c>
      <c r="B840" s="51" t="n">
        <v>45838</v>
      </c>
      <c r="C840" s="50" t="s">
        <v>590</v>
      </c>
      <c r="D840" s="39" t="str">
        <f aca="false">INDEX(Master_Customer!$B$2:$B$126,MATCH(C840,Master_Customer!$A$2:$A$126,0))</f>
        <v>BINTANG MOTOR</v>
      </c>
      <c r="E840" s="50" t="s">
        <v>30</v>
      </c>
      <c r="F840" s="52" t="n">
        <f aca="false">SUMIFS(Data_Penjualan!$G$2:$G$5998,Data_Penjualan!$A$2:$A$5998,A840)</f>
        <v>13746100</v>
      </c>
      <c r="G840" s="39" t="n">
        <f aca="false">IF(E840="KANTOR",0,INDEX(Master_Customer!$C$2:$C$126,MATCH(C840,Master_Customer!$A$2:$A$126,0)))</f>
        <v>30</v>
      </c>
      <c r="H840" s="53" t="n">
        <f aca="false">B840+G840</f>
        <v>45868</v>
      </c>
      <c r="I840" s="51" t="n">
        <v>45841</v>
      </c>
      <c r="J840" s="39" t="str">
        <f aca="false">IF(G840=0,"Tunai",IF(I840="","Belum ditukar","Sudah ditukar"))</f>
        <v>Sudah ditukar</v>
      </c>
      <c r="K840" s="54" t="n">
        <v>13746100</v>
      </c>
      <c r="L840" s="51" t="n">
        <v>45874</v>
      </c>
      <c r="M840" s="52" t="n">
        <f aca="false">F840-K840</f>
        <v>0</v>
      </c>
      <c r="N840" s="39" t="str">
        <f aca="false">IF(M840&lt;=0,"Lunas",IF(K840&gt;0,"Sebagian","Belum Bayar"))</f>
        <v>Lunas</v>
      </c>
      <c r="O840" s="39" t="n">
        <f aca="false">IF(M840&gt;0,MAX(0,Catatan!$B$3-H840),0)</f>
        <v>0</v>
      </c>
      <c r="P840" s="39" t="str">
        <f aca="false">IF(M840&lt;=0,"Lunas",IF(Catatan!$B$3&lt;=H840,"Belum Jatuh Tempo",IF(O840&lt;=30,"1-30 hari",IF(O840&lt;=60,"31-60 hari",IF(O840&lt;=90,"61-90 hari","90+ hari")))))</f>
        <v>Lunas</v>
      </c>
      <c r="Q840" s="50"/>
      <c r="R840" s="39" t="str">
        <f aca="false">IF(M840&lt;=0,"",IF(O840&gt;60,"1-Tinggi",IF(O840&gt;30,"2-Sedang",IF(O840&gt;0,"3-Rendah","4-Pantau"))))</f>
        <v/>
      </c>
      <c r="S840" s="39" t="str">
        <f aca="false">IF(AND(M840&gt;0,O840&gt;0),O840+M840/1000000000000+ROW()/1000000000000000,"")</f>
        <v/>
      </c>
      <c r="T840" s="39" t="str">
        <f aca="false">IF(J840="Belum ditukar",ROW(),"")</f>
        <v/>
      </c>
    </row>
    <row r="841" customFormat="false" ht="15" hidden="false" customHeight="false" outlineLevel="0" collapsed="false">
      <c r="A841" s="50" t="s">
        <v>1124</v>
      </c>
      <c r="B841" s="51" t="n">
        <v>45839</v>
      </c>
      <c r="C841" s="50" t="s">
        <v>329</v>
      </c>
      <c r="D841" s="39" t="str">
        <f aca="false">INDEX(Master_Customer!$B$2:$B$126,MATCH(C841,Master_Customer!$A$2:$A$126,0))</f>
        <v>MAKMUR OLI</v>
      </c>
      <c r="E841" s="50" t="s">
        <v>28</v>
      </c>
      <c r="F841" s="52" t="n">
        <f aca="false">SUMIFS(Data_Penjualan!$G$2:$G$5998,Data_Penjualan!$A$2:$A$5998,A841)</f>
        <v>10241500</v>
      </c>
      <c r="G841" s="39" t="n">
        <f aca="false">IF(E841="KANTOR",0,INDEX(Master_Customer!$C$2:$C$126,MATCH(C841,Master_Customer!$A$2:$A$126,0)))</f>
        <v>45</v>
      </c>
      <c r="H841" s="53" t="n">
        <f aca="false">B841+G841</f>
        <v>45884</v>
      </c>
      <c r="I841" s="51" t="n">
        <v>45840</v>
      </c>
      <c r="J841" s="39" t="str">
        <f aca="false">IF(G841=0,"Tunai",IF(I841="","Belum ditukar","Sudah ditukar"))</f>
        <v>Sudah ditukar</v>
      </c>
      <c r="K841" s="54" t="n">
        <v>7977400</v>
      </c>
      <c r="L841" s="51" t="n">
        <v>45920</v>
      </c>
      <c r="M841" s="52" t="n">
        <f aca="false">F841-K841</f>
        <v>2264100</v>
      </c>
      <c r="N841" s="39" t="str">
        <f aca="false">IF(M841&lt;=0,"Lunas",IF(K841&gt;0,"Sebagian","Belum Bayar"))</f>
        <v>Sebagian</v>
      </c>
      <c r="O841" s="39" t="n">
        <f aca="false">IF(M841&gt;0,MAX(0,Catatan!$B$3-H841),0)</f>
        <v>138</v>
      </c>
      <c r="P841" s="39" t="str">
        <f aca="false">IF(M841&lt;=0,"Lunas",IF(Catatan!$B$3&lt;=H841,"Belum Jatuh Tempo",IF(O841&lt;=30,"1-30 hari",IF(O841&lt;=60,"31-60 hari",IF(O841&lt;=90,"61-90 hari","90+ hari")))))</f>
        <v>90+ hari</v>
      </c>
      <c r="Q841" s="50" t="s">
        <v>497</v>
      </c>
      <c r="R841" s="39" t="str">
        <f aca="false">IF(M841&lt;=0,"",IF(O841&gt;60,"1-Tinggi",IF(O841&gt;30,"2-Sedang",IF(O841&gt;0,"3-Rendah","4-Pantau"))))</f>
        <v>1-Tinggi</v>
      </c>
      <c r="S841" s="39" t="n">
        <f aca="false">IF(AND(M841&gt;0,O841&gt;0),O841+M841/1000000000000+ROW()/1000000000000000,"")</f>
        <v>138.000002264101</v>
      </c>
      <c r="T841" s="39" t="str">
        <f aca="false">IF(J841="Belum ditukar",ROW(),"")</f>
        <v/>
      </c>
    </row>
    <row r="842" customFormat="false" ht="15" hidden="false" customHeight="false" outlineLevel="0" collapsed="false">
      <c r="A842" s="50" t="s">
        <v>1125</v>
      </c>
      <c r="B842" s="51" t="n">
        <v>45839</v>
      </c>
      <c r="C842" s="50" t="s">
        <v>207</v>
      </c>
      <c r="D842" s="39" t="str">
        <f aca="false">INDEX(Master_Customer!$B$2:$B$126,MATCH(C842,Master_Customer!$A$2:$A$126,0))</f>
        <v>MAKMUR AUTO HARAPAN</v>
      </c>
      <c r="E842" s="50" t="s">
        <v>29</v>
      </c>
      <c r="F842" s="52" t="n">
        <f aca="false">SUMIFS(Data_Penjualan!$G$2:$G$5998,Data_Penjualan!$A$2:$A$5998,A842)</f>
        <v>14712800</v>
      </c>
      <c r="G842" s="39" t="n">
        <f aca="false">IF(E842="KANTOR",0,INDEX(Master_Customer!$C$2:$C$126,MATCH(C842,Master_Customer!$A$2:$A$126,0)))</f>
        <v>30</v>
      </c>
      <c r="H842" s="53" t="n">
        <f aca="false">B842+G842</f>
        <v>45869</v>
      </c>
      <c r="I842" s="51" t="n">
        <v>45840</v>
      </c>
      <c r="J842" s="39" t="str">
        <f aca="false">IF(G842=0,"Tunai",IF(I842="","Belum ditukar","Sudah ditukar"))</f>
        <v>Sudah ditukar</v>
      </c>
      <c r="K842" s="54" t="n">
        <v>14712800</v>
      </c>
      <c r="L842" s="51" t="n">
        <v>45876</v>
      </c>
      <c r="M842" s="52" t="n">
        <f aca="false">F842-K842</f>
        <v>0</v>
      </c>
      <c r="N842" s="39" t="str">
        <f aca="false">IF(M842&lt;=0,"Lunas",IF(K842&gt;0,"Sebagian","Belum Bayar"))</f>
        <v>Lunas</v>
      </c>
      <c r="O842" s="39" t="n">
        <f aca="false">IF(M842&gt;0,MAX(0,Catatan!$B$3-H842),0)</f>
        <v>0</v>
      </c>
      <c r="P842" s="39" t="str">
        <f aca="false">IF(M842&lt;=0,"Lunas",IF(Catatan!$B$3&lt;=H842,"Belum Jatuh Tempo",IF(O842&lt;=30,"1-30 hari",IF(O842&lt;=60,"31-60 hari",IF(O842&lt;=90,"61-90 hari","90+ hari")))))</f>
        <v>Lunas</v>
      </c>
      <c r="Q842" s="50"/>
      <c r="R842" s="39" t="str">
        <f aca="false">IF(M842&lt;=0,"",IF(O842&gt;60,"1-Tinggi",IF(O842&gt;30,"2-Sedang",IF(O842&gt;0,"3-Rendah","4-Pantau"))))</f>
        <v/>
      </c>
      <c r="S842" s="39" t="str">
        <f aca="false">IF(AND(M842&gt;0,O842&gt;0),O842+M842/1000000000000+ROW()/1000000000000000,"")</f>
        <v/>
      </c>
      <c r="T842" s="39" t="str">
        <f aca="false">IF(J842="Belum ditukar",ROW(),"")</f>
        <v/>
      </c>
    </row>
    <row r="843" customFormat="false" ht="15" hidden="false" customHeight="false" outlineLevel="0" collapsed="false">
      <c r="A843" s="50" t="s">
        <v>1126</v>
      </c>
      <c r="B843" s="51" t="n">
        <v>45839</v>
      </c>
      <c r="C843" s="50" t="s">
        <v>205</v>
      </c>
      <c r="D843" s="39" t="str">
        <f aca="false">INDEX(Master_Customer!$B$2:$B$126,MATCH(C843,Master_Customer!$A$2:$A$126,0))</f>
        <v>BERKAH OLI</v>
      </c>
      <c r="E843" s="50" t="s">
        <v>28</v>
      </c>
      <c r="F843" s="52" t="n">
        <f aca="false">SUMIFS(Data_Penjualan!$G$2:$G$5998,Data_Penjualan!$A$2:$A$5998,A843)</f>
        <v>9058000</v>
      </c>
      <c r="G843" s="39" t="n">
        <f aca="false">IF(E843="KANTOR",0,INDEX(Master_Customer!$C$2:$C$126,MATCH(C843,Master_Customer!$A$2:$A$126,0)))</f>
        <v>0</v>
      </c>
      <c r="H843" s="53" t="n">
        <f aca="false">B843+G843</f>
        <v>45839</v>
      </c>
      <c r="J843" s="39" t="str">
        <f aca="false">IF(G843=0,"Tunai",IF(I843="","Belum ditukar","Sudah ditukar"))</f>
        <v>Tunai</v>
      </c>
      <c r="K843" s="54" t="n">
        <v>9058000</v>
      </c>
      <c r="L843" s="51" t="n">
        <v>45839</v>
      </c>
      <c r="M843" s="52" t="n">
        <f aca="false">F843-K843</f>
        <v>0</v>
      </c>
      <c r="N843" s="39" t="str">
        <f aca="false">IF(M843&lt;=0,"Lunas",IF(K843&gt;0,"Sebagian","Belum Bayar"))</f>
        <v>Lunas</v>
      </c>
      <c r="O843" s="39" t="n">
        <f aca="false">IF(M843&gt;0,MAX(0,Catatan!$B$3-H843),0)</f>
        <v>0</v>
      </c>
      <c r="P843" s="39" t="str">
        <f aca="false">IF(M843&lt;=0,"Lunas",IF(Catatan!$B$3&lt;=H843,"Belum Jatuh Tempo",IF(O843&lt;=30,"1-30 hari",IF(O843&lt;=60,"31-60 hari",IF(O843&lt;=90,"61-90 hari","90+ hari")))))</f>
        <v>Lunas</v>
      </c>
      <c r="Q843" s="50"/>
      <c r="R843" s="39" t="str">
        <f aca="false">IF(M843&lt;=0,"",IF(O843&gt;60,"1-Tinggi",IF(O843&gt;30,"2-Sedang",IF(O843&gt;0,"3-Rendah","4-Pantau"))))</f>
        <v/>
      </c>
      <c r="S843" s="39" t="str">
        <f aca="false">IF(AND(M843&gt;0,O843&gt;0),O843+M843/1000000000000+ROW()/1000000000000000,"")</f>
        <v/>
      </c>
      <c r="T843" s="39" t="str">
        <f aca="false">IF(J843="Belum ditukar",ROW(),"")</f>
        <v/>
      </c>
    </row>
    <row r="844" customFormat="false" ht="15" hidden="false" customHeight="false" outlineLevel="0" collapsed="false">
      <c r="A844" s="50" t="s">
        <v>1127</v>
      </c>
      <c r="B844" s="51" t="n">
        <v>45839</v>
      </c>
      <c r="C844" s="50" t="s">
        <v>174</v>
      </c>
      <c r="D844" s="39" t="str">
        <f aca="false">INDEX(Master_Customer!$B$2:$B$126,MATCH(C844,Master_Customer!$A$2:$A$126,0))</f>
        <v>SUMBER TEKNIK SURYA</v>
      </c>
      <c r="E844" s="50" t="s">
        <v>31</v>
      </c>
      <c r="F844" s="52" t="n">
        <f aca="false">SUMIFS(Data_Penjualan!$G$2:$G$5998,Data_Penjualan!$A$2:$A$5998,A844)</f>
        <v>10570400</v>
      </c>
      <c r="G844" s="39" t="n">
        <f aca="false">IF(E844="KANTOR",0,INDEX(Master_Customer!$C$2:$C$126,MATCH(C844,Master_Customer!$A$2:$A$126,0)))</f>
        <v>30</v>
      </c>
      <c r="H844" s="53" t="n">
        <f aca="false">B844+G844</f>
        <v>45869</v>
      </c>
      <c r="I844" s="51" t="n">
        <v>45841</v>
      </c>
      <c r="J844" s="39" t="str">
        <f aca="false">IF(G844=0,"Tunai",IF(I844="","Belum ditukar","Sudah ditukar"))</f>
        <v>Sudah ditukar</v>
      </c>
      <c r="K844" s="54" t="n">
        <v>10570400</v>
      </c>
      <c r="L844" s="51" t="n">
        <v>45873</v>
      </c>
      <c r="M844" s="52" t="n">
        <f aca="false">F844-K844</f>
        <v>0</v>
      </c>
      <c r="N844" s="39" t="str">
        <f aca="false">IF(M844&lt;=0,"Lunas",IF(K844&gt;0,"Sebagian","Belum Bayar"))</f>
        <v>Lunas</v>
      </c>
      <c r="O844" s="39" t="n">
        <f aca="false">IF(M844&gt;0,MAX(0,Catatan!$B$3-H844),0)</f>
        <v>0</v>
      </c>
      <c r="P844" s="39" t="str">
        <f aca="false">IF(M844&lt;=0,"Lunas",IF(Catatan!$B$3&lt;=H844,"Belum Jatuh Tempo",IF(O844&lt;=30,"1-30 hari",IF(O844&lt;=60,"31-60 hari",IF(O844&lt;=90,"61-90 hari","90+ hari")))))</f>
        <v>Lunas</v>
      </c>
      <c r="Q844" s="50"/>
      <c r="R844" s="39" t="str">
        <f aca="false">IF(M844&lt;=0,"",IF(O844&gt;60,"1-Tinggi",IF(O844&gt;30,"2-Sedang",IF(O844&gt;0,"3-Rendah","4-Pantau"))))</f>
        <v/>
      </c>
      <c r="S844" s="39" t="str">
        <f aca="false">IF(AND(M844&gt;0,O844&gt;0),O844+M844/1000000000000+ROW()/1000000000000000,"")</f>
        <v/>
      </c>
      <c r="T844" s="39" t="str">
        <f aca="false">IF(J844="Belum ditukar",ROW(),"")</f>
        <v/>
      </c>
    </row>
    <row r="845" customFormat="false" ht="15" hidden="false" customHeight="false" outlineLevel="0" collapsed="false">
      <c r="A845" s="50" t="s">
        <v>1128</v>
      </c>
      <c r="B845" s="51" t="n">
        <v>45839</v>
      </c>
      <c r="C845" s="50" t="s">
        <v>479</v>
      </c>
      <c r="D845" s="39" t="str">
        <f aca="false">INDEX(Master_Customer!$B$2:$B$126,MATCH(C845,Master_Customer!$A$2:$A$126,0))</f>
        <v>TIRTA TEKNIK TIRTA</v>
      </c>
      <c r="E845" s="50" t="s">
        <v>32</v>
      </c>
      <c r="F845" s="52" t="n">
        <f aca="false">SUMIFS(Data_Penjualan!$G$2:$G$5998,Data_Penjualan!$A$2:$A$5998,A845)</f>
        <v>16408100</v>
      </c>
      <c r="G845" s="39" t="n">
        <f aca="false">IF(E845="KANTOR",0,INDEX(Master_Customer!$C$2:$C$126,MATCH(C845,Master_Customer!$A$2:$A$126,0)))</f>
        <v>0</v>
      </c>
      <c r="H845" s="53" t="n">
        <f aca="false">B845+G845</f>
        <v>45839</v>
      </c>
      <c r="J845" s="39" t="str">
        <f aca="false">IF(G845=0,"Tunai",IF(I845="","Belum ditukar","Sudah ditukar"))</f>
        <v>Tunai</v>
      </c>
      <c r="K845" s="54" t="n">
        <v>16408100</v>
      </c>
      <c r="L845" s="51" t="n">
        <v>45839</v>
      </c>
      <c r="M845" s="52" t="n">
        <f aca="false">F845-K845</f>
        <v>0</v>
      </c>
      <c r="N845" s="39" t="str">
        <f aca="false">IF(M845&lt;=0,"Lunas",IF(K845&gt;0,"Sebagian","Belum Bayar"))</f>
        <v>Lunas</v>
      </c>
      <c r="O845" s="39" t="n">
        <f aca="false">IF(M845&gt;0,MAX(0,Catatan!$B$3-H845),0)</f>
        <v>0</v>
      </c>
      <c r="P845" s="39" t="str">
        <f aca="false">IF(M845&lt;=0,"Lunas",IF(Catatan!$B$3&lt;=H845,"Belum Jatuh Tempo",IF(O845&lt;=30,"1-30 hari",IF(O845&lt;=60,"31-60 hari",IF(O845&lt;=90,"61-90 hari","90+ hari")))))</f>
        <v>Lunas</v>
      </c>
      <c r="Q845" s="50"/>
      <c r="R845" s="39" t="str">
        <f aca="false">IF(M845&lt;=0,"",IF(O845&gt;60,"1-Tinggi",IF(O845&gt;30,"2-Sedang",IF(O845&gt;0,"3-Rendah","4-Pantau"))))</f>
        <v/>
      </c>
      <c r="S845" s="39" t="str">
        <f aca="false">IF(AND(M845&gt;0,O845&gt;0),O845+M845/1000000000000+ROW()/1000000000000000,"")</f>
        <v/>
      </c>
      <c r="T845" s="39" t="str">
        <f aca="false">IF(J845="Belum ditukar",ROW(),"")</f>
        <v/>
      </c>
    </row>
    <row r="846" customFormat="false" ht="15" hidden="false" customHeight="false" outlineLevel="0" collapsed="false">
      <c r="A846" s="50" t="s">
        <v>1129</v>
      </c>
      <c r="B846" s="51" t="n">
        <v>45839</v>
      </c>
      <c r="C846" s="50" t="s">
        <v>634</v>
      </c>
      <c r="D846" s="39" t="str">
        <f aca="false">INDEX(Master_Customer!$B$2:$B$126,MATCH(C846,Master_Customer!$A$2:$A$126,0))</f>
        <v>TIRTA GARAGE</v>
      </c>
      <c r="E846" s="50" t="s">
        <v>32</v>
      </c>
      <c r="F846" s="52" t="n">
        <f aca="false">SUMIFS(Data_Penjualan!$G$2:$G$5998,Data_Penjualan!$A$2:$A$5998,A846)</f>
        <v>1213400</v>
      </c>
      <c r="G846" s="39" t="n">
        <f aca="false">IF(E846="KANTOR",0,INDEX(Master_Customer!$C$2:$C$126,MATCH(C846,Master_Customer!$A$2:$A$126,0)))</f>
        <v>0</v>
      </c>
      <c r="H846" s="53" t="n">
        <f aca="false">B846+G846</f>
        <v>45839</v>
      </c>
      <c r="J846" s="39" t="str">
        <f aca="false">IF(G846=0,"Tunai",IF(I846="","Belum ditukar","Sudah ditukar"))</f>
        <v>Tunai</v>
      </c>
      <c r="K846" s="54" t="n">
        <v>1213400</v>
      </c>
      <c r="L846" s="51" t="n">
        <v>45839</v>
      </c>
      <c r="M846" s="52" t="n">
        <f aca="false">F846-K846</f>
        <v>0</v>
      </c>
      <c r="N846" s="39" t="str">
        <f aca="false">IF(M846&lt;=0,"Lunas",IF(K846&gt;0,"Sebagian","Belum Bayar"))</f>
        <v>Lunas</v>
      </c>
      <c r="O846" s="39" t="n">
        <f aca="false">IF(M846&gt;0,MAX(0,Catatan!$B$3-H846),0)</f>
        <v>0</v>
      </c>
      <c r="P846" s="39" t="str">
        <f aca="false">IF(M846&lt;=0,"Lunas",IF(Catatan!$B$3&lt;=H846,"Belum Jatuh Tempo",IF(O846&lt;=30,"1-30 hari",IF(O846&lt;=60,"31-60 hari",IF(O846&lt;=90,"61-90 hari","90+ hari")))))</f>
        <v>Lunas</v>
      </c>
      <c r="Q846" s="50"/>
      <c r="R846" s="39" t="str">
        <f aca="false">IF(M846&lt;=0,"",IF(O846&gt;60,"1-Tinggi",IF(O846&gt;30,"2-Sedang",IF(O846&gt;0,"3-Rendah","4-Pantau"))))</f>
        <v/>
      </c>
      <c r="S846" s="39" t="str">
        <f aca="false">IF(AND(M846&gt;0,O846&gt;0),O846+M846/1000000000000+ROW()/1000000000000000,"")</f>
        <v/>
      </c>
      <c r="T846" s="39" t="str">
        <f aca="false">IF(J846="Belum ditukar",ROW(),"")</f>
        <v/>
      </c>
    </row>
    <row r="847" customFormat="false" ht="15" hidden="false" customHeight="false" outlineLevel="0" collapsed="false">
      <c r="A847" s="50" t="s">
        <v>1130</v>
      </c>
      <c r="B847" s="51" t="n">
        <v>45839</v>
      </c>
      <c r="C847" s="50" t="s">
        <v>269</v>
      </c>
      <c r="D847" s="39" t="str">
        <f aca="false">INDEX(Master_Customer!$B$2:$B$126,MATCH(C847,Master_Customer!$A$2:$A$126,0))</f>
        <v>KARYA BENGKEL</v>
      </c>
      <c r="E847" s="50" t="s">
        <v>28</v>
      </c>
      <c r="F847" s="52" t="n">
        <f aca="false">SUMIFS(Data_Penjualan!$G$2:$G$5998,Data_Penjualan!$A$2:$A$5998,A847)</f>
        <v>7530800</v>
      </c>
      <c r="G847" s="39" t="n">
        <f aca="false">IF(E847="KANTOR",0,INDEX(Master_Customer!$C$2:$C$126,MATCH(C847,Master_Customer!$A$2:$A$126,0)))</f>
        <v>14</v>
      </c>
      <c r="H847" s="53" t="n">
        <f aca="false">B847+G847</f>
        <v>45853</v>
      </c>
      <c r="I847" s="51" t="n">
        <v>45842</v>
      </c>
      <c r="J847" s="39" t="str">
        <f aca="false">IF(G847=0,"Tunai",IF(I847="","Belum ditukar","Sudah ditukar"))</f>
        <v>Sudah ditukar</v>
      </c>
      <c r="K847" s="54" t="n">
        <v>7530800</v>
      </c>
      <c r="L847" s="51" t="n">
        <v>45861</v>
      </c>
      <c r="M847" s="52" t="n">
        <f aca="false">F847-K847</f>
        <v>0</v>
      </c>
      <c r="N847" s="39" t="str">
        <f aca="false">IF(M847&lt;=0,"Lunas",IF(K847&gt;0,"Sebagian","Belum Bayar"))</f>
        <v>Lunas</v>
      </c>
      <c r="O847" s="39" t="n">
        <f aca="false">IF(M847&gt;0,MAX(0,Catatan!$B$3-H847),0)</f>
        <v>0</v>
      </c>
      <c r="P847" s="39" t="str">
        <f aca="false">IF(M847&lt;=0,"Lunas",IF(Catatan!$B$3&lt;=H847,"Belum Jatuh Tempo",IF(O847&lt;=30,"1-30 hari",IF(O847&lt;=60,"31-60 hari",IF(O847&lt;=90,"61-90 hari","90+ hari")))))</f>
        <v>Lunas</v>
      </c>
      <c r="Q847" s="50"/>
      <c r="R847" s="39" t="str">
        <f aca="false">IF(M847&lt;=0,"",IF(O847&gt;60,"1-Tinggi",IF(O847&gt;30,"2-Sedang",IF(O847&gt;0,"3-Rendah","4-Pantau"))))</f>
        <v/>
      </c>
      <c r="S847" s="39" t="str">
        <f aca="false">IF(AND(M847&gt;0,O847&gt;0),O847+M847/1000000000000+ROW()/1000000000000000,"")</f>
        <v/>
      </c>
      <c r="T847" s="39" t="str">
        <f aca="false">IF(J847="Belum ditukar",ROW(),"")</f>
        <v/>
      </c>
    </row>
    <row r="848" customFormat="false" ht="15" hidden="false" customHeight="false" outlineLevel="0" collapsed="false">
      <c r="A848" s="50" t="s">
        <v>1131</v>
      </c>
      <c r="B848" s="51" t="n">
        <v>45839</v>
      </c>
      <c r="C848" s="50" t="s">
        <v>199</v>
      </c>
      <c r="D848" s="39" t="str">
        <f aca="false">INDEX(Master_Customer!$B$2:$B$126,MATCH(C848,Master_Customer!$A$2:$A$126,0))</f>
        <v>KARYA SPAREPART</v>
      </c>
      <c r="E848" s="50" t="s">
        <v>29</v>
      </c>
      <c r="F848" s="52" t="n">
        <f aca="false">SUMIFS(Data_Penjualan!$G$2:$G$5998,Data_Penjualan!$A$2:$A$5998,A848)</f>
        <v>9008900</v>
      </c>
      <c r="G848" s="39" t="n">
        <f aca="false">IF(E848="KANTOR",0,INDEX(Master_Customer!$C$2:$C$126,MATCH(C848,Master_Customer!$A$2:$A$126,0)))</f>
        <v>45</v>
      </c>
      <c r="H848" s="53" t="n">
        <f aca="false">B848+G848</f>
        <v>45884</v>
      </c>
      <c r="I848" s="51" t="n">
        <v>45841</v>
      </c>
      <c r="J848" s="39" t="str">
        <f aca="false">IF(G848=0,"Tunai",IF(I848="","Belum ditukar","Sudah ditukar"))</f>
        <v>Sudah ditukar</v>
      </c>
      <c r="K848" s="54" t="n">
        <v>9008900</v>
      </c>
      <c r="L848" s="51" t="n">
        <v>45881</v>
      </c>
      <c r="M848" s="52" t="n">
        <f aca="false">F848-K848</f>
        <v>0</v>
      </c>
      <c r="N848" s="39" t="str">
        <f aca="false">IF(M848&lt;=0,"Lunas",IF(K848&gt;0,"Sebagian","Belum Bayar"))</f>
        <v>Lunas</v>
      </c>
      <c r="O848" s="39" t="n">
        <f aca="false">IF(M848&gt;0,MAX(0,Catatan!$B$3-H848),0)</f>
        <v>0</v>
      </c>
      <c r="P848" s="39" t="str">
        <f aca="false">IF(M848&lt;=0,"Lunas",IF(Catatan!$B$3&lt;=H848,"Belum Jatuh Tempo",IF(O848&lt;=30,"1-30 hari",IF(O848&lt;=60,"31-60 hari",IF(O848&lt;=90,"61-90 hari","90+ hari")))))</f>
        <v>Lunas</v>
      </c>
      <c r="Q848" s="50"/>
      <c r="R848" s="39" t="str">
        <f aca="false">IF(M848&lt;=0,"",IF(O848&gt;60,"1-Tinggi",IF(O848&gt;30,"2-Sedang",IF(O848&gt;0,"3-Rendah","4-Pantau"))))</f>
        <v/>
      </c>
      <c r="S848" s="39" t="str">
        <f aca="false">IF(AND(M848&gt;0,O848&gt;0),O848+M848/1000000000000+ROW()/1000000000000000,"")</f>
        <v/>
      </c>
      <c r="T848" s="39" t="str">
        <f aca="false">IF(J848="Belum ditukar",ROW(),"")</f>
        <v/>
      </c>
    </row>
    <row r="849" customFormat="false" ht="15" hidden="false" customHeight="false" outlineLevel="0" collapsed="false">
      <c r="A849" s="50" t="s">
        <v>1132</v>
      </c>
      <c r="B849" s="51" t="n">
        <v>45839</v>
      </c>
      <c r="C849" s="50" t="s">
        <v>188</v>
      </c>
      <c r="D849" s="39" t="str">
        <f aca="false">INDEX(Master_Customer!$B$2:$B$126,MATCH(C849,Master_Customer!$A$2:$A$126,0))</f>
        <v>MAJU GARAGE TIRTA</v>
      </c>
      <c r="E849" s="50" t="s">
        <v>31</v>
      </c>
      <c r="F849" s="52" t="n">
        <f aca="false">SUMIFS(Data_Penjualan!$G$2:$G$5998,Data_Penjualan!$A$2:$A$5998,A849)</f>
        <v>6484600</v>
      </c>
      <c r="G849" s="39" t="n">
        <f aca="false">IF(E849="KANTOR",0,INDEX(Master_Customer!$C$2:$C$126,MATCH(C849,Master_Customer!$A$2:$A$126,0)))</f>
        <v>45</v>
      </c>
      <c r="H849" s="53" t="n">
        <f aca="false">B849+G849</f>
        <v>45884</v>
      </c>
      <c r="I849" s="51" t="n">
        <v>45840</v>
      </c>
      <c r="J849" s="39" t="str">
        <f aca="false">IF(G849=0,"Tunai",IF(I849="","Belum ditukar","Sudah ditukar"))</f>
        <v>Sudah ditukar</v>
      </c>
      <c r="K849" s="54" t="n">
        <v>2072200</v>
      </c>
      <c r="L849" s="51" t="n">
        <v>45897</v>
      </c>
      <c r="M849" s="52" t="n">
        <f aca="false">F849-K849</f>
        <v>4412400</v>
      </c>
      <c r="N849" s="39" t="str">
        <f aca="false">IF(M849&lt;=0,"Lunas",IF(K849&gt;0,"Sebagian","Belum Bayar"))</f>
        <v>Sebagian</v>
      </c>
      <c r="O849" s="39" t="n">
        <f aca="false">IF(M849&gt;0,MAX(0,Catatan!$B$3-H849),0)</f>
        <v>138</v>
      </c>
      <c r="P849" s="39" t="str">
        <f aca="false">IF(M849&lt;=0,"Lunas",IF(Catatan!$B$3&lt;=H849,"Belum Jatuh Tempo",IF(O849&lt;=30,"1-30 hari",IF(O849&lt;=60,"31-60 hari",IF(O849&lt;=90,"61-90 hari","90+ hari")))))</f>
        <v>90+ hari</v>
      </c>
      <c r="Q849" s="50" t="s">
        <v>712</v>
      </c>
      <c r="R849" s="39" t="str">
        <f aca="false">IF(M849&lt;=0,"",IF(O849&gt;60,"1-Tinggi",IF(O849&gt;30,"2-Sedang",IF(O849&gt;0,"3-Rendah","4-Pantau"))))</f>
        <v>1-Tinggi</v>
      </c>
      <c r="S849" s="39" t="n">
        <f aca="false">IF(AND(M849&gt;0,O849&gt;0),O849+M849/1000000000000+ROW()/1000000000000000,"")</f>
        <v>138.000004412401</v>
      </c>
      <c r="T849" s="39" t="str">
        <f aca="false">IF(J849="Belum ditukar",ROW(),"")</f>
        <v/>
      </c>
    </row>
    <row r="850" customFormat="false" ht="15" hidden="false" customHeight="false" outlineLevel="0" collapsed="false">
      <c r="A850" s="50" t="s">
        <v>1133</v>
      </c>
      <c r="B850" s="51" t="n">
        <v>45839</v>
      </c>
      <c r="C850" s="50" t="s">
        <v>681</v>
      </c>
      <c r="D850" s="39" t="str">
        <f aca="false">INDEX(Master_Customer!$B$2:$B$126,MATCH(C850,Master_Customer!$A$2:$A$126,0))</f>
        <v>GEMILANG TEKNIK</v>
      </c>
      <c r="E850" s="50" t="s">
        <v>32</v>
      </c>
      <c r="F850" s="52" t="n">
        <f aca="false">SUMIFS(Data_Penjualan!$G$2:$G$5998,Data_Penjualan!$A$2:$A$5998,A850)</f>
        <v>14088200</v>
      </c>
      <c r="G850" s="39" t="n">
        <f aca="false">IF(E850="KANTOR",0,INDEX(Master_Customer!$C$2:$C$126,MATCH(C850,Master_Customer!$A$2:$A$126,0)))</f>
        <v>0</v>
      </c>
      <c r="H850" s="53" t="n">
        <f aca="false">B850+G850</f>
        <v>45839</v>
      </c>
      <c r="J850" s="39" t="str">
        <f aca="false">IF(G850=0,"Tunai",IF(I850="","Belum ditukar","Sudah ditukar"))</f>
        <v>Tunai</v>
      </c>
      <c r="K850" s="54" t="n">
        <v>14088200</v>
      </c>
      <c r="L850" s="51" t="n">
        <v>45839</v>
      </c>
      <c r="M850" s="52" t="n">
        <f aca="false">F850-K850</f>
        <v>0</v>
      </c>
      <c r="N850" s="39" t="str">
        <f aca="false">IF(M850&lt;=0,"Lunas",IF(K850&gt;0,"Sebagian","Belum Bayar"))</f>
        <v>Lunas</v>
      </c>
      <c r="O850" s="39" t="n">
        <f aca="false">IF(M850&gt;0,MAX(0,Catatan!$B$3-H850),0)</f>
        <v>0</v>
      </c>
      <c r="P850" s="39" t="str">
        <f aca="false">IF(M850&lt;=0,"Lunas",IF(Catatan!$B$3&lt;=H850,"Belum Jatuh Tempo",IF(O850&lt;=30,"1-30 hari",IF(O850&lt;=60,"31-60 hari",IF(O850&lt;=90,"61-90 hari","90+ hari")))))</f>
        <v>Lunas</v>
      </c>
      <c r="Q850" s="50"/>
      <c r="R850" s="39" t="str">
        <f aca="false">IF(M850&lt;=0,"",IF(O850&gt;60,"1-Tinggi",IF(O850&gt;30,"2-Sedang",IF(O850&gt;0,"3-Rendah","4-Pantau"))))</f>
        <v/>
      </c>
      <c r="S850" s="39" t="str">
        <f aca="false">IF(AND(M850&gt;0,O850&gt;0),O850+M850/1000000000000+ROW()/1000000000000000,"")</f>
        <v/>
      </c>
      <c r="T850" s="39" t="str">
        <f aca="false">IF(J850="Belum ditukar",ROW(),"")</f>
        <v/>
      </c>
    </row>
    <row r="851" customFormat="false" ht="15" hidden="false" customHeight="false" outlineLevel="0" collapsed="false">
      <c r="A851" s="50" t="s">
        <v>1134</v>
      </c>
      <c r="B851" s="51" t="n">
        <v>45840</v>
      </c>
      <c r="C851" s="50" t="s">
        <v>174</v>
      </c>
      <c r="D851" s="39" t="str">
        <f aca="false">INDEX(Master_Customer!$B$2:$B$126,MATCH(C851,Master_Customer!$A$2:$A$126,0))</f>
        <v>SUMBER TEKNIK SURYA</v>
      </c>
      <c r="E851" s="50" t="s">
        <v>31</v>
      </c>
      <c r="F851" s="52" t="n">
        <f aca="false">SUMIFS(Data_Penjualan!$G$2:$G$5998,Data_Penjualan!$A$2:$A$5998,A851)</f>
        <v>7473000</v>
      </c>
      <c r="G851" s="39" t="n">
        <f aca="false">IF(E851="KANTOR",0,INDEX(Master_Customer!$C$2:$C$126,MATCH(C851,Master_Customer!$A$2:$A$126,0)))</f>
        <v>30</v>
      </c>
      <c r="H851" s="53" t="n">
        <f aca="false">B851+G851</f>
        <v>45870</v>
      </c>
      <c r="I851" s="51" t="n">
        <v>45843</v>
      </c>
      <c r="J851" s="39" t="str">
        <f aca="false">IF(G851=0,"Tunai",IF(I851="","Belum ditukar","Sudah ditukar"))</f>
        <v>Sudah ditukar</v>
      </c>
      <c r="K851" s="54" t="n">
        <v>7473000</v>
      </c>
      <c r="L851" s="51" t="n">
        <v>45870</v>
      </c>
      <c r="M851" s="52" t="n">
        <f aca="false">F851-K851</f>
        <v>0</v>
      </c>
      <c r="N851" s="39" t="str">
        <f aca="false">IF(M851&lt;=0,"Lunas",IF(K851&gt;0,"Sebagian","Belum Bayar"))</f>
        <v>Lunas</v>
      </c>
      <c r="O851" s="39" t="n">
        <f aca="false">IF(M851&gt;0,MAX(0,Catatan!$B$3-H851),0)</f>
        <v>0</v>
      </c>
      <c r="P851" s="39" t="str">
        <f aca="false">IF(M851&lt;=0,"Lunas",IF(Catatan!$B$3&lt;=H851,"Belum Jatuh Tempo",IF(O851&lt;=30,"1-30 hari",IF(O851&lt;=60,"31-60 hari",IF(O851&lt;=90,"61-90 hari","90+ hari")))))</f>
        <v>Lunas</v>
      </c>
      <c r="Q851" s="50"/>
      <c r="R851" s="39" t="str">
        <f aca="false">IF(M851&lt;=0,"",IF(O851&gt;60,"1-Tinggi",IF(O851&gt;30,"2-Sedang",IF(O851&gt;0,"3-Rendah","4-Pantau"))))</f>
        <v/>
      </c>
      <c r="S851" s="39" t="str">
        <f aca="false">IF(AND(M851&gt;0,O851&gt;0),O851+M851/1000000000000+ROW()/1000000000000000,"")</f>
        <v/>
      </c>
      <c r="T851" s="39" t="str">
        <f aca="false">IF(J851="Belum ditukar",ROW(),"")</f>
        <v/>
      </c>
    </row>
    <row r="852" customFormat="false" ht="15" hidden="false" customHeight="false" outlineLevel="0" collapsed="false">
      <c r="A852" s="50" t="s">
        <v>1135</v>
      </c>
      <c r="B852" s="51" t="n">
        <v>45840</v>
      </c>
      <c r="C852" s="50" t="s">
        <v>249</v>
      </c>
      <c r="D852" s="39" t="str">
        <f aca="false">INDEX(Master_Customer!$B$2:$B$126,MATCH(C852,Master_Customer!$A$2:$A$126,0))</f>
        <v>SENTOSA MOTOR</v>
      </c>
      <c r="E852" s="50" t="s">
        <v>31</v>
      </c>
      <c r="F852" s="52" t="n">
        <f aca="false">SUMIFS(Data_Penjualan!$G$2:$G$5998,Data_Penjualan!$A$2:$A$5998,A852)</f>
        <v>14151100</v>
      </c>
      <c r="G852" s="39" t="n">
        <f aca="false">IF(E852="KANTOR",0,INDEX(Master_Customer!$C$2:$C$126,MATCH(C852,Master_Customer!$A$2:$A$126,0)))</f>
        <v>45</v>
      </c>
      <c r="H852" s="53" t="n">
        <f aca="false">B852+G852</f>
        <v>45885</v>
      </c>
      <c r="I852" s="51" t="n">
        <v>45842</v>
      </c>
      <c r="J852" s="39" t="str">
        <f aca="false">IF(G852=0,"Tunai",IF(I852="","Belum ditukar","Sudah ditukar"))</f>
        <v>Sudah ditukar</v>
      </c>
      <c r="K852" s="54" t="n">
        <v>14151100</v>
      </c>
      <c r="L852" s="51" t="n">
        <v>45909</v>
      </c>
      <c r="M852" s="52" t="n">
        <f aca="false">F852-K852</f>
        <v>0</v>
      </c>
      <c r="N852" s="39" t="str">
        <f aca="false">IF(M852&lt;=0,"Lunas",IF(K852&gt;0,"Sebagian","Belum Bayar"))</f>
        <v>Lunas</v>
      </c>
      <c r="O852" s="39" t="n">
        <f aca="false">IF(M852&gt;0,MAX(0,Catatan!$B$3-H852),0)</f>
        <v>0</v>
      </c>
      <c r="P852" s="39" t="str">
        <f aca="false">IF(M852&lt;=0,"Lunas",IF(Catatan!$B$3&lt;=H852,"Belum Jatuh Tempo",IF(O852&lt;=30,"1-30 hari",IF(O852&lt;=60,"31-60 hari",IF(O852&lt;=90,"61-90 hari","90+ hari")))))</f>
        <v>Lunas</v>
      </c>
      <c r="Q852" s="50"/>
      <c r="R852" s="39" t="str">
        <f aca="false">IF(M852&lt;=0,"",IF(O852&gt;60,"1-Tinggi",IF(O852&gt;30,"2-Sedang",IF(O852&gt;0,"3-Rendah","4-Pantau"))))</f>
        <v/>
      </c>
      <c r="S852" s="39" t="str">
        <f aca="false">IF(AND(M852&gt;0,O852&gt;0),O852+M852/1000000000000+ROW()/1000000000000000,"")</f>
        <v/>
      </c>
      <c r="T852" s="39" t="str">
        <f aca="false">IF(J852="Belum ditukar",ROW(),"")</f>
        <v/>
      </c>
    </row>
    <row r="853" customFormat="false" ht="15" hidden="false" customHeight="false" outlineLevel="0" collapsed="false">
      <c r="A853" s="50" t="s">
        <v>1136</v>
      </c>
      <c r="B853" s="51" t="n">
        <v>45840</v>
      </c>
      <c r="C853" s="50" t="s">
        <v>465</v>
      </c>
      <c r="D853" s="39" t="str">
        <f aca="false">INDEX(Master_Customer!$B$2:$B$126,MATCH(C853,Master_Customer!$A$2:$A$126,0))</f>
        <v>CAHAYA SERVICE BINTANG</v>
      </c>
      <c r="E853" s="50" t="s">
        <v>32</v>
      </c>
      <c r="F853" s="52" t="n">
        <f aca="false">SUMIFS(Data_Penjualan!$G$2:$G$5998,Data_Penjualan!$A$2:$A$5998,A853)</f>
        <v>5759700</v>
      </c>
      <c r="G853" s="39" t="n">
        <f aca="false">IF(E853="KANTOR",0,INDEX(Master_Customer!$C$2:$C$126,MATCH(C853,Master_Customer!$A$2:$A$126,0)))</f>
        <v>0</v>
      </c>
      <c r="H853" s="53" t="n">
        <f aca="false">B853+G853</f>
        <v>45840</v>
      </c>
      <c r="J853" s="39" t="str">
        <f aca="false">IF(G853=0,"Tunai",IF(I853="","Belum ditukar","Sudah ditukar"))</f>
        <v>Tunai</v>
      </c>
      <c r="K853" s="54" t="n">
        <v>5759700</v>
      </c>
      <c r="L853" s="51" t="n">
        <v>45842</v>
      </c>
      <c r="M853" s="52" t="n">
        <f aca="false">F853-K853</f>
        <v>0</v>
      </c>
      <c r="N853" s="39" t="str">
        <f aca="false">IF(M853&lt;=0,"Lunas",IF(K853&gt;0,"Sebagian","Belum Bayar"))</f>
        <v>Lunas</v>
      </c>
      <c r="O853" s="39" t="n">
        <f aca="false">IF(M853&gt;0,MAX(0,Catatan!$B$3-H853),0)</f>
        <v>0</v>
      </c>
      <c r="P853" s="39" t="str">
        <f aca="false">IF(M853&lt;=0,"Lunas",IF(Catatan!$B$3&lt;=H853,"Belum Jatuh Tempo",IF(O853&lt;=30,"1-30 hari",IF(O853&lt;=60,"31-60 hari",IF(O853&lt;=90,"61-90 hari","90+ hari")))))</f>
        <v>Lunas</v>
      </c>
      <c r="Q853" s="50"/>
      <c r="R853" s="39" t="str">
        <f aca="false">IF(M853&lt;=0,"",IF(O853&gt;60,"1-Tinggi",IF(O853&gt;30,"2-Sedang",IF(O853&gt;0,"3-Rendah","4-Pantau"))))</f>
        <v/>
      </c>
      <c r="S853" s="39" t="str">
        <f aca="false">IF(AND(M853&gt;0,O853&gt;0),O853+M853/1000000000000+ROW()/1000000000000000,"")</f>
        <v/>
      </c>
      <c r="T853" s="39" t="str">
        <f aca="false">IF(J853="Belum ditukar",ROW(),"")</f>
        <v/>
      </c>
    </row>
    <row r="854" customFormat="false" ht="15" hidden="false" customHeight="false" outlineLevel="0" collapsed="false">
      <c r="A854" s="50" t="s">
        <v>1137</v>
      </c>
      <c r="B854" s="51" t="n">
        <v>45840</v>
      </c>
      <c r="C854" s="50" t="s">
        <v>814</v>
      </c>
      <c r="D854" s="39" t="str">
        <f aca="false">INDEX(Master_Customer!$B$2:$B$126,MATCH(C854,Master_Customer!$A$2:$A$126,0))</f>
        <v>SENTOSA TEKNIK</v>
      </c>
      <c r="E854" s="50" t="s">
        <v>30</v>
      </c>
      <c r="F854" s="52" t="n">
        <f aca="false">SUMIFS(Data_Penjualan!$G$2:$G$5998,Data_Penjualan!$A$2:$A$5998,A854)</f>
        <v>8638500</v>
      </c>
      <c r="G854" s="39" t="n">
        <f aca="false">IF(E854="KANTOR",0,INDEX(Master_Customer!$C$2:$C$126,MATCH(C854,Master_Customer!$A$2:$A$126,0)))</f>
        <v>30</v>
      </c>
      <c r="H854" s="53" t="n">
        <f aca="false">B854+G854</f>
        <v>45870</v>
      </c>
      <c r="I854" s="51" t="n">
        <v>45844</v>
      </c>
      <c r="J854" s="39" t="str">
        <f aca="false">IF(G854=0,"Tunai",IF(I854="","Belum ditukar","Sudah ditukar"))</f>
        <v>Sudah ditukar</v>
      </c>
      <c r="K854" s="54" t="n">
        <v>8638500</v>
      </c>
      <c r="L854" s="51" t="n">
        <v>45883</v>
      </c>
      <c r="M854" s="52" t="n">
        <f aca="false">F854-K854</f>
        <v>0</v>
      </c>
      <c r="N854" s="39" t="str">
        <f aca="false">IF(M854&lt;=0,"Lunas",IF(K854&gt;0,"Sebagian","Belum Bayar"))</f>
        <v>Lunas</v>
      </c>
      <c r="O854" s="39" t="n">
        <f aca="false">IF(M854&gt;0,MAX(0,Catatan!$B$3-H854),0)</f>
        <v>0</v>
      </c>
      <c r="P854" s="39" t="str">
        <f aca="false">IF(M854&lt;=0,"Lunas",IF(Catatan!$B$3&lt;=H854,"Belum Jatuh Tempo",IF(O854&lt;=30,"1-30 hari",IF(O854&lt;=60,"31-60 hari",IF(O854&lt;=90,"61-90 hari","90+ hari")))))</f>
        <v>Lunas</v>
      </c>
      <c r="Q854" s="50"/>
      <c r="R854" s="39" t="str">
        <f aca="false">IF(M854&lt;=0,"",IF(O854&gt;60,"1-Tinggi",IF(O854&gt;30,"2-Sedang",IF(O854&gt;0,"3-Rendah","4-Pantau"))))</f>
        <v/>
      </c>
      <c r="S854" s="39" t="str">
        <f aca="false">IF(AND(M854&gt;0,O854&gt;0),O854+M854/1000000000000+ROW()/1000000000000000,"")</f>
        <v/>
      </c>
      <c r="T854" s="39" t="str">
        <f aca="false">IF(J854="Belum ditukar",ROW(),"")</f>
        <v/>
      </c>
    </row>
    <row r="855" customFormat="false" ht="15" hidden="false" customHeight="false" outlineLevel="0" collapsed="false">
      <c r="A855" s="50" t="s">
        <v>1138</v>
      </c>
      <c r="B855" s="51" t="n">
        <v>45840</v>
      </c>
      <c r="C855" s="50" t="s">
        <v>177</v>
      </c>
      <c r="D855" s="39" t="str">
        <f aca="false">INDEX(Master_Customer!$B$2:$B$126,MATCH(C855,Master_Customer!$A$2:$A$126,0))</f>
        <v>PRIMA MOTOR LANCAR</v>
      </c>
      <c r="E855" s="50" t="s">
        <v>29</v>
      </c>
      <c r="F855" s="52" t="n">
        <f aca="false">SUMIFS(Data_Penjualan!$G$2:$G$5998,Data_Penjualan!$A$2:$A$5998,A855)</f>
        <v>11527800</v>
      </c>
      <c r="G855" s="39" t="n">
        <f aca="false">IF(E855="KANTOR",0,INDEX(Master_Customer!$C$2:$C$126,MATCH(C855,Master_Customer!$A$2:$A$126,0)))</f>
        <v>14</v>
      </c>
      <c r="H855" s="53" t="n">
        <f aca="false">B855+G855</f>
        <v>45854</v>
      </c>
      <c r="I855" s="51" t="n">
        <v>45843</v>
      </c>
      <c r="J855" s="39" t="str">
        <f aca="false">IF(G855=0,"Tunai",IF(I855="","Belum ditukar","Sudah ditukar"))</f>
        <v>Sudah ditukar</v>
      </c>
      <c r="K855" s="54" t="n">
        <v>11527800</v>
      </c>
      <c r="L855" s="51" t="n">
        <v>45849</v>
      </c>
      <c r="M855" s="52" t="n">
        <f aca="false">F855-K855</f>
        <v>0</v>
      </c>
      <c r="N855" s="39" t="str">
        <f aca="false">IF(M855&lt;=0,"Lunas",IF(K855&gt;0,"Sebagian","Belum Bayar"))</f>
        <v>Lunas</v>
      </c>
      <c r="O855" s="39" t="n">
        <f aca="false">IF(M855&gt;0,MAX(0,Catatan!$B$3-H855),0)</f>
        <v>0</v>
      </c>
      <c r="P855" s="39" t="str">
        <f aca="false">IF(M855&lt;=0,"Lunas",IF(Catatan!$B$3&lt;=H855,"Belum Jatuh Tempo",IF(O855&lt;=30,"1-30 hari",IF(O855&lt;=60,"31-60 hari",IF(O855&lt;=90,"61-90 hari","90+ hari")))))</f>
        <v>Lunas</v>
      </c>
      <c r="Q855" s="50"/>
      <c r="R855" s="39" t="str">
        <f aca="false">IF(M855&lt;=0,"",IF(O855&gt;60,"1-Tinggi",IF(O855&gt;30,"2-Sedang",IF(O855&gt;0,"3-Rendah","4-Pantau"))))</f>
        <v/>
      </c>
      <c r="S855" s="39" t="str">
        <f aca="false">IF(AND(M855&gt;0,O855&gt;0),O855+M855/1000000000000+ROW()/1000000000000000,"")</f>
        <v/>
      </c>
      <c r="T855" s="39" t="str">
        <f aca="false">IF(J855="Belum ditukar",ROW(),"")</f>
        <v/>
      </c>
    </row>
    <row r="856" customFormat="false" ht="15" hidden="false" customHeight="false" outlineLevel="0" collapsed="false">
      <c r="A856" s="50" t="s">
        <v>1139</v>
      </c>
      <c r="B856" s="51" t="n">
        <v>45841</v>
      </c>
      <c r="C856" s="50" t="s">
        <v>505</v>
      </c>
      <c r="D856" s="39" t="str">
        <f aca="false">INDEX(Master_Customer!$B$2:$B$126,MATCH(C856,Master_Customer!$A$2:$A$126,0))</f>
        <v>GEMILANG OLI CAHAYA</v>
      </c>
      <c r="E856" s="50" t="s">
        <v>31</v>
      </c>
      <c r="F856" s="52" t="n">
        <f aca="false">SUMIFS(Data_Penjualan!$G$2:$G$5998,Data_Penjualan!$A$2:$A$5998,A856)</f>
        <v>6417700</v>
      </c>
      <c r="G856" s="39" t="n">
        <f aca="false">IF(E856="KANTOR",0,INDEX(Master_Customer!$C$2:$C$126,MATCH(C856,Master_Customer!$A$2:$A$126,0)))</f>
        <v>0</v>
      </c>
      <c r="H856" s="53" t="n">
        <f aca="false">B856+G856</f>
        <v>45841</v>
      </c>
      <c r="J856" s="39" t="str">
        <f aca="false">IF(G856=0,"Tunai",IF(I856="","Belum ditukar","Sudah ditukar"))</f>
        <v>Tunai</v>
      </c>
      <c r="K856" s="54" t="n">
        <v>6417700</v>
      </c>
      <c r="L856" s="51" t="n">
        <v>45841</v>
      </c>
      <c r="M856" s="52" t="n">
        <f aca="false">F856-K856</f>
        <v>0</v>
      </c>
      <c r="N856" s="39" t="str">
        <f aca="false">IF(M856&lt;=0,"Lunas",IF(K856&gt;0,"Sebagian","Belum Bayar"))</f>
        <v>Lunas</v>
      </c>
      <c r="O856" s="39" t="n">
        <f aca="false">IF(M856&gt;0,MAX(0,Catatan!$B$3-H856),0)</f>
        <v>0</v>
      </c>
      <c r="P856" s="39" t="str">
        <f aca="false">IF(M856&lt;=0,"Lunas",IF(Catatan!$B$3&lt;=H856,"Belum Jatuh Tempo",IF(O856&lt;=30,"1-30 hari",IF(O856&lt;=60,"31-60 hari",IF(O856&lt;=90,"61-90 hari","90+ hari")))))</f>
        <v>Lunas</v>
      </c>
      <c r="Q856" s="50"/>
      <c r="R856" s="39" t="str">
        <f aca="false">IF(M856&lt;=0,"",IF(O856&gt;60,"1-Tinggi",IF(O856&gt;30,"2-Sedang",IF(O856&gt;0,"3-Rendah","4-Pantau"))))</f>
        <v/>
      </c>
      <c r="S856" s="39" t="str">
        <f aca="false">IF(AND(M856&gt;0,O856&gt;0),O856+M856/1000000000000+ROW()/1000000000000000,"")</f>
        <v/>
      </c>
      <c r="T856" s="39" t="str">
        <f aca="false">IF(J856="Belum ditukar",ROW(),"")</f>
        <v/>
      </c>
    </row>
    <row r="857" customFormat="false" ht="15" hidden="false" customHeight="false" outlineLevel="0" collapsed="false">
      <c r="A857" s="50" t="s">
        <v>1140</v>
      </c>
      <c r="B857" s="51" t="n">
        <v>45841</v>
      </c>
      <c r="C857" s="50" t="s">
        <v>205</v>
      </c>
      <c r="D857" s="39" t="str">
        <f aca="false">INDEX(Master_Customer!$B$2:$B$126,MATCH(C857,Master_Customer!$A$2:$A$126,0))</f>
        <v>BERKAH OLI</v>
      </c>
      <c r="E857" s="50" t="s">
        <v>32</v>
      </c>
      <c r="F857" s="52" t="n">
        <f aca="false">SUMIFS(Data_Penjualan!$G$2:$G$5998,Data_Penjualan!$A$2:$A$5998,A857)</f>
        <v>9783100</v>
      </c>
      <c r="G857" s="39" t="n">
        <f aca="false">IF(E857="KANTOR",0,INDEX(Master_Customer!$C$2:$C$126,MATCH(C857,Master_Customer!$A$2:$A$126,0)))</f>
        <v>0</v>
      </c>
      <c r="H857" s="53" t="n">
        <f aca="false">B857+G857</f>
        <v>45841</v>
      </c>
      <c r="J857" s="39" t="str">
        <f aca="false">IF(G857=0,"Tunai",IF(I857="","Belum ditukar","Sudah ditukar"))</f>
        <v>Tunai</v>
      </c>
      <c r="K857" s="54" t="n">
        <v>9783100</v>
      </c>
      <c r="L857" s="51" t="n">
        <v>45841</v>
      </c>
      <c r="M857" s="52" t="n">
        <f aca="false">F857-K857</f>
        <v>0</v>
      </c>
      <c r="N857" s="39" t="str">
        <f aca="false">IF(M857&lt;=0,"Lunas",IF(K857&gt;0,"Sebagian","Belum Bayar"))</f>
        <v>Lunas</v>
      </c>
      <c r="O857" s="39" t="n">
        <f aca="false">IF(M857&gt;0,MAX(0,Catatan!$B$3-H857),0)</f>
        <v>0</v>
      </c>
      <c r="P857" s="39" t="str">
        <f aca="false">IF(M857&lt;=0,"Lunas",IF(Catatan!$B$3&lt;=H857,"Belum Jatuh Tempo",IF(O857&lt;=30,"1-30 hari",IF(O857&lt;=60,"31-60 hari",IF(O857&lt;=90,"61-90 hari","90+ hari")))))</f>
        <v>Lunas</v>
      </c>
      <c r="Q857" s="50"/>
      <c r="R857" s="39" t="str">
        <f aca="false">IF(M857&lt;=0,"",IF(O857&gt;60,"1-Tinggi",IF(O857&gt;30,"2-Sedang",IF(O857&gt;0,"3-Rendah","4-Pantau"))))</f>
        <v/>
      </c>
      <c r="S857" s="39" t="str">
        <f aca="false">IF(AND(M857&gt;0,O857&gt;0),O857+M857/1000000000000+ROW()/1000000000000000,"")</f>
        <v/>
      </c>
      <c r="T857" s="39" t="str">
        <f aca="false">IF(J857="Belum ditukar",ROW(),"")</f>
        <v/>
      </c>
    </row>
    <row r="858" customFormat="false" ht="15" hidden="false" customHeight="false" outlineLevel="0" collapsed="false">
      <c r="A858" s="50" t="s">
        <v>1141</v>
      </c>
      <c r="B858" s="51" t="n">
        <v>45841</v>
      </c>
      <c r="C858" s="50" t="s">
        <v>325</v>
      </c>
      <c r="D858" s="39" t="str">
        <f aca="false">INDEX(Master_Customer!$B$2:$B$126,MATCH(C858,Master_Customer!$A$2:$A$126,0))</f>
        <v>KARYA TEKNIK TIRTA</v>
      </c>
      <c r="E858" s="50" t="s">
        <v>31</v>
      </c>
      <c r="F858" s="52" t="n">
        <f aca="false">SUMIFS(Data_Penjualan!$G$2:$G$5998,Data_Penjualan!$A$2:$A$5998,A858)</f>
        <v>11056900</v>
      </c>
      <c r="G858" s="39" t="n">
        <f aca="false">IF(E858="KANTOR",0,INDEX(Master_Customer!$C$2:$C$126,MATCH(C858,Master_Customer!$A$2:$A$126,0)))</f>
        <v>14</v>
      </c>
      <c r="H858" s="53" t="n">
        <f aca="false">B858+G858</f>
        <v>45855</v>
      </c>
      <c r="I858" s="51" t="n">
        <v>45844</v>
      </c>
      <c r="J858" s="39" t="str">
        <f aca="false">IF(G858=0,"Tunai",IF(I858="","Belum ditukar","Sudah ditukar"))</f>
        <v>Sudah ditukar</v>
      </c>
      <c r="K858" s="54" t="n">
        <v>11056900</v>
      </c>
      <c r="L858" s="51" t="n">
        <v>45865</v>
      </c>
      <c r="M858" s="52" t="n">
        <f aca="false">F858-K858</f>
        <v>0</v>
      </c>
      <c r="N858" s="39" t="str">
        <f aca="false">IF(M858&lt;=0,"Lunas",IF(K858&gt;0,"Sebagian","Belum Bayar"))</f>
        <v>Lunas</v>
      </c>
      <c r="O858" s="39" t="n">
        <f aca="false">IF(M858&gt;0,MAX(0,Catatan!$B$3-H858),0)</f>
        <v>0</v>
      </c>
      <c r="P858" s="39" t="str">
        <f aca="false">IF(M858&lt;=0,"Lunas",IF(Catatan!$B$3&lt;=H858,"Belum Jatuh Tempo",IF(O858&lt;=30,"1-30 hari",IF(O858&lt;=60,"31-60 hari",IF(O858&lt;=90,"61-90 hari","90+ hari")))))</f>
        <v>Lunas</v>
      </c>
      <c r="Q858" s="50"/>
      <c r="R858" s="39" t="str">
        <f aca="false">IF(M858&lt;=0,"",IF(O858&gt;60,"1-Tinggi",IF(O858&gt;30,"2-Sedang",IF(O858&gt;0,"3-Rendah","4-Pantau"))))</f>
        <v/>
      </c>
      <c r="S858" s="39" t="str">
        <f aca="false">IF(AND(M858&gt;0,O858&gt;0),O858+M858/1000000000000+ROW()/1000000000000000,"")</f>
        <v/>
      </c>
      <c r="T858" s="39" t="str">
        <f aca="false">IF(J858="Belum ditukar",ROW(),"")</f>
        <v/>
      </c>
    </row>
    <row r="859" customFormat="false" ht="15" hidden="false" customHeight="false" outlineLevel="0" collapsed="false">
      <c r="A859" s="50" t="s">
        <v>1142</v>
      </c>
      <c r="B859" s="51" t="n">
        <v>45841</v>
      </c>
      <c r="C859" s="50" t="s">
        <v>430</v>
      </c>
      <c r="D859" s="39" t="str">
        <f aca="false">INDEX(Master_Customer!$B$2:$B$126,MATCH(C859,Master_Customer!$A$2:$A$126,0))</f>
        <v>TIRTA MOBIL</v>
      </c>
      <c r="E859" s="50" t="s">
        <v>28</v>
      </c>
      <c r="F859" s="52" t="n">
        <f aca="false">SUMIFS(Data_Penjualan!$G$2:$G$5998,Data_Penjualan!$A$2:$A$5998,A859)</f>
        <v>5453000</v>
      </c>
      <c r="G859" s="39" t="n">
        <f aca="false">IF(E859="KANTOR",0,INDEX(Master_Customer!$C$2:$C$126,MATCH(C859,Master_Customer!$A$2:$A$126,0)))</f>
        <v>30</v>
      </c>
      <c r="H859" s="53" t="n">
        <f aca="false">B859+G859</f>
        <v>45871</v>
      </c>
      <c r="I859" s="51" t="n">
        <v>45846</v>
      </c>
      <c r="J859" s="39" t="str">
        <f aca="false">IF(G859=0,"Tunai",IF(I859="","Belum ditukar","Sudah ditukar"))</f>
        <v>Sudah ditukar</v>
      </c>
      <c r="K859" s="54" t="n">
        <v>5453000</v>
      </c>
      <c r="L859" s="51" t="n">
        <v>45871</v>
      </c>
      <c r="M859" s="52" t="n">
        <f aca="false">F859-K859</f>
        <v>0</v>
      </c>
      <c r="N859" s="39" t="str">
        <f aca="false">IF(M859&lt;=0,"Lunas",IF(K859&gt;0,"Sebagian","Belum Bayar"))</f>
        <v>Lunas</v>
      </c>
      <c r="O859" s="39" t="n">
        <f aca="false">IF(M859&gt;0,MAX(0,Catatan!$B$3-H859),0)</f>
        <v>0</v>
      </c>
      <c r="P859" s="39" t="str">
        <f aca="false">IF(M859&lt;=0,"Lunas",IF(Catatan!$B$3&lt;=H859,"Belum Jatuh Tempo",IF(O859&lt;=30,"1-30 hari",IF(O859&lt;=60,"31-60 hari",IF(O859&lt;=90,"61-90 hari","90+ hari")))))</f>
        <v>Lunas</v>
      </c>
      <c r="Q859" s="50"/>
      <c r="R859" s="39" t="str">
        <f aca="false">IF(M859&lt;=0,"",IF(O859&gt;60,"1-Tinggi",IF(O859&gt;30,"2-Sedang",IF(O859&gt;0,"3-Rendah","4-Pantau"))))</f>
        <v/>
      </c>
      <c r="S859" s="39" t="str">
        <f aca="false">IF(AND(M859&gt;0,O859&gt;0),O859+M859/1000000000000+ROW()/1000000000000000,"")</f>
        <v/>
      </c>
      <c r="T859" s="39" t="str">
        <f aca="false">IF(J859="Belum ditukar",ROW(),"")</f>
        <v/>
      </c>
    </row>
    <row r="860" customFormat="false" ht="15" hidden="false" customHeight="false" outlineLevel="0" collapsed="false">
      <c r="A860" s="50" t="s">
        <v>1143</v>
      </c>
      <c r="B860" s="51" t="n">
        <v>45842</v>
      </c>
      <c r="C860" s="50" t="s">
        <v>280</v>
      </c>
      <c r="D860" s="39" t="str">
        <f aca="false">INDEX(Master_Customer!$B$2:$B$126,MATCH(C860,Master_Customer!$A$2:$A$126,0))</f>
        <v>CAHAYA TEKNIK SURYA</v>
      </c>
      <c r="E860" s="50" t="s">
        <v>29</v>
      </c>
      <c r="F860" s="52" t="n">
        <f aca="false">SUMIFS(Data_Penjualan!$G$2:$G$5998,Data_Penjualan!$A$2:$A$5998,A860)</f>
        <v>2490900</v>
      </c>
      <c r="G860" s="39" t="n">
        <f aca="false">IF(E860="KANTOR",0,INDEX(Master_Customer!$C$2:$C$126,MATCH(C860,Master_Customer!$A$2:$A$126,0)))</f>
        <v>30</v>
      </c>
      <c r="H860" s="53" t="n">
        <f aca="false">B860+G860</f>
        <v>45872</v>
      </c>
      <c r="I860" s="51" t="n">
        <v>45846</v>
      </c>
      <c r="J860" s="39" t="str">
        <f aca="false">IF(G860=0,"Tunai",IF(I860="","Belum ditukar","Sudah ditukar"))</f>
        <v>Sudah ditukar</v>
      </c>
      <c r="K860" s="54" t="n">
        <v>2490900</v>
      </c>
      <c r="L860" s="51" t="n">
        <v>45865</v>
      </c>
      <c r="M860" s="52" t="n">
        <f aca="false">F860-K860</f>
        <v>0</v>
      </c>
      <c r="N860" s="39" t="str">
        <f aca="false">IF(M860&lt;=0,"Lunas",IF(K860&gt;0,"Sebagian","Belum Bayar"))</f>
        <v>Lunas</v>
      </c>
      <c r="O860" s="39" t="n">
        <f aca="false">IF(M860&gt;0,MAX(0,Catatan!$B$3-H860),0)</f>
        <v>0</v>
      </c>
      <c r="P860" s="39" t="str">
        <f aca="false">IF(M860&lt;=0,"Lunas",IF(Catatan!$B$3&lt;=H860,"Belum Jatuh Tempo",IF(O860&lt;=30,"1-30 hari",IF(O860&lt;=60,"31-60 hari",IF(O860&lt;=90,"61-90 hari","90+ hari")))))</f>
        <v>Lunas</v>
      </c>
      <c r="Q860" s="50"/>
      <c r="R860" s="39" t="str">
        <f aca="false">IF(M860&lt;=0,"",IF(O860&gt;60,"1-Tinggi",IF(O860&gt;30,"2-Sedang",IF(O860&gt;0,"3-Rendah","4-Pantau"))))</f>
        <v/>
      </c>
      <c r="S860" s="39" t="str">
        <f aca="false">IF(AND(M860&gt;0,O860&gt;0),O860+M860/1000000000000+ROW()/1000000000000000,"")</f>
        <v/>
      </c>
      <c r="T860" s="39" t="str">
        <f aca="false">IF(J860="Belum ditukar",ROW(),"")</f>
        <v/>
      </c>
    </row>
    <row r="861" customFormat="false" ht="15" hidden="false" customHeight="false" outlineLevel="0" collapsed="false">
      <c r="A861" s="50" t="s">
        <v>1144</v>
      </c>
      <c r="B861" s="51" t="n">
        <v>45842</v>
      </c>
      <c r="C861" s="50" t="s">
        <v>369</v>
      </c>
      <c r="D861" s="39" t="str">
        <f aca="false">INDEX(Master_Customer!$B$2:$B$126,MATCH(C861,Master_Customer!$A$2:$A$126,0))</f>
        <v>UTAMA TEKNIK</v>
      </c>
      <c r="E861" s="50" t="s">
        <v>31</v>
      </c>
      <c r="F861" s="52" t="n">
        <f aca="false">SUMIFS(Data_Penjualan!$G$2:$G$5998,Data_Penjualan!$A$2:$A$5998,A861)</f>
        <v>18890200</v>
      </c>
      <c r="G861" s="39" t="n">
        <f aca="false">IF(E861="KANTOR",0,INDEX(Master_Customer!$C$2:$C$126,MATCH(C861,Master_Customer!$A$2:$A$126,0)))</f>
        <v>30</v>
      </c>
      <c r="H861" s="53" t="n">
        <f aca="false">B861+G861</f>
        <v>45872</v>
      </c>
      <c r="I861" s="51" t="n">
        <v>45845</v>
      </c>
      <c r="J861" s="39" t="str">
        <f aca="false">IF(G861=0,"Tunai",IF(I861="","Belum ditukar","Sudah ditukar"))</f>
        <v>Sudah ditukar</v>
      </c>
      <c r="K861" s="54" t="n">
        <v>18890200</v>
      </c>
      <c r="L861" s="51" t="n">
        <v>45878</v>
      </c>
      <c r="M861" s="52" t="n">
        <f aca="false">F861-K861</f>
        <v>0</v>
      </c>
      <c r="N861" s="39" t="str">
        <f aca="false">IF(M861&lt;=0,"Lunas",IF(K861&gt;0,"Sebagian","Belum Bayar"))</f>
        <v>Lunas</v>
      </c>
      <c r="O861" s="39" t="n">
        <f aca="false">IF(M861&gt;0,MAX(0,Catatan!$B$3-H861),0)</f>
        <v>0</v>
      </c>
      <c r="P861" s="39" t="str">
        <f aca="false">IF(M861&lt;=0,"Lunas",IF(Catatan!$B$3&lt;=H861,"Belum Jatuh Tempo",IF(O861&lt;=30,"1-30 hari",IF(O861&lt;=60,"31-60 hari",IF(O861&lt;=90,"61-90 hari","90+ hari")))))</f>
        <v>Lunas</v>
      </c>
      <c r="Q861" s="50"/>
      <c r="R861" s="39" t="str">
        <f aca="false">IF(M861&lt;=0,"",IF(O861&gt;60,"1-Tinggi",IF(O861&gt;30,"2-Sedang",IF(O861&gt;0,"3-Rendah","4-Pantau"))))</f>
        <v/>
      </c>
      <c r="S861" s="39" t="str">
        <f aca="false">IF(AND(M861&gt;0,O861&gt;0),O861+M861/1000000000000+ROW()/1000000000000000,"")</f>
        <v/>
      </c>
      <c r="T861" s="39" t="str">
        <f aca="false">IF(J861="Belum ditukar",ROW(),"")</f>
        <v/>
      </c>
    </row>
    <row r="862" customFormat="false" ht="15" hidden="false" customHeight="false" outlineLevel="0" collapsed="false">
      <c r="A862" s="50" t="s">
        <v>1145</v>
      </c>
      <c r="B862" s="51" t="n">
        <v>45842</v>
      </c>
      <c r="C862" s="50" t="s">
        <v>505</v>
      </c>
      <c r="D862" s="39" t="str">
        <f aca="false">INDEX(Master_Customer!$B$2:$B$126,MATCH(C862,Master_Customer!$A$2:$A$126,0))</f>
        <v>GEMILANG OLI CAHAYA</v>
      </c>
      <c r="E862" s="50" t="s">
        <v>31</v>
      </c>
      <c r="F862" s="52" t="n">
        <f aca="false">SUMIFS(Data_Penjualan!$G$2:$G$5998,Data_Penjualan!$A$2:$A$5998,A862)</f>
        <v>5238400</v>
      </c>
      <c r="G862" s="39" t="n">
        <f aca="false">IF(E862="KANTOR",0,INDEX(Master_Customer!$C$2:$C$126,MATCH(C862,Master_Customer!$A$2:$A$126,0)))</f>
        <v>0</v>
      </c>
      <c r="H862" s="53" t="n">
        <f aca="false">B862+G862</f>
        <v>45842</v>
      </c>
      <c r="J862" s="39" t="str">
        <f aca="false">IF(G862=0,"Tunai",IF(I862="","Belum ditukar","Sudah ditukar"))</f>
        <v>Tunai</v>
      </c>
      <c r="K862" s="54" t="n">
        <v>5238400</v>
      </c>
      <c r="L862" s="51" t="n">
        <v>45842</v>
      </c>
      <c r="M862" s="52" t="n">
        <f aca="false">F862-K862</f>
        <v>0</v>
      </c>
      <c r="N862" s="39" t="str">
        <f aca="false">IF(M862&lt;=0,"Lunas",IF(K862&gt;0,"Sebagian","Belum Bayar"))</f>
        <v>Lunas</v>
      </c>
      <c r="O862" s="39" t="n">
        <f aca="false">IF(M862&gt;0,MAX(0,Catatan!$B$3-H862),0)</f>
        <v>0</v>
      </c>
      <c r="P862" s="39" t="str">
        <f aca="false">IF(M862&lt;=0,"Lunas",IF(Catatan!$B$3&lt;=H862,"Belum Jatuh Tempo",IF(O862&lt;=30,"1-30 hari",IF(O862&lt;=60,"31-60 hari",IF(O862&lt;=90,"61-90 hari","90+ hari")))))</f>
        <v>Lunas</v>
      </c>
      <c r="Q862" s="50"/>
      <c r="R862" s="39" t="str">
        <f aca="false">IF(M862&lt;=0,"",IF(O862&gt;60,"1-Tinggi",IF(O862&gt;30,"2-Sedang",IF(O862&gt;0,"3-Rendah","4-Pantau"))))</f>
        <v/>
      </c>
      <c r="S862" s="39" t="str">
        <f aca="false">IF(AND(M862&gt;0,O862&gt;0),O862+M862/1000000000000+ROW()/1000000000000000,"")</f>
        <v/>
      </c>
      <c r="T862" s="39" t="str">
        <f aca="false">IF(J862="Belum ditukar",ROW(),"")</f>
        <v/>
      </c>
    </row>
    <row r="863" customFormat="false" ht="15" hidden="false" customHeight="false" outlineLevel="0" collapsed="false">
      <c r="A863" s="50" t="s">
        <v>1146</v>
      </c>
      <c r="B863" s="51" t="n">
        <v>45843</v>
      </c>
      <c r="C863" s="50" t="s">
        <v>1147</v>
      </c>
      <c r="D863" s="39" t="str">
        <f aca="false">INDEX(Master_Customer!$B$2:$B$126,MATCH(C863,Master_Customer!$A$2:$A$126,0))</f>
        <v>BINTANG GARAGE UTAMA</v>
      </c>
      <c r="E863" s="50" t="s">
        <v>29</v>
      </c>
      <c r="F863" s="52" t="n">
        <f aca="false">SUMIFS(Data_Penjualan!$G$2:$G$5998,Data_Penjualan!$A$2:$A$5998,A863)</f>
        <v>8978100</v>
      </c>
      <c r="G863" s="39" t="n">
        <f aca="false">IF(E863="KANTOR",0,INDEX(Master_Customer!$C$2:$C$126,MATCH(C863,Master_Customer!$A$2:$A$126,0)))</f>
        <v>30</v>
      </c>
      <c r="H863" s="53" t="n">
        <f aca="false">B863+G863</f>
        <v>45873</v>
      </c>
      <c r="I863" s="51" t="n">
        <v>45844</v>
      </c>
      <c r="J863" s="39" t="str">
        <f aca="false">IF(G863=0,"Tunai",IF(I863="","Belum ditukar","Sudah ditukar"))</f>
        <v>Sudah ditukar</v>
      </c>
      <c r="K863" s="54" t="n">
        <v>8978100</v>
      </c>
      <c r="L863" s="51" t="n">
        <v>45870</v>
      </c>
      <c r="M863" s="52" t="n">
        <f aca="false">F863-K863</f>
        <v>0</v>
      </c>
      <c r="N863" s="39" t="str">
        <f aca="false">IF(M863&lt;=0,"Lunas",IF(K863&gt;0,"Sebagian","Belum Bayar"))</f>
        <v>Lunas</v>
      </c>
      <c r="O863" s="39" t="n">
        <f aca="false">IF(M863&gt;0,MAX(0,Catatan!$B$3-H863),0)</f>
        <v>0</v>
      </c>
      <c r="P863" s="39" t="str">
        <f aca="false">IF(M863&lt;=0,"Lunas",IF(Catatan!$B$3&lt;=H863,"Belum Jatuh Tempo",IF(O863&lt;=30,"1-30 hari",IF(O863&lt;=60,"31-60 hari",IF(O863&lt;=90,"61-90 hari","90+ hari")))))</f>
        <v>Lunas</v>
      </c>
      <c r="Q863" s="50"/>
      <c r="R863" s="39" t="str">
        <f aca="false">IF(M863&lt;=0,"",IF(O863&gt;60,"1-Tinggi",IF(O863&gt;30,"2-Sedang",IF(O863&gt;0,"3-Rendah","4-Pantau"))))</f>
        <v/>
      </c>
      <c r="S863" s="39" t="str">
        <f aca="false">IF(AND(M863&gt;0,O863&gt;0),O863+M863/1000000000000+ROW()/1000000000000000,"")</f>
        <v/>
      </c>
      <c r="T863" s="39" t="str">
        <f aca="false">IF(J863="Belum ditukar",ROW(),"")</f>
        <v/>
      </c>
    </row>
    <row r="864" customFormat="false" ht="15" hidden="false" customHeight="false" outlineLevel="0" collapsed="false">
      <c r="A864" s="50" t="s">
        <v>1148</v>
      </c>
      <c r="B864" s="51" t="n">
        <v>45843</v>
      </c>
      <c r="C864" s="50" t="s">
        <v>403</v>
      </c>
      <c r="D864" s="39" t="str">
        <f aca="false">INDEX(Master_Customer!$B$2:$B$126,MATCH(C864,Master_Customer!$A$2:$A$126,0))</f>
        <v>BINTANG TEKNIK HARAPAN</v>
      </c>
      <c r="E864" s="50" t="s">
        <v>31</v>
      </c>
      <c r="F864" s="52" t="n">
        <f aca="false">SUMIFS(Data_Penjualan!$G$2:$G$5998,Data_Penjualan!$A$2:$A$5998,A864)</f>
        <v>14558900</v>
      </c>
      <c r="G864" s="39" t="n">
        <f aca="false">IF(E864="KANTOR",0,INDEX(Master_Customer!$C$2:$C$126,MATCH(C864,Master_Customer!$A$2:$A$126,0)))</f>
        <v>14</v>
      </c>
      <c r="H864" s="53" t="n">
        <f aca="false">B864+G864</f>
        <v>45857</v>
      </c>
      <c r="I864" s="51" t="n">
        <v>45847</v>
      </c>
      <c r="J864" s="39" t="str">
        <f aca="false">IF(G864=0,"Tunai",IF(I864="","Belum ditukar","Sudah ditukar"))</f>
        <v>Sudah ditukar</v>
      </c>
      <c r="K864" s="54" t="n">
        <v>14558900</v>
      </c>
      <c r="L864" s="51" t="n">
        <v>45849</v>
      </c>
      <c r="M864" s="52" t="n">
        <f aca="false">F864-K864</f>
        <v>0</v>
      </c>
      <c r="N864" s="39" t="str">
        <f aca="false">IF(M864&lt;=0,"Lunas",IF(K864&gt;0,"Sebagian","Belum Bayar"))</f>
        <v>Lunas</v>
      </c>
      <c r="O864" s="39" t="n">
        <f aca="false">IF(M864&gt;0,MAX(0,Catatan!$B$3-H864),0)</f>
        <v>0</v>
      </c>
      <c r="P864" s="39" t="str">
        <f aca="false">IF(M864&lt;=0,"Lunas",IF(Catatan!$B$3&lt;=H864,"Belum Jatuh Tempo",IF(O864&lt;=30,"1-30 hari",IF(O864&lt;=60,"31-60 hari",IF(O864&lt;=90,"61-90 hari","90+ hari")))))</f>
        <v>Lunas</v>
      </c>
      <c r="Q864" s="50"/>
      <c r="R864" s="39" t="str">
        <f aca="false">IF(M864&lt;=0,"",IF(O864&gt;60,"1-Tinggi",IF(O864&gt;30,"2-Sedang",IF(O864&gt;0,"3-Rendah","4-Pantau"))))</f>
        <v/>
      </c>
      <c r="S864" s="39" t="str">
        <f aca="false">IF(AND(M864&gt;0,O864&gt;0),O864+M864/1000000000000+ROW()/1000000000000000,"")</f>
        <v/>
      </c>
      <c r="T864" s="39" t="str">
        <f aca="false">IF(J864="Belum ditukar",ROW(),"")</f>
        <v/>
      </c>
    </row>
    <row r="865" customFormat="false" ht="15" hidden="false" customHeight="false" outlineLevel="0" collapsed="false">
      <c r="A865" s="50" t="s">
        <v>1149</v>
      </c>
      <c r="B865" s="51" t="n">
        <v>45843</v>
      </c>
      <c r="C865" s="50" t="s">
        <v>527</v>
      </c>
      <c r="D865" s="39" t="str">
        <f aca="false">INDEX(Master_Customer!$B$2:$B$126,MATCH(C865,Master_Customer!$A$2:$A$126,0))</f>
        <v>BINTANG SPAREPART PRIMA</v>
      </c>
      <c r="E865" s="50" t="s">
        <v>30</v>
      </c>
      <c r="F865" s="52" t="n">
        <f aca="false">SUMIFS(Data_Penjualan!$G$2:$G$5998,Data_Penjualan!$A$2:$A$5998,A865)</f>
        <v>3883500</v>
      </c>
      <c r="G865" s="39" t="n">
        <f aca="false">IF(E865="KANTOR",0,INDEX(Master_Customer!$C$2:$C$126,MATCH(C865,Master_Customer!$A$2:$A$126,0)))</f>
        <v>14</v>
      </c>
      <c r="H865" s="53" t="n">
        <f aca="false">B865+G865</f>
        <v>45857</v>
      </c>
      <c r="I865" s="51" t="n">
        <v>45844</v>
      </c>
      <c r="J865" s="39" t="str">
        <f aca="false">IF(G865=0,"Tunai",IF(I865="","Belum ditukar","Sudah ditukar"))</f>
        <v>Sudah ditukar</v>
      </c>
      <c r="K865" s="54" t="n">
        <v>3883500</v>
      </c>
      <c r="L865" s="51" t="n">
        <v>45862</v>
      </c>
      <c r="M865" s="52" t="n">
        <f aca="false">F865-K865</f>
        <v>0</v>
      </c>
      <c r="N865" s="39" t="str">
        <f aca="false">IF(M865&lt;=0,"Lunas",IF(K865&gt;0,"Sebagian","Belum Bayar"))</f>
        <v>Lunas</v>
      </c>
      <c r="O865" s="39" t="n">
        <f aca="false">IF(M865&gt;0,MAX(0,Catatan!$B$3-H865),0)</f>
        <v>0</v>
      </c>
      <c r="P865" s="39" t="str">
        <f aca="false">IF(M865&lt;=0,"Lunas",IF(Catatan!$B$3&lt;=H865,"Belum Jatuh Tempo",IF(O865&lt;=30,"1-30 hari",IF(O865&lt;=60,"31-60 hari",IF(O865&lt;=90,"61-90 hari","90+ hari")))))</f>
        <v>Lunas</v>
      </c>
      <c r="Q865" s="50"/>
      <c r="R865" s="39" t="str">
        <f aca="false">IF(M865&lt;=0,"",IF(O865&gt;60,"1-Tinggi",IF(O865&gt;30,"2-Sedang",IF(O865&gt;0,"3-Rendah","4-Pantau"))))</f>
        <v/>
      </c>
      <c r="S865" s="39" t="str">
        <f aca="false">IF(AND(M865&gt;0,O865&gt;0),O865+M865/1000000000000+ROW()/1000000000000000,"")</f>
        <v/>
      </c>
      <c r="T865" s="39" t="str">
        <f aca="false">IF(J865="Belum ditukar",ROW(),"")</f>
        <v/>
      </c>
    </row>
    <row r="866" customFormat="false" ht="15" hidden="false" customHeight="false" outlineLevel="0" collapsed="false">
      <c r="A866" s="50" t="s">
        <v>1150</v>
      </c>
      <c r="B866" s="51" t="n">
        <v>45843</v>
      </c>
      <c r="C866" s="50" t="s">
        <v>213</v>
      </c>
      <c r="D866" s="39" t="str">
        <f aca="false">INDEX(Master_Customer!$B$2:$B$126,MATCH(C866,Master_Customer!$A$2:$A$126,0))</f>
        <v>ABADI AUTO MAKMUR</v>
      </c>
      <c r="E866" s="50" t="s">
        <v>32</v>
      </c>
      <c r="F866" s="52" t="n">
        <f aca="false">SUMIFS(Data_Penjualan!$G$2:$G$5998,Data_Penjualan!$A$2:$A$5998,A866)</f>
        <v>5285200</v>
      </c>
      <c r="G866" s="39" t="n">
        <f aca="false">IF(E866="KANTOR",0,INDEX(Master_Customer!$C$2:$C$126,MATCH(C866,Master_Customer!$A$2:$A$126,0)))</f>
        <v>0</v>
      </c>
      <c r="H866" s="53" t="n">
        <f aca="false">B866+G866</f>
        <v>45843</v>
      </c>
      <c r="J866" s="39" t="str">
        <f aca="false">IF(G866=0,"Tunai",IF(I866="","Belum ditukar","Sudah ditukar"))</f>
        <v>Tunai</v>
      </c>
      <c r="K866" s="54" t="n">
        <v>5285200</v>
      </c>
      <c r="L866" s="51" t="n">
        <v>45844</v>
      </c>
      <c r="M866" s="52" t="n">
        <f aca="false">F866-K866</f>
        <v>0</v>
      </c>
      <c r="N866" s="39" t="str">
        <f aca="false">IF(M866&lt;=0,"Lunas",IF(K866&gt;0,"Sebagian","Belum Bayar"))</f>
        <v>Lunas</v>
      </c>
      <c r="O866" s="39" t="n">
        <f aca="false">IF(M866&gt;0,MAX(0,Catatan!$B$3-H866),0)</f>
        <v>0</v>
      </c>
      <c r="P866" s="39" t="str">
        <f aca="false">IF(M866&lt;=0,"Lunas",IF(Catatan!$B$3&lt;=H866,"Belum Jatuh Tempo",IF(O866&lt;=30,"1-30 hari",IF(O866&lt;=60,"31-60 hari",IF(O866&lt;=90,"61-90 hari","90+ hari")))))</f>
        <v>Lunas</v>
      </c>
      <c r="Q866" s="50"/>
      <c r="R866" s="39" t="str">
        <f aca="false">IF(M866&lt;=0,"",IF(O866&gt;60,"1-Tinggi",IF(O866&gt;30,"2-Sedang",IF(O866&gt;0,"3-Rendah","4-Pantau"))))</f>
        <v/>
      </c>
      <c r="S866" s="39" t="str">
        <f aca="false">IF(AND(M866&gt;0,O866&gt;0),O866+M866/1000000000000+ROW()/1000000000000000,"")</f>
        <v/>
      </c>
      <c r="T866" s="39" t="str">
        <f aca="false">IF(J866="Belum ditukar",ROW(),"")</f>
        <v/>
      </c>
    </row>
    <row r="867" customFormat="false" ht="15" hidden="false" customHeight="false" outlineLevel="0" collapsed="false">
      <c r="A867" s="50" t="s">
        <v>1151</v>
      </c>
      <c r="B867" s="51" t="n">
        <v>45843</v>
      </c>
      <c r="C867" s="50" t="s">
        <v>1048</v>
      </c>
      <c r="D867" s="39" t="str">
        <f aca="false">INDEX(Master_Customer!$B$2:$B$126,MATCH(C867,Master_Customer!$A$2:$A$126,0))</f>
        <v>ABADI LUBRICANT</v>
      </c>
      <c r="E867" s="50" t="s">
        <v>28</v>
      </c>
      <c r="F867" s="52" t="n">
        <f aca="false">SUMIFS(Data_Penjualan!$G$2:$G$5998,Data_Penjualan!$A$2:$A$5998,A867)</f>
        <v>7460400</v>
      </c>
      <c r="G867" s="39" t="n">
        <f aca="false">IF(E867="KANTOR",0,INDEX(Master_Customer!$C$2:$C$126,MATCH(C867,Master_Customer!$A$2:$A$126,0)))</f>
        <v>30</v>
      </c>
      <c r="H867" s="53" t="n">
        <f aca="false">B867+G867</f>
        <v>45873</v>
      </c>
      <c r="I867" s="51" t="n">
        <v>45847</v>
      </c>
      <c r="J867" s="39" t="str">
        <f aca="false">IF(G867=0,"Tunai",IF(I867="","Belum ditukar","Sudah ditukar"))</f>
        <v>Sudah ditukar</v>
      </c>
      <c r="K867" s="54" t="n">
        <v>7460400</v>
      </c>
      <c r="L867" s="51" t="n">
        <v>45880</v>
      </c>
      <c r="M867" s="52" t="n">
        <f aca="false">F867-K867</f>
        <v>0</v>
      </c>
      <c r="N867" s="39" t="str">
        <f aca="false">IF(M867&lt;=0,"Lunas",IF(K867&gt;0,"Sebagian","Belum Bayar"))</f>
        <v>Lunas</v>
      </c>
      <c r="O867" s="39" t="n">
        <f aca="false">IF(M867&gt;0,MAX(0,Catatan!$B$3-H867),0)</f>
        <v>0</v>
      </c>
      <c r="P867" s="39" t="str">
        <f aca="false">IF(M867&lt;=0,"Lunas",IF(Catatan!$B$3&lt;=H867,"Belum Jatuh Tempo",IF(O867&lt;=30,"1-30 hari",IF(O867&lt;=60,"31-60 hari",IF(O867&lt;=90,"61-90 hari","90+ hari")))))</f>
        <v>Lunas</v>
      </c>
      <c r="Q867" s="50"/>
      <c r="R867" s="39" t="str">
        <f aca="false">IF(M867&lt;=0,"",IF(O867&gt;60,"1-Tinggi",IF(O867&gt;30,"2-Sedang",IF(O867&gt;0,"3-Rendah","4-Pantau"))))</f>
        <v/>
      </c>
      <c r="S867" s="39" t="str">
        <f aca="false">IF(AND(M867&gt;0,O867&gt;0),O867+M867/1000000000000+ROW()/1000000000000000,"")</f>
        <v/>
      </c>
      <c r="T867" s="39" t="str">
        <f aca="false">IF(J867="Belum ditukar",ROW(),"")</f>
        <v/>
      </c>
    </row>
    <row r="868" customFormat="false" ht="15" hidden="false" customHeight="false" outlineLevel="0" collapsed="false">
      <c r="A868" s="50" t="s">
        <v>1152</v>
      </c>
      <c r="B868" s="51" t="n">
        <v>45843</v>
      </c>
      <c r="C868" s="50" t="s">
        <v>216</v>
      </c>
      <c r="D868" s="39" t="str">
        <f aca="false">INDEX(Master_Customer!$B$2:$B$126,MATCH(C868,Master_Customer!$A$2:$A$126,0))</f>
        <v>SINAR MOTOR UTAMA</v>
      </c>
      <c r="E868" s="50" t="s">
        <v>30</v>
      </c>
      <c r="F868" s="52" t="n">
        <f aca="false">SUMIFS(Data_Penjualan!$G$2:$G$5998,Data_Penjualan!$A$2:$A$5998,A868)</f>
        <v>14861500</v>
      </c>
      <c r="G868" s="39" t="n">
        <f aca="false">IF(E868="KANTOR",0,INDEX(Master_Customer!$C$2:$C$126,MATCH(C868,Master_Customer!$A$2:$A$126,0)))</f>
        <v>0</v>
      </c>
      <c r="H868" s="53" t="n">
        <f aca="false">B868+G868</f>
        <v>45843</v>
      </c>
      <c r="J868" s="39" t="str">
        <f aca="false">IF(G868=0,"Tunai",IF(I868="","Belum ditukar","Sudah ditukar"))</f>
        <v>Tunai</v>
      </c>
      <c r="K868" s="54" t="n">
        <v>14861500</v>
      </c>
      <c r="L868" s="51" t="n">
        <v>45844</v>
      </c>
      <c r="M868" s="52" t="n">
        <f aca="false">F868-K868</f>
        <v>0</v>
      </c>
      <c r="N868" s="39" t="str">
        <f aca="false">IF(M868&lt;=0,"Lunas",IF(K868&gt;0,"Sebagian","Belum Bayar"))</f>
        <v>Lunas</v>
      </c>
      <c r="O868" s="39" t="n">
        <f aca="false">IF(M868&gt;0,MAX(0,Catatan!$B$3-H868),0)</f>
        <v>0</v>
      </c>
      <c r="P868" s="39" t="str">
        <f aca="false">IF(M868&lt;=0,"Lunas",IF(Catatan!$B$3&lt;=H868,"Belum Jatuh Tempo",IF(O868&lt;=30,"1-30 hari",IF(O868&lt;=60,"31-60 hari",IF(O868&lt;=90,"61-90 hari","90+ hari")))))</f>
        <v>Lunas</v>
      </c>
      <c r="Q868" s="50"/>
      <c r="R868" s="39" t="str">
        <f aca="false">IF(M868&lt;=0,"",IF(O868&gt;60,"1-Tinggi",IF(O868&gt;30,"2-Sedang",IF(O868&gt;0,"3-Rendah","4-Pantau"))))</f>
        <v/>
      </c>
      <c r="S868" s="39" t="str">
        <f aca="false">IF(AND(M868&gt;0,O868&gt;0),O868+M868/1000000000000+ROW()/1000000000000000,"")</f>
        <v/>
      </c>
      <c r="T868" s="39" t="str">
        <f aca="false">IF(J868="Belum ditukar",ROW(),"")</f>
        <v/>
      </c>
    </row>
    <row r="869" customFormat="false" ht="15" hidden="false" customHeight="false" outlineLevel="0" collapsed="false">
      <c r="A869" s="50" t="s">
        <v>1153</v>
      </c>
      <c r="B869" s="51" t="n">
        <v>45843</v>
      </c>
      <c r="C869" s="50" t="s">
        <v>199</v>
      </c>
      <c r="D869" s="39" t="str">
        <f aca="false">INDEX(Master_Customer!$B$2:$B$126,MATCH(C869,Master_Customer!$A$2:$A$126,0))</f>
        <v>KARYA SPAREPART</v>
      </c>
      <c r="E869" s="50" t="s">
        <v>29</v>
      </c>
      <c r="F869" s="52" t="n">
        <f aca="false">SUMIFS(Data_Penjualan!$G$2:$G$5998,Data_Penjualan!$A$2:$A$5998,A869)</f>
        <v>24216600</v>
      </c>
      <c r="G869" s="39" t="n">
        <f aca="false">IF(E869="KANTOR",0,INDEX(Master_Customer!$C$2:$C$126,MATCH(C869,Master_Customer!$A$2:$A$126,0)))</f>
        <v>45</v>
      </c>
      <c r="H869" s="53" t="n">
        <f aca="false">B869+G869</f>
        <v>45888</v>
      </c>
      <c r="I869" s="51" t="n">
        <v>45847</v>
      </c>
      <c r="J869" s="39" t="str">
        <f aca="false">IF(G869=0,"Tunai",IF(I869="","Belum ditukar","Sudah ditukar"))</f>
        <v>Sudah ditukar</v>
      </c>
      <c r="K869" s="54" t="n">
        <v>24216600</v>
      </c>
      <c r="L869" s="51" t="n">
        <v>45894</v>
      </c>
      <c r="M869" s="52" t="n">
        <f aca="false">F869-K869</f>
        <v>0</v>
      </c>
      <c r="N869" s="39" t="str">
        <f aca="false">IF(M869&lt;=0,"Lunas",IF(K869&gt;0,"Sebagian","Belum Bayar"))</f>
        <v>Lunas</v>
      </c>
      <c r="O869" s="39" t="n">
        <f aca="false">IF(M869&gt;0,MAX(0,Catatan!$B$3-H869),0)</f>
        <v>0</v>
      </c>
      <c r="P869" s="39" t="str">
        <f aca="false">IF(M869&lt;=0,"Lunas",IF(Catatan!$B$3&lt;=H869,"Belum Jatuh Tempo",IF(O869&lt;=30,"1-30 hari",IF(O869&lt;=60,"31-60 hari",IF(O869&lt;=90,"61-90 hari","90+ hari")))))</f>
        <v>Lunas</v>
      </c>
      <c r="Q869" s="50"/>
      <c r="R869" s="39" t="str">
        <f aca="false">IF(M869&lt;=0,"",IF(O869&gt;60,"1-Tinggi",IF(O869&gt;30,"2-Sedang",IF(O869&gt;0,"3-Rendah","4-Pantau"))))</f>
        <v/>
      </c>
      <c r="S869" s="39" t="str">
        <f aca="false">IF(AND(M869&gt;0,O869&gt;0),O869+M869/1000000000000+ROW()/1000000000000000,"")</f>
        <v/>
      </c>
      <c r="T869" s="39" t="str">
        <f aca="false">IF(J869="Belum ditukar",ROW(),"")</f>
        <v/>
      </c>
    </row>
    <row r="870" customFormat="false" ht="15" hidden="false" customHeight="false" outlineLevel="0" collapsed="false">
      <c r="A870" s="50" t="s">
        <v>1154</v>
      </c>
      <c r="B870" s="51" t="n">
        <v>45843</v>
      </c>
      <c r="C870" s="50" t="s">
        <v>298</v>
      </c>
      <c r="D870" s="39" t="str">
        <f aca="false">INDEX(Master_Customer!$B$2:$B$126,MATCH(C870,Master_Customer!$A$2:$A$126,0))</f>
        <v>BERKAH MOBIL MAKMUR</v>
      </c>
      <c r="E870" s="50" t="s">
        <v>31</v>
      </c>
      <c r="F870" s="52" t="n">
        <f aca="false">SUMIFS(Data_Penjualan!$G$2:$G$5998,Data_Penjualan!$A$2:$A$5998,A870)</f>
        <v>8509400</v>
      </c>
      <c r="G870" s="39" t="n">
        <f aca="false">IF(E870="KANTOR",0,INDEX(Master_Customer!$C$2:$C$126,MATCH(C870,Master_Customer!$A$2:$A$126,0)))</f>
        <v>14</v>
      </c>
      <c r="H870" s="53" t="n">
        <f aca="false">B870+G870</f>
        <v>45857</v>
      </c>
      <c r="I870" s="51" t="n">
        <v>45846</v>
      </c>
      <c r="J870" s="39" t="str">
        <f aca="false">IF(G870=0,"Tunai",IF(I870="","Belum ditukar","Sudah ditukar"))</f>
        <v>Sudah ditukar</v>
      </c>
      <c r="K870" s="54" t="n">
        <v>8509400</v>
      </c>
      <c r="L870" s="51" t="n">
        <v>45908</v>
      </c>
      <c r="M870" s="52" t="n">
        <f aca="false">F870-K870</f>
        <v>0</v>
      </c>
      <c r="N870" s="39" t="str">
        <f aca="false">IF(M870&lt;=0,"Lunas",IF(K870&gt;0,"Sebagian","Belum Bayar"))</f>
        <v>Lunas</v>
      </c>
      <c r="O870" s="39" t="n">
        <f aca="false">IF(M870&gt;0,MAX(0,Catatan!$B$3-H870),0)</f>
        <v>0</v>
      </c>
      <c r="P870" s="39" t="str">
        <f aca="false">IF(M870&lt;=0,"Lunas",IF(Catatan!$B$3&lt;=H870,"Belum Jatuh Tempo",IF(O870&lt;=30,"1-30 hari",IF(O870&lt;=60,"31-60 hari",IF(O870&lt;=90,"61-90 hari","90+ hari")))))</f>
        <v>Lunas</v>
      </c>
      <c r="Q870" s="50"/>
      <c r="R870" s="39" t="str">
        <f aca="false">IF(M870&lt;=0,"",IF(O870&gt;60,"1-Tinggi",IF(O870&gt;30,"2-Sedang",IF(O870&gt;0,"3-Rendah","4-Pantau"))))</f>
        <v/>
      </c>
      <c r="S870" s="39" t="str">
        <f aca="false">IF(AND(M870&gt;0,O870&gt;0),O870+M870/1000000000000+ROW()/1000000000000000,"")</f>
        <v/>
      </c>
      <c r="T870" s="39" t="str">
        <f aca="false">IF(J870="Belum ditukar",ROW(),"")</f>
        <v/>
      </c>
    </row>
    <row r="871" customFormat="false" ht="15" hidden="false" customHeight="false" outlineLevel="0" collapsed="false">
      <c r="A871" s="50" t="s">
        <v>1155</v>
      </c>
      <c r="B871" s="51" t="n">
        <v>45843</v>
      </c>
      <c r="C871" s="50" t="s">
        <v>174</v>
      </c>
      <c r="D871" s="39" t="str">
        <f aca="false">INDEX(Master_Customer!$B$2:$B$126,MATCH(C871,Master_Customer!$A$2:$A$126,0))</f>
        <v>SUMBER TEKNIK SURYA</v>
      </c>
      <c r="E871" s="50" t="s">
        <v>31</v>
      </c>
      <c r="F871" s="52" t="n">
        <f aca="false">SUMIFS(Data_Penjualan!$G$2:$G$5998,Data_Penjualan!$A$2:$A$5998,A871)</f>
        <v>27019900</v>
      </c>
      <c r="G871" s="39" t="n">
        <f aca="false">IF(E871="KANTOR",0,INDEX(Master_Customer!$C$2:$C$126,MATCH(C871,Master_Customer!$A$2:$A$126,0)))</f>
        <v>30</v>
      </c>
      <c r="H871" s="53" t="n">
        <f aca="false">B871+G871</f>
        <v>45873</v>
      </c>
      <c r="I871" s="51" t="n">
        <v>45846</v>
      </c>
      <c r="J871" s="39" t="str">
        <f aca="false">IF(G871=0,"Tunai",IF(I871="","Belum ditukar","Sudah ditukar"))</f>
        <v>Sudah ditukar</v>
      </c>
      <c r="K871" s="54" t="n">
        <v>27019900</v>
      </c>
      <c r="L871" s="51" t="n">
        <v>45872</v>
      </c>
      <c r="M871" s="52" t="n">
        <f aca="false">F871-K871</f>
        <v>0</v>
      </c>
      <c r="N871" s="39" t="str">
        <f aca="false">IF(M871&lt;=0,"Lunas",IF(K871&gt;0,"Sebagian","Belum Bayar"))</f>
        <v>Lunas</v>
      </c>
      <c r="O871" s="39" t="n">
        <f aca="false">IF(M871&gt;0,MAX(0,Catatan!$B$3-H871),0)</f>
        <v>0</v>
      </c>
      <c r="P871" s="39" t="str">
        <f aca="false">IF(M871&lt;=0,"Lunas",IF(Catatan!$B$3&lt;=H871,"Belum Jatuh Tempo",IF(O871&lt;=30,"1-30 hari",IF(O871&lt;=60,"31-60 hari",IF(O871&lt;=90,"61-90 hari","90+ hari")))))</f>
        <v>Lunas</v>
      </c>
      <c r="Q871" s="50"/>
      <c r="R871" s="39" t="str">
        <f aca="false">IF(M871&lt;=0,"",IF(O871&gt;60,"1-Tinggi",IF(O871&gt;30,"2-Sedang",IF(O871&gt;0,"3-Rendah","4-Pantau"))))</f>
        <v/>
      </c>
      <c r="S871" s="39" t="str">
        <f aca="false">IF(AND(M871&gt;0,O871&gt;0),O871+M871/1000000000000+ROW()/1000000000000000,"")</f>
        <v/>
      </c>
      <c r="T871" s="39" t="str">
        <f aca="false">IF(J871="Belum ditukar",ROW(),"")</f>
        <v/>
      </c>
    </row>
    <row r="872" customFormat="false" ht="15" hidden="false" customHeight="false" outlineLevel="0" collapsed="false">
      <c r="A872" s="50" t="s">
        <v>1156</v>
      </c>
      <c r="B872" s="51" t="n">
        <v>45843</v>
      </c>
      <c r="C872" s="50" t="s">
        <v>177</v>
      </c>
      <c r="D872" s="39" t="str">
        <f aca="false">INDEX(Master_Customer!$B$2:$B$126,MATCH(C872,Master_Customer!$A$2:$A$126,0))</f>
        <v>PRIMA MOTOR LANCAR</v>
      </c>
      <c r="E872" s="50" t="s">
        <v>29</v>
      </c>
      <c r="F872" s="52" t="n">
        <f aca="false">SUMIFS(Data_Penjualan!$G$2:$G$5998,Data_Penjualan!$A$2:$A$5998,A872)</f>
        <v>22466400</v>
      </c>
      <c r="G872" s="39" t="n">
        <f aca="false">IF(E872="KANTOR",0,INDEX(Master_Customer!$C$2:$C$126,MATCH(C872,Master_Customer!$A$2:$A$126,0)))</f>
        <v>14</v>
      </c>
      <c r="H872" s="53" t="n">
        <f aca="false">B872+G872</f>
        <v>45857</v>
      </c>
      <c r="I872" s="51" t="n">
        <v>45845</v>
      </c>
      <c r="J872" s="39" t="str">
        <f aca="false">IF(G872=0,"Tunai",IF(I872="","Belum ditukar","Sudah ditukar"))</f>
        <v>Sudah ditukar</v>
      </c>
      <c r="K872" s="54" t="n">
        <v>22466400</v>
      </c>
      <c r="L872" s="51" t="n">
        <v>45858</v>
      </c>
      <c r="M872" s="52" t="n">
        <f aca="false">F872-K872</f>
        <v>0</v>
      </c>
      <c r="N872" s="39" t="str">
        <f aca="false">IF(M872&lt;=0,"Lunas",IF(K872&gt;0,"Sebagian","Belum Bayar"))</f>
        <v>Lunas</v>
      </c>
      <c r="O872" s="39" t="n">
        <f aca="false">IF(M872&gt;0,MAX(0,Catatan!$B$3-H872),0)</f>
        <v>0</v>
      </c>
      <c r="P872" s="39" t="str">
        <f aca="false">IF(M872&lt;=0,"Lunas",IF(Catatan!$B$3&lt;=H872,"Belum Jatuh Tempo",IF(O872&lt;=30,"1-30 hari",IF(O872&lt;=60,"31-60 hari",IF(O872&lt;=90,"61-90 hari","90+ hari")))))</f>
        <v>Lunas</v>
      </c>
      <c r="Q872" s="50"/>
      <c r="R872" s="39" t="str">
        <f aca="false">IF(M872&lt;=0,"",IF(O872&gt;60,"1-Tinggi",IF(O872&gt;30,"2-Sedang",IF(O872&gt;0,"3-Rendah","4-Pantau"))))</f>
        <v/>
      </c>
      <c r="S872" s="39" t="str">
        <f aca="false">IF(AND(M872&gt;0,O872&gt;0),O872+M872/1000000000000+ROW()/1000000000000000,"")</f>
        <v/>
      </c>
      <c r="T872" s="39" t="str">
        <f aca="false">IF(J872="Belum ditukar",ROW(),"")</f>
        <v/>
      </c>
    </row>
    <row r="873" customFormat="false" ht="15" hidden="false" customHeight="false" outlineLevel="0" collapsed="false">
      <c r="A873" s="50" t="s">
        <v>1157</v>
      </c>
      <c r="B873" s="51" t="n">
        <v>45845</v>
      </c>
      <c r="C873" s="50" t="s">
        <v>174</v>
      </c>
      <c r="D873" s="39" t="str">
        <f aca="false">INDEX(Master_Customer!$B$2:$B$126,MATCH(C873,Master_Customer!$A$2:$A$126,0))</f>
        <v>SUMBER TEKNIK SURYA</v>
      </c>
      <c r="E873" s="50" t="s">
        <v>31</v>
      </c>
      <c r="F873" s="52" t="n">
        <f aca="false">SUMIFS(Data_Penjualan!$G$2:$G$5998,Data_Penjualan!$A$2:$A$5998,A873)</f>
        <v>5226300</v>
      </c>
      <c r="G873" s="39" t="n">
        <f aca="false">IF(E873="KANTOR",0,INDEX(Master_Customer!$C$2:$C$126,MATCH(C873,Master_Customer!$A$2:$A$126,0)))</f>
        <v>30</v>
      </c>
      <c r="H873" s="53" t="n">
        <f aca="false">B873+G873</f>
        <v>45875</v>
      </c>
      <c r="I873" s="51" t="n">
        <v>45850</v>
      </c>
      <c r="J873" s="39" t="str">
        <f aca="false">IF(G873=0,"Tunai",IF(I873="","Belum ditukar","Sudah ditukar"))</f>
        <v>Sudah ditukar</v>
      </c>
      <c r="K873" s="54" t="n">
        <v>5226300</v>
      </c>
      <c r="L873" s="51" t="n">
        <v>45873</v>
      </c>
      <c r="M873" s="52" t="n">
        <f aca="false">F873-K873</f>
        <v>0</v>
      </c>
      <c r="N873" s="39" t="str">
        <f aca="false">IF(M873&lt;=0,"Lunas",IF(K873&gt;0,"Sebagian","Belum Bayar"))</f>
        <v>Lunas</v>
      </c>
      <c r="O873" s="39" t="n">
        <f aca="false">IF(M873&gt;0,MAX(0,Catatan!$B$3-H873),0)</f>
        <v>0</v>
      </c>
      <c r="P873" s="39" t="str">
        <f aca="false">IF(M873&lt;=0,"Lunas",IF(Catatan!$B$3&lt;=H873,"Belum Jatuh Tempo",IF(O873&lt;=30,"1-30 hari",IF(O873&lt;=60,"31-60 hari",IF(O873&lt;=90,"61-90 hari","90+ hari")))))</f>
        <v>Lunas</v>
      </c>
      <c r="Q873" s="50"/>
      <c r="R873" s="39" t="str">
        <f aca="false">IF(M873&lt;=0,"",IF(O873&gt;60,"1-Tinggi",IF(O873&gt;30,"2-Sedang",IF(O873&gt;0,"3-Rendah","4-Pantau"))))</f>
        <v/>
      </c>
      <c r="S873" s="39" t="str">
        <f aca="false">IF(AND(M873&gt;0,O873&gt;0),O873+M873/1000000000000+ROW()/1000000000000000,"")</f>
        <v/>
      </c>
      <c r="T873" s="39" t="str">
        <f aca="false">IF(J873="Belum ditukar",ROW(),"")</f>
        <v/>
      </c>
    </row>
    <row r="874" customFormat="false" ht="15" hidden="false" customHeight="false" outlineLevel="0" collapsed="false">
      <c r="A874" s="50" t="s">
        <v>1158</v>
      </c>
      <c r="B874" s="51" t="n">
        <v>45845</v>
      </c>
      <c r="C874" s="50" t="s">
        <v>241</v>
      </c>
      <c r="D874" s="39" t="str">
        <f aca="false">INDEX(Master_Customer!$B$2:$B$126,MATCH(C874,Master_Customer!$A$2:$A$126,0))</f>
        <v>GEMILANG GARAGE TIRTA</v>
      </c>
      <c r="E874" s="50" t="s">
        <v>29</v>
      </c>
      <c r="F874" s="52" t="n">
        <f aca="false">SUMIFS(Data_Penjualan!$G$2:$G$5998,Data_Penjualan!$A$2:$A$5998,A874)</f>
        <v>6790800</v>
      </c>
      <c r="G874" s="39" t="n">
        <f aca="false">IF(E874="KANTOR",0,INDEX(Master_Customer!$C$2:$C$126,MATCH(C874,Master_Customer!$A$2:$A$126,0)))</f>
        <v>14</v>
      </c>
      <c r="H874" s="53" t="n">
        <f aca="false">B874+G874</f>
        <v>45859</v>
      </c>
      <c r="I874" s="51" t="n">
        <v>45848</v>
      </c>
      <c r="J874" s="39" t="str">
        <f aca="false">IF(G874=0,"Tunai",IF(I874="","Belum ditukar","Sudah ditukar"))</f>
        <v>Sudah ditukar</v>
      </c>
      <c r="K874" s="54" t="n">
        <v>6790800</v>
      </c>
      <c r="L874" s="51" t="n">
        <v>45861</v>
      </c>
      <c r="M874" s="52" t="n">
        <f aca="false">F874-K874</f>
        <v>0</v>
      </c>
      <c r="N874" s="39" t="str">
        <f aca="false">IF(M874&lt;=0,"Lunas",IF(K874&gt;0,"Sebagian","Belum Bayar"))</f>
        <v>Lunas</v>
      </c>
      <c r="O874" s="39" t="n">
        <f aca="false">IF(M874&gt;0,MAX(0,Catatan!$B$3-H874),0)</f>
        <v>0</v>
      </c>
      <c r="P874" s="39" t="str">
        <f aca="false">IF(M874&lt;=0,"Lunas",IF(Catatan!$B$3&lt;=H874,"Belum Jatuh Tempo",IF(O874&lt;=30,"1-30 hari",IF(O874&lt;=60,"31-60 hari",IF(O874&lt;=90,"61-90 hari","90+ hari")))))</f>
        <v>Lunas</v>
      </c>
      <c r="Q874" s="50"/>
      <c r="R874" s="39" t="str">
        <f aca="false">IF(M874&lt;=0,"",IF(O874&gt;60,"1-Tinggi",IF(O874&gt;30,"2-Sedang",IF(O874&gt;0,"3-Rendah","4-Pantau"))))</f>
        <v/>
      </c>
      <c r="S874" s="39" t="str">
        <f aca="false">IF(AND(M874&gt;0,O874&gt;0),O874+M874/1000000000000+ROW()/1000000000000000,"")</f>
        <v/>
      </c>
      <c r="T874" s="39" t="str">
        <f aca="false">IF(J874="Belum ditukar",ROW(),"")</f>
        <v/>
      </c>
    </row>
    <row r="875" customFormat="false" ht="15" hidden="false" customHeight="false" outlineLevel="0" collapsed="false">
      <c r="A875" s="50" t="s">
        <v>1159</v>
      </c>
      <c r="B875" s="51" t="n">
        <v>45845</v>
      </c>
      <c r="C875" s="50" t="s">
        <v>286</v>
      </c>
      <c r="D875" s="39" t="str">
        <f aca="false">INDEX(Master_Customer!$B$2:$B$126,MATCH(C875,Master_Customer!$A$2:$A$126,0))</f>
        <v>CAHAYA AUTO</v>
      </c>
      <c r="E875" s="50" t="s">
        <v>29</v>
      </c>
      <c r="F875" s="52" t="n">
        <f aca="false">SUMIFS(Data_Penjualan!$G$2:$G$5998,Data_Penjualan!$A$2:$A$5998,A875)</f>
        <v>4316600</v>
      </c>
      <c r="G875" s="39" t="n">
        <f aca="false">IF(E875="KANTOR",0,INDEX(Master_Customer!$C$2:$C$126,MATCH(C875,Master_Customer!$A$2:$A$126,0)))</f>
        <v>0</v>
      </c>
      <c r="H875" s="53" t="n">
        <f aca="false">B875+G875</f>
        <v>45845</v>
      </c>
      <c r="J875" s="39" t="str">
        <f aca="false">IF(G875=0,"Tunai",IF(I875="","Belum ditukar","Sudah ditukar"))</f>
        <v>Tunai</v>
      </c>
      <c r="K875" s="54" t="n">
        <v>4316600</v>
      </c>
      <c r="L875" s="51" t="n">
        <v>45845</v>
      </c>
      <c r="M875" s="52" t="n">
        <f aca="false">F875-K875</f>
        <v>0</v>
      </c>
      <c r="N875" s="39" t="str">
        <f aca="false">IF(M875&lt;=0,"Lunas",IF(K875&gt;0,"Sebagian","Belum Bayar"))</f>
        <v>Lunas</v>
      </c>
      <c r="O875" s="39" t="n">
        <f aca="false">IF(M875&gt;0,MAX(0,Catatan!$B$3-H875),0)</f>
        <v>0</v>
      </c>
      <c r="P875" s="39" t="str">
        <f aca="false">IF(M875&lt;=0,"Lunas",IF(Catatan!$B$3&lt;=H875,"Belum Jatuh Tempo",IF(O875&lt;=30,"1-30 hari",IF(O875&lt;=60,"31-60 hari",IF(O875&lt;=90,"61-90 hari","90+ hari")))))</f>
        <v>Lunas</v>
      </c>
      <c r="Q875" s="50"/>
      <c r="R875" s="39" t="str">
        <f aca="false">IF(M875&lt;=0,"",IF(O875&gt;60,"1-Tinggi",IF(O875&gt;30,"2-Sedang",IF(O875&gt;0,"3-Rendah","4-Pantau"))))</f>
        <v/>
      </c>
      <c r="S875" s="39" t="str">
        <f aca="false">IF(AND(M875&gt;0,O875&gt;0),O875+M875/1000000000000+ROW()/1000000000000000,"")</f>
        <v/>
      </c>
      <c r="T875" s="39" t="str">
        <f aca="false">IF(J875="Belum ditukar",ROW(),"")</f>
        <v/>
      </c>
    </row>
    <row r="876" customFormat="false" ht="15" hidden="false" customHeight="false" outlineLevel="0" collapsed="false">
      <c r="A876" s="50" t="s">
        <v>1160</v>
      </c>
      <c r="B876" s="51" t="n">
        <v>45845</v>
      </c>
      <c r="C876" s="50" t="s">
        <v>373</v>
      </c>
      <c r="D876" s="39" t="str">
        <f aca="false">INDEX(Master_Customer!$B$2:$B$126,MATCH(C876,Master_Customer!$A$2:$A$126,0))</f>
        <v>BINTANG SPAREPART BERKAH</v>
      </c>
      <c r="E876" s="50" t="s">
        <v>29</v>
      </c>
      <c r="F876" s="52" t="n">
        <f aca="false">SUMIFS(Data_Penjualan!$G$2:$G$5998,Data_Penjualan!$A$2:$A$5998,A876)</f>
        <v>16080300</v>
      </c>
      <c r="G876" s="39" t="n">
        <f aca="false">IF(E876="KANTOR",0,INDEX(Master_Customer!$C$2:$C$126,MATCH(C876,Master_Customer!$A$2:$A$126,0)))</f>
        <v>14</v>
      </c>
      <c r="H876" s="53" t="n">
        <f aca="false">B876+G876</f>
        <v>45859</v>
      </c>
      <c r="I876" s="51" t="n">
        <v>45847</v>
      </c>
      <c r="J876" s="39" t="str">
        <f aca="false">IF(G876=0,"Tunai",IF(I876="","Belum ditukar","Sudah ditukar"))</f>
        <v>Sudah ditukar</v>
      </c>
      <c r="K876" s="54" t="n">
        <v>16080300</v>
      </c>
      <c r="L876" s="51" t="n">
        <v>45878</v>
      </c>
      <c r="M876" s="52" t="n">
        <f aca="false">F876-K876</f>
        <v>0</v>
      </c>
      <c r="N876" s="39" t="str">
        <f aca="false">IF(M876&lt;=0,"Lunas",IF(K876&gt;0,"Sebagian","Belum Bayar"))</f>
        <v>Lunas</v>
      </c>
      <c r="O876" s="39" t="n">
        <f aca="false">IF(M876&gt;0,MAX(0,Catatan!$B$3-H876),0)</f>
        <v>0</v>
      </c>
      <c r="P876" s="39" t="str">
        <f aca="false">IF(M876&lt;=0,"Lunas",IF(Catatan!$B$3&lt;=H876,"Belum Jatuh Tempo",IF(O876&lt;=30,"1-30 hari",IF(O876&lt;=60,"31-60 hari",IF(O876&lt;=90,"61-90 hari","90+ hari")))))</f>
        <v>Lunas</v>
      </c>
      <c r="Q876" s="50"/>
      <c r="R876" s="39" t="str">
        <f aca="false">IF(M876&lt;=0,"",IF(O876&gt;60,"1-Tinggi",IF(O876&gt;30,"2-Sedang",IF(O876&gt;0,"3-Rendah","4-Pantau"))))</f>
        <v/>
      </c>
      <c r="S876" s="39" t="str">
        <f aca="false">IF(AND(M876&gt;0,O876&gt;0),O876+M876/1000000000000+ROW()/1000000000000000,"")</f>
        <v/>
      </c>
      <c r="T876" s="39" t="str">
        <f aca="false">IF(J876="Belum ditukar",ROW(),"")</f>
        <v/>
      </c>
    </row>
    <row r="877" customFormat="false" ht="15" hidden="false" customHeight="false" outlineLevel="0" collapsed="false">
      <c r="A877" s="50" t="s">
        <v>1161</v>
      </c>
      <c r="B877" s="51" t="n">
        <v>45845</v>
      </c>
      <c r="C877" s="50" t="s">
        <v>199</v>
      </c>
      <c r="D877" s="39" t="str">
        <f aca="false">INDEX(Master_Customer!$B$2:$B$126,MATCH(C877,Master_Customer!$A$2:$A$126,0))</f>
        <v>KARYA SPAREPART</v>
      </c>
      <c r="E877" s="50" t="s">
        <v>29</v>
      </c>
      <c r="F877" s="52" t="n">
        <f aca="false">SUMIFS(Data_Penjualan!$G$2:$G$5998,Data_Penjualan!$A$2:$A$5998,A877)</f>
        <v>9161700</v>
      </c>
      <c r="G877" s="39" t="n">
        <f aca="false">IF(E877="KANTOR",0,INDEX(Master_Customer!$C$2:$C$126,MATCH(C877,Master_Customer!$A$2:$A$126,0)))</f>
        <v>45</v>
      </c>
      <c r="H877" s="53" t="n">
        <f aca="false">B877+G877</f>
        <v>45890</v>
      </c>
      <c r="I877" s="51" t="n">
        <v>45849</v>
      </c>
      <c r="J877" s="39" t="str">
        <f aca="false">IF(G877=0,"Tunai",IF(I877="","Belum ditukar","Sudah ditukar"))</f>
        <v>Sudah ditukar</v>
      </c>
      <c r="K877" s="54" t="n">
        <v>9161700</v>
      </c>
      <c r="L877" s="51" t="n">
        <v>45885</v>
      </c>
      <c r="M877" s="52" t="n">
        <f aca="false">F877-K877</f>
        <v>0</v>
      </c>
      <c r="N877" s="39" t="str">
        <f aca="false">IF(M877&lt;=0,"Lunas",IF(K877&gt;0,"Sebagian","Belum Bayar"))</f>
        <v>Lunas</v>
      </c>
      <c r="O877" s="39" t="n">
        <f aca="false">IF(M877&gt;0,MAX(0,Catatan!$B$3-H877),0)</f>
        <v>0</v>
      </c>
      <c r="P877" s="39" t="str">
        <f aca="false">IF(M877&lt;=0,"Lunas",IF(Catatan!$B$3&lt;=H877,"Belum Jatuh Tempo",IF(O877&lt;=30,"1-30 hari",IF(O877&lt;=60,"31-60 hari",IF(O877&lt;=90,"61-90 hari","90+ hari")))))</f>
        <v>Lunas</v>
      </c>
      <c r="Q877" s="50"/>
      <c r="R877" s="39" t="str">
        <f aca="false">IF(M877&lt;=0,"",IF(O877&gt;60,"1-Tinggi",IF(O877&gt;30,"2-Sedang",IF(O877&gt;0,"3-Rendah","4-Pantau"))))</f>
        <v/>
      </c>
      <c r="S877" s="39" t="str">
        <f aca="false">IF(AND(M877&gt;0,O877&gt;0),O877+M877/1000000000000+ROW()/1000000000000000,"")</f>
        <v/>
      </c>
      <c r="T877" s="39" t="str">
        <f aca="false">IF(J877="Belum ditukar",ROW(),"")</f>
        <v/>
      </c>
    </row>
    <row r="878" customFormat="false" ht="15" hidden="false" customHeight="false" outlineLevel="0" collapsed="false">
      <c r="A878" s="50" t="s">
        <v>1162</v>
      </c>
      <c r="B878" s="51" t="n">
        <v>45846</v>
      </c>
      <c r="C878" s="50" t="s">
        <v>205</v>
      </c>
      <c r="D878" s="39" t="str">
        <f aca="false">INDEX(Master_Customer!$B$2:$B$126,MATCH(C878,Master_Customer!$A$2:$A$126,0))</f>
        <v>BERKAH OLI</v>
      </c>
      <c r="E878" s="50" t="s">
        <v>28</v>
      </c>
      <c r="F878" s="52" t="n">
        <f aca="false">SUMIFS(Data_Penjualan!$G$2:$G$5998,Data_Penjualan!$A$2:$A$5998,A878)</f>
        <v>14305000</v>
      </c>
      <c r="G878" s="39" t="n">
        <f aca="false">IF(E878="KANTOR",0,INDEX(Master_Customer!$C$2:$C$126,MATCH(C878,Master_Customer!$A$2:$A$126,0)))</f>
        <v>0</v>
      </c>
      <c r="H878" s="53" t="n">
        <f aca="false">B878+G878</f>
        <v>45846</v>
      </c>
      <c r="J878" s="39" t="str">
        <f aca="false">IF(G878=0,"Tunai",IF(I878="","Belum ditukar","Sudah ditukar"))</f>
        <v>Tunai</v>
      </c>
      <c r="K878" s="54" t="n">
        <v>14305000</v>
      </c>
      <c r="L878" s="51" t="n">
        <v>45847</v>
      </c>
      <c r="M878" s="52" t="n">
        <f aca="false">F878-K878</f>
        <v>0</v>
      </c>
      <c r="N878" s="39" t="str">
        <f aca="false">IF(M878&lt;=0,"Lunas",IF(K878&gt;0,"Sebagian","Belum Bayar"))</f>
        <v>Lunas</v>
      </c>
      <c r="O878" s="39" t="n">
        <f aca="false">IF(M878&gt;0,MAX(0,Catatan!$B$3-H878),0)</f>
        <v>0</v>
      </c>
      <c r="P878" s="39" t="str">
        <f aca="false">IF(M878&lt;=0,"Lunas",IF(Catatan!$B$3&lt;=H878,"Belum Jatuh Tempo",IF(O878&lt;=30,"1-30 hari",IF(O878&lt;=60,"31-60 hari",IF(O878&lt;=90,"61-90 hari","90+ hari")))))</f>
        <v>Lunas</v>
      </c>
      <c r="Q878" s="50"/>
      <c r="R878" s="39" t="str">
        <f aca="false">IF(M878&lt;=0,"",IF(O878&gt;60,"1-Tinggi",IF(O878&gt;30,"2-Sedang",IF(O878&gt;0,"3-Rendah","4-Pantau"))))</f>
        <v/>
      </c>
      <c r="S878" s="39" t="str">
        <f aca="false">IF(AND(M878&gt;0,O878&gt;0),O878+M878/1000000000000+ROW()/1000000000000000,"")</f>
        <v/>
      </c>
      <c r="T878" s="39" t="str">
        <f aca="false">IF(J878="Belum ditukar",ROW(),"")</f>
        <v/>
      </c>
    </row>
    <row r="879" customFormat="false" ht="15" hidden="false" customHeight="false" outlineLevel="0" collapsed="false">
      <c r="A879" s="50" t="s">
        <v>1163</v>
      </c>
      <c r="B879" s="51" t="n">
        <v>45846</v>
      </c>
      <c r="C879" s="50" t="s">
        <v>298</v>
      </c>
      <c r="D879" s="39" t="str">
        <f aca="false">INDEX(Master_Customer!$B$2:$B$126,MATCH(C879,Master_Customer!$A$2:$A$126,0))</f>
        <v>BERKAH MOBIL MAKMUR</v>
      </c>
      <c r="E879" s="50" t="s">
        <v>31</v>
      </c>
      <c r="F879" s="52" t="n">
        <f aca="false">SUMIFS(Data_Penjualan!$G$2:$G$5998,Data_Penjualan!$A$2:$A$5998,A879)</f>
        <v>19145700</v>
      </c>
      <c r="G879" s="39" t="n">
        <f aca="false">IF(E879="KANTOR",0,INDEX(Master_Customer!$C$2:$C$126,MATCH(C879,Master_Customer!$A$2:$A$126,0)))</f>
        <v>14</v>
      </c>
      <c r="H879" s="53" t="n">
        <f aca="false">B879+G879</f>
        <v>45860</v>
      </c>
      <c r="I879" s="51" t="n">
        <v>45848</v>
      </c>
      <c r="J879" s="39" t="str">
        <f aca="false">IF(G879=0,"Tunai",IF(I879="","Belum ditukar","Sudah ditukar"))</f>
        <v>Sudah ditukar</v>
      </c>
      <c r="K879" s="54" t="n">
        <v>19145700</v>
      </c>
      <c r="L879" s="51" t="n">
        <v>45873</v>
      </c>
      <c r="M879" s="52" t="n">
        <f aca="false">F879-K879</f>
        <v>0</v>
      </c>
      <c r="N879" s="39" t="str">
        <f aca="false">IF(M879&lt;=0,"Lunas",IF(K879&gt;0,"Sebagian","Belum Bayar"))</f>
        <v>Lunas</v>
      </c>
      <c r="O879" s="39" t="n">
        <f aca="false">IF(M879&gt;0,MAX(0,Catatan!$B$3-H879),0)</f>
        <v>0</v>
      </c>
      <c r="P879" s="39" t="str">
        <f aca="false">IF(M879&lt;=0,"Lunas",IF(Catatan!$B$3&lt;=H879,"Belum Jatuh Tempo",IF(O879&lt;=30,"1-30 hari",IF(O879&lt;=60,"31-60 hari",IF(O879&lt;=90,"61-90 hari","90+ hari")))))</f>
        <v>Lunas</v>
      </c>
      <c r="Q879" s="50"/>
      <c r="R879" s="39" t="str">
        <f aca="false">IF(M879&lt;=0,"",IF(O879&gt;60,"1-Tinggi",IF(O879&gt;30,"2-Sedang",IF(O879&gt;0,"3-Rendah","4-Pantau"))))</f>
        <v/>
      </c>
      <c r="S879" s="39" t="str">
        <f aca="false">IF(AND(M879&gt;0,O879&gt;0),O879+M879/1000000000000+ROW()/1000000000000000,"")</f>
        <v/>
      </c>
      <c r="T879" s="39" t="str">
        <f aca="false">IF(J879="Belum ditukar",ROW(),"")</f>
        <v/>
      </c>
    </row>
    <row r="880" customFormat="false" ht="15" hidden="false" customHeight="false" outlineLevel="0" collapsed="false">
      <c r="A880" s="50" t="s">
        <v>1164</v>
      </c>
      <c r="B880" s="51" t="n">
        <v>45846</v>
      </c>
      <c r="C880" s="50" t="s">
        <v>358</v>
      </c>
      <c r="D880" s="39" t="str">
        <f aca="false">INDEX(Master_Customer!$B$2:$B$126,MATCH(C880,Master_Customer!$A$2:$A$126,0))</f>
        <v>HARAPAN TEKNIK</v>
      </c>
      <c r="E880" s="50" t="s">
        <v>31</v>
      </c>
      <c r="F880" s="52" t="n">
        <f aca="false">SUMIFS(Data_Penjualan!$G$2:$G$5998,Data_Penjualan!$A$2:$A$5998,A880)</f>
        <v>7197400</v>
      </c>
      <c r="G880" s="39" t="n">
        <f aca="false">IF(E880="KANTOR",0,INDEX(Master_Customer!$C$2:$C$126,MATCH(C880,Master_Customer!$A$2:$A$126,0)))</f>
        <v>0</v>
      </c>
      <c r="H880" s="53" t="n">
        <f aca="false">B880+G880</f>
        <v>45846</v>
      </c>
      <c r="J880" s="39" t="str">
        <f aca="false">IF(G880=0,"Tunai",IF(I880="","Belum ditukar","Sudah ditukar"))</f>
        <v>Tunai</v>
      </c>
      <c r="K880" s="54" t="n">
        <v>7197400</v>
      </c>
      <c r="L880" s="51" t="n">
        <v>45846</v>
      </c>
      <c r="M880" s="52" t="n">
        <f aca="false">F880-K880</f>
        <v>0</v>
      </c>
      <c r="N880" s="39" t="str">
        <f aca="false">IF(M880&lt;=0,"Lunas",IF(K880&gt;0,"Sebagian","Belum Bayar"))</f>
        <v>Lunas</v>
      </c>
      <c r="O880" s="39" t="n">
        <f aca="false">IF(M880&gt;0,MAX(0,Catatan!$B$3-H880),0)</f>
        <v>0</v>
      </c>
      <c r="P880" s="39" t="str">
        <f aca="false">IF(M880&lt;=0,"Lunas",IF(Catatan!$B$3&lt;=H880,"Belum Jatuh Tempo",IF(O880&lt;=30,"1-30 hari",IF(O880&lt;=60,"31-60 hari",IF(O880&lt;=90,"61-90 hari","90+ hari")))))</f>
        <v>Lunas</v>
      </c>
      <c r="Q880" s="50"/>
      <c r="R880" s="39" t="str">
        <f aca="false">IF(M880&lt;=0,"",IF(O880&gt;60,"1-Tinggi",IF(O880&gt;30,"2-Sedang",IF(O880&gt;0,"3-Rendah","4-Pantau"))))</f>
        <v/>
      </c>
      <c r="S880" s="39" t="str">
        <f aca="false">IF(AND(M880&gt;0,O880&gt;0),O880+M880/1000000000000+ROW()/1000000000000000,"")</f>
        <v/>
      </c>
      <c r="T880" s="39" t="str">
        <f aca="false">IF(J880="Belum ditukar",ROW(),"")</f>
        <v/>
      </c>
    </row>
    <row r="881" customFormat="false" ht="15" hidden="false" customHeight="false" outlineLevel="0" collapsed="false">
      <c r="A881" s="50" t="s">
        <v>1165</v>
      </c>
      <c r="B881" s="51" t="n">
        <v>45846</v>
      </c>
      <c r="C881" s="50" t="s">
        <v>218</v>
      </c>
      <c r="D881" s="39" t="str">
        <f aca="false">INDEX(Master_Customer!$B$2:$B$126,MATCH(C881,Master_Customer!$A$2:$A$126,0))</f>
        <v>SURYA SERVICE LANCAR</v>
      </c>
      <c r="E881" s="50" t="s">
        <v>28</v>
      </c>
      <c r="F881" s="52" t="n">
        <f aca="false">SUMIFS(Data_Penjualan!$G$2:$G$5998,Data_Penjualan!$A$2:$A$5998,A881)</f>
        <v>6853700</v>
      </c>
      <c r="G881" s="39" t="n">
        <f aca="false">IF(E881="KANTOR",0,INDEX(Master_Customer!$C$2:$C$126,MATCH(C881,Master_Customer!$A$2:$A$126,0)))</f>
        <v>0</v>
      </c>
      <c r="H881" s="53" t="n">
        <f aca="false">B881+G881</f>
        <v>45846</v>
      </c>
      <c r="J881" s="39" t="str">
        <f aca="false">IF(G881=0,"Tunai",IF(I881="","Belum ditukar","Sudah ditukar"))</f>
        <v>Tunai</v>
      </c>
      <c r="K881" s="54" t="n">
        <v>6853700</v>
      </c>
      <c r="L881" s="51" t="n">
        <v>45848</v>
      </c>
      <c r="M881" s="52" t="n">
        <f aca="false">F881-K881</f>
        <v>0</v>
      </c>
      <c r="N881" s="39" t="str">
        <f aca="false">IF(M881&lt;=0,"Lunas",IF(K881&gt;0,"Sebagian","Belum Bayar"))</f>
        <v>Lunas</v>
      </c>
      <c r="O881" s="39" t="n">
        <f aca="false">IF(M881&gt;0,MAX(0,Catatan!$B$3-H881),0)</f>
        <v>0</v>
      </c>
      <c r="P881" s="39" t="str">
        <f aca="false">IF(M881&lt;=0,"Lunas",IF(Catatan!$B$3&lt;=H881,"Belum Jatuh Tempo",IF(O881&lt;=30,"1-30 hari",IF(O881&lt;=60,"31-60 hari",IF(O881&lt;=90,"61-90 hari","90+ hari")))))</f>
        <v>Lunas</v>
      </c>
      <c r="Q881" s="50"/>
      <c r="R881" s="39" t="str">
        <f aca="false">IF(M881&lt;=0,"",IF(O881&gt;60,"1-Tinggi",IF(O881&gt;30,"2-Sedang",IF(O881&gt;0,"3-Rendah","4-Pantau"))))</f>
        <v/>
      </c>
      <c r="S881" s="39" t="str">
        <f aca="false">IF(AND(M881&gt;0,O881&gt;0),O881+M881/1000000000000+ROW()/1000000000000000,"")</f>
        <v/>
      </c>
      <c r="T881" s="39" t="str">
        <f aca="false">IF(J881="Belum ditukar",ROW(),"")</f>
        <v/>
      </c>
    </row>
    <row r="882" customFormat="false" ht="15" hidden="false" customHeight="false" outlineLevel="0" collapsed="false">
      <c r="A882" s="50" t="s">
        <v>1166</v>
      </c>
      <c r="B882" s="51" t="n">
        <v>45846</v>
      </c>
      <c r="C882" s="50" t="s">
        <v>166</v>
      </c>
      <c r="D882" s="39" t="str">
        <f aca="false">INDEX(Master_Customer!$B$2:$B$126,MATCH(C882,Master_Customer!$A$2:$A$126,0))</f>
        <v>SENTOSA SERVICE</v>
      </c>
      <c r="E882" s="50" t="s">
        <v>30</v>
      </c>
      <c r="F882" s="52" t="n">
        <f aca="false">SUMIFS(Data_Penjualan!$G$2:$G$5998,Data_Penjualan!$A$2:$A$5998,A882)</f>
        <v>12625200</v>
      </c>
      <c r="G882" s="39" t="n">
        <f aca="false">IF(E882="KANTOR",0,INDEX(Master_Customer!$C$2:$C$126,MATCH(C882,Master_Customer!$A$2:$A$126,0)))</f>
        <v>0</v>
      </c>
      <c r="H882" s="53" t="n">
        <f aca="false">B882+G882</f>
        <v>45846</v>
      </c>
      <c r="J882" s="39" t="str">
        <f aca="false">IF(G882=0,"Tunai",IF(I882="","Belum ditukar","Sudah ditukar"))</f>
        <v>Tunai</v>
      </c>
      <c r="K882" s="54" t="n">
        <v>12625200</v>
      </c>
      <c r="L882" s="51" t="n">
        <v>45846</v>
      </c>
      <c r="M882" s="52" t="n">
        <f aca="false">F882-K882</f>
        <v>0</v>
      </c>
      <c r="N882" s="39" t="str">
        <f aca="false">IF(M882&lt;=0,"Lunas",IF(K882&gt;0,"Sebagian","Belum Bayar"))</f>
        <v>Lunas</v>
      </c>
      <c r="O882" s="39" t="n">
        <f aca="false">IF(M882&gt;0,MAX(0,Catatan!$B$3-H882),0)</f>
        <v>0</v>
      </c>
      <c r="P882" s="39" t="str">
        <f aca="false">IF(M882&lt;=0,"Lunas",IF(Catatan!$B$3&lt;=H882,"Belum Jatuh Tempo",IF(O882&lt;=30,"1-30 hari",IF(O882&lt;=60,"31-60 hari",IF(O882&lt;=90,"61-90 hari","90+ hari")))))</f>
        <v>Lunas</v>
      </c>
      <c r="Q882" s="50"/>
      <c r="R882" s="39" t="str">
        <f aca="false">IF(M882&lt;=0,"",IF(O882&gt;60,"1-Tinggi",IF(O882&gt;30,"2-Sedang",IF(O882&gt;0,"3-Rendah","4-Pantau"))))</f>
        <v/>
      </c>
      <c r="S882" s="39" t="str">
        <f aca="false">IF(AND(M882&gt;0,O882&gt;0),O882+M882/1000000000000+ROW()/1000000000000000,"")</f>
        <v/>
      </c>
      <c r="T882" s="39" t="str">
        <f aca="false">IF(J882="Belum ditukar",ROW(),"")</f>
        <v/>
      </c>
    </row>
    <row r="883" customFormat="false" ht="15" hidden="false" customHeight="false" outlineLevel="0" collapsed="false">
      <c r="A883" s="50" t="s">
        <v>1167</v>
      </c>
      <c r="B883" s="51" t="n">
        <v>45846</v>
      </c>
      <c r="C883" s="50" t="s">
        <v>237</v>
      </c>
      <c r="D883" s="39" t="str">
        <f aca="false">INDEX(Master_Customer!$B$2:$B$126,MATCH(C883,Master_Customer!$A$2:$A$126,0))</f>
        <v>SINAR SPAREPART</v>
      </c>
      <c r="E883" s="50" t="s">
        <v>31</v>
      </c>
      <c r="F883" s="52" t="n">
        <f aca="false">SUMIFS(Data_Penjualan!$G$2:$G$5998,Data_Penjualan!$A$2:$A$5998,A883)</f>
        <v>22169100</v>
      </c>
      <c r="G883" s="39" t="n">
        <f aca="false">IF(E883="KANTOR",0,INDEX(Master_Customer!$C$2:$C$126,MATCH(C883,Master_Customer!$A$2:$A$126,0)))</f>
        <v>45</v>
      </c>
      <c r="H883" s="53" t="n">
        <f aca="false">B883+G883</f>
        <v>45891</v>
      </c>
      <c r="I883" s="51" t="n">
        <v>45847</v>
      </c>
      <c r="J883" s="39" t="str">
        <f aca="false">IF(G883=0,"Tunai",IF(I883="","Belum ditukar","Sudah ditukar"))</f>
        <v>Sudah ditukar</v>
      </c>
      <c r="K883" s="54" t="n">
        <v>22169100</v>
      </c>
      <c r="L883" s="51" t="n">
        <v>45892</v>
      </c>
      <c r="M883" s="52" t="n">
        <f aca="false">F883-K883</f>
        <v>0</v>
      </c>
      <c r="N883" s="39" t="str">
        <f aca="false">IF(M883&lt;=0,"Lunas",IF(K883&gt;0,"Sebagian","Belum Bayar"))</f>
        <v>Lunas</v>
      </c>
      <c r="O883" s="39" t="n">
        <f aca="false">IF(M883&gt;0,MAX(0,Catatan!$B$3-H883),0)</f>
        <v>0</v>
      </c>
      <c r="P883" s="39" t="str">
        <f aca="false">IF(M883&lt;=0,"Lunas",IF(Catatan!$B$3&lt;=H883,"Belum Jatuh Tempo",IF(O883&lt;=30,"1-30 hari",IF(O883&lt;=60,"31-60 hari",IF(O883&lt;=90,"61-90 hari","90+ hari")))))</f>
        <v>Lunas</v>
      </c>
      <c r="Q883" s="50"/>
      <c r="R883" s="39" t="str">
        <f aca="false">IF(M883&lt;=0,"",IF(O883&gt;60,"1-Tinggi",IF(O883&gt;30,"2-Sedang",IF(O883&gt;0,"3-Rendah","4-Pantau"))))</f>
        <v/>
      </c>
      <c r="S883" s="39" t="str">
        <f aca="false">IF(AND(M883&gt;0,O883&gt;0),O883+M883/1000000000000+ROW()/1000000000000000,"")</f>
        <v/>
      </c>
      <c r="T883" s="39" t="str">
        <f aca="false">IF(J883="Belum ditukar",ROW(),"")</f>
        <v/>
      </c>
    </row>
    <row r="884" customFormat="false" ht="15" hidden="false" customHeight="false" outlineLevel="0" collapsed="false">
      <c r="A884" s="50" t="s">
        <v>1168</v>
      </c>
      <c r="B884" s="51" t="n">
        <v>45846</v>
      </c>
      <c r="C884" s="50" t="s">
        <v>408</v>
      </c>
      <c r="D884" s="39" t="str">
        <f aca="false">INDEX(Master_Customer!$B$2:$B$126,MATCH(C884,Master_Customer!$A$2:$A$126,0))</f>
        <v>SURYA GARAGE</v>
      </c>
      <c r="E884" s="50" t="s">
        <v>30</v>
      </c>
      <c r="F884" s="52" t="n">
        <f aca="false">SUMIFS(Data_Penjualan!$G$2:$G$5998,Data_Penjualan!$A$2:$A$5998,A884)</f>
        <v>3436100</v>
      </c>
      <c r="G884" s="39" t="n">
        <f aca="false">IF(E884="KANTOR",0,INDEX(Master_Customer!$C$2:$C$126,MATCH(C884,Master_Customer!$A$2:$A$126,0)))</f>
        <v>45</v>
      </c>
      <c r="H884" s="53" t="n">
        <f aca="false">B884+G884</f>
        <v>45891</v>
      </c>
      <c r="I884" s="51" t="n">
        <v>45850</v>
      </c>
      <c r="J884" s="39" t="str">
        <f aca="false">IF(G884=0,"Tunai",IF(I884="","Belum ditukar","Sudah ditukar"))</f>
        <v>Sudah ditukar</v>
      </c>
      <c r="K884" s="54" t="n">
        <v>3436100</v>
      </c>
      <c r="L884" s="51" t="n">
        <v>45899</v>
      </c>
      <c r="M884" s="52" t="n">
        <f aca="false">F884-K884</f>
        <v>0</v>
      </c>
      <c r="N884" s="39" t="str">
        <f aca="false">IF(M884&lt;=0,"Lunas",IF(K884&gt;0,"Sebagian","Belum Bayar"))</f>
        <v>Lunas</v>
      </c>
      <c r="O884" s="39" t="n">
        <f aca="false">IF(M884&gt;0,MAX(0,Catatan!$B$3-H884),0)</f>
        <v>0</v>
      </c>
      <c r="P884" s="39" t="str">
        <f aca="false">IF(M884&lt;=0,"Lunas",IF(Catatan!$B$3&lt;=H884,"Belum Jatuh Tempo",IF(O884&lt;=30,"1-30 hari",IF(O884&lt;=60,"31-60 hari",IF(O884&lt;=90,"61-90 hari","90+ hari")))))</f>
        <v>Lunas</v>
      </c>
      <c r="Q884" s="50"/>
      <c r="R884" s="39" t="str">
        <f aca="false">IF(M884&lt;=0,"",IF(O884&gt;60,"1-Tinggi",IF(O884&gt;30,"2-Sedang",IF(O884&gt;0,"3-Rendah","4-Pantau"))))</f>
        <v/>
      </c>
      <c r="S884" s="39" t="str">
        <f aca="false">IF(AND(M884&gt;0,O884&gt;0),O884+M884/1000000000000+ROW()/1000000000000000,"")</f>
        <v/>
      </c>
      <c r="T884" s="39" t="str">
        <f aca="false">IF(J884="Belum ditukar",ROW(),"")</f>
        <v/>
      </c>
    </row>
    <row r="885" customFormat="false" ht="15" hidden="false" customHeight="false" outlineLevel="0" collapsed="false">
      <c r="A885" s="50" t="s">
        <v>1169</v>
      </c>
      <c r="B885" s="51" t="n">
        <v>45846</v>
      </c>
      <c r="C885" s="50" t="s">
        <v>1170</v>
      </c>
      <c r="D885" s="39" t="str">
        <f aca="false">INDEX(Master_Customer!$B$2:$B$126,MATCH(C885,Master_Customer!$A$2:$A$126,0))</f>
        <v>LANCAR SERVICE</v>
      </c>
      <c r="E885" s="50" t="s">
        <v>29</v>
      </c>
      <c r="F885" s="52" t="n">
        <f aca="false">SUMIFS(Data_Penjualan!$G$2:$G$5998,Data_Penjualan!$A$2:$A$5998,A885)</f>
        <v>22241300</v>
      </c>
      <c r="G885" s="39" t="n">
        <f aca="false">IF(E885="KANTOR",0,INDEX(Master_Customer!$C$2:$C$126,MATCH(C885,Master_Customer!$A$2:$A$126,0)))</f>
        <v>30</v>
      </c>
      <c r="H885" s="53" t="n">
        <f aca="false">B885+G885</f>
        <v>45876</v>
      </c>
      <c r="I885" s="51" t="n">
        <v>45847</v>
      </c>
      <c r="J885" s="39" t="str">
        <f aca="false">IF(G885=0,"Tunai",IF(I885="","Belum ditukar","Sudah ditukar"))</f>
        <v>Sudah ditukar</v>
      </c>
      <c r="K885" s="54" t="n">
        <v>22241300</v>
      </c>
      <c r="L885" s="51" t="n">
        <v>45865</v>
      </c>
      <c r="M885" s="52" t="n">
        <f aca="false">F885-K885</f>
        <v>0</v>
      </c>
      <c r="N885" s="39" t="str">
        <f aca="false">IF(M885&lt;=0,"Lunas",IF(K885&gt;0,"Sebagian","Belum Bayar"))</f>
        <v>Lunas</v>
      </c>
      <c r="O885" s="39" t="n">
        <f aca="false">IF(M885&gt;0,MAX(0,Catatan!$B$3-H885),0)</f>
        <v>0</v>
      </c>
      <c r="P885" s="39" t="str">
        <f aca="false">IF(M885&lt;=0,"Lunas",IF(Catatan!$B$3&lt;=H885,"Belum Jatuh Tempo",IF(O885&lt;=30,"1-30 hari",IF(O885&lt;=60,"31-60 hari",IF(O885&lt;=90,"61-90 hari","90+ hari")))))</f>
        <v>Lunas</v>
      </c>
      <c r="Q885" s="50"/>
      <c r="R885" s="39" t="str">
        <f aca="false">IF(M885&lt;=0,"",IF(O885&gt;60,"1-Tinggi",IF(O885&gt;30,"2-Sedang",IF(O885&gt;0,"3-Rendah","4-Pantau"))))</f>
        <v/>
      </c>
      <c r="S885" s="39" t="str">
        <f aca="false">IF(AND(M885&gt;0,O885&gt;0),O885+M885/1000000000000+ROW()/1000000000000000,"")</f>
        <v/>
      </c>
      <c r="T885" s="39" t="str">
        <f aca="false">IF(J885="Belum ditukar",ROW(),"")</f>
        <v/>
      </c>
    </row>
    <row r="886" customFormat="false" ht="15" hidden="false" customHeight="false" outlineLevel="0" collapsed="false">
      <c r="A886" s="50" t="s">
        <v>1171</v>
      </c>
      <c r="B886" s="51" t="n">
        <v>45847</v>
      </c>
      <c r="C886" s="50" t="s">
        <v>174</v>
      </c>
      <c r="D886" s="39" t="str">
        <f aca="false">INDEX(Master_Customer!$B$2:$B$126,MATCH(C886,Master_Customer!$A$2:$A$126,0))</f>
        <v>SUMBER TEKNIK SURYA</v>
      </c>
      <c r="E886" s="50" t="s">
        <v>31</v>
      </c>
      <c r="F886" s="52" t="n">
        <f aca="false">SUMIFS(Data_Penjualan!$G$2:$G$5998,Data_Penjualan!$A$2:$A$5998,A886)</f>
        <v>12756900</v>
      </c>
      <c r="G886" s="39" t="n">
        <f aca="false">IF(E886="KANTOR",0,INDEX(Master_Customer!$C$2:$C$126,MATCH(C886,Master_Customer!$A$2:$A$126,0)))</f>
        <v>30</v>
      </c>
      <c r="H886" s="53" t="n">
        <f aca="false">B886+G886</f>
        <v>45877</v>
      </c>
      <c r="I886" s="51" t="n">
        <v>45851</v>
      </c>
      <c r="J886" s="39" t="str">
        <f aca="false">IF(G886=0,"Tunai",IF(I886="","Belum ditukar","Sudah ditukar"))</f>
        <v>Sudah ditukar</v>
      </c>
      <c r="K886" s="54" t="n">
        <v>12756900</v>
      </c>
      <c r="L886" s="51" t="n">
        <v>45875</v>
      </c>
      <c r="M886" s="52" t="n">
        <f aca="false">F886-K886</f>
        <v>0</v>
      </c>
      <c r="N886" s="39" t="str">
        <f aca="false">IF(M886&lt;=0,"Lunas",IF(K886&gt;0,"Sebagian","Belum Bayar"))</f>
        <v>Lunas</v>
      </c>
      <c r="O886" s="39" t="n">
        <f aca="false">IF(M886&gt;0,MAX(0,Catatan!$B$3-H886),0)</f>
        <v>0</v>
      </c>
      <c r="P886" s="39" t="str">
        <f aca="false">IF(M886&lt;=0,"Lunas",IF(Catatan!$B$3&lt;=H886,"Belum Jatuh Tempo",IF(O886&lt;=30,"1-30 hari",IF(O886&lt;=60,"31-60 hari",IF(O886&lt;=90,"61-90 hari","90+ hari")))))</f>
        <v>Lunas</v>
      </c>
      <c r="Q886" s="50"/>
      <c r="R886" s="39" t="str">
        <f aca="false">IF(M886&lt;=0,"",IF(O886&gt;60,"1-Tinggi",IF(O886&gt;30,"2-Sedang",IF(O886&gt;0,"3-Rendah","4-Pantau"))))</f>
        <v/>
      </c>
      <c r="S886" s="39" t="str">
        <f aca="false">IF(AND(M886&gt;0,O886&gt;0),O886+M886/1000000000000+ROW()/1000000000000000,"")</f>
        <v/>
      </c>
      <c r="T886" s="39" t="str">
        <f aca="false">IF(J886="Belum ditukar",ROW(),"")</f>
        <v/>
      </c>
    </row>
    <row r="887" customFormat="false" ht="15" hidden="false" customHeight="false" outlineLevel="0" collapsed="false">
      <c r="A887" s="50" t="s">
        <v>1172</v>
      </c>
      <c r="B887" s="51" t="n">
        <v>45847</v>
      </c>
      <c r="C887" s="50" t="s">
        <v>286</v>
      </c>
      <c r="D887" s="39" t="str">
        <f aca="false">INDEX(Master_Customer!$B$2:$B$126,MATCH(C887,Master_Customer!$A$2:$A$126,0))</f>
        <v>CAHAYA AUTO</v>
      </c>
      <c r="E887" s="50" t="s">
        <v>29</v>
      </c>
      <c r="F887" s="52" t="n">
        <f aca="false">SUMIFS(Data_Penjualan!$G$2:$G$5998,Data_Penjualan!$A$2:$A$5998,A887)</f>
        <v>5281900</v>
      </c>
      <c r="G887" s="39" t="n">
        <f aca="false">IF(E887="KANTOR",0,INDEX(Master_Customer!$C$2:$C$126,MATCH(C887,Master_Customer!$A$2:$A$126,0)))</f>
        <v>0</v>
      </c>
      <c r="H887" s="53" t="n">
        <f aca="false">B887+G887</f>
        <v>45847</v>
      </c>
      <c r="J887" s="39" t="str">
        <f aca="false">IF(G887=0,"Tunai",IF(I887="","Belum ditukar","Sudah ditukar"))</f>
        <v>Tunai</v>
      </c>
      <c r="K887" s="54" t="n">
        <v>5281900</v>
      </c>
      <c r="L887" s="51" t="n">
        <v>45847</v>
      </c>
      <c r="M887" s="52" t="n">
        <f aca="false">F887-K887</f>
        <v>0</v>
      </c>
      <c r="N887" s="39" t="str">
        <f aca="false">IF(M887&lt;=0,"Lunas",IF(K887&gt;0,"Sebagian","Belum Bayar"))</f>
        <v>Lunas</v>
      </c>
      <c r="O887" s="39" t="n">
        <f aca="false">IF(M887&gt;0,MAX(0,Catatan!$B$3-H887),0)</f>
        <v>0</v>
      </c>
      <c r="P887" s="39" t="str">
        <f aca="false">IF(M887&lt;=0,"Lunas",IF(Catatan!$B$3&lt;=H887,"Belum Jatuh Tempo",IF(O887&lt;=30,"1-30 hari",IF(O887&lt;=60,"31-60 hari",IF(O887&lt;=90,"61-90 hari","90+ hari")))))</f>
        <v>Lunas</v>
      </c>
      <c r="Q887" s="50"/>
      <c r="R887" s="39" t="str">
        <f aca="false">IF(M887&lt;=0,"",IF(O887&gt;60,"1-Tinggi",IF(O887&gt;30,"2-Sedang",IF(O887&gt;0,"3-Rendah","4-Pantau"))))</f>
        <v/>
      </c>
      <c r="S887" s="39" t="str">
        <f aca="false">IF(AND(M887&gt;0,O887&gt;0),O887+M887/1000000000000+ROW()/1000000000000000,"")</f>
        <v/>
      </c>
      <c r="T887" s="39" t="str">
        <f aca="false">IF(J887="Belum ditukar",ROW(),"")</f>
        <v/>
      </c>
    </row>
    <row r="888" customFormat="false" ht="15" hidden="false" customHeight="false" outlineLevel="0" collapsed="false">
      <c r="A888" s="50" t="s">
        <v>1173</v>
      </c>
      <c r="B888" s="51" t="n">
        <v>45847</v>
      </c>
      <c r="C888" s="50" t="s">
        <v>234</v>
      </c>
      <c r="D888" s="39" t="str">
        <f aca="false">INDEX(Master_Customer!$B$2:$B$126,MATCH(C888,Master_Customer!$A$2:$A$126,0))</f>
        <v>CAHAYA OLI</v>
      </c>
      <c r="E888" s="50" t="s">
        <v>28</v>
      </c>
      <c r="F888" s="52" t="n">
        <f aca="false">SUMIFS(Data_Penjualan!$G$2:$G$5998,Data_Penjualan!$A$2:$A$5998,A888)</f>
        <v>11396100</v>
      </c>
      <c r="G888" s="39" t="n">
        <f aca="false">IF(E888="KANTOR",0,INDEX(Master_Customer!$C$2:$C$126,MATCH(C888,Master_Customer!$A$2:$A$126,0)))</f>
        <v>30</v>
      </c>
      <c r="H888" s="53" t="n">
        <f aca="false">B888+G888</f>
        <v>45877</v>
      </c>
      <c r="I888" s="51" t="n">
        <v>45848</v>
      </c>
      <c r="J888" s="39" t="str">
        <f aca="false">IF(G888=0,"Tunai",IF(I888="","Belum ditukar","Sudah ditukar"))</f>
        <v>Sudah ditukar</v>
      </c>
      <c r="K888" s="54" t="n">
        <v>11396100</v>
      </c>
      <c r="L888" s="51" t="n">
        <v>45866</v>
      </c>
      <c r="M888" s="52" t="n">
        <f aca="false">F888-K888</f>
        <v>0</v>
      </c>
      <c r="N888" s="39" t="str">
        <f aca="false">IF(M888&lt;=0,"Lunas",IF(K888&gt;0,"Sebagian","Belum Bayar"))</f>
        <v>Lunas</v>
      </c>
      <c r="O888" s="39" t="n">
        <f aca="false">IF(M888&gt;0,MAX(0,Catatan!$B$3-H888),0)</f>
        <v>0</v>
      </c>
      <c r="P888" s="39" t="str">
        <f aca="false">IF(M888&lt;=0,"Lunas",IF(Catatan!$B$3&lt;=H888,"Belum Jatuh Tempo",IF(O888&lt;=30,"1-30 hari",IF(O888&lt;=60,"31-60 hari",IF(O888&lt;=90,"61-90 hari","90+ hari")))))</f>
        <v>Lunas</v>
      </c>
      <c r="Q888" s="50"/>
      <c r="R888" s="39" t="str">
        <f aca="false">IF(M888&lt;=0,"",IF(O888&gt;60,"1-Tinggi",IF(O888&gt;30,"2-Sedang",IF(O888&gt;0,"3-Rendah","4-Pantau"))))</f>
        <v/>
      </c>
      <c r="S888" s="39" t="str">
        <f aca="false">IF(AND(M888&gt;0,O888&gt;0),O888+M888/1000000000000+ROW()/1000000000000000,"")</f>
        <v/>
      </c>
      <c r="T888" s="39" t="str">
        <f aca="false">IF(J888="Belum ditukar",ROW(),"")</f>
        <v/>
      </c>
    </row>
    <row r="889" customFormat="false" ht="15" hidden="false" customHeight="false" outlineLevel="0" collapsed="false">
      <c r="A889" s="50" t="s">
        <v>1174</v>
      </c>
      <c r="B889" s="51" t="n">
        <v>45847</v>
      </c>
      <c r="C889" s="50" t="s">
        <v>166</v>
      </c>
      <c r="D889" s="39" t="str">
        <f aca="false">INDEX(Master_Customer!$B$2:$B$126,MATCH(C889,Master_Customer!$A$2:$A$126,0))</f>
        <v>SENTOSA SERVICE</v>
      </c>
      <c r="E889" s="50" t="s">
        <v>30</v>
      </c>
      <c r="F889" s="52" t="n">
        <f aca="false">SUMIFS(Data_Penjualan!$G$2:$G$5998,Data_Penjualan!$A$2:$A$5998,A889)</f>
        <v>22756200</v>
      </c>
      <c r="G889" s="39" t="n">
        <f aca="false">IF(E889="KANTOR",0,INDEX(Master_Customer!$C$2:$C$126,MATCH(C889,Master_Customer!$A$2:$A$126,0)))</f>
        <v>0</v>
      </c>
      <c r="H889" s="53" t="n">
        <f aca="false">B889+G889</f>
        <v>45847</v>
      </c>
      <c r="J889" s="39" t="str">
        <f aca="false">IF(G889=0,"Tunai",IF(I889="","Belum ditukar","Sudah ditukar"))</f>
        <v>Tunai</v>
      </c>
      <c r="K889" s="54" t="n">
        <v>22756200</v>
      </c>
      <c r="L889" s="51" t="n">
        <v>45848</v>
      </c>
      <c r="M889" s="52" t="n">
        <f aca="false">F889-K889</f>
        <v>0</v>
      </c>
      <c r="N889" s="39" t="str">
        <f aca="false">IF(M889&lt;=0,"Lunas",IF(K889&gt;0,"Sebagian","Belum Bayar"))</f>
        <v>Lunas</v>
      </c>
      <c r="O889" s="39" t="n">
        <f aca="false">IF(M889&gt;0,MAX(0,Catatan!$B$3-H889),0)</f>
        <v>0</v>
      </c>
      <c r="P889" s="39" t="str">
        <f aca="false">IF(M889&lt;=0,"Lunas",IF(Catatan!$B$3&lt;=H889,"Belum Jatuh Tempo",IF(O889&lt;=30,"1-30 hari",IF(O889&lt;=60,"31-60 hari",IF(O889&lt;=90,"61-90 hari","90+ hari")))))</f>
        <v>Lunas</v>
      </c>
      <c r="Q889" s="50"/>
      <c r="R889" s="39" t="str">
        <f aca="false">IF(M889&lt;=0,"",IF(O889&gt;60,"1-Tinggi",IF(O889&gt;30,"2-Sedang",IF(O889&gt;0,"3-Rendah","4-Pantau"))))</f>
        <v/>
      </c>
      <c r="S889" s="39" t="str">
        <f aca="false">IF(AND(M889&gt;0,O889&gt;0),O889+M889/1000000000000+ROW()/1000000000000000,"")</f>
        <v/>
      </c>
      <c r="T889" s="39" t="str">
        <f aca="false">IF(J889="Belum ditukar",ROW(),"")</f>
        <v/>
      </c>
    </row>
    <row r="890" customFormat="false" ht="15" hidden="false" customHeight="false" outlineLevel="0" collapsed="false">
      <c r="A890" s="50" t="s">
        <v>1175</v>
      </c>
      <c r="B890" s="51" t="n">
        <v>45847</v>
      </c>
      <c r="C890" s="50" t="s">
        <v>289</v>
      </c>
      <c r="D890" s="39" t="str">
        <f aca="false">INDEX(Master_Customer!$B$2:$B$126,MATCH(C890,Master_Customer!$A$2:$A$126,0))</f>
        <v>SINAR GARAGE</v>
      </c>
      <c r="E890" s="50" t="s">
        <v>28</v>
      </c>
      <c r="F890" s="52" t="n">
        <f aca="false">SUMIFS(Data_Penjualan!$G$2:$G$5998,Data_Penjualan!$A$2:$A$5998,A890)</f>
        <v>21563400</v>
      </c>
      <c r="G890" s="39" t="n">
        <f aca="false">IF(E890="KANTOR",0,INDEX(Master_Customer!$C$2:$C$126,MATCH(C890,Master_Customer!$A$2:$A$126,0)))</f>
        <v>30</v>
      </c>
      <c r="H890" s="53" t="n">
        <f aca="false">B890+G890</f>
        <v>45877</v>
      </c>
      <c r="I890" s="51" t="n">
        <v>45852</v>
      </c>
      <c r="J890" s="39" t="str">
        <f aca="false">IF(G890=0,"Tunai",IF(I890="","Belum ditukar","Sudah ditukar"))</f>
        <v>Sudah ditukar</v>
      </c>
      <c r="K890" s="54" t="n">
        <v>21563400</v>
      </c>
      <c r="L890" s="51" t="n">
        <v>45875</v>
      </c>
      <c r="M890" s="52" t="n">
        <f aca="false">F890-K890</f>
        <v>0</v>
      </c>
      <c r="N890" s="39" t="str">
        <f aca="false">IF(M890&lt;=0,"Lunas",IF(K890&gt;0,"Sebagian","Belum Bayar"))</f>
        <v>Lunas</v>
      </c>
      <c r="O890" s="39" t="n">
        <f aca="false">IF(M890&gt;0,MAX(0,Catatan!$B$3-H890),0)</f>
        <v>0</v>
      </c>
      <c r="P890" s="39" t="str">
        <f aca="false">IF(M890&lt;=0,"Lunas",IF(Catatan!$B$3&lt;=H890,"Belum Jatuh Tempo",IF(O890&lt;=30,"1-30 hari",IF(O890&lt;=60,"31-60 hari",IF(O890&lt;=90,"61-90 hari","90+ hari")))))</f>
        <v>Lunas</v>
      </c>
      <c r="Q890" s="50"/>
      <c r="R890" s="39" t="str">
        <f aca="false">IF(M890&lt;=0,"",IF(O890&gt;60,"1-Tinggi",IF(O890&gt;30,"2-Sedang",IF(O890&gt;0,"3-Rendah","4-Pantau"))))</f>
        <v/>
      </c>
      <c r="S890" s="39" t="str">
        <f aca="false">IF(AND(M890&gt;0,O890&gt;0),O890+M890/1000000000000+ROW()/1000000000000000,"")</f>
        <v/>
      </c>
      <c r="T890" s="39" t="str">
        <f aca="false">IF(J890="Belum ditukar",ROW(),"")</f>
        <v/>
      </c>
    </row>
    <row r="891" customFormat="false" ht="15" hidden="false" customHeight="false" outlineLevel="0" collapsed="false">
      <c r="A891" s="50" t="s">
        <v>1176</v>
      </c>
      <c r="B891" s="51" t="n">
        <v>45847</v>
      </c>
      <c r="C891" s="50" t="s">
        <v>369</v>
      </c>
      <c r="D891" s="39" t="str">
        <f aca="false">INDEX(Master_Customer!$B$2:$B$126,MATCH(C891,Master_Customer!$A$2:$A$126,0))</f>
        <v>UTAMA TEKNIK</v>
      </c>
      <c r="E891" s="50" t="s">
        <v>31</v>
      </c>
      <c r="F891" s="52" t="n">
        <f aca="false">SUMIFS(Data_Penjualan!$G$2:$G$5998,Data_Penjualan!$A$2:$A$5998,A891)</f>
        <v>1793500</v>
      </c>
      <c r="G891" s="39" t="n">
        <f aca="false">IF(E891="KANTOR",0,INDEX(Master_Customer!$C$2:$C$126,MATCH(C891,Master_Customer!$A$2:$A$126,0)))</f>
        <v>30</v>
      </c>
      <c r="H891" s="53" t="n">
        <f aca="false">B891+G891</f>
        <v>45877</v>
      </c>
      <c r="I891" s="51" t="n">
        <v>45851</v>
      </c>
      <c r="J891" s="39" t="str">
        <f aca="false">IF(G891=0,"Tunai",IF(I891="","Belum ditukar","Sudah ditukar"))</f>
        <v>Sudah ditukar</v>
      </c>
      <c r="K891" s="54" t="n">
        <v>1793500</v>
      </c>
      <c r="L891" s="51" t="n">
        <v>45886</v>
      </c>
      <c r="M891" s="52" t="n">
        <f aca="false">F891-K891</f>
        <v>0</v>
      </c>
      <c r="N891" s="39" t="str">
        <f aca="false">IF(M891&lt;=0,"Lunas",IF(K891&gt;0,"Sebagian","Belum Bayar"))</f>
        <v>Lunas</v>
      </c>
      <c r="O891" s="39" t="n">
        <f aca="false">IF(M891&gt;0,MAX(0,Catatan!$B$3-H891),0)</f>
        <v>0</v>
      </c>
      <c r="P891" s="39" t="str">
        <f aca="false">IF(M891&lt;=0,"Lunas",IF(Catatan!$B$3&lt;=H891,"Belum Jatuh Tempo",IF(O891&lt;=30,"1-30 hari",IF(O891&lt;=60,"31-60 hari",IF(O891&lt;=90,"61-90 hari","90+ hari")))))</f>
        <v>Lunas</v>
      </c>
      <c r="Q891" s="50"/>
      <c r="R891" s="39" t="str">
        <f aca="false">IF(M891&lt;=0,"",IF(O891&gt;60,"1-Tinggi",IF(O891&gt;30,"2-Sedang",IF(O891&gt;0,"3-Rendah","4-Pantau"))))</f>
        <v/>
      </c>
      <c r="S891" s="39" t="str">
        <f aca="false">IF(AND(M891&gt;0,O891&gt;0),O891+M891/1000000000000+ROW()/1000000000000000,"")</f>
        <v/>
      </c>
      <c r="T891" s="39" t="str">
        <f aca="false">IF(J891="Belum ditukar",ROW(),"")</f>
        <v/>
      </c>
    </row>
    <row r="892" customFormat="false" ht="15" hidden="false" customHeight="false" outlineLevel="0" collapsed="false">
      <c r="A892" s="50" t="s">
        <v>1177</v>
      </c>
      <c r="B892" s="51" t="n">
        <v>45848</v>
      </c>
      <c r="C892" s="50" t="s">
        <v>241</v>
      </c>
      <c r="D892" s="39" t="str">
        <f aca="false">INDEX(Master_Customer!$B$2:$B$126,MATCH(C892,Master_Customer!$A$2:$A$126,0))</f>
        <v>GEMILANG GARAGE TIRTA</v>
      </c>
      <c r="E892" s="50" t="s">
        <v>29</v>
      </c>
      <c r="F892" s="52" t="n">
        <f aca="false">SUMIFS(Data_Penjualan!$G$2:$G$5998,Data_Penjualan!$A$2:$A$5998,A892)</f>
        <v>6909200</v>
      </c>
      <c r="G892" s="39" t="n">
        <f aca="false">IF(E892="KANTOR",0,INDEX(Master_Customer!$C$2:$C$126,MATCH(C892,Master_Customer!$A$2:$A$126,0)))</f>
        <v>14</v>
      </c>
      <c r="H892" s="53" t="n">
        <f aca="false">B892+G892</f>
        <v>45862</v>
      </c>
      <c r="I892" s="51" t="n">
        <v>45849</v>
      </c>
      <c r="J892" s="39" t="str">
        <f aca="false">IF(G892=0,"Tunai",IF(I892="","Belum ditukar","Sudah ditukar"))</f>
        <v>Sudah ditukar</v>
      </c>
      <c r="K892" s="54" t="n">
        <v>6909200</v>
      </c>
      <c r="L892" s="51" t="n">
        <v>45855</v>
      </c>
      <c r="M892" s="52" t="n">
        <f aca="false">F892-K892</f>
        <v>0</v>
      </c>
      <c r="N892" s="39" t="str">
        <f aca="false">IF(M892&lt;=0,"Lunas",IF(K892&gt;0,"Sebagian","Belum Bayar"))</f>
        <v>Lunas</v>
      </c>
      <c r="O892" s="39" t="n">
        <f aca="false">IF(M892&gt;0,MAX(0,Catatan!$B$3-H892),0)</f>
        <v>0</v>
      </c>
      <c r="P892" s="39" t="str">
        <f aca="false">IF(M892&lt;=0,"Lunas",IF(Catatan!$B$3&lt;=H892,"Belum Jatuh Tempo",IF(O892&lt;=30,"1-30 hari",IF(O892&lt;=60,"31-60 hari",IF(O892&lt;=90,"61-90 hari","90+ hari")))))</f>
        <v>Lunas</v>
      </c>
      <c r="Q892" s="50"/>
      <c r="R892" s="39" t="str">
        <f aca="false">IF(M892&lt;=0,"",IF(O892&gt;60,"1-Tinggi",IF(O892&gt;30,"2-Sedang",IF(O892&gt;0,"3-Rendah","4-Pantau"))))</f>
        <v/>
      </c>
      <c r="S892" s="39" t="str">
        <f aca="false">IF(AND(M892&gt;0,O892&gt;0),O892+M892/1000000000000+ROW()/1000000000000000,"")</f>
        <v/>
      </c>
      <c r="T892" s="39" t="str">
        <f aca="false">IF(J892="Belum ditukar",ROW(),"")</f>
        <v/>
      </c>
    </row>
    <row r="893" customFormat="false" ht="15" hidden="false" customHeight="false" outlineLevel="0" collapsed="false">
      <c r="A893" s="50" t="s">
        <v>1178</v>
      </c>
      <c r="B893" s="51" t="n">
        <v>45848</v>
      </c>
      <c r="C893" s="50" t="s">
        <v>166</v>
      </c>
      <c r="D893" s="39" t="str">
        <f aca="false">INDEX(Master_Customer!$B$2:$B$126,MATCH(C893,Master_Customer!$A$2:$A$126,0))</f>
        <v>SENTOSA SERVICE</v>
      </c>
      <c r="E893" s="50" t="s">
        <v>30</v>
      </c>
      <c r="F893" s="52" t="n">
        <f aca="false">SUMIFS(Data_Penjualan!$G$2:$G$5998,Data_Penjualan!$A$2:$A$5998,A893)</f>
        <v>635100</v>
      </c>
      <c r="G893" s="39" t="n">
        <f aca="false">IF(E893="KANTOR",0,INDEX(Master_Customer!$C$2:$C$126,MATCH(C893,Master_Customer!$A$2:$A$126,0)))</f>
        <v>0</v>
      </c>
      <c r="H893" s="53" t="n">
        <f aca="false">B893+G893</f>
        <v>45848</v>
      </c>
      <c r="J893" s="39" t="str">
        <f aca="false">IF(G893=0,"Tunai",IF(I893="","Belum ditukar","Sudah ditukar"))</f>
        <v>Tunai</v>
      </c>
      <c r="K893" s="54" t="n">
        <v>635100</v>
      </c>
      <c r="L893" s="51" t="n">
        <v>45848</v>
      </c>
      <c r="M893" s="52" t="n">
        <f aca="false">F893-K893</f>
        <v>0</v>
      </c>
      <c r="N893" s="39" t="str">
        <f aca="false">IF(M893&lt;=0,"Lunas",IF(K893&gt;0,"Sebagian","Belum Bayar"))</f>
        <v>Lunas</v>
      </c>
      <c r="O893" s="39" t="n">
        <f aca="false">IF(M893&gt;0,MAX(0,Catatan!$B$3-H893),0)</f>
        <v>0</v>
      </c>
      <c r="P893" s="39" t="str">
        <f aca="false">IF(M893&lt;=0,"Lunas",IF(Catatan!$B$3&lt;=H893,"Belum Jatuh Tempo",IF(O893&lt;=30,"1-30 hari",IF(O893&lt;=60,"31-60 hari",IF(O893&lt;=90,"61-90 hari","90+ hari")))))</f>
        <v>Lunas</v>
      </c>
      <c r="Q893" s="50"/>
      <c r="R893" s="39" t="str">
        <f aca="false">IF(M893&lt;=0,"",IF(O893&gt;60,"1-Tinggi",IF(O893&gt;30,"2-Sedang",IF(O893&gt;0,"3-Rendah","4-Pantau"))))</f>
        <v/>
      </c>
      <c r="S893" s="39" t="str">
        <f aca="false">IF(AND(M893&gt;0,O893&gt;0),O893+M893/1000000000000+ROW()/1000000000000000,"")</f>
        <v/>
      </c>
      <c r="T893" s="39" t="str">
        <f aca="false">IF(J893="Belum ditukar",ROW(),"")</f>
        <v/>
      </c>
    </row>
    <row r="894" customFormat="false" ht="15" hidden="false" customHeight="false" outlineLevel="0" collapsed="false">
      <c r="A894" s="50" t="s">
        <v>1179</v>
      </c>
      <c r="B894" s="51" t="n">
        <v>45848</v>
      </c>
      <c r="C894" s="50" t="s">
        <v>479</v>
      </c>
      <c r="D894" s="39" t="str">
        <f aca="false">INDEX(Master_Customer!$B$2:$B$126,MATCH(C894,Master_Customer!$A$2:$A$126,0))</f>
        <v>TIRTA TEKNIK TIRTA</v>
      </c>
      <c r="E894" s="50" t="s">
        <v>30</v>
      </c>
      <c r="F894" s="52" t="n">
        <f aca="false">SUMIFS(Data_Penjualan!$G$2:$G$5998,Data_Penjualan!$A$2:$A$5998,A894)</f>
        <v>18622400</v>
      </c>
      <c r="G894" s="39" t="n">
        <f aca="false">IF(E894="KANTOR",0,INDEX(Master_Customer!$C$2:$C$126,MATCH(C894,Master_Customer!$A$2:$A$126,0)))</f>
        <v>30</v>
      </c>
      <c r="H894" s="53" t="n">
        <f aca="false">B894+G894</f>
        <v>45878</v>
      </c>
      <c r="I894" s="51" t="n">
        <v>45849</v>
      </c>
      <c r="J894" s="39" t="str">
        <f aca="false">IF(G894=0,"Tunai",IF(I894="","Belum ditukar","Sudah ditukar"))</f>
        <v>Sudah ditukar</v>
      </c>
      <c r="K894" s="54" t="n">
        <v>18622400</v>
      </c>
      <c r="L894" s="51" t="n">
        <v>45883</v>
      </c>
      <c r="M894" s="52" t="n">
        <f aca="false">F894-K894</f>
        <v>0</v>
      </c>
      <c r="N894" s="39" t="str">
        <f aca="false">IF(M894&lt;=0,"Lunas",IF(K894&gt;0,"Sebagian","Belum Bayar"))</f>
        <v>Lunas</v>
      </c>
      <c r="O894" s="39" t="n">
        <f aca="false">IF(M894&gt;0,MAX(0,Catatan!$B$3-H894),0)</f>
        <v>0</v>
      </c>
      <c r="P894" s="39" t="str">
        <f aca="false">IF(M894&lt;=0,"Lunas",IF(Catatan!$B$3&lt;=H894,"Belum Jatuh Tempo",IF(O894&lt;=30,"1-30 hari",IF(O894&lt;=60,"31-60 hari",IF(O894&lt;=90,"61-90 hari","90+ hari")))))</f>
        <v>Lunas</v>
      </c>
      <c r="Q894" s="50"/>
      <c r="R894" s="39" t="str">
        <f aca="false">IF(M894&lt;=0,"",IF(O894&gt;60,"1-Tinggi",IF(O894&gt;30,"2-Sedang",IF(O894&gt;0,"3-Rendah","4-Pantau"))))</f>
        <v/>
      </c>
      <c r="S894" s="39" t="str">
        <f aca="false">IF(AND(M894&gt;0,O894&gt;0),O894+M894/1000000000000+ROW()/1000000000000000,"")</f>
        <v/>
      </c>
      <c r="T894" s="39" t="str">
        <f aca="false">IF(J894="Belum ditukar",ROW(),"")</f>
        <v/>
      </c>
    </row>
    <row r="895" customFormat="false" ht="15" hidden="false" customHeight="false" outlineLevel="0" collapsed="false">
      <c r="A895" s="50" t="s">
        <v>1180</v>
      </c>
      <c r="B895" s="51" t="n">
        <v>45848</v>
      </c>
      <c r="C895" s="50" t="s">
        <v>211</v>
      </c>
      <c r="D895" s="39" t="str">
        <f aca="false">INDEX(Master_Customer!$B$2:$B$126,MATCH(C895,Master_Customer!$A$2:$A$126,0))</f>
        <v>PRIMA MOBIL</v>
      </c>
      <c r="E895" s="50" t="s">
        <v>32</v>
      </c>
      <c r="F895" s="52" t="n">
        <f aca="false">SUMIFS(Data_Penjualan!$G$2:$G$5998,Data_Penjualan!$A$2:$A$5998,A895)</f>
        <v>13539700</v>
      </c>
      <c r="G895" s="39" t="n">
        <f aca="false">IF(E895="KANTOR",0,INDEX(Master_Customer!$C$2:$C$126,MATCH(C895,Master_Customer!$A$2:$A$126,0)))</f>
        <v>0</v>
      </c>
      <c r="H895" s="53" t="n">
        <f aca="false">B895+G895</f>
        <v>45848</v>
      </c>
      <c r="J895" s="39" t="str">
        <f aca="false">IF(G895=0,"Tunai",IF(I895="","Belum ditukar","Sudah ditukar"))</f>
        <v>Tunai</v>
      </c>
      <c r="K895" s="54" t="n">
        <v>13539700</v>
      </c>
      <c r="L895" s="51" t="n">
        <v>45850</v>
      </c>
      <c r="M895" s="52" t="n">
        <f aca="false">F895-K895</f>
        <v>0</v>
      </c>
      <c r="N895" s="39" t="str">
        <f aca="false">IF(M895&lt;=0,"Lunas",IF(K895&gt;0,"Sebagian","Belum Bayar"))</f>
        <v>Lunas</v>
      </c>
      <c r="O895" s="39" t="n">
        <f aca="false">IF(M895&gt;0,MAX(0,Catatan!$B$3-H895),0)</f>
        <v>0</v>
      </c>
      <c r="P895" s="39" t="str">
        <f aca="false">IF(M895&lt;=0,"Lunas",IF(Catatan!$B$3&lt;=H895,"Belum Jatuh Tempo",IF(O895&lt;=30,"1-30 hari",IF(O895&lt;=60,"31-60 hari",IF(O895&lt;=90,"61-90 hari","90+ hari")))))</f>
        <v>Lunas</v>
      </c>
      <c r="Q895" s="50"/>
      <c r="R895" s="39" t="str">
        <f aca="false">IF(M895&lt;=0,"",IF(O895&gt;60,"1-Tinggi",IF(O895&gt;30,"2-Sedang",IF(O895&gt;0,"3-Rendah","4-Pantau"))))</f>
        <v/>
      </c>
      <c r="S895" s="39" t="str">
        <f aca="false">IF(AND(M895&gt;0,O895&gt;0),O895+M895/1000000000000+ROW()/1000000000000000,"")</f>
        <v/>
      </c>
      <c r="T895" s="39" t="str">
        <f aca="false">IF(J895="Belum ditukar",ROW(),"")</f>
        <v/>
      </c>
    </row>
    <row r="896" customFormat="false" ht="15" hidden="false" customHeight="false" outlineLevel="0" collapsed="false">
      <c r="A896" s="50" t="s">
        <v>1181</v>
      </c>
      <c r="B896" s="51" t="n">
        <v>45848</v>
      </c>
      <c r="C896" s="50" t="s">
        <v>241</v>
      </c>
      <c r="D896" s="39" t="str">
        <f aca="false">INDEX(Master_Customer!$B$2:$B$126,MATCH(C896,Master_Customer!$A$2:$A$126,0))</f>
        <v>GEMILANG GARAGE TIRTA</v>
      </c>
      <c r="E896" s="50" t="s">
        <v>32</v>
      </c>
      <c r="F896" s="52" t="n">
        <f aca="false">SUMIFS(Data_Penjualan!$G$2:$G$5998,Data_Penjualan!$A$2:$A$5998,A896)</f>
        <v>17629600</v>
      </c>
      <c r="G896" s="39" t="n">
        <f aca="false">IF(E896="KANTOR",0,INDEX(Master_Customer!$C$2:$C$126,MATCH(C896,Master_Customer!$A$2:$A$126,0)))</f>
        <v>0</v>
      </c>
      <c r="H896" s="53" t="n">
        <f aca="false">B896+G896</f>
        <v>45848</v>
      </c>
      <c r="J896" s="39" t="str">
        <f aca="false">IF(G896=0,"Tunai",IF(I896="","Belum ditukar","Sudah ditukar"))</f>
        <v>Tunai</v>
      </c>
      <c r="K896" s="54" t="n">
        <v>17629600</v>
      </c>
      <c r="L896" s="51" t="n">
        <v>45848</v>
      </c>
      <c r="M896" s="52" t="n">
        <f aca="false">F896-K896</f>
        <v>0</v>
      </c>
      <c r="N896" s="39" t="str">
        <f aca="false">IF(M896&lt;=0,"Lunas",IF(K896&gt;0,"Sebagian","Belum Bayar"))</f>
        <v>Lunas</v>
      </c>
      <c r="O896" s="39" t="n">
        <f aca="false">IF(M896&gt;0,MAX(0,Catatan!$B$3-H896),0)</f>
        <v>0</v>
      </c>
      <c r="P896" s="39" t="str">
        <f aca="false">IF(M896&lt;=0,"Lunas",IF(Catatan!$B$3&lt;=H896,"Belum Jatuh Tempo",IF(O896&lt;=30,"1-30 hari",IF(O896&lt;=60,"31-60 hari",IF(O896&lt;=90,"61-90 hari","90+ hari")))))</f>
        <v>Lunas</v>
      </c>
      <c r="Q896" s="50"/>
      <c r="R896" s="39" t="str">
        <f aca="false">IF(M896&lt;=0,"",IF(O896&gt;60,"1-Tinggi",IF(O896&gt;30,"2-Sedang",IF(O896&gt;0,"3-Rendah","4-Pantau"))))</f>
        <v/>
      </c>
      <c r="S896" s="39" t="str">
        <f aca="false">IF(AND(M896&gt;0,O896&gt;0),O896+M896/1000000000000+ROW()/1000000000000000,"")</f>
        <v/>
      </c>
      <c r="T896" s="39" t="str">
        <f aca="false">IF(J896="Belum ditukar",ROW(),"")</f>
        <v/>
      </c>
    </row>
    <row r="897" customFormat="false" ht="15" hidden="false" customHeight="false" outlineLevel="0" collapsed="false">
      <c r="A897" s="50" t="s">
        <v>1182</v>
      </c>
      <c r="B897" s="51" t="n">
        <v>45848</v>
      </c>
      <c r="C897" s="50" t="s">
        <v>410</v>
      </c>
      <c r="D897" s="39" t="str">
        <f aca="false">INDEX(Master_Customer!$B$2:$B$126,MATCH(C897,Master_Customer!$A$2:$A$126,0))</f>
        <v>BINTANG SERVICE</v>
      </c>
      <c r="E897" s="50" t="s">
        <v>32</v>
      </c>
      <c r="F897" s="52" t="n">
        <f aca="false">SUMIFS(Data_Penjualan!$G$2:$G$5998,Data_Penjualan!$A$2:$A$5998,A897)</f>
        <v>13550800</v>
      </c>
      <c r="G897" s="39" t="n">
        <f aca="false">IF(E897="KANTOR",0,INDEX(Master_Customer!$C$2:$C$126,MATCH(C897,Master_Customer!$A$2:$A$126,0)))</f>
        <v>0</v>
      </c>
      <c r="H897" s="53" t="n">
        <f aca="false">B897+G897</f>
        <v>45848</v>
      </c>
      <c r="J897" s="39" t="str">
        <f aca="false">IF(G897=0,"Tunai",IF(I897="","Belum ditukar","Sudah ditukar"))</f>
        <v>Tunai</v>
      </c>
      <c r="K897" s="54" t="n">
        <v>13550800</v>
      </c>
      <c r="L897" s="51" t="n">
        <v>45848</v>
      </c>
      <c r="M897" s="52" t="n">
        <f aca="false">F897-K897</f>
        <v>0</v>
      </c>
      <c r="N897" s="39" t="str">
        <f aca="false">IF(M897&lt;=0,"Lunas",IF(K897&gt;0,"Sebagian","Belum Bayar"))</f>
        <v>Lunas</v>
      </c>
      <c r="O897" s="39" t="n">
        <f aca="false">IF(M897&gt;0,MAX(0,Catatan!$B$3-H897),0)</f>
        <v>0</v>
      </c>
      <c r="P897" s="39" t="str">
        <f aca="false">IF(M897&lt;=0,"Lunas",IF(Catatan!$B$3&lt;=H897,"Belum Jatuh Tempo",IF(O897&lt;=30,"1-30 hari",IF(O897&lt;=60,"31-60 hari",IF(O897&lt;=90,"61-90 hari","90+ hari")))))</f>
        <v>Lunas</v>
      </c>
      <c r="Q897" s="50"/>
      <c r="R897" s="39" t="str">
        <f aca="false">IF(M897&lt;=0,"",IF(O897&gt;60,"1-Tinggi",IF(O897&gt;30,"2-Sedang",IF(O897&gt;0,"3-Rendah","4-Pantau"))))</f>
        <v/>
      </c>
      <c r="S897" s="39" t="str">
        <f aca="false">IF(AND(M897&gt;0,O897&gt;0),O897+M897/1000000000000+ROW()/1000000000000000,"")</f>
        <v/>
      </c>
      <c r="T897" s="39" t="str">
        <f aca="false">IF(J897="Belum ditukar",ROW(),"")</f>
        <v/>
      </c>
    </row>
    <row r="898" customFormat="false" ht="15" hidden="false" customHeight="false" outlineLevel="0" collapsed="false">
      <c r="A898" s="50" t="s">
        <v>1183</v>
      </c>
      <c r="B898" s="51" t="n">
        <v>45848</v>
      </c>
      <c r="C898" s="50" t="s">
        <v>293</v>
      </c>
      <c r="D898" s="39" t="str">
        <f aca="false">INDEX(Master_Customer!$B$2:$B$126,MATCH(C898,Master_Customer!$A$2:$A$126,0))</f>
        <v>SINAR LUBRICANT</v>
      </c>
      <c r="E898" s="50" t="s">
        <v>31</v>
      </c>
      <c r="F898" s="52" t="n">
        <f aca="false">SUMIFS(Data_Penjualan!$G$2:$G$5998,Data_Penjualan!$A$2:$A$5998,A898)</f>
        <v>19650000</v>
      </c>
      <c r="G898" s="39" t="n">
        <f aca="false">IF(E898="KANTOR",0,INDEX(Master_Customer!$C$2:$C$126,MATCH(C898,Master_Customer!$A$2:$A$126,0)))</f>
        <v>30</v>
      </c>
      <c r="H898" s="53" t="n">
        <f aca="false">B898+G898</f>
        <v>45878</v>
      </c>
      <c r="I898" s="51" t="n">
        <v>45852</v>
      </c>
      <c r="J898" s="39" t="str">
        <f aca="false">IF(G898=0,"Tunai",IF(I898="","Belum ditukar","Sudah ditukar"))</f>
        <v>Sudah ditukar</v>
      </c>
      <c r="K898" s="54" t="n">
        <v>19650000</v>
      </c>
      <c r="L898" s="51" t="n">
        <v>45879</v>
      </c>
      <c r="M898" s="52" t="n">
        <f aca="false">F898-K898</f>
        <v>0</v>
      </c>
      <c r="N898" s="39" t="str">
        <f aca="false">IF(M898&lt;=0,"Lunas",IF(K898&gt;0,"Sebagian","Belum Bayar"))</f>
        <v>Lunas</v>
      </c>
      <c r="O898" s="39" t="n">
        <f aca="false">IF(M898&gt;0,MAX(0,Catatan!$B$3-H898),0)</f>
        <v>0</v>
      </c>
      <c r="P898" s="39" t="str">
        <f aca="false">IF(M898&lt;=0,"Lunas",IF(Catatan!$B$3&lt;=H898,"Belum Jatuh Tempo",IF(O898&lt;=30,"1-30 hari",IF(O898&lt;=60,"31-60 hari",IF(O898&lt;=90,"61-90 hari","90+ hari")))))</f>
        <v>Lunas</v>
      </c>
      <c r="Q898" s="50"/>
      <c r="R898" s="39" t="str">
        <f aca="false">IF(M898&lt;=0,"",IF(O898&gt;60,"1-Tinggi",IF(O898&gt;30,"2-Sedang",IF(O898&gt;0,"3-Rendah","4-Pantau"))))</f>
        <v/>
      </c>
      <c r="S898" s="39" t="str">
        <f aca="false">IF(AND(M898&gt;0,O898&gt;0),O898+M898/1000000000000+ROW()/1000000000000000,"")</f>
        <v/>
      </c>
      <c r="T898" s="39" t="str">
        <f aca="false">IF(J898="Belum ditukar",ROW(),"")</f>
        <v/>
      </c>
    </row>
    <row r="899" customFormat="false" ht="15" hidden="false" customHeight="false" outlineLevel="0" collapsed="false">
      <c r="A899" s="50" t="s">
        <v>1184</v>
      </c>
      <c r="B899" s="51" t="n">
        <v>45848</v>
      </c>
      <c r="C899" s="50" t="s">
        <v>174</v>
      </c>
      <c r="D899" s="39" t="str">
        <f aca="false">INDEX(Master_Customer!$B$2:$B$126,MATCH(C899,Master_Customer!$A$2:$A$126,0))</f>
        <v>SUMBER TEKNIK SURYA</v>
      </c>
      <c r="E899" s="50" t="s">
        <v>32</v>
      </c>
      <c r="F899" s="52" t="n">
        <f aca="false">SUMIFS(Data_Penjualan!$G$2:$G$5998,Data_Penjualan!$A$2:$A$5998,A899)</f>
        <v>4340000</v>
      </c>
      <c r="G899" s="39" t="n">
        <f aca="false">IF(E899="KANTOR",0,INDEX(Master_Customer!$C$2:$C$126,MATCH(C899,Master_Customer!$A$2:$A$126,0)))</f>
        <v>0</v>
      </c>
      <c r="H899" s="53" t="n">
        <f aca="false">B899+G899</f>
        <v>45848</v>
      </c>
      <c r="J899" s="39" t="str">
        <f aca="false">IF(G899=0,"Tunai",IF(I899="","Belum ditukar","Sudah ditukar"))</f>
        <v>Tunai</v>
      </c>
      <c r="K899" s="54" t="n">
        <v>4340000</v>
      </c>
      <c r="L899" s="51" t="n">
        <v>45848</v>
      </c>
      <c r="M899" s="52" t="n">
        <f aca="false">F899-K899</f>
        <v>0</v>
      </c>
      <c r="N899" s="39" t="str">
        <f aca="false">IF(M899&lt;=0,"Lunas",IF(K899&gt;0,"Sebagian","Belum Bayar"))</f>
        <v>Lunas</v>
      </c>
      <c r="O899" s="39" t="n">
        <f aca="false">IF(M899&gt;0,MAX(0,Catatan!$B$3-H899),0)</f>
        <v>0</v>
      </c>
      <c r="P899" s="39" t="str">
        <f aca="false">IF(M899&lt;=0,"Lunas",IF(Catatan!$B$3&lt;=H899,"Belum Jatuh Tempo",IF(O899&lt;=30,"1-30 hari",IF(O899&lt;=60,"31-60 hari",IF(O899&lt;=90,"61-90 hari","90+ hari")))))</f>
        <v>Lunas</v>
      </c>
      <c r="Q899" s="50"/>
      <c r="R899" s="39" t="str">
        <f aca="false">IF(M899&lt;=0,"",IF(O899&gt;60,"1-Tinggi",IF(O899&gt;30,"2-Sedang",IF(O899&gt;0,"3-Rendah","4-Pantau"))))</f>
        <v/>
      </c>
      <c r="S899" s="39" t="str">
        <f aca="false">IF(AND(M899&gt;0,O899&gt;0),O899+M899/1000000000000+ROW()/1000000000000000,"")</f>
        <v/>
      </c>
      <c r="T899" s="39" t="str">
        <f aca="false">IF(J899="Belum ditukar",ROW(),"")</f>
        <v/>
      </c>
    </row>
    <row r="900" customFormat="false" ht="15" hidden="false" customHeight="false" outlineLevel="0" collapsed="false">
      <c r="A900" s="50" t="s">
        <v>1185</v>
      </c>
      <c r="B900" s="51" t="n">
        <v>45849</v>
      </c>
      <c r="C900" s="50" t="s">
        <v>188</v>
      </c>
      <c r="D900" s="39" t="str">
        <f aca="false">INDEX(Master_Customer!$B$2:$B$126,MATCH(C900,Master_Customer!$A$2:$A$126,0))</f>
        <v>MAJU GARAGE TIRTA</v>
      </c>
      <c r="E900" s="50" t="s">
        <v>31</v>
      </c>
      <c r="F900" s="52" t="n">
        <f aca="false">SUMIFS(Data_Penjualan!$G$2:$G$5998,Data_Penjualan!$A$2:$A$5998,A900)</f>
        <v>4546700</v>
      </c>
      <c r="G900" s="39" t="n">
        <f aca="false">IF(E900="KANTOR",0,INDEX(Master_Customer!$C$2:$C$126,MATCH(C900,Master_Customer!$A$2:$A$126,0)))</f>
        <v>45</v>
      </c>
      <c r="H900" s="53" t="n">
        <f aca="false">B900+G900</f>
        <v>45894</v>
      </c>
      <c r="I900" s="51" t="n">
        <v>45852</v>
      </c>
      <c r="J900" s="39" t="str">
        <f aca="false">IF(G900=0,"Tunai",IF(I900="","Belum ditukar","Sudah ditukar"))</f>
        <v>Sudah ditukar</v>
      </c>
      <c r="K900" s="54" t="n">
        <v>4546700</v>
      </c>
      <c r="L900" s="51" t="n">
        <v>45904</v>
      </c>
      <c r="M900" s="52" t="n">
        <f aca="false">F900-K900</f>
        <v>0</v>
      </c>
      <c r="N900" s="39" t="str">
        <f aca="false">IF(M900&lt;=0,"Lunas",IF(K900&gt;0,"Sebagian","Belum Bayar"))</f>
        <v>Lunas</v>
      </c>
      <c r="O900" s="39" t="n">
        <f aca="false">IF(M900&gt;0,MAX(0,Catatan!$B$3-H900),0)</f>
        <v>0</v>
      </c>
      <c r="P900" s="39" t="str">
        <f aca="false">IF(M900&lt;=0,"Lunas",IF(Catatan!$B$3&lt;=H900,"Belum Jatuh Tempo",IF(O900&lt;=30,"1-30 hari",IF(O900&lt;=60,"31-60 hari",IF(O900&lt;=90,"61-90 hari","90+ hari")))))</f>
        <v>Lunas</v>
      </c>
      <c r="Q900" s="50"/>
      <c r="R900" s="39" t="str">
        <f aca="false">IF(M900&lt;=0,"",IF(O900&gt;60,"1-Tinggi",IF(O900&gt;30,"2-Sedang",IF(O900&gt;0,"3-Rendah","4-Pantau"))))</f>
        <v/>
      </c>
      <c r="S900" s="39" t="str">
        <f aca="false">IF(AND(M900&gt;0,O900&gt;0),O900+M900/1000000000000+ROW()/1000000000000000,"")</f>
        <v/>
      </c>
      <c r="T900" s="39" t="str">
        <f aca="false">IF(J900="Belum ditukar",ROW(),"")</f>
        <v/>
      </c>
    </row>
    <row r="901" customFormat="false" ht="15" hidden="false" customHeight="false" outlineLevel="0" collapsed="false">
      <c r="A901" s="50" t="s">
        <v>1186</v>
      </c>
      <c r="B901" s="51" t="n">
        <v>45849</v>
      </c>
      <c r="C901" s="50" t="s">
        <v>358</v>
      </c>
      <c r="D901" s="39" t="str">
        <f aca="false">INDEX(Master_Customer!$B$2:$B$126,MATCH(C901,Master_Customer!$A$2:$A$126,0))</f>
        <v>HARAPAN TEKNIK</v>
      </c>
      <c r="E901" s="50" t="s">
        <v>32</v>
      </c>
      <c r="F901" s="52" t="n">
        <f aca="false">SUMIFS(Data_Penjualan!$G$2:$G$5998,Data_Penjualan!$A$2:$A$5998,A901)</f>
        <v>7224400</v>
      </c>
      <c r="G901" s="39" t="n">
        <f aca="false">IF(E901="KANTOR",0,INDEX(Master_Customer!$C$2:$C$126,MATCH(C901,Master_Customer!$A$2:$A$126,0)))</f>
        <v>0</v>
      </c>
      <c r="H901" s="53" t="n">
        <f aca="false">B901+G901</f>
        <v>45849</v>
      </c>
      <c r="J901" s="39" t="str">
        <f aca="false">IF(G901=0,"Tunai",IF(I901="","Belum ditukar","Sudah ditukar"))</f>
        <v>Tunai</v>
      </c>
      <c r="K901" s="54" t="n">
        <v>7224400</v>
      </c>
      <c r="L901" s="51" t="n">
        <v>45849</v>
      </c>
      <c r="M901" s="52" t="n">
        <f aca="false">F901-K901</f>
        <v>0</v>
      </c>
      <c r="N901" s="39" t="str">
        <f aca="false">IF(M901&lt;=0,"Lunas",IF(K901&gt;0,"Sebagian","Belum Bayar"))</f>
        <v>Lunas</v>
      </c>
      <c r="O901" s="39" t="n">
        <f aca="false">IF(M901&gt;0,MAX(0,Catatan!$B$3-H901),0)</f>
        <v>0</v>
      </c>
      <c r="P901" s="39" t="str">
        <f aca="false">IF(M901&lt;=0,"Lunas",IF(Catatan!$B$3&lt;=H901,"Belum Jatuh Tempo",IF(O901&lt;=30,"1-30 hari",IF(O901&lt;=60,"31-60 hari",IF(O901&lt;=90,"61-90 hari","90+ hari")))))</f>
        <v>Lunas</v>
      </c>
      <c r="Q901" s="50"/>
      <c r="R901" s="39" t="str">
        <f aca="false">IF(M901&lt;=0,"",IF(O901&gt;60,"1-Tinggi",IF(O901&gt;30,"2-Sedang",IF(O901&gt;0,"3-Rendah","4-Pantau"))))</f>
        <v/>
      </c>
      <c r="S901" s="39" t="str">
        <f aca="false">IF(AND(M901&gt;0,O901&gt;0),O901+M901/1000000000000+ROW()/1000000000000000,"")</f>
        <v/>
      </c>
      <c r="T901" s="39" t="str">
        <f aca="false">IF(J901="Belum ditukar",ROW(),"")</f>
        <v/>
      </c>
    </row>
    <row r="902" customFormat="false" ht="15" hidden="false" customHeight="false" outlineLevel="0" collapsed="false">
      <c r="A902" s="50" t="s">
        <v>1187</v>
      </c>
      <c r="B902" s="51" t="n">
        <v>45849</v>
      </c>
      <c r="C902" s="50" t="s">
        <v>228</v>
      </c>
      <c r="D902" s="39" t="str">
        <f aca="false">INDEX(Master_Customer!$B$2:$B$126,MATCH(C902,Master_Customer!$A$2:$A$126,0))</f>
        <v>MAKMUR SERVICE JAYA</v>
      </c>
      <c r="E902" s="50" t="s">
        <v>32</v>
      </c>
      <c r="F902" s="52" t="n">
        <f aca="false">SUMIFS(Data_Penjualan!$G$2:$G$5998,Data_Penjualan!$A$2:$A$5998,A902)</f>
        <v>4187700</v>
      </c>
      <c r="G902" s="39" t="n">
        <f aca="false">IF(E902="KANTOR",0,INDEX(Master_Customer!$C$2:$C$126,MATCH(C902,Master_Customer!$A$2:$A$126,0)))</f>
        <v>0</v>
      </c>
      <c r="H902" s="53" t="n">
        <f aca="false">B902+G902</f>
        <v>45849</v>
      </c>
      <c r="J902" s="39" t="str">
        <f aca="false">IF(G902=0,"Tunai",IF(I902="","Belum ditukar","Sudah ditukar"))</f>
        <v>Tunai</v>
      </c>
      <c r="K902" s="54" t="n">
        <v>4187700</v>
      </c>
      <c r="L902" s="51" t="n">
        <v>45850</v>
      </c>
      <c r="M902" s="52" t="n">
        <f aca="false">F902-K902</f>
        <v>0</v>
      </c>
      <c r="N902" s="39" t="str">
        <f aca="false">IF(M902&lt;=0,"Lunas",IF(K902&gt;0,"Sebagian","Belum Bayar"))</f>
        <v>Lunas</v>
      </c>
      <c r="O902" s="39" t="n">
        <f aca="false">IF(M902&gt;0,MAX(0,Catatan!$B$3-H902),0)</f>
        <v>0</v>
      </c>
      <c r="P902" s="39" t="str">
        <f aca="false">IF(M902&lt;=0,"Lunas",IF(Catatan!$B$3&lt;=H902,"Belum Jatuh Tempo",IF(O902&lt;=30,"1-30 hari",IF(O902&lt;=60,"31-60 hari",IF(O902&lt;=90,"61-90 hari","90+ hari")))))</f>
        <v>Lunas</v>
      </c>
      <c r="Q902" s="50"/>
      <c r="R902" s="39" t="str">
        <f aca="false">IF(M902&lt;=0,"",IF(O902&gt;60,"1-Tinggi",IF(O902&gt;30,"2-Sedang",IF(O902&gt;0,"3-Rendah","4-Pantau"))))</f>
        <v/>
      </c>
      <c r="S902" s="39" t="str">
        <f aca="false">IF(AND(M902&gt;0,O902&gt;0),O902+M902/1000000000000+ROW()/1000000000000000,"")</f>
        <v/>
      </c>
      <c r="T902" s="39" t="str">
        <f aca="false">IF(J902="Belum ditukar",ROW(),"")</f>
        <v/>
      </c>
    </row>
    <row r="903" customFormat="false" ht="15" hidden="false" customHeight="false" outlineLevel="0" collapsed="false">
      <c r="A903" s="50" t="s">
        <v>1188</v>
      </c>
      <c r="B903" s="51" t="n">
        <v>45849</v>
      </c>
      <c r="C903" s="50" t="s">
        <v>540</v>
      </c>
      <c r="D903" s="39" t="str">
        <f aca="false">INDEX(Master_Customer!$B$2:$B$126,MATCH(C903,Master_Customer!$A$2:$A$126,0))</f>
        <v>SURYA MOBIL</v>
      </c>
      <c r="E903" s="50" t="s">
        <v>31</v>
      </c>
      <c r="F903" s="52" t="n">
        <f aca="false">SUMIFS(Data_Penjualan!$G$2:$G$5998,Data_Penjualan!$A$2:$A$5998,A903)</f>
        <v>11314600</v>
      </c>
      <c r="G903" s="39" t="n">
        <f aca="false">IF(E903="KANTOR",0,INDEX(Master_Customer!$C$2:$C$126,MATCH(C903,Master_Customer!$A$2:$A$126,0)))</f>
        <v>30</v>
      </c>
      <c r="H903" s="53" t="n">
        <f aca="false">B903+G903</f>
        <v>45879</v>
      </c>
      <c r="I903" s="51" t="n">
        <v>45851</v>
      </c>
      <c r="J903" s="39" t="str">
        <f aca="false">IF(G903=0,"Tunai",IF(I903="","Belum ditukar","Sudah ditukar"))</f>
        <v>Sudah ditukar</v>
      </c>
      <c r="K903" s="54" t="n">
        <v>11314600</v>
      </c>
      <c r="L903" s="51" t="n">
        <v>45934</v>
      </c>
      <c r="M903" s="52" t="n">
        <f aca="false">F903-K903</f>
        <v>0</v>
      </c>
      <c r="N903" s="39" t="str">
        <f aca="false">IF(M903&lt;=0,"Lunas",IF(K903&gt;0,"Sebagian","Belum Bayar"))</f>
        <v>Lunas</v>
      </c>
      <c r="O903" s="39" t="n">
        <f aca="false">IF(M903&gt;0,MAX(0,Catatan!$B$3-H903),0)</f>
        <v>0</v>
      </c>
      <c r="P903" s="39" t="str">
        <f aca="false">IF(M903&lt;=0,"Lunas",IF(Catatan!$B$3&lt;=H903,"Belum Jatuh Tempo",IF(O903&lt;=30,"1-30 hari",IF(O903&lt;=60,"31-60 hari",IF(O903&lt;=90,"61-90 hari","90+ hari")))))</f>
        <v>Lunas</v>
      </c>
      <c r="Q903" s="50"/>
      <c r="R903" s="39" t="str">
        <f aca="false">IF(M903&lt;=0,"",IF(O903&gt;60,"1-Tinggi",IF(O903&gt;30,"2-Sedang",IF(O903&gt;0,"3-Rendah","4-Pantau"))))</f>
        <v/>
      </c>
      <c r="S903" s="39" t="str">
        <f aca="false">IF(AND(M903&gt;0,O903&gt;0),O903+M903/1000000000000+ROW()/1000000000000000,"")</f>
        <v/>
      </c>
      <c r="T903" s="39" t="str">
        <f aca="false">IF(J903="Belum ditukar",ROW(),"")</f>
        <v/>
      </c>
    </row>
    <row r="904" customFormat="false" ht="15" hidden="false" customHeight="false" outlineLevel="0" collapsed="false">
      <c r="A904" s="50" t="s">
        <v>1189</v>
      </c>
      <c r="B904" s="51" t="n">
        <v>45850</v>
      </c>
      <c r="C904" s="50" t="s">
        <v>1147</v>
      </c>
      <c r="D904" s="39" t="str">
        <f aca="false">INDEX(Master_Customer!$B$2:$B$126,MATCH(C904,Master_Customer!$A$2:$A$126,0))</f>
        <v>BINTANG GARAGE UTAMA</v>
      </c>
      <c r="E904" s="50" t="s">
        <v>32</v>
      </c>
      <c r="F904" s="52" t="n">
        <f aca="false">SUMIFS(Data_Penjualan!$G$2:$G$5998,Data_Penjualan!$A$2:$A$5998,A904)</f>
        <v>7835700</v>
      </c>
      <c r="G904" s="39" t="n">
        <f aca="false">IF(E904="KANTOR",0,INDEX(Master_Customer!$C$2:$C$126,MATCH(C904,Master_Customer!$A$2:$A$126,0)))</f>
        <v>0</v>
      </c>
      <c r="H904" s="53" t="n">
        <f aca="false">B904+G904</f>
        <v>45850</v>
      </c>
      <c r="J904" s="39" t="str">
        <f aca="false">IF(G904=0,"Tunai",IF(I904="","Belum ditukar","Sudah ditukar"))</f>
        <v>Tunai</v>
      </c>
      <c r="K904" s="54" t="n">
        <v>7835700</v>
      </c>
      <c r="L904" s="51" t="n">
        <v>45852</v>
      </c>
      <c r="M904" s="52" t="n">
        <f aca="false">F904-K904</f>
        <v>0</v>
      </c>
      <c r="N904" s="39" t="str">
        <f aca="false">IF(M904&lt;=0,"Lunas",IF(K904&gt;0,"Sebagian","Belum Bayar"))</f>
        <v>Lunas</v>
      </c>
      <c r="O904" s="39" t="n">
        <f aca="false">IF(M904&gt;0,MAX(0,Catatan!$B$3-H904),0)</f>
        <v>0</v>
      </c>
      <c r="P904" s="39" t="str">
        <f aca="false">IF(M904&lt;=0,"Lunas",IF(Catatan!$B$3&lt;=H904,"Belum Jatuh Tempo",IF(O904&lt;=30,"1-30 hari",IF(O904&lt;=60,"31-60 hari",IF(O904&lt;=90,"61-90 hari","90+ hari")))))</f>
        <v>Lunas</v>
      </c>
      <c r="Q904" s="50"/>
      <c r="R904" s="39" t="str">
        <f aca="false">IF(M904&lt;=0,"",IF(O904&gt;60,"1-Tinggi",IF(O904&gt;30,"2-Sedang",IF(O904&gt;0,"3-Rendah","4-Pantau"))))</f>
        <v/>
      </c>
      <c r="S904" s="39" t="str">
        <f aca="false">IF(AND(M904&gt;0,O904&gt;0),O904+M904/1000000000000+ROW()/1000000000000000,"")</f>
        <v/>
      </c>
      <c r="T904" s="39" t="str">
        <f aca="false">IF(J904="Belum ditukar",ROW(),"")</f>
        <v/>
      </c>
    </row>
    <row r="905" customFormat="false" ht="15" hidden="false" customHeight="false" outlineLevel="0" collapsed="false">
      <c r="A905" s="50" t="s">
        <v>1190</v>
      </c>
      <c r="B905" s="51" t="n">
        <v>45850</v>
      </c>
      <c r="C905" s="50" t="s">
        <v>286</v>
      </c>
      <c r="D905" s="39" t="str">
        <f aca="false">INDEX(Master_Customer!$B$2:$B$126,MATCH(C905,Master_Customer!$A$2:$A$126,0))</f>
        <v>CAHAYA AUTO</v>
      </c>
      <c r="E905" s="50" t="s">
        <v>29</v>
      </c>
      <c r="F905" s="52" t="n">
        <f aca="false">SUMIFS(Data_Penjualan!$G$2:$G$5998,Data_Penjualan!$A$2:$A$5998,A905)</f>
        <v>12064900</v>
      </c>
      <c r="G905" s="39" t="n">
        <f aca="false">IF(E905="KANTOR",0,INDEX(Master_Customer!$C$2:$C$126,MATCH(C905,Master_Customer!$A$2:$A$126,0)))</f>
        <v>0</v>
      </c>
      <c r="H905" s="53" t="n">
        <f aca="false">B905+G905</f>
        <v>45850</v>
      </c>
      <c r="J905" s="39" t="str">
        <f aca="false">IF(G905=0,"Tunai",IF(I905="","Belum ditukar","Sudah ditukar"))</f>
        <v>Tunai</v>
      </c>
      <c r="K905" s="54" t="n">
        <v>12064900</v>
      </c>
      <c r="L905" s="51" t="n">
        <v>45850</v>
      </c>
      <c r="M905" s="52" t="n">
        <f aca="false">F905-K905</f>
        <v>0</v>
      </c>
      <c r="N905" s="39" t="str">
        <f aca="false">IF(M905&lt;=0,"Lunas",IF(K905&gt;0,"Sebagian","Belum Bayar"))</f>
        <v>Lunas</v>
      </c>
      <c r="O905" s="39" t="n">
        <f aca="false">IF(M905&gt;0,MAX(0,Catatan!$B$3-H905),0)</f>
        <v>0</v>
      </c>
      <c r="P905" s="39" t="str">
        <f aca="false">IF(M905&lt;=0,"Lunas",IF(Catatan!$B$3&lt;=H905,"Belum Jatuh Tempo",IF(O905&lt;=30,"1-30 hari",IF(O905&lt;=60,"31-60 hari",IF(O905&lt;=90,"61-90 hari","90+ hari")))))</f>
        <v>Lunas</v>
      </c>
      <c r="Q905" s="50"/>
      <c r="R905" s="39" t="str">
        <f aca="false">IF(M905&lt;=0,"",IF(O905&gt;60,"1-Tinggi",IF(O905&gt;30,"2-Sedang",IF(O905&gt;0,"3-Rendah","4-Pantau"))))</f>
        <v/>
      </c>
      <c r="S905" s="39" t="str">
        <f aca="false">IF(AND(M905&gt;0,O905&gt;0),O905+M905/1000000000000+ROW()/1000000000000000,"")</f>
        <v/>
      </c>
      <c r="T905" s="39" t="str">
        <f aca="false">IF(J905="Belum ditukar",ROW(),"")</f>
        <v/>
      </c>
    </row>
    <row r="906" customFormat="false" ht="15" hidden="false" customHeight="false" outlineLevel="0" collapsed="false">
      <c r="A906" s="50" t="s">
        <v>1191</v>
      </c>
      <c r="B906" s="51" t="n">
        <v>45850</v>
      </c>
      <c r="C906" s="50" t="s">
        <v>166</v>
      </c>
      <c r="D906" s="39" t="str">
        <f aca="false">INDEX(Master_Customer!$B$2:$B$126,MATCH(C906,Master_Customer!$A$2:$A$126,0))</f>
        <v>SENTOSA SERVICE</v>
      </c>
      <c r="E906" s="50" t="s">
        <v>30</v>
      </c>
      <c r="F906" s="52" t="n">
        <f aca="false">SUMIFS(Data_Penjualan!$G$2:$G$5998,Data_Penjualan!$A$2:$A$5998,A906)</f>
        <v>8107900</v>
      </c>
      <c r="G906" s="39" t="n">
        <f aca="false">IF(E906="KANTOR",0,INDEX(Master_Customer!$C$2:$C$126,MATCH(C906,Master_Customer!$A$2:$A$126,0)))</f>
        <v>0</v>
      </c>
      <c r="H906" s="53" t="n">
        <f aca="false">B906+G906</f>
        <v>45850</v>
      </c>
      <c r="J906" s="39" t="str">
        <f aca="false">IF(G906=0,"Tunai",IF(I906="","Belum ditukar","Sudah ditukar"))</f>
        <v>Tunai</v>
      </c>
      <c r="K906" s="54" t="n">
        <v>8107900</v>
      </c>
      <c r="L906" s="51" t="n">
        <v>45850</v>
      </c>
      <c r="M906" s="52" t="n">
        <f aca="false">F906-K906</f>
        <v>0</v>
      </c>
      <c r="N906" s="39" t="str">
        <f aca="false">IF(M906&lt;=0,"Lunas",IF(K906&gt;0,"Sebagian","Belum Bayar"))</f>
        <v>Lunas</v>
      </c>
      <c r="O906" s="39" t="n">
        <f aca="false">IF(M906&gt;0,MAX(0,Catatan!$B$3-H906),0)</f>
        <v>0</v>
      </c>
      <c r="P906" s="39" t="str">
        <f aca="false">IF(M906&lt;=0,"Lunas",IF(Catatan!$B$3&lt;=H906,"Belum Jatuh Tempo",IF(O906&lt;=30,"1-30 hari",IF(O906&lt;=60,"31-60 hari",IF(O906&lt;=90,"61-90 hari","90+ hari")))))</f>
        <v>Lunas</v>
      </c>
      <c r="Q906" s="50"/>
      <c r="R906" s="39" t="str">
        <f aca="false">IF(M906&lt;=0,"",IF(O906&gt;60,"1-Tinggi",IF(O906&gt;30,"2-Sedang",IF(O906&gt;0,"3-Rendah","4-Pantau"))))</f>
        <v/>
      </c>
      <c r="S906" s="39" t="str">
        <f aca="false">IF(AND(M906&gt;0,O906&gt;0),O906+M906/1000000000000+ROW()/1000000000000000,"")</f>
        <v/>
      </c>
      <c r="T906" s="39" t="str">
        <f aca="false">IF(J906="Belum ditukar",ROW(),"")</f>
        <v/>
      </c>
    </row>
    <row r="907" customFormat="false" ht="15" hidden="false" customHeight="false" outlineLevel="0" collapsed="false">
      <c r="A907" s="50" t="s">
        <v>1192</v>
      </c>
      <c r="B907" s="51" t="n">
        <v>45850</v>
      </c>
      <c r="C907" s="50" t="s">
        <v>207</v>
      </c>
      <c r="D907" s="39" t="str">
        <f aca="false">INDEX(Master_Customer!$B$2:$B$126,MATCH(C907,Master_Customer!$A$2:$A$126,0))</f>
        <v>MAKMUR AUTO HARAPAN</v>
      </c>
      <c r="E907" s="50" t="s">
        <v>29</v>
      </c>
      <c r="F907" s="52" t="n">
        <f aca="false">SUMIFS(Data_Penjualan!$G$2:$G$5998,Data_Penjualan!$A$2:$A$5998,A907)</f>
        <v>4639600</v>
      </c>
      <c r="G907" s="39" t="n">
        <f aca="false">IF(E907="KANTOR",0,INDEX(Master_Customer!$C$2:$C$126,MATCH(C907,Master_Customer!$A$2:$A$126,0)))</f>
        <v>30</v>
      </c>
      <c r="H907" s="53" t="n">
        <f aca="false">B907+G907</f>
        <v>45880</v>
      </c>
      <c r="I907" s="51" t="n">
        <v>45851</v>
      </c>
      <c r="J907" s="39" t="str">
        <f aca="false">IF(G907=0,"Tunai",IF(I907="","Belum ditukar","Sudah ditukar"))</f>
        <v>Sudah ditukar</v>
      </c>
      <c r="K907" s="54" t="n">
        <v>4639600</v>
      </c>
      <c r="L907" s="51" t="n">
        <v>45874</v>
      </c>
      <c r="M907" s="52" t="n">
        <f aca="false">F907-K907</f>
        <v>0</v>
      </c>
      <c r="N907" s="39" t="str">
        <f aca="false">IF(M907&lt;=0,"Lunas",IF(K907&gt;0,"Sebagian","Belum Bayar"))</f>
        <v>Lunas</v>
      </c>
      <c r="O907" s="39" t="n">
        <f aca="false">IF(M907&gt;0,MAX(0,Catatan!$B$3-H907),0)</f>
        <v>0</v>
      </c>
      <c r="P907" s="39" t="str">
        <f aca="false">IF(M907&lt;=0,"Lunas",IF(Catatan!$B$3&lt;=H907,"Belum Jatuh Tempo",IF(O907&lt;=30,"1-30 hari",IF(O907&lt;=60,"31-60 hari",IF(O907&lt;=90,"61-90 hari","90+ hari")))))</f>
        <v>Lunas</v>
      </c>
      <c r="Q907" s="50"/>
      <c r="R907" s="39" t="str">
        <f aca="false">IF(M907&lt;=0,"",IF(O907&gt;60,"1-Tinggi",IF(O907&gt;30,"2-Sedang",IF(O907&gt;0,"3-Rendah","4-Pantau"))))</f>
        <v/>
      </c>
      <c r="S907" s="39" t="str">
        <f aca="false">IF(AND(M907&gt;0,O907&gt;0),O907+M907/1000000000000+ROW()/1000000000000000,"")</f>
        <v/>
      </c>
      <c r="T907" s="39" t="str">
        <f aca="false">IF(J907="Belum ditukar",ROW(),"")</f>
        <v/>
      </c>
    </row>
    <row r="908" customFormat="false" ht="15" hidden="false" customHeight="false" outlineLevel="0" collapsed="false">
      <c r="A908" s="50" t="s">
        <v>1193</v>
      </c>
      <c r="B908" s="51" t="n">
        <v>45852</v>
      </c>
      <c r="C908" s="50" t="s">
        <v>447</v>
      </c>
      <c r="D908" s="39" t="str">
        <f aca="false">INDEX(Master_Customer!$B$2:$B$126,MATCH(C908,Master_Customer!$A$2:$A$126,0))</f>
        <v>PRIMA LUBRICANT</v>
      </c>
      <c r="E908" s="50" t="s">
        <v>28</v>
      </c>
      <c r="F908" s="52" t="n">
        <f aca="false">SUMIFS(Data_Penjualan!$G$2:$G$5998,Data_Penjualan!$A$2:$A$5998,A908)</f>
        <v>21405600</v>
      </c>
      <c r="G908" s="39" t="n">
        <f aca="false">IF(E908="KANTOR",0,INDEX(Master_Customer!$C$2:$C$126,MATCH(C908,Master_Customer!$A$2:$A$126,0)))</f>
        <v>30</v>
      </c>
      <c r="H908" s="53" t="n">
        <f aca="false">B908+G908</f>
        <v>45882</v>
      </c>
      <c r="I908" s="51" t="n">
        <v>45853</v>
      </c>
      <c r="J908" s="39" t="str">
        <f aca="false">IF(G908=0,"Tunai",IF(I908="","Belum ditukar","Sudah ditukar"))</f>
        <v>Sudah ditukar</v>
      </c>
      <c r="K908" s="54" t="n">
        <v>21405600</v>
      </c>
      <c r="L908" s="51" t="n">
        <v>45888</v>
      </c>
      <c r="M908" s="52" t="n">
        <f aca="false">F908-K908</f>
        <v>0</v>
      </c>
      <c r="N908" s="39" t="str">
        <f aca="false">IF(M908&lt;=0,"Lunas",IF(K908&gt;0,"Sebagian","Belum Bayar"))</f>
        <v>Lunas</v>
      </c>
      <c r="O908" s="39" t="n">
        <f aca="false">IF(M908&gt;0,MAX(0,Catatan!$B$3-H908),0)</f>
        <v>0</v>
      </c>
      <c r="P908" s="39" t="str">
        <f aca="false">IF(M908&lt;=0,"Lunas",IF(Catatan!$B$3&lt;=H908,"Belum Jatuh Tempo",IF(O908&lt;=30,"1-30 hari",IF(O908&lt;=60,"31-60 hari",IF(O908&lt;=90,"61-90 hari","90+ hari")))))</f>
        <v>Lunas</v>
      </c>
      <c r="Q908" s="50"/>
      <c r="R908" s="39" t="str">
        <f aca="false">IF(M908&lt;=0,"",IF(O908&gt;60,"1-Tinggi",IF(O908&gt;30,"2-Sedang",IF(O908&gt;0,"3-Rendah","4-Pantau"))))</f>
        <v/>
      </c>
      <c r="S908" s="39" t="str">
        <f aca="false">IF(AND(M908&gt;0,O908&gt;0),O908+M908/1000000000000+ROW()/1000000000000000,"")</f>
        <v/>
      </c>
      <c r="T908" s="39" t="str">
        <f aca="false">IF(J908="Belum ditukar",ROW(),"")</f>
        <v/>
      </c>
    </row>
    <row r="909" customFormat="false" ht="15" hidden="false" customHeight="false" outlineLevel="0" collapsed="false">
      <c r="A909" s="50" t="s">
        <v>1194</v>
      </c>
      <c r="B909" s="51" t="n">
        <v>45852</v>
      </c>
      <c r="C909" s="50" t="s">
        <v>188</v>
      </c>
      <c r="D909" s="39" t="str">
        <f aca="false">INDEX(Master_Customer!$B$2:$B$126,MATCH(C909,Master_Customer!$A$2:$A$126,0))</f>
        <v>MAJU GARAGE TIRTA</v>
      </c>
      <c r="E909" s="50" t="s">
        <v>31</v>
      </c>
      <c r="F909" s="52" t="n">
        <f aca="false">SUMIFS(Data_Penjualan!$G$2:$G$5998,Data_Penjualan!$A$2:$A$5998,A909)</f>
        <v>5344900</v>
      </c>
      <c r="G909" s="39" t="n">
        <f aca="false">IF(E909="KANTOR",0,INDEX(Master_Customer!$C$2:$C$126,MATCH(C909,Master_Customer!$A$2:$A$126,0)))</f>
        <v>45</v>
      </c>
      <c r="H909" s="53" t="n">
        <f aca="false">B909+G909</f>
        <v>45897</v>
      </c>
      <c r="I909" s="51" t="n">
        <v>45853</v>
      </c>
      <c r="J909" s="39" t="str">
        <f aca="false">IF(G909=0,"Tunai",IF(I909="","Belum ditukar","Sudah ditukar"))</f>
        <v>Sudah ditukar</v>
      </c>
      <c r="K909" s="54" t="n">
        <v>5344900</v>
      </c>
      <c r="L909" s="51" t="n">
        <v>45907</v>
      </c>
      <c r="M909" s="52" t="n">
        <f aca="false">F909-K909</f>
        <v>0</v>
      </c>
      <c r="N909" s="39" t="str">
        <f aca="false">IF(M909&lt;=0,"Lunas",IF(K909&gt;0,"Sebagian","Belum Bayar"))</f>
        <v>Lunas</v>
      </c>
      <c r="O909" s="39" t="n">
        <f aca="false">IF(M909&gt;0,MAX(0,Catatan!$B$3-H909),0)</f>
        <v>0</v>
      </c>
      <c r="P909" s="39" t="str">
        <f aca="false">IF(M909&lt;=0,"Lunas",IF(Catatan!$B$3&lt;=H909,"Belum Jatuh Tempo",IF(O909&lt;=30,"1-30 hari",IF(O909&lt;=60,"31-60 hari",IF(O909&lt;=90,"61-90 hari","90+ hari")))))</f>
        <v>Lunas</v>
      </c>
      <c r="Q909" s="50"/>
      <c r="R909" s="39" t="str">
        <f aca="false">IF(M909&lt;=0,"",IF(O909&gt;60,"1-Tinggi",IF(O909&gt;30,"2-Sedang",IF(O909&gt;0,"3-Rendah","4-Pantau"))))</f>
        <v/>
      </c>
      <c r="S909" s="39" t="str">
        <f aca="false">IF(AND(M909&gt;0,O909&gt;0),O909+M909/1000000000000+ROW()/1000000000000000,"")</f>
        <v/>
      </c>
      <c r="T909" s="39" t="str">
        <f aca="false">IF(J909="Belum ditukar",ROW(),"")</f>
        <v/>
      </c>
    </row>
    <row r="910" customFormat="false" ht="15" hidden="false" customHeight="false" outlineLevel="0" collapsed="false">
      <c r="A910" s="50" t="s">
        <v>1195</v>
      </c>
      <c r="B910" s="51" t="n">
        <v>45852</v>
      </c>
      <c r="C910" s="50" t="s">
        <v>223</v>
      </c>
      <c r="D910" s="39" t="str">
        <f aca="false">INDEX(Master_Customer!$B$2:$B$126,MATCH(C910,Master_Customer!$A$2:$A$126,0))</f>
        <v>ABADI AUTO UTAMA</v>
      </c>
      <c r="E910" s="50" t="s">
        <v>31</v>
      </c>
      <c r="F910" s="52" t="n">
        <f aca="false">SUMIFS(Data_Penjualan!$G$2:$G$5998,Data_Penjualan!$A$2:$A$5998,A910)</f>
        <v>8545900</v>
      </c>
      <c r="G910" s="39" t="n">
        <f aca="false">IF(E910="KANTOR",0,INDEX(Master_Customer!$C$2:$C$126,MATCH(C910,Master_Customer!$A$2:$A$126,0)))</f>
        <v>14</v>
      </c>
      <c r="H910" s="53" t="n">
        <f aca="false">B910+G910</f>
        <v>45866</v>
      </c>
      <c r="I910" s="51" t="n">
        <v>45854</v>
      </c>
      <c r="J910" s="39" t="str">
        <f aca="false">IF(G910=0,"Tunai",IF(I910="","Belum ditukar","Sudah ditukar"))</f>
        <v>Sudah ditukar</v>
      </c>
      <c r="K910" s="54" t="n">
        <v>8545900</v>
      </c>
      <c r="L910" s="51" t="n">
        <v>45899</v>
      </c>
      <c r="M910" s="52" t="n">
        <f aca="false">F910-K910</f>
        <v>0</v>
      </c>
      <c r="N910" s="39" t="str">
        <f aca="false">IF(M910&lt;=0,"Lunas",IF(K910&gt;0,"Sebagian","Belum Bayar"))</f>
        <v>Lunas</v>
      </c>
      <c r="O910" s="39" t="n">
        <f aca="false">IF(M910&gt;0,MAX(0,Catatan!$B$3-H910),0)</f>
        <v>0</v>
      </c>
      <c r="P910" s="39" t="str">
        <f aca="false">IF(M910&lt;=0,"Lunas",IF(Catatan!$B$3&lt;=H910,"Belum Jatuh Tempo",IF(O910&lt;=30,"1-30 hari",IF(O910&lt;=60,"31-60 hari",IF(O910&lt;=90,"61-90 hari","90+ hari")))))</f>
        <v>Lunas</v>
      </c>
      <c r="Q910" s="50"/>
      <c r="R910" s="39" t="str">
        <f aca="false">IF(M910&lt;=0,"",IF(O910&gt;60,"1-Tinggi",IF(O910&gt;30,"2-Sedang",IF(O910&gt;0,"3-Rendah","4-Pantau"))))</f>
        <v/>
      </c>
      <c r="S910" s="39" t="str">
        <f aca="false">IF(AND(M910&gt;0,O910&gt;0),O910+M910/1000000000000+ROW()/1000000000000000,"")</f>
        <v/>
      </c>
      <c r="T910" s="39" t="str">
        <f aca="false">IF(J910="Belum ditukar",ROW(),"")</f>
        <v/>
      </c>
    </row>
    <row r="911" customFormat="false" ht="15" hidden="false" customHeight="false" outlineLevel="0" collapsed="false">
      <c r="A911" s="50" t="s">
        <v>1196</v>
      </c>
      <c r="B911" s="51" t="n">
        <v>45852</v>
      </c>
      <c r="C911" s="50" t="s">
        <v>199</v>
      </c>
      <c r="D911" s="39" t="str">
        <f aca="false">INDEX(Master_Customer!$B$2:$B$126,MATCH(C911,Master_Customer!$A$2:$A$126,0))</f>
        <v>KARYA SPAREPART</v>
      </c>
      <c r="E911" s="50" t="s">
        <v>29</v>
      </c>
      <c r="F911" s="52" t="n">
        <f aca="false">SUMIFS(Data_Penjualan!$G$2:$G$5998,Data_Penjualan!$A$2:$A$5998,A911)</f>
        <v>865400</v>
      </c>
      <c r="G911" s="39" t="n">
        <f aca="false">IF(E911="KANTOR",0,INDEX(Master_Customer!$C$2:$C$126,MATCH(C911,Master_Customer!$A$2:$A$126,0)))</f>
        <v>45</v>
      </c>
      <c r="H911" s="53" t="n">
        <f aca="false">B911+G911</f>
        <v>45897</v>
      </c>
      <c r="I911" s="51" t="n">
        <v>45853</v>
      </c>
      <c r="J911" s="39" t="str">
        <f aca="false">IF(G911=0,"Tunai",IF(I911="","Belum ditukar","Sudah ditukar"))</f>
        <v>Sudah ditukar</v>
      </c>
      <c r="K911" s="54" t="n">
        <v>865400</v>
      </c>
      <c r="L911" s="51" t="n">
        <v>45898</v>
      </c>
      <c r="M911" s="52" t="n">
        <f aca="false">F911-K911</f>
        <v>0</v>
      </c>
      <c r="N911" s="39" t="str">
        <f aca="false">IF(M911&lt;=0,"Lunas",IF(K911&gt;0,"Sebagian","Belum Bayar"))</f>
        <v>Lunas</v>
      </c>
      <c r="O911" s="39" t="n">
        <f aca="false">IF(M911&gt;0,MAX(0,Catatan!$B$3-H911),0)</f>
        <v>0</v>
      </c>
      <c r="P911" s="39" t="str">
        <f aca="false">IF(M911&lt;=0,"Lunas",IF(Catatan!$B$3&lt;=H911,"Belum Jatuh Tempo",IF(O911&lt;=30,"1-30 hari",IF(O911&lt;=60,"31-60 hari",IF(O911&lt;=90,"61-90 hari","90+ hari")))))</f>
        <v>Lunas</v>
      </c>
      <c r="Q911" s="50"/>
      <c r="R911" s="39" t="str">
        <f aca="false">IF(M911&lt;=0,"",IF(O911&gt;60,"1-Tinggi",IF(O911&gt;30,"2-Sedang",IF(O911&gt;0,"3-Rendah","4-Pantau"))))</f>
        <v/>
      </c>
      <c r="S911" s="39" t="str">
        <f aca="false">IF(AND(M911&gt;0,O911&gt;0),O911+M911/1000000000000+ROW()/1000000000000000,"")</f>
        <v/>
      </c>
      <c r="T911" s="39" t="str">
        <f aca="false">IF(J911="Belum ditukar",ROW(),"")</f>
        <v/>
      </c>
    </row>
    <row r="912" customFormat="false" ht="15" hidden="false" customHeight="false" outlineLevel="0" collapsed="false">
      <c r="A912" s="50" t="s">
        <v>1197</v>
      </c>
      <c r="B912" s="51" t="n">
        <v>45852</v>
      </c>
      <c r="C912" s="50" t="s">
        <v>269</v>
      </c>
      <c r="D912" s="39" t="str">
        <f aca="false">INDEX(Master_Customer!$B$2:$B$126,MATCH(C912,Master_Customer!$A$2:$A$126,0))</f>
        <v>KARYA BENGKEL</v>
      </c>
      <c r="E912" s="50" t="s">
        <v>28</v>
      </c>
      <c r="F912" s="52" t="n">
        <f aca="false">SUMIFS(Data_Penjualan!$G$2:$G$5998,Data_Penjualan!$A$2:$A$5998,A912)</f>
        <v>7525100</v>
      </c>
      <c r="G912" s="39" t="n">
        <f aca="false">IF(E912="KANTOR",0,INDEX(Master_Customer!$C$2:$C$126,MATCH(C912,Master_Customer!$A$2:$A$126,0)))</f>
        <v>14</v>
      </c>
      <c r="H912" s="53" t="n">
        <f aca="false">B912+G912</f>
        <v>45866</v>
      </c>
      <c r="I912" s="51" t="n">
        <v>45853</v>
      </c>
      <c r="J912" s="39" t="str">
        <f aca="false">IF(G912=0,"Tunai",IF(I912="","Belum ditukar","Sudah ditukar"))</f>
        <v>Sudah ditukar</v>
      </c>
      <c r="K912" s="54" t="n">
        <v>7525100</v>
      </c>
      <c r="L912" s="51" t="n">
        <v>45868</v>
      </c>
      <c r="M912" s="52" t="n">
        <f aca="false">F912-K912</f>
        <v>0</v>
      </c>
      <c r="N912" s="39" t="str">
        <f aca="false">IF(M912&lt;=0,"Lunas",IF(K912&gt;0,"Sebagian","Belum Bayar"))</f>
        <v>Lunas</v>
      </c>
      <c r="O912" s="39" t="n">
        <f aca="false">IF(M912&gt;0,MAX(0,Catatan!$B$3-H912),0)</f>
        <v>0</v>
      </c>
      <c r="P912" s="39" t="str">
        <f aca="false">IF(M912&lt;=0,"Lunas",IF(Catatan!$B$3&lt;=H912,"Belum Jatuh Tempo",IF(O912&lt;=30,"1-30 hari",IF(O912&lt;=60,"31-60 hari",IF(O912&lt;=90,"61-90 hari","90+ hari")))))</f>
        <v>Lunas</v>
      </c>
      <c r="Q912" s="50"/>
      <c r="R912" s="39" t="str">
        <f aca="false">IF(M912&lt;=0,"",IF(O912&gt;60,"1-Tinggi",IF(O912&gt;30,"2-Sedang",IF(O912&gt;0,"3-Rendah","4-Pantau"))))</f>
        <v/>
      </c>
      <c r="S912" s="39" t="str">
        <f aca="false">IF(AND(M912&gt;0,O912&gt;0),O912+M912/1000000000000+ROW()/1000000000000000,"")</f>
        <v/>
      </c>
      <c r="T912" s="39" t="str">
        <f aca="false">IF(J912="Belum ditukar",ROW(),"")</f>
        <v/>
      </c>
    </row>
    <row r="913" customFormat="false" ht="15" hidden="false" customHeight="false" outlineLevel="0" collapsed="false">
      <c r="A913" s="50" t="s">
        <v>1198</v>
      </c>
      <c r="B913" s="51" t="n">
        <v>45853</v>
      </c>
      <c r="C913" s="50" t="s">
        <v>315</v>
      </c>
      <c r="D913" s="39" t="str">
        <f aca="false">INDEX(Master_Customer!$B$2:$B$126,MATCH(C913,Master_Customer!$A$2:$A$126,0))</f>
        <v>CAHAYA SERVICE</v>
      </c>
      <c r="E913" s="50" t="s">
        <v>32</v>
      </c>
      <c r="F913" s="52" t="n">
        <f aca="false">SUMIFS(Data_Penjualan!$G$2:$G$5998,Data_Penjualan!$A$2:$A$5998,A913)</f>
        <v>2715900</v>
      </c>
      <c r="G913" s="39" t="n">
        <f aca="false">IF(E913="KANTOR",0,INDEX(Master_Customer!$C$2:$C$126,MATCH(C913,Master_Customer!$A$2:$A$126,0)))</f>
        <v>0</v>
      </c>
      <c r="H913" s="53" t="n">
        <f aca="false">B913+G913</f>
        <v>45853</v>
      </c>
      <c r="J913" s="39" t="str">
        <f aca="false">IF(G913=0,"Tunai",IF(I913="","Belum ditukar","Sudah ditukar"))</f>
        <v>Tunai</v>
      </c>
      <c r="K913" s="54" t="n">
        <v>2715900</v>
      </c>
      <c r="L913" s="51" t="n">
        <v>45853</v>
      </c>
      <c r="M913" s="52" t="n">
        <f aca="false">F913-K913</f>
        <v>0</v>
      </c>
      <c r="N913" s="39" t="str">
        <f aca="false">IF(M913&lt;=0,"Lunas",IF(K913&gt;0,"Sebagian","Belum Bayar"))</f>
        <v>Lunas</v>
      </c>
      <c r="O913" s="39" t="n">
        <f aca="false">IF(M913&gt;0,MAX(0,Catatan!$B$3-H913),0)</f>
        <v>0</v>
      </c>
      <c r="P913" s="39" t="str">
        <f aca="false">IF(M913&lt;=0,"Lunas",IF(Catatan!$B$3&lt;=H913,"Belum Jatuh Tempo",IF(O913&lt;=30,"1-30 hari",IF(O913&lt;=60,"31-60 hari",IF(O913&lt;=90,"61-90 hari","90+ hari")))))</f>
        <v>Lunas</v>
      </c>
      <c r="Q913" s="50"/>
      <c r="R913" s="39" t="str">
        <f aca="false">IF(M913&lt;=0,"",IF(O913&gt;60,"1-Tinggi",IF(O913&gt;30,"2-Sedang",IF(O913&gt;0,"3-Rendah","4-Pantau"))))</f>
        <v/>
      </c>
      <c r="S913" s="39" t="str">
        <f aca="false">IF(AND(M913&gt;0,O913&gt;0),O913+M913/1000000000000+ROW()/1000000000000000,"")</f>
        <v/>
      </c>
      <c r="T913" s="39" t="str">
        <f aca="false">IF(J913="Belum ditukar",ROW(),"")</f>
        <v/>
      </c>
    </row>
    <row r="914" customFormat="false" ht="15" hidden="false" customHeight="false" outlineLevel="0" collapsed="false">
      <c r="A914" s="50" t="s">
        <v>1199</v>
      </c>
      <c r="B914" s="51" t="n">
        <v>45853</v>
      </c>
      <c r="C914" s="50" t="s">
        <v>1200</v>
      </c>
      <c r="D914" s="39" t="str">
        <f aca="false">INDEX(Master_Customer!$B$2:$B$126,MATCH(C914,Master_Customer!$A$2:$A$126,0))</f>
        <v>MITRA SPAREPART CAHAYA</v>
      </c>
      <c r="E914" s="50" t="s">
        <v>30</v>
      </c>
      <c r="F914" s="52" t="n">
        <f aca="false">SUMIFS(Data_Penjualan!$G$2:$G$5998,Data_Penjualan!$A$2:$A$5998,A914)</f>
        <v>15516500</v>
      </c>
      <c r="G914" s="39" t="n">
        <f aca="false">IF(E914="KANTOR",0,INDEX(Master_Customer!$C$2:$C$126,MATCH(C914,Master_Customer!$A$2:$A$126,0)))</f>
        <v>14</v>
      </c>
      <c r="H914" s="53" t="n">
        <f aca="false">B914+G914</f>
        <v>45867</v>
      </c>
      <c r="I914" s="51" t="n">
        <v>45858</v>
      </c>
      <c r="J914" s="39" t="str">
        <f aca="false">IF(G914=0,"Tunai",IF(I914="","Belum ditukar","Sudah ditukar"))</f>
        <v>Sudah ditukar</v>
      </c>
      <c r="K914" s="54" t="n">
        <v>15516500</v>
      </c>
      <c r="L914" s="51" t="n">
        <v>45884</v>
      </c>
      <c r="M914" s="52" t="n">
        <f aca="false">F914-K914</f>
        <v>0</v>
      </c>
      <c r="N914" s="39" t="str">
        <f aca="false">IF(M914&lt;=0,"Lunas",IF(K914&gt;0,"Sebagian","Belum Bayar"))</f>
        <v>Lunas</v>
      </c>
      <c r="O914" s="39" t="n">
        <f aca="false">IF(M914&gt;0,MAX(0,Catatan!$B$3-H914),0)</f>
        <v>0</v>
      </c>
      <c r="P914" s="39" t="str">
        <f aca="false">IF(M914&lt;=0,"Lunas",IF(Catatan!$B$3&lt;=H914,"Belum Jatuh Tempo",IF(O914&lt;=30,"1-30 hari",IF(O914&lt;=60,"31-60 hari",IF(O914&lt;=90,"61-90 hari","90+ hari")))))</f>
        <v>Lunas</v>
      </c>
      <c r="Q914" s="50"/>
      <c r="R914" s="39" t="str">
        <f aca="false">IF(M914&lt;=0,"",IF(O914&gt;60,"1-Tinggi",IF(O914&gt;30,"2-Sedang",IF(O914&gt;0,"3-Rendah","4-Pantau"))))</f>
        <v/>
      </c>
      <c r="S914" s="39" t="str">
        <f aca="false">IF(AND(M914&gt;0,O914&gt;0),O914+M914/1000000000000+ROW()/1000000000000000,"")</f>
        <v/>
      </c>
      <c r="T914" s="39" t="str">
        <f aca="false">IF(J914="Belum ditukar",ROW(),"")</f>
        <v/>
      </c>
    </row>
    <row r="915" customFormat="false" ht="15" hidden="false" customHeight="false" outlineLevel="0" collapsed="false">
      <c r="A915" s="50" t="s">
        <v>1201</v>
      </c>
      <c r="B915" s="51" t="n">
        <v>45853</v>
      </c>
      <c r="C915" s="50" t="s">
        <v>216</v>
      </c>
      <c r="D915" s="39" t="str">
        <f aca="false">INDEX(Master_Customer!$B$2:$B$126,MATCH(C915,Master_Customer!$A$2:$A$126,0))</f>
        <v>SINAR MOTOR UTAMA</v>
      </c>
      <c r="E915" s="50" t="s">
        <v>30</v>
      </c>
      <c r="F915" s="52" t="n">
        <f aca="false">SUMIFS(Data_Penjualan!$G$2:$G$5998,Data_Penjualan!$A$2:$A$5998,A915)</f>
        <v>6062800</v>
      </c>
      <c r="G915" s="39" t="n">
        <f aca="false">IF(E915="KANTOR",0,INDEX(Master_Customer!$C$2:$C$126,MATCH(C915,Master_Customer!$A$2:$A$126,0)))</f>
        <v>0</v>
      </c>
      <c r="H915" s="53" t="n">
        <f aca="false">B915+G915</f>
        <v>45853</v>
      </c>
      <c r="J915" s="39" t="str">
        <f aca="false">IF(G915=0,"Tunai",IF(I915="","Belum ditukar","Sudah ditukar"))</f>
        <v>Tunai</v>
      </c>
      <c r="K915" s="54" t="n">
        <v>6062800</v>
      </c>
      <c r="L915" s="51" t="n">
        <v>45853</v>
      </c>
      <c r="M915" s="52" t="n">
        <f aca="false">F915-K915</f>
        <v>0</v>
      </c>
      <c r="N915" s="39" t="str">
        <f aca="false">IF(M915&lt;=0,"Lunas",IF(K915&gt;0,"Sebagian","Belum Bayar"))</f>
        <v>Lunas</v>
      </c>
      <c r="O915" s="39" t="n">
        <f aca="false">IF(M915&gt;0,MAX(0,Catatan!$B$3-H915),0)</f>
        <v>0</v>
      </c>
      <c r="P915" s="39" t="str">
        <f aca="false">IF(M915&lt;=0,"Lunas",IF(Catatan!$B$3&lt;=H915,"Belum Jatuh Tempo",IF(O915&lt;=30,"1-30 hari",IF(O915&lt;=60,"31-60 hari",IF(O915&lt;=90,"61-90 hari","90+ hari")))))</f>
        <v>Lunas</v>
      </c>
      <c r="Q915" s="50"/>
      <c r="R915" s="39" t="str">
        <f aca="false">IF(M915&lt;=0,"",IF(O915&gt;60,"1-Tinggi",IF(O915&gt;30,"2-Sedang",IF(O915&gt;0,"3-Rendah","4-Pantau"))))</f>
        <v/>
      </c>
      <c r="S915" s="39" t="str">
        <f aca="false">IF(AND(M915&gt;0,O915&gt;0),O915+M915/1000000000000+ROW()/1000000000000000,"")</f>
        <v/>
      </c>
      <c r="T915" s="39" t="str">
        <f aca="false">IF(J915="Belum ditukar",ROW(),"")</f>
        <v/>
      </c>
    </row>
    <row r="916" customFormat="false" ht="15" hidden="false" customHeight="false" outlineLevel="0" collapsed="false">
      <c r="A916" s="50" t="s">
        <v>141</v>
      </c>
      <c r="B916" s="51" t="n">
        <v>45853</v>
      </c>
      <c r="C916" s="50" t="s">
        <v>737</v>
      </c>
      <c r="D916" s="39" t="str">
        <f aca="false">INDEX(Master_Customer!$B$2:$B$126,MATCH(C916,Master_Customer!$A$2:$A$126,0))</f>
        <v>MAJU GARAGE</v>
      </c>
      <c r="E916" s="50" t="s">
        <v>29</v>
      </c>
      <c r="F916" s="52" t="n">
        <f aca="false">SUMIFS(Data_Penjualan!$G$2:$G$5998,Data_Penjualan!$A$2:$A$5998,A916)</f>
        <v>8819700</v>
      </c>
      <c r="G916" s="39" t="n">
        <f aca="false">IF(E916="KANTOR",0,INDEX(Master_Customer!$C$2:$C$126,MATCH(C916,Master_Customer!$A$2:$A$126,0)))</f>
        <v>45</v>
      </c>
      <c r="H916" s="53" t="n">
        <f aca="false">B916+G916</f>
        <v>45898</v>
      </c>
      <c r="I916" s="51" t="n">
        <v>45854</v>
      </c>
      <c r="J916" s="39" t="str">
        <f aca="false">IF(G916=0,"Tunai",IF(I916="","Belum ditukar","Sudah ditukar"))</f>
        <v>Sudah ditukar</v>
      </c>
      <c r="K916" s="54" t="n">
        <v>4327900</v>
      </c>
      <c r="L916" s="51" t="n">
        <v>45897</v>
      </c>
      <c r="M916" s="52" t="n">
        <f aca="false">F916-K916</f>
        <v>4491800</v>
      </c>
      <c r="N916" s="39" t="str">
        <f aca="false">IF(M916&lt;=0,"Lunas",IF(K916&gt;0,"Sebagian","Belum Bayar"))</f>
        <v>Sebagian</v>
      </c>
      <c r="O916" s="39" t="n">
        <f aca="false">IF(M916&gt;0,MAX(0,Catatan!$B$3-H916),0)</f>
        <v>124</v>
      </c>
      <c r="P916" s="39" t="str">
        <f aca="false">IF(M916&lt;=0,"Lunas",IF(Catatan!$B$3&lt;=H916,"Belum Jatuh Tempo",IF(O916&lt;=30,"1-30 hari",IF(O916&lt;=60,"31-60 hari",IF(O916&lt;=90,"61-90 hari","90+ hari")))))</f>
        <v>90+ hari</v>
      </c>
      <c r="Q916" s="50" t="s">
        <v>712</v>
      </c>
      <c r="R916" s="39" t="str">
        <f aca="false">IF(M916&lt;=0,"",IF(O916&gt;60,"1-Tinggi",IF(O916&gt;30,"2-Sedang",IF(O916&gt;0,"3-Rendah","4-Pantau"))))</f>
        <v>1-Tinggi</v>
      </c>
      <c r="S916" s="39" t="n">
        <f aca="false">IF(AND(M916&gt;0,O916&gt;0),O916+M916/1000000000000+ROW()/1000000000000000,"")</f>
        <v>124.000004491801</v>
      </c>
      <c r="T916" s="39" t="str">
        <f aca="false">IF(J916="Belum ditukar",ROW(),"")</f>
        <v/>
      </c>
    </row>
    <row r="917" customFormat="false" ht="15" hidden="false" customHeight="false" outlineLevel="0" collapsed="false">
      <c r="A917" s="50" t="s">
        <v>1202</v>
      </c>
      <c r="B917" s="51" t="n">
        <v>45853</v>
      </c>
      <c r="C917" s="50" t="s">
        <v>174</v>
      </c>
      <c r="D917" s="39" t="str">
        <f aca="false">INDEX(Master_Customer!$B$2:$B$126,MATCH(C917,Master_Customer!$A$2:$A$126,0))</f>
        <v>SUMBER TEKNIK SURYA</v>
      </c>
      <c r="E917" s="50" t="s">
        <v>32</v>
      </c>
      <c r="F917" s="52" t="n">
        <f aca="false">SUMIFS(Data_Penjualan!$G$2:$G$5998,Data_Penjualan!$A$2:$A$5998,A917)</f>
        <v>1284500</v>
      </c>
      <c r="G917" s="39" t="n">
        <f aca="false">IF(E917="KANTOR",0,INDEX(Master_Customer!$C$2:$C$126,MATCH(C917,Master_Customer!$A$2:$A$126,0)))</f>
        <v>0</v>
      </c>
      <c r="H917" s="53" t="n">
        <f aca="false">B917+G917</f>
        <v>45853</v>
      </c>
      <c r="J917" s="39" t="str">
        <f aca="false">IF(G917=0,"Tunai",IF(I917="","Belum ditukar","Sudah ditukar"))</f>
        <v>Tunai</v>
      </c>
      <c r="K917" s="54" t="n">
        <v>1284500</v>
      </c>
      <c r="L917" s="51" t="n">
        <v>45853</v>
      </c>
      <c r="M917" s="52" t="n">
        <f aca="false">F917-K917</f>
        <v>0</v>
      </c>
      <c r="N917" s="39" t="str">
        <f aca="false">IF(M917&lt;=0,"Lunas",IF(K917&gt;0,"Sebagian","Belum Bayar"))</f>
        <v>Lunas</v>
      </c>
      <c r="O917" s="39" t="n">
        <f aca="false">IF(M917&gt;0,MAX(0,Catatan!$B$3-H917),0)</f>
        <v>0</v>
      </c>
      <c r="P917" s="39" t="str">
        <f aca="false">IF(M917&lt;=0,"Lunas",IF(Catatan!$B$3&lt;=H917,"Belum Jatuh Tempo",IF(O917&lt;=30,"1-30 hari",IF(O917&lt;=60,"31-60 hari",IF(O917&lt;=90,"61-90 hari","90+ hari")))))</f>
        <v>Lunas</v>
      </c>
      <c r="Q917" s="50"/>
      <c r="R917" s="39" t="str">
        <f aca="false">IF(M917&lt;=0,"",IF(O917&gt;60,"1-Tinggi",IF(O917&gt;30,"2-Sedang",IF(O917&gt;0,"3-Rendah","4-Pantau"))))</f>
        <v/>
      </c>
      <c r="S917" s="39" t="str">
        <f aca="false">IF(AND(M917&gt;0,O917&gt;0),O917+M917/1000000000000+ROW()/1000000000000000,"")</f>
        <v/>
      </c>
      <c r="T917" s="39" t="str">
        <f aca="false">IF(J917="Belum ditukar",ROW(),"")</f>
        <v/>
      </c>
    </row>
    <row r="918" customFormat="false" ht="15" hidden="false" customHeight="false" outlineLevel="0" collapsed="false">
      <c r="A918" s="50" t="s">
        <v>1203</v>
      </c>
      <c r="B918" s="51" t="n">
        <v>45853</v>
      </c>
      <c r="C918" s="50" t="s">
        <v>447</v>
      </c>
      <c r="D918" s="39" t="str">
        <f aca="false">INDEX(Master_Customer!$B$2:$B$126,MATCH(C918,Master_Customer!$A$2:$A$126,0))</f>
        <v>PRIMA LUBRICANT</v>
      </c>
      <c r="E918" s="50" t="s">
        <v>28</v>
      </c>
      <c r="F918" s="52" t="n">
        <f aca="false">SUMIFS(Data_Penjualan!$G$2:$G$5998,Data_Penjualan!$A$2:$A$5998,A918)</f>
        <v>3865400</v>
      </c>
      <c r="G918" s="39" t="n">
        <f aca="false">IF(E918="KANTOR",0,INDEX(Master_Customer!$C$2:$C$126,MATCH(C918,Master_Customer!$A$2:$A$126,0)))</f>
        <v>30</v>
      </c>
      <c r="H918" s="53" t="n">
        <f aca="false">B918+G918</f>
        <v>45883</v>
      </c>
      <c r="I918" s="51" t="n">
        <v>45854</v>
      </c>
      <c r="J918" s="39" t="str">
        <f aca="false">IF(G918=0,"Tunai",IF(I918="","Belum ditukar","Sudah ditukar"))</f>
        <v>Sudah ditukar</v>
      </c>
      <c r="K918" s="54" t="n">
        <v>3865400</v>
      </c>
      <c r="L918" s="51" t="n">
        <v>45905</v>
      </c>
      <c r="M918" s="52" t="n">
        <f aca="false">F918-K918</f>
        <v>0</v>
      </c>
      <c r="N918" s="39" t="str">
        <f aca="false">IF(M918&lt;=0,"Lunas",IF(K918&gt;0,"Sebagian","Belum Bayar"))</f>
        <v>Lunas</v>
      </c>
      <c r="O918" s="39" t="n">
        <f aca="false">IF(M918&gt;0,MAX(0,Catatan!$B$3-H918),0)</f>
        <v>0</v>
      </c>
      <c r="P918" s="39" t="str">
        <f aca="false">IF(M918&lt;=0,"Lunas",IF(Catatan!$B$3&lt;=H918,"Belum Jatuh Tempo",IF(O918&lt;=30,"1-30 hari",IF(O918&lt;=60,"31-60 hari",IF(O918&lt;=90,"61-90 hari","90+ hari")))))</f>
        <v>Lunas</v>
      </c>
      <c r="Q918" s="50"/>
      <c r="R918" s="39" t="str">
        <f aca="false">IF(M918&lt;=0,"",IF(O918&gt;60,"1-Tinggi",IF(O918&gt;30,"2-Sedang",IF(O918&gt;0,"3-Rendah","4-Pantau"))))</f>
        <v/>
      </c>
      <c r="S918" s="39" t="str">
        <f aca="false">IF(AND(M918&gt;0,O918&gt;0),O918+M918/1000000000000+ROW()/1000000000000000,"")</f>
        <v/>
      </c>
      <c r="T918" s="39" t="str">
        <f aca="false">IF(J918="Belum ditukar",ROW(),"")</f>
        <v/>
      </c>
    </row>
    <row r="919" customFormat="false" ht="15" hidden="false" customHeight="false" outlineLevel="0" collapsed="false">
      <c r="A919" s="50" t="s">
        <v>1204</v>
      </c>
      <c r="B919" s="51" t="n">
        <v>45854</v>
      </c>
      <c r="C919" s="50" t="s">
        <v>179</v>
      </c>
      <c r="D919" s="39" t="str">
        <f aca="false">INDEX(Master_Customer!$B$2:$B$126,MATCH(C919,Master_Customer!$A$2:$A$126,0))</f>
        <v>BINTANG TEKNIK SURYA</v>
      </c>
      <c r="E919" s="50" t="s">
        <v>29</v>
      </c>
      <c r="F919" s="52" t="n">
        <f aca="false">SUMIFS(Data_Penjualan!$G$2:$G$5998,Data_Penjualan!$A$2:$A$5998,A919)</f>
        <v>4677900</v>
      </c>
      <c r="G919" s="39" t="n">
        <f aca="false">IF(E919="KANTOR",0,INDEX(Master_Customer!$C$2:$C$126,MATCH(C919,Master_Customer!$A$2:$A$126,0)))</f>
        <v>45</v>
      </c>
      <c r="H919" s="53" t="n">
        <f aca="false">B919+G919</f>
        <v>45899</v>
      </c>
      <c r="I919" s="51" t="n">
        <v>45857</v>
      </c>
      <c r="J919" s="39" t="str">
        <f aca="false">IF(G919=0,"Tunai",IF(I919="","Belum ditukar","Sudah ditukar"))</f>
        <v>Sudah ditukar</v>
      </c>
      <c r="K919" s="54" t="n">
        <v>4677900</v>
      </c>
      <c r="L919" s="51" t="n">
        <v>45894</v>
      </c>
      <c r="M919" s="52" t="n">
        <f aca="false">F919-K919</f>
        <v>0</v>
      </c>
      <c r="N919" s="39" t="str">
        <f aca="false">IF(M919&lt;=0,"Lunas",IF(K919&gt;0,"Sebagian","Belum Bayar"))</f>
        <v>Lunas</v>
      </c>
      <c r="O919" s="39" t="n">
        <f aca="false">IF(M919&gt;0,MAX(0,Catatan!$B$3-H919),0)</f>
        <v>0</v>
      </c>
      <c r="P919" s="39" t="str">
        <f aca="false">IF(M919&lt;=0,"Lunas",IF(Catatan!$B$3&lt;=H919,"Belum Jatuh Tempo",IF(O919&lt;=30,"1-30 hari",IF(O919&lt;=60,"31-60 hari",IF(O919&lt;=90,"61-90 hari","90+ hari")))))</f>
        <v>Lunas</v>
      </c>
      <c r="Q919" s="50"/>
      <c r="R919" s="39" t="str">
        <f aca="false">IF(M919&lt;=0,"",IF(O919&gt;60,"1-Tinggi",IF(O919&gt;30,"2-Sedang",IF(O919&gt;0,"3-Rendah","4-Pantau"))))</f>
        <v/>
      </c>
      <c r="S919" s="39" t="str">
        <f aca="false">IF(AND(M919&gt;0,O919&gt;0),O919+M919/1000000000000+ROW()/1000000000000000,"")</f>
        <v/>
      </c>
      <c r="T919" s="39" t="str">
        <f aca="false">IF(J919="Belum ditukar",ROW(),"")</f>
        <v/>
      </c>
    </row>
    <row r="920" customFormat="false" ht="15" hidden="false" customHeight="false" outlineLevel="0" collapsed="false">
      <c r="A920" s="50" t="s">
        <v>1205</v>
      </c>
      <c r="B920" s="51" t="n">
        <v>45854</v>
      </c>
      <c r="C920" s="50" t="s">
        <v>410</v>
      </c>
      <c r="D920" s="39" t="str">
        <f aca="false">INDEX(Master_Customer!$B$2:$B$126,MATCH(C920,Master_Customer!$A$2:$A$126,0))</f>
        <v>BINTANG SERVICE</v>
      </c>
      <c r="E920" s="50" t="s">
        <v>28</v>
      </c>
      <c r="F920" s="52" t="n">
        <f aca="false">SUMIFS(Data_Penjualan!$G$2:$G$5998,Data_Penjualan!$A$2:$A$5998,A920)</f>
        <v>11196500</v>
      </c>
      <c r="G920" s="39" t="n">
        <f aca="false">IF(E920="KANTOR",0,INDEX(Master_Customer!$C$2:$C$126,MATCH(C920,Master_Customer!$A$2:$A$126,0)))</f>
        <v>14</v>
      </c>
      <c r="H920" s="53" t="n">
        <f aca="false">B920+G920</f>
        <v>45868</v>
      </c>
      <c r="I920" s="51" t="n">
        <v>45858</v>
      </c>
      <c r="J920" s="39" t="str">
        <f aca="false">IF(G920=0,"Tunai",IF(I920="","Belum ditukar","Sudah ditukar"))</f>
        <v>Sudah ditukar</v>
      </c>
      <c r="K920" s="54" t="n">
        <v>11196500</v>
      </c>
      <c r="L920" s="51" t="n">
        <v>45864</v>
      </c>
      <c r="M920" s="52" t="n">
        <f aca="false">F920-K920</f>
        <v>0</v>
      </c>
      <c r="N920" s="39" t="str">
        <f aca="false">IF(M920&lt;=0,"Lunas",IF(K920&gt;0,"Sebagian","Belum Bayar"))</f>
        <v>Lunas</v>
      </c>
      <c r="O920" s="39" t="n">
        <f aca="false">IF(M920&gt;0,MAX(0,Catatan!$B$3-H920),0)</f>
        <v>0</v>
      </c>
      <c r="P920" s="39" t="str">
        <f aca="false">IF(M920&lt;=0,"Lunas",IF(Catatan!$B$3&lt;=H920,"Belum Jatuh Tempo",IF(O920&lt;=30,"1-30 hari",IF(O920&lt;=60,"31-60 hari",IF(O920&lt;=90,"61-90 hari","90+ hari")))))</f>
        <v>Lunas</v>
      </c>
      <c r="Q920" s="50"/>
      <c r="R920" s="39" t="str">
        <f aca="false">IF(M920&lt;=0,"",IF(O920&gt;60,"1-Tinggi",IF(O920&gt;30,"2-Sedang",IF(O920&gt;0,"3-Rendah","4-Pantau"))))</f>
        <v/>
      </c>
      <c r="S920" s="39" t="str">
        <f aca="false">IF(AND(M920&gt;0,O920&gt;0),O920+M920/1000000000000+ROW()/1000000000000000,"")</f>
        <v/>
      </c>
      <c r="T920" s="39" t="str">
        <f aca="false">IF(J920="Belum ditukar",ROW(),"")</f>
        <v/>
      </c>
    </row>
    <row r="921" customFormat="false" ht="15" hidden="false" customHeight="false" outlineLevel="0" collapsed="false">
      <c r="A921" s="50" t="s">
        <v>1206</v>
      </c>
      <c r="B921" s="51" t="n">
        <v>45854</v>
      </c>
      <c r="C921" s="50" t="s">
        <v>967</v>
      </c>
      <c r="D921" s="39" t="str">
        <f aca="false">INDEX(Master_Customer!$B$2:$B$126,MATCH(C921,Master_Customer!$A$2:$A$126,0))</f>
        <v>MAKMUR SPAREPART GEMILANG</v>
      </c>
      <c r="E921" s="50" t="s">
        <v>29</v>
      </c>
      <c r="F921" s="52" t="n">
        <f aca="false">SUMIFS(Data_Penjualan!$G$2:$G$5998,Data_Penjualan!$A$2:$A$5998,A921)</f>
        <v>11017900</v>
      </c>
      <c r="G921" s="39" t="n">
        <f aca="false">IF(E921="KANTOR",0,INDEX(Master_Customer!$C$2:$C$126,MATCH(C921,Master_Customer!$A$2:$A$126,0)))</f>
        <v>14</v>
      </c>
      <c r="H921" s="53" t="n">
        <f aca="false">B921+G921</f>
        <v>45868</v>
      </c>
      <c r="I921" s="51" t="n">
        <v>45858</v>
      </c>
      <c r="J921" s="39" t="str">
        <f aca="false">IF(G921=0,"Tunai",IF(I921="","Belum ditukar","Sudah ditukar"))</f>
        <v>Sudah ditukar</v>
      </c>
      <c r="K921" s="54" t="n">
        <v>11017900</v>
      </c>
      <c r="L921" s="51" t="n">
        <v>45857</v>
      </c>
      <c r="M921" s="52" t="n">
        <f aca="false">F921-K921</f>
        <v>0</v>
      </c>
      <c r="N921" s="39" t="str">
        <f aca="false">IF(M921&lt;=0,"Lunas",IF(K921&gt;0,"Sebagian","Belum Bayar"))</f>
        <v>Lunas</v>
      </c>
      <c r="O921" s="39" t="n">
        <f aca="false">IF(M921&gt;0,MAX(0,Catatan!$B$3-H921),0)</f>
        <v>0</v>
      </c>
      <c r="P921" s="39" t="str">
        <f aca="false">IF(M921&lt;=0,"Lunas",IF(Catatan!$B$3&lt;=H921,"Belum Jatuh Tempo",IF(O921&lt;=30,"1-30 hari",IF(O921&lt;=60,"31-60 hari",IF(O921&lt;=90,"61-90 hari","90+ hari")))))</f>
        <v>Lunas</v>
      </c>
      <c r="Q921" s="50"/>
      <c r="R921" s="39" t="str">
        <f aca="false">IF(M921&lt;=0,"",IF(O921&gt;60,"1-Tinggi",IF(O921&gt;30,"2-Sedang",IF(O921&gt;0,"3-Rendah","4-Pantau"))))</f>
        <v/>
      </c>
      <c r="S921" s="39" t="str">
        <f aca="false">IF(AND(M921&gt;0,O921&gt;0),O921+M921/1000000000000+ROW()/1000000000000000,"")</f>
        <v/>
      </c>
      <c r="T921" s="39" t="str">
        <f aca="false">IF(J921="Belum ditukar",ROW(),"")</f>
        <v/>
      </c>
    </row>
    <row r="922" customFormat="false" ht="15" hidden="false" customHeight="false" outlineLevel="0" collapsed="false">
      <c r="A922" s="50" t="s">
        <v>1207</v>
      </c>
      <c r="B922" s="51" t="n">
        <v>45855</v>
      </c>
      <c r="C922" s="50" t="s">
        <v>179</v>
      </c>
      <c r="D922" s="39" t="str">
        <f aca="false">INDEX(Master_Customer!$B$2:$B$126,MATCH(C922,Master_Customer!$A$2:$A$126,0))</f>
        <v>BINTANG TEKNIK SURYA</v>
      </c>
      <c r="E922" s="50" t="s">
        <v>29</v>
      </c>
      <c r="F922" s="52" t="n">
        <f aca="false">SUMIFS(Data_Penjualan!$G$2:$G$5998,Data_Penjualan!$A$2:$A$5998,A922)</f>
        <v>7023500</v>
      </c>
      <c r="G922" s="39" t="n">
        <f aca="false">IF(E922="KANTOR",0,INDEX(Master_Customer!$C$2:$C$126,MATCH(C922,Master_Customer!$A$2:$A$126,0)))</f>
        <v>45</v>
      </c>
      <c r="H922" s="53" t="n">
        <f aca="false">B922+G922</f>
        <v>45900</v>
      </c>
      <c r="I922" s="51" t="n">
        <v>45859</v>
      </c>
      <c r="J922" s="39" t="str">
        <f aca="false">IF(G922=0,"Tunai",IF(I922="","Belum ditukar","Sudah ditukar"))</f>
        <v>Sudah ditukar</v>
      </c>
      <c r="K922" s="54" t="n">
        <v>7023500</v>
      </c>
      <c r="L922" s="51" t="n">
        <v>45891</v>
      </c>
      <c r="M922" s="52" t="n">
        <f aca="false">F922-K922</f>
        <v>0</v>
      </c>
      <c r="N922" s="39" t="str">
        <f aca="false">IF(M922&lt;=0,"Lunas",IF(K922&gt;0,"Sebagian","Belum Bayar"))</f>
        <v>Lunas</v>
      </c>
      <c r="O922" s="39" t="n">
        <f aca="false">IF(M922&gt;0,MAX(0,Catatan!$B$3-H922),0)</f>
        <v>0</v>
      </c>
      <c r="P922" s="39" t="str">
        <f aca="false">IF(M922&lt;=0,"Lunas",IF(Catatan!$B$3&lt;=H922,"Belum Jatuh Tempo",IF(O922&lt;=30,"1-30 hari",IF(O922&lt;=60,"31-60 hari",IF(O922&lt;=90,"61-90 hari","90+ hari")))))</f>
        <v>Lunas</v>
      </c>
      <c r="Q922" s="50"/>
      <c r="R922" s="39" t="str">
        <f aca="false">IF(M922&lt;=0,"",IF(O922&gt;60,"1-Tinggi",IF(O922&gt;30,"2-Sedang",IF(O922&gt;0,"3-Rendah","4-Pantau"))))</f>
        <v/>
      </c>
      <c r="S922" s="39" t="str">
        <f aca="false">IF(AND(M922&gt;0,O922&gt;0),O922+M922/1000000000000+ROW()/1000000000000000,"")</f>
        <v/>
      </c>
      <c r="T922" s="39" t="str">
        <f aca="false">IF(J922="Belum ditukar",ROW(),"")</f>
        <v/>
      </c>
    </row>
    <row r="923" customFormat="false" ht="15" hidden="false" customHeight="false" outlineLevel="0" collapsed="false">
      <c r="A923" s="50" t="s">
        <v>1208</v>
      </c>
      <c r="B923" s="51" t="n">
        <v>45855</v>
      </c>
      <c r="C923" s="50" t="s">
        <v>296</v>
      </c>
      <c r="D923" s="39" t="str">
        <f aca="false">INDEX(Master_Customer!$B$2:$B$126,MATCH(C923,Master_Customer!$A$2:$A$126,0))</f>
        <v>KARYA LUBRICANT MAJU</v>
      </c>
      <c r="E923" s="50" t="s">
        <v>32</v>
      </c>
      <c r="F923" s="52" t="n">
        <f aca="false">SUMIFS(Data_Penjualan!$G$2:$G$5998,Data_Penjualan!$A$2:$A$5998,A923)</f>
        <v>987600</v>
      </c>
      <c r="G923" s="39" t="n">
        <f aca="false">IF(E923="KANTOR",0,INDEX(Master_Customer!$C$2:$C$126,MATCH(C923,Master_Customer!$A$2:$A$126,0)))</f>
        <v>0</v>
      </c>
      <c r="H923" s="53" t="n">
        <f aca="false">B923+G923</f>
        <v>45855</v>
      </c>
      <c r="J923" s="39" t="str">
        <f aca="false">IF(G923=0,"Tunai",IF(I923="","Belum ditukar","Sudah ditukar"))</f>
        <v>Tunai</v>
      </c>
      <c r="K923" s="54" t="n">
        <v>987600</v>
      </c>
      <c r="L923" s="51" t="n">
        <v>45856</v>
      </c>
      <c r="M923" s="52" t="n">
        <f aca="false">F923-K923</f>
        <v>0</v>
      </c>
      <c r="N923" s="39" t="str">
        <f aca="false">IF(M923&lt;=0,"Lunas",IF(K923&gt;0,"Sebagian","Belum Bayar"))</f>
        <v>Lunas</v>
      </c>
      <c r="O923" s="39" t="n">
        <f aca="false">IF(M923&gt;0,MAX(0,Catatan!$B$3-H923),0)</f>
        <v>0</v>
      </c>
      <c r="P923" s="39" t="str">
        <f aca="false">IF(M923&lt;=0,"Lunas",IF(Catatan!$B$3&lt;=H923,"Belum Jatuh Tempo",IF(O923&lt;=30,"1-30 hari",IF(O923&lt;=60,"31-60 hari",IF(O923&lt;=90,"61-90 hari","90+ hari")))))</f>
        <v>Lunas</v>
      </c>
      <c r="Q923" s="50"/>
      <c r="R923" s="39" t="str">
        <f aca="false">IF(M923&lt;=0,"",IF(O923&gt;60,"1-Tinggi",IF(O923&gt;30,"2-Sedang",IF(O923&gt;0,"3-Rendah","4-Pantau"))))</f>
        <v/>
      </c>
      <c r="S923" s="39" t="str">
        <f aca="false">IF(AND(M923&gt;0,O923&gt;0),O923+M923/1000000000000+ROW()/1000000000000000,"")</f>
        <v/>
      </c>
      <c r="T923" s="39" t="str">
        <f aca="false">IF(J923="Belum ditukar",ROW(),"")</f>
        <v/>
      </c>
    </row>
    <row r="924" customFormat="false" ht="15" hidden="false" customHeight="false" outlineLevel="0" collapsed="false">
      <c r="A924" s="50" t="s">
        <v>1209</v>
      </c>
      <c r="B924" s="51" t="n">
        <v>45855</v>
      </c>
      <c r="C924" s="50" t="s">
        <v>168</v>
      </c>
      <c r="D924" s="39" t="str">
        <f aca="false">INDEX(Master_Customer!$B$2:$B$126,MATCH(C924,Master_Customer!$A$2:$A$126,0))</f>
        <v>JAYA LUBRICANT</v>
      </c>
      <c r="E924" s="50" t="s">
        <v>29</v>
      </c>
      <c r="F924" s="52" t="n">
        <f aca="false">SUMIFS(Data_Penjualan!$G$2:$G$5998,Data_Penjualan!$A$2:$A$5998,A924)</f>
        <v>9103300</v>
      </c>
      <c r="G924" s="39" t="n">
        <f aca="false">IF(E924="KANTOR",0,INDEX(Master_Customer!$C$2:$C$126,MATCH(C924,Master_Customer!$A$2:$A$126,0)))</f>
        <v>0</v>
      </c>
      <c r="H924" s="53" t="n">
        <f aca="false">B924+G924</f>
        <v>45855</v>
      </c>
      <c r="J924" s="39" t="str">
        <f aca="false">IF(G924=0,"Tunai",IF(I924="","Belum ditukar","Sudah ditukar"))</f>
        <v>Tunai</v>
      </c>
      <c r="K924" s="54" t="n">
        <v>9103300</v>
      </c>
      <c r="L924" s="51" t="n">
        <v>45855</v>
      </c>
      <c r="M924" s="52" t="n">
        <f aca="false">F924-K924</f>
        <v>0</v>
      </c>
      <c r="N924" s="39" t="str">
        <f aca="false">IF(M924&lt;=0,"Lunas",IF(K924&gt;0,"Sebagian","Belum Bayar"))</f>
        <v>Lunas</v>
      </c>
      <c r="O924" s="39" t="n">
        <f aca="false">IF(M924&gt;0,MAX(0,Catatan!$B$3-H924),0)</f>
        <v>0</v>
      </c>
      <c r="P924" s="39" t="str">
        <f aca="false">IF(M924&lt;=0,"Lunas",IF(Catatan!$B$3&lt;=H924,"Belum Jatuh Tempo",IF(O924&lt;=30,"1-30 hari",IF(O924&lt;=60,"31-60 hari",IF(O924&lt;=90,"61-90 hari","90+ hari")))))</f>
        <v>Lunas</v>
      </c>
      <c r="Q924" s="50"/>
      <c r="R924" s="39" t="str">
        <f aca="false">IF(M924&lt;=0,"",IF(O924&gt;60,"1-Tinggi",IF(O924&gt;30,"2-Sedang",IF(O924&gt;0,"3-Rendah","4-Pantau"))))</f>
        <v/>
      </c>
      <c r="S924" s="39" t="str">
        <f aca="false">IF(AND(M924&gt;0,O924&gt;0),O924+M924/1000000000000+ROW()/1000000000000000,"")</f>
        <v/>
      </c>
      <c r="T924" s="39" t="str">
        <f aca="false">IF(J924="Belum ditukar",ROW(),"")</f>
        <v/>
      </c>
    </row>
    <row r="925" customFormat="false" ht="15" hidden="false" customHeight="false" outlineLevel="0" collapsed="false">
      <c r="A925" s="50" t="s">
        <v>1210</v>
      </c>
      <c r="B925" s="51" t="n">
        <v>45855</v>
      </c>
      <c r="C925" s="50" t="s">
        <v>251</v>
      </c>
      <c r="D925" s="39" t="str">
        <f aca="false">INDEX(Master_Customer!$B$2:$B$126,MATCH(C925,Master_Customer!$A$2:$A$126,0))</f>
        <v>MAJU SPAREPART</v>
      </c>
      <c r="E925" s="50" t="s">
        <v>29</v>
      </c>
      <c r="F925" s="52" t="n">
        <f aca="false">SUMIFS(Data_Penjualan!$G$2:$G$5998,Data_Penjualan!$A$2:$A$5998,A925)</f>
        <v>9162600</v>
      </c>
      <c r="G925" s="39" t="n">
        <f aca="false">IF(E925="KANTOR",0,INDEX(Master_Customer!$C$2:$C$126,MATCH(C925,Master_Customer!$A$2:$A$126,0)))</f>
        <v>45</v>
      </c>
      <c r="H925" s="53" t="n">
        <f aca="false">B925+G925</f>
        <v>45900</v>
      </c>
      <c r="I925" s="51" t="n">
        <v>45860</v>
      </c>
      <c r="J925" s="39" t="str">
        <f aca="false">IF(G925=0,"Tunai",IF(I925="","Belum ditukar","Sudah ditukar"))</f>
        <v>Sudah ditukar</v>
      </c>
      <c r="K925" s="54" t="n">
        <v>9162600</v>
      </c>
      <c r="L925" s="51" t="n">
        <v>45921</v>
      </c>
      <c r="M925" s="52" t="n">
        <f aca="false">F925-K925</f>
        <v>0</v>
      </c>
      <c r="N925" s="39" t="str">
        <f aca="false">IF(M925&lt;=0,"Lunas",IF(K925&gt;0,"Sebagian","Belum Bayar"))</f>
        <v>Lunas</v>
      </c>
      <c r="O925" s="39" t="n">
        <f aca="false">IF(M925&gt;0,MAX(0,Catatan!$B$3-H925),0)</f>
        <v>0</v>
      </c>
      <c r="P925" s="39" t="str">
        <f aca="false">IF(M925&lt;=0,"Lunas",IF(Catatan!$B$3&lt;=H925,"Belum Jatuh Tempo",IF(O925&lt;=30,"1-30 hari",IF(O925&lt;=60,"31-60 hari",IF(O925&lt;=90,"61-90 hari","90+ hari")))))</f>
        <v>Lunas</v>
      </c>
      <c r="Q925" s="50"/>
      <c r="R925" s="39" t="str">
        <f aca="false">IF(M925&lt;=0,"",IF(O925&gt;60,"1-Tinggi",IF(O925&gt;30,"2-Sedang",IF(O925&gt;0,"3-Rendah","4-Pantau"))))</f>
        <v/>
      </c>
      <c r="S925" s="39" t="str">
        <f aca="false">IF(AND(M925&gt;0,O925&gt;0),O925+M925/1000000000000+ROW()/1000000000000000,"")</f>
        <v/>
      </c>
      <c r="T925" s="39" t="str">
        <f aca="false">IF(J925="Belum ditukar",ROW(),"")</f>
        <v/>
      </c>
    </row>
    <row r="926" customFormat="false" ht="15" hidden="false" customHeight="false" outlineLevel="0" collapsed="false">
      <c r="A926" s="50" t="s">
        <v>1211</v>
      </c>
      <c r="B926" s="51" t="n">
        <v>45856</v>
      </c>
      <c r="C926" s="50" t="s">
        <v>166</v>
      </c>
      <c r="D926" s="39" t="str">
        <f aca="false">INDEX(Master_Customer!$B$2:$B$126,MATCH(C926,Master_Customer!$A$2:$A$126,0))</f>
        <v>SENTOSA SERVICE</v>
      </c>
      <c r="E926" s="50" t="s">
        <v>32</v>
      </c>
      <c r="F926" s="52" t="n">
        <f aca="false">SUMIFS(Data_Penjualan!$G$2:$G$5998,Data_Penjualan!$A$2:$A$5998,A926)</f>
        <v>11479100</v>
      </c>
      <c r="G926" s="39" t="n">
        <f aca="false">IF(E926="KANTOR",0,INDEX(Master_Customer!$C$2:$C$126,MATCH(C926,Master_Customer!$A$2:$A$126,0)))</f>
        <v>0</v>
      </c>
      <c r="H926" s="53" t="n">
        <f aca="false">B926+G926</f>
        <v>45856</v>
      </c>
      <c r="J926" s="39" t="str">
        <f aca="false">IF(G926=0,"Tunai",IF(I926="","Belum ditukar","Sudah ditukar"))</f>
        <v>Tunai</v>
      </c>
      <c r="K926" s="54" t="n">
        <v>11479100</v>
      </c>
      <c r="L926" s="51" t="n">
        <v>45856</v>
      </c>
      <c r="M926" s="52" t="n">
        <f aca="false">F926-K926</f>
        <v>0</v>
      </c>
      <c r="N926" s="39" t="str">
        <f aca="false">IF(M926&lt;=0,"Lunas",IF(K926&gt;0,"Sebagian","Belum Bayar"))</f>
        <v>Lunas</v>
      </c>
      <c r="O926" s="39" t="n">
        <f aca="false">IF(M926&gt;0,MAX(0,Catatan!$B$3-H926),0)</f>
        <v>0</v>
      </c>
      <c r="P926" s="39" t="str">
        <f aca="false">IF(M926&lt;=0,"Lunas",IF(Catatan!$B$3&lt;=H926,"Belum Jatuh Tempo",IF(O926&lt;=30,"1-30 hari",IF(O926&lt;=60,"31-60 hari",IF(O926&lt;=90,"61-90 hari","90+ hari")))))</f>
        <v>Lunas</v>
      </c>
      <c r="Q926" s="50"/>
      <c r="R926" s="39" t="str">
        <f aca="false">IF(M926&lt;=0,"",IF(O926&gt;60,"1-Tinggi",IF(O926&gt;30,"2-Sedang",IF(O926&gt;0,"3-Rendah","4-Pantau"))))</f>
        <v/>
      </c>
      <c r="S926" s="39" t="str">
        <f aca="false">IF(AND(M926&gt;0,O926&gt;0),O926+M926/1000000000000+ROW()/1000000000000000,"")</f>
        <v/>
      </c>
      <c r="T926" s="39" t="str">
        <f aca="false">IF(J926="Belum ditukar",ROW(),"")</f>
        <v/>
      </c>
    </row>
    <row r="927" customFormat="false" ht="15" hidden="false" customHeight="false" outlineLevel="0" collapsed="false">
      <c r="A927" s="50" t="s">
        <v>1212</v>
      </c>
      <c r="B927" s="51" t="n">
        <v>45856</v>
      </c>
      <c r="C927" s="50" t="s">
        <v>243</v>
      </c>
      <c r="D927" s="39" t="str">
        <f aca="false">INDEX(Master_Customer!$B$2:$B$126,MATCH(C927,Master_Customer!$A$2:$A$126,0))</f>
        <v>SENTOSA LUBRICANT MULIA</v>
      </c>
      <c r="E927" s="50" t="s">
        <v>30</v>
      </c>
      <c r="F927" s="52" t="n">
        <f aca="false">SUMIFS(Data_Penjualan!$G$2:$G$5998,Data_Penjualan!$A$2:$A$5998,A927)</f>
        <v>14776700</v>
      </c>
      <c r="G927" s="39" t="n">
        <f aca="false">IF(E927="KANTOR",0,INDEX(Master_Customer!$C$2:$C$126,MATCH(C927,Master_Customer!$A$2:$A$126,0)))</f>
        <v>45</v>
      </c>
      <c r="H927" s="53" t="n">
        <f aca="false">B927+G927</f>
        <v>45901</v>
      </c>
      <c r="I927" s="51" t="n">
        <v>45857</v>
      </c>
      <c r="J927" s="39" t="str">
        <f aca="false">IF(G927=0,"Tunai",IF(I927="","Belum ditukar","Sudah ditukar"))</f>
        <v>Sudah ditukar</v>
      </c>
      <c r="K927" s="54" t="n">
        <v>14776700</v>
      </c>
      <c r="L927" s="51" t="n">
        <v>45963</v>
      </c>
      <c r="M927" s="52" t="n">
        <f aca="false">F927-K927</f>
        <v>0</v>
      </c>
      <c r="N927" s="39" t="str">
        <f aca="false">IF(M927&lt;=0,"Lunas",IF(K927&gt;0,"Sebagian","Belum Bayar"))</f>
        <v>Lunas</v>
      </c>
      <c r="O927" s="39" t="n">
        <f aca="false">IF(M927&gt;0,MAX(0,Catatan!$B$3-H927),0)</f>
        <v>0</v>
      </c>
      <c r="P927" s="39" t="str">
        <f aca="false">IF(M927&lt;=0,"Lunas",IF(Catatan!$B$3&lt;=H927,"Belum Jatuh Tempo",IF(O927&lt;=30,"1-30 hari",IF(O927&lt;=60,"31-60 hari",IF(O927&lt;=90,"61-90 hari","90+ hari")))))</f>
        <v>Lunas</v>
      </c>
      <c r="Q927" s="50"/>
      <c r="R927" s="39" t="str">
        <f aca="false">IF(M927&lt;=0,"",IF(O927&gt;60,"1-Tinggi",IF(O927&gt;30,"2-Sedang",IF(O927&gt;0,"3-Rendah","4-Pantau"))))</f>
        <v/>
      </c>
      <c r="S927" s="39" t="str">
        <f aca="false">IF(AND(M927&gt;0,O927&gt;0),O927+M927/1000000000000+ROW()/1000000000000000,"")</f>
        <v/>
      </c>
      <c r="T927" s="39" t="str">
        <f aca="false">IF(J927="Belum ditukar",ROW(),"")</f>
        <v/>
      </c>
    </row>
    <row r="928" customFormat="false" ht="15" hidden="false" customHeight="false" outlineLevel="0" collapsed="false">
      <c r="A928" s="50" t="s">
        <v>1213</v>
      </c>
      <c r="B928" s="51" t="n">
        <v>45856</v>
      </c>
      <c r="C928" s="50" t="s">
        <v>166</v>
      </c>
      <c r="D928" s="39" t="str">
        <f aca="false">INDEX(Master_Customer!$B$2:$B$126,MATCH(C928,Master_Customer!$A$2:$A$126,0))</f>
        <v>SENTOSA SERVICE</v>
      </c>
      <c r="E928" s="50" t="s">
        <v>30</v>
      </c>
      <c r="F928" s="52" t="n">
        <f aca="false">SUMIFS(Data_Penjualan!$G$2:$G$5998,Data_Penjualan!$A$2:$A$5998,A928)</f>
        <v>16322700</v>
      </c>
      <c r="G928" s="39" t="n">
        <f aca="false">IF(E928="KANTOR",0,INDEX(Master_Customer!$C$2:$C$126,MATCH(C928,Master_Customer!$A$2:$A$126,0)))</f>
        <v>0</v>
      </c>
      <c r="H928" s="53" t="n">
        <f aca="false">B928+G928</f>
        <v>45856</v>
      </c>
      <c r="J928" s="39" t="str">
        <f aca="false">IF(G928=0,"Tunai",IF(I928="","Belum ditukar","Sudah ditukar"))</f>
        <v>Tunai</v>
      </c>
      <c r="K928" s="54" t="n">
        <v>16322700</v>
      </c>
      <c r="L928" s="51" t="n">
        <v>45856</v>
      </c>
      <c r="M928" s="52" t="n">
        <f aca="false">F928-K928</f>
        <v>0</v>
      </c>
      <c r="N928" s="39" t="str">
        <f aca="false">IF(M928&lt;=0,"Lunas",IF(K928&gt;0,"Sebagian","Belum Bayar"))</f>
        <v>Lunas</v>
      </c>
      <c r="O928" s="39" t="n">
        <f aca="false">IF(M928&gt;0,MAX(0,Catatan!$B$3-H928),0)</f>
        <v>0</v>
      </c>
      <c r="P928" s="39" t="str">
        <f aca="false">IF(M928&lt;=0,"Lunas",IF(Catatan!$B$3&lt;=H928,"Belum Jatuh Tempo",IF(O928&lt;=30,"1-30 hari",IF(O928&lt;=60,"31-60 hari",IF(O928&lt;=90,"61-90 hari","90+ hari")))))</f>
        <v>Lunas</v>
      </c>
      <c r="Q928" s="50"/>
      <c r="R928" s="39" t="str">
        <f aca="false">IF(M928&lt;=0,"",IF(O928&gt;60,"1-Tinggi",IF(O928&gt;30,"2-Sedang",IF(O928&gt;0,"3-Rendah","4-Pantau"))))</f>
        <v/>
      </c>
      <c r="S928" s="39" t="str">
        <f aca="false">IF(AND(M928&gt;0,O928&gt;0),O928+M928/1000000000000+ROW()/1000000000000000,"")</f>
        <v/>
      </c>
      <c r="T928" s="39" t="str">
        <f aca="false">IF(J928="Belum ditukar",ROW(),"")</f>
        <v/>
      </c>
    </row>
    <row r="929" customFormat="false" ht="15" hidden="false" customHeight="false" outlineLevel="0" collapsed="false">
      <c r="A929" s="50" t="s">
        <v>1214</v>
      </c>
      <c r="B929" s="51" t="n">
        <v>45856</v>
      </c>
      <c r="C929" s="50" t="s">
        <v>188</v>
      </c>
      <c r="D929" s="39" t="str">
        <f aca="false">INDEX(Master_Customer!$B$2:$B$126,MATCH(C929,Master_Customer!$A$2:$A$126,0))</f>
        <v>MAJU GARAGE TIRTA</v>
      </c>
      <c r="E929" s="50" t="s">
        <v>31</v>
      </c>
      <c r="F929" s="52" t="n">
        <f aca="false">SUMIFS(Data_Penjualan!$G$2:$G$5998,Data_Penjualan!$A$2:$A$5998,A929)</f>
        <v>3314900</v>
      </c>
      <c r="G929" s="39" t="n">
        <f aca="false">IF(E929="KANTOR",0,INDEX(Master_Customer!$C$2:$C$126,MATCH(C929,Master_Customer!$A$2:$A$126,0)))</f>
        <v>45</v>
      </c>
      <c r="H929" s="53" t="n">
        <f aca="false">B929+G929</f>
        <v>45901</v>
      </c>
      <c r="I929" s="51" t="n">
        <v>45859</v>
      </c>
      <c r="J929" s="39" t="str">
        <f aca="false">IF(G929=0,"Tunai",IF(I929="","Belum ditukar","Sudah ditukar"))</f>
        <v>Sudah ditukar</v>
      </c>
      <c r="K929" s="54" t="n">
        <v>3314900</v>
      </c>
      <c r="L929" s="51" t="n">
        <v>45913</v>
      </c>
      <c r="M929" s="52" t="n">
        <f aca="false">F929-K929</f>
        <v>0</v>
      </c>
      <c r="N929" s="39" t="str">
        <f aca="false">IF(M929&lt;=0,"Lunas",IF(K929&gt;0,"Sebagian","Belum Bayar"))</f>
        <v>Lunas</v>
      </c>
      <c r="O929" s="39" t="n">
        <f aca="false">IF(M929&gt;0,MAX(0,Catatan!$B$3-H929),0)</f>
        <v>0</v>
      </c>
      <c r="P929" s="39" t="str">
        <f aca="false">IF(M929&lt;=0,"Lunas",IF(Catatan!$B$3&lt;=H929,"Belum Jatuh Tempo",IF(O929&lt;=30,"1-30 hari",IF(O929&lt;=60,"31-60 hari",IF(O929&lt;=90,"61-90 hari","90+ hari")))))</f>
        <v>Lunas</v>
      </c>
      <c r="Q929" s="50"/>
      <c r="R929" s="39" t="str">
        <f aca="false">IF(M929&lt;=0,"",IF(O929&gt;60,"1-Tinggi",IF(O929&gt;30,"2-Sedang",IF(O929&gt;0,"3-Rendah","4-Pantau"))))</f>
        <v/>
      </c>
      <c r="S929" s="39" t="str">
        <f aca="false">IF(AND(M929&gt;0,O929&gt;0),O929+M929/1000000000000+ROW()/1000000000000000,"")</f>
        <v/>
      </c>
      <c r="T929" s="39" t="str">
        <f aca="false">IF(J929="Belum ditukar",ROW(),"")</f>
        <v/>
      </c>
    </row>
    <row r="930" customFormat="false" ht="15" hidden="false" customHeight="false" outlineLevel="0" collapsed="false">
      <c r="A930" s="50" t="s">
        <v>1215</v>
      </c>
      <c r="B930" s="51" t="n">
        <v>45857</v>
      </c>
      <c r="C930" s="50" t="s">
        <v>179</v>
      </c>
      <c r="D930" s="39" t="str">
        <f aca="false">INDEX(Master_Customer!$B$2:$B$126,MATCH(C930,Master_Customer!$A$2:$A$126,0))</f>
        <v>BINTANG TEKNIK SURYA</v>
      </c>
      <c r="E930" s="50" t="s">
        <v>29</v>
      </c>
      <c r="F930" s="52" t="n">
        <f aca="false">SUMIFS(Data_Penjualan!$G$2:$G$5998,Data_Penjualan!$A$2:$A$5998,A930)</f>
        <v>3745700</v>
      </c>
      <c r="G930" s="39" t="n">
        <f aca="false">IF(E930="KANTOR",0,INDEX(Master_Customer!$C$2:$C$126,MATCH(C930,Master_Customer!$A$2:$A$126,0)))</f>
        <v>45</v>
      </c>
      <c r="H930" s="53" t="n">
        <f aca="false">B930+G930</f>
        <v>45902</v>
      </c>
      <c r="I930" s="51" t="n">
        <v>45858</v>
      </c>
      <c r="J930" s="39" t="str">
        <f aca="false">IF(G930=0,"Tunai",IF(I930="","Belum ditukar","Sudah ditukar"))</f>
        <v>Sudah ditukar</v>
      </c>
      <c r="K930" s="54" t="n">
        <v>3745700</v>
      </c>
      <c r="L930" s="51" t="n">
        <v>45897</v>
      </c>
      <c r="M930" s="52" t="n">
        <f aca="false">F930-K930</f>
        <v>0</v>
      </c>
      <c r="N930" s="39" t="str">
        <f aca="false">IF(M930&lt;=0,"Lunas",IF(K930&gt;0,"Sebagian","Belum Bayar"))</f>
        <v>Lunas</v>
      </c>
      <c r="O930" s="39" t="n">
        <f aca="false">IF(M930&gt;0,MAX(0,Catatan!$B$3-H930),0)</f>
        <v>0</v>
      </c>
      <c r="P930" s="39" t="str">
        <f aca="false">IF(M930&lt;=0,"Lunas",IF(Catatan!$B$3&lt;=H930,"Belum Jatuh Tempo",IF(O930&lt;=30,"1-30 hari",IF(O930&lt;=60,"31-60 hari",IF(O930&lt;=90,"61-90 hari","90+ hari")))))</f>
        <v>Lunas</v>
      </c>
      <c r="Q930" s="50"/>
      <c r="R930" s="39" t="str">
        <f aca="false">IF(M930&lt;=0,"",IF(O930&gt;60,"1-Tinggi",IF(O930&gt;30,"2-Sedang",IF(O930&gt;0,"3-Rendah","4-Pantau"))))</f>
        <v/>
      </c>
      <c r="S930" s="39" t="str">
        <f aca="false">IF(AND(M930&gt;0,O930&gt;0),O930+M930/1000000000000+ROW()/1000000000000000,"")</f>
        <v/>
      </c>
      <c r="T930" s="39" t="str">
        <f aca="false">IF(J930="Belum ditukar",ROW(),"")</f>
        <v/>
      </c>
    </row>
    <row r="931" customFormat="false" ht="15" hidden="false" customHeight="false" outlineLevel="0" collapsed="false">
      <c r="A931" s="50" t="s">
        <v>1216</v>
      </c>
      <c r="B931" s="51" t="n">
        <v>45857</v>
      </c>
      <c r="C931" s="50" t="s">
        <v>693</v>
      </c>
      <c r="D931" s="39" t="str">
        <f aca="false">INDEX(Master_Customer!$B$2:$B$126,MATCH(C931,Master_Customer!$A$2:$A$126,0))</f>
        <v>SUMBER OLI GEMILANG</v>
      </c>
      <c r="E931" s="50" t="s">
        <v>32</v>
      </c>
      <c r="F931" s="52" t="n">
        <f aca="false">SUMIFS(Data_Penjualan!$G$2:$G$5998,Data_Penjualan!$A$2:$A$5998,A931)</f>
        <v>10355400</v>
      </c>
      <c r="G931" s="39" t="n">
        <f aca="false">IF(E931="KANTOR",0,INDEX(Master_Customer!$C$2:$C$126,MATCH(C931,Master_Customer!$A$2:$A$126,0)))</f>
        <v>0</v>
      </c>
      <c r="H931" s="53" t="n">
        <f aca="false">B931+G931</f>
        <v>45857</v>
      </c>
      <c r="J931" s="39" t="str">
        <f aca="false">IF(G931=0,"Tunai",IF(I931="","Belum ditukar","Sudah ditukar"))</f>
        <v>Tunai</v>
      </c>
      <c r="K931" s="54" t="n">
        <v>10355400</v>
      </c>
      <c r="L931" s="51" t="n">
        <v>45857</v>
      </c>
      <c r="M931" s="52" t="n">
        <f aca="false">F931-K931</f>
        <v>0</v>
      </c>
      <c r="N931" s="39" t="str">
        <f aca="false">IF(M931&lt;=0,"Lunas",IF(K931&gt;0,"Sebagian","Belum Bayar"))</f>
        <v>Lunas</v>
      </c>
      <c r="O931" s="39" t="n">
        <f aca="false">IF(M931&gt;0,MAX(0,Catatan!$B$3-H931),0)</f>
        <v>0</v>
      </c>
      <c r="P931" s="39" t="str">
        <f aca="false">IF(M931&lt;=0,"Lunas",IF(Catatan!$B$3&lt;=H931,"Belum Jatuh Tempo",IF(O931&lt;=30,"1-30 hari",IF(O931&lt;=60,"31-60 hari",IF(O931&lt;=90,"61-90 hari","90+ hari")))))</f>
        <v>Lunas</v>
      </c>
      <c r="Q931" s="50"/>
      <c r="R931" s="39" t="str">
        <f aca="false">IF(M931&lt;=0,"",IF(O931&gt;60,"1-Tinggi",IF(O931&gt;30,"2-Sedang",IF(O931&gt;0,"3-Rendah","4-Pantau"))))</f>
        <v/>
      </c>
      <c r="S931" s="39" t="str">
        <f aca="false">IF(AND(M931&gt;0,O931&gt;0),O931+M931/1000000000000+ROW()/1000000000000000,"")</f>
        <v/>
      </c>
      <c r="T931" s="39" t="str">
        <f aca="false">IF(J931="Belum ditukar",ROW(),"")</f>
        <v/>
      </c>
    </row>
    <row r="932" customFormat="false" ht="15" hidden="false" customHeight="false" outlineLevel="0" collapsed="false">
      <c r="A932" s="50" t="s">
        <v>1217</v>
      </c>
      <c r="B932" s="51" t="n">
        <v>45857</v>
      </c>
      <c r="C932" s="50" t="s">
        <v>566</v>
      </c>
      <c r="D932" s="39" t="str">
        <f aca="false">INDEX(Master_Customer!$B$2:$B$126,MATCH(C932,Master_Customer!$A$2:$A$126,0))</f>
        <v>UTAMA OLI SUMBER</v>
      </c>
      <c r="E932" s="50" t="s">
        <v>32</v>
      </c>
      <c r="F932" s="52" t="n">
        <f aca="false">SUMIFS(Data_Penjualan!$G$2:$G$5998,Data_Penjualan!$A$2:$A$5998,A932)</f>
        <v>6209700</v>
      </c>
      <c r="G932" s="39" t="n">
        <f aca="false">IF(E932="KANTOR",0,INDEX(Master_Customer!$C$2:$C$126,MATCH(C932,Master_Customer!$A$2:$A$126,0)))</f>
        <v>0</v>
      </c>
      <c r="H932" s="53" t="n">
        <f aca="false">B932+G932</f>
        <v>45857</v>
      </c>
      <c r="J932" s="39" t="str">
        <f aca="false">IF(G932=0,"Tunai",IF(I932="","Belum ditukar","Sudah ditukar"))</f>
        <v>Tunai</v>
      </c>
      <c r="K932" s="54" t="n">
        <v>6209700</v>
      </c>
      <c r="L932" s="51" t="n">
        <v>45858</v>
      </c>
      <c r="M932" s="52" t="n">
        <f aca="false">F932-K932</f>
        <v>0</v>
      </c>
      <c r="N932" s="39" t="str">
        <f aca="false">IF(M932&lt;=0,"Lunas",IF(K932&gt;0,"Sebagian","Belum Bayar"))</f>
        <v>Lunas</v>
      </c>
      <c r="O932" s="39" t="n">
        <f aca="false">IF(M932&gt;0,MAX(0,Catatan!$B$3-H932),0)</f>
        <v>0</v>
      </c>
      <c r="P932" s="39" t="str">
        <f aca="false">IF(M932&lt;=0,"Lunas",IF(Catatan!$B$3&lt;=H932,"Belum Jatuh Tempo",IF(O932&lt;=30,"1-30 hari",IF(O932&lt;=60,"31-60 hari",IF(O932&lt;=90,"61-90 hari","90+ hari")))))</f>
        <v>Lunas</v>
      </c>
      <c r="Q932" s="50"/>
      <c r="R932" s="39" t="str">
        <f aca="false">IF(M932&lt;=0,"",IF(O932&gt;60,"1-Tinggi",IF(O932&gt;30,"2-Sedang",IF(O932&gt;0,"3-Rendah","4-Pantau"))))</f>
        <v/>
      </c>
      <c r="S932" s="39" t="str">
        <f aca="false">IF(AND(M932&gt;0,O932&gt;0),O932+M932/1000000000000+ROW()/1000000000000000,"")</f>
        <v/>
      </c>
      <c r="T932" s="39" t="str">
        <f aca="false">IF(J932="Belum ditukar",ROW(),"")</f>
        <v/>
      </c>
    </row>
    <row r="933" customFormat="false" ht="15" hidden="false" customHeight="false" outlineLevel="0" collapsed="false">
      <c r="A933" s="50" t="s">
        <v>1218</v>
      </c>
      <c r="B933" s="51" t="n">
        <v>45857</v>
      </c>
      <c r="C933" s="50" t="s">
        <v>261</v>
      </c>
      <c r="D933" s="39" t="str">
        <f aca="false">INDEX(Master_Customer!$B$2:$B$126,MATCH(C933,Master_Customer!$A$2:$A$126,0))</f>
        <v>SUMBER MOTOR UTAMA</v>
      </c>
      <c r="E933" s="50" t="s">
        <v>28</v>
      </c>
      <c r="F933" s="52" t="n">
        <f aca="false">SUMIFS(Data_Penjualan!$G$2:$G$5998,Data_Penjualan!$A$2:$A$5998,A933)</f>
        <v>2913900</v>
      </c>
      <c r="G933" s="39" t="n">
        <f aca="false">IF(E933="KANTOR",0,INDEX(Master_Customer!$C$2:$C$126,MATCH(C933,Master_Customer!$A$2:$A$126,0)))</f>
        <v>0</v>
      </c>
      <c r="H933" s="53" t="n">
        <f aca="false">B933+G933</f>
        <v>45857</v>
      </c>
      <c r="J933" s="39" t="str">
        <f aca="false">IF(G933=0,"Tunai",IF(I933="","Belum ditukar","Sudah ditukar"))</f>
        <v>Tunai</v>
      </c>
      <c r="K933" s="54" t="n">
        <v>2913900</v>
      </c>
      <c r="L933" s="51" t="n">
        <v>45857</v>
      </c>
      <c r="M933" s="52" t="n">
        <f aca="false">F933-K933</f>
        <v>0</v>
      </c>
      <c r="N933" s="39" t="str">
        <f aca="false">IF(M933&lt;=0,"Lunas",IF(K933&gt;0,"Sebagian","Belum Bayar"))</f>
        <v>Lunas</v>
      </c>
      <c r="O933" s="39" t="n">
        <f aca="false">IF(M933&gt;0,MAX(0,Catatan!$B$3-H933),0)</f>
        <v>0</v>
      </c>
      <c r="P933" s="39" t="str">
        <f aca="false">IF(M933&lt;=0,"Lunas",IF(Catatan!$B$3&lt;=H933,"Belum Jatuh Tempo",IF(O933&lt;=30,"1-30 hari",IF(O933&lt;=60,"31-60 hari",IF(O933&lt;=90,"61-90 hari","90+ hari")))))</f>
        <v>Lunas</v>
      </c>
      <c r="Q933" s="50"/>
      <c r="R933" s="39" t="str">
        <f aca="false">IF(M933&lt;=0,"",IF(O933&gt;60,"1-Tinggi",IF(O933&gt;30,"2-Sedang",IF(O933&gt;0,"3-Rendah","4-Pantau"))))</f>
        <v/>
      </c>
      <c r="S933" s="39" t="str">
        <f aca="false">IF(AND(M933&gt;0,O933&gt;0),O933+M933/1000000000000+ROW()/1000000000000000,"")</f>
        <v/>
      </c>
      <c r="T933" s="39" t="str">
        <f aca="false">IF(J933="Belum ditukar",ROW(),"")</f>
        <v/>
      </c>
    </row>
    <row r="934" customFormat="false" ht="15" hidden="false" customHeight="false" outlineLevel="0" collapsed="false">
      <c r="A934" s="50" t="s">
        <v>1219</v>
      </c>
      <c r="B934" s="51" t="n">
        <v>45857</v>
      </c>
      <c r="C934" s="50" t="s">
        <v>205</v>
      </c>
      <c r="D934" s="39" t="str">
        <f aca="false">INDEX(Master_Customer!$B$2:$B$126,MATCH(C934,Master_Customer!$A$2:$A$126,0))</f>
        <v>BERKAH OLI</v>
      </c>
      <c r="E934" s="50" t="s">
        <v>28</v>
      </c>
      <c r="F934" s="52" t="n">
        <f aca="false">SUMIFS(Data_Penjualan!$G$2:$G$5998,Data_Penjualan!$A$2:$A$5998,A934)</f>
        <v>9603200</v>
      </c>
      <c r="G934" s="39" t="n">
        <f aca="false">IF(E934="KANTOR",0,INDEX(Master_Customer!$C$2:$C$126,MATCH(C934,Master_Customer!$A$2:$A$126,0)))</f>
        <v>0</v>
      </c>
      <c r="H934" s="53" t="n">
        <f aca="false">B934+G934</f>
        <v>45857</v>
      </c>
      <c r="J934" s="39" t="str">
        <f aca="false">IF(G934=0,"Tunai",IF(I934="","Belum ditukar","Sudah ditukar"))</f>
        <v>Tunai</v>
      </c>
      <c r="K934" s="54" t="n">
        <v>9603200</v>
      </c>
      <c r="L934" s="51" t="n">
        <v>45857</v>
      </c>
      <c r="M934" s="52" t="n">
        <f aca="false">F934-K934</f>
        <v>0</v>
      </c>
      <c r="N934" s="39" t="str">
        <f aca="false">IF(M934&lt;=0,"Lunas",IF(K934&gt;0,"Sebagian","Belum Bayar"))</f>
        <v>Lunas</v>
      </c>
      <c r="O934" s="39" t="n">
        <f aca="false">IF(M934&gt;0,MAX(0,Catatan!$B$3-H934),0)</f>
        <v>0</v>
      </c>
      <c r="P934" s="39" t="str">
        <f aca="false">IF(M934&lt;=0,"Lunas",IF(Catatan!$B$3&lt;=H934,"Belum Jatuh Tempo",IF(O934&lt;=30,"1-30 hari",IF(O934&lt;=60,"31-60 hari",IF(O934&lt;=90,"61-90 hari","90+ hari")))))</f>
        <v>Lunas</v>
      </c>
      <c r="Q934" s="50"/>
      <c r="R934" s="39" t="str">
        <f aca="false">IF(M934&lt;=0,"",IF(O934&gt;60,"1-Tinggi",IF(O934&gt;30,"2-Sedang",IF(O934&gt;0,"3-Rendah","4-Pantau"))))</f>
        <v/>
      </c>
      <c r="S934" s="39" t="str">
        <f aca="false">IF(AND(M934&gt;0,O934&gt;0),O934+M934/1000000000000+ROW()/1000000000000000,"")</f>
        <v/>
      </c>
      <c r="T934" s="39" t="str">
        <f aca="false">IF(J934="Belum ditukar",ROW(),"")</f>
        <v/>
      </c>
    </row>
    <row r="935" customFormat="false" ht="15" hidden="false" customHeight="false" outlineLevel="0" collapsed="false">
      <c r="A935" s="50" t="s">
        <v>1220</v>
      </c>
      <c r="B935" s="51" t="n">
        <v>45857</v>
      </c>
      <c r="C935" s="50" t="s">
        <v>174</v>
      </c>
      <c r="D935" s="39" t="str">
        <f aca="false">INDEX(Master_Customer!$B$2:$B$126,MATCH(C935,Master_Customer!$A$2:$A$126,0))</f>
        <v>SUMBER TEKNIK SURYA</v>
      </c>
      <c r="E935" s="50" t="s">
        <v>31</v>
      </c>
      <c r="F935" s="52" t="n">
        <f aca="false">SUMIFS(Data_Penjualan!$G$2:$G$5998,Data_Penjualan!$A$2:$A$5998,A935)</f>
        <v>14881300</v>
      </c>
      <c r="G935" s="39" t="n">
        <f aca="false">IF(E935="KANTOR",0,INDEX(Master_Customer!$C$2:$C$126,MATCH(C935,Master_Customer!$A$2:$A$126,0)))</f>
        <v>30</v>
      </c>
      <c r="H935" s="53" t="n">
        <f aca="false">B935+G935</f>
        <v>45887</v>
      </c>
      <c r="I935" s="51" t="n">
        <v>45858</v>
      </c>
      <c r="J935" s="39" t="str">
        <f aca="false">IF(G935=0,"Tunai",IF(I935="","Belum ditukar","Sudah ditukar"))</f>
        <v>Sudah ditukar</v>
      </c>
      <c r="K935" s="54" t="n">
        <v>14881300</v>
      </c>
      <c r="L935" s="51" t="n">
        <v>45887</v>
      </c>
      <c r="M935" s="52" t="n">
        <f aca="false">F935-K935</f>
        <v>0</v>
      </c>
      <c r="N935" s="39" t="str">
        <f aca="false">IF(M935&lt;=0,"Lunas",IF(K935&gt;0,"Sebagian","Belum Bayar"))</f>
        <v>Lunas</v>
      </c>
      <c r="O935" s="39" t="n">
        <f aca="false">IF(M935&gt;0,MAX(0,Catatan!$B$3-H935),0)</f>
        <v>0</v>
      </c>
      <c r="P935" s="39" t="str">
        <f aca="false">IF(M935&lt;=0,"Lunas",IF(Catatan!$B$3&lt;=H935,"Belum Jatuh Tempo",IF(O935&lt;=30,"1-30 hari",IF(O935&lt;=60,"31-60 hari",IF(O935&lt;=90,"61-90 hari","90+ hari")))))</f>
        <v>Lunas</v>
      </c>
      <c r="Q935" s="50"/>
      <c r="R935" s="39" t="str">
        <f aca="false">IF(M935&lt;=0,"",IF(O935&gt;60,"1-Tinggi",IF(O935&gt;30,"2-Sedang",IF(O935&gt;0,"3-Rendah","4-Pantau"))))</f>
        <v/>
      </c>
      <c r="S935" s="39" t="str">
        <f aca="false">IF(AND(M935&gt;0,O935&gt;0),O935+M935/1000000000000+ROW()/1000000000000000,"")</f>
        <v/>
      </c>
      <c r="T935" s="39" t="str">
        <f aca="false">IF(J935="Belum ditukar",ROW(),"")</f>
        <v/>
      </c>
    </row>
    <row r="936" customFormat="false" ht="15" hidden="false" customHeight="false" outlineLevel="0" collapsed="false">
      <c r="A936" s="50" t="s">
        <v>1221</v>
      </c>
      <c r="B936" s="51" t="n">
        <v>45857</v>
      </c>
      <c r="C936" s="50" t="s">
        <v>199</v>
      </c>
      <c r="D936" s="39" t="str">
        <f aca="false">INDEX(Master_Customer!$B$2:$B$126,MATCH(C936,Master_Customer!$A$2:$A$126,0))</f>
        <v>KARYA SPAREPART</v>
      </c>
      <c r="E936" s="50" t="s">
        <v>29</v>
      </c>
      <c r="F936" s="52" t="n">
        <f aca="false">SUMIFS(Data_Penjualan!$G$2:$G$5998,Data_Penjualan!$A$2:$A$5998,A936)</f>
        <v>15045000</v>
      </c>
      <c r="G936" s="39" t="n">
        <f aca="false">IF(E936="KANTOR",0,INDEX(Master_Customer!$C$2:$C$126,MATCH(C936,Master_Customer!$A$2:$A$126,0)))</f>
        <v>45</v>
      </c>
      <c r="H936" s="53" t="n">
        <f aca="false">B936+G936</f>
        <v>45902</v>
      </c>
      <c r="I936" s="51" t="n">
        <v>45858</v>
      </c>
      <c r="J936" s="39" t="str">
        <f aca="false">IF(G936=0,"Tunai",IF(I936="","Belum ditukar","Sudah ditukar"))</f>
        <v>Sudah ditukar</v>
      </c>
      <c r="K936" s="54" t="n">
        <v>15045000</v>
      </c>
      <c r="L936" s="51" t="n">
        <v>45902</v>
      </c>
      <c r="M936" s="52" t="n">
        <f aca="false">F936-K936</f>
        <v>0</v>
      </c>
      <c r="N936" s="39" t="str">
        <f aca="false">IF(M936&lt;=0,"Lunas",IF(K936&gt;0,"Sebagian","Belum Bayar"))</f>
        <v>Lunas</v>
      </c>
      <c r="O936" s="39" t="n">
        <f aca="false">IF(M936&gt;0,MAX(0,Catatan!$B$3-H936),0)</f>
        <v>0</v>
      </c>
      <c r="P936" s="39" t="str">
        <f aca="false">IF(M936&lt;=0,"Lunas",IF(Catatan!$B$3&lt;=H936,"Belum Jatuh Tempo",IF(O936&lt;=30,"1-30 hari",IF(O936&lt;=60,"31-60 hari",IF(O936&lt;=90,"61-90 hari","90+ hari")))))</f>
        <v>Lunas</v>
      </c>
      <c r="Q936" s="50"/>
      <c r="R936" s="39" t="str">
        <f aca="false">IF(M936&lt;=0,"",IF(O936&gt;60,"1-Tinggi",IF(O936&gt;30,"2-Sedang",IF(O936&gt;0,"3-Rendah","4-Pantau"))))</f>
        <v/>
      </c>
      <c r="S936" s="39" t="str">
        <f aca="false">IF(AND(M936&gt;0,O936&gt;0),O936+M936/1000000000000+ROW()/1000000000000000,"")</f>
        <v/>
      </c>
      <c r="T936" s="39" t="str">
        <f aca="false">IF(J936="Belum ditukar",ROW(),"")</f>
        <v/>
      </c>
    </row>
    <row r="937" customFormat="false" ht="15" hidden="false" customHeight="false" outlineLevel="0" collapsed="false">
      <c r="A937" s="50" t="s">
        <v>1222</v>
      </c>
      <c r="B937" s="51" t="n">
        <v>45859</v>
      </c>
      <c r="C937" s="50" t="s">
        <v>289</v>
      </c>
      <c r="D937" s="39" t="str">
        <f aca="false">INDEX(Master_Customer!$B$2:$B$126,MATCH(C937,Master_Customer!$A$2:$A$126,0))</f>
        <v>SINAR GARAGE</v>
      </c>
      <c r="E937" s="50" t="s">
        <v>28</v>
      </c>
      <c r="F937" s="52" t="n">
        <f aca="false">SUMIFS(Data_Penjualan!$G$2:$G$5998,Data_Penjualan!$A$2:$A$5998,A937)</f>
        <v>6531900</v>
      </c>
      <c r="G937" s="39" t="n">
        <f aca="false">IF(E937="KANTOR",0,INDEX(Master_Customer!$C$2:$C$126,MATCH(C937,Master_Customer!$A$2:$A$126,0)))</f>
        <v>30</v>
      </c>
      <c r="H937" s="53" t="n">
        <f aca="false">B937+G937</f>
        <v>45889</v>
      </c>
      <c r="I937" s="51" t="n">
        <v>45861</v>
      </c>
      <c r="J937" s="39" t="str">
        <f aca="false">IF(G937=0,"Tunai",IF(I937="","Belum ditukar","Sudah ditukar"))</f>
        <v>Sudah ditukar</v>
      </c>
      <c r="K937" s="54" t="n">
        <v>6531900</v>
      </c>
      <c r="L937" s="51" t="n">
        <v>45889</v>
      </c>
      <c r="M937" s="52" t="n">
        <f aca="false">F937-K937</f>
        <v>0</v>
      </c>
      <c r="N937" s="39" t="str">
        <f aca="false">IF(M937&lt;=0,"Lunas",IF(K937&gt;0,"Sebagian","Belum Bayar"))</f>
        <v>Lunas</v>
      </c>
      <c r="O937" s="39" t="n">
        <f aca="false">IF(M937&gt;0,MAX(0,Catatan!$B$3-H937),0)</f>
        <v>0</v>
      </c>
      <c r="P937" s="39" t="str">
        <f aca="false">IF(M937&lt;=0,"Lunas",IF(Catatan!$B$3&lt;=H937,"Belum Jatuh Tempo",IF(O937&lt;=30,"1-30 hari",IF(O937&lt;=60,"31-60 hari",IF(O937&lt;=90,"61-90 hari","90+ hari")))))</f>
        <v>Lunas</v>
      </c>
      <c r="Q937" s="50"/>
      <c r="R937" s="39" t="str">
        <f aca="false">IF(M937&lt;=0,"",IF(O937&gt;60,"1-Tinggi",IF(O937&gt;30,"2-Sedang",IF(O937&gt;0,"3-Rendah","4-Pantau"))))</f>
        <v/>
      </c>
      <c r="S937" s="39" t="str">
        <f aca="false">IF(AND(M937&gt;0,O937&gt;0),O937+M937/1000000000000+ROW()/1000000000000000,"")</f>
        <v/>
      </c>
      <c r="T937" s="39" t="str">
        <f aca="false">IF(J937="Belum ditukar",ROW(),"")</f>
        <v/>
      </c>
    </row>
    <row r="938" customFormat="false" ht="15" hidden="false" customHeight="false" outlineLevel="0" collapsed="false">
      <c r="A938" s="50" t="s">
        <v>1223</v>
      </c>
      <c r="B938" s="51" t="n">
        <v>45859</v>
      </c>
      <c r="C938" s="50" t="s">
        <v>540</v>
      </c>
      <c r="D938" s="39" t="str">
        <f aca="false">INDEX(Master_Customer!$B$2:$B$126,MATCH(C938,Master_Customer!$A$2:$A$126,0))</f>
        <v>SURYA MOBIL</v>
      </c>
      <c r="E938" s="50" t="s">
        <v>31</v>
      </c>
      <c r="F938" s="52" t="n">
        <f aca="false">SUMIFS(Data_Penjualan!$G$2:$G$5998,Data_Penjualan!$A$2:$A$5998,A938)</f>
        <v>4751700</v>
      </c>
      <c r="G938" s="39" t="n">
        <f aca="false">IF(E938="KANTOR",0,INDEX(Master_Customer!$C$2:$C$126,MATCH(C938,Master_Customer!$A$2:$A$126,0)))</f>
        <v>30</v>
      </c>
      <c r="H938" s="53" t="n">
        <f aca="false">B938+G938</f>
        <v>45889</v>
      </c>
      <c r="I938" s="51" t="n">
        <v>45863</v>
      </c>
      <c r="J938" s="39" t="str">
        <f aca="false">IF(G938=0,"Tunai",IF(I938="","Belum ditukar","Sudah ditukar"))</f>
        <v>Sudah ditukar</v>
      </c>
      <c r="K938" s="54" t="n">
        <v>4751700</v>
      </c>
      <c r="L938" s="51" t="n">
        <v>45894</v>
      </c>
      <c r="M938" s="52" t="n">
        <f aca="false">F938-K938</f>
        <v>0</v>
      </c>
      <c r="N938" s="39" t="str">
        <f aca="false">IF(M938&lt;=0,"Lunas",IF(K938&gt;0,"Sebagian","Belum Bayar"))</f>
        <v>Lunas</v>
      </c>
      <c r="O938" s="39" t="n">
        <f aca="false">IF(M938&gt;0,MAX(0,Catatan!$B$3-H938),0)</f>
        <v>0</v>
      </c>
      <c r="P938" s="39" t="str">
        <f aca="false">IF(M938&lt;=0,"Lunas",IF(Catatan!$B$3&lt;=H938,"Belum Jatuh Tempo",IF(O938&lt;=30,"1-30 hari",IF(O938&lt;=60,"31-60 hari",IF(O938&lt;=90,"61-90 hari","90+ hari")))))</f>
        <v>Lunas</v>
      </c>
      <c r="Q938" s="50"/>
      <c r="R938" s="39" t="str">
        <f aca="false">IF(M938&lt;=0,"",IF(O938&gt;60,"1-Tinggi",IF(O938&gt;30,"2-Sedang",IF(O938&gt;0,"3-Rendah","4-Pantau"))))</f>
        <v/>
      </c>
      <c r="S938" s="39" t="str">
        <f aca="false">IF(AND(M938&gt;0,O938&gt;0),O938+M938/1000000000000+ROW()/1000000000000000,"")</f>
        <v/>
      </c>
      <c r="T938" s="39" t="str">
        <f aca="false">IF(J938="Belum ditukar",ROW(),"")</f>
        <v/>
      </c>
    </row>
    <row r="939" customFormat="false" ht="15" hidden="false" customHeight="false" outlineLevel="0" collapsed="false">
      <c r="A939" s="50" t="s">
        <v>1224</v>
      </c>
      <c r="B939" s="51" t="n">
        <v>45859</v>
      </c>
      <c r="C939" s="50" t="s">
        <v>205</v>
      </c>
      <c r="D939" s="39" t="str">
        <f aca="false">INDEX(Master_Customer!$B$2:$B$126,MATCH(C939,Master_Customer!$A$2:$A$126,0))</f>
        <v>BERKAH OLI</v>
      </c>
      <c r="E939" s="50" t="s">
        <v>32</v>
      </c>
      <c r="F939" s="52" t="n">
        <f aca="false">SUMIFS(Data_Penjualan!$G$2:$G$5998,Data_Penjualan!$A$2:$A$5998,A939)</f>
        <v>10753000</v>
      </c>
      <c r="G939" s="39" t="n">
        <f aca="false">IF(E939="KANTOR",0,INDEX(Master_Customer!$C$2:$C$126,MATCH(C939,Master_Customer!$A$2:$A$126,0)))</f>
        <v>0</v>
      </c>
      <c r="H939" s="53" t="n">
        <f aca="false">B939+G939</f>
        <v>45859</v>
      </c>
      <c r="J939" s="39" t="str">
        <f aca="false">IF(G939=0,"Tunai",IF(I939="","Belum ditukar","Sudah ditukar"))</f>
        <v>Tunai</v>
      </c>
      <c r="K939" s="54" t="n">
        <v>10753000</v>
      </c>
      <c r="L939" s="51" t="n">
        <v>45859</v>
      </c>
      <c r="M939" s="52" t="n">
        <f aca="false">F939-K939</f>
        <v>0</v>
      </c>
      <c r="N939" s="39" t="str">
        <f aca="false">IF(M939&lt;=0,"Lunas",IF(K939&gt;0,"Sebagian","Belum Bayar"))</f>
        <v>Lunas</v>
      </c>
      <c r="O939" s="39" t="n">
        <f aca="false">IF(M939&gt;0,MAX(0,Catatan!$B$3-H939),0)</f>
        <v>0</v>
      </c>
      <c r="P939" s="39" t="str">
        <f aca="false">IF(M939&lt;=0,"Lunas",IF(Catatan!$B$3&lt;=H939,"Belum Jatuh Tempo",IF(O939&lt;=30,"1-30 hari",IF(O939&lt;=60,"31-60 hari",IF(O939&lt;=90,"61-90 hari","90+ hari")))))</f>
        <v>Lunas</v>
      </c>
      <c r="Q939" s="50"/>
      <c r="R939" s="39" t="str">
        <f aca="false">IF(M939&lt;=0,"",IF(O939&gt;60,"1-Tinggi",IF(O939&gt;30,"2-Sedang",IF(O939&gt;0,"3-Rendah","4-Pantau"))))</f>
        <v/>
      </c>
      <c r="S939" s="39" t="str">
        <f aca="false">IF(AND(M939&gt;0,O939&gt;0),O939+M939/1000000000000+ROW()/1000000000000000,"")</f>
        <v/>
      </c>
      <c r="T939" s="39" t="str">
        <f aca="false">IF(J939="Belum ditukar",ROW(),"")</f>
        <v/>
      </c>
    </row>
    <row r="940" customFormat="false" ht="15" hidden="false" customHeight="false" outlineLevel="0" collapsed="false">
      <c r="A940" s="50" t="s">
        <v>1225</v>
      </c>
      <c r="B940" s="51" t="n">
        <v>45859</v>
      </c>
      <c r="C940" s="50" t="s">
        <v>310</v>
      </c>
      <c r="D940" s="39" t="str">
        <f aca="false">INDEX(Master_Customer!$B$2:$B$126,MATCH(C940,Master_Customer!$A$2:$A$126,0))</f>
        <v>UTAMA OLI BINTANG</v>
      </c>
      <c r="E940" s="50" t="s">
        <v>28</v>
      </c>
      <c r="F940" s="52" t="n">
        <f aca="false">SUMIFS(Data_Penjualan!$G$2:$G$5998,Data_Penjualan!$A$2:$A$5998,A940)</f>
        <v>8868000</v>
      </c>
      <c r="G940" s="39" t="n">
        <f aca="false">IF(E940="KANTOR",0,INDEX(Master_Customer!$C$2:$C$126,MATCH(C940,Master_Customer!$A$2:$A$126,0)))</f>
        <v>14</v>
      </c>
      <c r="H940" s="53" t="n">
        <f aca="false">B940+G940</f>
        <v>45873</v>
      </c>
      <c r="I940" s="51" t="n">
        <v>45862</v>
      </c>
      <c r="J940" s="39" t="str">
        <f aca="false">IF(G940=0,"Tunai",IF(I940="","Belum ditukar","Sudah ditukar"))</f>
        <v>Sudah ditukar</v>
      </c>
      <c r="K940" s="54" t="n">
        <v>8868000</v>
      </c>
      <c r="L940" s="51" t="n">
        <v>45873</v>
      </c>
      <c r="M940" s="52" t="n">
        <f aca="false">F940-K940</f>
        <v>0</v>
      </c>
      <c r="N940" s="39" t="str">
        <f aca="false">IF(M940&lt;=0,"Lunas",IF(K940&gt;0,"Sebagian","Belum Bayar"))</f>
        <v>Lunas</v>
      </c>
      <c r="O940" s="39" t="n">
        <f aca="false">IF(M940&gt;0,MAX(0,Catatan!$B$3-H940),0)</f>
        <v>0</v>
      </c>
      <c r="P940" s="39" t="str">
        <f aca="false">IF(M940&lt;=0,"Lunas",IF(Catatan!$B$3&lt;=H940,"Belum Jatuh Tempo",IF(O940&lt;=30,"1-30 hari",IF(O940&lt;=60,"31-60 hari",IF(O940&lt;=90,"61-90 hari","90+ hari")))))</f>
        <v>Lunas</v>
      </c>
      <c r="Q940" s="50"/>
      <c r="R940" s="39" t="str">
        <f aca="false">IF(M940&lt;=0,"",IF(O940&gt;60,"1-Tinggi",IF(O940&gt;30,"2-Sedang",IF(O940&gt;0,"3-Rendah","4-Pantau"))))</f>
        <v/>
      </c>
      <c r="S940" s="39" t="str">
        <f aca="false">IF(AND(M940&gt;0,O940&gt;0),O940+M940/1000000000000+ROW()/1000000000000000,"")</f>
        <v/>
      </c>
      <c r="T940" s="39" t="str">
        <f aca="false">IF(J940="Belum ditukar",ROW(),"")</f>
        <v/>
      </c>
    </row>
    <row r="941" customFormat="false" ht="15" hidden="false" customHeight="false" outlineLevel="0" collapsed="false">
      <c r="A941" s="50" t="s">
        <v>1226</v>
      </c>
      <c r="B941" s="51" t="n">
        <v>45859</v>
      </c>
      <c r="C941" s="50" t="s">
        <v>320</v>
      </c>
      <c r="D941" s="39" t="str">
        <f aca="false">INDEX(Master_Customer!$B$2:$B$126,MATCH(C941,Master_Customer!$A$2:$A$126,0))</f>
        <v>BINTANG OLI</v>
      </c>
      <c r="E941" s="50" t="s">
        <v>31</v>
      </c>
      <c r="F941" s="52" t="n">
        <f aca="false">SUMIFS(Data_Penjualan!$G$2:$G$5998,Data_Penjualan!$A$2:$A$5998,A941)</f>
        <v>5288300</v>
      </c>
      <c r="G941" s="39" t="n">
        <f aca="false">IF(E941="KANTOR",0,INDEX(Master_Customer!$C$2:$C$126,MATCH(C941,Master_Customer!$A$2:$A$126,0)))</f>
        <v>14</v>
      </c>
      <c r="H941" s="53" t="n">
        <f aca="false">B941+G941</f>
        <v>45873</v>
      </c>
      <c r="I941" s="51" t="n">
        <v>45860</v>
      </c>
      <c r="J941" s="39" t="str">
        <f aca="false">IF(G941=0,"Tunai",IF(I941="","Belum ditukar","Sudah ditukar"))</f>
        <v>Sudah ditukar</v>
      </c>
      <c r="K941" s="54" t="n">
        <v>5288300</v>
      </c>
      <c r="L941" s="51" t="n">
        <v>45928</v>
      </c>
      <c r="M941" s="52" t="n">
        <f aca="false">F941-K941</f>
        <v>0</v>
      </c>
      <c r="N941" s="39" t="str">
        <f aca="false">IF(M941&lt;=0,"Lunas",IF(K941&gt;0,"Sebagian","Belum Bayar"))</f>
        <v>Lunas</v>
      </c>
      <c r="O941" s="39" t="n">
        <f aca="false">IF(M941&gt;0,MAX(0,Catatan!$B$3-H941),0)</f>
        <v>0</v>
      </c>
      <c r="P941" s="39" t="str">
        <f aca="false">IF(M941&lt;=0,"Lunas",IF(Catatan!$B$3&lt;=H941,"Belum Jatuh Tempo",IF(O941&lt;=30,"1-30 hari",IF(O941&lt;=60,"31-60 hari",IF(O941&lt;=90,"61-90 hari","90+ hari")))))</f>
        <v>Lunas</v>
      </c>
      <c r="Q941" s="50"/>
      <c r="R941" s="39" t="str">
        <f aca="false">IF(M941&lt;=0,"",IF(O941&gt;60,"1-Tinggi",IF(O941&gt;30,"2-Sedang",IF(O941&gt;0,"3-Rendah","4-Pantau"))))</f>
        <v/>
      </c>
      <c r="S941" s="39" t="str">
        <f aca="false">IF(AND(M941&gt;0,O941&gt;0),O941+M941/1000000000000+ROW()/1000000000000000,"")</f>
        <v/>
      </c>
      <c r="T941" s="39" t="str">
        <f aca="false">IF(J941="Belum ditukar",ROW(),"")</f>
        <v/>
      </c>
    </row>
    <row r="942" customFormat="false" ht="15" hidden="false" customHeight="false" outlineLevel="0" collapsed="false">
      <c r="A942" s="50" t="s">
        <v>1227</v>
      </c>
      <c r="B942" s="51" t="n">
        <v>45859</v>
      </c>
      <c r="C942" s="50" t="s">
        <v>491</v>
      </c>
      <c r="D942" s="39" t="str">
        <f aca="false">INDEX(Master_Customer!$B$2:$B$126,MATCH(C942,Master_Customer!$A$2:$A$126,0))</f>
        <v>SINAR SERVICE</v>
      </c>
      <c r="E942" s="50" t="s">
        <v>31</v>
      </c>
      <c r="F942" s="52" t="n">
        <f aca="false">SUMIFS(Data_Penjualan!$G$2:$G$5998,Data_Penjualan!$A$2:$A$5998,A942)</f>
        <v>7793100</v>
      </c>
      <c r="G942" s="39" t="n">
        <f aca="false">IF(E942="KANTOR",0,INDEX(Master_Customer!$C$2:$C$126,MATCH(C942,Master_Customer!$A$2:$A$126,0)))</f>
        <v>0</v>
      </c>
      <c r="H942" s="53" t="n">
        <f aca="false">B942+G942</f>
        <v>45859</v>
      </c>
      <c r="J942" s="39" t="str">
        <f aca="false">IF(G942=0,"Tunai",IF(I942="","Belum ditukar","Sudah ditukar"))</f>
        <v>Tunai</v>
      </c>
      <c r="K942" s="54" t="n">
        <v>7793100</v>
      </c>
      <c r="L942" s="51" t="n">
        <v>45859</v>
      </c>
      <c r="M942" s="52" t="n">
        <f aca="false">F942-K942</f>
        <v>0</v>
      </c>
      <c r="N942" s="39" t="str">
        <f aca="false">IF(M942&lt;=0,"Lunas",IF(K942&gt;0,"Sebagian","Belum Bayar"))</f>
        <v>Lunas</v>
      </c>
      <c r="O942" s="39" t="n">
        <f aca="false">IF(M942&gt;0,MAX(0,Catatan!$B$3-H942),0)</f>
        <v>0</v>
      </c>
      <c r="P942" s="39" t="str">
        <f aca="false">IF(M942&lt;=0,"Lunas",IF(Catatan!$B$3&lt;=H942,"Belum Jatuh Tempo",IF(O942&lt;=30,"1-30 hari",IF(O942&lt;=60,"31-60 hari",IF(O942&lt;=90,"61-90 hari","90+ hari")))))</f>
        <v>Lunas</v>
      </c>
      <c r="Q942" s="50"/>
      <c r="R942" s="39" t="str">
        <f aca="false">IF(M942&lt;=0,"",IF(O942&gt;60,"1-Tinggi",IF(O942&gt;30,"2-Sedang",IF(O942&gt;0,"3-Rendah","4-Pantau"))))</f>
        <v/>
      </c>
      <c r="S942" s="39" t="str">
        <f aca="false">IF(AND(M942&gt;0,O942&gt;0),O942+M942/1000000000000+ROW()/1000000000000000,"")</f>
        <v/>
      </c>
      <c r="T942" s="39" t="str">
        <f aca="false">IF(J942="Belum ditukar",ROW(),"")</f>
        <v/>
      </c>
    </row>
    <row r="943" customFormat="false" ht="15" hidden="false" customHeight="false" outlineLevel="0" collapsed="false">
      <c r="A943" s="50" t="s">
        <v>1228</v>
      </c>
      <c r="B943" s="51" t="n">
        <v>45860</v>
      </c>
      <c r="C943" s="50" t="s">
        <v>611</v>
      </c>
      <c r="D943" s="39" t="str">
        <f aca="false">INDEX(Master_Customer!$B$2:$B$126,MATCH(C943,Master_Customer!$A$2:$A$126,0))</f>
        <v>MULIA MOBIL MITRA</v>
      </c>
      <c r="E943" s="50" t="s">
        <v>31</v>
      </c>
      <c r="F943" s="52" t="n">
        <f aca="false">SUMIFS(Data_Penjualan!$G$2:$G$5998,Data_Penjualan!$A$2:$A$5998,A943)</f>
        <v>7716400</v>
      </c>
      <c r="G943" s="39" t="n">
        <f aca="false">IF(E943="KANTOR",0,INDEX(Master_Customer!$C$2:$C$126,MATCH(C943,Master_Customer!$A$2:$A$126,0)))</f>
        <v>14</v>
      </c>
      <c r="H943" s="53" t="n">
        <f aca="false">B943+G943</f>
        <v>45874</v>
      </c>
      <c r="I943" s="51" t="n">
        <v>45861</v>
      </c>
      <c r="J943" s="39" t="str">
        <f aca="false">IF(G943=0,"Tunai",IF(I943="","Belum ditukar","Sudah ditukar"))</f>
        <v>Sudah ditukar</v>
      </c>
      <c r="K943" s="54" t="n">
        <v>7716400</v>
      </c>
      <c r="L943" s="51" t="n">
        <v>45864</v>
      </c>
      <c r="M943" s="52" t="n">
        <f aca="false">F943-K943</f>
        <v>0</v>
      </c>
      <c r="N943" s="39" t="str">
        <f aca="false">IF(M943&lt;=0,"Lunas",IF(K943&gt;0,"Sebagian","Belum Bayar"))</f>
        <v>Lunas</v>
      </c>
      <c r="O943" s="39" t="n">
        <f aca="false">IF(M943&gt;0,MAX(0,Catatan!$B$3-H943),0)</f>
        <v>0</v>
      </c>
      <c r="P943" s="39" t="str">
        <f aca="false">IF(M943&lt;=0,"Lunas",IF(Catatan!$B$3&lt;=H943,"Belum Jatuh Tempo",IF(O943&lt;=30,"1-30 hari",IF(O943&lt;=60,"31-60 hari",IF(O943&lt;=90,"61-90 hari","90+ hari")))))</f>
        <v>Lunas</v>
      </c>
      <c r="Q943" s="50"/>
      <c r="R943" s="39" t="str">
        <f aca="false">IF(M943&lt;=0,"",IF(O943&gt;60,"1-Tinggi",IF(O943&gt;30,"2-Sedang",IF(O943&gt;0,"3-Rendah","4-Pantau"))))</f>
        <v/>
      </c>
      <c r="S943" s="39" t="str">
        <f aca="false">IF(AND(M943&gt;0,O943&gt;0),O943+M943/1000000000000+ROW()/1000000000000000,"")</f>
        <v/>
      </c>
      <c r="T943" s="39" t="str">
        <f aca="false">IF(J943="Belum ditukar",ROW(),"")</f>
        <v/>
      </c>
    </row>
    <row r="944" customFormat="false" ht="15" hidden="false" customHeight="false" outlineLevel="0" collapsed="false">
      <c r="A944" s="50" t="s">
        <v>1229</v>
      </c>
      <c r="B944" s="51" t="n">
        <v>45860</v>
      </c>
      <c r="C944" s="50" t="s">
        <v>286</v>
      </c>
      <c r="D944" s="39" t="str">
        <f aca="false">INDEX(Master_Customer!$B$2:$B$126,MATCH(C944,Master_Customer!$A$2:$A$126,0))</f>
        <v>CAHAYA AUTO</v>
      </c>
      <c r="E944" s="50" t="s">
        <v>32</v>
      </c>
      <c r="F944" s="52" t="n">
        <f aca="false">SUMIFS(Data_Penjualan!$G$2:$G$5998,Data_Penjualan!$A$2:$A$5998,A944)</f>
        <v>16033700</v>
      </c>
      <c r="G944" s="39" t="n">
        <f aca="false">IF(E944="KANTOR",0,INDEX(Master_Customer!$C$2:$C$126,MATCH(C944,Master_Customer!$A$2:$A$126,0)))</f>
        <v>0</v>
      </c>
      <c r="H944" s="53" t="n">
        <f aca="false">B944+G944</f>
        <v>45860</v>
      </c>
      <c r="J944" s="39" t="str">
        <f aca="false">IF(G944=0,"Tunai",IF(I944="","Belum ditukar","Sudah ditukar"))</f>
        <v>Tunai</v>
      </c>
      <c r="K944" s="54" t="n">
        <v>16033700</v>
      </c>
      <c r="L944" s="51" t="n">
        <v>45860</v>
      </c>
      <c r="M944" s="52" t="n">
        <f aca="false">F944-K944</f>
        <v>0</v>
      </c>
      <c r="N944" s="39" t="str">
        <f aca="false">IF(M944&lt;=0,"Lunas",IF(K944&gt;0,"Sebagian","Belum Bayar"))</f>
        <v>Lunas</v>
      </c>
      <c r="O944" s="39" t="n">
        <f aca="false">IF(M944&gt;0,MAX(0,Catatan!$B$3-H944),0)</f>
        <v>0</v>
      </c>
      <c r="P944" s="39" t="str">
        <f aca="false">IF(M944&lt;=0,"Lunas",IF(Catatan!$B$3&lt;=H944,"Belum Jatuh Tempo",IF(O944&lt;=30,"1-30 hari",IF(O944&lt;=60,"31-60 hari",IF(O944&lt;=90,"61-90 hari","90+ hari")))))</f>
        <v>Lunas</v>
      </c>
      <c r="Q944" s="50"/>
      <c r="R944" s="39" t="str">
        <f aca="false">IF(M944&lt;=0,"",IF(O944&gt;60,"1-Tinggi",IF(O944&gt;30,"2-Sedang",IF(O944&gt;0,"3-Rendah","4-Pantau"))))</f>
        <v/>
      </c>
      <c r="S944" s="39" t="str">
        <f aca="false">IF(AND(M944&gt;0,O944&gt;0),O944+M944/1000000000000+ROW()/1000000000000000,"")</f>
        <v/>
      </c>
      <c r="T944" s="39" t="str">
        <f aca="false">IF(J944="Belum ditukar",ROW(),"")</f>
        <v/>
      </c>
    </row>
    <row r="945" customFormat="false" ht="15" hidden="false" customHeight="false" outlineLevel="0" collapsed="false">
      <c r="A945" s="50" t="s">
        <v>1230</v>
      </c>
      <c r="B945" s="51" t="n">
        <v>45860</v>
      </c>
      <c r="C945" s="50" t="s">
        <v>174</v>
      </c>
      <c r="D945" s="39" t="str">
        <f aca="false">INDEX(Master_Customer!$B$2:$B$126,MATCH(C945,Master_Customer!$A$2:$A$126,0))</f>
        <v>SUMBER TEKNIK SURYA</v>
      </c>
      <c r="E945" s="50" t="s">
        <v>31</v>
      </c>
      <c r="F945" s="52" t="n">
        <f aca="false">SUMIFS(Data_Penjualan!$G$2:$G$5998,Data_Penjualan!$A$2:$A$5998,A945)</f>
        <v>6442400</v>
      </c>
      <c r="G945" s="39" t="n">
        <f aca="false">IF(E945="KANTOR",0,INDEX(Master_Customer!$C$2:$C$126,MATCH(C945,Master_Customer!$A$2:$A$126,0)))</f>
        <v>30</v>
      </c>
      <c r="H945" s="53" t="n">
        <f aca="false">B945+G945</f>
        <v>45890</v>
      </c>
      <c r="I945" s="51" t="n">
        <v>45862</v>
      </c>
      <c r="J945" s="39" t="str">
        <f aca="false">IF(G945=0,"Tunai",IF(I945="","Belum ditukar","Sudah ditukar"))</f>
        <v>Sudah ditukar</v>
      </c>
      <c r="K945" s="54" t="n">
        <v>6442400</v>
      </c>
      <c r="L945" s="51" t="n">
        <v>45888</v>
      </c>
      <c r="M945" s="52" t="n">
        <f aca="false">F945-K945</f>
        <v>0</v>
      </c>
      <c r="N945" s="39" t="str">
        <f aca="false">IF(M945&lt;=0,"Lunas",IF(K945&gt;0,"Sebagian","Belum Bayar"))</f>
        <v>Lunas</v>
      </c>
      <c r="O945" s="39" t="n">
        <f aca="false">IF(M945&gt;0,MAX(0,Catatan!$B$3-H945),0)</f>
        <v>0</v>
      </c>
      <c r="P945" s="39" t="str">
        <f aca="false">IF(M945&lt;=0,"Lunas",IF(Catatan!$B$3&lt;=H945,"Belum Jatuh Tempo",IF(O945&lt;=30,"1-30 hari",IF(O945&lt;=60,"31-60 hari",IF(O945&lt;=90,"61-90 hari","90+ hari")))))</f>
        <v>Lunas</v>
      </c>
      <c r="Q945" s="50"/>
      <c r="R945" s="39" t="str">
        <f aca="false">IF(M945&lt;=0,"",IF(O945&gt;60,"1-Tinggi",IF(O945&gt;30,"2-Sedang",IF(O945&gt;0,"3-Rendah","4-Pantau"))))</f>
        <v/>
      </c>
      <c r="S945" s="39" t="str">
        <f aca="false">IF(AND(M945&gt;0,O945&gt;0),O945+M945/1000000000000+ROW()/1000000000000000,"")</f>
        <v/>
      </c>
      <c r="T945" s="39" t="str">
        <f aca="false">IF(J945="Belum ditukar",ROW(),"")</f>
        <v/>
      </c>
    </row>
    <row r="946" customFormat="false" ht="15" hidden="false" customHeight="false" outlineLevel="0" collapsed="false">
      <c r="A946" s="50" t="s">
        <v>1231</v>
      </c>
      <c r="B946" s="51" t="n">
        <v>45860</v>
      </c>
      <c r="C946" s="50" t="s">
        <v>205</v>
      </c>
      <c r="D946" s="39" t="str">
        <f aca="false">INDEX(Master_Customer!$B$2:$B$126,MATCH(C946,Master_Customer!$A$2:$A$126,0))</f>
        <v>BERKAH OLI</v>
      </c>
      <c r="E946" s="50" t="s">
        <v>28</v>
      </c>
      <c r="F946" s="52" t="n">
        <f aca="false">SUMIFS(Data_Penjualan!$G$2:$G$5998,Data_Penjualan!$A$2:$A$5998,A946)</f>
        <v>10965200</v>
      </c>
      <c r="G946" s="39" t="n">
        <f aca="false">IF(E946="KANTOR",0,INDEX(Master_Customer!$C$2:$C$126,MATCH(C946,Master_Customer!$A$2:$A$126,0)))</f>
        <v>0</v>
      </c>
      <c r="H946" s="53" t="n">
        <f aca="false">B946+G946</f>
        <v>45860</v>
      </c>
      <c r="J946" s="39" t="str">
        <f aca="false">IF(G946=0,"Tunai",IF(I946="","Belum ditukar","Sudah ditukar"))</f>
        <v>Tunai</v>
      </c>
      <c r="K946" s="54" t="n">
        <v>10965200</v>
      </c>
      <c r="L946" s="51" t="n">
        <v>45861</v>
      </c>
      <c r="M946" s="52" t="n">
        <f aca="false">F946-K946</f>
        <v>0</v>
      </c>
      <c r="N946" s="39" t="str">
        <f aca="false">IF(M946&lt;=0,"Lunas",IF(K946&gt;0,"Sebagian","Belum Bayar"))</f>
        <v>Lunas</v>
      </c>
      <c r="O946" s="39" t="n">
        <f aca="false">IF(M946&gt;0,MAX(0,Catatan!$B$3-H946),0)</f>
        <v>0</v>
      </c>
      <c r="P946" s="39" t="str">
        <f aca="false">IF(M946&lt;=0,"Lunas",IF(Catatan!$B$3&lt;=H946,"Belum Jatuh Tempo",IF(O946&lt;=30,"1-30 hari",IF(O946&lt;=60,"31-60 hari",IF(O946&lt;=90,"61-90 hari","90+ hari")))))</f>
        <v>Lunas</v>
      </c>
      <c r="Q946" s="50"/>
      <c r="R946" s="39" t="str">
        <f aca="false">IF(M946&lt;=0,"",IF(O946&gt;60,"1-Tinggi",IF(O946&gt;30,"2-Sedang",IF(O946&gt;0,"3-Rendah","4-Pantau"))))</f>
        <v/>
      </c>
      <c r="S946" s="39" t="str">
        <f aca="false">IF(AND(M946&gt;0,O946&gt;0),O946+M946/1000000000000+ROW()/1000000000000000,"")</f>
        <v/>
      </c>
      <c r="T946" s="39" t="str">
        <f aca="false">IF(J946="Belum ditukar",ROW(),"")</f>
        <v/>
      </c>
    </row>
    <row r="947" customFormat="false" ht="15" hidden="false" customHeight="false" outlineLevel="0" collapsed="false">
      <c r="A947" s="50" t="s">
        <v>1232</v>
      </c>
      <c r="B947" s="51" t="n">
        <v>45860</v>
      </c>
      <c r="C947" s="50" t="s">
        <v>188</v>
      </c>
      <c r="D947" s="39" t="str">
        <f aca="false">INDEX(Master_Customer!$B$2:$B$126,MATCH(C947,Master_Customer!$A$2:$A$126,0))</f>
        <v>MAJU GARAGE TIRTA</v>
      </c>
      <c r="E947" s="50" t="s">
        <v>31</v>
      </c>
      <c r="F947" s="52" t="n">
        <f aca="false">SUMIFS(Data_Penjualan!$G$2:$G$5998,Data_Penjualan!$A$2:$A$5998,A947)</f>
        <v>8899500</v>
      </c>
      <c r="G947" s="39" t="n">
        <f aca="false">IF(E947="KANTOR",0,INDEX(Master_Customer!$C$2:$C$126,MATCH(C947,Master_Customer!$A$2:$A$126,0)))</f>
        <v>45</v>
      </c>
      <c r="H947" s="53" t="n">
        <f aca="false">B947+G947</f>
        <v>45905</v>
      </c>
      <c r="I947" s="51" t="n">
        <v>45865</v>
      </c>
      <c r="J947" s="39" t="str">
        <f aca="false">IF(G947=0,"Tunai",IF(I947="","Belum ditukar","Sudah ditukar"))</f>
        <v>Sudah ditukar</v>
      </c>
      <c r="K947" s="54" t="n">
        <v>8899500</v>
      </c>
      <c r="L947" s="51" t="n">
        <v>45898</v>
      </c>
      <c r="M947" s="52" t="n">
        <f aca="false">F947-K947</f>
        <v>0</v>
      </c>
      <c r="N947" s="39" t="str">
        <f aca="false">IF(M947&lt;=0,"Lunas",IF(K947&gt;0,"Sebagian","Belum Bayar"))</f>
        <v>Lunas</v>
      </c>
      <c r="O947" s="39" t="n">
        <f aca="false">IF(M947&gt;0,MAX(0,Catatan!$B$3-H947),0)</f>
        <v>0</v>
      </c>
      <c r="P947" s="39" t="str">
        <f aca="false">IF(M947&lt;=0,"Lunas",IF(Catatan!$B$3&lt;=H947,"Belum Jatuh Tempo",IF(O947&lt;=30,"1-30 hari",IF(O947&lt;=60,"31-60 hari",IF(O947&lt;=90,"61-90 hari","90+ hari")))))</f>
        <v>Lunas</v>
      </c>
      <c r="Q947" s="50"/>
      <c r="R947" s="39" t="str">
        <f aca="false">IF(M947&lt;=0,"",IF(O947&gt;60,"1-Tinggi",IF(O947&gt;30,"2-Sedang",IF(O947&gt;0,"3-Rendah","4-Pantau"))))</f>
        <v/>
      </c>
      <c r="S947" s="39" t="str">
        <f aca="false">IF(AND(M947&gt;0,O947&gt;0),O947+M947/1000000000000+ROW()/1000000000000000,"")</f>
        <v/>
      </c>
      <c r="T947" s="39" t="str">
        <f aca="false">IF(J947="Belum ditukar",ROW(),"")</f>
        <v/>
      </c>
    </row>
    <row r="948" customFormat="false" ht="15" hidden="false" customHeight="false" outlineLevel="0" collapsed="false">
      <c r="A948" s="50" t="s">
        <v>1233</v>
      </c>
      <c r="B948" s="51" t="n">
        <v>45860</v>
      </c>
      <c r="C948" s="50" t="s">
        <v>172</v>
      </c>
      <c r="D948" s="39" t="str">
        <f aca="false">INDEX(Master_Customer!$B$2:$B$126,MATCH(C948,Master_Customer!$A$2:$A$126,0))</f>
        <v>SURYA GARAGE MITRA</v>
      </c>
      <c r="E948" s="50" t="s">
        <v>31</v>
      </c>
      <c r="F948" s="52" t="n">
        <f aca="false">SUMIFS(Data_Penjualan!$G$2:$G$5998,Data_Penjualan!$A$2:$A$5998,A948)</f>
        <v>15457800</v>
      </c>
      <c r="G948" s="39" t="n">
        <f aca="false">IF(E948="KANTOR",0,INDEX(Master_Customer!$C$2:$C$126,MATCH(C948,Master_Customer!$A$2:$A$126,0)))</f>
        <v>30</v>
      </c>
      <c r="H948" s="53" t="n">
        <f aca="false">B948+G948</f>
        <v>45890</v>
      </c>
      <c r="I948" s="51" t="n">
        <v>45864</v>
      </c>
      <c r="J948" s="39" t="str">
        <f aca="false">IF(G948=0,"Tunai",IF(I948="","Belum ditukar","Sudah ditukar"))</f>
        <v>Sudah ditukar</v>
      </c>
      <c r="K948" s="54" t="n">
        <v>15457800</v>
      </c>
      <c r="L948" s="51" t="n">
        <v>45888</v>
      </c>
      <c r="M948" s="52" t="n">
        <f aca="false">F948-K948</f>
        <v>0</v>
      </c>
      <c r="N948" s="39" t="str">
        <f aca="false">IF(M948&lt;=0,"Lunas",IF(K948&gt;0,"Sebagian","Belum Bayar"))</f>
        <v>Lunas</v>
      </c>
      <c r="O948" s="39" t="n">
        <f aca="false">IF(M948&gt;0,MAX(0,Catatan!$B$3-H948),0)</f>
        <v>0</v>
      </c>
      <c r="P948" s="39" t="str">
        <f aca="false">IF(M948&lt;=0,"Lunas",IF(Catatan!$B$3&lt;=H948,"Belum Jatuh Tempo",IF(O948&lt;=30,"1-30 hari",IF(O948&lt;=60,"31-60 hari",IF(O948&lt;=90,"61-90 hari","90+ hari")))))</f>
        <v>Lunas</v>
      </c>
      <c r="Q948" s="50"/>
      <c r="R948" s="39" t="str">
        <f aca="false">IF(M948&lt;=0,"",IF(O948&gt;60,"1-Tinggi",IF(O948&gt;30,"2-Sedang",IF(O948&gt;0,"3-Rendah","4-Pantau"))))</f>
        <v/>
      </c>
      <c r="S948" s="39" t="str">
        <f aca="false">IF(AND(M948&gt;0,O948&gt;0),O948+M948/1000000000000+ROW()/1000000000000000,"")</f>
        <v/>
      </c>
      <c r="T948" s="39" t="str">
        <f aca="false">IF(J948="Belum ditukar",ROW(),"")</f>
        <v/>
      </c>
    </row>
    <row r="949" customFormat="false" ht="15" hidden="false" customHeight="false" outlineLevel="0" collapsed="false">
      <c r="A949" s="50" t="s">
        <v>1234</v>
      </c>
      <c r="B949" s="51" t="n">
        <v>45860</v>
      </c>
      <c r="C949" s="50" t="s">
        <v>284</v>
      </c>
      <c r="D949" s="39" t="str">
        <f aca="false">INDEX(Master_Customer!$B$2:$B$126,MATCH(C949,Master_Customer!$A$2:$A$126,0))</f>
        <v>CAHAYA SPAREPART</v>
      </c>
      <c r="E949" s="50" t="s">
        <v>29</v>
      </c>
      <c r="F949" s="52" t="n">
        <f aca="false">SUMIFS(Data_Penjualan!$G$2:$G$5998,Data_Penjualan!$A$2:$A$5998,A949)</f>
        <v>4877400</v>
      </c>
      <c r="G949" s="39" t="n">
        <f aca="false">IF(E949="KANTOR",0,INDEX(Master_Customer!$C$2:$C$126,MATCH(C949,Master_Customer!$A$2:$A$126,0)))</f>
        <v>14</v>
      </c>
      <c r="H949" s="53" t="n">
        <f aca="false">B949+G949</f>
        <v>45874</v>
      </c>
      <c r="I949" s="51" t="n">
        <v>45864</v>
      </c>
      <c r="J949" s="39" t="str">
        <f aca="false">IF(G949=0,"Tunai",IF(I949="","Belum ditukar","Sudah ditukar"))</f>
        <v>Sudah ditukar</v>
      </c>
      <c r="K949" s="54" t="n">
        <v>4877400</v>
      </c>
      <c r="L949" s="51" t="n">
        <v>45890</v>
      </c>
      <c r="M949" s="52" t="n">
        <f aca="false">F949-K949</f>
        <v>0</v>
      </c>
      <c r="N949" s="39" t="str">
        <f aca="false">IF(M949&lt;=0,"Lunas",IF(K949&gt;0,"Sebagian","Belum Bayar"))</f>
        <v>Lunas</v>
      </c>
      <c r="O949" s="39" t="n">
        <f aca="false">IF(M949&gt;0,MAX(0,Catatan!$B$3-H949),0)</f>
        <v>0</v>
      </c>
      <c r="P949" s="39" t="str">
        <f aca="false">IF(M949&lt;=0,"Lunas",IF(Catatan!$B$3&lt;=H949,"Belum Jatuh Tempo",IF(O949&lt;=30,"1-30 hari",IF(O949&lt;=60,"31-60 hari",IF(O949&lt;=90,"61-90 hari","90+ hari")))))</f>
        <v>Lunas</v>
      </c>
      <c r="Q949" s="50"/>
      <c r="R949" s="39" t="str">
        <f aca="false">IF(M949&lt;=0,"",IF(O949&gt;60,"1-Tinggi",IF(O949&gt;30,"2-Sedang",IF(O949&gt;0,"3-Rendah","4-Pantau"))))</f>
        <v/>
      </c>
      <c r="S949" s="39" t="str">
        <f aca="false">IF(AND(M949&gt;0,O949&gt;0),O949+M949/1000000000000+ROW()/1000000000000000,"")</f>
        <v/>
      </c>
      <c r="T949" s="39" t="str">
        <f aca="false">IF(J949="Belum ditukar",ROW(),"")</f>
        <v/>
      </c>
    </row>
    <row r="950" customFormat="false" ht="15" hidden="false" customHeight="false" outlineLevel="0" collapsed="false">
      <c r="A950" s="50" t="s">
        <v>1235</v>
      </c>
      <c r="B950" s="51" t="n">
        <v>45860</v>
      </c>
      <c r="C950" s="50" t="s">
        <v>174</v>
      </c>
      <c r="D950" s="39" t="str">
        <f aca="false">INDEX(Master_Customer!$B$2:$B$126,MATCH(C950,Master_Customer!$A$2:$A$126,0))</f>
        <v>SUMBER TEKNIK SURYA</v>
      </c>
      <c r="E950" s="50" t="s">
        <v>31</v>
      </c>
      <c r="F950" s="52" t="n">
        <f aca="false">SUMIFS(Data_Penjualan!$G$2:$G$5998,Data_Penjualan!$A$2:$A$5998,A950)</f>
        <v>4021700</v>
      </c>
      <c r="G950" s="39" t="n">
        <f aca="false">IF(E950="KANTOR",0,INDEX(Master_Customer!$C$2:$C$126,MATCH(C950,Master_Customer!$A$2:$A$126,0)))</f>
        <v>30</v>
      </c>
      <c r="H950" s="53" t="n">
        <f aca="false">B950+G950</f>
        <v>45890</v>
      </c>
      <c r="I950" s="51" t="n">
        <v>45862</v>
      </c>
      <c r="J950" s="39" t="str">
        <f aca="false">IF(G950=0,"Tunai",IF(I950="","Belum ditukar","Sudah ditukar"))</f>
        <v>Sudah ditukar</v>
      </c>
      <c r="K950" s="54" t="n">
        <v>4021700</v>
      </c>
      <c r="L950" s="51" t="n">
        <v>45889</v>
      </c>
      <c r="M950" s="52" t="n">
        <f aca="false">F950-K950</f>
        <v>0</v>
      </c>
      <c r="N950" s="39" t="str">
        <f aca="false">IF(M950&lt;=0,"Lunas",IF(K950&gt;0,"Sebagian","Belum Bayar"))</f>
        <v>Lunas</v>
      </c>
      <c r="O950" s="39" t="n">
        <f aca="false">IF(M950&gt;0,MAX(0,Catatan!$B$3-H950),0)</f>
        <v>0</v>
      </c>
      <c r="P950" s="39" t="str">
        <f aca="false">IF(M950&lt;=0,"Lunas",IF(Catatan!$B$3&lt;=H950,"Belum Jatuh Tempo",IF(O950&lt;=30,"1-30 hari",IF(O950&lt;=60,"31-60 hari",IF(O950&lt;=90,"61-90 hari","90+ hari")))))</f>
        <v>Lunas</v>
      </c>
      <c r="Q950" s="50"/>
      <c r="R950" s="39" t="str">
        <f aca="false">IF(M950&lt;=0,"",IF(O950&gt;60,"1-Tinggi",IF(O950&gt;30,"2-Sedang",IF(O950&gt;0,"3-Rendah","4-Pantau"))))</f>
        <v/>
      </c>
      <c r="S950" s="39" t="str">
        <f aca="false">IF(AND(M950&gt;0,O950&gt;0),O950+M950/1000000000000+ROW()/1000000000000000,"")</f>
        <v/>
      </c>
      <c r="T950" s="39" t="str">
        <f aca="false">IF(J950="Belum ditukar",ROW(),"")</f>
        <v/>
      </c>
    </row>
    <row r="951" customFormat="false" ht="15" hidden="false" customHeight="false" outlineLevel="0" collapsed="false">
      <c r="A951" s="50" t="s">
        <v>1236</v>
      </c>
      <c r="B951" s="51" t="n">
        <v>45861</v>
      </c>
      <c r="C951" s="50" t="s">
        <v>376</v>
      </c>
      <c r="D951" s="39" t="str">
        <f aca="false">INDEX(Master_Customer!$B$2:$B$126,MATCH(C951,Master_Customer!$A$2:$A$126,0))</f>
        <v>JAYA SPAREPART</v>
      </c>
      <c r="E951" s="50" t="s">
        <v>28</v>
      </c>
      <c r="F951" s="52" t="n">
        <f aca="false">SUMIFS(Data_Penjualan!$G$2:$G$5998,Data_Penjualan!$A$2:$A$5998,A951)</f>
        <v>11583400</v>
      </c>
      <c r="G951" s="39" t="n">
        <f aca="false">IF(E951="KANTOR",0,INDEX(Master_Customer!$C$2:$C$126,MATCH(C951,Master_Customer!$A$2:$A$126,0)))</f>
        <v>30</v>
      </c>
      <c r="H951" s="53" t="n">
        <f aca="false">B951+G951</f>
        <v>45891</v>
      </c>
      <c r="I951" s="51" t="n">
        <v>45863</v>
      </c>
      <c r="J951" s="39" t="str">
        <f aca="false">IF(G951=0,"Tunai",IF(I951="","Belum ditukar","Sudah ditukar"))</f>
        <v>Sudah ditukar</v>
      </c>
      <c r="K951" s="54" t="n">
        <v>11583400</v>
      </c>
      <c r="L951" s="51" t="n">
        <v>45920</v>
      </c>
      <c r="M951" s="52" t="n">
        <f aca="false">F951-K951</f>
        <v>0</v>
      </c>
      <c r="N951" s="39" t="str">
        <f aca="false">IF(M951&lt;=0,"Lunas",IF(K951&gt;0,"Sebagian","Belum Bayar"))</f>
        <v>Lunas</v>
      </c>
      <c r="O951" s="39" t="n">
        <f aca="false">IF(M951&gt;0,MAX(0,Catatan!$B$3-H951),0)</f>
        <v>0</v>
      </c>
      <c r="P951" s="39" t="str">
        <f aca="false">IF(M951&lt;=0,"Lunas",IF(Catatan!$B$3&lt;=H951,"Belum Jatuh Tempo",IF(O951&lt;=30,"1-30 hari",IF(O951&lt;=60,"31-60 hari",IF(O951&lt;=90,"61-90 hari","90+ hari")))))</f>
        <v>Lunas</v>
      </c>
      <c r="Q951" s="50"/>
      <c r="R951" s="39" t="str">
        <f aca="false">IF(M951&lt;=0,"",IF(O951&gt;60,"1-Tinggi",IF(O951&gt;30,"2-Sedang",IF(O951&gt;0,"3-Rendah","4-Pantau"))))</f>
        <v/>
      </c>
      <c r="S951" s="39" t="str">
        <f aca="false">IF(AND(M951&gt;0,O951&gt;0),O951+M951/1000000000000+ROW()/1000000000000000,"")</f>
        <v/>
      </c>
      <c r="T951" s="39" t="str">
        <f aca="false">IF(J951="Belum ditukar",ROW(),"")</f>
        <v/>
      </c>
    </row>
    <row r="952" customFormat="false" ht="15" hidden="false" customHeight="false" outlineLevel="0" collapsed="false">
      <c r="A952" s="50" t="s">
        <v>1237</v>
      </c>
      <c r="B952" s="51" t="n">
        <v>45861</v>
      </c>
      <c r="C952" s="50" t="s">
        <v>216</v>
      </c>
      <c r="D952" s="39" t="str">
        <f aca="false">INDEX(Master_Customer!$B$2:$B$126,MATCH(C952,Master_Customer!$A$2:$A$126,0))</f>
        <v>SINAR MOTOR UTAMA</v>
      </c>
      <c r="E952" s="50" t="s">
        <v>32</v>
      </c>
      <c r="F952" s="52" t="n">
        <f aca="false">SUMIFS(Data_Penjualan!$G$2:$G$5998,Data_Penjualan!$A$2:$A$5998,A952)</f>
        <v>7089500</v>
      </c>
      <c r="G952" s="39" t="n">
        <f aca="false">IF(E952="KANTOR",0,INDEX(Master_Customer!$C$2:$C$126,MATCH(C952,Master_Customer!$A$2:$A$126,0)))</f>
        <v>0</v>
      </c>
      <c r="H952" s="53" t="n">
        <f aca="false">B952+G952</f>
        <v>45861</v>
      </c>
      <c r="J952" s="39" t="str">
        <f aca="false">IF(G952=0,"Tunai",IF(I952="","Belum ditukar","Sudah ditukar"))</f>
        <v>Tunai</v>
      </c>
      <c r="K952" s="54" t="n">
        <v>7089500</v>
      </c>
      <c r="L952" s="51" t="n">
        <v>45861</v>
      </c>
      <c r="M952" s="52" t="n">
        <f aca="false">F952-K952</f>
        <v>0</v>
      </c>
      <c r="N952" s="39" t="str">
        <f aca="false">IF(M952&lt;=0,"Lunas",IF(K952&gt;0,"Sebagian","Belum Bayar"))</f>
        <v>Lunas</v>
      </c>
      <c r="O952" s="39" t="n">
        <f aca="false">IF(M952&gt;0,MAX(0,Catatan!$B$3-H952),0)</f>
        <v>0</v>
      </c>
      <c r="P952" s="39" t="str">
        <f aca="false">IF(M952&lt;=0,"Lunas",IF(Catatan!$B$3&lt;=H952,"Belum Jatuh Tempo",IF(O952&lt;=30,"1-30 hari",IF(O952&lt;=60,"31-60 hari",IF(O952&lt;=90,"61-90 hari","90+ hari")))))</f>
        <v>Lunas</v>
      </c>
      <c r="Q952" s="50"/>
      <c r="R952" s="39" t="str">
        <f aca="false">IF(M952&lt;=0,"",IF(O952&gt;60,"1-Tinggi",IF(O952&gt;30,"2-Sedang",IF(O952&gt;0,"3-Rendah","4-Pantau"))))</f>
        <v/>
      </c>
      <c r="S952" s="39" t="str">
        <f aca="false">IF(AND(M952&gt;0,O952&gt;0),O952+M952/1000000000000+ROW()/1000000000000000,"")</f>
        <v/>
      </c>
      <c r="T952" s="39" t="str">
        <f aca="false">IF(J952="Belum ditukar",ROW(),"")</f>
        <v/>
      </c>
    </row>
    <row r="953" customFormat="false" ht="15" hidden="false" customHeight="false" outlineLevel="0" collapsed="false">
      <c r="A953" s="50" t="s">
        <v>1238</v>
      </c>
      <c r="B953" s="51" t="n">
        <v>45861</v>
      </c>
      <c r="C953" s="50" t="s">
        <v>329</v>
      </c>
      <c r="D953" s="39" t="str">
        <f aca="false">INDEX(Master_Customer!$B$2:$B$126,MATCH(C953,Master_Customer!$A$2:$A$126,0))</f>
        <v>MAKMUR OLI</v>
      </c>
      <c r="E953" s="50" t="s">
        <v>28</v>
      </c>
      <c r="F953" s="52" t="n">
        <f aca="false">SUMIFS(Data_Penjualan!$G$2:$G$5998,Data_Penjualan!$A$2:$A$5998,A953)</f>
        <v>17030800</v>
      </c>
      <c r="G953" s="39" t="n">
        <f aca="false">IF(E953="KANTOR",0,INDEX(Master_Customer!$C$2:$C$126,MATCH(C953,Master_Customer!$A$2:$A$126,0)))</f>
        <v>45</v>
      </c>
      <c r="H953" s="53" t="n">
        <f aca="false">B953+G953</f>
        <v>45906</v>
      </c>
      <c r="I953" s="51" t="n">
        <v>45862</v>
      </c>
      <c r="J953" s="39" t="str">
        <f aca="false">IF(G953=0,"Tunai",IF(I953="","Belum ditukar","Sudah ditukar"))</f>
        <v>Sudah ditukar</v>
      </c>
      <c r="K953" s="54" t="n">
        <v>17030800</v>
      </c>
      <c r="L953" s="51" t="n">
        <v>45933</v>
      </c>
      <c r="M953" s="52" t="n">
        <f aca="false">F953-K953</f>
        <v>0</v>
      </c>
      <c r="N953" s="39" t="str">
        <f aca="false">IF(M953&lt;=0,"Lunas",IF(K953&gt;0,"Sebagian","Belum Bayar"))</f>
        <v>Lunas</v>
      </c>
      <c r="O953" s="39" t="n">
        <f aca="false">IF(M953&gt;0,MAX(0,Catatan!$B$3-H953),0)</f>
        <v>0</v>
      </c>
      <c r="P953" s="39" t="str">
        <f aca="false">IF(M953&lt;=0,"Lunas",IF(Catatan!$B$3&lt;=H953,"Belum Jatuh Tempo",IF(O953&lt;=30,"1-30 hari",IF(O953&lt;=60,"31-60 hari",IF(O953&lt;=90,"61-90 hari","90+ hari")))))</f>
        <v>Lunas</v>
      </c>
      <c r="Q953" s="50"/>
      <c r="R953" s="39" t="str">
        <f aca="false">IF(M953&lt;=0,"",IF(O953&gt;60,"1-Tinggi",IF(O953&gt;30,"2-Sedang",IF(O953&gt;0,"3-Rendah","4-Pantau"))))</f>
        <v/>
      </c>
      <c r="S953" s="39" t="str">
        <f aca="false">IF(AND(M953&gt;0,O953&gt;0),O953+M953/1000000000000+ROW()/1000000000000000,"")</f>
        <v/>
      </c>
      <c r="T953" s="39" t="str">
        <f aca="false">IF(J953="Belum ditukar",ROW(),"")</f>
        <v/>
      </c>
    </row>
    <row r="954" customFormat="false" ht="15" hidden="false" customHeight="false" outlineLevel="0" collapsed="false">
      <c r="A954" s="50" t="s">
        <v>1239</v>
      </c>
      <c r="B954" s="51" t="n">
        <v>45861</v>
      </c>
      <c r="C954" s="50" t="s">
        <v>166</v>
      </c>
      <c r="D954" s="39" t="str">
        <f aca="false">INDEX(Master_Customer!$B$2:$B$126,MATCH(C954,Master_Customer!$A$2:$A$126,0))</f>
        <v>SENTOSA SERVICE</v>
      </c>
      <c r="E954" s="50" t="s">
        <v>30</v>
      </c>
      <c r="F954" s="52" t="n">
        <f aca="false">SUMIFS(Data_Penjualan!$G$2:$G$5998,Data_Penjualan!$A$2:$A$5998,A954)</f>
        <v>6269100</v>
      </c>
      <c r="G954" s="39" t="n">
        <f aca="false">IF(E954="KANTOR",0,INDEX(Master_Customer!$C$2:$C$126,MATCH(C954,Master_Customer!$A$2:$A$126,0)))</f>
        <v>0</v>
      </c>
      <c r="H954" s="53" t="n">
        <f aca="false">B954+G954</f>
        <v>45861</v>
      </c>
      <c r="J954" s="39" t="str">
        <f aca="false">IF(G954=0,"Tunai",IF(I954="","Belum ditukar","Sudah ditukar"))</f>
        <v>Tunai</v>
      </c>
      <c r="K954" s="54" t="n">
        <v>6269100</v>
      </c>
      <c r="L954" s="51" t="n">
        <v>45861</v>
      </c>
      <c r="M954" s="52" t="n">
        <f aca="false">F954-K954</f>
        <v>0</v>
      </c>
      <c r="N954" s="39" t="str">
        <f aca="false">IF(M954&lt;=0,"Lunas",IF(K954&gt;0,"Sebagian","Belum Bayar"))</f>
        <v>Lunas</v>
      </c>
      <c r="O954" s="39" t="n">
        <f aca="false">IF(M954&gt;0,MAX(0,Catatan!$B$3-H954),0)</f>
        <v>0</v>
      </c>
      <c r="P954" s="39" t="str">
        <f aca="false">IF(M954&lt;=0,"Lunas",IF(Catatan!$B$3&lt;=H954,"Belum Jatuh Tempo",IF(O954&lt;=30,"1-30 hari",IF(O954&lt;=60,"31-60 hari",IF(O954&lt;=90,"61-90 hari","90+ hari")))))</f>
        <v>Lunas</v>
      </c>
      <c r="Q954" s="50"/>
      <c r="R954" s="39" t="str">
        <f aca="false">IF(M954&lt;=0,"",IF(O954&gt;60,"1-Tinggi",IF(O954&gt;30,"2-Sedang",IF(O954&gt;0,"3-Rendah","4-Pantau"))))</f>
        <v/>
      </c>
      <c r="S954" s="39" t="str">
        <f aca="false">IF(AND(M954&gt;0,O954&gt;0),O954+M954/1000000000000+ROW()/1000000000000000,"")</f>
        <v/>
      </c>
      <c r="T954" s="39" t="str">
        <f aca="false">IF(J954="Belum ditukar",ROW(),"")</f>
        <v/>
      </c>
    </row>
    <row r="955" customFormat="false" ht="15" hidden="false" customHeight="false" outlineLevel="0" collapsed="false">
      <c r="A955" s="50" t="s">
        <v>1240</v>
      </c>
      <c r="B955" s="51" t="n">
        <v>45861</v>
      </c>
      <c r="C955" s="50" t="s">
        <v>481</v>
      </c>
      <c r="D955" s="39" t="str">
        <f aca="false">INDEX(Master_Customer!$B$2:$B$126,MATCH(C955,Master_Customer!$A$2:$A$126,0))</f>
        <v>MITRA GARAGE</v>
      </c>
      <c r="E955" s="50" t="s">
        <v>32</v>
      </c>
      <c r="F955" s="52" t="n">
        <f aca="false">SUMIFS(Data_Penjualan!$G$2:$G$5998,Data_Penjualan!$A$2:$A$5998,A955)</f>
        <v>16128000</v>
      </c>
      <c r="G955" s="39" t="n">
        <f aca="false">IF(E955="KANTOR",0,INDEX(Master_Customer!$C$2:$C$126,MATCH(C955,Master_Customer!$A$2:$A$126,0)))</f>
        <v>0</v>
      </c>
      <c r="H955" s="53" t="n">
        <f aca="false">B955+G955</f>
        <v>45861</v>
      </c>
      <c r="J955" s="39" t="str">
        <f aca="false">IF(G955=0,"Tunai",IF(I955="","Belum ditukar","Sudah ditukar"))</f>
        <v>Tunai</v>
      </c>
      <c r="K955" s="54" t="n">
        <v>16128000</v>
      </c>
      <c r="L955" s="51" t="n">
        <v>45861</v>
      </c>
      <c r="M955" s="52" t="n">
        <f aca="false">F955-K955</f>
        <v>0</v>
      </c>
      <c r="N955" s="39" t="str">
        <f aca="false">IF(M955&lt;=0,"Lunas",IF(K955&gt;0,"Sebagian","Belum Bayar"))</f>
        <v>Lunas</v>
      </c>
      <c r="O955" s="39" t="n">
        <f aca="false">IF(M955&gt;0,MAX(0,Catatan!$B$3-H955),0)</f>
        <v>0</v>
      </c>
      <c r="P955" s="39" t="str">
        <f aca="false">IF(M955&lt;=0,"Lunas",IF(Catatan!$B$3&lt;=H955,"Belum Jatuh Tempo",IF(O955&lt;=30,"1-30 hari",IF(O955&lt;=60,"31-60 hari",IF(O955&lt;=90,"61-90 hari","90+ hari")))))</f>
        <v>Lunas</v>
      </c>
      <c r="Q955" s="50"/>
      <c r="R955" s="39" t="str">
        <f aca="false">IF(M955&lt;=0,"",IF(O955&gt;60,"1-Tinggi",IF(O955&gt;30,"2-Sedang",IF(O955&gt;0,"3-Rendah","4-Pantau"))))</f>
        <v/>
      </c>
      <c r="S955" s="39" t="str">
        <f aca="false">IF(AND(M955&gt;0,O955&gt;0),O955+M955/1000000000000+ROW()/1000000000000000,"")</f>
        <v/>
      </c>
      <c r="T955" s="39" t="str">
        <f aca="false">IF(J955="Belum ditukar",ROW(),"")</f>
        <v/>
      </c>
    </row>
    <row r="956" customFormat="false" ht="15" hidden="false" customHeight="false" outlineLevel="0" collapsed="false">
      <c r="A956" s="50" t="s">
        <v>1241</v>
      </c>
      <c r="B956" s="51" t="n">
        <v>45861</v>
      </c>
      <c r="C956" s="50" t="s">
        <v>681</v>
      </c>
      <c r="D956" s="39" t="str">
        <f aca="false">INDEX(Master_Customer!$B$2:$B$126,MATCH(C956,Master_Customer!$A$2:$A$126,0))</f>
        <v>GEMILANG TEKNIK</v>
      </c>
      <c r="E956" s="50" t="s">
        <v>29</v>
      </c>
      <c r="F956" s="52" t="n">
        <f aca="false">SUMIFS(Data_Penjualan!$G$2:$G$5998,Data_Penjualan!$A$2:$A$5998,A956)</f>
        <v>10570200</v>
      </c>
      <c r="G956" s="39" t="n">
        <f aca="false">IF(E956="KANTOR",0,INDEX(Master_Customer!$C$2:$C$126,MATCH(C956,Master_Customer!$A$2:$A$126,0)))</f>
        <v>30</v>
      </c>
      <c r="H956" s="53" t="n">
        <f aca="false">B956+G956</f>
        <v>45891</v>
      </c>
      <c r="I956" s="51" t="n">
        <v>45864</v>
      </c>
      <c r="J956" s="39" t="str">
        <f aca="false">IF(G956=0,"Tunai",IF(I956="","Belum ditukar","Sudah ditukar"))</f>
        <v>Sudah ditukar</v>
      </c>
      <c r="K956" s="54" t="n">
        <v>10570200</v>
      </c>
      <c r="L956" s="51" t="n">
        <v>45889</v>
      </c>
      <c r="M956" s="52" t="n">
        <f aca="false">F956-K956</f>
        <v>0</v>
      </c>
      <c r="N956" s="39" t="str">
        <f aca="false">IF(M956&lt;=0,"Lunas",IF(K956&gt;0,"Sebagian","Belum Bayar"))</f>
        <v>Lunas</v>
      </c>
      <c r="O956" s="39" t="n">
        <f aca="false">IF(M956&gt;0,MAX(0,Catatan!$B$3-H956),0)</f>
        <v>0</v>
      </c>
      <c r="P956" s="39" t="str">
        <f aca="false">IF(M956&lt;=0,"Lunas",IF(Catatan!$B$3&lt;=H956,"Belum Jatuh Tempo",IF(O956&lt;=30,"1-30 hari",IF(O956&lt;=60,"31-60 hari",IF(O956&lt;=90,"61-90 hari","90+ hari")))))</f>
        <v>Lunas</v>
      </c>
      <c r="Q956" s="50"/>
      <c r="R956" s="39" t="str">
        <f aca="false">IF(M956&lt;=0,"",IF(O956&gt;60,"1-Tinggi",IF(O956&gt;30,"2-Sedang",IF(O956&gt;0,"3-Rendah","4-Pantau"))))</f>
        <v/>
      </c>
      <c r="S956" s="39" t="str">
        <f aca="false">IF(AND(M956&gt;0,O956&gt;0),O956+M956/1000000000000+ROW()/1000000000000000,"")</f>
        <v/>
      </c>
      <c r="T956" s="39" t="str">
        <f aca="false">IF(J956="Belum ditukar",ROW(),"")</f>
        <v/>
      </c>
    </row>
    <row r="957" customFormat="false" ht="15" hidden="false" customHeight="false" outlineLevel="0" collapsed="false">
      <c r="A957" s="50" t="s">
        <v>1242</v>
      </c>
      <c r="B957" s="51" t="n">
        <v>45862</v>
      </c>
      <c r="C957" s="50" t="s">
        <v>166</v>
      </c>
      <c r="D957" s="39" t="str">
        <f aca="false">INDEX(Master_Customer!$B$2:$B$126,MATCH(C957,Master_Customer!$A$2:$A$126,0))</f>
        <v>SENTOSA SERVICE</v>
      </c>
      <c r="E957" s="50" t="s">
        <v>30</v>
      </c>
      <c r="F957" s="52" t="n">
        <f aca="false">SUMIFS(Data_Penjualan!$G$2:$G$5998,Data_Penjualan!$A$2:$A$5998,A957)</f>
        <v>2179600</v>
      </c>
      <c r="G957" s="39" t="n">
        <f aca="false">IF(E957="KANTOR",0,INDEX(Master_Customer!$C$2:$C$126,MATCH(C957,Master_Customer!$A$2:$A$126,0)))</f>
        <v>0</v>
      </c>
      <c r="H957" s="53" t="n">
        <f aca="false">B957+G957</f>
        <v>45862</v>
      </c>
      <c r="J957" s="39" t="str">
        <f aca="false">IF(G957=0,"Tunai",IF(I957="","Belum ditukar","Sudah ditukar"))</f>
        <v>Tunai</v>
      </c>
      <c r="K957" s="54" t="n">
        <v>2179600</v>
      </c>
      <c r="L957" s="51" t="n">
        <v>45862</v>
      </c>
      <c r="M957" s="52" t="n">
        <f aca="false">F957-K957</f>
        <v>0</v>
      </c>
      <c r="N957" s="39" t="str">
        <f aca="false">IF(M957&lt;=0,"Lunas",IF(K957&gt;0,"Sebagian","Belum Bayar"))</f>
        <v>Lunas</v>
      </c>
      <c r="O957" s="39" t="n">
        <f aca="false">IF(M957&gt;0,MAX(0,Catatan!$B$3-H957),0)</f>
        <v>0</v>
      </c>
      <c r="P957" s="39" t="str">
        <f aca="false">IF(M957&lt;=0,"Lunas",IF(Catatan!$B$3&lt;=H957,"Belum Jatuh Tempo",IF(O957&lt;=30,"1-30 hari",IF(O957&lt;=60,"31-60 hari",IF(O957&lt;=90,"61-90 hari","90+ hari")))))</f>
        <v>Lunas</v>
      </c>
      <c r="Q957" s="50"/>
      <c r="R957" s="39" t="str">
        <f aca="false">IF(M957&lt;=0,"",IF(O957&gt;60,"1-Tinggi",IF(O957&gt;30,"2-Sedang",IF(O957&gt;0,"3-Rendah","4-Pantau"))))</f>
        <v/>
      </c>
      <c r="S957" s="39" t="str">
        <f aca="false">IF(AND(M957&gt;0,O957&gt;0),O957+M957/1000000000000+ROW()/1000000000000000,"")</f>
        <v/>
      </c>
      <c r="T957" s="39" t="str">
        <f aca="false">IF(J957="Belum ditukar",ROW(),"")</f>
        <v/>
      </c>
    </row>
    <row r="958" customFormat="false" ht="15" hidden="false" customHeight="false" outlineLevel="0" collapsed="false">
      <c r="A958" s="50" t="s">
        <v>1243</v>
      </c>
      <c r="B958" s="51" t="n">
        <v>45862</v>
      </c>
      <c r="C958" s="50" t="s">
        <v>298</v>
      </c>
      <c r="D958" s="39" t="str">
        <f aca="false">INDEX(Master_Customer!$B$2:$B$126,MATCH(C958,Master_Customer!$A$2:$A$126,0))</f>
        <v>BERKAH MOBIL MAKMUR</v>
      </c>
      <c r="E958" s="50" t="s">
        <v>31</v>
      </c>
      <c r="F958" s="52" t="n">
        <f aca="false">SUMIFS(Data_Penjualan!$G$2:$G$5998,Data_Penjualan!$A$2:$A$5998,A958)</f>
        <v>7499800</v>
      </c>
      <c r="G958" s="39" t="n">
        <f aca="false">IF(E958="KANTOR",0,INDEX(Master_Customer!$C$2:$C$126,MATCH(C958,Master_Customer!$A$2:$A$126,0)))</f>
        <v>14</v>
      </c>
      <c r="H958" s="53" t="n">
        <f aca="false">B958+G958</f>
        <v>45876</v>
      </c>
      <c r="I958" s="51" t="n">
        <v>45867</v>
      </c>
      <c r="J958" s="39" t="str">
        <f aca="false">IF(G958=0,"Tunai",IF(I958="","Belum ditukar","Sudah ditukar"))</f>
        <v>Sudah ditukar</v>
      </c>
      <c r="K958" s="54" t="n">
        <v>7499800</v>
      </c>
      <c r="L958" s="51" t="n">
        <v>45888</v>
      </c>
      <c r="M958" s="52" t="n">
        <f aca="false">F958-K958</f>
        <v>0</v>
      </c>
      <c r="N958" s="39" t="str">
        <f aca="false">IF(M958&lt;=0,"Lunas",IF(K958&gt;0,"Sebagian","Belum Bayar"))</f>
        <v>Lunas</v>
      </c>
      <c r="O958" s="39" t="n">
        <f aca="false">IF(M958&gt;0,MAX(0,Catatan!$B$3-H958),0)</f>
        <v>0</v>
      </c>
      <c r="P958" s="39" t="str">
        <f aca="false">IF(M958&lt;=0,"Lunas",IF(Catatan!$B$3&lt;=H958,"Belum Jatuh Tempo",IF(O958&lt;=30,"1-30 hari",IF(O958&lt;=60,"31-60 hari",IF(O958&lt;=90,"61-90 hari","90+ hari")))))</f>
        <v>Lunas</v>
      </c>
      <c r="Q958" s="50"/>
      <c r="R958" s="39" t="str">
        <f aca="false">IF(M958&lt;=0,"",IF(O958&gt;60,"1-Tinggi",IF(O958&gt;30,"2-Sedang",IF(O958&gt;0,"3-Rendah","4-Pantau"))))</f>
        <v/>
      </c>
      <c r="S958" s="39" t="str">
        <f aca="false">IF(AND(M958&gt;0,O958&gt;0),O958+M958/1000000000000+ROW()/1000000000000000,"")</f>
        <v/>
      </c>
      <c r="T958" s="39" t="str">
        <f aca="false">IF(J958="Belum ditukar",ROW(),"")</f>
        <v/>
      </c>
    </row>
    <row r="959" customFormat="false" ht="15" hidden="false" customHeight="false" outlineLevel="0" collapsed="false">
      <c r="A959" s="50" t="s">
        <v>1244</v>
      </c>
      <c r="B959" s="51" t="n">
        <v>45863</v>
      </c>
      <c r="C959" s="50" t="s">
        <v>286</v>
      </c>
      <c r="D959" s="39" t="str">
        <f aca="false">INDEX(Master_Customer!$B$2:$B$126,MATCH(C959,Master_Customer!$A$2:$A$126,0))</f>
        <v>CAHAYA AUTO</v>
      </c>
      <c r="E959" s="50" t="s">
        <v>29</v>
      </c>
      <c r="F959" s="52" t="n">
        <f aca="false">SUMIFS(Data_Penjualan!$G$2:$G$5998,Data_Penjualan!$A$2:$A$5998,A959)</f>
        <v>8482100</v>
      </c>
      <c r="G959" s="39" t="n">
        <f aca="false">IF(E959="KANTOR",0,INDEX(Master_Customer!$C$2:$C$126,MATCH(C959,Master_Customer!$A$2:$A$126,0)))</f>
        <v>0</v>
      </c>
      <c r="H959" s="53" t="n">
        <f aca="false">B959+G959</f>
        <v>45863</v>
      </c>
      <c r="J959" s="39" t="str">
        <f aca="false">IF(G959=0,"Tunai",IF(I959="","Belum ditukar","Sudah ditukar"))</f>
        <v>Tunai</v>
      </c>
      <c r="K959" s="54" t="n">
        <v>8482100</v>
      </c>
      <c r="L959" s="51" t="n">
        <v>45863</v>
      </c>
      <c r="M959" s="52" t="n">
        <f aca="false">F959-K959</f>
        <v>0</v>
      </c>
      <c r="N959" s="39" t="str">
        <f aca="false">IF(M959&lt;=0,"Lunas",IF(K959&gt;0,"Sebagian","Belum Bayar"))</f>
        <v>Lunas</v>
      </c>
      <c r="O959" s="39" t="n">
        <f aca="false">IF(M959&gt;0,MAX(0,Catatan!$B$3-H959),0)</f>
        <v>0</v>
      </c>
      <c r="P959" s="39" t="str">
        <f aca="false">IF(M959&lt;=0,"Lunas",IF(Catatan!$B$3&lt;=H959,"Belum Jatuh Tempo",IF(O959&lt;=30,"1-30 hari",IF(O959&lt;=60,"31-60 hari",IF(O959&lt;=90,"61-90 hari","90+ hari")))))</f>
        <v>Lunas</v>
      </c>
      <c r="Q959" s="50"/>
      <c r="R959" s="39" t="str">
        <f aca="false">IF(M959&lt;=0,"",IF(O959&gt;60,"1-Tinggi",IF(O959&gt;30,"2-Sedang",IF(O959&gt;0,"3-Rendah","4-Pantau"))))</f>
        <v/>
      </c>
      <c r="S959" s="39" t="str">
        <f aca="false">IF(AND(M959&gt;0,O959&gt;0),O959+M959/1000000000000+ROW()/1000000000000000,"")</f>
        <v/>
      </c>
      <c r="T959" s="39" t="str">
        <f aca="false">IF(J959="Belum ditukar",ROW(),"")</f>
        <v/>
      </c>
    </row>
    <row r="960" customFormat="false" ht="15" hidden="false" customHeight="false" outlineLevel="0" collapsed="false">
      <c r="A960" s="50" t="s">
        <v>1245</v>
      </c>
      <c r="B960" s="51" t="n">
        <v>45863</v>
      </c>
      <c r="C960" s="50" t="s">
        <v>174</v>
      </c>
      <c r="D960" s="39" t="str">
        <f aca="false">INDEX(Master_Customer!$B$2:$B$126,MATCH(C960,Master_Customer!$A$2:$A$126,0))</f>
        <v>SUMBER TEKNIK SURYA</v>
      </c>
      <c r="E960" s="50" t="s">
        <v>31</v>
      </c>
      <c r="F960" s="52" t="n">
        <f aca="false">SUMIFS(Data_Penjualan!$G$2:$G$5998,Data_Penjualan!$A$2:$A$5998,A960)</f>
        <v>4725100</v>
      </c>
      <c r="G960" s="39" t="n">
        <f aca="false">IF(E960="KANTOR",0,INDEX(Master_Customer!$C$2:$C$126,MATCH(C960,Master_Customer!$A$2:$A$126,0)))</f>
        <v>30</v>
      </c>
      <c r="H960" s="53" t="n">
        <f aca="false">B960+G960</f>
        <v>45893</v>
      </c>
      <c r="I960" s="51" t="n">
        <v>45867</v>
      </c>
      <c r="J960" s="39" t="str">
        <f aca="false">IF(G960=0,"Tunai",IF(I960="","Belum ditukar","Sudah ditukar"))</f>
        <v>Sudah ditukar</v>
      </c>
      <c r="K960" s="54" t="n">
        <v>4725100</v>
      </c>
      <c r="L960" s="51" t="n">
        <v>45887</v>
      </c>
      <c r="M960" s="52" t="n">
        <f aca="false">F960-K960</f>
        <v>0</v>
      </c>
      <c r="N960" s="39" t="str">
        <f aca="false">IF(M960&lt;=0,"Lunas",IF(K960&gt;0,"Sebagian","Belum Bayar"))</f>
        <v>Lunas</v>
      </c>
      <c r="O960" s="39" t="n">
        <f aca="false">IF(M960&gt;0,MAX(0,Catatan!$B$3-H960),0)</f>
        <v>0</v>
      </c>
      <c r="P960" s="39" t="str">
        <f aca="false">IF(M960&lt;=0,"Lunas",IF(Catatan!$B$3&lt;=H960,"Belum Jatuh Tempo",IF(O960&lt;=30,"1-30 hari",IF(O960&lt;=60,"31-60 hari",IF(O960&lt;=90,"61-90 hari","90+ hari")))))</f>
        <v>Lunas</v>
      </c>
      <c r="Q960" s="50"/>
      <c r="R960" s="39" t="str">
        <f aca="false">IF(M960&lt;=0,"",IF(O960&gt;60,"1-Tinggi",IF(O960&gt;30,"2-Sedang",IF(O960&gt;0,"3-Rendah","4-Pantau"))))</f>
        <v/>
      </c>
      <c r="S960" s="39" t="str">
        <f aca="false">IF(AND(M960&gt;0,O960&gt;0),O960+M960/1000000000000+ROW()/1000000000000000,"")</f>
        <v/>
      </c>
      <c r="T960" s="39" t="str">
        <f aca="false">IF(J960="Belum ditukar",ROW(),"")</f>
        <v/>
      </c>
    </row>
    <row r="961" customFormat="false" ht="15" hidden="false" customHeight="false" outlineLevel="0" collapsed="false">
      <c r="A961" s="50" t="s">
        <v>1246</v>
      </c>
      <c r="B961" s="51" t="n">
        <v>45863</v>
      </c>
      <c r="C961" s="50" t="s">
        <v>174</v>
      </c>
      <c r="D961" s="39" t="str">
        <f aca="false">INDEX(Master_Customer!$B$2:$B$126,MATCH(C961,Master_Customer!$A$2:$A$126,0))</f>
        <v>SUMBER TEKNIK SURYA</v>
      </c>
      <c r="E961" s="50" t="s">
        <v>31</v>
      </c>
      <c r="F961" s="52" t="n">
        <f aca="false">SUMIFS(Data_Penjualan!$G$2:$G$5998,Data_Penjualan!$A$2:$A$5998,A961)</f>
        <v>4947900</v>
      </c>
      <c r="G961" s="39" t="n">
        <f aca="false">IF(E961="KANTOR",0,INDEX(Master_Customer!$C$2:$C$126,MATCH(C961,Master_Customer!$A$2:$A$126,0)))</f>
        <v>30</v>
      </c>
      <c r="H961" s="53" t="n">
        <f aca="false">B961+G961</f>
        <v>45893</v>
      </c>
      <c r="I961" s="51" t="n">
        <v>45867</v>
      </c>
      <c r="J961" s="39" t="str">
        <f aca="false">IF(G961=0,"Tunai",IF(I961="","Belum ditukar","Sudah ditukar"))</f>
        <v>Sudah ditukar</v>
      </c>
      <c r="K961" s="54" t="n">
        <v>4947900</v>
      </c>
      <c r="L961" s="51" t="n">
        <v>45894</v>
      </c>
      <c r="M961" s="52" t="n">
        <f aca="false">F961-K961</f>
        <v>0</v>
      </c>
      <c r="N961" s="39" t="str">
        <f aca="false">IF(M961&lt;=0,"Lunas",IF(K961&gt;0,"Sebagian","Belum Bayar"))</f>
        <v>Lunas</v>
      </c>
      <c r="O961" s="39" t="n">
        <f aca="false">IF(M961&gt;0,MAX(0,Catatan!$B$3-H961),0)</f>
        <v>0</v>
      </c>
      <c r="P961" s="39" t="str">
        <f aca="false">IF(M961&lt;=0,"Lunas",IF(Catatan!$B$3&lt;=H961,"Belum Jatuh Tempo",IF(O961&lt;=30,"1-30 hari",IF(O961&lt;=60,"31-60 hari",IF(O961&lt;=90,"61-90 hari","90+ hari")))))</f>
        <v>Lunas</v>
      </c>
      <c r="Q961" s="50"/>
      <c r="R961" s="39" t="str">
        <f aca="false">IF(M961&lt;=0,"",IF(O961&gt;60,"1-Tinggi",IF(O961&gt;30,"2-Sedang",IF(O961&gt;0,"3-Rendah","4-Pantau"))))</f>
        <v/>
      </c>
      <c r="S961" s="39" t="str">
        <f aca="false">IF(AND(M961&gt;0,O961&gt;0),O961+M961/1000000000000+ROW()/1000000000000000,"")</f>
        <v/>
      </c>
      <c r="T961" s="39" t="str">
        <f aca="false">IF(J961="Belum ditukar",ROW(),"")</f>
        <v/>
      </c>
    </row>
    <row r="962" customFormat="false" ht="15" hidden="false" customHeight="false" outlineLevel="0" collapsed="false">
      <c r="A962" s="50" t="s">
        <v>1247</v>
      </c>
      <c r="B962" s="51" t="n">
        <v>45863</v>
      </c>
      <c r="C962" s="50" t="s">
        <v>261</v>
      </c>
      <c r="D962" s="39" t="str">
        <f aca="false">INDEX(Master_Customer!$B$2:$B$126,MATCH(C962,Master_Customer!$A$2:$A$126,0))</f>
        <v>SUMBER MOTOR UTAMA</v>
      </c>
      <c r="E962" s="50" t="s">
        <v>28</v>
      </c>
      <c r="F962" s="52" t="n">
        <f aca="false">SUMIFS(Data_Penjualan!$G$2:$G$5998,Data_Penjualan!$A$2:$A$5998,A962)</f>
        <v>7107100</v>
      </c>
      <c r="G962" s="39" t="n">
        <f aca="false">IF(E962="KANTOR",0,INDEX(Master_Customer!$C$2:$C$126,MATCH(C962,Master_Customer!$A$2:$A$126,0)))</f>
        <v>0</v>
      </c>
      <c r="H962" s="53" t="n">
        <f aca="false">B962+G962</f>
        <v>45863</v>
      </c>
      <c r="J962" s="39" t="str">
        <f aca="false">IF(G962=0,"Tunai",IF(I962="","Belum ditukar","Sudah ditukar"))</f>
        <v>Tunai</v>
      </c>
      <c r="K962" s="54" t="n">
        <v>7107100</v>
      </c>
      <c r="L962" s="51" t="n">
        <v>45864</v>
      </c>
      <c r="M962" s="52" t="n">
        <f aca="false">F962-K962</f>
        <v>0</v>
      </c>
      <c r="N962" s="39" t="str">
        <f aca="false">IF(M962&lt;=0,"Lunas",IF(K962&gt;0,"Sebagian","Belum Bayar"))</f>
        <v>Lunas</v>
      </c>
      <c r="O962" s="39" t="n">
        <f aca="false">IF(M962&gt;0,MAX(0,Catatan!$B$3-H962),0)</f>
        <v>0</v>
      </c>
      <c r="P962" s="39" t="str">
        <f aca="false">IF(M962&lt;=0,"Lunas",IF(Catatan!$B$3&lt;=H962,"Belum Jatuh Tempo",IF(O962&lt;=30,"1-30 hari",IF(O962&lt;=60,"31-60 hari",IF(O962&lt;=90,"61-90 hari","90+ hari")))))</f>
        <v>Lunas</v>
      </c>
      <c r="Q962" s="50"/>
      <c r="R962" s="39" t="str">
        <f aca="false">IF(M962&lt;=0,"",IF(O962&gt;60,"1-Tinggi",IF(O962&gt;30,"2-Sedang",IF(O962&gt;0,"3-Rendah","4-Pantau"))))</f>
        <v/>
      </c>
      <c r="S962" s="39" t="str">
        <f aca="false">IF(AND(M962&gt;0,O962&gt;0),O962+M962/1000000000000+ROW()/1000000000000000,"")</f>
        <v/>
      </c>
      <c r="T962" s="39" t="str">
        <f aca="false">IF(J962="Belum ditukar",ROW(),"")</f>
        <v/>
      </c>
    </row>
    <row r="963" customFormat="false" ht="15" hidden="false" customHeight="false" outlineLevel="0" collapsed="false">
      <c r="A963" s="50" t="s">
        <v>1248</v>
      </c>
      <c r="B963" s="51" t="n">
        <v>45863</v>
      </c>
      <c r="C963" s="50" t="s">
        <v>205</v>
      </c>
      <c r="D963" s="39" t="str">
        <f aca="false">INDEX(Master_Customer!$B$2:$B$126,MATCH(C963,Master_Customer!$A$2:$A$126,0))</f>
        <v>BERKAH OLI</v>
      </c>
      <c r="E963" s="50" t="s">
        <v>28</v>
      </c>
      <c r="F963" s="52" t="n">
        <f aca="false">SUMIFS(Data_Penjualan!$G$2:$G$5998,Data_Penjualan!$A$2:$A$5998,A963)</f>
        <v>11324500</v>
      </c>
      <c r="G963" s="39" t="n">
        <f aca="false">IF(E963="KANTOR",0,INDEX(Master_Customer!$C$2:$C$126,MATCH(C963,Master_Customer!$A$2:$A$126,0)))</f>
        <v>0</v>
      </c>
      <c r="H963" s="53" t="n">
        <f aca="false">B963+G963</f>
        <v>45863</v>
      </c>
      <c r="J963" s="39" t="str">
        <f aca="false">IF(G963=0,"Tunai",IF(I963="","Belum ditukar","Sudah ditukar"))</f>
        <v>Tunai</v>
      </c>
      <c r="K963" s="54" t="n">
        <v>11324500</v>
      </c>
      <c r="L963" s="51" t="n">
        <v>45863</v>
      </c>
      <c r="M963" s="52" t="n">
        <f aca="false">F963-K963</f>
        <v>0</v>
      </c>
      <c r="N963" s="39" t="str">
        <f aca="false">IF(M963&lt;=0,"Lunas",IF(K963&gt;0,"Sebagian","Belum Bayar"))</f>
        <v>Lunas</v>
      </c>
      <c r="O963" s="39" t="n">
        <f aca="false">IF(M963&gt;0,MAX(0,Catatan!$B$3-H963),0)</f>
        <v>0</v>
      </c>
      <c r="P963" s="39" t="str">
        <f aca="false">IF(M963&lt;=0,"Lunas",IF(Catatan!$B$3&lt;=H963,"Belum Jatuh Tempo",IF(O963&lt;=30,"1-30 hari",IF(O963&lt;=60,"31-60 hari",IF(O963&lt;=90,"61-90 hari","90+ hari")))))</f>
        <v>Lunas</v>
      </c>
      <c r="Q963" s="50"/>
      <c r="R963" s="39" t="str">
        <f aca="false">IF(M963&lt;=0,"",IF(O963&gt;60,"1-Tinggi",IF(O963&gt;30,"2-Sedang",IF(O963&gt;0,"3-Rendah","4-Pantau"))))</f>
        <v/>
      </c>
      <c r="S963" s="39" t="str">
        <f aca="false">IF(AND(M963&gt;0,O963&gt;0),O963+M963/1000000000000+ROW()/1000000000000000,"")</f>
        <v/>
      </c>
      <c r="T963" s="39" t="str">
        <f aca="false">IF(J963="Belum ditukar",ROW(),"")</f>
        <v/>
      </c>
    </row>
    <row r="964" customFormat="false" ht="15" hidden="false" customHeight="false" outlineLevel="0" collapsed="false">
      <c r="A964" s="50" t="s">
        <v>1249</v>
      </c>
      <c r="B964" s="51" t="n">
        <v>45863</v>
      </c>
      <c r="C964" s="50" t="s">
        <v>271</v>
      </c>
      <c r="D964" s="39" t="str">
        <f aca="false">INDEX(Master_Customer!$B$2:$B$126,MATCH(C964,Master_Customer!$A$2:$A$126,0))</f>
        <v>CAHAYA MOTOR</v>
      </c>
      <c r="E964" s="50" t="s">
        <v>28</v>
      </c>
      <c r="F964" s="52" t="n">
        <f aca="false">SUMIFS(Data_Penjualan!$G$2:$G$5998,Data_Penjualan!$A$2:$A$5998,A964)</f>
        <v>13955400</v>
      </c>
      <c r="G964" s="39" t="n">
        <f aca="false">IF(E964="KANTOR",0,INDEX(Master_Customer!$C$2:$C$126,MATCH(C964,Master_Customer!$A$2:$A$126,0)))</f>
        <v>14</v>
      </c>
      <c r="H964" s="53" t="n">
        <f aca="false">B964+G964</f>
        <v>45877</v>
      </c>
      <c r="I964" s="51" t="n">
        <v>45865</v>
      </c>
      <c r="J964" s="39" t="str">
        <f aca="false">IF(G964=0,"Tunai",IF(I964="","Belum ditukar","Sudah ditukar"))</f>
        <v>Sudah ditukar</v>
      </c>
      <c r="K964" s="54" t="n">
        <v>13955400</v>
      </c>
      <c r="L964" s="51" t="n">
        <v>45875</v>
      </c>
      <c r="M964" s="52" t="n">
        <f aca="false">F964-K964</f>
        <v>0</v>
      </c>
      <c r="N964" s="39" t="str">
        <f aca="false">IF(M964&lt;=0,"Lunas",IF(K964&gt;0,"Sebagian","Belum Bayar"))</f>
        <v>Lunas</v>
      </c>
      <c r="O964" s="39" t="n">
        <f aca="false">IF(M964&gt;0,MAX(0,Catatan!$B$3-H964),0)</f>
        <v>0</v>
      </c>
      <c r="P964" s="39" t="str">
        <f aca="false">IF(M964&lt;=0,"Lunas",IF(Catatan!$B$3&lt;=H964,"Belum Jatuh Tempo",IF(O964&lt;=30,"1-30 hari",IF(O964&lt;=60,"31-60 hari",IF(O964&lt;=90,"61-90 hari","90+ hari")))))</f>
        <v>Lunas</v>
      </c>
      <c r="Q964" s="50"/>
      <c r="R964" s="39" t="str">
        <f aca="false">IF(M964&lt;=0,"",IF(O964&gt;60,"1-Tinggi",IF(O964&gt;30,"2-Sedang",IF(O964&gt;0,"3-Rendah","4-Pantau"))))</f>
        <v/>
      </c>
      <c r="S964" s="39" t="str">
        <f aca="false">IF(AND(M964&gt;0,O964&gt;0),O964+M964/1000000000000+ROW()/1000000000000000,"")</f>
        <v/>
      </c>
      <c r="T964" s="39" t="str">
        <f aca="false">IF(J964="Belum ditukar",ROW(),"")</f>
        <v/>
      </c>
    </row>
    <row r="965" customFormat="false" ht="15" hidden="false" customHeight="false" outlineLevel="0" collapsed="false">
      <c r="A965" s="50" t="s">
        <v>1250</v>
      </c>
      <c r="B965" s="51" t="n">
        <v>45863</v>
      </c>
      <c r="C965" s="50" t="s">
        <v>177</v>
      </c>
      <c r="D965" s="39" t="str">
        <f aca="false">INDEX(Master_Customer!$B$2:$B$126,MATCH(C965,Master_Customer!$A$2:$A$126,0))</f>
        <v>PRIMA MOTOR LANCAR</v>
      </c>
      <c r="E965" s="50" t="s">
        <v>32</v>
      </c>
      <c r="F965" s="52" t="n">
        <f aca="false">SUMIFS(Data_Penjualan!$G$2:$G$5998,Data_Penjualan!$A$2:$A$5998,A965)</f>
        <v>20012800</v>
      </c>
      <c r="G965" s="39" t="n">
        <f aca="false">IF(E965="KANTOR",0,INDEX(Master_Customer!$C$2:$C$126,MATCH(C965,Master_Customer!$A$2:$A$126,0)))</f>
        <v>0</v>
      </c>
      <c r="H965" s="53" t="n">
        <f aca="false">B965+G965</f>
        <v>45863</v>
      </c>
      <c r="J965" s="39" t="str">
        <f aca="false">IF(G965=0,"Tunai",IF(I965="","Belum ditukar","Sudah ditukar"))</f>
        <v>Tunai</v>
      </c>
      <c r="K965" s="54" t="n">
        <v>20012800</v>
      </c>
      <c r="L965" s="51" t="n">
        <v>45863</v>
      </c>
      <c r="M965" s="52" t="n">
        <f aca="false">F965-K965</f>
        <v>0</v>
      </c>
      <c r="N965" s="39" t="str">
        <f aca="false">IF(M965&lt;=0,"Lunas",IF(K965&gt;0,"Sebagian","Belum Bayar"))</f>
        <v>Lunas</v>
      </c>
      <c r="O965" s="39" t="n">
        <f aca="false">IF(M965&gt;0,MAX(0,Catatan!$B$3-H965),0)</f>
        <v>0</v>
      </c>
      <c r="P965" s="39" t="str">
        <f aca="false">IF(M965&lt;=0,"Lunas",IF(Catatan!$B$3&lt;=H965,"Belum Jatuh Tempo",IF(O965&lt;=30,"1-30 hari",IF(O965&lt;=60,"31-60 hari",IF(O965&lt;=90,"61-90 hari","90+ hari")))))</f>
        <v>Lunas</v>
      </c>
      <c r="Q965" s="50"/>
      <c r="R965" s="39" t="str">
        <f aca="false">IF(M965&lt;=0,"",IF(O965&gt;60,"1-Tinggi",IF(O965&gt;30,"2-Sedang",IF(O965&gt;0,"3-Rendah","4-Pantau"))))</f>
        <v/>
      </c>
      <c r="S965" s="39" t="str">
        <f aca="false">IF(AND(M965&gt;0,O965&gt;0),O965+M965/1000000000000+ROW()/1000000000000000,"")</f>
        <v/>
      </c>
      <c r="T965" s="39" t="str">
        <f aca="false">IF(J965="Belum ditukar",ROW(),"")</f>
        <v/>
      </c>
    </row>
    <row r="966" customFormat="false" ht="15" hidden="false" customHeight="false" outlineLevel="0" collapsed="false">
      <c r="A966" s="50" t="s">
        <v>1251</v>
      </c>
      <c r="B966" s="51" t="n">
        <v>45863</v>
      </c>
      <c r="C966" s="50" t="s">
        <v>168</v>
      </c>
      <c r="D966" s="39" t="str">
        <f aca="false">INDEX(Master_Customer!$B$2:$B$126,MATCH(C966,Master_Customer!$A$2:$A$126,0))</f>
        <v>JAYA LUBRICANT</v>
      </c>
      <c r="E966" s="50" t="s">
        <v>29</v>
      </c>
      <c r="F966" s="52" t="n">
        <f aca="false">SUMIFS(Data_Penjualan!$G$2:$G$5998,Data_Penjualan!$A$2:$A$5998,A966)</f>
        <v>1832400</v>
      </c>
      <c r="G966" s="39" t="n">
        <f aca="false">IF(E966="KANTOR",0,INDEX(Master_Customer!$C$2:$C$126,MATCH(C966,Master_Customer!$A$2:$A$126,0)))</f>
        <v>0</v>
      </c>
      <c r="H966" s="53" t="n">
        <f aca="false">B966+G966</f>
        <v>45863</v>
      </c>
      <c r="J966" s="39" t="str">
        <f aca="false">IF(G966=0,"Tunai",IF(I966="","Belum ditukar","Sudah ditukar"))</f>
        <v>Tunai</v>
      </c>
      <c r="K966" s="54" t="n">
        <v>1832400</v>
      </c>
      <c r="L966" s="51" t="n">
        <v>45863</v>
      </c>
      <c r="M966" s="52" t="n">
        <f aca="false">F966-K966</f>
        <v>0</v>
      </c>
      <c r="N966" s="39" t="str">
        <f aca="false">IF(M966&lt;=0,"Lunas",IF(K966&gt;0,"Sebagian","Belum Bayar"))</f>
        <v>Lunas</v>
      </c>
      <c r="O966" s="39" t="n">
        <f aca="false">IF(M966&gt;0,MAX(0,Catatan!$B$3-H966),0)</f>
        <v>0</v>
      </c>
      <c r="P966" s="39" t="str">
        <f aca="false">IF(M966&lt;=0,"Lunas",IF(Catatan!$B$3&lt;=H966,"Belum Jatuh Tempo",IF(O966&lt;=30,"1-30 hari",IF(O966&lt;=60,"31-60 hari",IF(O966&lt;=90,"61-90 hari","90+ hari")))))</f>
        <v>Lunas</v>
      </c>
      <c r="Q966" s="50"/>
      <c r="R966" s="39" t="str">
        <f aca="false">IF(M966&lt;=0,"",IF(O966&gt;60,"1-Tinggi",IF(O966&gt;30,"2-Sedang",IF(O966&gt;0,"3-Rendah","4-Pantau"))))</f>
        <v/>
      </c>
      <c r="S966" s="39" t="str">
        <f aca="false">IF(AND(M966&gt;0,O966&gt;0),O966+M966/1000000000000+ROW()/1000000000000000,"")</f>
        <v/>
      </c>
      <c r="T966" s="39" t="str">
        <f aca="false">IF(J966="Belum ditukar",ROW(),"")</f>
        <v/>
      </c>
    </row>
    <row r="967" customFormat="false" ht="15" hidden="false" customHeight="false" outlineLevel="0" collapsed="false">
      <c r="A967" s="50" t="s">
        <v>1252</v>
      </c>
      <c r="B967" s="51" t="n">
        <v>45864</v>
      </c>
      <c r="C967" s="50" t="s">
        <v>174</v>
      </c>
      <c r="D967" s="39" t="str">
        <f aca="false">INDEX(Master_Customer!$B$2:$B$126,MATCH(C967,Master_Customer!$A$2:$A$126,0))</f>
        <v>SUMBER TEKNIK SURYA</v>
      </c>
      <c r="E967" s="50" t="s">
        <v>31</v>
      </c>
      <c r="F967" s="52" t="n">
        <f aca="false">SUMIFS(Data_Penjualan!$G$2:$G$5998,Data_Penjualan!$A$2:$A$5998,A967)</f>
        <v>10398700</v>
      </c>
      <c r="G967" s="39" t="n">
        <f aca="false">IF(E967="KANTOR",0,INDEX(Master_Customer!$C$2:$C$126,MATCH(C967,Master_Customer!$A$2:$A$126,0)))</f>
        <v>30</v>
      </c>
      <c r="H967" s="53" t="n">
        <f aca="false">B967+G967</f>
        <v>45894</v>
      </c>
      <c r="I967" s="51" t="n">
        <v>45867</v>
      </c>
      <c r="J967" s="39" t="str">
        <f aca="false">IF(G967=0,"Tunai",IF(I967="","Belum ditukar","Sudah ditukar"))</f>
        <v>Sudah ditukar</v>
      </c>
      <c r="K967" s="54" t="n">
        <v>10398700</v>
      </c>
      <c r="L967" s="51" t="n">
        <v>45890</v>
      </c>
      <c r="M967" s="52" t="n">
        <f aca="false">F967-K967</f>
        <v>0</v>
      </c>
      <c r="N967" s="39" t="str">
        <f aca="false">IF(M967&lt;=0,"Lunas",IF(K967&gt;0,"Sebagian","Belum Bayar"))</f>
        <v>Lunas</v>
      </c>
      <c r="O967" s="39" t="n">
        <f aca="false">IF(M967&gt;0,MAX(0,Catatan!$B$3-H967),0)</f>
        <v>0</v>
      </c>
      <c r="P967" s="39" t="str">
        <f aca="false">IF(M967&lt;=0,"Lunas",IF(Catatan!$B$3&lt;=H967,"Belum Jatuh Tempo",IF(O967&lt;=30,"1-30 hari",IF(O967&lt;=60,"31-60 hari",IF(O967&lt;=90,"61-90 hari","90+ hari")))))</f>
        <v>Lunas</v>
      </c>
      <c r="Q967" s="50"/>
      <c r="R967" s="39" t="str">
        <f aca="false">IF(M967&lt;=0,"",IF(O967&gt;60,"1-Tinggi",IF(O967&gt;30,"2-Sedang",IF(O967&gt;0,"3-Rendah","4-Pantau"))))</f>
        <v/>
      </c>
      <c r="S967" s="39" t="str">
        <f aca="false">IF(AND(M967&gt;0,O967&gt;0),O967+M967/1000000000000+ROW()/1000000000000000,"")</f>
        <v/>
      </c>
      <c r="T967" s="39" t="str">
        <f aca="false">IF(J967="Belum ditukar",ROW(),"")</f>
        <v/>
      </c>
    </row>
    <row r="968" customFormat="false" ht="15" hidden="false" customHeight="false" outlineLevel="0" collapsed="false">
      <c r="A968" s="50" t="s">
        <v>1253</v>
      </c>
      <c r="B968" s="51" t="n">
        <v>45866</v>
      </c>
      <c r="C968" s="50" t="s">
        <v>310</v>
      </c>
      <c r="D968" s="39" t="str">
        <f aca="false">INDEX(Master_Customer!$B$2:$B$126,MATCH(C968,Master_Customer!$A$2:$A$126,0))</f>
        <v>UTAMA OLI BINTANG</v>
      </c>
      <c r="E968" s="50" t="s">
        <v>28</v>
      </c>
      <c r="F968" s="52" t="n">
        <f aca="false">SUMIFS(Data_Penjualan!$G$2:$G$5998,Data_Penjualan!$A$2:$A$5998,A968)</f>
        <v>13926500</v>
      </c>
      <c r="G968" s="39" t="n">
        <f aca="false">IF(E968="KANTOR",0,INDEX(Master_Customer!$C$2:$C$126,MATCH(C968,Master_Customer!$A$2:$A$126,0)))</f>
        <v>14</v>
      </c>
      <c r="H968" s="53" t="n">
        <f aca="false">B968+G968</f>
        <v>45880</v>
      </c>
      <c r="I968" s="51" t="n">
        <v>45871</v>
      </c>
      <c r="J968" s="39" t="str">
        <f aca="false">IF(G968=0,"Tunai",IF(I968="","Belum ditukar","Sudah ditukar"))</f>
        <v>Sudah ditukar</v>
      </c>
      <c r="K968" s="54" t="n">
        <v>13926500</v>
      </c>
      <c r="L968" s="51" t="n">
        <v>45872</v>
      </c>
      <c r="M968" s="52" t="n">
        <f aca="false">F968-K968</f>
        <v>0</v>
      </c>
      <c r="N968" s="39" t="str">
        <f aca="false">IF(M968&lt;=0,"Lunas",IF(K968&gt;0,"Sebagian","Belum Bayar"))</f>
        <v>Lunas</v>
      </c>
      <c r="O968" s="39" t="n">
        <f aca="false">IF(M968&gt;0,MAX(0,Catatan!$B$3-H968),0)</f>
        <v>0</v>
      </c>
      <c r="P968" s="39" t="str">
        <f aca="false">IF(M968&lt;=0,"Lunas",IF(Catatan!$B$3&lt;=H968,"Belum Jatuh Tempo",IF(O968&lt;=30,"1-30 hari",IF(O968&lt;=60,"31-60 hari",IF(O968&lt;=90,"61-90 hari","90+ hari")))))</f>
        <v>Lunas</v>
      </c>
      <c r="Q968" s="50"/>
      <c r="R968" s="39" t="str">
        <f aca="false">IF(M968&lt;=0,"",IF(O968&gt;60,"1-Tinggi",IF(O968&gt;30,"2-Sedang",IF(O968&gt;0,"3-Rendah","4-Pantau"))))</f>
        <v/>
      </c>
      <c r="S968" s="39" t="str">
        <f aca="false">IF(AND(M968&gt;0,O968&gt;0),O968+M968/1000000000000+ROW()/1000000000000000,"")</f>
        <v/>
      </c>
      <c r="T968" s="39" t="str">
        <f aca="false">IF(J968="Belum ditukar",ROW(),"")</f>
        <v/>
      </c>
    </row>
    <row r="969" customFormat="false" ht="15" hidden="false" customHeight="false" outlineLevel="0" collapsed="false">
      <c r="A969" s="50" t="s">
        <v>1254</v>
      </c>
      <c r="B969" s="51" t="n">
        <v>45866</v>
      </c>
      <c r="C969" s="50" t="s">
        <v>298</v>
      </c>
      <c r="D969" s="39" t="str">
        <f aca="false">INDEX(Master_Customer!$B$2:$B$126,MATCH(C969,Master_Customer!$A$2:$A$126,0))</f>
        <v>BERKAH MOBIL MAKMUR</v>
      </c>
      <c r="E969" s="50" t="s">
        <v>32</v>
      </c>
      <c r="F969" s="52" t="n">
        <f aca="false">SUMIFS(Data_Penjualan!$G$2:$G$5998,Data_Penjualan!$A$2:$A$5998,A969)</f>
        <v>12972400</v>
      </c>
      <c r="G969" s="39" t="n">
        <f aca="false">IF(E969="KANTOR",0,INDEX(Master_Customer!$C$2:$C$126,MATCH(C969,Master_Customer!$A$2:$A$126,0)))</f>
        <v>0</v>
      </c>
      <c r="H969" s="53" t="n">
        <f aca="false">B969+G969</f>
        <v>45866</v>
      </c>
      <c r="J969" s="39" t="str">
        <f aca="false">IF(G969=0,"Tunai",IF(I969="","Belum ditukar","Sudah ditukar"))</f>
        <v>Tunai</v>
      </c>
      <c r="K969" s="54" t="n">
        <v>12972400</v>
      </c>
      <c r="L969" s="51" t="n">
        <v>45867</v>
      </c>
      <c r="M969" s="52" t="n">
        <f aca="false">F969-K969</f>
        <v>0</v>
      </c>
      <c r="N969" s="39" t="str">
        <f aca="false">IF(M969&lt;=0,"Lunas",IF(K969&gt;0,"Sebagian","Belum Bayar"))</f>
        <v>Lunas</v>
      </c>
      <c r="O969" s="39" t="n">
        <f aca="false">IF(M969&gt;0,MAX(0,Catatan!$B$3-H969),0)</f>
        <v>0</v>
      </c>
      <c r="P969" s="39" t="str">
        <f aca="false">IF(M969&lt;=0,"Lunas",IF(Catatan!$B$3&lt;=H969,"Belum Jatuh Tempo",IF(O969&lt;=30,"1-30 hari",IF(O969&lt;=60,"31-60 hari",IF(O969&lt;=90,"61-90 hari","90+ hari")))))</f>
        <v>Lunas</v>
      </c>
      <c r="Q969" s="50"/>
      <c r="R969" s="39" t="str">
        <f aca="false">IF(M969&lt;=0,"",IF(O969&gt;60,"1-Tinggi",IF(O969&gt;30,"2-Sedang",IF(O969&gt;0,"3-Rendah","4-Pantau"))))</f>
        <v/>
      </c>
      <c r="S969" s="39" t="str">
        <f aca="false">IF(AND(M969&gt;0,O969&gt;0),O969+M969/1000000000000+ROW()/1000000000000000,"")</f>
        <v/>
      </c>
      <c r="T969" s="39" t="str">
        <f aca="false">IF(J969="Belum ditukar",ROW(),"")</f>
        <v/>
      </c>
    </row>
    <row r="970" customFormat="false" ht="15" hidden="false" customHeight="false" outlineLevel="0" collapsed="false">
      <c r="A970" s="50" t="s">
        <v>1255</v>
      </c>
      <c r="B970" s="51" t="n">
        <v>45866</v>
      </c>
      <c r="C970" s="50" t="s">
        <v>560</v>
      </c>
      <c r="D970" s="39" t="str">
        <f aca="false">INDEX(Master_Customer!$B$2:$B$126,MATCH(C970,Master_Customer!$A$2:$A$126,0))</f>
        <v>UTAMA TEKNIK MITRA</v>
      </c>
      <c r="E970" s="50" t="s">
        <v>30</v>
      </c>
      <c r="F970" s="52" t="n">
        <f aca="false">SUMIFS(Data_Penjualan!$G$2:$G$5998,Data_Penjualan!$A$2:$A$5998,A970)</f>
        <v>13694600</v>
      </c>
      <c r="G970" s="39" t="n">
        <f aca="false">IF(E970="KANTOR",0,INDEX(Master_Customer!$C$2:$C$126,MATCH(C970,Master_Customer!$A$2:$A$126,0)))</f>
        <v>30</v>
      </c>
      <c r="H970" s="53" t="n">
        <f aca="false">B970+G970</f>
        <v>45896</v>
      </c>
      <c r="I970" s="51" t="n">
        <v>45871</v>
      </c>
      <c r="J970" s="39" t="str">
        <f aca="false">IF(G970=0,"Tunai",IF(I970="","Belum ditukar","Sudah ditukar"))</f>
        <v>Sudah ditukar</v>
      </c>
      <c r="K970" s="54" t="n">
        <v>13694600</v>
      </c>
      <c r="L970" s="51" t="n">
        <v>45894</v>
      </c>
      <c r="M970" s="52" t="n">
        <f aca="false">F970-K970</f>
        <v>0</v>
      </c>
      <c r="N970" s="39" t="str">
        <f aca="false">IF(M970&lt;=0,"Lunas",IF(K970&gt;0,"Sebagian","Belum Bayar"))</f>
        <v>Lunas</v>
      </c>
      <c r="O970" s="39" t="n">
        <f aca="false">IF(M970&gt;0,MAX(0,Catatan!$B$3-H970),0)</f>
        <v>0</v>
      </c>
      <c r="P970" s="39" t="str">
        <f aca="false">IF(M970&lt;=0,"Lunas",IF(Catatan!$B$3&lt;=H970,"Belum Jatuh Tempo",IF(O970&lt;=30,"1-30 hari",IF(O970&lt;=60,"31-60 hari",IF(O970&lt;=90,"61-90 hari","90+ hari")))))</f>
        <v>Lunas</v>
      </c>
      <c r="Q970" s="50"/>
      <c r="R970" s="39" t="str">
        <f aca="false">IF(M970&lt;=0,"",IF(O970&gt;60,"1-Tinggi",IF(O970&gt;30,"2-Sedang",IF(O970&gt;0,"3-Rendah","4-Pantau"))))</f>
        <v/>
      </c>
      <c r="S970" s="39" t="str">
        <f aca="false">IF(AND(M970&gt;0,O970&gt;0),O970+M970/1000000000000+ROW()/1000000000000000,"")</f>
        <v/>
      </c>
      <c r="T970" s="39" t="str">
        <f aca="false">IF(J970="Belum ditukar",ROW(),"")</f>
        <v/>
      </c>
    </row>
    <row r="971" customFormat="false" ht="15" hidden="false" customHeight="false" outlineLevel="0" collapsed="false">
      <c r="A971" s="50" t="s">
        <v>1256</v>
      </c>
      <c r="B971" s="51" t="n">
        <v>45866</v>
      </c>
      <c r="C971" s="50" t="s">
        <v>560</v>
      </c>
      <c r="D971" s="39" t="str">
        <f aca="false">INDEX(Master_Customer!$B$2:$B$126,MATCH(C971,Master_Customer!$A$2:$A$126,0))</f>
        <v>UTAMA TEKNIK MITRA</v>
      </c>
      <c r="E971" s="50" t="s">
        <v>32</v>
      </c>
      <c r="F971" s="52" t="n">
        <f aca="false">SUMIFS(Data_Penjualan!$G$2:$G$5998,Data_Penjualan!$A$2:$A$5998,A971)</f>
        <v>10041500</v>
      </c>
      <c r="G971" s="39" t="n">
        <f aca="false">IF(E971="KANTOR",0,INDEX(Master_Customer!$C$2:$C$126,MATCH(C971,Master_Customer!$A$2:$A$126,0)))</f>
        <v>0</v>
      </c>
      <c r="H971" s="53" t="n">
        <f aca="false">B971+G971</f>
        <v>45866</v>
      </c>
      <c r="J971" s="39" t="str">
        <f aca="false">IF(G971=0,"Tunai",IF(I971="","Belum ditukar","Sudah ditukar"))</f>
        <v>Tunai</v>
      </c>
      <c r="K971" s="54" t="n">
        <v>10041500</v>
      </c>
      <c r="L971" s="51" t="n">
        <v>45866</v>
      </c>
      <c r="M971" s="52" t="n">
        <f aca="false">F971-K971</f>
        <v>0</v>
      </c>
      <c r="N971" s="39" t="str">
        <f aca="false">IF(M971&lt;=0,"Lunas",IF(K971&gt;0,"Sebagian","Belum Bayar"))</f>
        <v>Lunas</v>
      </c>
      <c r="O971" s="39" t="n">
        <f aca="false">IF(M971&gt;0,MAX(0,Catatan!$B$3-H971),0)</f>
        <v>0</v>
      </c>
      <c r="P971" s="39" t="str">
        <f aca="false">IF(M971&lt;=0,"Lunas",IF(Catatan!$B$3&lt;=H971,"Belum Jatuh Tempo",IF(O971&lt;=30,"1-30 hari",IF(O971&lt;=60,"31-60 hari",IF(O971&lt;=90,"61-90 hari","90+ hari")))))</f>
        <v>Lunas</v>
      </c>
      <c r="Q971" s="50"/>
      <c r="R971" s="39" t="str">
        <f aca="false">IF(M971&lt;=0,"",IF(O971&gt;60,"1-Tinggi",IF(O971&gt;30,"2-Sedang",IF(O971&gt;0,"3-Rendah","4-Pantau"))))</f>
        <v/>
      </c>
      <c r="S971" s="39" t="str">
        <f aca="false">IF(AND(M971&gt;0,O971&gt;0),O971+M971/1000000000000+ROW()/1000000000000000,"")</f>
        <v/>
      </c>
      <c r="T971" s="39" t="str">
        <f aca="false">IF(J971="Belum ditukar",ROW(),"")</f>
        <v/>
      </c>
    </row>
    <row r="972" customFormat="false" ht="15" hidden="false" customHeight="false" outlineLevel="0" collapsed="false">
      <c r="A972" s="50" t="s">
        <v>1257</v>
      </c>
      <c r="B972" s="51" t="n">
        <v>45866</v>
      </c>
      <c r="C972" s="50" t="s">
        <v>289</v>
      </c>
      <c r="D972" s="39" t="str">
        <f aca="false">INDEX(Master_Customer!$B$2:$B$126,MATCH(C972,Master_Customer!$A$2:$A$126,0))</f>
        <v>SINAR GARAGE</v>
      </c>
      <c r="E972" s="50" t="s">
        <v>28</v>
      </c>
      <c r="F972" s="52" t="n">
        <f aca="false">SUMIFS(Data_Penjualan!$G$2:$G$5998,Data_Penjualan!$A$2:$A$5998,A972)</f>
        <v>10380800</v>
      </c>
      <c r="G972" s="39" t="n">
        <f aca="false">IF(E972="KANTOR",0,INDEX(Master_Customer!$C$2:$C$126,MATCH(C972,Master_Customer!$A$2:$A$126,0)))</f>
        <v>30</v>
      </c>
      <c r="H972" s="53" t="n">
        <f aca="false">B972+G972</f>
        <v>45896</v>
      </c>
      <c r="I972" s="51" t="n">
        <v>45869</v>
      </c>
      <c r="J972" s="39" t="str">
        <f aca="false">IF(G972=0,"Tunai",IF(I972="","Belum ditukar","Sudah ditukar"))</f>
        <v>Sudah ditukar</v>
      </c>
      <c r="K972" s="54" t="n">
        <v>10380800</v>
      </c>
      <c r="L972" s="51" t="n">
        <v>45899</v>
      </c>
      <c r="M972" s="52" t="n">
        <f aca="false">F972-K972</f>
        <v>0</v>
      </c>
      <c r="N972" s="39" t="str">
        <f aca="false">IF(M972&lt;=0,"Lunas",IF(K972&gt;0,"Sebagian","Belum Bayar"))</f>
        <v>Lunas</v>
      </c>
      <c r="O972" s="39" t="n">
        <f aca="false">IF(M972&gt;0,MAX(0,Catatan!$B$3-H972),0)</f>
        <v>0</v>
      </c>
      <c r="P972" s="39" t="str">
        <f aca="false">IF(M972&lt;=0,"Lunas",IF(Catatan!$B$3&lt;=H972,"Belum Jatuh Tempo",IF(O972&lt;=30,"1-30 hari",IF(O972&lt;=60,"31-60 hari",IF(O972&lt;=90,"61-90 hari","90+ hari")))))</f>
        <v>Lunas</v>
      </c>
      <c r="Q972" s="50"/>
      <c r="R972" s="39" t="str">
        <f aca="false">IF(M972&lt;=0,"",IF(O972&gt;60,"1-Tinggi",IF(O972&gt;30,"2-Sedang",IF(O972&gt;0,"3-Rendah","4-Pantau"))))</f>
        <v/>
      </c>
      <c r="S972" s="39" t="str">
        <f aca="false">IF(AND(M972&gt;0,O972&gt;0),O972+M972/1000000000000+ROW()/1000000000000000,"")</f>
        <v/>
      </c>
      <c r="T972" s="39" t="str">
        <f aca="false">IF(J972="Belum ditukar",ROW(),"")</f>
        <v/>
      </c>
    </row>
    <row r="973" customFormat="false" ht="15" hidden="false" customHeight="false" outlineLevel="0" collapsed="false">
      <c r="A973" s="50" t="s">
        <v>1258</v>
      </c>
      <c r="B973" s="51" t="n">
        <v>45866</v>
      </c>
      <c r="C973" s="50" t="s">
        <v>166</v>
      </c>
      <c r="D973" s="39" t="str">
        <f aca="false">INDEX(Master_Customer!$B$2:$B$126,MATCH(C973,Master_Customer!$A$2:$A$126,0))</f>
        <v>SENTOSA SERVICE</v>
      </c>
      <c r="E973" s="50" t="s">
        <v>30</v>
      </c>
      <c r="F973" s="52" t="n">
        <f aca="false">SUMIFS(Data_Penjualan!$G$2:$G$5998,Data_Penjualan!$A$2:$A$5998,A973)</f>
        <v>1709200</v>
      </c>
      <c r="G973" s="39" t="n">
        <f aca="false">IF(E973="KANTOR",0,INDEX(Master_Customer!$C$2:$C$126,MATCH(C973,Master_Customer!$A$2:$A$126,0)))</f>
        <v>0</v>
      </c>
      <c r="H973" s="53" t="n">
        <f aca="false">B973+G973</f>
        <v>45866</v>
      </c>
      <c r="J973" s="39" t="str">
        <f aca="false">IF(G973=0,"Tunai",IF(I973="","Belum ditukar","Sudah ditukar"))</f>
        <v>Tunai</v>
      </c>
      <c r="K973" s="54" t="n">
        <v>1709200</v>
      </c>
      <c r="L973" s="51" t="n">
        <v>45866</v>
      </c>
      <c r="M973" s="52" t="n">
        <f aca="false">F973-K973</f>
        <v>0</v>
      </c>
      <c r="N973" s="39" t="str">
        <f aca="false">IF(M973&lt;=0,"Lunas",IF(K973&gt;0,"Sebagian","Belum Bayar"))</f>
        <v>Lunas</v>
      </c>
      <c r="O973" s="39" t="n">
        <f aca="false">IF(M973&gt;0,MAX(0,Catatan!$B$3-H973),0)</f>
        <v>0</v>
      </c>
      <c r="P973" s="39" t="str">
        <f aca="false">IF(M973&lt;=0,"Lunas",IF(Catatan!$B$3&lt;=H973,"Belum Jatuh Tempo",IF(O973&lt;=30,"1-30 hari",IF(O973&lt;=60,"31-60 hari",IF(O973&lt;=90,"61-90 hari","90+ hari")))))</f>
        <v>Lunas</v>
      </c>
      <c r="Q973" s="50"/>
      <c r="R973" s="39" t="str">
        <f aca="false">IF(M973&lt;=0,"",IF(O973&gt;60,"1-Tinggi",IF(O973&gt;30,"2-Sedang",IF(O973&gt;0,"3-Rendah","4-Pantau"))))</f>
        <v/>
      </c>
      <c r="S973" s="39" t="str">
        <f aca="false">IF(AND(M973&gt;0,O973&gt;0),O973+M973/1000000000000+ROW()/1000000000000000,"")</f>
        <v/>
      </c>
      <c r="T973" s="39" t="str">
        <f aca="false">IF(J973="Belum ditukar",ROW(),"")</f>
        <v/>
      </c>
    </row>
    <row r="974" customFormat="false" ht="15" hidden="false" customHeight="false" outlineLevel="0" collapsed="false">
      <c r="A974" s="50" t="s">
        <v>1259</v>
      </c>
      <c r="B974" s="51" t="n">
        <v>45866</v>
      </c>
      <c r="C974" s="50" t="s">
        <v>505</v>
      </c>
      <c r="D974" s="39" t="str">
        <f aca="false">INDEX(Master_Customer!$B$2:$B$126,MATCH(C974,Master_Customer!$A$2:$A$126,0))</f>
        <v>GEMILANG OLI CAHAYA</v>
      </c>
      <c r="E974" s="50" t="s">
        <v>31</v>
      </c>
      <c r="F974" s="52" t="n">
        <f aca="false">SUMIFS(Data_Penjualan!$G$2:$G$5998,Data_Penjualan!$A$2:$A$5998,A974)</f>
        <v>8613700</v>
      </c>
      <c r="G974" s="39" t="n">
        <f aca="false">IF(E974="KANTOR",0,INDEX(Master_Customer!$C$2:$C$126,MATCH(C974,Master_Customer!$A$2:$A$126,0)))</f>
        <v>0</v>
      </c>
      <c r="H974" s="53" t="n">
        <f aca="false">B974+G974</f>
        <v>45866</v>
      </c>
      <c r="J974" s="39" t="str">
        <f aca="false">IF(G974=0,"Tunai",IF(I974="","Belum ditukar","Sudah ditukar"))</f>
        <v>Tunai</v>
      </c>
      <c r="K974" s="54" t="n">
        <v>8613700</v>
      </c>
      <c r="L974" s="51" t="n">
        <v>45866</v>
      </c>
      <c r="M974" s="52" t="n">
        <f aca="false">F974-K974</f>
        <v>0</v>
      </c>
      <c r="N974" s="39" t="str">
        <f aca="false">IF(M974&lt;=0,"Lunas",IF(K974&gt;0,"Sebagian","Belum Bayar"))</f>
        <v>Lunas</v>
      </c>
      <c r="O974" s="39" t="n">
        <f aca="false">IF(M974&gt;0,MAX(0,Catatan!$B$3-H974),0)</f>
        <v>0</v>
      </c>
      <c r="P974" s="39" t="str">
        <f aca="false">IF(M974&lt;=0,"Lunas",IF(Catatan!$B$3&lt;=H974,"Belum Jatuh Tempo",IF(O974&lt;=30,"1-30 hari",IF(O974&lt;=60,"31-60 hari",IF(O974&lt;=90,"61-90 hari","90+ hari")))))</f>
        <v>Lunas</v>
      </c>
      <c r="Q974" s="50"/>
      <c r="R974" s="39" t="str">
        <f aca="false">IF(M974&lt;=0,"",IF(O974&gt;60,"1-Tinggi",IF(O974&gt;30,"2-Sedang",IF(O974&gt;0,"3-Rendah","4-Pantau"))))</f>
        <v/>
      </c>
      <c r="S974" s="39" t="str">
        <f aca="false">IF(AND(M974&gt;0,O974&gt;0),O974+M974/1000000000000+ROW()/1000000000000000,"")</f>
        <v/>
      </c>
      <c r="T974" s="39" t="str">
        <f aca="false">IF(J974="Belum ditukar",ROW(),"")</f>
        <v/>
      </c>
    </row>
    <row r="975" customFormat="false" ht="15" hidden="false" customHeight="false" outlineLevel="0" collapsed="false">
      <c r="A975" s="50" t="s">
        <v>1260</v>
      </c>
      <c r="B975" s="51" t="n">
        <v>45867</v>
      </c>
      <c r="C975" s="50" t="s">
        <v>174</v>
      </c>
      <c r="D975" s="39" t="str">
        <f aca="false">INDEX(Master_Customer!$B$2:$B$126,MATCH(C975,Master_Customer!$A$2:$A$126,0))</f>
        <v>SUMBER TEKNIK SURYA</v>
      </c>
      <c r="E975" s="50" t="s">
        <v>31</v>
      </c>
      <c r="F975" s="52" t="n">
        <f aca="false">SUMIFS(Data_Penjualan!$G$2:$G$5998,Data_Penjualan!$A$2:$A$5998,A975)</f>
        <v>11418000</v>
      </c>
      <c r="G975" s="39" t="n">
        <f aca="false">IF(E975="KANTOR",0,INDEX(Master_Customer!$C$2:$C$126,MATCH(C975,Master_Customer!$A$2:$A$126,0)))</f>
        <v>30</v>
      </c>
      <c r="H975" s="53" t="n">
        <f aca="false">B975+G975</f>
        <v>45897</v>
      </c>
      <c r="I975" s="51" t="n">
        <v>45872</v>
      </c>
      <c r="J975" s="39" t="str">
        <f aca="false">IF(G975=0,"Tunai",IF(I975="","Belum ditukar","Sudah ditukar"))</f>
        <v>Sudah ditukar</v>
      </c>
      <c r="K975" s="54" t="n">
        <v>11418000</v>
      </c>
      <c r="L975" s="51" t="n">
        <v>45889</v>
      </c>
      <c r="M975" s="52" t="n">
        <f aca="false">F975-K975</f>
        <v>0</v>
      </c>
      <c r="N975" s="39" t="str">
        <f aca="false">IF(M975&lt;=0,"Lunas",IF(K975&gt;0,"Sebagian","Belum Bayar"))</f>
        <v>Lunas</v>
      </c>
      <c r="O975" s="39" t="n">
        <f aca="false">IF(M975&gt;0,MAX(0,Catatan!$B$3-H975),0)</f>
        <v>0</v>
      </c>
      <c r="P975" s="39" t="str">
        <f aca="false">IF(M975&lt;=0,"Lunas",IF(Catatan!$B$3&lt;=H975,"Belum Jatuh Tempo",IF(O975&lt;=30,"1-30 hari",IF(O975&lt;=60,"31-60 hari",IF(O975&lt;=90,"61-90 hari","90+ hari")))))</f>
        <v>Lunas</v>
      </c>
      <c r="Q975" s="50"/>
      <c r="R975" s="39" t="str">
        <f aca="false">IF(M975&lt;=0,"",IF(O975&gt;60,"1-Tinggi",IF(O975&gt;30,"2-Sedang",IF(O975&gt;0,"3-Rendah","4-Pantau"))))</f>
        <v/>
      </c>
      <c r="S975" s="39" t="str">
        <f aca="false">IF(AND(M975&gt;0,O975&gt;0),O975+M975/1000000000000+ROW()/1000000000000000,"")</f>
        <v/>
      </c>
      <c r="T975" s="39" t="str">
        <f aca="false">IF(J975="Belum ditukar",ROW(),"")</f>
        <v/>
      </c>
    </row>
    <row r="976" customFormat="false" ht="15" hidden="false" customHeight="false" outlineLevel="0" collapsed="false">
      <c r="A976" s="50" t="s">
        <v>1261</v>
      </c>
      <c r="B976" s="51" t="n">
        <v>45867</v>
      </c>
      <c r="C976" s="50" t="s">
        <v>174</v>
      </c>
      <c r="D976" s="39" t="str">
        <f aca="false">INDEX(Master_Customer!$B$2:$B$126,MATCH(C976,Master_Customer!$A$2:$A$126,0))</f>
        <v>SUMBER TEKNIK SURYA</v>
      </c>
      <c r="E976" s="50" t="s">
        <v>31</v>
      </c>
      <c r="F976" s="52" t="n">
        <f aca="false">SUMIFS(Data_Penjualan!$G$2:$G$5998,Data_Penjualan!$A$2:$A$5998,A976)</f>
        <v>7674900</v>
      </c>
      <c r="G976" s="39" t="n">
        <f aca="false">IF(E976="KANTOR",0,INDEX(Master_Customer!$C$2:$C$126,MATCH(C976,Master_Customer!$A$2:$A$126,0)))</f>
        <v>30</v>
      </c>
      <c r="H976" s="53" t="n">
        <f aca="false">B976+G976</f>
        <v>45897</v>
      </c>
      <c r="I976" s="51" t="n">
        <v>45870</v>
      </c>
      <c r="J976" s="39" t="str">
        <f aca="false">IF(G976=0,"Tunai",IF(I976="","Belum ditukar","Sudah ditukar"))</f>
        <v>Sudah ditukar</v>
      </c>
      <c r="K976" s="54" t="n">
        <v>7674900</v>
      </c>
      <c r="L976" s="51" t="n">
        <v>45889</v>
      </c>
      <c r="M976" s="52" t="n">
        <f aca="false">F976-K976</f>
        <v>0</v>
      </c>
      <c r="N976" s="39" t="str">
        <f aca="false">IF(M976&lt;=0,"Lunas",IF(K976&gt;0,"Sebagian","Belum Bayar"))</f>
        <v>Lunas</v>
      </c>
      <c r="O976" s="39" t="n">
        <f aca="false">IF(M976&gt;0,MAX(0,Catatan!$B$3-H976),0)</f>
        <v>0</v>
      </c>
      <c r="P976" s="39" t="str">
        <f aca="false">IF(M976&lt;=0,"Lunas",IF(Catatan!$B$3&lt;=H976,"Belum Jatuh Tempo",IF(O976&lt;=30,"1-30 hari",IF(O976&lt;=60,"31-60 hari",IF(O976&lt;=90,"61-90 hari","90+ hari")))))</f>
        <v>Lunas</v>
      </c>
      <c r="Q976" s="50"/>
      <c r="R976" s="39" t="str">
        <f aca="false">IF(M976&lt;=0,"",IF(O976&gt;60,"1-Tinggi",IF(O976&gt;30,"2-Sedang",IF(O976&gt;0,"3-Rendah","4-Pantau"))))</f>
        <v/>
      </c>
      <c r="S976" s="39" t="str">
        <f aca="false">IF(AND(M976&gt;0,O976&gt;0),O976+M976/1000000000000+ROW()/1000000000000000,"")</f>
        <v/>
      </c>
      <c r="T976" s="39" t="str">
        <f aca="false">IF(J976="Belum ditukar",ROW(),"")</f>
        <v/>
      </c>
    </row>
    <row r="977" customFormat="false" ht="15" hidden="false" customHeight="false" outlineLevel="0" collapsed="false">
      <c r="A977" s="50" t="s">
        <v>1262</v>
      </c>
      <c r="B977" s="51" t="n">
        <v>45867</v>
      </c>
      <c r="C977" s="50" t="s">
        <v>166</v>
      </c>
      <c r="D977" s="39" t="str">
        <f aca="false">INDEX(Master_Customer!$B$2:$B$126,MATCH(C977,Master_Customer!$A$2:$A$126,0))</f>
        <v>SENTOSA SERVICE</v>
      </c>
      <c r="E977" s="50" t="s">
        <v>30</v>
      </c>
      <c r="F977" s="52" t="n">
        <f aca="false">SUMIFS(Data_Penjualan!$G$2:$G$5998,Data_Penjualan!$A$2:$A$5998,A977)</f>
        <v>3077400</v>
      </c>
      <c r="G977" s="39" t="n">
        <f aca="false">IF(E977="KANTOR",0,INDEX(Master_Customer!$C$2:$C$126,MATCH(C977,Master_Customer!$A$2:$A$126,0)))</f>
        <v>0</v>
      </c>
      <c r="H977" s="53" t="n">
        <f aca="false">B977+G977</f>
        <v>45867</v>
      </c>
      <c r="J977" s="39" t="str">
        <f aca="false">IF(G977=0,"Tunai",IF(I977="","Belum ditukar","Sudah ditukar"))</f>
        <v>Tunai</v>
      </c>
      <c r="K977" s="54" t="n">
        <v>3077400</v>
      </c>
      <c r="L977" s="51" t="n">
        <v>45869</v>
      </c>
      <c r="M977" s="52" t="n">
        <f aca="false">F977-K977</f>
        <v>0</v>
      </c>
      <c r="N977" s="39" t="str">
        <f aca="false">IF(M977&lt;=0,"Lunas",IF(K977&gt;0,"Sebagian","Belum Bayar"))</f>
        <v>Lunas</v>
      </c>
      <c r="O977" s="39" t="n">
        <f aca="false">IF(M977&gt;0,MAX(0,Catatan!$B$3-H977),0)</f>
        <v>0</v>
      </c>
      <c r="P977" s="39" t="str">
        <f aca="false">IF(M977&lt;=0,"Lunas",IF(Catatan!$B$3&lt;=H977,"Belum Jatuh Tempo",IF(O977&lt;=30,"1-30 hari",IF(O977&lt;=60,"31-60 hari",IF(O977&lt;=90,"61-90 hari","90+ hari")))))</f>
        <v>Lunas</v>
      </c>
      <c r="Q977" s="50"/>
      <c r="R977" s="39" t="str">
        <f aca="false">IF(M977&lt;=0,"",IF(O977&gt;60,"1-Tinggi",IF(O977&gt;30,"2-Sedang",IF(O977&gt;0,"3-Rendah","4-Pantau"))))</f>
        <v/>
      </c>
      <c r="S977" s="39" t="str">
        <f aca="false">IF(AND(M977&gt;0,O977&gt;0),O977+M977/1000000000000+ROW()/1000000000000000,"")</f>
        <v/>
      </c>
      <c r="T977" s="39" t="str">
        <f aca="false">IF(J977="Belum ditukar",ROW(),"")</f>
        <v/>
      </c>
    </row>
    <row r="978" customFormat="false" ht="15" hidden="false" customHeight="false" outlineLevel="0" collapsed="false">
      <c r="A978" s="50" t="s">
        <v>1263</v>
      </c>
      <c r="B978" s="51" t="n">
        <v>45867</v>
      </c>
      <c r="C978" s="50" t="s">
        <v>447</v>
      </c>
      <c r="D978" s="39" t="str">
        <f aca="false">INDEX(Master_Customer!$B$2:$B$126,MATCH(C978,Master_Customer!$A$2:$A$126,0))</f>
        <v>PRIMA LUBRICANT</v>
      </c>
      <c r="E978" s="50" t="s">
        <v>28</v>
      </c>
      <c r="F978" s="52" t="n">
        <f aca="false">SUMIFS(Data_Penjualan!$G$2:$G$5998,Data_Penjualan!$A$2:$A$5998,A978)</f>
        <v>9593100</v>
      </c>
      <c r="G978" s="39" t="n">
        <f aca="false">IF(E978="KANTOR",0,INDEX(Master_Customer!$C$2:$C$126,MATCH(C978,Master_Customer!$A$2:$A$126,0)))</f>
        <v>30</v>
      </c>
      <c r="H978" s="53" t="n">
        <f aca="false">B978+G978</f>
        <v>45897</v>
      </c>
      <c r="I978" s="51" t="n">
        <v>45872</v>
      </c>
      <c r="J978" s="39" t="str">
        <f aca="false">IF(G978=0,"Tunai",IF(I978="","Belum ditukar","Sudah ditukar"))</f>
        <v>Sudah ditukar</v>
      </c>
      <c r="K978" s="54" t="n">
        <v>9593100</v>
      </c>
      <c r="L978" s="51" t="n">
        <v>45924</v>
      </c>
      <c r="M978" s="52" t="n">
        <f aca="false">F978-K978</f>
        <v>0</v>
      </c>
      <c r="N978" s="39" t="str">
        <f aca="false">IF(M978&lt;=0,"Lunas",IF(K978&gt;0,"Sebagian","Belum Bayar"))</f>
        <v>Lunas</v>
      </c>
      <c r="O978" s="39" t="n">
        <f aca="false">IF(M978&gt;0,MAX(0,Catatan!$B$3-H978),0)</f>
        <v>0</v>
      </c>
      <c r="P978" s="39" t="str">
        <f aca="false">IF(M978&lt;=0,"Lunas",IF(Catatan!$B$3&lt;=H978,"Belum Jatuh Tempo",IF(O978&lt;=30,"1-30 hari",IF(O978&lt;=60,"31-60 hari",IF(O978&lt;=90,"61-90 hari","90+ hari")))))</f>
        <v>Lunas</v>
      </c>
      <c r="Q978" s="50"/>
      <c r="R978" s="39" t="str">
        <f aca="false">IF(M978&lt;=0,"",IF(O978&gt;60,"1-Tinggi",IF(O978&gt;30,"2-Sedang",IF(O978&gt;0,"3-Rendah","4-Pantau"))))</f>
        <v/>
      </c>
      <c r="S978" s="39" t="str">
        <f aca="false">IF(AND(M978&gt;0,O978&gt;0),O978+M978/1000000000000+ROW()/1000000000000000,"")</f>
        <v/>
      </c>
      <c r="T978" s="39" t="str">
        <f aca="false">IF(J978="Belum ditukar",ROW(),"")</f>
        <v/>
      </c>
    </row>
    <row r="979" customFormat="false" ht="15" hidden="false" customHeight="false" outlineLevel="0" collapsed="false">
      <c r="A979" s="50" t="s">
        <v>1264</v>
      </c>
      <c r="B979" s="51" t="n">
        <v>45867</v>
      </c>
      <c r="C979" s="50" t="s">
        <v>430</v>
      </c>
      <c r="D979" s="39" t="str">
        <f aca="false">INDEX(Master_Customer!$B$2:$B$126,MATCH(C979,Master_Customer!$A$2:$A$126,0))</f>
        <v>TIRTA MOBIL</v>
      </c>
      <c r="E979" s="50" t="s">
        <v>28</v>
      </c>
      <c r="F979" s="52" t="n">
        <f aca="false">SUMIFS(Data_Penjualan!$G$2:$G$5998,Data_Penjualan!$A$2:$A$5998,A979)</f>
        <v>14121000</v>
      </c>
      <c r="G979" s="39" t="n">
        <f aca="false">IF(E979="KANTOR",0,INDEX(Master_Customer!$C$2:$C$126,MATCH(C979,Master_Customer!$A$2:$A$126,0)))</f>
        <v>30</v>
      </c>
      <c r="H979" s="53" t="n">
        <f aca="false">B979+G979</f>
        <v>45897</v>
      </c>
      <c r="I979" s="51" t="n">
        <v>45872</v>
      </c>
      <c r="J979" s="39" t="str">
        <f aca="false">IF(G979=0,"Tunai",IF(I979="","Belum ditukar","Sudah ditukar"))</f>
        <v>Sudah ditukar</v>
      </c>
      <c r="K979" s="54" t="n">
        <v>14121000</v>
      </c>
      <c r="L979" s="51" t="n">
        <v>45893</v>
      </c>
      <c r="M979" s="52" t="n">
        <f aca="false">F979-K979</f>
        <v>0</v>
      </c>
      <c r="N979" s="39" t="str">
        <f aca="false">IF(M979&lt;=0,"Lunas",IF(K979&gt;0,"Sebagian","Belum Bayar"))</f>
        <v>Lunas</v>
      </c>
      <c r="O979" s="39" t="n">
        <f aca="false">IF(M979&gt;0,MAX(0,Catatan!$B$3-H979),0)</f>
        <v>0</v>
      </c>
      <c r="P979" s="39" t="str">
        <f aca="false">IF(M979&lt;=0,"Lunas",IF(Catatan!$B$3&lt;=H979,"Belum Jatuh Tempo",IF(O979&lt;=30,"1-30 hari",IF(O979&lt;=60,"31-60 hari",IF(O979&lt;=90,"61-90 hari","90+ hari")))))</f>
        <v>Lunas</v>
      </c>
      <c r="Q979" s="50"/>
      <c r="R979" s="39" t="str">
        <f aca="false">IF(M979&lt;=0,"",IF(O979&gt;60,"1-Tinggi",IF(O979&gt;30,"2-Sedang",IF(O979&gt;0,"3-Rendah","4-Pantau"))))</f>
        <v/>
      </c>
      <c r="S979" s="39" t="str">
        <f aca="false">IF(AND(M979&gt;0,O979&gt;0),O979+M979/1000000000000+ROW()/1000000000000000,"")</f>
        <v/>
      </c>
      <c r="T979" s="39" t="str">
        <f aca="false">IF(J979="Belum ditukar",ROW(),"")</f>
        <v/>
      </c>
    </row>
    <row r="980" customFormat="false" ht="15" hidden="false" customHeight="false" outlineLevel="0" collapsed="false">
      <c r="A980" s="50" t="s">
        <v>1265</v>
      </c>
      <c r="B980" s="51" t="n">
        <v>45868</v>
      </c>
      <c r="C980" s="50" t="s">
        <v>195</v>
      </c>
      <c r="D980" s="39" t="str">
        <f aca="false">INDEX(Master_Customer!$B$2:$B$126,MATCH(C980,Master_Customer!$A$2:$A$126,0))</f>
        <v>KARYA LUBRICANT BINTANG</v>
      </c>
      <c r="E980" s="50" t="s">
        <v>30</v>
      </c>
      <c r="F980" s="52" t="n">
        <f aca="false">SUMIFS(Data_Penjualan!$G$2:$G$5998,Data_Penjualan!$A$2:$A$5998,A980)</f>
        <v>6838700</v>
      </c>
      <c r="G980" s="39" t="n">
        <f aca="false">IF(E980="KANTOR",0,INDEX(Master_Customer!$C$2:$C$126,MATCH(C980,Master_Customer!$A$2:$A$126,0)))</f>
        <v>14</v>
      </c>
      <c r="H980" s="53" t="n">
        <f aca="false">B980+G980</f>
        <v>45882</v>
      </c>
      <c r="I980" s="51" t="n">
        <v>45872</v>
      </c>
      <c r="J980" s="39" t="str">
        <f aca="false">IF(G980=0,"Tunai",IF(I980="","Belum ditukar","Sudah ditukar"))</f>
        <v>Sudah ditukar</v>
      </c>
      <c r="K980" s="54" t="n">
        <v>6838700</v>
      </c>
      <c r="L980" s="51" t="n">
        <v>45876</v>
      </c>
      <c r="M980" s="52" t="n">
        <f aca="false">F980-K980</f>
        <v>0</v>
      </c>
      <c r="N980" s="39" t="str">
        <f aca="false">IF(M980&lt;=0,"Lunas",IF(K980&gt;0,"Sebagian","Belum Bayar"))</f>
        <v>Lunas</v>
      </c>
      <c r="O980" s="39" t="n">
        <f aca="false">IF(M980&gt;0,MAX(0,Catatan!$B$3-H980),0)</f>
        <v>0</v>
      </c>
      <c r="P980" s="39" t="str">
        <f aca="false">IF(M980&lt;=0,"Lunas",IF(Catatan!$B$3&lt;=H980,"Belum Jatuh Tempo",IF(O980&lt;=30,"1-30 hari",IF(O980&lt;=60,"31-60 hari",IF(O980&lt;=90,"61-90 hari","90+ hari")))))</f>
        <v>Lunas</v>
      </c>
      <c r="Q980" s="50"/>
      <c r="R980" s="39" t="str">
        <f aca="false">IF(M980&lt;=0,"",IF(O980&gt;60,"1-Tinggi",IF(O980&gt;30,"2-Sedang",IF(O980&gt;0,"3-Rendah","4-Pantau"))))</f>
        <v/>
      </c>
      <c r="S980" s="39" t="str">
        <f aca="false">IF(AND(M980&gt;0,O980&gt;0),O980+M980/1000000000000+ROW()/1000000000000000,"")</f>
        <v/>
      </c>
      <c r="T980" s="39" t="str">
        <f aca="false">IF(J980="Belum ditukar",ROW(),"")</f>
        <v/>
      </c>
    </row>
    <row r="981" customFormat="false" ht="15" hidden="false" customHeight="false" outlineLevel="0" collapsed="false">
      <c r="A981" s="50" t="s">
        <v>1266</v>
      </c>
      <c r="B981" s="51" t="n">
        <v>45868</v>
      </c>
      <c r="C981" s="50" t="s">
        <v>188</v>
      </c>
      <c r="D981" s="39" t="str">
        <f aca="false">INDEX(Master_Customer!$B$2:$B$126,MATCH(C981,Master_Customer!$A$2:$A$126,0))</f>
        <v>MAJU GARAGE TIRTA</v>
      </c>
      <c r="E981" s="50" t="s">
        <v>31</v>
      </c>
      <c r="F981" s="52" t="n">
        <f aca="false">SUMIFS(Data_Penjualan!$G$2:$G$5998,Data_Penjualan!$A$2:$A$5998,A981)</f>
        <v>12020900</v>
      </c>
      <c r="G981" s="39" t="n">
        <f aca="false">IF(E981="KANTOR",0,INDEX(Master_Customer!$C$2:$C$126,MATCH(C981,Master_Customer!$A$2:$A$126,0)))</f>
        <v>45</v>
      </c>
      <c r="H981" s="53" t="n">
        <f aca="false">B981+G981</f>
        <v>45913</v>
      </c>
      <c r="I981" s="51" t="n">
        <v>45870</v>
      </c>
      <c r="J981" s="39" t="str">
        <f aca="false">IF(G981=0,"Tunai",IF(I981="","Belum ditukar","Sudah ditukar"))</f>
        <v>Sudah ditukar</v>
      </c>
      <c r="K981" s="54" t="n">
        <v>12020900</v>
      </c>
      <c r="L981" s="51" t="n">
        <v>45930</v>
      </c>
      <c r="M981" s="52" t="n">
        <f aca="false">F981-K981</f>
        <v>0</v>
      </c>
      <c r="N981" s="39" t="str">
        <f aca="false">IF(M981&lt;=0,"Lunas",IF(K981&gt;0,"Sebagian","Belum Bayar"))</f>
        <v>Lunas</v>
      </c>
      <c r="O981" s="39" t="n">
        <f aca="false">IF(M981&gt;0,MAX(0,Catatan!$B$3-H981),0)</f>
        <v>0</v>
      </c>
      <c r="P981" s="39" t="str">
        <f aca="false">IF(M981&lt;=0,"Lunas",IF(Catatan!$B$3&lt;=H981,"Belum Jatuh Tempo",IF(O981&lt;=30,"1-30 hari",IF(O981&lt;=60,"31-60 hari",IF(O981&lt;=90,"61-90 hari","90+ hari")))))</f>
        <v>Lunas</v>
      </c>
      <c r="Q981" s="50"/>
      <c r="R981" s="39" t="str">
        <f aca="false">IF(M981&lt;=0,"",IF(O981&gt;60,"1-Tinggi",IF(O981&gt;30,"2-Sedang",IF(O981&gt;0,"3-Rendah","4-Pantau"))))</f>
        <v/>
      </c>
      <c r="S981" s="39" t="str">
        <f aca="false">IF(AND(M981&gt;0,O981&gt;0),O981+M981/1000000000000+ROW()/1000000000000000,"")</f>
        <v/>
      </c>
      <c r="T981" s="39" t="str">
        <f aca="false">IF(J981="Belum ditukar",ROW(),"")</f>
        <v/>
      </c>
    </row>
    <row r="982" customFormat="false" ht="15" hidden="false" customHeight="false" outlineLevel="0" collapsed="false">
      <c r="A982" s="50" t="s">
        <v>1267</v>
      </c>
      <c r="B982" s="51" t="n">
        <v>45868</v>
      </c>
      <c r="C982" s="50" t="s">
        <v>166</v>
      </c>
      <c r="D982" s="39" t="str">
        <f aca="false">INDEX(Master_Customer!$B$2:$B$126,MATCH(C982,Master_Customer!$A$2:$A$126,0))</f>
        <v>SENTOSA SERVICE</v>
      </c>
      <c r="E982" s="50" t="s">
        <v>30</v>
      </c>
      <c r="F982" s="52" t="n">
        <f aca="false">SUMIFS(Data_Penjualan!$G$2:$G$5998,Data_Penjualan!$A$2:$A$5998,A982)</f>
        <v>10906900</v>
      </c>
      <c r="G982" s="39" t="n">
        <f aca="false">IF(E982="KANTOR",0,INDEX(Master_Customer!$C$2:$C$126,MATCH(C982,Master_Customer!$A$2:$A$126,0)))</f>
        <v>0</v>
      </c>
      <c r="H982" s="53" t="n">
        <f aca="false">B982+G982</f>
        <v>45868</v>
      </c>
      <c r="J982" s="39" t="str">
        <f aca="false">IF(G982=0,"Tunai",IF(I982="","Belum ditukar","Sudah ditukar"))</f>
        <v>Tunai</v>
      </c>
      <c r="K982" s="54" t="n">
        <v>10906900</v>
      </c>
      <c r="L982" s="51" t="n">
        <v>45868</v>
      </c>
      <c r="M982" s="52" t="n">
        <f aca="false">F982-K982</f>
        <v>0</v>
      </c>
      <c r="N982" s="39" t="str">
        <f aca="false">IF(M982&lt;=0,"Lunas",IF(K982&gt;0,"Sebagian","Belum Bayar"))</f>
        <v>Lunas</v>
      </c>
      <c r="O982" s="39" t="n">
        <f aca="false">IF(M982&gt;0,MAX(0,Catatan!$B$3-H982),0)</f>
        <v>0</v>
      </c>
      <c r="P982" s="39" t="str">
        <f aca="false">IF(M982&lt;=0,"Lunas",IF(Catatan!$B$3&lt;=H982,"Belum Jatuh Tempo",IF(O982&lt;=30,"1-30 hari",IF(O982&lt;=60,"31-60 hari",IF(O982&lt;=90,"61-90 hari","90+ hari")))))</f>
        <v>Lunas</v>
      </c>
      <c r="Q982" s="50"/>
      <c r="R982" s="39" t="str">
        <f aca="false">IF(M982&lt;=0,"",IF(O982&gt;60,"1-Tinggi",IF(O982&gt;30,"2-Sedang",IF(O982&gt;0,"3-Rendah","4-Pantau"))))</f>
        <v/>
      </c>
      <c r="S982" s="39" t="str">
        <f aca="false">IF(AND(M982&gt;0,O982&gt;0),O982+M982/1000000000000+ROW()/1000000000000000,"")</f>
        <v/>
      </c>
      <c r="T982" s="39" t="str">
        <f aca="false">IF(J982="Belum ditukar",ROW(),"")</f>
        <v/>
      </c>
    </row>
    <row r="983" customFormat="false" ht="15" hidden="false" customHeight="false" outlineLevel="0" collapsed="false">
      <c r="A983" s="50" t="s">
        <v>1268</v>
      </c>
      <c r="B983" s="51" t="n">
        <v>45868</v>
      </c>
      <c r="C983" s="50" t="s">
        <v>216</v>
      </c>
      <c r="D983" s="39" t="str">
        <f aca="false">INDEX(Master_Customer!$B$2:$B$126,MATCH(C983,Master_Customer!$A$2:$A$126,0))</f>
        <v>SINAR MOTOR UTAMA</v>
      </c>
      <c r="E983" s="50" t="s">
        <v>30</v>
      </c>
      <c r="F983" s="52" t="n">
        <f aca="false">SUMIFS(Data_Penjualan!$G$2:$G$5998,Data_Penjualan!$A$2:$A$5998,A983)</f>
        <v>1975600</v>
      </c>
      <c r="G983" s="39" t="n">
        <f aca="false">IF(E983="KANTOR",0,INDEX(Master_Customer!$C$2:$C$126,MATCH(C983,Master_Customer!$A$2:$A$126,0)))</f>
        <v>0</v>
      </c>
      <c r="H983" s="53" t="n">
        <f aca="false">B983+G983</f>
        <v>45868</v>
      </c>
      <c r="J983" s="39" t="str">
        <f aca="false">IF(G983=0,"Tunai",IF(I983="","Belum ditukar","Sudah ditukar"))</f>
        <v>Tunai</v>
      </c>
      <c r="K983" s="54" t="n">
        <v>1975600</v>
      </c>
      <c r="L983" s="51" t="n">
        <v>45868</v>
      </c>
      <c r="M983" s="52" t="n">
        <f aca="false">F983-K983</f>
        <v>0</v>
      </c>
      <c r="N983" s="39" t="str">
        <f aca="false">IF(M983&lt;=0,"Lunas",IF(K983&gt;0,"Sebagian","Belum Bayar"))</f>
        <v>Lunas</v>
      </c>
      <c r="O983" s="39" t="n">
        <f aca="false">IF(M983&gt;0,MAX(0,Catatan!$B$3-H983),0)</f>
        <v>0</v>
      </c>
      <c r="P983" s="39" t="str">
        <f aca="false">IF(M983&lt;=0,"Lunas",IF(Catatan!$B$3&lt;=H983,"Belum Jatuh Tempo",IF(O983&lt;=30,"1-30 hari",IF(O983&lt;=60,"31-60 hari",IF(O983&lt;=90,"61-90 hari","90+ hari")))))</f>
        <v>Lunas</v>
      </c>
      <c r="Q983" s="50"/>
      <c r="R983" s="39" t="str">
        <f aca="false">IF(M983&lt;=0,"",IF(O983&gt;60,"1-Tinggi",IF(O983&gt;30,"2-Sedang",IF(O983&gt;0,"3-Rendah","4-Pantau"))))</f>
        <v/>
      </c>
      <c r="S983" s="39" t="str">
        <f aca="false">IF(AND(M983&gt;0,O983&gt;0),O983+M983/1000000000000+ROW()/1000000000000000,"")</f>
        <v/>
      </c>
      <c r="T983" s="39" t="str">
        <f aca="false">IF(J983="Belum ditukar",ROW(),"")</f>
        <v/>
      </c>
    </row>
    <row r="984" customFormat="false" ht="15" hidden="false" customHeight="false" outlineLevel="0" collapsed="false">
      <c r="A984" s="50" t="s">
        <v>1269</v>
      </c>
      <c r="B984" s="51" t="n">
        <v>45868</v>
      </c>
      <c r="C984" s="50" t="s">
        <v>174</v>
      </c>
      <c r="D984" s="39" t="str">
        <f aca="false">INDEX(Master_Customer!$B$2:$B$126,MATCH(C984,Master_Customer!$A$2:$A$126,0))</f>
        <v>SUMBER TEKNIK SURYA</v>
      </c>
      <c r="E984" s="50" t="s">
        <v>31</v>
      </c>
      <c r="F984" s="52" t="n">
        <f aca="false">SUMIFS(Data_Penjualan!$G$2:$G$5998,Data_Penjualan!$A$2:$A$5998,A984)</f>
        <v>7601200</v>
      </c>
      <c r="G984" s="39" t="n">
        <f aca="false">IF(E984="KANTOR",0,INDEX(Master_Customer!$C$2:$C$126,MATCH(C984,Master_Customer!$A$2:$A$126,0)))</f>
        <v>30</v>
      </c>
      <c r="H984" s="53" t="n">
        <f aca="false">B984+G984</f>
        <v>45898</v>
      </c>
      <c r="I984" s="51" t="n">
        <v>45872</v>
      </c>
      <c r="J984" s="39" t="str">
        <f aca="false">IF(G984=0,"Tunai",IF(I984="","Belum ditukar","Sudah ditukar"))</f>
        <v>Sudah ditukar</v>
      </c>
      <c r="K984" s="54" t="n">
        <v>7601200</v>
      </c>
      <c r="L984" s="51" t="n">
        <v>45896</v>
      </c>
      <c r="M984" s="52" t="n">
        <f aca="false">F984-K984</f>
        <v>0</v>
      </c>
      <c r="N984" s="39" t="str">
        <f aca="false">IF(M984&lt;=0,"Lunas",IF(K984&gt;0,"Sebagian","Belum Bayar"))</f>
        <v>Lunas</v>
      </c>
      <c r="O984" s="39" t="n">
        <f aca="false">IF(M984&gt;0,MAX(0,Catatan!$B$3-H984),0)</f>
        <v>0</v>
      </c>
      <c r="P984" s="39" t="str">
        <f aca="false">IF(M984&lt;=0,"Lunas",IF(Catatan!$B$3&lt;=H984,"Belum Jatuh Tempo",IF(O984&lt;=30,"1-30 hari",IF(O984&lt;=60,"31-60 hari",IF(O984&lt;=90,"61-90 hari","90+ hari")))))</f>
        <v>Lunas</v>
      </c>
      <c r="Q984" s="50"/>
      <c r="R984" s="39" t="str">
        <f aca="false">IF(M984&lt;=0,"",IF(O984&gt;60,"1-Tinggi",IF(O984&gt;30,"2-Sedang",IF(O984&gt;0,"3-Rendah","4-Pantau"))))</f>
        <v/>
      </c>
      <c r="S984" s="39" t="str">
        <f aca="false">IF(AND(M984&gt;0,O984&gt;0),O984+M984/1000000000000+ROW()/1000000000000000,"")</f>
        <v/>
      </c>
      <c r="T984" s="39" t="str">
        <f aca="false">IF(J984="Belum ditukar",ROW(),"")</f>
        <v/>
      </c>
    </row>
    <row r="985" customFormat="false" ht="15" hidden="false" customHeight="false" outlineLevel="0" collapsed="false">
      <c r="A985" s="50" t="s">
        <v>1270</v>
      </c>
      <c r="B985" s="51" t="n">
        <v>45868</v>
      </c>
      <c r="C985" s="50" t="s">
        <v>168</v>
      </c>
      <c r="D985" s="39" t="str">
        <f aca="false">INDEX(Master_Customer!$B$2:$B$126,MATCH(C985,Master_Customer!$A$2:$A$126,0))</f>
        <v>JAYA LUBRICANT</v>
      </c>
      <c r="E985" s="50" t="s">
        <v>32</v>
      </c>
      <c r="F985" s="52" t="n">
        <f aca="false">SUMIFS(Data_Penjualan!$G$2:$G$5998,Data_Penjualan!$A$2:$A$5998,A985)</f>
        <v>12424200</v>
      </c>
      <c r="G985" s="39" t="n">
        <f aca="false">IF(E985="KANTOR",0,INDEX(Master_Customer!$C$2:$C$126,MATCH(C985,Master_Customer!$A$2:$A$126,0)))</f>
        <v>0</v>
      </c>
      <c r="H985" s="53" t="n">
        <f aca="false">B985+G985</f>
        <v>45868</v>
      </c>
      <c r="J985" s="39" t="str">
        <f aca="false">IF(G985=0,"Tunai",IF(I985="","Belum ditukar","Sudah ditukar"))</f>
        <v>Tunai</v>
      </c>
      <c r="K985" s="54" t="n">
        <v>12424200</v>
      </c>
      <c r="L985" s="51" t="n">
        <v>45868</v>
      </c>
      <c r="M985" s="52" t="n">
        <f aca="false">F985-K985</f>
        <v>0</v>
      </c>
      <c r="N985" s="39" t="str">
        <f aca="false">IF(M985&lt;=0,"Lunas",IF(K985&gt;0,"Sebagian","Belum Bayar"))</f>
        <v>Lunas</v>
      </c>
      <c r="O985" s="39" t="n">
        <f aca="false">IF(M985&gt;0,MAX(0,Catatan!$B$3-H985),0)</f>
        <v>0</v>
      </c>
      <c r="P985" s="39" t="str">
        <f aca="false">IF(M985&lt;=0,"Lunas",IF(Catatan!$B$3&lt;=H985,"Belum Jatuh Tempo",IF(O985&lt;=30,"1-30 hari",IF(O985&lt;=60,"31-60 hari",IF(O985&lt;=90,"61-90 hari","90+ hari")))))</f>
        <v>Lunas</v>
      </c>
      <c r="Q985" s="50"/>
      <c r="R985" s="39" t="str">
        <f aca="false">IF(M985&lt;=0,"",IF(O985&gt;60,"1-Tinggi",IF(O985&gt;30,"2-Sedang",IF(O985&gt;0,"3-Rendah","4-Pantau"))))</f>
        <v/>
      </c>
      <c r="S985" s="39" t="str">
        <f aca="false">IF(AND(M985&gt;0,O985&gt;0),O985+M985/1000000000000+ROW()/1000000000000000,"")</f>
        <v/>
      </c>
      <c r="T985" s="39" t="str">
        <f aca="false">IF(J985="Belum ditukar",ROW(),"")</f>
        <v/>
      </c>
    </row>
    <row r="986" customFormat="false" ht="15" hidden="false" customHeight="false" outlineLevel="0" collapsed="false">
      <c r="A986" s="50" t="s">
        <v>1271</v>
      </c>
      <c r="B986" s="51" t="n">
        <v>45868</v>
      </c>
      <c r="C986" s="50" t="s">
        <v>249</v>
      </c>
      <c r="D986" s="39" t="str">
        <f aca="false">INDEX(Master_Customer!$B$2:$B$126,MATCH(C986,Master_Customer!$A$2:$A$126,0))</f>
        <v>SENTOSA MOTOR</v>
      </c>
      <c r="E986" s="50" t="s">
        <v>31</v>
      </c>
      <c r="F986" s="52" t="n">
        <f aca="false">SUMIFS(Data_Penjualan!$G$2:$G$5998,Data_Penjualan!$A$2:$A$5998,A986)</f>
        <v>19263900</v>
      </c>
      <c r="G986" s="39" t="n">
        <f aca="false">IF(E986="KANTOR",0,INDEX(Master_Customer!$C$2:$C$126,MATCH(C986,Master_Customer!$A$2:$A$126,0)))</f>
        <v>45</v>
      </c>
      <c r="H986" s="53" t="n">
        <f aca="false">B986+G986</f>
        <v>45913</v>
      </c>
      <c r="I986" s="51" t="n">
        <v>45873</v>
      </c>
      <c r="J986" s="39" t="str">
        <f aca="false">IF(G986=0,"Tunai",IF(I986="","Belum ditukar","Sudah ditukar"))</f>
        <v>Sudah ditukar</v>
      </c>
      <c r="K986" s="54" t="n">
        <v>19263900</v>
      </c>
      <c r="L986" s="51" t="n">
        <v>45935</v>
      </c>
      <c r="M986" s="52" t="n">
        <f aca="false">F986-K986</f>
        <v>0</v>
      </c>
      <c r="N986" s="39" t="str">
        <f aca="false">IF(M986&lt;=0,"Lunas",IF(K986&gt;0,"Sebagian","Belum Bayar"))</f>
        <v>Lunas</v>
      </c>
      <c r="O986" s="39" t="n">
        <f aca="false">IF(M986&gt;0,MAX(0,Catatan!$B$3-H986),0)</f>
        <v>0</v>
      </c>
      <c r="P986" s="39" t="str">
        <f aca="false">IF(M986&lt;=0,"Lunas",IF(Catatan!$B$3&lt;=H986,"Belum Jatuh Tempo",IF(O986&lt;=30,"1-30 hari",IF(O986&lt;=60,"31-60 hari",IF(O986&lt;=90,"61-90 hari","90+ hari")))))</f>
        <v>Lunas</v>
      </c>
      <c r="Q986" s="50"/>
      <c r="R986" s="39" t="str">
        <f aca="false">IF(M986&lt;=0,"",IF(O986&gt;60,"1-Tinggi",IF(O986&gt;30,"2-Sedang",IF(O986&gt;0,"3-Rendah","4-Pantau"))))</f>
        <v/>
      </c>
      <c r="S986" s="39" t="str">
        <f aca="false">IF(AND(M986&gt;0,O986&gt;0),O986+M986/1000000000000+ROW()/1000000000000000,"")</f>
        <v/>
      </c>
      <c r="T986" s="39" t="str">
        <f aca="false">IF(J986="Belum ditukar",ROW(),"")</f>
        <v/>
      </c>
    </row>
    <row r="987" customFormat="false" ht="15" hidden="false" customHeight="false" outlineLevel="0" collapsed="false">
      <c r="A987" s="50" t="s">
        <v>1272</v>
      </c>
      <c r="B987" s="51" t="n">
        <v>45869</v>
      </c>
      <c r="C987" s="50" t="s">
        <v>286</v>
      </c>
      <c r="D987" s="39" t="str">
        <f aca="false">INDEX(Master_Customer!$B$2:$B$126,MATCH(C987,Master_Customer!$A$2:$A$126,0))</f>
        <v>CAHAYA AUTO</v>
      </c>
      <c r="E987" s="50" t="s">
        <v>29</v>
      </c>
      <c r="F987" s="52" t="n">
        <f aca="false">SUMIFS(Data_Penjualan!$G$2:$G$5998,Data_Penjualan!$A$2:$A$5998,A987)</f>
        <v>4339200</v>
      </c>
      <c r="G987" s="39" t="n">
        <f aca="false">IF(E987="KANTOR",0,INDEX(Master_Customer!$C$2:$C$126,MATCH(C987,Master_Customer!$A$2:$A$126,0)))</f>
        <v>0</v>
      </c>
      <c r="H987" s="53" t="n">
        <f aca="false">B987+G987</f>
        <v>45869</v>
      </c>
      <c r="J987" s="39" t="str">
        <f aca="false">IF(G987=0,"Tunai",IF(I987="","Belum ditukar","Sudah ditukar"))</f>
        <v>Tunai</v>
      </c>
      <c r="K987" s="54" t="n">
        <v>4339200</v>
      </c>
      <c r="L987" s="51" t="n">
        <v>45869</v>
      </c>
      <c r="M987" s="52" t="n">
        <f aca="false">F987-K987</f>
        <v>0</v>
      </c>
      <c r="N987" s="39" t="str">
        <f aca="false">IF(M987&lt;=0,"Lunas",IF(K987&gt;0,"Sebagian","Belum Bayar"))</f>
        <v>Lunas</v>
      </c>
      <c r="O987" s="39" t="n">
        <f aca="false">IF(M987&gt;0,MAX(0,Catatan!$B$3-H987),0)</f>
        <v>0</v>
      </c>
      <c r="P987" s="39" t="str">
        <f aca="false">IF(M987&lt;=0,"Lunas",IF(Catatan!$B$3&lt;=H987,"Belum Jatuh Tempo",IF(O987&lt;=30,"1-30 hari",IF(O987&lt;=60,"31-60 hari",IF(O987&lt;=90,"61-90 hari","90+ hari")))))</f>
        <v>Lunas</v>
      </c>
      <c r="Q987" s="50"/>
      <c r="R987" s="39" t="str">
        <f aca="false">IF(M987&lt;=0,"",IF(O987&gt;60,"1-Tinggi",IF(O987&gt;30,"2-Sedang",IF(O987&gt;0,"3-Rendah","4-Pantau"))))</f>
        <v/>
      </c>
      <c r="S987" s="39" t="str">
        <f aca="false">IF(AND(M987&gt;0,O987&gt;0),O987+M987/1000000000000+ROW()/1000000000000000,"")</f>
        <v/>
      </c>
      <c r="T987" s="39" t="str">
        <f aca="false">IF(J987="Belum ditukar",ROW(),"")</f>
        <v/>
      </c>
    </row>
    <row r="988" customFormat="false" ht="15" hidden="false" customHeight="false" outlineLevel="0" collapsed="false">
      <c r="A988" s="50" t="s">
        <v>1273</v>
      </c>
      <c r="B988" s="51" t="n">
        <v>45869</v>
      </c>
      <c r="C988" s="50" t="s">
        <v>243</v>
      </c>
      <c r="D988" s="39" t="str">
        <f aca="false">INDEX(Master_Customer!$B$2:$B$126,MATCH(C988,Master_Customer!$A$2:$A$126,0))</f>
        <v>SENTOSA LUBRICANT MULIA</v>
      </c>
      <c r="E988" s="50" t="s">
        <v>30</v>
      </c>
      <c r="F988" s="52" t="n">
        <f aca="false">SUMIFS(Data_Penjualan!$G$2:$G$5998,Data_Penjualan!$A$2:$A$5998,A988)</f>
        <v>5655700</v>
      </c>
      <c r="G988" s="39" t="n">
        <f aca="false">IF(E988="KANTOR",0,INDEX(Master_Customer!$C$2:$C$126,MATCH(C988,Master_Customer!$A$2:$A$126,0)))</f>
        <v>45</v>
      </c>
      <c r="H988" s="53" t="n">
        <f aca="false">B988+G988</f>
        <v>45914</v>
      </c>
      <c r="I988" s="51" t="n">
        <v>45873</v>
      </c>
      <c r="J988" s="39" t="str">
        <f aca="false">IF(G988=0,"Tunai",IF(I988="","Belum ditukar","Sudah ditukar"))</f>
        <v>Sudah ditukar</v>
      </c>
      <c r="K988" s="54" t="n">
        <v>5655700</v>
      </c>
      <c r="L988" s="51" t="n">
        <v>45940</v>
      </c>
      <c r="M988" s="52" t="n">
        <f aca="false">F988-K988</f>
        <v>0</v>
      </c>
      <c r="N988" s="39" t="str">
        <f aca="false">IF(M988&lt;=0,"Lunas",IF(K988&gt;0,"Sebagian","Belum Bayar"))</f>
        <v>Lunas</v>
      </c>
      <c r="O988" s="39" t="n">
        <f aca="false">IF(M988&gt;0,MAX(0,Catatan!$B$3-H988),0)</f>
        <v>0</v>
      </c>
      <c r="P988" s="39" t="str">
        <f aca="false">IF(M988&lt;=0,"Lunas",IF(Catatan!$B$3&lt;=H988,"Belum Jatuh Tempo",IF(O988&lt;=30,"1-30 hari",IF(O988&lt;=60,"31-60 hari",IF(O988&lt;=90,"61-90 hari","90+ hari")))))</f>
        <v>Lunas</v>
      </c>
      <c r="Q988" s="50"/>
      <c r="R988" s="39" t="str">
        <f aca="false">IF(M988&lt;=0,"",IF(O988&gt;60,"1-Tinggi",IF(O988&gt;30,"2-Sedang",IF(O988&gt;0,"3-Rendah","4-Pantau"))))</f>
        <v/>
      </c>
      <c r="S988" s="39" t="str">
        <f aca="false">IF(AND(M988&gt;0,O988&gt;0),O988+M988/1000000000000+ROW()/1000000000000000,"")</f>
        <v/>
      </c>
      <c r="T988" s="39" t="str">
        <f aca="false">IF(J988="Belum ditukar",ROW(),"")</f>
        <v/>
      </c>
    </row>
    <row r="989" customFormat="false" ht="15" hidden="false" customHeight="false" outlineLevel="0" collapsed="false">
      <c r="A989" s="50" t="s">
        <v>1274</v>
      </c>
      <c r="B989" s="51" t="n">
        <v>45869</v>
      </c>
      <c r="C989" s="50" t="s">
        <v>188</v>
      </c>
      <c r="D989" s="39" t="str">
        <f aca="false">INDEX(Master_Customer!$B$2:$B$126,MATCH(C989,Master_Customer!$A$2:$A$126,0))</f>
        <v>MAJU GARAGE TIRTA</v>
      </c>
      <c r="E989" s="50" t="s">
        <v>32</v>
      </c>
      <c r="F989" s="52" t="n">
        <f aca="false">SUMIFS(Data_Penjualan!$G$2:$G$5998,Data_Penjualan!$A$2:$A$5998,A989)</f>
        <v>6655300</v>
      </c>
      <c r="G989" s="39" t="n">
        <f aca="false">IF(E989="KANTOR",0,INDEX(Master_Customer!$C$2:$C$126,MATCH(C989,Master_Customer!$A$2:$A$126,0)))</f>
        <v>0</v>
      </c>
      <c r="H989" s="53" t="n">
        <f aca="false">B989+G989</f>
        <v>45869</v>
      </c>
      <c r="J989" s="39" t="str">
        <f aca="false">IF(G989=0,"Tunai",IF(I989="","Belum ditukar","Sudah ditukar"))</f>
        <v>Tunai</v>
      </c>
      <c r="K989" s="54" t="n">
        <v>6655300</v>
      </c>
      <c r="L989" s="51" t="n">
        <v>45869</v>
      </c>
      <c r="M989" s="52" t="n">
        <f aca="false">F989-K989</f>
        <v>0</v>
      </c>
      <c r="N989" s="39" t="str">
        <f aca="false">IF(M989&lt;=0,"Lunas",IF(K989&gt;0,"Sebagian","Belum Bayar"))</f>
        <v>Lunas</v>
      </c>
      <c r="O989" s="39" t="n">
        <f aca="false">IF(M989&gt;0,MAX(0,Catatan!$B$3-H989),0)</f>
        <v>0</v>
      </c>
      <c r="P989" s="39" t="str">
        <f aca="false">IF(M989&lt;=0,"Lunas",IF(Catatan!$B$3&lt;=H989,"Belum Jatuh Tempo",IF(O989&lt;=30,"1-30 hari",IF(O989&lt;=60,"31-60 hari",IF(O989&lt;=90,"61-90 hari","90+ hari")))))</f>
        <v>Lunas</v>
      </c>
      <c r="Q989" s="50"/>
      <c r="R989" s="39" t="str">
        <f aca="false">IF(M989&lt;=0,"",IF(O989&gt;60,"1-Tinggi",IF(O989&gt;30,"2-Sedang",IF(O989&gt;0,"3-Rendah","4-Pantau"))))</f>
        <v/>
      </c>
      <c r="S989" s="39" t="str">
        <f aca="false">IF(AND(M989&gt;0,O989&gt;0),O989+M989/1000000000000+ROW()/1000000000000000,"")</f>
        <v/>
      </c>
      <c r="T989" s="39" t="str">
        <f aca="false">IF(J989="Belum ditukar",ROW(),"")</f>
        <v/>
      </c>
    </row>
    <row r="990" customFormat="false" ht="15" hidden="false" customHeight="false" outlineLevel="0" collapsed="false">
      <c r="A990" s="50" t="s">
        <v>1275</v>
      </c>
      <c r="B990" s="51" t="n">
        <v>45869</v>
      </c>
      <c r="C990" s="50" t="s">
        <v>174</v>
      </c>
      <c r="D990" s="39" t="str">
        <f aca="false">INDEX(Master_Customer!$B$2:$B$126,MATCH(C990,Master_Customer!$A$2:$A$126,0))</f>
        <v>SUMBER TEKNIK SURYA</v>
      </c>
      <c r="E990" s="50" t="s">
        <v>31</v>
      </c>
      <c r="F990" s="52" t="n">
        <f aca="false">SUMIFS(Data_Penjualan!$G$2:$G$5998,Data_Penjualan!$A$2:$A$5998,A990)</f>
        <v>3490500</v>
      </c>
      <c r="G990" s="39" t="n">
        <f aca="false">IF(E990="KANTOR",0,INDEX(Master_Customer!$C$2:$C$126,MATCH(C990,Master_Customer!$A$2:$A$126,0)))</f>
        <v>30</v>
      </c>
      <c r="H990" s="53" t="n">
        <f aca="false">B990+G990</f>
        <v>45899</v>
      </c>
      <c r="I990" s="51" t="n">
        <v>45870</v>
      </c>
      <c r="J990" s="39" t="str">
        <f aca="false">IF(G990=0,"Tunai",IF(I990="","Belum ditukar","Sudah ditukar"))</f>
        <v>Sudah ditukar</v>
      </c>
      <c r="K990" s="54" t="n">
        <v>3490500</v>
      </c>
      <c r="L990" s="51" t="n">
        <v>45895</v>
      </c>
      <c r="M990" s="52" t="n">
        <f aca="false">F990-K990</f>
        <v>0</v>
      </c>
      <c r="N990" s="39" t="str">
        <f aca="false">IF(M990&lt;=0,"Lunas",IF(K990&gt;0,"Sebagian","Belum Bayar"))</f>
        <v>Lunas</v>
      </c>
      <c r="O990" s="39" t="n">
        <f aca="false">IF(M990&gt;0,MAX(0,Catatan!$B$3-H990),0)</f>
        <v>0</v>
      </c>
      <c r="P990" s="39" t="str">
        <f aca="false">IF(M990&lt;=0,"Lunas",IF(Catatan!$B$3&lt;=H990,"Belum Jatuh Tempo",IF(O990&lt;=30,"1-30 hari",IF(O990&lt;=60,"31-60 hari",IF(O990&lt;=90,"61-90 hari","90+ hari")))))</f>
        <v>Lunas</v>
      </c>
      <c r="Q990" s="50"/>
      <c r="R990" s="39" t="str">
        <f aca="false">IF(M990&lt;=0,"",IF(O990&gt;60,"1-Tinggi",IF(O990&gt;30,"2-Sedang",IF(O990&gt;0,"3-Rendah","4-Pantau"))))</f>
        <v/>
      </c>
      <c r="S990" s="39" t="str">
        <f aca="false">IF(AND(M990&gt;0,O990&gt;0),O990+M990/1000000000000+ROW()/1000000000000000,"")</f>
        <v/>
      </c>
      <c r="T990" s="39" t="str">
        <f aca="false">IF(J990="Belum ditukar",ROW(),"")</f>
        <v/>
      </c>
    </row>
    <row r="991" customFormat="false" ht="15" hidden="false" customHeight="false" outlineLevel="0" collapsed="false">
      <c r="A991" s="50" t="s">
        <v>1276</v>
      </c>
      <c r="B991" s="51" t="n">
        <v>45869</v>
      </c>
      <c r="C991" s="50" t="s">
        <v>416</v>
      </c>
      <c r="D991" s="39" t="str">
        <f aca="false">INDEX(Master_Customer!$B$2:$B$126,MATCH(C991,Master_Customer!$A$2:$A$126,0))</f>
        <v>KARYA SERVICE</v>
      </c>
      <c r="E991" s="50" t="s">
        <v>30</v>
      </c>
      <c r="F991" s="52" t="n">
        <f aca="false">SUMIFS(Data_Penjualan!$G$2:$G$5998,Data_Penjualan!$A$2:$A$5998,A991)</f>
        <v>7184100</v>
      </c>
      <c r="G991" s="39" t="n">
        <f aca="false">IF(E991="KANTOR",0,INDEX(Master_Customer!$C$2:$C$126,MATCH(C991,Master_Customer!$A$2:$A$126,0)))</f>
        <v>0</v>
      </c>
      <c r="H991" s="53" t="n">
        <f aca="false">B991+G991</f>
        <v>45869</v>
      </c>
      <c r="J991" s="39" t="str">
        <f aca="false">IF(G991=0,"Tunai",IF(I991="","Belum ditukar","Sudah ditukar"))</f>
        <v>Tunai</v>
      </c>
      <c r="K991" s="54" t="n">
        <v>7184100</v>
      </c>
      <c r="L991" s="51" t="n">
        <v>45879</v>
      </c>
      <c r="M991" s="52" t="n">
        <f aca="false">F991-K991</f>
        <v>0</v>
      </c>
      <c r="N991" s="39" t="str">
        <f aca="false">IF(M991&lt;=0,"Lunas",IF(K991&gt;0,"Sebagian","Belum Bayar"))</f>
        <v>Lunas</v>
      </c>
      <c r="O991" s="39" t="n">
        <f aca="false">IF(M991&gt;0,MAX(0,Catatan!$B$3-H991),0)</f>
        <v>0</v>
      </c>
      <c r="P991" s="39" t="str">
        <f aca="false">IF(M991&lt;=0,"Lunas",IF(Catatan!$B$3&lt;=H991,"Belum Jatuh Tempo",IF(O991&lt;=30,"1-30 hari",IF(O991&lt;=60,"31-60 hari",IF(O991&lt;=90,"61-90 hari","90+ hari")))))</f>
        <v>Lunas</v>
      </c>
      <c r="Q991" s="50"/>
      <c r="R991" s="39" t="str">
        <f aca="false">IF(M991&lt;=0,"",IF(O991&gt;60,"1-Tinggi",IF(O991&gt;30,"2-Sedang",IF(O991&gt;0,"3-Rendah","4-Pantau"))))</f>
        <v/>
      </c>
      <c r="S991" s="39" t="str">
        <f aca="false">IF(AND(M991&gt;0,O991&gt;0),O991+M991/1000000000000+ROW()/1000000000000000,"")</f>
        <v/>
      </c>
      <c r="T991" s="39" t="str">
        <f aca="false">IF(J991="Belum ditukar",ROW(),"")</f>
        <v/>
      </c>
    </row>
    <row r="992" customFormat="false" ht="15" hidden="false" customHeight="false" outlineLevel="0" collapsed="false">
      <c r="A992" s="50" t="s">
        <v>1277</v>
      </c>
      <c r="B992" s="51" t="n">
        <v>45869</v>
      </c>
      <c r="C992" s="50" t="s">
        <v>199</v>
      </c>
      <c r="D992" s="39" t="str">
        <f aca="false">INDEX(Master_Customer!$B$2:$B$126,MATCH(C992,Master_Customer!$A$2:$A$126,0))</f>
        <v>KARYA SPAREPART</v>
      </c>
      <c r="E992" s="50" t="s">
        <v>29</v>
      </c>
      <c r="F992" s="52" t="n">
        <f aca="false">SUMIFS(Data_Penjualan!$G$2:$G$5998,Data_Penjualan!$A$2:$A$5998,A992)</f>
        <v>4204400</v>
      </c>
      <c r="G992" s="39" t="n">
        <f aca="false">IF(E992="KANTOR",0,INDEX(Master_Customer!$C$2:$C$126,MATCH(C992,Master_Customer!$A$2:$A$126,0)))</f>
        <v>45</v>
      </c>
      <c r="H992" s="53" t="n">
        <f aca="false">B992+G992</f>
        <v>45914</v>
      </c>
      <c r="I992" s="51" t="n">
        <v>45871</v>
      </c>
      <c r="J992" s="39" t="str">
        <f aca="false">IF(G992=0,"Tunai",IF(I992="","Belum ditukar","Sudah ditukar"))</f>
        <v>Sudah ditukar</v>
      </c>
      <c r="K992" s="54" t="n">
        <v>4204400</v>
      </c>
      <c r="L992" s="51" t="n">
        <v>45907</v>
      </c>
      <c r="M992" s="52" t="n">
        <f aca="false">F992-K992</f>
        <v>0</v>
      </c>
      <c r="N992" s="39" t="str">
        <f aca="false">IF(M992&lt;=0,"Lunas",IF(K992&gt;0,"Sebagian","Belum Bayar"))</f>
        <v>Lunas</v>
      </c>
      <c r="O992" s="39" t="n">
        <f aca="false">IF(M992&gt;0,MAX(0,Catatan!$B$3-H992),0)</f>
        <v>0</v>
      </c>
      <c r="P992" s="39" t="str">
        <f aca="false">IF(M992&lt;=0,"Lunas",IF(Catatan!$B$3&lt;=H992,"Belum Jatuh Tempo",IF(O992&lt;=30,"1-30 hari",IF(O992&lt;=60,"31-60 hari",IF(O992&lt;=90,"61-90 hari","90+ hari")))))</f>
        <v>Lunas</v>
      </c>
      <c r="Q992" s="50"/>
      <c r="R992" s="39" t="str">
        <f aca="false">IF(M992&lt;=0,"",IF(O992&gt;60,"1-Tinggi",IF(O992&gt;30,"2-Sedang",IF(O992&gt;0,"3-Rendah","4-Pantau"))))</f>
        <v/>
      </c>
      <c r="S992" s="39" t="str">
        <f aca="false">IF(AND(M992&gt;0,O992&gt;0),O992+M992/1000000000000+ROW()/1000000000000000,"")</f>
        <v/>
      </c>
      <c r="T992" s="39" t="str">
        <f aca="false">IF(J992="Belum ditukar",ROW(),"")</f>
        <v/>
      </c>
    </row>
    <row r="993" customFormat="false" ht="15" hidden="false" customHeight="false" outlineLevel="0" collapsed="false">
      <c r="A993" s="50" t="s">
        <v>1278</v>
      </c>
      <c r="B993" s="51" t="n">
        <v>45870</v>
      </c>
      <c r="C993" s="50" t="s">
        <v>216</v>
      </c>
      <c r="D993" s="39" t="str">
        <f aca="false">INDEX(Master_Customer!$B$2:$B$126,MATCH(C993,Master_Customer!$A$2:$A$126,0))</f>
        <v>SINAR MOTOR UTAMA</v>
      </c>
      <c r="E993" s="50" t="s">
        <v>30</v>
      </c>
      <c r="F993" s="52" t="n">
        <f aca="false">SUMIFS(Data_Penjualan!$G$2:$G$5998,Data_Penjualan!$A$2:$A$5998,A993)</f>
        <v>464900</v>
      </c>
      <c r="G993" s="39" t="n">
        <f aca="false">IF(E993="KANTOR",0,INDEX(Master_Customer!$C$2:$C$126,MATCH(C993,Master_Customer!$A$2:$A$126,0)))</f>
        <v>0</v>
      </c>
      <c r="H993" s="53" t="n">
        <f aca="false">B993+G993</f>
        <v>45870</v>
      </c>
      <c r="J993" s="39" t="str">
        <f aca="false">IF(G993=0,"Tunai",IF(I993="","Belum ditukar","Sudah ditukar"))</f>
        <v>Tunai</v>
      </c>
      <c r="K993" s="54" t="n">
        <v>464900</v>
      </c>
      <c r="L993" s="51" t="n">
        <v>45870</v>
      </c>
      <c r="M993" s="52" t="n">
        <f aca="false">F993-K993</f>
        <v>0</v>
      </c>
      <c r="N993" s="39" t="str">
        <f aca="false">IF(M993&lt;=0,"Lunas",IF(K993&gt;0,"Sebagian","Belum Bayar"))</f>
        <v>Lunas</v>
      </c>
      <c r="O993" s="39" t="n">
        <f aca="false">IF(M993&gt;0,MAX(0,Catatan!$B$3-H993),0)</f>
        <v>0</v>
      </c>
      <c r="P993" s="39" t="str">
        <f aca="false">IF(M993&lt;=0,"Lunas",IF(Catatan!$B$3&lt;=H993,"Belum Jatuh Tempo",IF(O993&lt;=30,"1-30 hari",IF(O993&lt;=60,"31-60 hari",IF(O993&lt;=90,"61-90 hari","90+ hari")))))</f>
        <v>Lunas</v>
      </c>
      <c r="Q993" s="50"/>
      <c r="R993" s="39" t="str">
        <f aca="false">IF(M993&lt;=0,"",IF(O993&gt;60,"1-Tinggi",IF(O993&gt;30,"2-Sedang",IF(O993&gt;0,"3-Rendah","4-Pantau"))))</f>
        <v/>
      </c>
      <c r="S993" s="39" t="str">
        <f aca="false">IF(AND(M993&gt;0,O993&gt;0),O993+M993/1000000000000+ROW()/1000000000000000,"")</f>
        <v/>
      </c>
      <c r="T993" s="39" t="str">
        <f aca="false">IF(J993="Belum ditukar",ROW(),"")</f>
        <v/>
      </c>
    </row>
    <row r="994" customFormat="false" ht="15" hidden="false" customHeight="false" outlineLevel="0" collapsed="false">
      <c r="A994" s="50" t="s">
        <v>1279</v>
      </c>
      <c r="B994" s="51" t="n">
        <v>45870</v>
      </c>
      <c r="C994" s="50" t="s">
        <v>1099</v>
      </c>
      <c r="D994" s="39" t="str">
        <f aca="false">INDEX(Master_Customer!$B$2:$B$126,MATCH(C994,Master_Customer!$A$2:$A$126,0))</f>
        <v>SENTOSA SPAREPART</v>
      </c>
      <c r="E994" s="50" t="s">
        <v>30</v>
      </c>
      <c r="F994" s="52" t="n">
        <f aca="false">SUMIFS(Data_Penjualan!$G$2:$G$5998,Data_Penjualan!$A$2:$A$5998,A994)</f>
        <v>7663800</v>
      </c>
      <c r="G994" s="39" t="n">
        <f aca="false">IF(E994="KANTOR",0,INDEX(Master_Customer!$C$2:$C$126,MATCH(C994,Master_Customer!$A$2:$A$126,0)))</f>
        <v>30</v>
      </c>
      <c r="H994" s="53" t="n">
        <f aca="false">B994+G994</f>
        <v>45900</v>
      </c>
      <c r="I994" s="51" t="n">
        <v>45873</v>
      </c>
      <c r="J994" s="39" t="str">
        <f aca="false">IF(G994=0,"Tunai",IF(I994="","Belum ditukar","Sudah ditukar"))</f>
        <v>Sudah ditukar</v>
      </c>
      <c r="K994" s="54" t="n">
        <v>7663800</v>
      </c>
      <c r="L994" s="51" t="n">
        <v>45928</v>
      </c>
      <c r="M994" s="52" t="n">
        <f aca="false">F994-K994</f>
        <v>0</v>
      </c>
      <c r="N994" s="39" t="str">
        <f aca="false">IF(M994&lt;=0,"Lunas",IF(K994&gt;0,"Sebagian","Belum Bayar"))</f>
        <v>Lunas</v>
      </c>
      <c r="O994" s="39" t="n">
        <f aca="false">IF(M994&gt;0,MAX(0,Catatan!$B$3-H994),0)</f>
        <v>0</v>
      </c>
      <c r="P994" s="39" t="str">
        <f aca="false">IF(M994&lt;=0,"Lunas",IF(Catatan!$B$3&lt;=H994,"Belum Jatuh Tempo",IF(O994&lt;=30,"1-30 hari",IF(O994&lt;=60,"31-60 hari",IF(O994&lt;=90,"61-90 hari","90+ hari")))))</f>
        <v>Lunas</v>
      </c>
      <c r="Q994" s="50"/>
      <c r="R994" s="39" t="str">
        <f aca="false">IF(M994&lt;=0,"",IF(O994&gt;60,"1-Tinggi",IF(O994&gt;30,"2-Sedang",IF(O994&gt;0,"3-Rendah","4-Pantau"))))</f>
        <v/>
      </c>
      <c r="S994" s="39" t="str">
        <f aca="false">IF(AND(M994&gt;0,O994&gt;0),O994+M994/1000000000000+ROW()/1000000000000000,"")</f>
        <v/>
      </c>
      <c r="T994" s="39" t="str">
        <f aca="false">IF(J994="Belum ditukar",ROW(),"")</f>
        <v/>
      </c>
    </row>
    <row r="995" customFormat="false" ht="15" hidden="false" customHeight="false" outlineLevel="0" collapsed="false">
      <c r="A995" s="50" t="s">
        <v>1280</v>
      </c>
      <c r="B995" s="51" t="n">
        <v>45870</v>
      </c>
      <c r="C995" s="50" t="s">
        <v>293</v>
      </c>
      <c r="D995" s="39" t="str">
        <f aca="false">INDEX(Master_Customer!$B$2:$B$126,MATCH(C995,Master_Customer!$A$2:$A$126,0))</f>
        <v>SINAR LUBRICANT</v>
      </c>
      <c r="E995" s="50" t="s">
        <v>31</v>
      </c>
      <c r="F995" s="52" t="n">
        <f aca="false">SUMIFS(Data_Penjualan!$G$2:$G$5998,Data_Penjualan!$A$2:$A$5998,A995)</f>
        <v>7730500</v>
      </c>
      <c r="G995" s="39" t="n">
        <f aca="false">IF(E995="KANTOR",0,INDEX(Master_Customer!$C$2:$C$126,MATCH(C995,Master_Customer!$A$2:$A$126,0)))</f>
        <v>30</v>
      </c>
      <c r="H995" s="53" t="n">
        <f aca="false">B995+G995</f>
        <v>45900</v>
      </c>
      <c r="I995" s="51" t="n">
        <v>45875</v>
      </c>
      <c r="J995" s="39" t="str">
        <f aca="false">IF(G995=0,"Tunai",IF(I995="","Belum ditukar","Sudah ditukar"))</f>
        <v>Sudah ditukar</v>
      </c>
      <c r="K995" s="54" t="n">
        <v>7730500</v>
      </c>
      <c r="L995" s="51" t="n">
        <v>45906</v>
      </c>
      <c r="M995" s="52" t="n">
        <f aca="false">F995-K995</f>
        <v>0</v>
      </c>
      <c r="N995" s="39" t="str">
        <f aca="false">IF(M995&lt;=0,"Lunas",IF(K995&gt;0,"Sebagian","Belum Bayar"))</f>
        <v>Lunas</v>
      </c>
      <c r="O995" s="39" t="n">
        <f aca="false">IF(M995&gt;0,MAX(0,Catatan!$B$3-H995),0)</f>
        <v>0</v>
      </c>
      <c r="P995" s="39" t="str">
        <f aca="false">IF(M995&lt;=0,"Lunas",IF(Catatan!$B$3&lt;=H995,"Belum Jatuh Tempo",IF(O995&lt;=30,"1-30 hari",IF(O995&lt;=60,"31-60 hari",IF(O995&lt;=90,"61-90 hari","90+ hari")))))</f>
        <v>Lunas</v>
      </c>
      <c r="Q995" s="50"/>
      <c r="R995" s="39" t="str">
        <f aca="false">IF(M995&lt;=0,"",IF(O995&gt;60,"1-Tinggi",IF(O995&gt;30,"2-Sedang",IF(O995&gt;0,"3-Rendah","4-Pantau"))))</f>
        <v/>
      </c>
      <c r="S995" s="39" t="str">
        <f aca="false">IF(AND(M995&gt;0,O995&gt;0),O995+M995/1000000000000+ROW()/1000000000000000,"")</f>
        <v/>
      </c>
      <c r="T995" s="39" t="str">
        <f aca="false">IF(J995="Belum ditukar",ROW(),"")</f>
        <v/>
      </c>
    </row>
    <row r="996" customFormat="false" ht="15" hidden="false" customHeight="false" outlineLevel="0" collapsed="false">
      <c r="A996" s="50" t="s">
        <v>1281</v>
      </c>
      <c r="B996" s="51" t="n">
        <v>45870</v>
      </c>
      <c r="C996" s="50" t="s">
        <v>174</v>
      </c>
      <c r="D996" s="39" t="str">
        <f aca="false">INDEX(Master_Customer!$B$2:$B$126,MATCH(C996,Master_Customer!$A$2:$A$126,0))</f>
        <v>SUMBER TEKNIK SURYA</v>
      </c>
      <c r="E996" s="50" t="s">
        <v>31</v>
      </c>
      <c r="F996" s="52" t="n">
        <f aca="false">SUMIFS(Data_Penjualan!$G$2:$G$5998,Data_Penjualan!$A$2:$A$5998,A996)</f>
        <v>14542000</v>
      </c>
      <c r="G996" s="39" t="n">
        <f aca="false">IF(E996="KANTOR",0,INDEX(Master_Customer!$C$2:$C$126,MATCH(C996,Master_Customer!$A$2:$A$126,0)))</f>
        <v>30</v>
      </c>
      <c r="H996" s="53" t="n">
        <f aca="false">B996+G996</f>
        <v>45900</v>
      </c>
      <c r="I996" s="51" t="n">
        <v>45872</v>
      </c>
      <c r="J996" s="39" t="str">
        <f aca="false">IF(G996=0,"Tunai",IF(I996="","Belum ditukar","Sudah ditukar"))</f>
        <v>Sudah ditukar</v>
      </c>
      <c r="K996" s="54" t="n">
        <v>14542000</v>
      </c>
      <c r="L996" s="51" t="n">
        <v>45901</v>
      </c>
      <c r="M996" s="52" t="n">
        <f aca="false">F996-K996</f>
        <v>0</v>
      </c>
      <c r="N996" s="39" t="str">
        <f aca="false">IF(M996&lt;=0,"Lunas",IF(K996&gt;0,"Sebagian","Belum Bayar"))</f>
        <v>Lunas</v>
      </c>
      <c r="O996" s="39" t="n">
        <f aca="false">IF(M996&gt;0,MAX(0,Catatan!$B$3-H996),0)</f>
        <v>0</v>
      </c>
      <c r="P996" s="39" t="str">
        <f aca="false">IF(M996&lt;=0,"Lunas",IF(Catatan!$B$3&lt;=H996,"Belum Jatuh Tempo",IF(O996&lt;=30,"1-30 hari",IF(O996&lt;=60,"31-60 hari",IF(O996&lt;=90,"61-90 hari","90+ hari")))))</f>
        <v>Lunas</v>
      </c>
      <c r="Q996" s="50"/>
      <c r="R996" s="39" t="str">
        <f aca="false">IF(M996&lt;=0,"",IF(O996&gt;60,"1-Tinggi",IF(O996&gt;30,"2-Sedang",IF(O996&gt;0,"3-Rendah","4-Pantau"))))</f>
        <v/>
      </c>
      <c r="S996" s="39" t="str">
        <f aca="false">IF(AND(M996&gt;0,O996&gt;0),O996+M996/1000000000000+ROW()/1000000000000000,"")</f>
        <v/>
      </c>
      <c r="T996" s="39" t="str">
        <f aca="false">IF(J996="Belum ditukar",ROW(),"")</f>
        <v/>
      </c>
    </row>
    <row r="997" customFormat="false" ht="15" hidden="false" customHeight="false" outlineLevel="0" collapsed="false">
      <c r="A997" s="50" t="s">
        <v>1282</v>
      </c>
      <c r="B997" s="51" t="n">
        <v>45870</v>
      </c>
      <c r="C997" s="50" t="s">
        <v>216</v>
      </c>
      <c r="D997" s="39" t="str">
        <f aca="false">INDEX(Master_Customer!$B$2:$B$126,MATCH(C997,Master_Customer!$A$2:$A$126,0))</f>
        <v>SINAR MOTOR UTAMA</v>
      </c>
      <c r="E997" s="50" t="s">
        <v>30</v>
      </c>
      <c r="F997" s="52" t="n">
        <f aca="false">SUMIFS(Data_Penjualan!$G$2:$G$5998,Data_Penjualan!$A$2:$A$5998,A997)</f>
        <v>10315600</v>
      </c>
      <c r="G997" s="39" t="n">
        <f aca="false">IF(E997="KANTOR",0,INDEX(Master_Customer!$C$2:$C$126,MATCH(C997,Master_Customer!$A$2:$A$126,0)))</f>
        <v>0</v>
      </c>
      <c r="H997" s="53" t="n">
        <f aca="false">B997+G997</f>
        <v>45870</v>
      </c>
      <c r="J997" s="39" t="str">
        <f aca="false">IF(G997=0,"Tunai",IF(I997="","Belum ditukar","Sudah ditukar"))</f>
        <v>Tunai</v>
      </c>
      <c r="K997" s="54" t="n">
        <v>10315600</v>
      </c>
      <c r="L997" s="51" t="n">
        <v>45870</v>
      </c>
      <c r="M997" s="52" t="n">
        <f aca="false">F997-K997</f>
        <v>0</v>
      </c>
      <c r="N997" s="39" t="str">
        <f aca="false">IF(M997&lt;=0,"Lunas",IF(K997&gt;0,"Sebagian","Belum Bayar"))</f>
        <v>Lunas</v>
      </c>
      <c r="O997" s="39" t="n">
        <f aca="false">IF(M997&gt;0,MAX(0,Catatan!$B$3-H997),0)</f>
        <v>0</v>
      </c>
      <c r="P997" s="39" t="str">
        <f aca="false">IF(M997&lt;=0,"Lunas",IF(Catatan!$B$3&lt;=H997,"Belum Jatuh Tempo",IF(O997&lt;=30,"1-30 hari",IF(O997&lt;=60,"31-60 hari",IF(O997&lt;=90,"61-90 hari","90+ hari")))))</f>
        <v>Lunas</v>
      </c>
      <c r="Q997" s="50"/>
      <c r="R997" s="39" t="str">
        <f aca="false">IF(M997&lt;=0,"",IF(O997&gt;60,"1-Tinggi",IF(O997&gt;30,"2-Sedang",IF(O997&gt;0,"3-Rendah","4-Pantau"))))</f>
        <v/>
      </c>
      <c r="S997" s="39" t="str">
        <f aca="false">IF(AND(M997&gt;0,O997&gt;0),O997+M997/1000000000000+ROW()/1000000000000000,"")</f>
        <v/>
      </c>
      <c r="T997" s="39" t="str">
        <f aca="false">IF(J997="Belum ditukar",ROW(),"")</f>
        <v/>
      </c>
    </row>
    <row r="998" customFormat="false" ht="15" hidden="false" customHeight="false" outlineLevel="0" collapsed="false">
      <c r="A998" s="50" t="s">
        <v>1283</v>
      </c>
      <c r="B998" s="51" t="n">
        <v>45870</v>
      </c>
      <c r="C998" s="50" t="s">
        <v>174</v>
      </c>
      <c r="D998" s="39" t="str">
        <f aca="false">INDEX(Master_Customer!$B$2:$B$126,MATCH(C998,Master_Customer!$A$2:$A$126,0))</f>
        <v>SUMBER TEKNIK SURYA</v>
      </c>
      <c r="E998" s="50" t="s">
        <v>31</v>
      </c>
      <c r="F998" s="52" t="n">
        <f aca="false">SUMIFS(Data_Penjualan!$G$2:$G$5998,Data_Penjualan!$A$2:$A$5998,A998)</f>
        <v>16865000</v>
      </c>
      <c r="G998" s="39" t="n">
        <f aca="false">IF(E998="KANTOR",0,INDEX(Master_Customer!$C$2:$C$126,MATCH(C998,Master_Customer!$A$2:$A$126,0)))</f>
        <v>30</v>
      </c>
      <c r="H998" s="53" t="n">
        <f aca="false">B998+G998</f>
        <v>45900</v>
      </c>
      <c r="I998" s="51" t="n">
        <v>45871</v>
      </c>
      <c r="J998" s="39" t="str">
        <f aca="false">IF(G998=0,"Tunai",IF(I998="","Belum ditukar","Sudah ditukar"))</f>
        <v>Sudah ditukar</v>
      </c>
      <c r="K998" s="54" t="n">
        <v>16865000</v>
      </c>
      <c r="L998" s="51" t="n">
        <v>45895</v>
      </c>
      <c r="M998" s="52" t="n">
        <f aca="false">F998-K998</f>
        <v>0</v>
      </c>
      <c r="N998" s="39" t="str">
        <f aca="false">IF(M998&lt;=0,"Lunas",IF(K998&gt;0,"Sebagian","Belum Bayar"))</f>
        <v>Lunas</v>
      </c>
      <c r="O998" s="39" t="n">
        <f aca="false">IF(M998&gt;0,MAX(0,Catatan!$B$3-H998),0)</f>
        <v>0</v>
      </c>
      <c r="P998" s="39" t="str">
        <f aca="false">IF(M998&lt;=0,"Lunas",IF(Catatan!$B$3&lt;=H998,"Belum Jatuh Tempo",IF(O998&lt;=30,"1-30 hari",IF(O998&lt;=60,"31-60 hari",IF(O998&lt;=90,"61-90 hari","90+ hari")))))</f>
        <v>Lunas</v>
      </c>
      <c r="Q998" s="50"/>
      <c r="R998" s="39" t="str">
        <f aca="false">IF(M998&lt;=0,"",IF(O998&gt;60,"1-Tinggi",IF(O998&gt;30,"2-Sedang",IF(O998&gt;0,"3-Rendah","4-Pantau"))))</f>
        <v/>
      </c>
      <c r="S998" s="39" t="str">
        <f aca="false">IF(AND(M998&gt;0,O998&gt;0),O998+M998/1000000000000+ROW()/1000000000000000,"")</f>
        <v/>
      </c>
      <c r="T998" s="39" t="str">
        <f aca="false">IF(J998="Belum ditukar",ROW(),"")</f>
        <v/>
      </c>
    </row>
    <row r="999" customFormat="false" ht="15" hidden="false" customHeight="false" outlineLevel="0" collapsed="false">
      <c r="A999" s="50" t="s">
        <v>1284</v>
      </c>
      <c r="B999" s="51" t="n">
        <v>45870</v>
      </c>
      <c r="C999" s="50" t="s">
        <v>419</v>
      </c>
      <c r="D999" s="39" t="str">
        <f aca="false">INDEX(Master_Customer!$B$2:$B$126,MATCH(C999,Master_Customer!$A$2:$A$126,0))</f>
        <v>UTAMA MOTOR</v>
      </c>
      <c r="E999" s="50" t="s">
        <v>32</v>
      </c>
      <c r="F999" s="52" t="n">
        <f aca="false">SUMIFS(Data_Penjualan!$G$2:$G$5998,Data_Penjualan!$A$2:$A$5998,A999)</f>
        <v>4149200</v>
      </c>
      <c r="G999" s="39" t="n">
        <f aca="false">IF(E999="KANTOR",0,INDEX(Master_Customer!$C$2:$C$126,MATCH(C999,Master_Customer!$A$2:$A$126,0)))</f>
        <v>0</v>
      </c>
      <c r="H999" s="53" t="n">
        <f aca="false">B999+G999</f>
        <v>45870</v>
      </c>
      <c r="J999" s="39" t="str">
        <f aca="false">IF(G999=0,"Tunai",IF(I999="","Belum ditukar","Sudah ditukar"))</f>
        <v>Tunai</v>
      </c>
      <c r="K999" s="54" t="n">
        <v>4149200</v>
      </c>
      <c r="L999" s="51" t="n">
        <v>45871</v>
      </c>
      <c r="M999" s="52" t="n">
        <f aca="false">F999-K999</f>
        <v>0</v>
      </c>
      <c r="N999" s="39" t="str">
        <f aca="false">IF(M999&lt;=0,"Lunas",IF(K999&gt;0,"Sebagian","Belum Bayar"))</f>
        <v>Lunas</v>
      </c>
      <c r="O999" s="39" t="n">
        <f aca="false">IF(M999&gt;0,MAX(0,Catatan!$B$3-H999),0)</f>
        <v>0</v>
      </c>
      <c r="P999" s="39" t="str">
        <f aca="false">IF(M999&lt;=0,"Lunas",IF(Catatan!$B$3&lt;=H999,"Belum Jatuh Tempo",IF(O999&lt;=30,"1-30 hari",IF(O999&lt;=60,"31-60 hari",IF(O999&lt;=90,"61-90 hari","90+ hari")))))</f>
        <v>Lunas</v>
      </c>
      <c r="Q999" s="50"/>
      <c r="R999" s="39" t="str">
        <f aca="false">IF(M999&lt;=0,"",IF(O999&gt;60,"1-Tinggi",IF(O999&gt;30,"2-Sedang",IF(O999&gt;0,"3-Rendah","4-Pantau"))))</f>
        <v/>
      </c>
      <c r="S999" s="39" t="str">
        <f aca="false">IF(AND(M999&gt;0,O999&gt;0),O999+M999/1000000000000+ROW()/1000000000000000,"")</f>
        <v/>
      </c>
      <c r="T999" s="39" t="str">
        <f aca="false">IF(J999="Belum ditukar",ROW(),"")</f>
        <v/>
      </c>
    </row>
    <row r="1000" customFormat="false" ht="15" hidden="false" customHeight="false" outlineLevel="0" collapsed="false">
      <c r="A1000" s="50" t="s">
        <v>1285</v>
      </c>
      <c r="B1000" s="51" t="n">
        <v>45871</v>
      </c>
      <c r="C1000" s="50" t="s">
        <v>205</v>
      </c>
      <c r="D1000" s="39" t="str">
        <f aca="false">INDEX(Master_Customer!$B$2:$B$126,MATCH(C1000,Master_Customer!$A$2:$A$126,0))</f>
        <v>BERKAH OLI</v>
      </c>
      <c r="E1000" s="50" t="s">
        <v>28</v>
      </c>
      <c r="F1000" s="52" t="n">
        <f aca="false">SUMIFS(Data_Penjualan!$G$2:$G$5998,Data_Penjualan!$A$2:$A$5998,A1000)</f>
        <v>9394600</v>
      </c>
      <c r="G1000" s="39" t="n">
        <f aca="false">IF(E1000="KANTOR",0,INDEX(Master_Customer!$C$2:$C$126,MATCH(C1000,Master_Customer!$A$2:$A$126,0)))</f>
        <v>0</v>
      </c>
      <c r="H1000" s="53" t="n">
        <f aca="false">B1000+G1000</f>
        <v>45871</v>
      </c>
      <c r="J1000" s="39" t="str">
        <f aca="false">IF(G1000=0,"Tunai",IF(I1000="","Belum ditukar","Sudah ditukar"))</f>
        <v>Tunai</v>
      </c>
      <c r="K1000" s="54" t="n">
        <v>9394600</v>
      </c>
      <c r="L1000" s="51" t="n">
        <v>45871</v>
      </c>
      <c r="M1000" s="52" t="n">
        <f aca="false">F1000-K1000</f>
        <v>0</v>
      </c>
      <c r="N1000" s="39" t="str">
        <f aca="false">IF(M1000&lt;=0,"Lunas",IF(K1000&gt;0,"Sebagian","Belum Bayar"))</f>
        <v>Lunas</v>
      </c>
      <c r="O1000" s="39" t="n">
        <f aca="false">IF(M1000&gt;0,MAX(0,Catatan!$B$3-H1000),0)</f>
        <v>0</v>
      </c>
      <c r="P1000" s="39" t="str">
        <f aca="false">IF(M1000&lt;=0,"Lunas",IF(Catatan!$B$3&lt;=H1000,"Belum Jatuh Tempo",IF(O1000&lt;=30,"1-30 hari",IF(O1000&lt;=60,"31-60 hari",IF(O1000&lt;=90,"61-90 hari","90+ hari")))))</f>
        <v>Lunas</v>
      </c>
      <c r="Q1000" s="50"/>
      <c r="R1000" s="39" t="str">
        <f aca="false">IF(M1000&lt;=0,"",IF(O1000&gt;60,"1-Tinggi",IF(O1000&gt;30,"2-Sedang",IF(O1000&gt;0,"3-Rendah","4-Pantau"))))</f>
        <v/>
      </c>
      <c r="S1000" s="39" t="str">
        <f aca="false">IF(AND(M1000&gt;0,O1000&gt;0),O1000+M1000/1000000000000+ROW()/1000000000000000,"")</f>
        <v/>
      </c>
      <c r="T1000" s="39" t="str">
        <f aca="false">IF(J1000="Belum ditukar",ROW(),"")</f>
        <v/>
      </c>
    </row>
    <row r="1001" customFormat="false" ht="15" hidden="false" customHeight="false" outlineLevel="0" collapsed="false">
      <c r="A1001" s="50" t="s">
        <v>1286</v>
      </c>
      <c r="B1001" s="51" t="n">
        <v>45871</v>
      </c>
      <c r="C1001" s="50" t="s">
        <v>188</v>
      </c>
      <c r="D1001" s="39" t="str">
        <f aca="false">INDEX(Master_Customer!$B$2:$B$126,MATCH(C1001,Master_Customer!$A$2:$A$126,0))</f>
        <v>MAJU GARAGE TIRTA</v>
      </c>
      <c r="E1001" s="50" t="s">
        <v>32</v>
      </c>
      <c r="F1001" s="52" t="n">
        <f aca="false">SUMIFS(Data_Penjualan!$G$2:$G$5998,Data_Penjualan!$A$2:$A$5998,A1001)</f>
        <v>11451100</v>
      </c>
      <c r="G1001" s="39" t="n">
        <f aca="false">IF(E1001="KANTOR",0,INDEX(Master_Customer!$C$2:$C$126,MATCH(C1001,Master_Customer!$A$2:$A$126,0)))</f>
        <v>0</v>
      </c>
      <c r="H1001" s="53" t="n">
        <f aca="false">B1001+G1001</f>
        <v>45871</v>
      </c>
      <c r="J1001" s="39" t="str">
        <f aca="false">IF(G1001=0,"Tunai",IF(I1001="","Belum ditukar","Sudah ditukar"))</f>
        <v>Tunai</v>
      </c>
      <c r="K1001" s="54" t="n">
        <v>11451100</v>
      </c>
      <c r="L1001" s="51" t="n">
        <v>45871</v>
      </c>
      <c r="M1001" s="52" t="n">
        <f aca="false">F1001-K1001</f>
        <v>0</v>
      </c>
      <c r="N1001" s="39" t="str">
        <f aca="false">IF(M1001&lt;=0,"Lunas",IF(K1001&gt;0,"Sebagian","Belum Bayar"))</f>
        <v>Lunas</v>
      </c>
      <c r="O1001" s="39" t="n">
        <f aca="false">IF(M1001&gt;0,MAX(0,Catatan!$B$3-H1001),0)</f>
        <v>0</v>
      </c>
      <c r="P1001" s="39" t="str">
        <f aca="false">IF(M1001&lt;=0,"Lunas",IF(Catatan!$B$3&lt;=H1001,"Belum Jatuh Tempo",IF(O1001&lt;=30,"1-30 hari",IF(O1001&lt;=60,"31-60 hari",IF(O1001&lt;=90,"61-90 hari","90+ hari")))))</f>
        <v>Lunas</v>
      </c>
      <c r="Q1001" s="50"/>
      <c r="R1001" s="39" t="str">
        <f aca="false">IF(M1001&lt;=0,"",IF(O1001&gt;60,"1-Tinggi",IF(O1001&gt;30,"2-Sedang",IF(O1001&gt;0,"3-Rendah","4-Pantau"))))</f>
        <v/>
      </c>
      <c r="S1001" s="39" t="str">
        <f aca="false">IF(AND(M1001&gt;0,O1001&gt;0),O1001+M1001/1000000000000+ROW()/1000000000000000,"")</f>
        <v/>
      </c>
      <c r="T1001" s="39" t="str">
        <f aca="false">IF(J1001="Belum ditukar",ROW(),"")</f>
        <v/>
      </c>
    </row>
    <row r="1002" customFormat="false" ht="15" hidden="false" customHeight="false" outlineLevel="0" collapsed="false">
      <c r="A1002" s="50" t="s">
        <v>1287</v>
      </c>
      <c r="B1002" s="51" t="n">
        <v>45871</v>
      </c>
      <c r="C1002" s="50" t="s">
        <v>174</v>
      </c>
      <c r="D1002" s="39" t="str">
        <f aca="false">INDEX(Master_Customer!$B$2:$B$126,MATCH(C1002,Master_Customer!$A$2:$A$126,0))</f>
        <v>SUMBER TEKNIK SURYA</v>
      </c>
      <c r="E1002" s="50" t="s">
        <v>31</v>
      </c>
      <c r="F1002" s="52" t="n">
        <f aca="false">SUMIFS(Data_Penjualan!$G$2:$G$5998,Data_Penjualan!$A$2:$A$5998,A1002)</f>
        <v>5725300</v>
      </c>
      <c r="G1002" s="39" t="n">
        <f aca="false">IF(E1002="KANTOR",0,INDEX(Master_Customer!$C$2:$C$126,MATCH(C1002,Master_Customer!$A$2:$A$126,0)))</f>
        <v>30</v>
      </c>
      <c r="H1002" s="53" t="n">
        <f aca="false">B1002+G1002</f>
        <v>45901</v>
      </c>
      <c r="I1002" s="51" t="n">
        <v>45874</v>
      </c>
      <c r="J1002" s="39" t="str">
        <f aca="false">IF(G1002=0,"Tunai",IF(I1002="","Belum ditukar","Sudah ditukar"))</f>
        <v>Sudah ditukar</v>
      </c>
      <c r="K1002" s="54" t="n">
        <v>5725300</v>
      </c>
      <c r="L1002" s="51" t="n">
        <v>45898</v>
      </c>
      <c r="M1002" s="52" t="n">
        <f aca="false">F1002-K1002</f>
        <v>0</v>
      </c>
      <c r="N1002" s="39" t="str">
        <f aca="false">IF(M1002&lt;=0,"Lunas",IF(K1002&gt;0,"Sebagian","Belum Bayar"))</f>
        <v>Lunas</v>
      </c>
      <c r="O1002" s="39" t="n">
        <f aca="false">IF(M1002&gt;0,MAX(0,Catatan!$B$3-H1002),0)</f>
        <v>0</v>
      </c>
      <c r="P1002" s="39" t="str">
        <f aca="false">IF(M1002&lt;=0,"Lunas",IF(Catatan!$B$3&lt;=H1002,"Belum Jatuh Tempo",IF(O1002&lt;=30,"1-30 hari",IF(O1002&lt;=60,"31-60 hari",IF(O1002&lt;=90,"61-90 hari","90+ hari")))))</f>
        <v>Lunas</v>
      </c>
      <c r="Q1002" s="50"/>
      <c r="R1002" s="39" t="str">
        <f aca="false">IF(M1002&lt;=0,"",IF(O1002&gt;60,"1-Tinggi",IF(O1002&gt;30,"2-Sedang",IF(O1002&gt;0,"3-Rendah","4-Pantau"))))</f>
        <v/>
      </c>
      <c r="S1002" s="39" t="str">
        <f aca="false">IF(AND(M1002&gt;0,O1002&gt;0),O1002+M1002/1000000000000+ROW()/1000000000000000,"")</f>
        <v/>
      </c>
      <c r="T1002" s="39" t="str">
        <f aca="false">IF(J1002="Belum ditukar",ROW(),"")</f>
        <v/>
      </c>
    </row>
    <row r="1003" customFormat="false" ht="15" hidden="false" customHeight="false" outlineLevel="0" collapsed="false">
      <c r="A1003" s="50" t="s">
        <v>1288</v>
      </c>
      <c r="B1003" s="51" t="n">
        <v>45871</v>
      </c>
      <c r="C1003" s="50" t="s">
        <v>320</v>
      </c>
      <c r="D1003" s="39" t="str">
        <f aca="false">INDEX(Master_Customer!$B$2:$B$126,MATCH(C1003,Master_Customer!$A$2:$A$126,0))</f>
        <v>BINTANG OLI</v>
      </c>
      <c r="E1003" s="50" t="s">
        <v>31</v>
      </c>
      <c r="F1003" s="52" t="n">
        <f aca="false">SUMIFS(Data_Penjualan!$G$2:$G$5998,Data_Penjualan!$A$2:$A$5998,A1003)</f>
        <v>1270100</v>
      </c>
      <c r="G1003" s="39" t="n">
        <f aca="false">IF(E1003="KANTOR",0,INDEX(Master_Customer!$C$2:$C$126,MATCH(C1003,Master_Customer!$A$2:$A$126,0)))</f>
        <v>14</v>
      </c>
      <c r="H1003" s="53" t="n">
        <f aca="false">B1003+G1003</f>
        <v>45885</v>
      </c>
      <c r="I1003" s="51" t="n">
        <v>45874</v>
      </c>
      <c r="J1003" s="39" t="str">
        <f aca="false">IF(G1003=0,"Tunai",IF(I1003="","Belum ditukar","Sudah ditukar"))</f>
        <v>Sudah ditukar</v>
      </c>
      <c r="K1003" s="54" t="n">
        <v>1270100</v>
      </c>
      <c r="L1003" s="51" t="n">
        <v>45967</v>
      </c>
      <c r="M1003" s="52" t="n">
        <f aca="false">F1003-K1003</f>
        <v>0</v>
      </c>
      <c r="N1003" s="39" t="str">
        <f aca="false">IF(M1003&lt;=0,"Lunas",IF(K1003&gt;0,"Sebagian","Belum Bayar"))</f>
        <v>Lunas</v>
      </c>
      <c r="O1003" s="39" t="n">
        <f aca="false">IF(M1003&gt;0,MAX(0,Catatan!$B$3-H1003),0)</f>
        <v>0</v>
      </c>
      <c r="P1003" s="39" t="str">
        <f aca="false">IF(M1003&lt;=0,"Lunas",IF(Catatan!$B$3&lt;=H1003,"Belum Jatuh Tempo",IF(O1003&lt;=30,"1-30 hari",IF(O1003&lt;=60,"31-60 hari",IF(O1003&lt;=90,"61-90 hari","90+ hari")))))</f>
        <v>Lunas</v>
      </c>
      <c r="Q1003" s="50"/>
      <c r="R1003" s="39" t="str">
        <f aca="false">IF(M1003&lt;=0,"",IF(O1003&gt;60,"1-Tinggi",IF(O1003&gt;30,"2-Sedang",IF(O1003&gt;0,"3-Rendah","4-Pantau"))))</f>
        <v/>
      </c>
      <c r="S1003" s="39" t="str">
        <f aca="false">IF(AND(M1003&gt;0,O1003&gt;0),O1003+M1003/1000000000000+ROW()/1000000000000000,"")</f>
        <v/>
      </c>
      <c r="T1003" s="39" t="str">
        <f aca="false">IF(J1003="Belum ditukar",ROW(),"")</f>
        <v/>
      </c>
    </row>
    <row r="1004" customFormat="false" ht="15" hidden="false" customHeight="false" outlineLevel="0" collapsed="false">
      <c r="A1004" s="50" t="s">
        <v>1289</v>
      </c>
      <c r="B1004" s="51" t="n">
        <v>45871</v>
      </c>
      <c r="C1004" s="50" t="s">
        <v>209</v>
      </c>
      <c r="D1004" s="39" t="str">
        <f aca="false">INDEX(Master_Customer!$B$2:$B$126,MATCH(C1004,Master_Customer!$A$2:$A$126,0))</f>
        <v>PRIMA TEKNIK</v>
      </c>
      <c r="E1004" s="50" t="s">
        <v>31</v>
      </c>
      <c r="F1004" s="52" t="n">
        <f aca="false">SUMIFS(Data_Penjualan!$G$2:$G$5998,Data_Penjualan!$A$2:$A$5998,A1004)</f>
        <v>12032400</v>
      </c>
      <c r="G1004" s="39" t="n">
        <f aca="false">IF(E1004="KANTOR",0,INDEX(Master_Customer!$C$2:$C$126,MATCH(C1004,Master_Customer!$A$2:$A$126,0)))</f>
        <v>30</v>
      </c>
      <c r="H1004" s="53" t="n">
        <f aca="false">B1004+G1004</f>
        <v>45901</v>
      </c>
      <c r="I1004" s="51" t="n">
        <v>45873</v>
      </c>
      <c r="J1004" s="39" t="str">
        <f aca="false">IF(G1004=0,"Tunai",IF(I1004="","Belum ditukar","Sudah ditukar"))</f>
        <v>Sudah ditukar</v>
      </c>
      <c r="K1004" s="54" t="n">
        <v>12032400</v>
      </c>
      <c r="L1004" s="51" t="n">
        <v>45918</v>
      </c>
      <c r="M1004" s="52" t="n">
        <f aca="false">F1004-K1004</f>
        <v>0</v>
      </c>
      <c r="N1004" s="39" t="str">
        <f aca="false">IF(M1004&lt;=0,"Lunas",IF(K1004&gt;0,"Sebagian","Belum Bayar"))</f>
        <v>Lunas</v>
      </c>
      <c r="O1004" s="39" t="n">
        <f aca="false">IF(M1004&gt;0,MAX(0,Catatan!$B$3-H1004),0)</f>
        <v>0</v>
      </c>
      <c r="P1004" s="39" t="str">
        <f aca="false">IF(M1004&lt;=0,"Lunas",IF(Catatan!$B$3&lt;=H1004,"Belum Jatuh Tempo",IF(O1004&lt;=30,"1-30 hari",IF(O1004&lt;=60,"31-60 hari",IF(O1004&lt;=90,"61-90 hari","90+ hari")))))</f>
        <v>Lunas</v>
      </c>
      <c r="Q1004" s="50"/>
      <c r="R1004" s="39" t="str">
        <f aca="false">IF(M1004&lt;=0,"",IF(O1004&gt;60,"1-Tinggi",IF(O1004&gt;30,"2-Sedang",IF(O1004&gt;0,"3-Rendah","4-Pantau"))))</f>
        <v/>
      </c>
      <c r="S1004" s="39" t="str">
        <f aca="false">IF(AND(M1004&gt;0,O1004&gt;0),O1004+M1004/1000000000000+ROW()/1000000000000000,"")</f>
        <v/>
      </c>
      <c r="T1004" s="39" t="str">
        <f aca="false">IF(J1004="Belum ditukar",ROW(),"")</f>
        <v/>
      </c>
    </row>
    <row r="1005" customFormat="false" ht="15" hidden="false" customHeight="false" outlineLevel="0" collapsed="false">
      <c r="A1005" s="50" t="s">
        <v>1290</v>
      </c>
      <c r="B1005" s="51" t="n">
        <v>45871</v>
      </c>
      <c r="C1005" s="50" t="s">
        <v>693</v>
      </c>
      <c r="D1005" s="39" t="str">
        <f aca="false">INDEX(Master_Customer!$B$2:$B$126,MATCH(C1005,Master_Customer!$A$2:$A$126,0))</f>
        <v>SUMBER OLI GEMILANG</v>
      </c>
      <c r="E1005" s="50" t="s">
        <v>30</v>
      </c>
      <c r="F1005" s="52" t="n">
        <f aca="false">SUMIFS(Data_Penjualan!$G$2:$G$5998,Data_Penjualan!$A$2:$A$5998,A1005)</f>
        <v>8422900</v>
      </c>
      <c r="G1005" s="39" t="n">
        <f aca="false">IF(E1005="KANTOR",0,INDEX(Master_Customer!$C$2:$C$126,MATCH(C1005,Master_Customer!$A$2:$A$126,0)))</f>
        <v>30</v>
      </c>
      <c r="H1005" s="53" t="n">
        <f aca="false">B1005+G1005</f>
        <v>45901</v>
      </c>
      <c r="I1005" s="51" t="n">
        <v>45873</v>
      </c>
      <c r="J1005" s="39" t="str">
        <f aca="false">IF(G1005=0,"Tunai",IF(I1005="","Belum ditukar","Sudah ditukar"))</f>
        <v>Sudah ditukar</v>
      </c>
      <c r="K1005" s="54" t="n">
        <v>8422900</v>
      </c>
      <c r="L1005" s="51" t="n">
        <v>45875</v>
      </c>
      <c r="M1005" s="52" t="n">
        <f aca="false">F1005-K1005</f>
        <v>0</v>
      </c>
      <c r="N1005" s="39" t="str">
        <f aca="false">IF(M1005&lt;=0,"Lunas",IF(K1005&gt;0,"Sebagian","Belum Bayar"))</f>
        <v>Lunas</v>
      </c>
      <c r="O1005" s="39" t="n">
        <f aca="false">IF(M1005&gt;0,MAX(0,Catatan!$B$3-H1005),0)</f>
        <v>0</v>
      </c>
      <c r="P1005" s="39" t="str">
        <f aca="false">IF(M1005&lt;=0,"Lunas",IF(Catatan!$B$3&lt;=H1005,"Belum Jatuh Tempo",IF(O1005&lt;=30,"1-30 hari",IF(O1005&lt;=60,"31-60 hari",IF(O1005&lt;=90,"61-90 hari","90+ hari")))))</f>
        <v>Lunas</v>
      </c>
      <c r="Q1005" s="50"/>
      <c r="R1005" s="39" t="str">
        <f aca="false">IF(M1005&lt;=0,"",IF(O1005&gt;60,"1-Tinggi",IF(O1005&gt;30,"2-Sedang",IF(O1005&gt;0,"3-Rendah","4-Pantau"))))</f>
        <v/>
      </c>
      <c r="S1005" s="39" t="str">
        <f aca="false">IF(AND(M1005&gt;0,O1005&gt;0),O1005+M1005/1000000000000+ROW()/1000000000000000,"")</f>
        <v/>
      </c>
      <c r="T1005" s="39" t="str">
        <f aca="false">IF(J1005="Belum ditukar",ROW(),"")</f>
        <v/>
      </c>
    </row>
    <row r="1006" customFormat="false" ht="15" hidden="false" customHeight="false" outlineLevel="0" collapsed="false">
      <c r="A1006" s="50" t="s">
        <v>1291</v>
      </c>
      <c r="B1006" s="51" t="n">
        <v>45871</v>
      </c>
      <c r="C1006" s="50" t="s">
        <v>693</v>
      </c>
      <c r="D1006" s="39" t="str">
        <f aca="false">INDEX(Master_Customer!$B$2:$B$126,MATCH(C1006,Master_Customer!$A$2:$A$126,0))</f>
        <v>SUMBER OLI GEMILANG</v>
      </c>
      <c r="E1006" s="50" t="s">
        <v>30</v>
      </c>
      <c r="F1006" s="52" t="n">
        <f aca="false">SUMIFS(Data_Penjualan!$G$2:$G$5998,Data_Penjualan!$A$2:$A$5998,A1006)</f>
        <v>9014800</v>
      </c>
      <c r="G1006" s="39" t="n">
        <f aca="false">IF(E1006="KANTOR",0,INDEX(Master_Customer!$C$2:$C$126,MATCH(C1006,Master_Customer!$A$2:$A$126,0)))</f>
        <v>30</v>
      </c>
      <c r="H1006" s="53" t="n">
        <f aca="false">B1006+G1006</f>
        <v>45901</v>
      </c>
      <c r="I1006" s="51" t="n">
        <v>45874</v>
      </c>
      <c r="J1006" s="39" t="str">
        <f aca="false">IF(G1006=0,"Tunai",IF(I1006="","Belum ditukar","Sudah ditukar"))</f>
        <v>Sudah ditukar</v>
      </c>
      <c r="K1006" s="54" t="n">
        <v>9014800</v>
      </c>
      <c r="L1006" s="51" t="n">
        <v>45910</v>
      </c>
      <c r="M1006" s="52" t="n">
        <f aca="false">F1006-K1006</f>
        <v>0</v>
      </c>
      <c r="N1006" s="39" t="str">
        <f aca="false">IF(M1006&lt;=0,"Lunas",IF(K1006&gt;0,"Sebagian","Belum Bayar"))</f>
        <v>Lunas</v>
      </c>
      <c r="O1006" s="39" t="n">
        <f aca="false">IF(M1006&gt;0,MAX(0,Catatan!$B$3-H1006),0)</f>
        <v>0</v>
      </c>
      <c r="P1006" s="39" t="str">
        <f aca="false">IF(M1006&lt;=0,"Lunas",IF(Catatan!$B$3&lt;=H1006,"Belum Jatuh Tempo",IF(O1006&lt;=30,"1-30 hari",IF(O1006&lt;=60,"31-60 hari",IF(O1006&lt;=90,"61-90 hari","90+ hari")))))</f>
        <v>Lunas</v>
      </c>
      <c r="Q1006" s="50"/>
      <c r="R1006" s="39" t="str">
        <f aca="false">IF(M1006&lt;=0,"",IF(O1006&gt;60,"1-Tinggi",IF(O1006&gt;30,"2-Sedang",IF(O1006&gt;0,"3-Rendah","4-Pantau"))))</f>
        <v/>
      </c>
      <c r="S1006" s="39" t="str">
        <f aca="false">IF(AND(M1006&gt;0,O1006&gt;0),O1006+M1006/1000000000000+ROW()/1000000000000000,"")</f>
        <v/>
      </c>
      <c r="T1006" s="39" t="str">
        <f aca="false">IF(J1006="Belum ditukar",ROW(),"")</f>
        <v/>
      </c>
    </row>
    <row r="1007" customFormat="false" ht="15" hidden="false" customHeight="false" outlineLevel="0" collapsed="false">
      <c r="A1007" s="50" t="s">
        <v>1292</v>
      </c>
      <c r="B1007" s="51" t="n">
        <v>45871</v>
      </c>
      <c r="C1007" s="50" t="s">
        <v>197</v>
      </c>
      <c r="D1007" s="39" t="str">
        <f aca="false">INDEX(Master_Customer!$B$2:$B$126,MATCH(C1007,Master_Customer!$A$2:$A$126,0))</f>
        <v>UTAMA LUBRICANT HARAPAN</v>
      </c>
      <c r="E1007" s="50" t="s">
        <v>30</v>
      </c>
      <c r="F1007" s="52" t="n">
        <f aca="false">SUMIFS(Data_Penjualan!$G$2:$G$5998,Data_Penjualan!$A$2:$A$5998,A1007)</f>
        <v>2127900</v>
      </c>
      <c r="G1007" s="39" t="n">
        <f aca="false">IF(E1007="KANTOR",0,INDEX(Master_Customer!$C$2:$C$126,MATCH(C1007,Master_Customer!$A$2:$A$126,0)))</f>
        <v>30</v>
      </c>
      <c r="H1007" s="53" t="n">
        <f aca="false">B1007+G1007</f>
        <v>45901</v>
      </c>
      <c r="I1007" s="51" t="n">
        <v>45872</v>
      </c>
      <c r="J1007" s="39" t="str">
        <f aca="false">IF(G1007=0,"Tunai",IF(I1007="","Belum ditukar","Sudah ditukar"))</f>
        <v>Sudah ditukar</v>
      </c>
      <c r="K1007" s="54" t="n">
        <v>2127900</v>
      </c>
      <c r="L1007" s="51" t="n">
        <v>45897</v>
      </c>
      <c r="M1007" s="52" t="n">
        <f aca="false">F1007-K1007</f>
        <v>0</v>
      </c>
      <c r="N1007" s="39" t="str">
        <f aca="false">IF(M1007&lt;=0,"Lunas",IF(K1007&gt;0,"Sebagian","Belum Bayar"))</f>
        <v>Lunas</v>
      </c>
      <c r="O1007" s="39" t="n">
        <f aca="false">IF(M1007&gt;0,MAX(0,Catatan!$B$3-H1007),0)</f>
        <v>0</v>
      </c>
      <c r="P1007" s="39" t="str">
        <f aca="false">IF(M1007&lt;=0,"Lunas",IF(Catatan!$B$3&lt;=H1007,"Belum Jatuh Tempo",IF(O1007&lt;=30,"1-30 hari",IF(O1007&lt;=60,"31-60 hari",IF(O1007&lt;=90,"61-90 hari","90+ hari")))))</f>
        <v>Lunas</v>
      </c>
      <c r="Q1007" s="50"/>
      <c r="R1007" s="39" t="str">
        <f aca="false">IF(M1007&lt;=0,"",IF(O1007&gt;60,"1-Tinggi",IF(O1007&gt;30,"2-Sedang",IF(O1007&gt;0,"3-Rendah","4-Pantau"))))</f>
        <v/>
      </c>
      <c r="S1007" s="39" t="str">
        <f aca="false">IF(AND(M1007&gt;0,O1007&gt;0),O1007+M1007/1000000000000+ROW()/1000000000000000,"")</f>
        <v/>
      </c>
      <c r="T1007" s="39" t="str">
        <f aca="false">IF(J1007="Belum ditukar",ROW(),"")</f>
        <v/>
      </c>
    </row>
    <row r="1008" customFormat="false" ht="15" hidden="false" customHeight="false" outlineLevel="0" collapsed="false">
      <c r="A1008" s="50" t="s">
        <v>1293</v>
      </c>
      <c r="B1008" s="51" t="n">
        <v>45871</v>
      </c>
      <c r="C1008" s="50" t="s">
        <v>195</v>
      </c>
      <c r="D1008" s="39" t="str">
        <f aca="false">INDEX(Master_Customer!$B$2:$B$126,MATCH(C1008,Master_Customer!$A$2:$A$126,0))</f>
        <v>KARYA LUBRICANT BINTANG</v>
      </c>
      <c r="E1008" s="50" t="s">
        <v>30</v>
      </c>
      <c r="F1008" s="52" t="n">
        <f aca="false">SUMIFS(Data_Penjualan!$G$2:$G$5998,Data_Penjualan!$A$2:$A$5998,A1008)</f>
        <v>4942600</v>
      </c>
      <c r="G1008" s="39" t="n">
        <f aca="false">IF(E1008="KANTOR",0,INDEX(Master_Customer!$C$2:$C$126,MATCH(C1008,Master_Customer!$A$2:$A$126,0)))</f>
        <v>14</v>
      </c>
      <c r="H1008" s="53" t="n">
        <f aca="false">B1008+G1008</f>
        <v>45885</v>
      </c>
      <c r="I1008" s="51" t="n">
        <v>45873</v>
      </c>
      <c r="J1008" s="39" t="str">
        <f aca="false">IF(G1008=0,"Tunai",IF(I1008="","Belum ditukar","Sudah ditukar"))</f>
        <v>Sudah ditukar</v>
      </c>
      <c r="K1008" s="54" t="n">
        <v>4942600</v>
      </c>
      <c r="L1008" s="51" t="n">
        <v>45890</v>
      </c>
      <c r="M1008" s="52" t="n">
        <f aca="false">F1008-K1008</f>
        <v>0</v>
      </c>
      <c r="N1008" s="39" t="str">
        <f aca="false">IF(M1008&lt;=0,"Lunas",IF(K1008&gt;0,"Sebagian","Belum Bayar"))</f>
        <v>Lunas</v>
      </c>
      <c r="O1008" s="39" t="n">
        <f aca="false">IF(M1008&gt;0,MAX(0,Catatan!$B$3-H1008),0)</f>
        <v>0</v>
      </c>
      <c r="P1008" s="39" t="str">
        <f aca="false">IF(M1008&lt;=0,"Lunas",IF(Catatan!$B$3&lt;=H1008,"Belum Jatuh Tempo",IF(O1008&lt;=30,"1-30 hari",IF(O1008&lt;=60,"31-60 hari",IF(O1008&lt;=90,"61-90 hari","90+ hari")))))</f>
        <v>Lunas</v>
      </c>
      <c r="Q1008" s="50"/>
      <c r="R1008" s="39" t="str">
        <f aca="false">IF(M1008&lt;=0,"",IF(O1008&gt;60,"1-Tinggi",IF(O1008&gt;30,"2-Sedang",IF(O1008&gt;0,"3-Rendah","4-Pantau"))))</f>
        <v/>
      </c>
      <c r="S1008" s="39" t="str">
        <f aca="false">IF(AND(M1008&gt;0,O1008&gt;0),O1008+M1008/1000000000000+ROW()/1000000000000000,"")</f>
        <v/>
      </c>
      <c r="T1008" s="39" t="str">
        <f aca="false">IF(J1008="Belum ditukar",ROW(),"")</f>
        <v/>
      </c>
    </row>
    <row r="1009" customFormat="false" ht="15" hidden="false" customHeight="false" outlineLevel="0" collapsed="false">
      <c r="A1009" s="50" t="s">
        <v>1294</v>
      </c>
      <c r="B1009" s="51" t="n">
        <v>45873</v>
      </c>
      <c r="C1009" s="50" t="s">
        <v>289</v>
      </c>
      <c r="D1009" s="39" t="str">
        <f aca="false">INDEX(Master_Customer!$B$2:$B$126,MATCH(C1009,Master_Customer!$A$2:$A$126,0))</f>
        <v>SINAR GARAGE</v>
      </c>
      <c r="E1009" s="50" t="s">
        <v>32</v>
      </c>
      <c r="F1009" s="52" t="n">
        <f aca="false">SUMIFS(Data_Penjualan!$G$2:$G$5998,Data_Penjualan!$A$2:$A$5998,A1009)</f>
        <v>8957600</v>
      </c>
      <c r="G1009" s="39" t="n">
        <f aca="false">IF(E1009="KANTOR",0,INDEX(Master_Customer!$C$2:$C$126,MATCH(C1009,Master_Customer!$A$2:$A$126,0)))</f>
        <v>0</v>
      </c>
      <c r="H1009" s="53" t="n">
        <f aca="false">B1009+G1009</f>
        <v>45873</v>
      </c>
      <c r="J1009" s="39" t="str">
        <f aca="false">IF(G1009=0,"Tunai",IF(I1009="","Belum ditukar","Sudah ditukar"))</f>
        <v>Tunai</v>
      </c>
      <c r="K1009" s="54" t="n">
        <v>8957600</v>
      </c>
      <c r="L1009" s="51" t="n">
        <v>45873</v>
      </c>
      <c r="M1009" s="52" t="n">
        <f aca="false">F1009-K1009</f>
        <v>0</v>
      </c>
      <c r="N1009" s="39" t="str">
        <f aca="false">IF(M1009&lt;=0,"Lunas",IF(K1009&gt;0,"Sebagian","Belum Bayar"))</f>
        <v>Lunas</v>
      </c>
      <c r="O1009" s="39" t="n">
        <f aca="false">IF(M1009&gt;0,MAX(0,Catatan!$B$3-H1009),0)</f>
        <v>0</v>
      </c>
      <c r="P1009" s="39" t="str">
        <f aca="false">IF(M1009&lt;=0,"Lunas",IF(Catatan!$B$3&lt;=H1009,"Belum Jatuh Tempo",IF(O1009&lt;=30,"1-30 hari",IF(O1009&lt;=60,"31-60 hari",IF(O1009&lt;=90,"61-90 hari","90+ hari")))))</f>
        <v>Lunas</v>
      </c>
      <c r="Q1009" s="50"/>
      <c r="R1009" s="39" t="str">
        <f aca="false">IF(M1009&lt;=0,"",IF(O1009&gt;60,"1-Tinggi",IF(O1009&gt;30,"2-Sedang",IF(O1009&gt;0,"3-Rendah","4-Pantau"))))</f>
        <v/>
      </c>
      <c r="S1009" s="39" t="str">
        <f aca="false">IF(AND(M1009&gt;0,O1009&gt;0),O1009+M1009/1000000000000+ROW()/1000000000000000,"")</f>
        <v/>
      </c>
      <c r="T1009" s="39" t="str">
        <f aca="false">IF(J1009="Belum ditukar",ROW(),"")</f>
        <v/>
      </c>
    </row>
    <row r="1010" customFormat="false" ht="15" hidden="false" customHeight="false" outlineLevel="0" collapsed="false">
      <c r="A1010" s="50" t="s">
        <v>1295</v>
      </c>
      <c r="B1010" s="51" t="n">
        <v>45873</v>
      </c>
      <c r="C1010" s="50" t="s">
        <v>465</v>
      </c>
      <c r="D1010" s="39" t="str">
        <f aca="false">INDEX(Master_Customer!$B$2:$B$126,MATCH(C1010,Master_Customer!$A$2:$A$126,0))</f>
        <v>CAHAYA SERVICE BINTANG</v>
      </c>
      <c r="E1010" s="50" t="s">
        <v>28</v>
      </c>
      <c r="F1010" s="52" t="n">
        <f aca="false">SUMIFS(Data_Penjualan!$G$2:$G$5998,Data_Penjualan!$A$2:$A$5998,A1010)</f>
        <v>7839700</v>
      </c>
      <c r="G1010" s="39" t="n">
        <f aca="false">IF(E1010="KANTOR",0,INDEX(Master_Customer!$C$2:$C$126,MATCH(C1010,Master_Customer!$A$2:$A$126,0)))</f>
        <v>30</v>
      </c>
      <c r="H1010" s="53" t="n">
        <f aca="false">B1010+G1010</f>
        <v>45903</v>
      </c>
      <c r="I1010" s="51" t="n">
        <v>45877</v>
      </c>
      <c r="J1010" s="39" t="str">
        <f aca="false">IF(G1010=0,"Tunai",IF(I1010="","Belum ditukar","Sudah ditukar"))</f>
        <v>Sudah ditukar</v>
      </c>
      <c r="K1010" s="54" t="n">
        <v>7839700</v>
      </c>
      <c r="L1010" s="51" t="n">
        <v>45897</v>
      </c>
      <c r="M1010" s="52" t="n">
        <f aca="false">F1010-K1010</f>
        <v>0</v>
      </c>
      <c r="N1010" s="39" t="str">
        <f aca="false">IF(M1010&lt;=0,"Lunas",IF(K1010&gt;0,"Sebagian","Belum Bayar"))</f>
        <v>Lunas</v>
      </c>
      <c r="O1010" s="39" t="n">
        <f aca="false">IF(M1010&gt;0,MAX(0,Catatan!$B$3-H1010),0)</f>
        <v>0</v>
      </c>
      <c r="P1010" s="39" t="str">
        <f aca="false">IF(M1010&lt;=0,"Lunas",IF(Catatan!$B$3&lt;=H1010,"Belum Jatuh Tempo",IF(O1010&lt;=30,"1-30 hari",IF(O1010&lt;=60,"31-60 hari",IF(O1010&lt;=90,"61-90 hari","90+ hari")))))</f>
        <v>Lunas</v>
      </c>
      <c r="Q1010" s="50"/>
      <c r="R1010" s="39" t="str">
        <f aca="false">IF(M1010&lt;=0,"",IF(O1010&gt;60,"1-Tinggi",IF(O1010&gt;30,"2-Sedang",IF(O1010&gt;0,"3-Rendah","4-Pantau"))))</f>
        <v/>
      </c>
      <c r="S1010" s="39" t="str">
        <f aca="false">IF(AND(M1010&gt;0,O1010&gt;0),O1010+M1010/1000000000000+ROW()/1000000000000000,"")</f>
        <v/>
      </c>
      <c r="T1010" s="39" t="str">
        <f aca="false">IF(J1010="Belum ditukar",ROW(),"")</f>
        <v/>
      </c>
    </row>
    <row r="1011" customFormat="false" ht="15" hidden="false" customHeight="false" outlineLevel="0" collapsed="false">
      <c r="A1011" s="50" t="s">
        <v>1296</v>
      </c>
      <c r="B1011" s="51" t="n">
        <v>45873</v>
      </c>
      <c r="C1011" s="50" t="s">
        <v>197</v>
      </c>
      <c r="D1011" s="39" t="str">
        <f aca="false">INDEX(Master_Customer!$B$2:$B$126,MATCH(C1011,Master_Customer!$A$2:$A$126,0))</f>
        <v>UTAMA LUBRICANT HARAPAN</v>
      </c>
      <c r="E1011" s="50" t="s">
        <v>30</v>
      </c>
      <c r="F1011" s="52" t="n">
        <f aca="false">SUMIFS(Data_Penjualan!$G$2:$G$5998,Data_Penjualan!$A$2:$A$5998,A1011)</f>
        <v>7135200</v>
      </c>
      <c r="G1011" s="39" t="n">
        <f aca="false">IF(E1011="KANTOR",0,INDEX(Master_Customer!$C$2:$C$126,MATCH(C1011,Master_Customer!$A$2:$A$126,0)))</f>
        <v>30</v>
      </c>
      <c r="H1011" s="53" t="n">
        <f aca="false">B1011+G1011</f>
        <v>45903</v>
      </c>
      <c r="I1011" s="51" t="n">
        <v>45877</v>
      </c>
      <c r="J1011" s="39" t="str">
        <f aca="false">IF(G1011=0,"Tunai",IF(I1011="","Belum ditukar","Sudah ditukar"))</f>
        <v>Sudah ditukar</v>
      </c>
      <c r="K1011" s="54" t="n">
        <v>7135200</v>
      </c>
      <c r="L1011" s="51" t="n">
        <v>45895</v>
      </c>
      <c r="M1011" s="52" t="n">
        <f aca="false">F1011-K1011</f>
        <v>0</v>
      </c>
      <c r="N1011" s="39" t="str">
        <f aca="false">IF(M1011&lt;=0,"Lunas",IF(K1011&gt;0,"Sebagian","Belum Bayar"))</f>
        <v>Lunas</v>
      </c>
      <c r="O1011" s="39" t="n">
        <f aca="false">IF(M1011&gt;0,MAX(0,Catatan!$B$3-H1011),0)</f>
        <v>0</v>
      </c>
      <c r="P1011" s="39" t="str">
        <f aca="false">IF(M1011&lt;=0,"Lunas",IF(Catatan!$B$3&lt;=H1011,"Belum Jatuh Tempo",IF(O1011&lt;=30,"1-30 hari",IF(O1011&lt;=60,"31-60 hari",IF(O1011&lt;=90,"61-90 hari","90+ hari")))))</f>
        <v>Lunas</v>
      </c>
      <c r="Q1011" s="50"/>
      <c r="R1011" s="39" t="str">
        <f aca="false">IF(M1011&lt;=0,"",IF(O1011&gt;60,"1-Tinggi",IF(O1011&gt;30,"2-Sedang",IF(O1011&gt;0,"3-Rendah","4-Pantau"))))</f>
        <v/>
      </c>
      <c r="S1011" s="39" t="str">
        <f aca="false">IF(AND(M1011&gt;0,O1011&gt;0),O1011+M1011/1000000000000+ROW()/1000000000000000,"")</f>
        <v/>
      </c>
      <c r="T1011" s="39" t="str">
        <f aca="false">IF(J1011="Belum ditukar",ROW(),"")</f>
        <v/>
      </c>
    </row>
    <row r="1012" customFormat="false" ht="15" hidden="false" customHeight="false" outlineLevel="0" collapsed="false">
      <c r="A1012" s="50" t="s">
        <v>1297</v>
      </c>
      <c r="B1012" s="51" t="n">
        <v>45873</v>
      </c>
      <c r="C1012" s="50" t="s">
        <v>271</v>
      </c>
      <c r="D1012" s="39" t="str">
        <f aca="false">INDEX(Master_Customer!$B$2:$B$126,MATCH(C1012,Master_Customer!$A$2:$A$126,0))</f>
        <v>CAHAYA MOTOR</v>
      </c>
      <c r="E1012" s="50" t="s">
        <v>28</v>
      </c>
      <c r="F1012" s="52" t="n">
        <f aca="false">SUMIFS(Data_Penjualan!$G$2:$G$5998,Data_Penjualan!$A$2:$A$5998,A1012)</f>
        <v>10830100</v>
      </c>
      <c r="G1012" s="39" t="n">
        <f aca="false">IF(E1012="KANTOR",0,INDEX(Master_Customer!$C$2:$C$126,MATCH(C1012,Master_Customer!$A$2:$A$126,0)))</f>
        <v>14</v>
      </c>
      <c r="H1012" s="53" t="n">
        <f aca="false">B1012+G1012</f>
        <v>45887</v>
      </c>
      <c r="I1012" s="51" t="n">
        <v>45876</v>
      </c>
      <c r="J1012" s="39" t="str">
        <f aca="false">IF(G1012=0,"Tunai",IF(I1012="","Belum ditukar","Sudah ditukar"))</f>
        <v>Sudah ditukar</v>
      </c>
      <c r="K1012" s="54" t="n">
        <v>10830100</v>
      </c>
      <c r="L1012" s="51" t="n">
        <v>45894</v>
      </c>
      <c r="M1012" s="52" t="n">
        <f aca="false">F1012-K1012</f>
        <v>0</v>
      </c>
      <c r="N1012" s="39" t="str">
        <f aca="false">IF(M1012&lt;=0,"Lunas",IF(K1012&gt;0,"Sebagian","Belum Bayar"))</f>
        <v>Lunas</v>
      </c>
      <c r="O1012" s="39" t="n">
        <f aca="false">IF(M1012&gt;0,MAX(0,Catatan!$B$3-H1012),0)</f>
        <v>0</v>
      </c>
      <c r="P1012" s="39" t="str">
        <f aca="false">IF(M1012&lt;=0,"Lunas",IF(Catatan!$B$3&lt;=H1012,"Belum Jatuh Tempo",IF(O1012&lt;=30,"1-30 hari",IF(O1012&lt;=60,"31-60 hari",IF(O1012&lt;=90,"61-90 hari","90+ hari")))))</f>
        <v>Lunas</v>
      </c>
      <c r="Q1012" s="50"/>
      <c r="R1012" s="39" t="str">
        <f aca="false">IF(M1012&lt;=0,"",IF(O1012&gt;60,"1-Tinggi",IF(O1012&gt;30,"2-Sedang",IF(O1012&gt;0,"3-Rendah","4-Pantau"))))</f>
        <v/>
      </c>
      <c r="S1012" s="39" t="str">
        <f aca="false">IF(AND(M1012&gt;0,O1012&gt;0),O1012+M1012/1000000000000+ROW()/1000000000000000,"")</f>
        <v/>
      </c>
      <c r="T1012" s="39" t="str">
        <f aca="false">IF(J1012="Belum ditukar",ROW(),"")</f>
        <v/>
      </c>
    </row>
    <row r="1013" customFormat="false" ht="15" hidden="false" customHeight="false" outlineLevel="0" collapsed="false">
      <c r="A1013" s="50" t="s">
        <v>1298</v>
      </c>
      <c r="B1013" s="51" t="n">
        <v>45873</v>
      </c>
      <c r="C1013" s="50" t="s">
        <v>505</v>
      </c>
      <c r="D1013" s="39" t="str">
        <f aca="false">INDEX(Master_Customer!$B$2:$B$126,MATCH(C1013,Master_Customer!$A$2:$A$126,0))</f>
        <v>GEMILANG OLI CAHAYA</v>
      </c>
      <c r="E1013" s="50" t="s">
        <v>31</v>
      </c>
      <c r="F1013" s="52" t="n">
        <f aca="false">SUMIFS(Data_Penjualan!$G$2:$G$5998,Data_Penjualan!$A$2:$A$5998,A1013)</f>
        <v>10766400</v>
      </c>
      <c r="G1013" s="39" t="n">
        <f aca="false">IF(E1013="KANTOR",0,INDEX(Master_Customer!$C$2:$C$126,MATCH(C1013,Master_Customer!$A$2:$A$126,0)))</f>
        <v>0</v>
      </c>
      <c r="H1013" s="53" t="n">
        <f aca="false">B1013+G1013</f>
        <v>45873</v>
      </c>
      <c r="J1013" s="39" t="str">
        <f aca="false">IF(G1013=0,"Tunai",IF(I1013="","Belum ditukar","Sudah ditukar"))</f>
        <v>Tunai</v>
      </c>
      <c r="K1013" s="54" t="n">
        <v>10766400</v>
      </c>
      <c r="L1013" s="51" t="n">
        <v>45873</v>
      </c>
      <c r="M1013" s="52" t="n">
        <f aca="false">F1013-K1013</f>
        <v>0</v>
      </c>
      <c r="N1013" s="39" t="str">
        <f aca="false">IF(M1013&lt;=0,"Lunas",IF(K1013&gt;0,"Sebagian","Belum Bayar"))</f>
        <v>Lunas</v>
      </c>
      <c r="O1013" s="39" t="n">
        <f aca="false">IF(M1013&gt;0,MAX(0,Catatan!$B$3-H1013),0)</f>
        <v>0</v>
      </c>
      <c r="P1013" s="39" t="str">
        <f aca="false">IF(M1013&lt;=0,"Lunas",IF(Catatan!$B$3&lt;=H1013,"Belum Jatuh Tempo",IF(O1013&lt;=30,"1-30 hari",IF(O1013&lt;=60,"31-60 hari",IF(O1013&lt;=90,"61-90 hari","90+ hari")))))</f>
        <v>Lunas</v>
      </c>
      <c r="Q1013" s="50"/>
      <c r="R1013" s="39" t="str">
        <f aca="false">IF(M1013&lt;=0,"",IF(O1013&gt;60,"1-Tinggi",IF(O1013&gt;30,"2-Sedang",IF(O1013&gt;0,"3-Rendah","4-Pantau"))))</f>
        <v/>
      </c>
      <c r="S1013" s="39" t="str">
        <f aca="false">IF(AND(M1013&gt;0,O1013&gt;0),O1013+M1013/1000000000000+ROW()/1000000000000000,"")</f>
        <v/>
      </c>
      <c r="T1013" s="39" t="str">
        <f aca="false">IF(J1013="Belum ditukar",ROW(),"")</f>
        <v/>
      </c>
    </row>
    <row r="1014" customFormat="false" ht="15" hidden="false" customHeight="false" outlineLevel="0" collapsed="false">
      <c r="A1014" s="50" t="s">
        <v>1299</v>
      </c>
      <c r="B1014" s="51" t="n">
        <v>45873</v>
      </c>
      <c r="C1014" s="50" t="s">
        <v>213</v>
      </c>
      <c r="D1014" s="39" t="str">
        <f aca="false">INDEX(Master_Customer!$B$2:$B$126,MATCH(C1014,Master_Customer!$A$2:$A$126,0))</f>
        <v>ABADI AUTO MAKMUR</v>
      </c>
      <c r="E1014" s="50" t="s">
        <v>30</v>
      </c>
      <c r="F1014" s="52" t="n">
        <f aca="false">SUMIFS(Data_Penjualan!$G$2:$G$5998,Data_Penjualan!$A$2:$A$5998,A1014)</f>
        <v>11195900</v>
      </c>
      <c r="G1014" s="39" t="n">
        <f aca="false">IF(E1014="KANTOR",0,INDEX(Master_Customer!$C$2:$C$126,MATCH(C1014,Master_Customer!$A$2:$A$126,0)))</f>
        <v>30</v>
      </c>
      <c r="H1014" s="53" t="n">
        <f aca="false">B1014+G1014</f>
        <v>45903</v>
      </c>
      <c r="I1014" s="51" t="n">
        <v>45878</v>
      </c>
      <c r="J1014" s="39" t="str">
        <f aca="false">IF(G1014=0,"Tunai",IF(I1014="","Belum ditukar","Sudah ditukar"))</f>
        <v>Sudah ditukar</v>
      </c>
      <c r="K1014" s="54" t="n">
        <v>11195900</v>
      </c>
      <c r="L1014" s="51" t="n">
        <v>45904</v>
      </c>
      <c r="M1014" s="52" t="n">
        <f aca="false">F1014-K1014</f>
        <v>0</v>
      </c>
      <c r="N1014" s="39" t="str">
        <f aca="false">IF(M1014&lt;=0,"Lunas",IF(K1014&gt;0,"Sebagian","Belum Bayar"))</f>
        <v>Lunas</v>
      </c>
      <c r="O1014" s="39" t="n">
        <f aca="false">IF(M1014&gt;0,MAX(0,Catatan!$B$3-H1014),0)</f>
        <v>0</v>
      </c>
      <c r="P1014" s="39" t="str">
        <f aca="false">IF(M1014&lt;=0,"Lunas",IF(Catatan!$B$3&lt;=H1014,"Belum Jatuh Tempo",IF(O1014&lt;=30,"1-30 hari",IF(O1014&lt;=60,"31-60 hari",IF(O1014&lt;=90,"61-90 hari","90+ hari")))))</f>
        <v>Lunas</v>
      </c>
      <c r="Q1014" s="50"/>
      <c r="R1014" s="39" t="str">
        <f aca="false">IF(M1014&lt;=0,"",IF(O1014&gt;60,"1-Tinggi",IF(O1014&gt;30,"2-Sedang",IF(O1014&gt;0,"3-Rendah","4-Pantau"))))</f>
        <v/>
      </c>
      <c r="S1014" s="39" t="str">
        <f aca="false">IF(AND(M1014&gt;0,O1014&gt;0),O1014+M1014/1000000000000+ROW()/1000000000000000,"")</f>
        <v/>
      </c>
      <c r="T1014" s="39" t="str">
        <f aca="false">IF(J1014="Belum ditukar",ROW(),"")</f>
        <v/>
      </c>
    </row>
    <row r="1015" customFormat="false" ht="15" hidden="false" customHeight="false" outlineLevel="0" collapsed="false">
      <c r="A1015" s="50" t="s">
        <v>1300</v>
      </c>
      <c r="B1015" s="51" t="n">
        <v>45873</v>
      </c>
      <c r="C1015" s="50" t="s">
        <v>177</v>
      </c>
      <c r="D1015" s="39" t="str">
        <f aca="false">INDEX(Master_Customer!$B$2:$B$126,MATCH(C1015,Master_Customer!$A$2:$A$126,0))</f>
        <v>PRIMA MOTOR LANCAR</v>
      </c>
      <c r="E1015" s="50" t="s">
        <v>29</v>
      </c>
      <c r="F1015" s="52" t="n">
        <f aca="false">SUMIFS(Data_Penjualan!$G$2:$G$5998,Data_Penjualan!$A$2:$A$5998,A1015)</f>
        <v>12171000</v>
      </c>
      <c r="G1015" s="39" t="n">
        <f aca="false">IF(E1015="KANTOR",0,INDEX(Master_Customer!$C$2:$C$126,MATCH(C1015,Master_Customer!$A$2:$A$126,0)))</f>
        <v>14</v>
      </c>
      <c r="H1015" s="53" t="n">
        <f aca="false">B1015+G1015</f>
        <v>45887</v>
      </c>
      <c r="I1015" s="51" t="n">
        <v>45878</v>
      </c>
      <c r="J1015" s="39" t="str">
        <f aca="false">IF(G1015=0,"Tunai",IF(I1015="","Belum ditukar","Sudah ditukar"))</f>
        <v>Sudah ditukar</v>
      </c>
      <c r="K1015" s="54" t="n">
        <v>12171000</v>
      </c>
      <c r="L1015" s="51" t="n">
        <v>45887</v>
      </c>
      <c r="M1015" s="52" t="n">
        <f aca="false">F1015-K1015</f>
        <v>0</v>
      </c>
      <c r="N1015" s="39" t="str">
        <f aca="false">IF(M1015&lt;=0,"Lunas",IF(K1015&gt;0,"Sebagian","Belum Bayar"))</f>
        <v>Lunas</v>
      </c>
      <c r="O1015" s="39" t="n">
        <f aca="false">IF(M1015&gt;0,MAX(0,Catatan!$B$3-H1015),0)</f>
        <v>0</v>
      </c>
      <c r="P1015" s="39" t="str">
        <f aca="false">IF(M1015&lt;=0,"Lunas",IF(Catatan!$B$3&lt;=H1015,"Belum Jatuh Tempo",IF(O1015&lt;=30,"1-30 hari",IF(O1015&lt;=60,"31-60 hari",IF(O1015&lt;=90,"61-90 hari","90+ hari")))))</f>
        <v>Lunas</v>
      </c>
      <c r="Q1015" s="50"/>
      <c r="R1015" s="39" t="str">
        <f aca="false">IF(M1015&lt;=0,"",IF(O1015&gt;60,"1-Tinggi",IF(O1015&gt;30,"2-Sedang",IF(O1015&gt;0,"3-Rendah","4-Pantau"))))</f>
        <v/>
      </c>
      <c r="S1015" s="39" t="str">
        <f aca="false">IF(AND(M1015&gt;0,O1015&gt;0),O1015+M1015/1000000000000+ROW()/1000000000000000,"")</f>
        <v/>
      </c>
      <c r="T1015" s="39" t="str">
        <f aca="false">IF(J1015="Belum ditukar",ROW(),"")</f>
        <v/>
      </c>
    </row>
    <row r="1016" customFormat="false" ht="15" hidden="false" customHeight="false" outlineLevel="0" collapsed="false">
      <c r="A1016" s="50" t="s">
        <v>1301</v>
      </c>
      <c r="B1016" s="51" t="n">
        <v>45873</v>
      </c>
      <c r="C1016" s="50" t="s">
        <v>209</v>
      </c>
      <c r="D1016" s="39" t="str">
        <f aca="false">INDEX(Master_Customer!$B$2:$B$126,MATCH(C1016,Master_Customer!$A$2:$A$126,0))</f>
        <v>PRIMA TEKNIK</v>
      </c>
      <c r="E1016" s="50" t="s">
        <v>32</v>
      </c>
      <c r="F1016" s="52" t="n">
        <f aca="false">SUMIFS(Data_Penjualan!$G$2:$G$5998,Data_Penjualan!$A$2:$A$5998,A1016)</f>
        <v>4728700</v>
      </c>
      <c r="G1016" s="39" t="n">
        <f aca="false">IF(E1016="KANTOR",0,INDEX(Master_Customer!$C$2:$C$126,MATCH(C1016,Master_Customer!$A$2:$A$126,0)))</f>
        <v>0</v>
      </c>
      <c r="H1016" s="53" t="n">
        <f aca="false">B1016+G1016</f>
        <v>45873</v>
      </c>
      <c r="J1016" s="39" t="str">
        <f aca="false">IF(G1016=0,"Tunai",IF(I1016="","Belum ditukar","Sudah ditukar"))</f>
        <v>Tunai</v>
      </c>
      <c r="K1016" s="54" t="n">
        <v>4728700</v>
      </c>
      <c r="L1016" s="51" t="n">
        <v>45873</v>
      </c>
      <c r="M1016" s="52" t="n">
        <f aca="false">F1016-K1016</f>
        <v>0</v>
      </c>
      <c r="N1016" s="39" t="str">
        <f aca="false">IF(M1016&lt;=0,"Lunas",IF(K1016&gt;0,"Sebagian","Belum Bayar"))</f>
        <v>Lunas</v>
      </c>
      <c r="O1016" s="39" t="n">
        <f aca="false">IF(M1016&gt;0,MAX(0,Catatan!$B$3-H1016),0)</f>
        <v>0</v>
      </c>
      <c r="P1016" s="39" t="str">
        <f aca="false">IF(M1016&lt;=0,"Lunas",IF(Catatan!$B$3&lt;=H1016,"Belum Jatuh Tempo",IF(O1016&lt;=30,"1-30 hari",IF(O1016&lt;=60,"31-60 hari",IF(O1016&lt;=90,"61-90 hari","90+ hari")))))</f>
        <v>Lunas</v>
      </c>
      <c r="Q1016" s="50"/>
      <c r="R1016" s="39" t="str">
        <f aca="false">IF(M1016&lt;=0,"",IF(O1016&gt;60,"1-Tinggi",IF(O1016&gt;30,"2-Sedang",IF(O1016&gt;0,"3-Rendah","4-Pantau"))))</f>
        <v/>
      </c>
      <c r="S1016" s="39" t="str">
        <f aca="false">IF(AND(M1016&gt;0,O1016&gt;0),O1016+M1016/1000000000000+ROW()/1000000000000000,"")</f>
        <v/>
      </c>
      <c r="T1016" s="39" t="str">
        <f aca="false">IF(J1016="Belum ditukar",ROW(),"")</f>
        <v/>
      </c>
    </row>
    <row r="1017" customFormat="false" ht="15" hidden="false" customHeight="false" outlineLevel="0" collapsed="false">
      <c r="A1017" s="50" t="s">
        <v>1302</v>
      </c>
      <c r="B1017" s="51" t="n">
        <v>45874</v>
      </c>
      <c r="C1017" s="50" t="s">
        <v>681</v>
      </c>
      <c r="D1017" s="39" t="str">
        <f aca="false">INDEX(Master_Customer!$B$2:$B$126,MATCH(C1017,Master_Customer!$A$2:$A$126,0))</f>
        <v>GEMILANG TEKNIK</v>
      </c>
      <c r="E1017" s="50" t="s">
        <v>29</v>
      </c>
      <c r="F1017" s="52" t="n">
        <f aca="false">SUMIFS(Data_Penjualan!$G$2:$G$5998,Data_Penjualan!$A$2:$A$5998,A1017)</f>
        <v>18014800</v>
      </c>
      <c r="G1017" s="39" t="n">
        <f aca="false">IF(E1017="KANTOR",0,INDEX(Master_Customer!$C$2:$C$126,MATCH(C1017,Master_Customer!$A$2:$A$126,0)))</f>
        <v>30</v>
      </c>
      <c r="H1017" s="53" t="n">
        <f aca="false">B1017+G1017</f>
        <v>45904</v>
      </c>
      <c r="I1017" s="51" t="n">
        <v>45877</v>
      </c>
      <c r="J1017" s="39" t="str">
        <f aca="false">IF(G1017=0,"Tunai",IF(I1017="","Belum ditukar","Sudah ditukar"))</f>
        <v>Sudah ditukar</v>
      </c>
      <c r="K1017" s="54" t="n">
        <v>18014800</v>
      </c>
      <c r="L1017" s="51" t="n">
        <v>45906</v>
      </c>
      <c r="M1017" s="52" t="n">
        <f aca="false">F1017-K1017</f>
        <v>0</v>
      </c>
      <c r="N1017" s="39" t="str">
        <f aca="false">IF(M1017&lt;=0,"Lunas",IF(K1017&gt;0,"Sebagian","Belum Bayar"))</f>
        <v>Lunas</v>
      </c>
      <c r="O1017" s="39" t="n">
        <f aca="false">IF(M1017&gt;0,MAX(0,Catatan!$B$3-H1017),0)</f>
        <v>0</v>
      </c>
      <c r="P1017" s="39" t="str">
        <f aca="false">IF(M1017&lt;=0,"Lunas",IF(Catatan!$B$3&lt;=H1017,"Belum Jatuh Tempo",IF(O1017&lt;=30,"1-30 hari",IF(O1017&lt;=60,"31-60 hari",IF(O1017&lt;=90,"61-90 hari","90+ hari")))))</f>
        <v>Lunas</v>
      </c>
      <c r="Q1017" s="50"/>
      <c r="R1017" s="39" t="str">
        <f aca="false">IF(M1017&lt;=0,"",IF(O1017&gt;60,"1-Tinggi",IF(O1017&gt;30,"2-Sedang",IF(O1017&gt;0,"3-Rendah","4-Pantau"))))</f>
        <v/>
      </c>
      <c r="S1017" s="39" t="str">
        <f aca="false">IF(AND(M1017&gt;0,O1017&gt;0),O1017+M1017/1000000000000+ROW()/1000000000000000,"")</f>
        <v/>
      </c>
      <c r="T1017" s="39" t="str">
        <f aca="false">IF(J1017="Belum ditukar",ROW(),"")</f>
        <v/>
      </c>
    </row>
    <row r="1018" customFormat="false" ht="15" hidden="false" customHeight="false" outlineLevel="0" collapsed="false">
      <c r="A1018" s="50" t="s">
        <v>1303</v>
      </c>
      <c r="B1018" s="51" t="n">
        <v>45874</v>
      </c>
      <c r="C1018" s="50" t="s">
        <v>197</v>
      </c>
      <c r="D1018" s="39" t="str">
        <f aca="false">INDEX(Master_Customer!$B$2:$B$126,MATCH(C1018,Master_Customer!$A$2:$A$126,0))</f>
        <v>UTAMA LUBRICANT HARAPAN</v>
      </c>
      <c r="E1018" s="50" t="s">
        <v>30</v>
      </c>
      <c r="F1018" s="52" t="n">
        <f aca="false">SUMIFS(Data_Penjualan!$G$2:$G$5998,Data_Penjualan!$A$2:$A$5998,A1018)</f>
        <v>6313300</v>
      </c>
      <c r="G1018" s="39" t="n">
        <f aca="false">IF(E1018="KANTOR",0,INDEX(Master_Customer!$C$2:$C$126,MATCH(C1018,Master_Customer!$A$2:$A$126,0)))</f>
        <v>30</v>
      </c>
      <c r="H1018" s="53" t="n">
        <f aca="false">B1018+G1018</f>
        <v>45904</v>
      </c>
      <c r="I1018" s="51" t="n">
        <v>45876</v>
      </c>
      <c r="J1018" s="39" t="str">
        <f aca="false">IF(G1018=0,"Tunai",IF(I1018="","Belum ditukar","Sudah ditukar"))</f>
        <v>Sudah ditukar</v>
      </c>
      <c r="K1018" s="54" t="n">
        <v>6313300</v>
      </c>
      <c r="L1018" s="51" t="n">
        <v>45899</v>
      </c>
      <c r="M1018" s="52" t="n">
        <f aca="false">F1018-K1018</f>
        <v>0</v>
      </c>
      <c r="N1018" s="39" t="str">
        <f aca="false">IF(M1018&lt;=0,"Lunas",IF(K1018&gt;0,"Sebagian","Belum Bayar"))</f>
        <v>Lunas</v>
      </c>
      <c r="O1018" s="39" t="n">
        <f aca="false">IF(M1018&gt;0,MAX(0,Catatan!$B$3-H1018),0)</f>
        <v>0</v>
      </c>
      <c r="P1018" s="39" t="str">
        <f aca="false">IF(M1018&lt;=0,"Lunas",IF(Catatan!$B$3&lt;=H1018,"Belum Jatuh Tempo",IF(O1018&lt;=30,"1-30 hari",IF(O1018&lt;=60,"31-60 hari",IF(O1018&lt;=90,"61-90 hari","90+ hari")))))</f>
        <v>Lunas</v>
      </c>
      <c r="Q1018" s="50"/>
      <c r="R1018" s="39" t="str">
        <f aca="false">IF(M1018&lt;=0,"",IF(O1018&gt;60,"1-Tinggi",IF(O1018&gt;30,"2-Sedang",IF(O1018&gt;0,"3-Rendah","4-Pantau"))))</f>
        <v/>
      </c>
      <c r="S1018" s="39" t="str">
        <f aca="false">IF(AND(M1018&gt;0,O1018&gt;0),O1018+M1018/1000000000000+ROW()/1000000000000000,"")</f>
        <v/>
      </c>
      <c r="T1018" s="39" t="str">
        <f aca="false">IF(J1018="Belum ditukar",ROW(),"")</f>
        <v/>
      </c>
    </row>
    <row r="1019" customFormat="false" ht="15" hidden="false" customHeight="false" outlineLevel="0" collapsed="false">
      <c r="A1019" s="50" t="s">
        <v>1304</v>
      </c>
      <c r="B1019" s="51" t="n">
        <v>45874</v>
      </c>
      <c r="C1019" s="50" t="s">
        <v>179</v>
      </c>
      <c r="D1019" s="39" t="str">
        <f aca="false">INDEX(Master_Customer!$B$2:$B$126,MATCH(C1019,Master_Customer!$A$2:$A$126,0))</f>
        <v>BINTANG TEKNIK SURYA</v>
      </c>
      <c r="E1019" s="50" t="s">
        <v>29</v>
      </c>
      <c r="F1019" s="52" t="n">
        <f aca="false">SUMIFS(Data_Penjualan!$G$2:$G$5998,Data_Penjualan!$A$2:$A$5998,A1019)</f>
        <v>10506600</v>
      </c>
      <c r="G1019" s="39" t="n">
        <f aca="false">IF(E1019="KANTOR",0,INDEX(Master_Customer!$C$2:$C$126,MATCH(C1019,Master_Customer!$A$2:$A$126,0)))</f>
        <v>45</v>
      </c>
      <c r="H1019" s="53" t="n">
        <f aca="false">B1019+G1019</f>
        <v>45919</v>
      </c>
      <c r="I1019" s="51" t="n">
        <v>45878</v>
      </c>
      <c r="J1019" s="39" t="str">
        <f aca="false">IF(G1019=0,"Tunai",IF(I1019="","Belum ditukar","Sudah ditukar"))</f>
        <v>Sudah ditukar</v>
      </c>
      <c r="K1019" s="54" t="n">
        <v>10506600</v>
      </c>
      <c r="L1019" s="51" t="n">
        <v>45915</v>
      </c>
      <c r="M1019" s="52" t="n">
        <f aca="false">F1019-K1019</f>
        <v>0</v>
      </c>
      <c r="N1019" s="39" t="str">
        <f aca="false">IF(M1019&lt;=0,"Lunas",IF(K1019&gt;0,"Sebagian","Belum Bayar"))</f>
        <v>Lunas</v>
      </c>
      <c r="O1019" s="39" t="n">
        <f aca="false">IF(M1019&gt;0,MAX(0,Catatan!$B$3-H1019),0)</f>
        <v>0</v>
      </c>
      <c r="P1019" s="39" t="str">
        <f aca="false">IF(M1019&lt;=0,"Lunas",IF(Catatan!$B$3&lt;=H1019,"Belum Jatuh Tempo",IF(O1019&lt;=30,"1-30 hari",IF(O1019&lt;=60,"31-60 hari",IF(O1019&lt;=90,"61-90 hari","90+ hari")))))</f>
        <v>Lunas</v>
      </c>
      <c r="Q1019" s="50"/>
      <c r="R1019" s="39" t="str">
        <f aca="false">IF(M1019&lt;=0,"",IF(O1019&gt;60,"1-Tinggi",IF(O1019&gt;30,"2-Sedang",IF(O1019&gt;0,"3-Rendah","4-Pantau"))))</f>
        <v/>
      </c>
      <c r="S1019" s="39" t="str">
        <f aca="false">IF(AND(M1019&gt;0,O1019&gt;0),O1019+M1019/1000000000000+ROW()/1000000000000000,"")</f>
        <v/>
      </c>
      <c r="T1019" s="39" t="str">
        <f aca="false">IF(J1019="Belum ditukar",ROW(),"")</f>
        <v/>
      </c>
    </row>
    <row r="1020" customFormat="false" ht="15" hidden="false" customHeight="false" outlineLevel="0" collapsed="false">
      <c r="A1020" s="50" t="s">
        <v>1305</v>
      </c>
      <c r="B1020" s="51" t="n">
        <v>45874</v>
      </c>
      <c r="C1020" s="50" t="s">
        <v>358</v>
      </c>
      <c r="D1020" s="39" t="str">
        <f aca="false">INDEX(Master_Customer!$B$2:$B$126,MATCH(C1020,Master_Customer!$A$2:$A$126,0))</f>
        <v>HARAPAN TEKNIK</v>
      </c>
      <c r="E1020" s="50" t="s">
        <v>31</v>
      </c>
      <c r="F1020" s="52" t="n">
        <f aca="false">SUMIFS(Data_Penjualan!$G$2:$G$5998,Data_Penjualan!$A$2:$A$5998,A1020)</f>
        <v>27865400</v>
      </c>
      <c r="G1020" s="39" t="n">
        <f aca="false">IF(E1020="KANTOR",0,INDEX(Master_Customer!$C$2:$C$126,MATCH(C1020,Master_Customer!$A$2:$A$126,0)))</f>
        <v>0</v>
      </c>
      <c r="H1020" s="53" t="n">
        <f aca="false">B1020+G1020</f>
        <v>45874</v>
      </c>
      <c r="J1020" s="39" t="str">
        <f aca="false">IF(G1020=0,"Tunai",IF(I1020="","Belum ditukar","Sudah ditukar"))</f>
        <v>Tunai</v>
      </c>
      <c r="K1020" s="54" t="n">
        <v>27865400</v>
      </c>
      <c r="L1020" s="51" t="n">
        <v>45875</v>
      </c>
      <c r="M1020" s="52" t="n">
        <f aca="false">F1020-K1020</f>
        <v>0</v>
      </c>
      <c r="N1020" s="39" t="str">
        <f aca="false">IF(M1020&lt;=0,"Lunas",IF(K1020&gt;0,"Sebagian","Belum Bayar"))</f>
        <v>Lunas</v>
      </c>
      <c r="O1020" s="39" t="n">
        <f aca="false">IF(M1020&gt;0,MAX(0,Catatan!$B$3-H1020),0)</f>
        <v>0</v>
      </c>
      <c r="P1020" s="39" t="str">
        <f aca="false">IF(M1020&lt;=0,"Lunas",IF(Catatan!$B$3&lt;=H1020,"Belum Jatuh Tempo",IF(O1020&lt;=30,"1-30 hari",IF(O1020&lt;=60,"31-60 hari",IF(O1020&lt;=90,"61-90 hari","90+ hari")))))</f>
        <v>Lunas</v>
      </c>
      <c r="Q1020" s="50"/>
      <c r="R1020" s="39" t="str">
        <f aca="false">IF(M1020&lt;=0,"",IF(O1020&gt;60,"1-Tinggi",IF(O1020&gt;30,"2-Sedang",IF(O1020&gt;0,"3-Rendah","4-Pantau"))))</f>
        <v/>
      </c>
      <c r="S1020" s="39" t="str">
        <f aca="false">IF(AND(M1020&gt;0,O1020&gt;0),O1020+M1020/1000000000000+ROW()/1000000000000000,"")</f>
        <v/>
      </c>
      <c r="T1020" s="39" t="str">
        <f aca="false">IF(J1020="Belum ditukar",ROW(),"")</f>
        <v/>
      </c>
    </row>
    <row r="1021" customFormat="false" ht="15" hidden="false" customHeight="false" outlineLevel="0" collapsed="false">
      <c r="A1021" s="50" t="s">
        <v>1306</v>
      </c>
      <c r="B1021" s="51" t="n">
        <v>45874</v>
      </c>
      <c r="C1021" s="50" t="s">
        <v>1307</v>
      </c>
      <c r="D1021" s="39" t="str">
        <f aca="false">INDEX(Master_Customer!$B$2:$B$126,MATCH(C1021,Master_Customer!$A$2:$A$126,0))</f>
        <v>HARAPAN TEKNIK HARAPAN</v>
      </c>
      <c r="E1021" s="50" t="s">
        <v>28</v>
      </c>
      <c r="F1021" s="52" t="n">
        <f aca="false">SUMIFS(Data_Penjualan!$G$2:$G$5998,Data_Penjualan!$A$2:$A$5998,A1021)</f>
        <v>5085500</v>
      </c>
      <c r="G1021" s="39" t="n">
        <f aca="false">IF(E1021="KANTOR",0,INDEX(Master_Customer!$C$2:$C$126,MATCH(C1021,Master_Customer!$A$2:$A$126,0)))</f>
        <v>0</v>
      </c>
      <c r="H1021" s="53" t="n">
        <f aca="false">B1021+G1021</f>
        <v>45874</v>
      </c>
      <c r="J1021" s="39" t="str">
        <f aca="false">IF(G1021=0,"Tunai",IF(I1021="","Belum ditukar","Sudah ditukar"))</f>
        <v>Tunai</v>
      </c>
      <c r="K1021" s="54" t="n">
        <v>5085500</v>
      </c>
      <c r="L1021" s="51" t="n">
        <v>45874</v>
      </c>
      <c r="M1021" s="52" t="n">
        <f aca="false">F1021-K1021</f>
        <v>0</v>
      </c>
      <c r="N1021" s="39" t="str">
        <f aca="false">IF(M1021&lt;=0,"Lunas",IF(K1021&gt;0,"Sebagian","Belum Bayar"))</f>
        <v>Lunas</v>
      </c>
      <c r="O1021" s="39" t="n">
        <f aca="false">IF(M1021&gt;0,MAX(0,Catatan!$B$3-H1021),0)</f>
        <v>0</v>
      </c>
      <c r="P1021" s="39" t="str">
        <f aca="false">IF(M1021&lt;=0,"Lunas",IF(Catatan!$B$3&lt;=H1021,"Belum Jatuh Tempo",IF(O1021&lt;=30,"1-30 hari",IF(O1021&lt;=60,"31-60 hari",IF(O1021&lt;=90,"61-90 hari","90+ hari")))))</f>
        <v>Lunas</v>
      </c>
      <c r="Q1021" s="50"/>
      <c r="R1021" s="39" t="str">
        <f aca="false">IF(M1021&lt;=0,"",IF(O1021&gt;60,"1-Tinggi",IF(O1021&gt;30,"2-Sedang",IF(O1021&gt;0,"3-Rendah","4-Pantau"))))</f>
        <v/>
      </c>
      <c r="S1021" s="39" t="str">
        <f aca="false">IF(AND(M1021&gt;0,O1021&gt;0),O1021+M1021/1000000000000+ROW()/1000000000000000,"")</f>
        <v/>
      </c>
      <c r="T1021" s="39" t="str">
        <f aca="false">IF(J1021="Belum ditukar",ROW(),"")</f>
        <v/>
      </c>
    </row>
    <row r="1022" customFormat="false" ht="15" hidden="false" customHeight="false" outlineLevel="0" collapsed="false">
      <c r="A1022" s="50" t="s">
        <v>1308</v>
      </c>
      <c r="B1022" s="51" t="n">
        <v>45875</v>
      </c>
      <c r="C1022" s="50" t="s">
        <v>205</v>
      </c>
      <c r="D1022" s="39" t="str">
        <f aca="false">INDEX(Master_Customer!$B$2:$B$126,MATCH(C1022,Master_Customer!$A$2:$A$126,0))</f>
        <v>BERKAH OLI</v>
      </c>
      <c r="E1022" s="50" t="s">
        <v>28</v>
      </c>
      <c r="F1022" s="52" t="n">
        <f aca="false">SUMIFS(Data_Penjualan!$G$2:$G$5998,Data_Penjualan!$A$2:$A$5998,A1022)</f>
        <v>6720500</v>
      </c>
      <c r="G1022" s="39" t="n">
        <f aca="false">IF(E1022="KANTOR",0,INDEX(Master_Customer!$C$2:$C$126,MATCH(C1022,Master_Customer!$A$2:$A$126,0)))</f>
        <v>0</v>
      </c>
      <c r="H1022" s="53" t="n">
        <f aca="false">B1022+G1022</f>
        <v>45875</v>
      </c>
      <c r="J1022" s="39" t="str">
        <f aca="false">IF(G1022=0,"Tunai",IF(I1022="","Belum ditukar","Sudah ditukar"))</f>
        <v>Tunai</v>
      </c>
      <c r="K1022" s="54" t="n">
        <v>6720500</v>
      </c>
      <c r="L1022" s="51" t="n">
        <v>45876</v>
      </c>
      <c r="M1022" s="52" t="n">
        <f aca="false">F1022-K1022</f>
        <v>0</v>
      </c>
      <c r="N1022" s="39" t="str">
        <f aca="false">IF(M1022&lt;=0,"Lunas",IF(K1022&gt;0,"Sebagian","Belum Bayar"))</f>
        <v>Lunas</v>
      </c>
      <c r="O1022" s="39" t="n">
        <f aca="false">IF(M1022&gt;0,MAX(0,Catatan!$B$3-H1022),0)</f>
        <v>0</v>
      </c>
      <c r="P1022" s="39" t="str">
        <f aca="false">IF(M1022&lt;=0,"Lunas",IF(Catatan!$B$3&lt;=H1022,"Belum Jatuh Tempo",IF(O1022&lt;=30,"1-30 hari",IF(O1022&lt;=60,"31-60 hari",IF(O1022&lt;=90,"61-90 hari","90+ hari")))))</f>
        <v>Lunas</v>
      </c>
      <c r="Q1022" s="50"/>
      <c r="R1022" s="39" t="str">
        <f aca="false">IF(M1022&lt;=0,"",IF(O1022&gt;60,"1-Tinggi",IF(O1022&gt;30,"2-Sedang",IF(O1022&gt;0,"3-Rendah","4-Pantau"))))</f>
        <v/>
      </c>
      <c r="S1022" s="39" t="str">
        <f aca="false">IF(AND(M1022&gt;0,O1022&gt;0),O1022+M1022/1000000000000+ROW()/1000000000000000,"")</f>
        <v/>
      </c>
      <c r="T1022" s="39" t="str">
        <f aca="false">IF(J1022="Belum ditukar",ROW(),"")</f>
        <v/>
      </c>
    </row>
    <row r="1023" customFormat="false" ht="15" hidden="false" customHeight="false" outlineLevel="0" collapsed="false">
      <c r="A1023" s="50" t="s">
        <v>1309</v>
      </c>
      <c r="B1023" s="51" t="n">
        <v>45875</v>
      </c>
      <c r="C1023" s="50" t="s">
        <v>166</v>
      </c>
      <c r="D1023" s="39" t="str">
        <f aca="false">INDEX(Master_Customer!$B$2:$B$126,MATCH(C1023,Master_Customer!$A$2:$A$126,0))</f>
        <v>SENTOSA SERVICE</v>
      </c>
      <c r="E1023" s="50" t="s">
        <v>30</v>
      </c>
      <c r="F1023" s="52" t="n">
        <f aca="false">SUMIFS(Data_Penjualan!$G$2:$G$5998,Data_Penjualan!$A$2:$A$5998,A1023)</f>
        <v>16050000</v>
      </c>
      <c r="G1023" s="39" t="n">
        <f aca="false">IF(E1023="KANTOR",0,INDEX(Master_Customer!$C$2:$C$126,MATCH(C1023,Master_Customer!$A$2:$A$126,0)))</f>
        <v>0</v>
      </c>
      <c r="H1023" s="53" t="n">
        <f aca="false">B1023+G1023</f>
        <v>45875</v>
      </c>
      <c r="J1023" s="39" t="str">
        <f aca="false">IF(G1023=0,"Tunai",IF(I1023="","Belum ditukar","Sudah ditukar"))</f>
        <v>Tunai</v>
      </c>
      <c r="K1023" s="54" t="n">
        <v>16050000</v>
      </c>
      <c r="L1023" s="51" t="n">
        <v>45876</v>
      </c>
      <c r="M1023" s="52" t="n">
        <f aca="false">F1023-K1023</f>
        <v>0</v>
      </c>
      <c r="N1023" s="39" t="str">
        <f aca="false">IF(M1023&lt;=0,"Lunas",IF(K1023&gt;0,"Sebagian","Belum Bayar"))</f>
        <v>Lunas</v>
      </c>
      <c r="O1023" s="39" t="n">
        <f aca="false">IF(M1023&gt;0,MAX(0,Catatan!$B$3-H1023),0)</f>
        <v>0</v>
      </c>
      <c r="P1023" s="39" t="str">
        <f aca="false">IF(M1023&lt;=0,"Lunas",IF(Catatan!$B$3&lt;=H1023,"Belum Jatuh Tempo",IF(O1023&lt;=30,"1-30 hari",IF(O1023&lt;=60,"31-60 hari",IF(O1023&lt;=90,"61-90 hari","90+ hari")))))</f>
        <v>Lunas</v>
      </c>
      <c r="Q1023" s="50"/>
      <c r="R1023" s="39" t="str">
        <f aca="false">IF(M1023&lt;=0,"",IF(O1023&gt;60,"1-Tinggi",IF(O1023&gt;30,"2-Sedang",IF(O1023&gt;0,"3-Rendah","4-Pantau"))))</f>
        <v/>
      </c>
      <c r="S1023" s="39" t="str">
        <f aca="false">IF(AND(M1023&gt;0,O1023&gt;0),O1023+M1023/1000000000000+ROW()/1000000000000000,"")</f>
        <v/>
      </c>
      <c r="T1023" s="39" t="str">
        <f aca="false">IF(J1023="Belum ditukar",ROW(),"")</f>
        <v/>
      </c>
    </row>
    <row r="1024" customFormat="false" ht="15" hidden="false" customHeight="false" outlineLevel="0" collapsed="false">
      <c r="A1024" s="50" t="s">
        <v>1310</v>
      </c>
      <c r="B1024" s="51" t="n">
        <v>45875</v>
      </c>
      <c r="C1024" s="50" t="s">
        <v>223</v>
      </c>
      <c r="D1024" s="39" t="str">
        <f aca="false">INDEX(Master_Customer!$B$2:$B$126,MATCH(C1024,Master_Customer!$A$2:$A$126,0))</f>
        <v>ABADI AUTO UTAMA</v>
      </c>
      <c r="E1024" s="50" t="s">
        <v>31</v>
      </c>
      <c r="F1024" s="52" t="n">
        <f aca="false">SUMIFS(Data_Penjualan!$G$2:$G$5998,Data_Penjualan!$A$2:$A$5998,A1024)</f>
        <v>14827000</v>
      </c>
      <c r="G1024" s="39" t="n">
        <f aca="false">IF(E1024="KANTOR",0,INDEX(Master_Customer!$C$2:$C$126,MATCH(C1024,Master_Customer!$A$2:$A$126,0)))</f>
        <v>14</v>
      </c>
      <c r="H1024" s="53" t="n">
        <f aca="false">B1024+G1024</f>
        <v>45889</v>
      </c>
      <c r="I1024" s="51" t="n">
        <v>45879</v>
      </c>
      <c r="J1024" s="39" t="str">
        <f aca="false">IF(G1024=0,"Tunai",IF(I1024="","Belum ditukar","Sudah ditukar"))</f>
        <v>Sudah ditukar</v>
      </c>
      <c r="K1024" s="54" t="n">
        <v>14827000</v>
      </c>
      <c r="L1024" s="51" t="n">
        <v>45895</v>
      </c>
      <c r="M1024" s="52" t="n">
        <f aca="false">F1024-K1024</f>
        <v>0</v>
      </c>
      <c r="N1024" s="39" t="str">
        <f aca="false">IF(M1024&lt;=0,"Lunas",IF(K1024&gt;0,"Sebagian","Belum Bayar"))</f>
        <v>Lunas</v>
      </c>
      <c r="O1024" s="39" t="n">
        <f aca="false">IF(M1024&gt;0,MAX(0,Catatan!$B$3-H1024),0)</f>
        <v>0</v>
      </c>
      <c r="P1024" s="39" t="str">
        <f aca="false">IF(M1024&lt;=0,"Lunas",IF(Catatan!$B$3&lt;=H1024,"Belum Jatuh Tempo",IF(O1024&lt;=30,"1-30 hari",IF(O1024&lt;=60,"31-60 hari",IF(O1024&lt;=90,"61-90 hari","90+ hari")))))</f>
        <v>Lunas</v>
      </c>
      <c r="Q1024" s="50"/>
      <c r="R1024" s="39" t="str">
        <f aca="false">IF(M1024&lt;=0,"",IF(O1024&gt;60,"1-Tinggi",IF(O1024&gt;30,"2-Sedang",IF(O1024&gt;0,"3-Rendah","4-Pantau"))))</f>
        <v/>
      </c>
      <c r="S1024" s="39" t="str">
        <f aca="false">IF(AND(M1024&gt;0,O1024&gt;0),O1024+M1024/1000000000000+ROW()/1000000000000000,"")</f>
        <v/>
      </c>
      <c r="T1024" s="39" t="str">
        <f aca="false">IF(J1024="Belum ditukar",ROW(),"")</f>
        <v/>
      </c>
    </row>
    <row r="1025" customFormat="false" ht="15" hidden="false" customHeight="false" outlineLevel="0" collapsed="false">
      <c r="A1025" s="50" t="s">
        <v>1311</v>
      </c>
      <c r="B1025" s="51" t="n">
        <v>45875</v>
      </c>
      <c r="C1025" s="50" t="s">
        <v>193</v>
      </c>
      <c r="D1025" s="39" t="str">
        <f aca="false">INDEX(Master_Customer!$B$2:$B$126,MATCH(C1025,Master_Customer!$A$2:$A$126,0))</f>
        <v>BINTANG BENGKEL</v>
      </c>
      <c r="E1025" s="50" t="s">
        <v>31</v>
      </c>
      <c r="F1025" s="52" t="n">
        <f aca="false">SUMIFS(Data_Penjualan!$G$2:$G$5998,Data_Penjualan!$A$2:$A$5998,A1025)</f>
        <v>8014500</v>
      </c>
      <c r="G1025" s="39" t="n">
        <f aca="false">IF(E1025="KANTOR",0,INDEX(Master_Customer!$C$2:$C$126,MATCH(C1025,Master_Customer!$A$2:$A$126,0)))</f>
        <v>14</v>
      </c>
      <c r="H1025" s="53" t="n">
        <f aca="false">B1025+G1025</f>
        <v>45889</v>
      </c>
      <c r="I1025" s="51" t="n">
        <v>45876</v>
      </c>
      <c r="J1025" s="39" t="str">
        <f aca="false">IF(G1025=0,"Tunai",IF(I1025="","Belum ditukar","Sudah ditukar"))</f>
        <v>Sudah ditukar</v>
      </c>
      <c r="K1025" s="54" t="n">
        <v>8014500</v>
      </c>
      <c r="L1025" s="51" t="n">
        <v>45930</v>
      </c>
      <c r="M1025" s="52" t="n">
        <f aca="false">F1025-K1025</f>
        <v>0</v>
      </c>
      <c r="N1025" s="39" t="str">
        <f aca="false">IF(M1025&lt;=0,"Lunas",IF(K1025&gt;0,"Sebagian","Belum Bayar"))</f>
        <v>Lunas</v>
      </c>
      <c r="O1025" s="39" t="n">
        <f aca="false">IF(M1025&gt;0,MAX(0,Catatan!$B$3-H1025),0)</f>
        <v>0</v>
      </c>
      <c r="P1025" s="39" t="str">
        <f aca="false">IF(M1025&lt;=0,"Lunas",IF(Catatan!$B$3&lt;=H1025,"Belum Jatuh Tempo",IF(O1025&lt;=30,"1-30 hari",IF(O1025&lt;=60,"31-60 hari",IF(O1025&lt;=90,"61-90 hari","90+ hari")))))</f>
        <v>Lunas</v>
      </c>
      <c r="Q1025" s="50"/>
      <c r="R1025" s="39" t="str">
        <f aca="false">IF(M1025&lt;=0,"",IF(O1025&gt;60,"1-Tinggi",IF(O1025&gt;30,"2-Sedang",IF(O1025&gt;0,"3-Rendah","4-Pantau"))))</f>
        <v/>
      </c>
      <c r="S1025" s="39" t="str">
        <f aca="false">IF(AND(M1025&gt;0,O1025&gt;0),O1025+M1025/1000000000000+ROW()/1000000000000000,"")</f>
        <v/>
      </c>
      <c r="T1025" s="39" t="str">
        <f aca="false">IF(J1025="Belum ditukar",ROW(),"")</f>
        <v/>
      </c>
    </row>
    <row r="1026" customFormat="false" ht="15" hidden="false" customHeight="false" outlineLevel="0" collapsed="false">
      <c r="A1026" s="50" t="s">
        <v>1312</v>
      </c>
      <c r="B1026" s="51" t="n">
        <v>45876</v>
      </c>
      <c r="C1026" s="50" t="s">
        <v>293</v>
      </c>
      <c r="D1026" s="39" t="str">
        <f aca="false">INDEX(Master_Customer!$B$2:$B$126,MATCH(C1026,Master_Customer!$A$2:$A$126,0))</f>
        <v>SINAR LUBRICANT</v>
      </c>
      <c r="E1026" s="50" t="s">
        <v>31</v>
      </c>
      <c r="F1026" s="52" t="n">
        <f aca="false">SUMIFS(Data_Penjualan!$G$2:$G$5998,Data_Penjualan!$A$2:$A$5998,A1026)</f>
        <v>948900</v>
      </c>
      <c r="G1026" s="39" t="n">
        <f aca="false">IF(E1026="KANTOR",0,INDEX(Master_Customer!$C$2:$C$126,MATCH(C1026,Master_Customer!$A$2:$A$126,0)))</f>
        <v>30</v>
      </c>
      <c r="H1026" s="53" t="n">
        <f aca="false">B1026+G1026</f>
        <v>45906</v>
      </c>
      <c r="I1026" s="51" t="n">
        <v>45879</v>
      </c>
      <c r="J1026" s="39" t="str">
        <f aca="false">IF(G1026=0,"Tunai",IF(I1026="","Belum ditukar","Sudah ditukar"))</f>
        <v>Sudah ditukar</v>
      </c>
      <c r="K1026" s="54" t="n">
        <v>948900</v>
      </c>
      <c r="L1026" s="51" t="n">
        <v>45920</v>
      </c>
      <c r="M1026" s="52" t="n">
        <f aca="false">F1026-K1026</f>
        <v>0</v>
      </c>
      <c r="N1026" s="39" t="str">
        <f aca="false">IF(M1026&lt;=0,"Lunas",IF(K1026&gt;0,"Sebagian","Belum Bayar"))</f>
        <v>Lunas</v>
      </c>
      <c r="O1026" s="39" t="n">
        <f aca="false">IF(M1026&gt;0,MAX(0,Catatan!$B$3-H1026),0)</f>
        <v>0</v>
      </c>
      <c r="P1026" s="39" t="str">
        <f aca="false">IF(M1026&lt;=0,"Lunas",IF(Catatan!$B$3&lt;=H1026,"Belum Jatuh Tempo",IF(O1026&lt;=30,"1-30 hari",IF(O1026&lt;=60,"31-60 hari",IF(O1026&lt;=90,"61-90 hari","90+ hari")))))</f>
        <v>Lunas</v>
      </c>
      <c r="Q1026" s="50"/>
      <c r="R1026" s="39" t="str">
        <f aca="false">IF(M1026&lt;=0,"",IF(O1026&gt;60,"1-Tinggi",IF(O1026&gt;30,"2-Sedang",IF(O1026&gt;0,"3-Rendah","4-Pantau"))))</f>
        <v/>
      </c>
      <c r="S1026" s="39" t="str">
        <f aca="false">IF(AND(M1026&gt;0,O1026&gt;0),O1026+M1026/1000000000000+ROW()/1000000000000000,"")</f>
        <v/>
      </c>
      <c r="T1026" s="39" t="str">
        <f aca="false">IF(J1026="Belum ditukar",ROW(),"")</f>
        <v/>
      </c>
    </row>
    <row r="1027" customFormat="false" ht="15" hidden="false" customHeight="false" outlineLevel="0" collapsed="false">
      <c r="A1027" s="50" t="s">
        <v>1313</v>
      </c>
      <c r="B1027" s="51" t="n">
        <v>45876</v>
      </c>
      <c r="C1027" s="50" t="s">
        <v>505</v>
      </c>
      <c r="D1027" s="39" t="str">
        <f aca="false">INDEX(Master_Customer!$B$2:$B$126,MATCH(C1027,Master_Customer!$A$2:$A$126,0))</f>
        <v>GEMILANG OLI CAHAYA</v>
      </c>
      <c r="E1027" s="50" t="s">
        <v>31</v>
      </c>
      <c r="F1027" s="52" t="n">
        <f aca="false">SUMIFS(Data_Penjualan!$G$2:$G$5998,Data_Penjualan!$A$2:$A$5998,A1027)</f>
        <v>21822300</v>
      </c>
      <c r="G1027" s="39" t="n">
        <f aca="false">IF(E1027="KANTOR",0,INDEX(Master_Customer!$C$2:$C$126,MATCH(C1027,Master_Customer!$A$2:$A$126,0)))</f>
        <v>0</v>
      </c>
      <c r="H1027" s="53" t="n">
        <f aca="false">B1027+G1027</f>
        <v>45876</v>
      </c>
      <c r="J1027" s="39" t="str">
        <f aca="false">IF(G1027=0,"Tunai",IF(I1027="","Belum ditukar","Sudah ditukar"))</f>
        <v>Tunai</v>
      </c>
      <c r="K1027" s="54" t="n">
        <v>21822300</v>
      </c>
      <c r="L1027" s="51" t="n">
        <v>45876</v>
      </c>
      <c r="M1027" s="52" t="n">
        <f aca="false">F1027-K1027</f>
        <v>0</v>
      </c>
      <c r="N1027" s="39" t="str">
        <f aca="false">IF(M1027&lt;=0,"Lunas",IF(K1027&gt;0,"Sebagian","Belum Bayar"))</f>
        <v>Lunas</v>
      </c>
      <c r="O1027" s="39" t="n">
        <f aca="false">IF(M1027&gt;0,MAX(0,Catatan!$B$3-H1027),0)</f>
        <v>0</v>
      </c>
      <c r="P1027" s="39" t="str">
        <f aca="false">IF(M1027&lt;=0,"Lunas",IF(Catatan!$B$3&lt;=H1027,"Belum Jatuh Tempo",IF(O1027&lt;=30,"1-30 hari",IF(O1027&lt;=60,"31-60 hari",IF(O1027&lt;=90,"61-90 hari","90+ hari")))))</f>
        <v>Lunas</v>
      </c>
      <c r="Q1027" s="50"/>
      <c r="R1027" s="39" t="str">
        <f aca="false">IF(M1027&lt;=0,"",IF(O1027&gt;60,"1-Tinggi",IF(O1027&gt;30,"2-Sedang",IF(O1027&gt;0,"3-Rendah","4-Pantau"))))</f>
        <v/>
      </c>
      <c r="S1027" s="39" t="str">
        <f aca="false">IF(AND(M1027&gt;0,O1027&gt;0),O1027+M1027/1000000000000+ROW()/1000000000000000,"")</f>
        <v/>
      </c>
      <c r="T1027" s="39" t="str">
        <f aca="false">IF(J1027="Belum ditukar",ROW(),"")</f>
        <v/>
      </c>
    </row>
    <row r="1028" customFormat="false" ht="15" hidden="false" customHeight="false" outlineLevel="0" collapsed="false">
      <c r="A1028" s="50" t="s">
        <v>1314</v>
      </c>
      <c r="B1028" s="51" t="n">
        <v>45876</v>
      </c>
      <c r="C1028" s="50" t="s">
        <v>174</v>
      </c>
      <c r="D1028" s="39" t="str">
        <f aca="false">INDEX(Master_Customer!$B$2:$B$126,MATCH(C1028,Master_Customer!$A$2:$A$126,0))</f>
        <v>SUMBER TEKNIK SURYA</v>
      </c>
      <c r="E1028" s="50" t="s">
        <v>31</v>
      </c>
      <c r="F1028" s="52" t="n">
        <f aca="false">SUMIFS(Data_Penjualan!$G$2:$G$5998,Data_Penjualan!$A$2:$A$5998,A1028)</f>
        <v>11552000</v>
      </c>
      <c r="G1028" s="39" t="n">
        <f aca="false">IF(E1028="KANTOR",0,INDEX(Master_Customer!$C$2:$C$126,MATCH(C1028,Master_Customer!$A$2:$A$126,0)))</f>
        <v>30</v>
      </c>
      <c r="H1028" s="53" t="n">
        <f aca="false">B1028+G1028</f>
        <v>45906</v>
      </c>
      <c r="I1028" s="51" t="n">
        <v>45878</v>
      </c>
      <c r="J1028" s="39" t="str">
        <f aca="false">IF(G1028=0,"Tunai",IF(I1028="","Belum ditukar","Sudah ditukar"))</f>
        <v>Sudah ditukar</v>
      </c>
      <c r="K1028" s="54" t="n">
        <v>11552000</v>
      </c>
      <c r="L1028" s="51" t="n">
        <v>45902</v>
      </c>
      <c r="M1028" s="52" t="n">
        <f aca="false">F1028-K1028</f>
        <v>0</v>
      </c>
      <c r="N1028" s="39" t="str">
        <f aca="false">IF(M1028&lt;=0,"Lunas",IF(K1028&gt;0,"Sebagian","Belum Bayar"))</f>
        <v>Lunas</v>
      </c>
      <c r="O1028" s="39" t="n">
        <f aca="false">IF(M1028&gt;0,MAX(0,Catatan!$B$3-H1028),0)</f>
        <v>0</v>
      </c>
      <c r="P1028" s="39" t="str">
        <f aca="false">IF(M1028&lt;=0,"Lunas",IF(Catatan!$B$3&lt;=H1028,"Belum Jatuh Tempo",IF(O1028&lt;=30,"1-30 hari",IF(O1028&lt;=60,"31-60 hari",IF(O1028&lt;=90,"61-90 hari","90+ hari")))))</f>
        <v>Lunas</v>
      </c>
      <c r="Q1028" s="50"/>
      <c r="R1028" s="39" t="str">
        <f aca="false">IF(M1028&lt;=0,"",IF(O1028&gt;60,"1-Tinggi",IF(O1028&gt;30,"2-Sedang",IF(O1028&gt;0,"3-Rendah","4-Pantau"))))</f>
        <v/>
      </c>
      <c r="S1028" s="39" t="str">
        <f aca="false">IF(AND(M1028&gt;0,O1028&gt;0),O1028+M1028/1000000000000+ROW()/1000000000000000,"")</f>
        <v/>
      </c>
      <c r="T1028" s="39" t="str">
        <f aca="false">IF(J1028="Belum ditukar",ROW(),"")</f>
        <v/>
      </c>
    </row>
    <row r="1029" customFormat="false" ht="15" hidden="false" customHeight="false" outlineLevel="0" collapsed="false">
      <c r="A1029" s="50" t="s">
        <v>1315</v>
      </c>
      <c r="B1029" s="51" t="n">
        <v>45876</v>
      </c>
      <c r="C1029" s="50" t="s">
        <v>174</v>
      </c>
      <c r="D1029" s="39" t="str">
        <f aca="false">INDEX(Master_Customer!$B$2:$B$126,MATCH(C1029,Master_Customer!$A$2:$A$126,0))</f>
        <v>SUMBER TEKNIK SURYA</v>
      </c>
      <c r="E1029" s="50" t="s">
        <v>31</v>
      </c>
      <c r="F1029" s="52" t="n">
        <f aca="false">SUMIFS(Data_Penjualan!$G$2:$G$5998,Data_Penjualan!$A$2:$A$5998,A1029)</f>
        <v>33917800</v>
      </c>
      <c r="G1029" s="39" t="n">
        <f aca="false">IF(E1029="KANTOR",0,INDEX(Master_Customer!$C$2:$C$126,MATCH(C1029,Master_Customer!$A$2:$A$126,0)))</f>
        <v>30</v>
      </c>
      <c r="H1029" s="53" t="n">
        <f aca="false">B1029+G1029</f>
        <v>45906</v>
      </c>
      <c r="I1029" s="51" t="n">
        <v>45880</v>
      </c>
      <c r="J1029" s="39" t="str">
        <f aca="false">IF(G1029=0,"Tunai",IF(I1029="","Belum ditukar","Sudah ditukar"))</f>
        <v>Sudah ditukar</v>
      </c>
      <c r="K1029" s="54" t="n">
        <v>33917800</v>
      </c>
      <c r="L1029" s="51" t="n">
        <v>45904</v>
      </c>
      <c r="M1029" s="52" t="n">
        <f aca="false">F1029-K1029</f>
        <v>0</v>
      </c>
      <c r="N1029" s="39" t="str">
        <f aca="false">IF(M1029&lt;=0,"Lunas",IF(K1029&gt;0,"Sebagian","Belum Bayar"))</f>
        <v>Lunas</v>
      </c>
      <c r="O1029" s="39" t="n">
        <f aca="false">IF(M1029&gt;0,MAX(0,Catatan!$B$3-H1029),0)</f>
        <v>0</v>
      </c>
      <c r="P1029" s="39" t="str">
        <f aca="false">IF(M1029&lt;=0,"Lunas",IF(Catatan!$B$3&lt;=H1029,"Belum Jatuh Tempo",IF(O1029&lt;=30,"1-30 hari",IF(O1029&lt;=60,"31-60 hari",IF(O1029&lt;=90,"61-90 hari","90+ hari")))))</f>
        <v>Lunas</v>
      </c>
      <c r="Q1029" s="50"/>
      <c r="R1029" s="39" t="str">
        <f aca="false">IF(M1029&lt;=0,"",IF(O1029&gt;60,"1-Tinggi",IF(O1029&gt;30,"2-Sedang",IF(O1029&gt;0,"3-Rendah","4-Pantau"))))</f>
        <v/>
      </c>
      <c r="S1029" s="39" t="str">
        <f aca="false">IF(AND(M1029&gt;0,O1029&gt;0),O1029+M1029/1000000000000+ROW()/1000000000000000,"")</f>
        <v/>
      </c>
      <c r="T1029" s="39" t="str">
        <f aca="false">IF(J1029="Belum ditukar",ROW(),"")</f>
        <v/>
      </c>
    </row>
    <row r="1030" customFormat="false" ht="15" hidden="false" customHeight="false" outlineLevel="0" collapsed="false">
      <c r="A1030" s="50" t="s">
        <v>1316</v>
      </c>
      <c r="B1030" s="51" t="n">
        <v>45876</v>
      </c>
      <c r="C1030" s="50" t="s">
        <v>199</v>
      </c>
      <c r="D1030" s="39" t="str">
        <f aca="false">INDEX(Master_Customer!$B$2:$B$126,MATCH(C1030,Master_Customer!$A$2:$A$126,0))</f>
        <v>KARYA SPAREPART</v>
      </c>
      <c r="E1030" s="50" t="s">
        <v>32</v>
      </c>
      <c r="F1030" s="52" t="n">
        <f aca="false">SUMIFS(Data_Penjualan!$G$2:$G$5998,Data_Penjualan!$A$2:$A$5998,A1030)</f>
        <v>8737900</v>
      </c>
      <c r="G1030" s="39" t="n">
        <f aca="false">IF(E1030="KANTOR",0,INDEX(Master_Customer!$C$2:$C$126,MATCH(C1030,Master_Customer!$A$2:$A$126,0)))</f>
        <v>0</v>
      </c>
      <c r="H1030" s="53" t="n">
        <f aca="false">B1030+G1030</f>
        <v>45876</v>
      </c>
      <c r="J1030" s="39" t="str">
        <f aca="false">IF(G1030=0,"Tunai",IF(I1030="","Belum ditukar","Sudah ditukar"))</f>
        <v>Tunai</v>
      </c>
      <c r="K1030" s="54" t="n">
        <v>8737900</v>
      </c>
      <c r="L1030" s="51" t="n">
        <v>45877</v>
      </c>
      <c r="M1030" s="52" t="n">
        <f aca="false">F1030-K1030</f>
        <v>0</v>
      </c>
      <c r="N1030" s="39" t="str">
        <f aca="false">IF(M1030&lt;=0,"Lunas",IF(K1030&gt;0,"Sebagian","Belum Bayar"))</f>
        <v>Lunas</v>
      </c>
      <c r="O1030" s="39" t="n">
        <f aca="false">IF(M1030&gt;0,MAX(0,Catatan!$B$3-H1030),0)</f>
        <v>0</v>
      </c>
      <c r="P1030" s="39" t="str">
        <f aca="false">IF(M1030&lt;=0,"Lunas",IF(Catatan!$B$3&lt;=H1030,"Belum Jatuh Tempo",IF(O1030&lt;=30,"1-30 hari",IF(O1030&lt;=60,"31-60 hari",IF(O1030&lt;=90,"61-90 hari","90+ hari")))))</f>
        <v>Lunas</v>
      </c>
      <c r="Q1030" s="50"/>
      <c r="R1030" s="39" t="str">
        <f aca="false">IF(M1030&lt;=0,"",IF(O1030&gt;60,"1-Tinggi",IF(O1030&gt;30,"2-Sedang",IF(O1030&gt;0,"3-Rendah","4-Pantau"))))</f>
        <v/>
      </c>
      <c r="S1030" s="39" t="str">
        <f aca="false">IF(AND(M1030&gt;0,O1030&gt;0),O1030+M1030/1000000000000+ROW()/1000000000000000,"")</f>
        <v/>
      </c>
      <c r="T1030" s="39" t="str">
        <f aca="false">IF(J1030="Belum ditukar",ROW(),"")</f>
        <v/>
      </c>
    </row>
    <row r="1031" customFormat="false" ht="15" hidden="false" customHeight="false" outlineLevel="0" collapsed="false">
      <c r="A1031" s="50" t="s">
        <v>1317</v>
      </c>
      <c r="B1031" s="51" t="n">
        <v>45876</v>
      </c>
      <c r="C1031" s="50" t="s">
        <v>358</v>
      </c>
      <c r="D1031" s="39" t="str">
        <f aca="false">INDEX(Master_Customer!$B$2:$B$126,MATCH(C1031,Master_Customer!$A$2:$A$126,0))</f>
        <v>HARAPAN TEKNIK</v>
      </c>
      <c r="E1031" s="50" t="s">
        <v>31</v>
      </c>
      <c r="F1031" s="52" t="n">
        <f aca="false">SUMIFS(Data_Penjualan!$G$2:$G$5998,Data_Penjualan!$A$2:$A$5998,A1031)</f>
        <v>4697800</v>
      </c>
      <c r="G1031" s="39" t="n">
        <f aca="false">IF(E1031="KANTOR",0,INDEX(Master_Customer!$C$2:$C$126,MATCH(C1031,Master_Customer!$A$2:$A$126,0)))</f>
        <v>0</v>
      </c>
      <c r="H1031" s="53" t="n">
        <f aca="false">B1031+G1031</f>
        <v>45876</v>
      </c>
      <c r="J1031" s="39" t="str">
        <f aca="false">IF(G1031=0,"Tunai",IF(I1031="","Belum ditukar","Sudah ditukar"))</f>
        <v>Tunai</v>
      </c>
      <c r="K1031" s="54" t="n">
        <v>4697800</v>
      </c>
      <c r="L1031" s="51" t="n">
        <v>45877</v>
      </c>
      <c r="M1031" s="52" t="n">
        <f aca="false">F1031-K1031</f>
        <v>0</v>
      </c>
      <c r="N1031" s="39" t="str">
        <f aca="false">IF(M1031&lt;=0,"Lunas",IF(K1031&gt;0,"Sebagian","Belum Bayar"))</f>
        <v>Lunas</v>
      </c>
      <c r="O1031" s="39" t="n">
        <f aca="false">IF(M1031&gt;0,MAX(0,Catatan!$B$3-H1031),0)</f>
        <v>0</v>
      </c>
      <c r="P1031" s="39" t="str">
        <f aca="false">IF(M1031&lt;=0,"Lunas",IF(Catatan!$B$3&lt;=H1031,"Belum Jatuh Tempo",IF(O1031&lt;=30,"1-30 hari",IF(O1031&lt;=60,"31-60 hari",IF(O1031&lt;=90,"61-90 hari","90+ hari")))))</f>
        <v>Lunas</v>
      </c>
      <c r="Q1031" s="50"/>
      <c r="R1031" s="39" t="str">
        <f aca="false">IF(M1031&lt;=0,"",IF(O1031&gt;60,"1-Tinggi",IF(O1031&gt;30,"2-Sedang",IF(O1031&gt;0,"3-Rendah","4-Pantau"))))</f>
        <v/>
      </c>
      <c r="S1031" s="39" t="str">
        <f aca="false">IF(AND(M1031&gt;0,O1031&gt;0),O1031+M1031/1000000000000+ROW()/1000000000000000,"")</f>
        <v/>
      </c>
      <c r="T1031" s="39" t="str">
        <f aca="false">IF(J1031="Belum ditukar",ROW(),"")</f>
        <v/>
      </c>
    </row>
    <row r="1032" customFormat="false" ht="15" hidden="false" customHeight="false" outlineLevel="0" collapsed="false">
      <c r="A1032" s="50" t="s">
        <v>1318</v>
      </c>
      <c r="B1032" s="51" t="n">
        <v>45876</v>
      </c>
      <c r="C1032" s="50" t="s">
        <v>205</v>
      </c>
      <c r="D1032" s="39" t="str">
        <f aca="false">INDEX(Master_Customer!$B$2:$B$126,MATCH(C1032,Master_Customer!$A$2:$A$126,0))</f>
        <v>BERKAH OLI</v>
      </c>
      <c r="E1032" s="50" t="s">
        <v>28</v>
      </c>
      <c r="F1032" s="52" t="n">
        <f aca="false">SUMIFS(Data_Penjualan!$G$2:$G$5998,Data_Penjualan!$A$2:$A$5998,A1032)</f>
        <v>11819100</v>
      </c>
      <c r="G1032" s="39" t="n">
        <f aca="false">IF(E1032="KANTOR",0,INDEX(Master_Customer!$C$2:$C$126,MATCH(C1032,Master_Customer!$A$2:$A$126,0)))</f>
        <v>0</v>
      </c>
      <c r="H1032" s="53" t="n">
        <f aca="false">B1032+G1032</f>
        <v>45876</v>
      </c>
      <c r="J1032" s="39" t="str">
        <f aca="false">IF(G1032=0,"Tunai",IF(I1032="","Belum ditukar","Sudah ditukar"))</f>
        <v>Tunai</v>
      </c>
      <c r="K1032" s="54" t="n">
        <v>11819100</v>
      </c>
      <c r="L1032" s="51" t="n">
        <v>45878</v>
      </c>
      <c r="M1032" s="52" t="n">
        <f aca="false">F1032-K1032</f>
        <v>0</v>
      </c>
      <c r="N1032" s="39" t="str">
        <f aca="false">IF(M1032&lt;=0,"Lunas",IF(K1032&gt;0,"Sebagian","Belum Bayar"))</f>
        <v>Lunas</v>
      </c>
      <c r="O1032" s="39" t="n">
        <f aca="false">IF(M1032&gt;0,MAX(0,Catatan!$B$3-H1032),0)</f>
        <v>0</v>
      </c>
      <c r="P1032" s="39" t="str">
        <f aca="false">IF(M1032&lt;=0,"Lunas",IF(Catatan!$B$3&lt;=H1032,"Belum Jatuh Tempo",IF(O1032&lt;=30,"1-30 hari",IF(O1032&lt;=60,"31-60 hari",IF(O1032&lt;=90,"61-90 hari","90+ hari")))))</f>
        <v>Lunas</v>
      </c>
      <c r="Q1032" s="50"/>
      <c r="R1032" s="39" t="str">
        <f aca="false">IF(M1032&lt;=0,"",IF(O1032&gt;60,"1-Tinggi",IF(O1032&gt;30,"2-Sedang",IF(O1032&gt;0,"3-Rendah","4-Pantau"))))</f>
        <v/>
      </c>
      <c r="S1032" s="39" t="str">
        <f aca="false">IF(AND(M1032&gt;0,O1032&gt;0),O1032+M1032/1000000000000+ROW()/1000000000000000,"")</f>
        <v/>
      </c>
      <c r="T1032" s="39" t="str">
        <f aca="false">IF(J1032="Belum ditukar",ROW(),"")</f>
        <v/>
      </c>
    </row>
    <row r="1033" customFormat="false" ht="15" hidden="false" customHeight="false" outlineLevel="0" collapsed="false">
      <c r="A1033" s="50" t="s">
        <v>1319</v>
      </c>
      <c r="B1033" s="51" t="n">
        <v>45876</v>
      </c>
      <c r="C1033" s="50" t="s">
        <v>590</v>
      </c>
      <c r="D1033" s="39" t="str">
        <f aca="false">INDEX(Master_Customer!$B$2:$B$126,MATCH(C1033,Master_Customer!$A$2:$A$126,0))</f>
        <v>BINTANG MOTOR</v>
      </c>
      <c r="E1033" s="50" t="s">
        <v>32</v>
      </c>
      <c r="F1033" s="52" t="n">
        <f aca="false">SUMIFS(Data_Penjualan!$G$2:$G$5998,Data_Penjualan!$A$2:$A$5998,A1033)</f>
        <v>416800</v>
      </c>
      <c r="G1033" s="39" t="n">
        <f aca="false">IF(E1033="KANTOR",0,INDEX(Master_Customer!$C$2:$C$126,MATCH(C1033,Master_Customer!$A$2:$A$126,0)))</f>
        <v>0</v>
      </c>
      <c r="H1033" s="53" t="n">
        <f aca="false">B1033+G1033</f>
        <v>45876</v>
      </c>
      <c r="J1033" s="39" t="str">
        <f aca="false">IF(G1033=0,"Tunai",IF(I1033="","Belum ditukar","Sudah ditukar"))</f>
        <v>Tunai</v>
      </c>
      <c r="K1033" s="54" t="n">
        <v>416800</v>
      </c>
      <c r="L1033" s="51" t="n">
        <v>45877</v>
      </c>
      <c r="M1033" s="52" t="n">
        <f aca="false">F1033-K1033</f>
        <v>0</v>
      </c>
      <c r="N1033" s="39" t="str">
        <f aca="false">IF(M1033&lt;=0,"Lunas",IF(K1033&gt;0,"Sebagian","Belum Bayar"))</f>
        <v>Lunas</v>
      </c>
      <c r="O1033" s="39" t="n">
        <f aca="false">IF(M1033&gt;0,MAX(0,Catatan!$B$3-H1033),0)</f>
        <v>0</v>
      </c>
      <c r="P1033" s="39" t="str">
        <f aca="false">IF(M1033&lt;=0,"Lunas",IF(Catatan!$B$3&lt;=H1033,"Belum Jatuh Tempo",IF(O1033&lt;=30,"1-30 hari",IF(O1033&lt;=60,"31-60 hari",IF(O1033&lt;=90,"61-90 hari","90+ hari")))))</f>
        <v>Lunas</v>
      </c>
      <c r="Q1033" s="50"/>
      <c r="R1033" s="39" t="str">
        <f aca="false">IF(M1033&lt;=0,"",IF(O1033&gt;60,"1-Tinggi",IF(O1033&gt;30,"2-Sedang",IF(O1033&gt;0,"3-Rendah","4-Pantau"))))</f>
        <v/>
      </c>
      <c r="S1033" s="39" t="str">
        <f aca="false">IF(AND(M1033&gt;0,O1033&gt;0),O1033+M1033/1000000000000+ROW()/1000000000000000,"")</f>
        <v/>
      </c>
      <c r="T1033" s="39" t="str">
        <f aca="false">IF(J1033="Belum ditukar",ROW(),"")</f>
        <v/>
      </c>
    </row>
    <row r="1034" customFormat="false" ht="15" hidden="false" customHeight="false" outlineLevel="0" collapsed="false">
      <c r="A1034" s="50" t="s">
        <v>1320</v>
      </c>
      <c r="B1034" s="51" t="n">
        <v>45876</v>
      </c>
      <c r="C1034" s="50" t="s">
        <v>358</v>
      </c>
      <c r="D1034" s="39" t="str">
        <f aca="false">INDEX(Master_Customer!$B$2:$B$126,MATCH(C1034,Master_Customer!$A$2:$A$126,0))</f>
        <v>HARAPAN TEKNIK</v>
      </c>
      <c r="E1034" s="50" t="s">
        <v>31</v>
      </c>
      <c r="F1034" s="52" t="n">
        <f aca="false">SUMIFS(Data_Penjualan!$G$2:$G$5998,Data_Penjualan!$A$2:$A$5998,A1034)</f>
        <v>10018400</v>
      </c>
      <c r="G1034" s="39" t="n">
        <f aca="false">IF(E1034="KANTOR",0,INDEX(Master_Customer!$C$2:$C$126,MATCH(C1034,Master_Customer!$A$2:$A$126,0)))</f>
        <v>0</v>
      </c>
      <c r="H1034" s="53" t="n">
        <f aca="false">B1034+G1034</f>
        <v>45876</v>
      </c>
      <c r="J1034" s="39" t="str">
        <f aca="false">IF(G1034=0,"Tunai",IF(I1034="","Belum ditukar","Sudah ditukar"))</f>
        <v>Tunai</v>
      </c>
      <c r="K1034" s="54" t="n">
        <v>10018400</v>
      </c>
      <c r="L1034" s="51" t="n">
        <v>45877</v>
      </c>
      <c r="M1034" s="52" t="n">
        <f aca="false">F1034-K1034</f>
        <v>0</v>
      </c>
      <c r="N1034" s="39" t="str">
        <f aca="false">IF(M1034&lt;=0,"Lunas",IF(K1034&gt;0,"Sebagian","Belum Bayar"))</f>
        <v>Lunas</v>
      </c>
      <c r="O1034" s="39" t="n">
        <f aca="false">IF(M1034&gt;0,MAX(0,Catatan!$B$3-H1034),0)</f>
        <v>0</v>
      </c>
      <c r="P1034" s="39" t="str">
        <f aca="false">IF(M1034&lt;=0,"Lunas",IF(Catatan!$B$3&lt;=H1034,"Belum Jatuh Tempo",IF(O1034&lt;=30,"1-30 hari",IF(O1034&lt;=60,"31-60 hari",IF(O1034&lt;=90,"61-90 hari","90+ hari")))))</f>
        <v>Lunas</v>
      </c>
      <c r="Q1034" s="50"/>
      <c r="R1034" s="39" t="str">
        <f aca="false">IF(M1034&lt;=0,"",IF(O1034&gt;60,"1-Tinggi",IF(O1034&gt;30,"2-Sedang",IF(O1034&gt;0,"3-Rendah","4-Pantau"))))</f>
        <v/>
      </c>
      <c r="S1034" s="39" t="str">
        <f aca="false">IF(AND(M1034&gt;0,O1034&gt;0),O1034+M1034/1000000000000+ROW()/1000000000000000,"")</f>
        <v/>
      </c>
      <c r="T1034" s="39" t="str">
        <f aca="false">IF(J1034="Belum ditukar",ROW(),"")</f>
        <v/>
      </c>
    </row>
    <row r="1035" customFormat="false" ht="15" hidden="false" customHeight="false" outlineLevel="0" collapsed="false">
      <c r="A1035" s="50" t="s">
        <v>1321</v>
      </c>
      <c r="B1035" s="51" t="n">
        <v>45876</v>
      </c>
      <c r="C1035" s="50" t="s">
        <v>193</v>
      </c>
      <c r="D1035" s="39" t="str">
        <f aca="false">INDEX(Master_Customer!$B$2:$B$126,MATCH(C1035,Master_Customer!$A$2:$A$126,0))</f>
        <v>BINTANG BENGKEL</v>
      </c>
      <c r="E1035" s="50" t="s">
        <v>32</v>
      </c>
      <c r="F1035" s="52" t="n">
        <f aca="false">SUMIFS(Data_Penjualan!$G$2:$G$5998,Data_Penjualan!$A$2:$A$5998,A1035)</f>
        <v>2630000</v>
      </c>
      <c r="G1035" s="39" t="n">
        <f aca="false">IF(E1035="KANTOR",0,INDEX(Master_Customer!$C$2:$C$126,MATCH(C1035,Master_Customer!$A$2:$A$126,0)))</f>
        <v>0</v>
      </c>
      <c r="H1035" s="53" t="n">
        <f aca="false">B1035+G1035</f>
        <v>45876</v>
      </c>
      <c r="J1035" s="39" t="str">
        <f aca="false">IF(G1035=0,"Tunai",IF(I1035="","Belum ditukar","Sudah ditukar"))</f>
        <v>Tunai</v>
      </c>
      <c r="K1035" s="54" t="n">
        <v>2630000</v>
      </c>
      <c r="L1035" s="51" t="n">
        <v>45876</v>
      </c>
      <c r="M1035" s="52" t="n">
        <f aca="false">F1035-K1035</f>
        <v>0</v>
      </c>
      <c r="N1035" s="39" t="str">
        <f aca="false">IF(M1035&lt;=0,"Lunas",IF(K1035&gt;0,"Sebagian","Belum Bayar"))</f>
        <v>Lunas</v>
      </c>
      <c r="O1035" s="39" t="n">
        <f aca="false">IF(M1035&gt;0,MAX(0,Catatan!$B$3-H1035),0)</f>
        <v>0</v>
      </c>
      <c r="P1035" s="39" t="str">
        <f aca="false">IF(M1035&lt;=0,"Lunas",IF(Catatan!$B$3&lt;=H1035,"Belum Jatuh Tempo",IF(O1035&lt;=30,"1-30 hari",IF(O1035&lt;=60,"31-60 hari",IF(O1035&lt;=90,"61-90 hari","90+ hari")))))</f>
        <v>Lunas</v>
      </c>
      <c r="Q1035" s="50"/>
      <c r="R1035" s="39" t="str">
        <f aca="false">IF(M1035&lt;=0,"",IF(O1035&gt;60,"1-Tinggi",IF(O1035&gt;30,"2-Sedang",IF(O1035&gt;0,"3-Rendah","4-Pantau"))))</f>
        <v/>
      </c>
      <c r="S1035" s="39" t="str">
        <f aca="false">IF(AND(M1035&gt;0,O1035&gt;0),O1035+M1035/1000000000000+ROW()/1000000000000000,"")</f>
        <v/>
      </c>
      <c r="T1035" s="39" t="str">
        <f aca="false">IF(J1035="Belum ditukar",ROW(),"")</f>
        <v/>
      </c>
    </row>
    <row r="1036" customFormat="false" ht="15" hidden="false" customHeight="false" outlineLevel="0" collapsed="false">
      <c r="A1036" s="50" t="s">
        <v>1322</v>
      </c>
      <c r="B1036" s="51" t="n">
        <v>45877</v>
      </c>
      <c r="C1036" s="50" t="s">
        <v>838</v>
      </c>
      <c r="D1036" s="39" t="str">
        <f aca="false">INDEX(Master_Customer!$B$2:$B$126,MATCH(C1036,Master_Customer!$A$2:$A$126,0))</f>
        <v>HARAPAN AUTO</v>
      </c>
      <c r="E1036" s="50" t="s">
        <v>30</v>
      </c>
      <c r="F1036" s="52" t="n">
        <f aca="false">SUMIFS(Data_Penjualan!$G$2:$G$5998,Data_Penjualan!$A$2:$A$5998,A1036)</f>
        <v>18788000</v>
      </c>
      <c r="G1036" s="39" t="n">
        <f aca="false">IF(E1036="KANTOR",0,INDEX(Master_Customer!$C$2:$C$126,MATCH(C1036,Master_Customer!$A$2:$A$126,0)))</f>
        <v>30</v>
      </c>
      <c r="H1036" s="53" t="n">
        <f aca="false">B1036+G1036</f>
        <v>45907</v>
      </c>
      <c r="I1036" s="51" t="n">
        <v>45878</v>
      </c>
      <c r="J1036" s="39" t="str">
        <f aca="false">IF(G1036=0,"Tunai",IF(I1036="","Belum ditukar","Sudah ditukar"))</f>
        <v>Sudah ditukar</v>
      </c>
      <c r="K1036" s="54" t="n">
        <v>18788000</v>
      </c>
      <c r="L1036" s="51" t="n">
        <v>45904</v>
      </c>
      <c r="M1036" s="52" t="n">
        <f aca="false">F1036-K1036</f>
        <v>0</v>
      </c>
      <c r="N1036" s="39" t="str">
        <f aca="false">IF(M1036&lt;=0,"Lunas",IF(K1036&gt;0,"Sebagian","Belum Bayar"))</f>
        <v>Lunas</v>
      </c>
      <c r="O1036" s="39" t="n">
        <f aca="false">IF(M1036&gt;0,MAX(0,Catatan!$B$3-H1036),0)</f>
        <v>0</v>
      </c>
      <c r="P1036" s="39" t="str">
        <f aca="false">IF(M1036&lt;=0,"Lunas",IF(Catatan!$B$3&lt;=H1036,"Belum Jatuh Tempo",IF(O1036&lt;=30,"1-30 hari",IF(O1036&lt;=60,"31-60 hari",IF(O1036&lt;=90,"61-90 hari","90+ hari")))))</f>
        <v>Lunas</v>
      </c>
      <c r="Q1036" s="50"/>
      <c r="R1036" s="39" t="str">
        <f aca="false">IF(M1036&lt;=0,"",IF(O1036&gt;60,"1-Tinggi",IF(O1036&gt;30,"2-Sedang",IF(O1036&gt;0,"3-Rendah","4-Pantau"))))</f>
        <v/>
      </c>
      <c r="S1036" s="39" t="str">
        <f aca="false">IF(AND(M1036&gt;0,O1036&gt;0),O1036+M1036/1000000000000+ROW()/1000000000000000,"")</f>
        <v/>
      </c>
      <c r="T1036" s="39" t="str">
        <f aca="false">IF(J1036="Belum ditukar",ROW(),"")</f>
        <v/>
      </c>
    </row>
    <row r="1037" customFormat="false" ht="15" hidden="false" customHeight="false" outlineLevel="0" collapsed="false">
      <c r="A1037" s="50" t="s">
        <v>1323</v>
      </c>
      <c r="B1037" s="51" t="n">
        <v>45877</v>
      </c>
      <c r="C1037" s="50" t="s">
        <v>228</v>
      </c>
      <c r="D1037" s="39" t="str">
        <f aca="false">INDEX(Master_Customer!$B$2:$B$126,MATCH(C1037,Master_Customer!$A$2:$A$126,0))</f>
        <v>MAKMUR SERVICE JAYA</v>
      </c>
      <c r="E1037" s="50" t="s">
        <v>29</v>
      </c>
      <c r="F1037" s="52" t="n">
        <f aca="false">SUMIFS(Data_Penjualan!$G$2:$G$5998,Data_Penjualan!$A$2:$A$5998,A1037)</f>
        <v>6824800</v>
      </c>
      <c r="G1037" s="39" t="n">
        <f aca="false">IF(E1037="KANTOR",0,INDEX(Master_Customer!$C$2:$C$126,MATCH(C1037,Master_Customer!$A$2:$A$126,0)))</f>
        <v>30</v>
      </c>
      <c r="H1037" s="53" t="n">
        <f aca="false">B1037+G1037</f>
        <v>45907</v>
      </c>
      <c r="I1037" s="51" t="n">
        <v>45878</v>
      </c>
      <c r="J1037" s="39" t="str">
        <f aca="false">IF(G1037=0,"Tunai",IF(I1037="","Belum ditukar","Sudah ditukar"))</f>
        <v>Sudah ditukar</v>
      </c>
      <c r="K1037" s="54" t="n">
        <v>6824800</v>
      </c>
      <c r="L1037" s="51" t="n">
        <v>45923</v>
      </c>
      <c r="M1037" s="52" t="n">
        <f aca="false">F1037-K1037</f>
        <v>0</v>
      </c>
      <c r="N1037" s="39" t="str">
        <f aca="false">IF(M1037&lt;=0,"Lunas",IF(K1037&gt;0,"Sebagian","Belum Bayar"))</f>
        <v>Lunas</v>
      </c>
      <c r="O1037" s="39" t="n">
        <f aca="false">IF(M1037&gt;0,MAX(0,Catatan!$B$3-H1037),0)</f>
        <v>0</v>
      </c>
      <c r="P1037" s="39" t="str">
        <f aca="false">IF(M1037&lt;=0,"Lunas",IF(Catatan!$B$3&lt;=H1037,"Belum Jatuh Tempo",IF(O1037&lt;=30,"1-30 hari",IF(O1037&lt;=60,"31-60 hari",IF(O1037&lt;=90,"61-90 hari","90+ hari")))))</f>
        <v>Lunas</v>
      </c>
      <c r="Q1037" s="50"/>
      <c r="R1037" s="39" t="str">
        <f aca="false">IF(M1037&lt;=0,"",IF(O1037&gt;60,"1-Tinggi",IF(O1037&gt;30,"2-Sedang",IF(O1037&gt;0,"3-Rendah","4-Pantau"))))</f>
        <v/>
      </c>
      <c r="S1037" s="39" t="str">
        <f aca="false">IF(AND(M1037&gt;0,O1037&gt;0),O1037+M1037/1000000000000+ROW()/1000000000000000,"")</f>
        <v/>
      </c>
      <c r="T1037" s="39" t="str">
        <f aca="false">IF(J1037="Belum ditukar",ROW(),"")</f>
        <v/>
      </c>
    </row>
    <row r="1038" customFormat="false" ht="15" hidden="false" customHeight="false" outlineLevel="0" collapsed="false">
      <c r="A1038" s="50" t="s">
        <v>1324</v>
      </c>
      <c r="B1038" s="51" t="n">
        <v>45877</v>
      </c>
      <c r="C1038" s="50" t="s">
        <v>199</v>
      </c>
      <c r="D1038" s="39" t="str">
        <f aca="false">INDEX(Master_Customer!$B$2:$B$126,MATCH(C1038,Master_Customer!$A$2:$A$126,0))</f>
        <v>KARYA SPAREPART</v>
      </c>
      <c r="E1038" s="50" t="s">
        <v>29</v>
      </c>
      <c r="F1038" s="52" t="n">
        <f aca="false">SUMIFS(Data_Penjualan!$G$2:$G$5998,Data_Penjualan!$A$2:$A$5998,A1038)</f>
        <v>11337100</v>
      </c>
      <c r="G1038" s="39" t="n">
        <f aca="false">IF(E1038="KANTOR",0,INDEX(Master_Customer!$C$2:$C$126,MATCH(C1038,Master_Customer!$A$2:$A$126,0)))</f>
        <v>45</v>
      </c>
      <c r="H1038" s="53" t="n">
        <f aca="false">B1038+G1038</f>
        <v>45922</v>
      </c>
      <c r="I1038" s="51" t="n">
        <v>45881</v>
      </c>
      <c r="J1038" s="39" t="str">
        <f aca="false">IF(G1038=0,"Tunai",IF(I1038="","Belum ditukar","Sudah ditukar"))</f>
        <v>Sudah ditukar</v>
      </c>
      <c r="K1038" s="54" t="n">
        <v>11337100</v>
      </c>
      <c r="L1038" s="51" t="n">
        <v>45919</v>
      </c>
      <c r="M1038" s="52" t="n">
        <f aca="false">F1038-K1038</f>
        <v>0</v>
      </c>
      <c r="N1038" s="39" t="str">
        <f aca="false">IF(M1038&lt;=0,"Lunas",IF(K1038&gt;0,"Sebagian","Belum Bayar"))</f>
        <v>Lunas</v>
      </c>
      <c r="O1038" s="39" t="n">
        <f aca="false">IF(M1038&gt;0,MAX(0,Catatan!$B$3-H1038),0)</f>
        <v>0</v>
      </c>
      <c r="P1038" s="39" t="str">
        <f aca="false">IF(M1038&lt;=0,"Lunas",IF(Catatan!$B$3&lt;=H1038,"Belum Jatuh Tempo",IF(O1038&lt;=30,"1-30 hari",IF(O1038&lt;=60,"31-60 hari",IF(O1038&lt;=90,"61-90 hari","90+ hari")))))</f>
        <v>Lunas</v>
      </c>
      <c r="Q1038" s="50"/>
      <c r="R1038" s="39" t="str">
        <f aca="false">IF(M1038&lt;=0,"",IF(O1038&gt;60,"1-Tinggi",IF(O1038&gt;30,"2-Sedang",IF(O1038&gt;0,"3-Rendah","4-Pantau"))))</f>
        <v/>
      </c>
      <c r="S1038" s="39" t="str">
        <f aca="false">IF(AND(M1038&gt;0,O1038&gt;0),O1038+M1038/1000000000000+ROW()/1000000000000000,"")</f>
        <v/>
      </c>
      <c r="T1038" s="39" t="str">
        <f aca="false">IF(J1038="Belum ditukar",ROW(),"")</f>
        <v/>
      </c>
    </row>
    <row r="1039" customFormat="false" ht="15" hidden="false" customHeight="false" outlineLevel="0" collapsed="false">
      <c r="A1039" s="50" t="s">
        <v>1325</v>
      </c>
      <c r="B1039" s="51" t="n">
        <v>45877</v>
      </c>
      <c r="C1039" s="50" t="s">
        <v>207</v>
      </c>
      <c r="D1039" s="39" t="str">
        <f aca="false">INDEX(Master_Customer!$B$2:$B$126,MATCH(C1039,Master_Customer!$A$2:$A$126,0))</f>
        <v>MAKMUR AUTO HARAPAN</v>
      </c>
      <c r="E1039" s="50" t="s">
        <v>29</v>
      </c>
      <c r="F1039" s="52" t="n">
        <f aca="false">SUMIFS(Data_Penjualan!$G$2:$G$5998,Data_Penjualan!$A$2:$A$5998,A1039)</f>
        <v>9114500</v>
      </c>
      <c r="G1039" s="39" t="n">
        <f aca="false">IF(E1039="KANTOR",0,INDEX(Master_Customer!$C$2:$C$126,MATCH(C1039,Master_Customer!$A$2:$A$126,0)))</f>
        <v>30</v>
      </c>
      <c r="H1039" s="53" t="n">
        <f aca="false">B1039+G1039</f>
        <v>45907</v>
      </c>
      <c r="I1039" s="51" t="n">
        <v>45878</v>
      </c>
      <c r="J1039" s="39" t="str">
        <f aca="false">IF(G1039=0,"Tunai",IF(I1039="","Belum ditukar","Sudah ditukar"))</f>
        <v>Sudah ditukar</v>
      </c>
      <c r="K1039" s="54" t="n">
        <v>9114500</v>
      </c>
      <c r="L1039" s="51" t="n">
        <v>45921</v>
      </c>
      <c r="M1039" s="52" t="n">
        <f aca="false">F1039-K1039</f>
        <v>0</v>
      </c>
      <c r="N1039" s="39" t="str">
        <f aca="false">IF(M1039&lt;=0,"Lunas",IF(K1039&gt;0,"Sebagian","Belum Bayar"))</f>
        <v>Lunas</v>
      </c>
      <c r="O1039" s="39" t="n">
        <f aca="false">IF(M1039&gt;0,MAX(0,Catatan!$B$3-H1039),0)</f>
        <v>0</v>
      </c>
      <c r="P1039" s="39" t="str">
        <f aca="false">IF(M1039&lt;=0,"Lunas",IF(Catatan!$B$3&lt;=H1039,"Belum Jatuh Tempo",IF(O1039&lt;=30,"1-30 hari",IF(O1039&lt;=60,"31-60 hari",IF(O1039&lt;=90,"61-90 hari","90+ hari")))))</f>
        <v>Lunas</v>
      </c>
      <c r="Q1039" s="50"/>
      <c r="R1039" s="39" t="str">
        <f aca="false">IF(M1039&lt;=0,"",IF(O1039&gt;60,"1-Tinggi",IF(O1039&gt;30,"2-Sedang",IF(O1039&gt;0,"3-Rendah","4-Pantau"))))</f>
        <v/>
      </c>
      <c r="S1039" s="39" t="str">
        <f aca="false">IF(AND(M1039&gt;0,O1039&gt;0),O1039+M1039/1000000000000+ROW()/1000000000000000,"")</f>
        <v/>
      </c>
      <c r="T1039" s="39" t="str">
        <f aca="false">IF(J1039="Belum ditukar",ROW(),"")</f>
        <v/>
      </c>
    </row>
    <row r="1040" customFormat="false" ht="15" hidden="false" customHeight="false" outlineLevel="0" collapsed="false">
      <c r="A1040" s="50" t="s">
        <v>1326</v>
      </c>
      <c r="B1040" s="51" t="n">
        <v>45878</v>
      </c>
      <c r="C1040" s="50" t="s">
        <v>289</v>
      </c>
      <c r="D1040" s="39" t="str">
        <f aca="false">INDEX(Master_Customer!$B$2:$B$126,MATCH(C1040,Master_Customer!$A$2:$A$126,0))</f>
        <v>SINAR GARAGE</v>
      </c>
      <c r="E1040" s="50" t="s">
        <v>28</v>
      </c>
      <c r="F1040" s="52" t="n">
        <f aca="false">SUMIFS(Data_Penjualan!$G$2:$G$5998,Data_Penjualan!$A$2:$A$5998,A1040)</f>
        <v>17970800</v>
      </c>
      <c r="G1040" s="39" t="n">
        <f aca="false">IF(E1040="KANTOR",0,INDEX(Master_Customer!$C$2:$C$126,MATCH(C1040,Master_Customer!$A$2:$A$126,0)))</f>
        <v>30</v>
      </c>
      <c r="H1040" s="53" t="n">
        <f aca="false">B1040+G1040</f>
        <v>45908</v>
      </c>
      <c r="I1040" s="51" t="n">
        <v>45883</v>
      </c>
      <c r="J1040" s="39" t="str">
        <f aca="false">IF(G1040=0,"Tunai",IF(I1040="","Belum ditukar","Sudah ditukar"))</f>
        <v>Sudah ditukar</v>
      </c>
      <c r="K1040" s="54" t="n">
        <v>17970800</v>
      </c>
      <c r="L1040" s="51" t="n">
        <v>45910</v>
      </c>
      <c r="M1040" s="52" t="n">
        <f aca="false">F1040-K1040</f>
        <v>0</v>
      </c>
      <c r="N1040" s="39" t="str">
        <f aca="false">IF(M1040&lt;=0,"Lunas",IF(K1040&gt;0,"Sebagian","Belum Bayar"))</f>
        <v>Lunas</v>
      </c>
      <c r="O1040" s="39" t="n">
        <f aca="false">IF(M1040&gt;0,MAX(0,Catatan!$B$3-H1040),0)</f>
        <v>0</v>
      </c>
      <c r="P1040" s="39" t="str">
        <f aca="false">IF(M1040&lt;=0,"Lunas",IF(Catatan!$B$3&lt;=H1040,"Belum Jatuh Tempo",IF(O1040&lt;=30,"1-30 hari",IF(O1040&lt;=60,"31-60 hari",IF(O1040&lt;=90,"61-90 hari","90+ hari")))))</f>
        <v>Lunas</v>
      </c>
      <c r="Q1040" s="50"/>
      <c r="R1040" s="39" t="str">
        <f aca="false">IF(M1040&lt;=0,"",IF(O1040&gt;60,"1-Tinggi",IF(O1040&gt;30,"2-Sedang",IF(O1040&gt;0,"3-Rendah","4-Pantau"))))</f>
        <v/>
      </c>
      <c r="S1040" s="39" t="str">
        <f aca="false">IF(AND(M1040&gt;0,O1040&gt;0),O1040+M1040/1000000000000+ROW()/1000000000000000,"")</f>
        <v/>
      </c>
      <c r="T1040" s="39" t="str">
        <f aca="false">IF(J1040="Belum ditukar",ROW(),"")</f>
        <v/>
      </c>
    </row>
    <row r="1041" customFormat="false" ht="15" hidden="false" customHeight="false" outlineLevel="0" collapsed="false">
      <c r="A1041" s="50" t="s">
        <v>1327</v>
      </c>
      <c r="B1041" s="51" t="n">
        <v>45878</v>
      </c>
      <c r="C1041" s="50" t="s">
        <v>278</v>
      </c>
      <c r="D1041" s="39" t="str">
        <f aca="false">INDEX(Master_Customer!$B$2:$B$126,MATCH(C1041,Master_Customer!$A$2:$A$126,0))</f>
        <v>SURYA MOTOR</v>
      </c>
      <c r="E1041" s="50" t="s">
        <v>31</v>
      </c>
      <c r="F1041" s="52" t="n">
        <f aca="false">SUMIFS(Data_Penjualan!$G$2:$G$5998,Data_Penjualan!$A$2:$A$5998,A1041)</f>
        <v>19821900</v>
      </c>
      <c r="G1041" s="39" t="n">
        <f aca="false">IF(E1041="KANTOR",0,INDEX(Master_Customer!$C$2:$C$126,MATCH(C1041,Master_Customer!$A$2:$A$126,0)))</f>
        <v>14</v>
      </c>
      <c r="H1041" s="53" t="n">
        <f aca="false">B1041+G1041</f>
        <v>45892</v>
      </c>
      <c r="I1041" s="51" t="n">
        <v>45881</v>
      </c>
      <c r="J1041" s="39" t="str">
        <f aca="false">IF(G1041=0,"Tunai",IF(I1041="","Belum ditukar","Sudah ditukar"))</f>
        <v>Sudah ditukar</v>
      </c>
      <c r="K1041" s="54" t="n">
        <v>19821900</v>
      </c>
      <c r="L1041" s="51" t="n">
        <v>45884</v>
      </c>
      <c r="M1041" s="52" t="n">
        <f aca="false">F1041-K1041</f>
        <v>0</v>
      </c>
      <c r="N1041" s="39" t="str">
        <f aca="false">IF(M1041&lt;=0,"Lunas",IF(K1041&gt;0,"Sebagian","Belum Bayar"))</f>
        <v>Lunas</v>
      </c>
      <c r="O1041" s="39" t="n">
        <f aca="false">IF(M1041&gt;0,MAX(0,Catatan!$B$3-H1041),0)</f>
        <v>0</v>
      </c>
      <c r="P1041" s="39" t="str">
        <f aca="false">IF(M1041&lt;=0,"Lunas",IF(Catatan!$B$3&lt;=H1041,"Belum Jatuh Tempo",IF(O1041&lt;=30,"1-30 hari",IF(O1041&lt;=60,"31-60 hari",IF(O1041&lt;=90,"61-90 hari","90+ hari")))))</f>
        <v>Lunas</v>
      </c>
      <c r="Q1041" s="50"/>
      <c r="R1041" s="39" t="str">
        <f aca="false">IF(M1041&lt;=0,"",IF(O1041&gt;60,"1-Tinggi",IF(O1041&gt;30,"2-Sedang",IF(O1041&gt;0,"3-Rendah","4-Pantau"))))</f>
        <v/>
      </c>
      <c r="S1041" s="39" t="str">
        <f aca="false">IF(AND(M1041&gt;0,O1041&gt;0),O1041+M1041/1000000000000+ROW()/1000000000000000,"")</f>
        <v/>
      </c>
      <c r="T1041" s="39" t="str">
        <f aca="false">IF(J1041="Belum ditukar",ROW(),"")</f>
        <v/>
      </c>
    </row>
    <row r="1042" customFormat="false" ht="15" hidden="false" customHeight="false" outlineLevel="0" collapsed="false">
      <c r="A1042" s="50" t="s">
        <v>1328</v>
      </c>
      <c r="B1042" s="51" t="n">
        <v>45878</v>
      </c>
      <c r="C1042" s="50" t="s">
        <v>286</v>
      </c>
      <c r="D1042" s="39" t="str">
        <f aca="false">INDEX(Master_Customer!$B$2:$B$126,MATCH(C1042,Master_Customer!$A$2:$A$126,0))</f>
        <v>CAHAYA AUTO</v>
      </c>
      <c r="E1042" s="50" t="s">
        <v>29</v>
      </c>
      <c r="F1042" s="52" t="n">
        <f aca="false">SUMIFS(Data_Penjualan!$G$2:$G$5998,Data_Penjualan!$A$2:$A$5998,A1042)</f>
        <v>4402500</v>
      </c>
      <c r="G1042" s="39" t="n">
        <f aca="false">IF(E1042="KANTOR",0,INDEX(Master_Customer!$C$2:$C$126,MATCH(C1042,Master_Customer!$A$2:$A$126,0)))</f>
        <v>0</v>
      </c>
      <c r="H1042" s="53" t="n">
        <f aca="false">B1042+G1042</f>
        <v>45878</v>
      </c>
      <c r="J1042" s="39" t="str">
        <f aca="false">IF(G1042=0,"Tunai",IF(I1042="","Belum ditukar","Sudah ditukar"))</f>
        <v>Tunai</v>
      </c>
      <c r="K1042" s="54" t="n">
        <v>4402500</v>
      </c>
      <c r="L1042" s="51" t="n">
        <v>45878</v>
      </c>
      <c r="M1042" s="52" t="n">
        <f aca="false">F1042-K1042</f>
        <v>0</v>
      </c>
      <c r="N1042" s="39" t="str">
        <f aca="false">IF(M1042&lt;=0,"Lunas",IF(K1042&gt;0,"Sebagian","Belum Bayar"))</f>
        <v>Lunas</v>
      </c>
      <c r="O1042" s="39" t="n">
        <f aca="false">IF(M1042&gt;0,MAX(0,Catatan!$B$3-H1042),0)</f>
        <v>0</v>
      </c>
      <c r="P1042" s="39" t="str">
        <f aca="false">IF(M1042&lt;=0,"Lunas",IF(Catatan!$B$3&lt;=H1042,"Belum Jatuh Tempo",IF(O1042&lt;=30,"1-30 hari",IF(O1042&lt;=60,"31-60 hari",IF(O1042&lt;=90,"61-90 hari","90+ hari")))))</f>
        <v>Lunas</v>
      </c>
      <c r="Q1042" s="50"/>
      <c r="R1042" s="39" t="str">
        <f aca="false">IF(M1042&lt;=0,"",IF(O1042&gt;60,"1-Tinggi",IF(O1042&gt;30,"2-Sedang",IF(O1042&gt;0,"3-Rendah","4-Pantau"))))</f>
        <v/>
      </c>
      <c r="S1042" s="39" t="str">
        <f aca="false">IF(AND(M1042&gt;0,O1042&gt;0),O1042+M1042/1000000000000+ROW()/1000000000000000,"")</f>
        <v/>
      </c>
      <c r="T1042" s="39" t="str">
        <f aca="false">IF(J1042="Belum ditukar",ROW(),"")</f>
        <v/>
      </c>
    </row>
    <row r="1043" customFormat="false" ht="15" hidden="false" customHeight="false" outlineLevel="0" collapsed="false">
      <c r="A1043" s="50" t="s">
        <v>1329</v>
      </c>
      <c r="B1043" s="51" t="n">
        <v>45878</v>
      </c>
      <c r="C1043" s="50" t="s">
        <v>205</v>
      </c>
      <c r="D1043" s="39" t="str">
        <f aca="false">INDEX(Master_Customer!$B$2:$B$126,MATCH(C1043,Master_Customer!$A$2:$A$126,0))</f>
        <v>BERKAH OLI</v>
      </c>
      <c r="E1043" s="50" t="s">
        <v>32</v>
      </c>
      <c r="F1043" s="52" t="n">
        <f aca="false">SUMIFS(Data_Penjualan!$G$2:$G$5998,Data_Penjualan!$A$2:$A$5998,A1043)</f>
        <v>11604100</v>
      </c>
      <c r="G1043" s="39" t="n">
        <f aca="false">IF(E1043="KANTOR",0,INDEX(Master_Customer!$C$2:$C$126,MATCH(C1043,Master_Customer!$A$2:$A$126,0)))</f>
        <v>0</v>
      </c>
      <c r="H1043" s="53" t="n">
        <f aca="false">B1043+G1043</f>
        <v>45878</v>
      </c>
      <c r="J1043" s="39" t="str">
        <f aca="false">IF(G1043=0,"Tunai",IF(I1043="","Belum ditukar","Sudah ditukar"))</f>
        <v>Tunai</v>
      </c>
      <c r="K1043" s="54" t="n">
        <v>11604100</v>
      </c>
      <c r="L1043" s="51" t="n">
        <v>45878</v>
      </c>
      <c r="M1043" s="52" t="n">
        <f aca="false">F1043-K1043</f>
        <v>0</v>
      </c>
      <c r="N1043" s="39" t="str">
        <f aca="false">IF(M1043&lt;=0,"Lunas",IF(K1043&gt;0,"Sebagian","Belum Bayar"))</f>
        <v>Lunas</v>
      </c>
      <c r="O1043" s="39" t="n">
        <f aca="false">IF(M1043&gt;0,MAX(0,Catatan!$B$3-H1043),0)</f>
        <v>0</v>
      </c>
      <c r="P1043" s="39" t="str">
        <f aca="false">IF(M1043&lt;=0,"Lunas",IF(Catatan!$B$3&lt;=H1043,"Belum Jatuh Tempo",IF(O1043&lt;=30,"1-30 hari",IF(O1043&lt;=60,"31-60 hari",IF(O1043&lt;=90,"61-90 hari","90+ hari")))))</f>
        <v>Lunas</v>
      </c>
      <c r="Q1043" s="50"/>
      <c r="R1043" s="39" t="str">
        <f aca="false">IF(M1043&lt;=0,"",IF(O1043&gt;60,"1-Tinggi",IF(O1043&gt;30,"2-Sedang",IF(O1043&gt;0,"3-Rendah","4-Pantau"))))</f>
        <v/>
      </c>
      <c r="S1043" s="39" t="str">
        <f aca="false">IF(AND(M1043&gt;0,O1043&gt;0),O1043+M1043/1000000000000+ROW()/1000000000000000,"")</f>
        <v/>
      </c>
      <c r="T1043" s="39" t="str">
        <f aca="false">IF(J1043="Belum ditukar",ROW(),"")</f>
        <v/>
      </c>
    </row>
    <row r="1044" customFormat="false" ht="15" hidden="false" customHeight="false" outlineLevel="0" collapsed="false">
      <c r="A1044" s="50" t="s">
        <v>1330</v>
      </c>
      <c r="B1044" s="51" t="n">
        <v>45878</v>
      </c>
      <c r="C1044" s="50" t="s">
        <v>174</v>
      </c>
      <c r="D1044" s="39" t="str">
        <f aca="false">INDEX(Master_Customer!$B$2:$B$126,MATCH(C1044,Master_Customer!$A$2:$A$126,0))</f>
        <v>SUMBER TEKNIK SURYA</v>
      </c>
      <c r="E1044" s="50" t="s">
        <v>31</v>
      </c>
      <c r="F1044" s="52" t="n">
        <f aca="false">SUMIFS(Data_Penjualan!$G$2:$G$5998,Data_Penjualan!$A$2:$A$5998,A1044)</f>
        <v>10857900</v>
      </c>
      <c r="G1044" s="39" t="n">
        <f aca="false">IF(E1044="KANTOR",0,INDEX(Master_Customer!$C$2:$C$126,MATCH(C1044,Master_Customer!$A$2:$A$126,0)))</f>
        <v>30</v>
      </c>
      <c r="H1044" s="53" t="n">
        <f aca="false">B1044+G1044</f>
        <v>45908</v>
      </c>
      <c r="I1044" s="51" t="n">
        <v>45882</v>
      </c>
      <c r="J1044" s="39" t="str">
        <f aca="false">IF(G1044=0,"Tunai",IF(I1044="","Belum ditukar","Sudah ditukar"))</f>
        <v>Sudah ditukar</v>
      </c>
      <c r="K1044" s="54" t="n">
        <v>10857900</v>
      </c>
      <c r="L1044" s="51" t="n">
        <v>45909</v>
      </c>
      <c r="M1044" s="52" t="n">
        <f aca="false">F1044-K1044</f>
        <v>0</v>
      </c>
      <c r="N1044" s="39" t="str">
        <f aca="false">IF(M1044&lt;=0,"Lunas",IF(K1044&gt;0,"Sebagian","Belum Bayar"))</f>
        <v>Lunas</v>
      </c>
      <c r="O1044" s="39" t="n">
        <f aca="false">IF(M1044&gt;0,MAX(0,Catatan!$B$3-H1044),0)</f>
        <v>0</v>
      </c>
      <c r="P1044" s="39" t="str">
        <f aca="false">IF(M1044&lt;=0,"Lunas",IF(Catatan!$B$3&lt;=H1044,"Belum Jatuh Tempo",IF(O1044&lt;=30,"1-30 hari",IF(O1044&lt;=60,"31-60 hari",IF(O1044&lt;=90,"61-90 hari","90+ hari")))))</f>
        <v>Lunas</v>
      </c>
      <c r="Q1044" s="50"/>
      <c r="R1044" s="39" t="str">
        <f aca="false">IF(M1044&lt;=0,"",IF(O1044&gt;60,"1-Tinggi",IF(O1044&gt;30,"2-Sedang",IF(O1044&gt;0,"3-Rendah","4-Pantau"))))</f>
        <v/>
      </c>
      <c r="S1044" s="39" t="str">
        <f aca="false">IF(AND(M1044&gt;0,O1044&gt;0),O1044+M1044/1000000000000+ROW()/1000000000000000,"")</f>
        <v/>
      </c>
      <c r="T1044" s="39" t="str">
        <f aca="false">IF(J1044="Belum ditukar",ROW(),"")</f>
        <v/>
      </c>
    </row>
    <row r="1045" customFormat="false" ht="15" hidden="false" customHeight="false" outlineLevel="0" collapsed="false">
      <c r="A1045" s="50" t="s">
        <v>1331</v>
      </c>
      <c r="B1045" s="51" t="n">
        <v>45878</v>
      </c>
      <c r="C1045" s="50" t="s">
        <v>256</v>
      </c>
      <c r="D1045" s="39" t="str">
        <f aca="false">INDEX(Master_Customer!$B$2:$B$126,MATCH(C1045,Master_Customer!$A$2:$A$126,0))</f>
        <v>HARAPAN SPAREPART</v>
      </c>
      <c r="E1045" s="50" t="s">
        <v>31</v>
      </c>
      <c r="F1045" s="52" t="n">
        <f aca="false">SUMIFS(Data_Penjualan!$G$2:$G$5998,Data_Penjualan!$A$2:$A$5998,A1045)</f>
        <v>12768300</v>
      </c>
      <c r="G1045" s="39" t="n">
        <f aca="false">IF(E1045="KANTOR",0,INDEX(Master_Customer!$C$2:$C$126,MATCH(C1045,Master_Customer!$A$2:$A$126,0)))</f>
        <v>45</v>
      </c>
      <c r="H1045" s="53" t="n">
        <f aca="false">B1045+G1045</f>
        <v>45923</v>
      </c>
      <c r="I1045" s="51" t="n">
        <v>45883</v>
      </c>
      <c r="J1045" s="39" t="str">
        <f aca="false">IF(G1045=0,"Tunai",IF(I1045="","Belum ditukar","Sudah ditukar"))</f>
        <v>Sudah ditukar</v>
      </c>
      <c r="K1045" s="54" t="n">
        <v>12768300</v>
      </c>
      <c r="L1045" s="51" t="n">
        <v>45920</v>
      </c>
      <c r="M1045" s="52" t="n">
        <f aca="false">F1045-K1045</f>
        <v>0</v>
      </c>
      <c r="N1045" s="39" t="str">
        <f aca="false">IF(M1045&lt;=0,"Lunas",IF(K1045&gt;0,"Sebagian","Belum Bayar"))</f>
        <v>Lunas</v>
      </c>
      <c r="O1045" s="39" t="n">
        <f aca="false">IF(M1045&gt;0,MAX(0,Catatan!$B$3-H1045),0)</f>
        <v>0</v>
      </c>
      <c r="P1045" s="39" t="str">
        <f aca="false">IF(M1045&lt;=0,"Lunas",IF(Catatan!$B$3&lt;=H1045,"Belum Jatuh Tempo",IF(O1045&lt;=30,"1-30 hari",IF(O1045&lt;=60,"31-60 hari",IF(O1045&lt;=90,"61-90 hari","90+ hari")))))</f>
        <v>Lunas</v>
      </c>
      <c r="Q1045" s="50"/>
      <c r="R1045" s="39" t="str">
        <f aca="false">IF(M1045&lt;=0,"",IF(O1045&gt;60,"1-Tinggi",IF(O1045&gt;30,"2-Sedang",IF(O1045&gt;0,"3-Rendah","4-Pantau"))))</f>
        <v/>
      </c>
      <c r="S1045" s="39" t="str">
        <f aca="false">IF(AND(M1045&gt;0,O1045&gt;0),O1045+M1045/1000000000000+ROW()/1000000000000000,"")</f>
        <v/>
      </c>
      <c r="T1045" s="39" t="str">
        <f aca="false">IF(J1045="Belum ditukar",ROW(),"")</f>
        <v/>
      </c>
    </row>
    <row r="1046" customFormat="false" ht="15" hidden="false" customHeight="false" outlineLevel="0" collapsed="false">
      <c r="A1046" s="50" t="s">
        <v>1332</v>
      </c>
      <c r="B1046" s="51" t="n">
        <v>45878</v>
      </c>
      <c r="C1046" s="50" t="s">
        <v>188</v>
      </c>
      <c r="D1046" s="39" t="str">
        <f aca="false">INDEX(Master_Customer!$B$2:$B$126,MATCH(C1046,Master_Customer!$A$2:$A$126,0))</f>
        <v>MAJU GARAGE TIRTA</v>
      </c>
      <c r="E1046" s="50" t="s">
        <v>31</v>
      </c>
      <c r="F1046" s="52" t="n">
        <f aca="false">SUMIFS(Data_Penjualan!$G$2:$G$5998,Data_Penjualan!$A$2:$A$5998,A1046)</f>
        <v>8832100</v>
      </c>
      <c r="G1046" s="39" t="n">
        <f aca="false">IF(E1046="KANTOR",0,INDEX(Master_Customer!$C$2:$C$126,MATCH(C1046,Master_Customer!$A$2:$A$126,0)))</f>
        <v>45</v>
      </c>
      <c r="H1046" s="53" t="n">
        <f aca="false">B1046+G1046</f>
        <v>45923</v>
      </c>
      <c r="I1046" s="51" t="n">
        <v>45882</v>
      </c>
      <c r="J1046" s="39" t="str">
        <f aca="false">IF(G1046=0,"Tunai",IF(I1046="","Belum ditukar","Sudah ditukar"))</f>
        <v>Sudah ditukar</v>
      </c>
      <c r="K1046" s="54" t="n">
        <v>8832100</v>
      </c>
      <c r="L1046" s="51" t="n">
        <v>45929</v>
      </c>
      <c r="M1046" s="52" t="n">
        <f aca="false">F1046-K1046</f>
        <v>0</v>
      </c>
      <c r="N1046" s="39" t="str">
        <f aca="false">IF(M1046&lt;=0,"Lunas",IF(K1046&gt;0,"Sebagian","Belum Bayar"))</f>
        <v>Lunas</v>
      </c>
      <c r="O1046" s="39" t="n">
        <f aca="false">IF(M1046&gt;0,MAX(0,Catatan!$B$3-H1046),0)</f>
        <v>0</v>
      </c>
      <c r="P1046" s="39" t="str">
        <f aca="false">IF(M1046&lt;=0,"Lunas",IF(Catatan!$B$3&lt;=H1046,"Belum Jatuh Tempo",IF(O1046&lt;=30,"1-30 hari",IF(O1046&lt;=60,"31-60 hari",IF(O1046&lt;=90,"61-90 hari","90+ hari")))))</f>
        <v>Lunas</v>
      </c>
      <c r="Q1046" s="50"/>
      <c r="R1046" s="39" t="str">
        <f aca="false">IF(M1046&lt;=0,"",IF(O1046&gt;60,"1-Tinggi",IF(O1046&gt;30,"2-Sedang",IF(O1046&gt;0,"3-Rendah","4-Pantau"))))</f>
        <v/>
      </c>
      <c r="S1046" s="39" t="str">
        <f aca="false">IF(AND(M1046&gt;0,O1046&gt;0),O1046+M1046/1000000000000+ROW()/1000000000000000,"")</f>
        <v/>
      </c>
      <c r="T1046" s="39" t="str">
        <f aca="false">IF(J1046="Belum ditukar",ROW(),"")</f>
        <v/>
      </c>
    </row>
    <row r="1047" customFormat="false" ht="15" hidden="false" customHeight="false" outlineLevel="0" collapsed="false">
      <c r="A1047" s="50" t="s">
        <v>1333</v>
      </c>
      <c r="B1047" s="51" t="n">
        <v>45878</v>
      </c>
      <c r="C1047" s="50" t="s">
        <v>562</v>
      </c>
      <c r="D1047" s="39" t="str">
        <f aca="false">INDEX(Master_Customer!$B$2:$B$126,MATCH(C1047,Master_Customer!$A$2:$A$126,0))</f>
        <v>BERKAH SERVICE SENTOSA</v>
      </c>
      <c r="E1047" s="50" t="s">
        <v>32</v>
      </c>
      <c r="F1047" s="52" t="n">
        <f aca="false">SUMIFS(Data_Penjualan!$G$2:$G$5998,Data_Penjualan!$A$2:$A$5998,A1047)</f>
        <v>7324100</v>
      </c>
      <c r="G1047" s="39" t="n">
        <f aca="false">IF(E1047="KANTOR",0,INDEX(Master_Customer!$C$2:$C$126,MATCH(C1047,Master_Customer!$A$2:$A$126,0)))</f>
        <v>0</v>
      </c>
      <c r="H1047" s="53" t="n">
        <f aca="false">B1047+G1047</f>
        <v>45878</v>
      </c>
      <c r="J1047" s="39" t="str">
        <f aca="false">IF(G1047=0,"Tunai",IF(I1047="","Belum ditukar","Sudah ditukar"))</f>
        <v>Tunai</v>
      </c>
      <c r="K1047" s="54" t="n">
        <v>7324100</v>
      </c>
      <c r="L1047" s="51" t="n">
        <v>45878</v>
      </c>
      <c r="M1047" s="52" t="n">
        <f aca="false">F1047-K1047</f>
        <v>0</v>
      </c>
      <c r="N1047" s="39" t="str">
        <f aca="false">IF(M1047&lt;=0,"Lunas",IF(K1047&gt;0,"Sebagian","Belum Bayar"))</f>
        <v>Lunas</v>
      </c>
      <c r="O1047" s="39" t="n">
        <f aca="false">IF(M1047&gt;0,MAX(0,Catatan!$B$3-H1047),0)</f>
        <v>0</v>
      </c>
      <c r="P1047" s="39" t="str">
        <f aca="false">IF(M1047&lt;=0,"Lunas",IF(Catatan!$B$3&lt;=H1047,"Belum Jatuh Tempo",IF(O1047&lt;=30,"1-30 hari",IF(O1047&lt;=60,"31-60 hari",IF(O1047&lt;=90,"61-90 hari","90+ hari")))))</f>
        <v>Lunas</v>
      </c>
      <c r="Q1047" s="50"/>
      <c r="R1047" s="39" t="str">
        <f aca="false">IF(M1047&lt;=0,"",IF(O1047&gt;60,"1-Tinggi",IF(O1047&gt;30,"2-Sedang",IF(O1047&gt;0,"3-Rendah","4-Pantau"))))</f>
        <v/>
      </c>
      <c r="S1047" s="39" t="str">
        <f aca="false">IF(AND(M1047&gt;0,O1047&gt;0),O1047+M1047/1000000000000+ROW()/1000000000000000,"")</f>
        <v/>
      </c>
      <c r="T1047" s="39" t="str">
        <f aca="false">IF(J1047="Belum ditukar",ROW(),"")</f>
        <v/>
      </c>
    </row>
    <row r="1048" customFormat="false" ht="15" hidden="false" customHeight="false" outlineLevel="0" collapsed="false">
      <c r="A1048" s="50" t="s">
        <v>1334</v>
      </c>
      <c r="B1048" s="51" t="n">
        <v>45878</v>
      </c>
      <c r="C1048" s="50" t="s">
        <v>203</v>
      </c>
      <c r="D1048" s="39" t="str">
        <f aca="false">INDEX(Master_Customer!$B$2:$B$126,MATCH(C1048,Master_Customer!$A$2:$A$126,0))</f>
        <v>BINTANG TEKNIK</v>
      </c>
      <c r="E1048" s="50" t="s">
        <v>28</v>
      </c>
      <c r="F1048" s="52" t="n">
        <f aca="false">SUMIFS(Data_Penjualan!$G$2:$G$5998,Data_Penjualan!$A$2:$A$5998,A1048)</f>
        <v>4805700</v>
      </c>
      <c r="G1048" s="39" t="n">
        <f aca="false">IF(E1048="KANTOR",0,INDEX(Master_Customer!$C$2:$C$126,MATCH(C1048,Master_Customer!$A$2:$A$126,0)))</f>
        <v>45</v>
      </c>
      <c r="H1048" s="53" t="n">
        <f aca="false">B1048+G1048</f>
        <v>45923</v>
      </c>
      <c r="I1048" s="51" t="n">
        <v>45879</v>
      </c>
      <c r="J1048" s="39" t="str">
        <f aca="false">IF(G1048=0,"Tunai",IF(I1048="","Belum ditukar","Sudah ditukar"))</f>
        <v>Sudah ditukar</v>
      </c>
      <c r="K1048" s="54" t="n">
        <v>4805700</v>
      </c>
      <c r="L1048" s="51" t="n">
        <v>45939</v>
      </c>
      <c r="M1048" s="52" t="n">
        <f aca="false">F1048-K1048</f>
        <v>0</v>
      </c>
      <c r="N1048" s="39" t="str">
        <f aca="false">IF(M1048&lt;=0,"Lunas",IF(K1048&gt;0,"Sebagian","Belum Bayar"))</f>
        <v>Lunas</v>
      </c>
      <c r="O1048" s="39" t="n">
        <f aca="false">IF(M1048&gt;0,MAX(0,Catatan!$B$3-H1048),0)</f>
        <v>0</v>
      </c>
      <c r="P1048" s="39" t="str">
        <f aca="false">IF(M1048&lt;=0,"Lunas",IF(Catatan!$B$3&lt;=H1048,"Belum Jatuh Tempo",IF(O1048&lt;=30,"1-30 hari",IF(O1048&lt;=60,"31-60 hari",IF(O1048&lt;=90,"61-90 hari","90+ hari")))))</f>
        <v>Lunas</v>
      </c>
      <c r="Q1048" s="50"/>
      <c r="R1048" s="39" t="str">
        <f aca="false">IF(M1048&lt;=0,"",IF(O1048&gt;60,"1-Tinggi",IF(O1048&gt;30,"2-Sedang",IF(O1048&gt;0,"3-Rendah","4-Pantau"))))</f>
        <v/>
      </c>
      <c r="S1048" s="39" t="str">
        <f aca="false">IF(AND(M1048&gt;0,O1048&gt;0),O1048+M1048/1000000000000+ROW()/1000000000000000,"")</f>
        <v/>
      </c>
      <c r="T1048" s="39" t="str">
        <f aca="false">IF(J1048="Belum ditukar",ROW(),"")</f>
        <v/>
      </c>
    </row>
    <row r="1049" customFormat="false" ht="15" hidden="false" customHeight="false" outlineLevel="0" collapsed="false">
      <c r="A1049" s="50" t="s">
        <v>1335</v>
      </c>
      <c r="B1049" s="51" t="n">
        <v>45878</v>
      </c>
      <c r="C1049" s="50" t="s">
        <v>168</v>
      </c>
      <c r="D1049" s="39" t="str">
        <f aca="false">INDEX(Master_Customer!$B$2:$B$126,MATCH(C1049,Master_Customer!$A$2:$A$126,0))</f>
        <v>JAYA LUBRICANT</v>
      </c>
      <c r="E1049" s="50" t="s">
        <v>29</v>
      </c>
      <c r="F1049" s="52" t="n">
        <f aca="false">SUMIFS(Data_Penjualan!$G$2:$G$5998,Data_Penjualan!$A$2:$A$5998,A1049)</f>
        <v>18711600</v>
      </c>
      <c r="G1049" s="39" t="n">
        <f aca="false">IF(E1049="KANTOR",0,INDEX(Master_Customer!$C$2:$C$126,MATCH(C1049,Master_Customer!$A$2:$A$126,0)))</f>
        <v>0</v>
      </c>
      <c r="H1049" s="53" t="n">
        <f aca="false">B1049+G1049</f>
        <v>45878</v>
      </c>
      <c r="J1049" s="39" t="str">
        <f aca="false">IF(G1049=0,"Tunai",IF(I1049="","Belum ditukar","Sudah ditukar"))</f>
        <v>Tunai</v>
      </c>
      <c r="K1049" s="54" t="n">
        <v>18711600</v>
      </c>
      <c r="L1049" s="51" t="n">
        <v>45878</v>
      </c>
      <c r="M1049" s="52" t="n">
        <f aca="false">F1049-K1049</f>
        <v>0</v>
      </c>
      <c r="N1049" s="39" t="str">
        <f aca="false">IF(M1049&lt;=0,"Lunas",IF(K1049&gt;0,"Sebagian","Belum Bayar"))</f>
        <v>Lunas</v>
      </c>
      <c r="O1049" s="39" t="n">
        <f aca="false">IF(M1049&gt;0,MAX(0,Catatan!$B$3-H1049),0)</f>
        <v>0</v>
      </c>
      <c r="P1049" s="39" t="str">
        <f aca="false">IF(M1049&lt;=0,"Lunas",IF(Catatan!$B$3&lt;=H1049,"Belum Jatuh Tempo",IF(O1049&lt;=30,"1-30 hari",IF(O1049&lt;=60,"31-60 hari",IF(O1049&lt;=90,"61-90 hari","90+ hari")))))</f>
        <v>Lunas</v>
      </c>
      <c r="Q1049" s="50"/>
      <c r="R1049" s="39" t="str">
        <f aca="false">IF(M1049&lt;=0,"",IF(O1049&gt;60,"1-Tinggi",IF(O1049&gt;30,"2-Sedang",IF(O1049&gt;0,"3-Rendah","4-Pantau"))))</f>
        <v/>
      </c>
      <c r="S1049" s="39" t="str">
        <f aca="false">IF(AND(M1049&gt;0,O1049&gt;0),O1049+M1049/1000000000000+ROW()/1000000000000000,"")</f>
        <v/>
      </c>
      <c r="T1049" s="39" t="str">
        <f aca="false">IF(J1049="Belum ditukar",ROW(),"")</f>
        <v/>
      </c>
    </row>
    <row r="1050" customFormat="false" ht="15" hidden="false" customHeight="false" outlineLevel="0" collapsed="false">
      <c r="A1050" s="50" t="s">
        <v>1336</v>
      </c>
      <c r="B1050" s="51" t="n">
        <v>45880</v>
      </c>
      <c r="C1050" s="50" t="s">
        <v>191</v>
      </c>
      <c r="D1050" s="39" t="str">
        <f aca="false">INDEX(Master_Customer!$B$2:$B$126,MATCH(C1050,Master_Customer!$A$2:$A$126,0))</f>
        <v>SINAR AUTO BERKAH</v>
      </c>
      <c r="E1050" s="50" t="s">
        <v>30</v>
      </c>
      <c r="F1050" s="52" t="n">
        <f aca="false">SUMIFS(Data_Penjualan!$G$2:$G$5998,Data_Penjualan!$A$2:$A$5998,A1050)</f>
        <v>3036800</v>
      </c>
      <c r="G1050" s="39" t="n">
        <f aca="false">IF(E1050="KANTOR",0,INDEX(Master_Customer!$C$2:$C$126,MATCH(C1050,Master_Customer!$A$2:$A$126,0)))</f>
        <v>30</v>
      </c>
      <c r="H1050" s="53" t="n">
        <f aca="false">B1050+G1050</f>
        <v>45910</v>
      </c>
      <c r="I1050" s="51" t="n">
        <v>45881</v>
      </c>
      <c r="J1050" s="39" t="str">
        <f aca="false">IF(G1050=0,"Tunai",IF(I1050="","Belum ditukar","Sudah ditukar"))</f>
        <v>Sudah ditukar</v>
      </c>
      <c r="K1050" s="54" t="n">
        <v>3036800</v>
      </c>
      <c r="L1050" s="51" t="n">
        <v>45880</v>
      </c>
      <c r="M1050" s="52" t="n">
        <f aca="false">F1050-K1050</f>
        <v>0</v>
      </c>
      <c r="N1050" s="39" t="str">
        <f aca="false">IF(M1050&lt;=0,"Lunas",IF(K1050&gt;0,"Sebagian","Belum Bayar"))</f>
        <v>Lunas</v>
      </c>
      <c r="O1050" s="39" t="n">
        <f aca="false">IF(M1050&gt;0,MAX(0,Catatan!$B$3-H1050),0)</f>
        <v>0</v>
      </c>
      <c r="P1050" s="39" t="str">
        <f aca="false">IF(M1050&lt;=0,"Lunas",IF(Catatan!$B$3&lt;=H1050,"Belum Jatuh Tempo",IF(O1050&lt;=30,"1-30 hari",IF(O1050&lt;=60,"31-60 hari",IF(O1050&lt;=90,"61-90 hari","90+ hari")))))</f>
        <v>Lunas</v>
      </c>
      <c r="Q1050" s="50"/>
      <c r="R1050" s="39" t="str">
        <f aca="false">IF(M1050&lt;=0,"",IF(O1050&gt;60,"1-Tinggi",IF(O1050&gt;30,"2-Sedang",IF(O1050&gt;0,"3-Rendah","4-Pantau"))))</f>
        <v/>
      </c>
      <c r="S1050" s="39" t="str">
        <f aca="false">IF(AND(M1050&gt;0,O1050&gt;0),O1050+M1050/1000000000000+ROW()/1000000000000000,"")</f>
        <v/>
      </c>
      <c r="T1050" s="39" t="str">
        <f aca="false">IF(J1050="Belum ditukar",ROW(),"")</f>
        <v/>
      </c>
    </row>
    <row r="1051" customFormat="false" ht="15" hidden="false" customHeight="false" outlineLevel="0" collapsed="false">
      <c r="A1051" s="50" t="s">
        <v>1337</v>
      </c>
      <c r="B1051" s="51" t="n">
        <v>45880</v>
      </c>
      <c r="C1051" s="50" t="s">
        <v>298</v>
      </c>
      <c r="D1051" s="39" t="str">
        <f aca="false">INDEX(Master_Customer!$B$2:$B$126,MATCH(C1051,Master_Customer!$A$2:$A$126,0))</f>
        <v>BERKAH MOBIL MAKMUR</v>
      </c>
      <c r="E1051" s="50" t="s">
        <v>31</v>
      </c>
      <c r="F1051" s="52" t="n">
        <f aca="false">SUMIFS(Data_Penjualan!$G$2:$G$5998,Data_Penjualan!$A$2:$A$5998,A1051)</f>
        <v>10396700</v>
      </c>
      <c r="G1051" s="39" t="n">
        <f aca="false">IF(E1051="KANTOR",0,INDEX(Master_Customer!$C$2:$C$126,MATCH(C1051,Master_Customer!$A$2:$A$126,0)))</f>
        <v>14</v>
      </c>
      <c r="H1051" s="53" t="n">
        <f aca="false">B1051+G1051</f>
        <v>45894</v>
      </c>
      <c r="I1051" s="51" t="n">
        <v>45883</v>
      </c>
      <c r="J1051" s="39" t="str">
        <f aca="false">IF(G1051=0,"Tunai",IF(I1051="","Belum ditukar","Sudah ditukar"))</f>
        <v>Sudah ditukar</v>
      </c>
      <c r="K1051" s="54" t="n">
        <v>10396700</v>
      </c>
      <c r="L1051" s="51" t="n">
        <v>45899</v>
      </c>
      <c r="M1051" s="52" t="n">
        <f aca="false">F1051-K1051</f>
        <v>0</v>
      </c>
      <c r="N1051" s="39" t="str">
        <f aca="false">IF(M1051&lt;=0,"Lunas",IF(K1051&gt;0,"Sebagian","Belum Bayar"))</f>
        <v>Lunas</v>
      </c>
      <c r="O1051" s="39" t="n">
        <f aca="false">IF(M1051&gt;0,MAX(0,Catatan!$B$3-H1051),0)</f>
        <v>0</v>
      </c>
      <c r="P1051" s="39" t="str">
        <f aca="false">IF(M1051&lt;=0,"Lunas",IF(Catatan!$B$3&lt;=H1051,"Belum Jatuh Tempo",IF(O1051&lt;=30,"1-30 hari",IF(O1051&lt;=60,"31-60 hari",IF(O1051&lt;=90,"61-90 hari","90+ hari")))))</f>
        <v>Lunas</v>
      </c>
      <c r="Q1051" s="50"/>
      <c r="R1051" s="39" t="str">
        <f aca="false">IF(M1051&lt;=0,"",IF(O1051&gt;60,"1-Tinggi",IF(O1051&gt;30,"2-Sedang",IF(O1051&gt;0,"3-Rendah","4-Pantau"))))</f>
        <v/>
      </c>
      <c r="S1051" s="39" t="str">
        <f aca="false">IF(AND(M1051&gt;0,O1051&gt;0),O1051+M1051/1000000000000+ROW()/1000000000000000,"")</f>
        <v/>
      </c>
      <c r="T1051" s="39" t="str">
        <f aca="false">IF(J1051="Belum ditukar",ROW(),"")</f>
        <v/>
      </c>
    </row>
    <row r="1052" customFormat="false" ht="15" hidden="false" customHeight="false" outlineLevel="0" collapsed="false">
      <c r="A1052" s="50" t="s">
        <v>1338</v>
      </c>
      <c r="B1052" s="51" t="n">
        <v>45880</v>
      </c>
      <c r="C1052" s="50" t="s">
        <v>179</v>
      </c>
      <c r="D1052" s="39" t="str">
        <f aca="false">INDEX(Master_Customer!$B$2:$B$126,MATCH(C1052,Master_Customer!$A$2:$A$126,0))</f>
        <v>BINTANG TEKNIK SURYA</v>
      </c>
      <c r="E1052" s="50" t="s">
        <v>29</v>
      </c>
      <c r="F1052" s="52" t="n">
        <f aca="false">SUMIFS(Data_Penjualan!$G$2:$G$5998,Data_Penjualan!$A$2:$A$5998,A1052)</f>
        <v>3890800</v>
      </c>
      <c r="G1052" s="39" t="n">
        <f aca="false">IF(E1052="KANTOR",0,INDEX(Master_Customer!$C$2:$C$126,MATCH(C1052,Master_Customer!$A$2:$A$126,0)))</f>
        <v>45</v>
      </c>
      <c r="H1052" s="53" t="n">
        <f aca="false">B1052+G1052</f>
        <v>45925</v>
      </c>
      <c r="I1052" s="51" t="n">
        <v>45883</v>
      </c>
      <c r="J1052" s="39" t="str">
        <f aca="false">IF(G1052=0,"Tunai",IF(I1052="","Belum ditukar","Sudah ditukar"))</f>
        <v>Sudah ditukar</v>
      </c>
      <c r="K1052" s="54" t="n">
        <v>1873700</v>
      </c>
      <c r="L1052" s="51" t="n">
        <v>45930</v>
      </c>
      <c r="M1052" s="52" t="n">
        <f aca="false">F1052-K1052</f>
        <v>2017100</v>
      </c>
      <c r="N1052" s="39" t="str">
        <f aca="false">IF(M1052&lt;=0,"Lunas",IF(K1052&gt;0,"Sebagian","Belum Bayar"))</f>
        <v>Sebagian</v>
      </c>
      <c r="O1052" s="39" t="n">
        <f aca="false">IF(M1052&gt;0,MAX(0,Catatan!$B$3-H1052),0)</f>
        <v>97</v>
      </c>
      <c r="P1052" s="39" t="str">
        <f aca="false">IF(M1052&lt;=0,"Lunas",IF(Catatan!$B$3&lt;=H1052,"Belum Jatuh Tempo",IF(O1052&lt;=30,"1-30 hari",IF(O1052&lt;=60,"31-60 hari",IF(O1052&lt;=90,"61-90 hari","90+ hari")))))</f>
        <v>90+ hari</v>
      </c>
      <c r="Q1052" s="50" t="s">
        <v>334</v>
      </c>
      <c r="R1052" s="39" t="str">
        <f aca="false">IF(M1052&lt;=0,"",IF(O1052&gt;60,"1-Tinggi",IF(O1052&gt;30,"2-Sedang",IF(O1052&gt;0,"3-Rendah","4-Pantau"))))</f>
        <v>1-Tinggi</v>
      </c>
      <c r="S1052" s="39" t="n">
        <f aca="false">IF(AND(M1052&gt;0,O1052&gt;0),O1052+M1052/1000000000000+ROW()/1000000000000000,"")</f>
        <v>97.0000020171011</v>
      </c>
      <c r="T1052" s="39" t="str">
        <f aca="false">IF(J1052="Belum ditukar",ROW(),"")</f>
        <v/>
      </c>
    </row>
    <row r="1053" customFormat="false" ht="15" hidden="false" customHeight="false" outlineLevel="0" collapsed="false">
      <c r="A1053" s="50" t="s">
        <v>1339</v>
      </c>
      <c r="B1053" s="51" t="n">
        <v>45880</v>
      </c>
      <c r="C1053" s="50" t="s">
        <v>188</v>
      </c>
      <c r="D1053" s="39" t="str">
        <f aca="false">INDEX(Master_Customer!$B$2:$B$126,MATCH(C1053,Master_Customer!$A$2:$A$126,0))</f>
        <v>MAJU GARAGE TIRTA</v>
      </c>
      <c r="E1053" s="50" t="s">
        <v>31</v>
      </c>
      <c r="F1053" s="52" t="n">
        <f aca="false">SUMIFS(Data_Penjualan!$G$2:$G$5998,Data_Penjualan!$A$2:$A$5998,A1053)</f>
        <v>10103500</v>
      </c>
      <c r="G1053" s="39" t="n">
        <f aca="false">IF(E1053="KANTOR",0,INDEX(Master_Customer!$C$2:$C$126,MATCH(C1053,Master_Customer!$A$2:$A$126,0)))</f>
        <v>45</v>
      </c>
      <c r="H1053" s="53" t="n">
        <f aca="false">B1053+G1053</f>
        <v>45925</v>
      </c>
      <c r="I1053" s="51" t="n">
        <v>45881</v>
      </c>
      <c r="J1053" s="39" t="str">
        <f aca="false">IF(G1053=0,"Tunai",IF(I1053="","Belum ditukar","Sudah ditukar"))</f>
        <v>Sudah ditukar</v>
      </c>
      <c r="K1053" s="54" t="n">
        <v>10103500</v>
      </c>
      <c r="L1053" s="51" t="n">
        <v>45934</v>
      </c>
      <c r="M1053" s="52" t="n">
        <f aca="false">F1053-K1053</f>
        <v>0</v>
      </c>
      <c r="N1053" s="39" t="str">
        <f aca="false">IF(M1053&lt;=0,"Lunas",IF(K1053&gt;0,"Sebagian","Belum Bayar"))</f>
        <v>Lunas</v>
      </c>
      <c r="O1053" s="39" t="n">
        <f aca="false">IF(M1053&gt;0,MAX(0,Catatan!$B$3-H1053),0)</f>
        <v>0</v>
      </c>
      <c r="P1053" s="39" t="str">
        <f aca="false">IF(M1053&lt;=0,"Lunas",IF(Catatan!$B$3&lt;=H1053,"Belum Jatuh Tempo",IF(O1053&lt;=30,"1-30 hari",IF(O1053&lt;=60,"31-60 hari",IF(O1053&lt;=90,"61-90 hari","90+ hari")))))</f>
        <v>Lunas</v>
      </c>
      <c r="Q1053" s="50"/>
      <c r="R1053" s="39" t="str">
        <f aca="false">IF(M1053&lt;=0,"",IF(O1053&gt;60,"1-Tinggi",IF(O1053&gt;30,"2-Sedang",IF(O1053&gt;0,"3-Rendah","4-Pantau"))))</f>
        <v/>
      </c>
      <c r="S1053" s="39" t="str">
        <f aca="false">IF(AND(M1053&gt;0,O1053&gt;0),O1053+M1053/1000000000000+ROW()/1000000000000000,"")</f>
        <v/>
      </c>
      <c r="T1053" s="39" t="str">
        <f aca="false">IF(J1053="Belum ditukar",ROW(),"")</f>
        <v/>
      </c>
    </row>
    <row r="1054" customFormat="false" ht="15" hidden="false" customHeight="false" outlineLevel="0" collapsed="false">
      <c r="A1054" s="50" t="s">
        <v>1340</v>
      </c>
      <c r="B1054" s="51" t="n">
        <v>45880</v>
      </c>
      <c r="C1054" s="50" t="s">
        <v>186</v>
      </c>
      <c r="D1054" s="39" t="str">
        <f aca="false">INDEX(Master_Customer!$B$2:$B$126,MATCH(C1054,Master_Customer!$A$2:$A$126,0))</f>
        <v>MULIA SPAREPART</v>
      </c>
      <c r="E1054" s="50" t="s">
        <v>31</v>
      </c>
      <c r="F1054" s="52" t="n">
        <f aca="false">SUMIFS(Data_Penjualan!$G$2:$G$5998,Data_Penjualan!$A$2:$A$5998,A1054)</f>
        <v>8260600</v>
      </c>
      <c r="G1054" s="39" t="n">
        <f aca="false">IF(E1054="KANTOR",0,INDEX(Master_Customer!$C$2:$C$126,MATCH(C1054,Master_Customer!$A$2:$A$126,0)))</f>
        <v>30</v>
      </c>
      <c r="H1054" s="53" t="n">
        <f aca="false">B1054+G1054</f>
        <v>45910</v>
      </c>
      <c r="I1054" s="51" t="n">
        <v>45881</v>
      </c>
      <c r="J1054" s="39" t="str">
        <f aca="false">IF(G1054=0,"Tunai",IF(I1054="","Belum ditukar","Sudah ditukar"))</f>
        <v>Sudah ditukar</v>
      </c>
      <c r="K1054" s="54" t="n">
        <v>8260600</v>
      </c>
      <c r="L1054" s="51" t="n">
        <v>45915</v>
      </c>
      <c r="M1054" s="52" t="n">
        <f aca="false">F1054-K1054</f>
        <v>0</v>
      </c>
      <c r="N1054" s="39" t="str">
        <f aca="false">IF(M1054&lt;=0,"Lunas",IF(K1054&gt;0,"Sebagian","Belum Bayar"))</f>
        <v>Lunas</v>
      </c>
      <c r="O1054" s="39" t="n">
        <f aca="false">IF(M1054&gt;0,MAX(0,Catatan!$B$3-H1054),0)</f>
        <v>0</v>
      </c>
      <c r="P1054" s="39" t="str">
        <f aca="false">IF(M1054&lt;=0,"Lunas",IF(Catatan!$B$3&lt;=H1054,"Belum Jatuh Tempo",IF(O1054&lt;=30,"1-30 hari",IF(O1054&lt;=60,"31-60 hari",IF(O1054&lt;=90,"61-90 hari","90+ hari")))))</f>
        <v>Lunas</v>
      </c>
      <c r="Q1054" s="50"/>
      <c r="R1054" s="39" t="str">
        <f aca="false">IF(M1054&lt;=0,"",IF(O1054&gt;60,"1-Tinggi",IF(O1054&gt;30,"2-Sedang",IF(O1054&gt;0,"3-Rendah","4-Pantau"))))</f>
        <v/>
      </c>
      <c r="S1054" s="39" t="str">
        <f aca="false">IF(AND(M1054&gt;0,O1054&gt;0),O1054+M1054/1000000000000+ROW()/1000000000000000,"")</f>
        <v/>
      </c>
      <c r="T1054" s="39" t="str">
        <f aca="false">IF(J1054="Belum ditukar",ROW(),"")</f>
        <v/>
      </c>
    </row>
    <row r="1055" customFormat="false" ht="15" hidden="false" customHeight="false" outlineLevel="0" collapsed="false">
      <c r="A1055" s="50" t="s">
        <v>1341</v>
      </c>
      <c r="B1055" s="51" t="n">
        <v>45880</v>
      </c>
      <c r="C1055" s="50" t="s">
        <v>261</v>
      </c>
      <c r="D1055" s="39" t="str">
        <f aca="false">INDEX(Master_Customer!$B$2:$B$126,MATCH(C1055,Master_Customer!$A$2:$A$126,0))</f>
        <v>SUMBER MOTOR UTAMA</v>
      </c>
      <c r="E1055" s="50" t="s">
        <v>28</v>
      </c>
      <c r="F1055" s="52" t="n">
        <f aca="false">SUMIFS(Data_Penjualan!$G$2:$G$5998,Data_Penjualan!$A$2:$A$5998,A1055)</f>
        <v>11743600</v>
      </c>
      <c r="G1055" s="39" t="n">
        <f aca="false">IF(E1055="KANTOR",0,INDEX(Master_Customer!$C$2:$C$126,MATCH(C1055,Master_Customer!$A$2:$A$126,0)))</f>
        <v>0</v>
      </c>
      <c r="H1055" s="53" t="n">
        <f aca="false">B1055+G1055</f>
        <v>45880</v>
      </c>
      <c r="J1055" s="39" t="str">
        <f aca="false">IF(G1055=0,"Tunai",IF(I1055="","Belum ditukar","Sudah ditukar"))</f>
        <v>Tunai</v>
      </c>
      <c r="K1055" s="54" t="n">
        <v>11743600</v>
      </c>
      <c r="L1055" s="51" t="n">
        <v>45881</v>
      </c>
      <c r="M1055" s="52" t="n">
        <f aca="false">F1055-K1055</f>
        <v>0</v>
      </c>
      <c r="N1055" s="39" t="str">
        <f aca="false">IF(M1055&lt;=0,"Lunas",IF(K1055&gt;0,"Sebagian","Belum Bayar"))</f>
        <v>Lunas</v>
      </c>
      <c r="O1055" s="39" t="n">
        <f aca="false">IF(M1055&gt;0,MAX(0,Catatan!$B$3-H1055),0)</f>
        <v>0</v>
      </c>
      <c r="P1055" s="39" t="str">
        <f aca="false">IF(M1055&lt;=0,"Lunas",IF(Catatan!$B$3&lt;=H1055,"Belum Jatuh Tempo",IF(O1055&lt;=30,"1-30 hari",IF(O1055&lt;=60,"31-60 hari",IF(O1055&lt;=90,"61-90 hari","90+ hari")))))</f>
        <v>Lunas</v>
      </c>
      <c r="Q1055" s="50"/>
      <c r="R1055" s="39" t="str">
        <f aca="false">IF(M1055&lt;=0,"",IF(O1055&gt;60,"1-Tinggi",IF(O1055&gt;30,"2-Sedang",IF(O1055&gt;0,"3-Rendah","4-Pantau"))))</f>
        <v/>
      </c>
      <c r="S1055" s="39" t="str">
        <f aca="false">IF(AND(M1055&gt;0,O1055&gt;0),O1055+M1055/1000000000000+ROW()/1000000000000000,"")</f>
        <v/>
      </c>
      <c r="T1055" s="39" t="str">
        <f aca="false">IF(J1055="Belum ditukar",ROW(),"")</f>
        <v/>
      </c>
    </row>
    <row r="1056" customFormat="false" ht="15" hidden="false" customHeight="false" outlineLevel="0" collapsed="false">
      <c r="A1056" s="50" t="s">
        <v>1342</v>
      </c>
      <c r="B1056" s="51" t="n">
        <v>45880</v>
      </c>
      <c r="C1056" s="50" t="s">
        <v>199</v>
      </c>
      <c r="D1056" s="39" t="str">
        <f aca="false">INDEX(Master_Customer!$B$2:$B$126,MATCH(C1056,Master_Customer!$A$2:$A$126,0))</f>
        <v>KARYA SPAREPART</v>
      </c>
      <c r="E1056" s="50" t="s">
        <v>29</v>
      </c>
      <c r="F1056" s="52" t="n">
        <f aca="false">SUMIFS(Data_Penjualan!$G$2:$G$5998,Data_Penjualan!$A$2:$A$5998,A1056)</f>
        <v>1793800</v>
      </c>
      <c r="G1056" s="39" t="n">
        <f aca="false">IF(E1056="KANTOR",0,INDEX(Master_Customer!$C$2:$C$126,MATCH(C1056,Master_Customer!$A$2:$A$126,0)))</f>
        <v>45</v>
      </c>
      <c r="H1056" s="53" t="n">
        <f aca="false">B1056+G1056</f>
        <v>45925</v>
      </c>
      <c r="I1056" s="51" t="n">
        <v>45884</v>
      </c>
      <c r="J1056" s="39" t="str">
        <f aca="false">IF(G1056=0,"Tunai",IF(I1056="","Belum ditukar","Sudah ditukar"))</f>
        <v>Sudah ditukar</v>
      </c>
      <c r="K1056" s="54" t="n">
        <v>1793800</v>
      </c>
      <c r="L1056" s="51" t="n">
        <v>45928</v>
      </c>
      <c r="M1056" s="52" t="n">
        <f aca="false">F1056-K1056</f>
        <v>0</v>
      </c>
      <c r="N1056" s="39" t="str">
        <f aca="false">IF(M1056&lt;=0,"Lunas",IF(K1056&gt;0,"Sebagian","Belum Bayar"))</f>
        <v>Lunas</v>
      </c>
      <c r="O1056" s="39" t="n">
        <f aca="false">IF(M1056&gt;0,MAX(0,Catatan!$B$3-H1056),0)</f>
        <v>0</v>
      </c>
      <c r="P1056" s="39" t="str">
        <f aca="false">IF(M1056&lt;=0,"Lunas",IF(Catatan!$B$3&lt;=H1056,"Belum Jatuh Tempo",IF(O1056&lt;=30,"1-30 hari",IF(O1056&lt;=60,"31-60 hari",IF(O1056&lt;=90,"61-90 hari","90+ hari")))))</f>
        <v>Lunas</v>
      </c>
      <c r="Q1056" s="50"/>
      <c r="R1056" s="39" t="str">
        <f aca="false">IF(M1056&lt;=0,"",IF(O1056&gt;60,"1-Tinggi",IF(O1056&gt;30,"2-Sedang",IF(O1056&gt;0,"3-Rendah","4-Pantau"))))</f>
        <v/>
      </c>
      <c r="S1056" s="39" t="str">
        <f aca="false">IF(AND(M1056&gt;0,O1056&gt;0),O1056+M1056/1000000000000+ROW()/1000000000000000,"")</f>
        <v/>
      </c>
      <c r="T1056" s="39" t="str">
        <f aca="false">IF(J1056="Belum ditukar",ROW(),"")</f>
        <v/>
      </c>
    </row>
    <row r="1057" customFormat="false" ht="15" hidden="false" customHeight="false" outlineLevel="0" collapsed="false">
      <c r="A1057" s="50" t="s">
        <v>1343</v>
      </c>
      <c r="B1057" s="51" t="n">
        <v>45880</v>
      </c>
      <c r="C1057" s="50" t="s">
        <v>259</v>
      </c>
      <c r="D1057" s="39" t="str">
        <f aca="false">INDEX(Master_Customer!$B$2:$B$126,MATCH(C1057,Master_Customer!$A$2:$A$126,0))</f>
        <v>LANCAR OLI</v>
      </c>
      <c r="E1057" s="50" t="s">
        <v>29</v>
      </c>
      <c r="F1057" s="52" t="n">
        <f aca="false">SUMIFS(Data_Penjualan!$G$2:$G$5998,Data_Penjualan!$A$2:$A$5998,A1057)</f>
        <v>2919800</v>
      </c>
      <c r="G1057" s="39" t="n">
        <f aca="false">IF(E1057="KANTOR",0,INDEX(Master_Customer!$C$2:$C$126,MATCH(C1057,Master_Customer!$A$2:$A$126,0)))</f>
        <v>30</v>
      </c>
      <c r="H1057" s="53" t="n">
        <f aca="false">B1057+G1057</f>
        <v>45910</v>
      </c>
      <c r="I1057" s="51" t="n">
        <v>45885</v>
      </c>
      <c r="J1057" s="39" t="str">
        <f aca="false">IF(G1057=0,"Tunai",IF(I1057="","Belum ditukar","Sudah ditukar"))</f>
        <v>Sudah ditukar</v>
      </c>
      <c r="K1057" s="54" t="n">
        <v>2919800</v>
      </c>
      <c r="L1057" s="51" t="n">
        <v>45929</v>
      </c>
      <c r="M1057" s="52" t="n">
        <f aca="false">F1057-K1057</f>
        <v>0</v>
      </c>
      <c r="N1057" s="39" t="str">
        <f aca="false">IF(M1057&lt;=0,"Lunas",IF(K1057&gt;0,"Sebagian","Belum Bayar"))</f>
        <v>Lunas</v>
      </c>
      <c r="O1057" s="39" t="n">
        <f aca="false">IF(M1057&gt;0,MAX(0,Catatan!$B$3-H1057),0)</f>
        <v>0</v>
      </c>
      <c r="P1057" s="39" t="str">
        <f aca="false">IF(M1057&lt;=0,"Lunas",IF(Catatan!$B$3&lt;=H1057,"Belum Jatuh Tempo",IF(O1057&lt;=30,"1-30 hari",IF(O1057&lt;=60,"31-60 hari",IF(O1057&lt;=90,"61-90 hari","90+ hari")))))</f>
        <v>Lunas</v>
      </c>
      <c r="Q1057" s="50"/>
      <c r="R1057" s="39" t="str">
        <f aca="false">IF(M1057&lt;=0,"",IF(O1057&gt;60,"1-Tinggi",IF(O1057&gt;30,"2-Sedang",IF(O1057&gt;0,"3-Rendah","4-Pantau"))))</f>
        <v/>
      </c>
      <c r="S1057" s="39" t="str">
        <f aca="false">IF(AND(M1057&gt;0,O1057&gt;0),O1057+M1057/1000000000000+ROW()/1000000000000000,"")</f>
        <v/>
      </c>
      <c r="T1057" s="39" t="str">
        <f aca="false">IF(J1057="Belum ditukar",ROW(),"")</f>
        <v/>
      </c>
    </row>
    <row r="1058" customFormat="false" ht="15" hidden="false" customHeight="false" outlineLevel="0" collapsed="false">
      <c r="A1058" s="50" t="s">
        <v>1344</v>
      </c>
      <c r="B1058" s="51" t="n">
        <v>45881</v>
      </c>
      <c r="C1058" s="50" t="s">
        <v>1048</v>
      </c>
      <c r="D1058" s="39" t="str">
        <f aca="false">INDEX(Master_Customer!$B$2:$B$126,MATCH(C1058,Master_Customer!$A$2:$A$126,0))</f>
        <v>ABADI LUBRICANT</v>
      </c>
      <c r="E1058" s="50" t="s">
        <v>28</v>
      </c>
      <c r="F1058" s="52" t="n">
        <f aca="false">SUMIFS(Data_Penjualan!$G$2:$G$5998,Data_Penjualan!$A$2:$A$5998,A1058)</f>
        <v>12335300</v>
      </c>
      <c r="G1058" s="39" t="n">
        <f aca="false">IF(E1058="KANTOR",0,INDEX(Master_Customer!$C$2:$C$126,MATCH(C1058,Master_Customer!$A$2:$A$126,0)))</f>
        <v>30</v>
      </c>
      <c r="H1058" s="53" t="n">
        <f aca="false">B1058+G1058</f>
        <v>45911</v>
      </c>
      <c r="I1058" s="51" t="n">
        <v>45882</v>
      </c>
      <c r="J1058" s="39" t="str">
        <f aca="false">IF(G1058=0,"Tunai",IF(I1058="","Belum ditukar","Sudah ditukar"))</f>
        <v>Sudah ditukar</v>
      </c>
      <c r="K1058" s="54" t="n">
        <v>12335300</v>
      </c>
      <c r="L1058" s="51" t="n">
        <v>45915</v>
      </c>
      <c r="M1058" s="52" t="n">
        <f aca="false">F1058-K1058</f>
        <v>0</v>
      </c>
      <c r="N1058" s="39" t="str">
        <f aca="false">IF(M1058&lt;=0,"Lunas",IF(K1058&gt;0,"Sebagian","Belum Bayar"))</f>
        <v>Lunas</v>
      </c>
      <c r="O1058" s="39" t="n">
        <f aca="false">IF(M1058&gt;0,MAX(0,Catatan!$B$3-H1058),0)</f>
        <v>0</v>
      </c>
      <c r="P1058" s="39" t="str">
        <f aca="false">IF(M1058&lt;=0,"Lunas",IF(Catatan!$B$3&lt;=H1058,"Belum Jatuh Tempo",IF(O1058&lt;=30,"1-30 hari",IF(O1058&lt;=60,"31-60 hari",IF(O1058&lt;=90,"61-90 hari","90+ hari")))))</f>
        <v>Lunas</v>
      </c>
      <c r="Q1058" s="50"/>
      <c r="R1058" s="39" t="str">
        <f aca="false">IF(M1058&lt;=0,"",IF(O1058&gt;60,"1-Tinggi",IF(O1058&gt;30,"2-Sedang",IF(O1058&gt;0,"3-Rendah","4-Pantau"))))</f>
        <v/>
      </c>
      <c r="S1058" s="39" t="str">
        <f aca="false">IF(AND(M1058&gt;0,O1058&gt;0),O1058+M1058/1000000000000+ROW()/1000000000000000,"")</f>
        <v/>
      </c>
      <c r="T1058" s="39" t="str">
        <f aca="false">IF(J1058="Belum ditukar",ROW(),"")</f>
        <v/>
      </c>
    </row>
    <row r="1059" customFormat="false" ht="15" hidden="false" customHeight="false" outlineLevel="0" collapsed="false">
      <c r="A1059" s="50" t="s">
        <v>1345</v>
      </c>
      <c r="B1059" s="51" t="n">
        <v>45881</v>
      </c>
      <c r="C1059" s="50" t="s">
        <v>179</v>
      </c>
      <c r="D1059" s="39" t="str">
        <f aca="false">INDEX(Master_Customer!$B$2:$B$126,MATCH(C1059,Master_Customer!$A$2:$A$126,0))</f>
        <v>BINTANG TEKNIK SURYA</v>
      </c>
      <c r="E1059" s="50" t="s">
        <v>29</v>
      </c>
      <c r="F1059" s="52" t="n">
        <f aca="false">SUMIFS(Data_Penjualan!$G$2:$G$5998,Data_Penjualan!$A$2:$A$5998,A1059)</f>
        <v>1203400</v>
      </c>
      <c r="G1059" s="39" t="n">
        <f aca="false">IF(E1059="KANTOR",0,INDEX(Master_Customer!$C$2:$C$126,MATCH(C1059,Master_Customer!$A$2:$A$126,0)))</f>
        <v>45</v>
      </c>
      <c r="H1059" s="53" t="n">
        <f aca="false">B1059+G1059</f>
        <v>45926</v>
      </c>
      <c r="I1059" s="51" t="n">
        <v>45883</v>
      </c>
      <c r="J1059" s="39" t="str">
        <f aca="false">IF(G1059=0,"Tunai",IF(I1059="","Belum ditukar","Sudah ditukar"))</f>
        <v>Sudah ditukar</v>
      </c>
      <c r="K1059" s="54" t="n">
        <v>1203400</v>
      </c>
      <c r="L1059" s="51" t="n">
        <v>45925</v>
      </c>
      <c r="M1059" s="52" t="n">
        <f aca="false">F1059-K1059</f>
        <v>0</v>
      </c>
      <c r="N1059" s="39" t="str">
        <f aca="false">IF(M1059&lt;=0,"Lunas",IF(K1059&gt;0,"Sebagian","Belum Bayar"))</f>
        <v>Lunas</v>
      </c>
      <c r="O1059" s="39" t="n">
        <f aca="false">IF(M1059&gt;0,MAX(0,Catatan!$B$3-H1059),0)</f>
        <v>0</v>
      </c>
      <c r="P1059" s="39" t="str">
        <f aca="false">IF(M1059&lt;=0,"Lunas",IF(Catatan!$B$3&lt;=H1059,"Belum Jatuh Tempo",IF(O1059&lt;=30,"1-30 hari",IF(O1059&lt;=60,"31-60 hari",IF(O1059&lt;=90,"61-90 hari","90+ hari")))))</f>
        <v>Lunas</v>
      </c>
      <c r="Q1059" s="50"/>
      <c r="R1059" s="39" t="str">
        <f aca="false">IF(M1059&lt;=0,"",IF(O1059&gt;60,"1-Tinggi",IF(O1059&gt;30,"2-Sedang",IF(O1059&gt;0,"3-Rendah","4-Pantau"))))</f>
        <v/>
      </c>
      <c r="S1059" s="39" t="str">
        <f aca="false">IF(AND(M1059&gt;0,O1059&gt;0),O1059+M1059/1000000000000+ROW()/1000000000000000,"")</f>
        <v/>
      </c>
      <c r="T1059" s="39" t="str">
        <f aca="false">IF(J1059="Belum ditukar",ROW(),"")</f>
        <v/>
      </c>
    </row>
    <row r="1060" customFormat="false" ht="15" hidden="false" customHeight="false" outlineLevel="0" collapsed="false">
      <c r="A1060" s="50" t="s">
        <v>1346</v>
      </c>
      <c r="B1060" s="51" t="n">
        <v>45881</v>
      </c>
      <c r="C1060" s="50" t="s">
        <v>205</v>
      </c>
      <c r="D1060" s="39" t="str">
        <f aca="false">INDEX(Master_Customer!$B$2:$B$126,MATCH(C1060,Master_Customer!$A$2:$A$126,0))</f>
        <v>BERKAH OLI</v>
      </c>
      <c r="E1060" s="50" t="s">
        <v>32</v>
      </c>
      <c r="F1060" s="52" t="n">
        <f aca="false">SUMIFS(Data_Penjualan!$G$2:$G$5998,Data_Penjualan!$A$2:$A$5998,A1060)</f>
        <v>13962700</v>
      </c>
      <c r="G1060" s="39" t="n">
        <f aca="false">IF(E1060="KANTOR",0,INDEX(Master_Customer!$C$2:$C$126,MATCH(C1060,Master_Customer!$A$2:$A$126,0)))</f>
        <v>0</v>
      </c>
      <c r="H1060" s="53" t="n">
        <f aca="false">B1060+G1060</f>
        <v>45881</v>
      </c>
      <c r="J1060" s="39" t="str">
        <f aca="false">IF(G1060=0,"Tunai",IF(I1060="","Belum ditukar","Sudah ditukar"))</f>
        <v>Tunai</v>
      </c>
      <c r="K1060" s="54" t="n">
        <v>13962700</v>
      </c>
      <c r="L1060" s="51" t="n">
        <v>45881</v>
      </c>
      <c r="M1060" s="52" t="n">
        <f aca="false">F1060-K1060</f>
        <v>0</v>
      </c>
      <c r="N1060" s="39" t="str">
        <f aca="false">IF(M1060&lt;=0,"Lunas",IF(K1060&gt;0,"Sebagian","Belum Bayar"))</f>
        <v>Lunas</v>
      </c>
      <c r="O1060" s="39" t="n">
        <f aca="false">IF(M1060&gt;0,MAX(0,Catatan!$B$3-H1060),0)</f>
        <v>0</v>
      </c>
      <c r="P1060" s="39" t="str">
        <f aca="false">IF(M1060&lt;=0,"Lunas",IF(Catatan!$B$3&lt;=H1060,"Belum Jatuh Tempo",IF(O1060&lt;=30,"1-30 hari",IF(O1060&lt;=60,"31-60 hari",IF(O1060&lt;=90,"61-90 hari","90+ hari")))))</f>
        <v>Lunas</v>
      </c>
      <c r="Q1060" s="50"/>
      <c r="R1060" s="39" t="str">
        <f aca="false">IF(M1060&lt;=0,"",IF(O1060&gt;60,"1-Tinggi",IF(O1060&gt;30,"2-Sedang",IF(O1060&gt;0,"3-Rendah","4-Pantau"))))</f>
        <v/>
      </c>
      <c r="S1060" s="39" t="str">
        <f aca="false">IF(AND(M1060&gt;0,O1060&gt;0),O1060+M1060/1000000000000+ROW()/1000000000000000,"")</f>
        <v/>
      </c>
      <c r="T1060" s="39" t="str">
        <f aca="false">IF(J1060="Belum ditukar",ROW(),"")</f>
        <v/>
      </c>
    </row>
    <row r="1061" customFormat="false" ht="15" hidden="false" customHeight="false" outlineLevel="0" collapsed="false">
      <c r="A1061" s="50" t="s">
        <v>1347</v>
      </c>
      <c r="B1061" s="51" t="n">
        <v>45881</v>
      </c>
      <c r="C1061" s="50" t="s">
        <v>228</v>
      </c>
      <c r="D1061" s="39" t="str">
        <f aca="false">INDEX(Master_Customer!$B$2:$B$126,MATCH(C1061,Master_Customer!$A$2:$A$126,0))</f>
        <v>MAKMUR SERVICE JAYA</v>
      </c>
      <c r="E1061" s="50" t="s">
        <v>32</v>
      </c>
      <c r="F1061" s="52" t="n">
        <f aca="false">SUMIFS(Data_Penjualan!$G$2:$G$5998,Data_Penjualan!$A$2:$A$5998,A1061)</f>
        <v>7761300</v>
      </c>
      <c r="G1061" s="39" t="n">
        <f aca="false">IF(E1061="KANTOR",0,INDEX(Master_Customer!$C$2:$C$126,MATCH(C1061,Master_Customer!$A$2:$A$126,0)))</f>
        <v>0</v>
      </c>
      <c r="H1061" s="53" t="n">
        <f aca="false">B1061+G1061</f>
        <v>45881</v>
      </c>
      <c r="J1061" s="39" t="str">
        <f aca="false">IF(G1061=0,"Tunai",IF(I1061="","Belum ditukar","Sudah ditukar"))</f>
        <v>Tunai</v>
      </c>
      <c r="K1061" s="54" t="n">
        <v>7761300</v>
      </c>
      <c r="L1061" s="51" t="n">
        <v>45882</v>
      </c>
      <c r="M1061" s="52" t="n">
        <f aca="false">F1061-K1061</f>
        <v>0</v>
      </c>
      <c r="N1061" s="39" t="str">
        <f aca="false">IF(M1061&lt;=0,"Lunas",IF(K1061&gt;0,"Sebagian","Belum Bayar"))</f>
        <v>Lunas</v>
      </c>
      <c r="O1061" s="39" t="n">
        <f aca="false">IF(M1061&gt;0,MAX(0,Catatan!$B$3-H1061),0)</f>
        <v>0</v>
      </c>
      <c r="P1061" s="39" t="str">
        <f aca="false">IF(M1061&lt;=0,"Lunas",IF(Catatan!$B$3&lt;=H1061,"Belum Jatuh Tempo",IF(O1061&lt;=30,"1-30 hari",IF(O1061&lt;=60,"31-60 hari",IF(O1061&lt;=90,"61-90 hari","90+ hari")))))</f>
        <v>Lunas</v>
      </c>
      <c r="Q1061" s="50"/>
      <c r="R1061" s="39" t="str">
        <f aca="false">IF(M1061&lt;=0,"",IF(O1061&gt;60,"1-Tinggi",IF(O1061&gt;30,"2-Sedang",IF(O1061&gt;0,"3-Rendah","4-Pantau"))))</f>
        <v/>
      </c>
      <c r="S1061" s="39" t="str">
        <f aca="false">IF(AND(M1061&gt;0,O1061&gt;0),O1061+M1061/1000000000000+ROW()/1000000000000000,"")</f>
        <v/>
      </c>
      <c r="T1061" s="39" t="str">
        <f aca="false">IF(J1061="Belum ditukar",ROW(),"")</f>
        <v/>
      </c>
    </row>
    <row r="1062" customFormat="false" ht="15" hidden="false" customHeight="false" outlineLevel="0" collapsed="false">
      <c r="A1062" s="50" t="s">
        <v>1348</v>
      </c>
      <c r="B1062" s="51" t="n">
        <v>45881</v>
      </c>
      <c r="C1062" s="50" t="s">
        <v>174</v>
      </c>
      <c r="D1062" s="39" t="str">
        <f aca="false">INDEX(Master_Customer!$B$2:$B$126,MATCH(C1062,Master_Customer!$A$2:$A$126,0))</f>
        <v>SUMBER TEKNIK SURYA</v>
      </c>
      <c r="E1062" s="50" t="s">
        <v>31</v>
      </c>
      <c r="F1062" s="52" t="n">
        <f aca="false">SUMIFS(Data_Penjualan!$G$2:$G$5998,Data_Penjualan!$A$2:$A$5998,A1062)</f>
        <v>9528800</v>
      </c>
      <c r="G1062" s="39" t="n">
        <f aca="false">IF(E1062="KANTOR",0,INDEX(Master_Customer!$C$2:$C$126,MATCH(C1062,Master_Customer!$A$2:$A$126,0)))</f>
        <v>30</v>
      </c>
      <c r="H1062" s="53" t="n">
        <f aca="false">B1062+G1062</f>
        <v>45911</v>
      </c>
      <c r="I1062" s="51" t="n">
        <v>45882</v>
      </c>
      <c r="J1062" s="39" t="str">
        <f aca="false">IF(G1062=0,"Tunai",IF(I1062="","Belum ditukar","Sudah ditukar"))</f>
        <v>Sudah ditukar</v>
      </c>
      <c r="K1062" s="54" t="n">
        <v>9528800</v>
      </c>
      <c r="L1062" s="51" t="n">
        <v>45912</v>
      </c>
      <c r="M1062" s="52" t="n">
        <f aca="false">F1062-K1062</f>
        <v>0</v>
      </c>
      <c r="N1062" s="39" t="str">
        <f aca="false">IF(M1062&lt;=0,"Lunas",IF(K1062&gt;0,"Sebagian","Belum Bayar"))</f>
        <v>Lunas</v>
      </c>
      <c r="O1062" s="39" t="n">
        <f aca="false">IF(M1062&gt;0,MAX(0,Catatan!$B$3-H1062),0)</f>
        <v>0</v>
      </c>
      <c r="P1062" s="39" t="str">
        <f aca="false">IF(M1062&lt;=0,"Lunas",IF(Catatan!$B$3&lt;=H1062,"Belum Jatuh Tempo",IF(O1062&lt;=30,"1-30 hari",IF(O1062&lt;=60,"31-60 hari",IF(O1062&lt;=90,"61-90 hari","90+ hari")))))</f>
        <v>Lunas</v>
      </c>
      <c r="Q1062" s="50"/>
      <c r="R1062" s="39" t="str">
        <f aca="false">IF(M1062&lt;=0,"",IF(O1062&gt;60,"1-Tinggi",IF(O1062&gt;30,"2-Sedang",IF(O1062&gt;0,"3-Rendah","4-Pantau"))))</f>
        <v/>
      </c>
      <c r="S1062" s="39" t="str">
        <f aca="false">IF(AND(M1062&gt;0,O1062&gt;0),O1062+M1062/1000000000000+ROW()/1000000000000000,"")</f>
        <v/>
      </c>
      <c r="T1062" s="39" t="str">
        <f aca="false">IF(J1062="Belum ditukar",ROW(),"")</f>
        <v/>
      </c>
    </row>
    <row r="1063" customFormat="false" ht="15" hidden="false" customHeight="false" outlineLevel="0" collapsed="false">
      <c r="A1063" s="50" t="s">
        <v>1349</v>
      </c>
      <c r="B1063" s="51" t="n">
        <v>45881</v>
      </c>
      <c r="C1063" s="50" t="s">
        <v>174</v>
      </c>
      <c r="D1063" s="39" t="str">
        <f aca="false">INDEX(Master_Customer!$B$2:$B$126,MATCH(C1063,Master_Customer!$A$2:$A$126,0))</f>
        <v>SUMBER TEKNIK SURYA</v>
      </c>
      <c r="E1063" s="50" t="s">
        <v>31</v>
      </c>
      <c r="F1063" s="52" t="n">
        <f aca="false">SUMIFS(Data_Penjualan!$G$2:$G$5998,Data_Penjualan!$A$2:$A$5998,A1063)</f>
        <v>3495800</v>
      </c>
      <c r="G1063" s="39" t="n">
        <f aca="false">IF(E1063="KANTOR",0,INDEX(Master_Customer!$C$2:$C$126,MATCH(C1063,Master_Customer!$A$2:$A$126,0)))</f>
        <v>30</v>
      </c>
      <c r="H1063" s="53" t="n">
        <f aca="false">B1063+G1063</f>
        <v>45911</v>
      </c>
      <c r="I1063" s="51" t="n">
        <v>45885</v>
      </c>
      <c r="J1063" s="39" t="str">
        <f aca="false">IF(G1063=0,"Tunai",IF(I1063="","Belum ditukar","Sudah ditukar"))</f>
        <v>Sudah ditukar</v>
      </c>
      <c r="K1063" s="54" t="n">
        <v>3495800</v>
      </c>
      <c r="L1063" s="51" t="n">
        <v>45908</v>
      </c>
      <c r="M1063" s="52" t="n">
        <f aca="false">F1063-K1063</f>
        <v>0</v>
      </c>
      <c r="N1063" s="39" t="str">
        <f aca="false">IF(M1063&lt;=0,"Lunas",IF(K1063&gt;0,"Sebagian","Belum Bayar"))</f>
        <v>Lunas</v>
      </c>
      <c r="O1063" s="39" t="n">
        <f aca="false">IF(M1063&gt;0,MAX(0,Catatan!$B$3-H1063),0)</f>
        <v>0</v>
      </c>
      <c r="P1063" s="39" t="str">
        <f aca="false">IF(M1063&lt;=0,"Lunas",IF(Catatan!$B$3&lt;=H1063,"Belum Jatuh Tempo",IF(O1063&lt;=30,"1-30 hari",IF(O1063&lt;=60,"31-60 hari",IF(O1063&lt;=90,"61-90 hari","90+ hari")))))</f>
        <v>Lunas</v>
      </c>
      <c r="Q1063" s="50"/>
      <c r="R1063" s="39" t="str">
        <f aca="false">IF(M1063&lt;=0,"",IF(O1063&gt;60,"1-Tinggi",IF(O1063&gt;30,"2-Sedang",IF(O1063&gt;0,"3-Rendah","4-Pantau"))))</f>
        <v/>
      </c>
      <c r="S1063" s="39" t="str">
        <f aca="false">IF(AND(M1063&gt;0,O1063&gt;0),O1063+M1063/1000000000000+ROW()/1000000000000000,"")</f>
        <v/>
      </c>
      <c r="T1063" s="39" t="str">
        <f aca="false">IF(J1063="Belum ditukar",ROW(),"")</f>
        <v/>
      </c>
    </row>
    <row r="1064" customFormat="false" ht="15" hidden="false" customHeight="false" outlineLevel="0" collapsed="false">
      <c r="A1064" s="50" t="s">
        <v>1350</v>
      </c>
      <c r="B1064" s="51" t="n">
        <v>45882</v>
      </c>
      <c r="C1064" s="50" t="s">
        <v>325</v>
      </c>
      <c r="D1064" s="39" t="str">
        <f aca="false">INDEX(Master_Customer!$B$2:$B$126,MATCH(C1064,Master_Customer!$A$2:$A$126,0))</f>
        <v>KARYA TEKNIK TIRTA</v>
      </c>
      <c r="E1064" s="50" t="s">
        <v>31</v>
      </c>
      <c r="F1064" s="52" t="n">
        <f aca="false">SUMIFS(Data_Penjualan!$G$2:$G$5998,Data_Penjualan!$A$2:$A$5998,A1064)</f>
        <v>14915900</v>
      </c>
      <c r="G1064" s="39" t="n">
        <f aca="false">IF(E1064="KANTOR",0,INDEX(Master_Customer!$C$2:$C$126,MATCH(C1064,Master_Customer!$A$2:$A$126,0)))</f>
        <v>14</v>
      </c>
      <c r="H1064" s="53" t="n">
        <f aca="false">B1064+G1064</f>
        <v>45896</v>
      </c>
      <c r="I1064" s="51" t="n">
        <v>45883</v>
      </c>
      <c r="J1064" s="39" t="str">
        <f aca="false">IF(G1064=0,"Tunai",IF(I1064="","Belum ditukar","Sudah ditukar"))</f>
        <v>Sudah ditukar</v>
      </c>
      <c r="K1064" s="54" t="n">
        <v>14915900</v>
      </c>
      <c r="L1064" s="51" t="n">
        <v>45915</v>
      </c>
      <c r="M1064" s="52" t="n">
        <f aca="false">F1064-K1064</f>
        <v>0</v>
      </c>
      <c r="N1064" s="39" t="str">
        <f aca="false">IF(M1064&lt;=0,"Lunas",IF(K1064&gt;0,"Sebagian","Belum Bayar"))</f>
        <v>Lunas</v>
      </c>
      <c r="O1064" s="39" t="n">
        <f aca="false">IF(M1064&gt;0,MAX(0,Catatan!$B$3-H1064),0)</f>
        <v>0</v>
      </c>
      <c r="P1064" s="39" t="str">
        <f aca="false">IF(M1064&lt;=0,"Lunas",IF(Catatan!$B$3&lt;=H1064,"Belum Jatuh Tempo",IF(O1064&lt;=30,"1-30 hari",IF(O1064&lt;=60,"31-60 hari",IF(O1064&lt;=90,"61-90 hari","90+ hari")))))</f>
        <v>Lunas</v>
      </c>
      <c r="Q1064" s="50"/>
      <c r="R1064" s="39" t="str">
        <f aca="false">IF(M1064&lt;=0,"",IF(O1064&gt;60,"1-Tinggi",IF(O1064&gt;30,"2-Sedang",IF(O1064&gt;0,"3-Rendah","4-Pantau"))))</f>
        <v/>
      </c>
      <c r="S1064" s="39" t="str">
        <f aca="false">IF(AND(M1064&gt;0,O1064&gt;0),O1064+M1064/1000000000000+ROW()/1000000000000000,"")</f>
        <v/>
      </c>
      <c r="T1064" s="39" t="str">
        <f aca="false">IF(J1064="Belum ditukar",ROW(),"")</f>
        <v/>
      </c>
    </row>
    <row r="1065" customFormat="false" ht="15" hidden="false" customHeight="false" outlineLevel="0" collapsed="false">
      <c r="A1065" s="50" t="s">
        <v>1351</v>
      </c>
      <c r="B1065" s="51" t="n">
        <v>45882</v>
      </c>
      <c r="C1065" s="50" t="s">
        <v>166</v>
      </c>
      <c r="D1065" s="39" t="str">
        <f aca="false">INDEX(Master_Customer!$B$2:$B$126,MATCH(C1065,Master_Customer!$A$2:$A$126,0))</f>
        <v>SENTOSA SERVICE</v>
      </c>
      <c r="E1065" s="50" t="s">
        <v>30</v>
      </c>
      <c r="F1065" s="52" t="n">
        <f aca="false">SUMIFS(Data_Penjualan!$G$2:$G$5998,Data_Penjualan!$A$2:$A$5998,A1065)</f>
        <v>8721500</v>
      </c>
      <c r="G1065" s="39" t="n">
        <f aca="false">IF(E1065="KANTOR",0,INDEX(Master_Customer!$C$2:$C$126,MATCH(C1065,Master_Customer!$A$2:$A$126,0)))</f>
        <v>0</v>
      </c>
      <c r="H1065" s="53" t="n">
        <f aca="false">B1065+G1065</f>
        <v>45882</v>
      </c>
      <c r="J1065" s="39" t="str">
        <f aca="false">IF(G1065=0,"Tunai",IF(I1065="","Belum ditukar","Sudah ditukar"))</f>
        <v>Tunai</v>
      </c>
      <c r="K1065" s="54" t="n">
        <v>8721500</v>
      </c>
      <c r="L1065" s="51" t="n">
        <v>45882</v>
      </c>
      <c r="M1065" s="52" t="n">
        <f aca="false">F1065-K1065</f>
        <v>0</v>
      </c>
      <c r="N1065" s="39" t="str">
        <f aca="false">IF(M1065&lt;=0,"Lunas",IF(K1065&gt;0,"Sebagian","Belum Bayar"))</f>
        <v>Lunas</v>
      </c>
      <c r="O1065" s="39" t="n">
        <f aca="false">IF(M1065&gt;0,MAX(0,Catatan!$B$3-H1065),0)</f>
        <v>0</v>
      </c>
      <c r="P1065" s="39" t="str">
        <f aca="false">IF(M1065&lt;=0,"Lunas",IF(Catatan!$B$3&lt;=H1065,"Belum Jatuh Tempo",IF(O1065&lt;=30,"1-30 hari",IF(O1065&lt;=60,"31-60 hari",IF(O1065&lt;=90,"61-90 hari","90+ hari")))))</f>
        <v>Lunas</v>
      </c>
      <c r="Q1065" s="50"/>
      <c r="R1065" s="39" t="str">
        <f aca="false">IF(M1065&lt;=0,"",IF(O1065&gt;60,"1-Tinggi",IF(O1065&gt;30,"2-Sedang",IF(O1065&gt;0,"3-Rendah","4-Pantau"))))</f>
        <v/>
      </c>
      <c r="S1065" s="39" t="str">
        <f aca="false">IF(AND(M1065&gt;0,O1065&gt;0),O1065+M1065/1000000000000+ROW()/1000000000000000,"")</f>
        <v/>
      </c>
      <c r="T1065" s="39" t="str">
        <f aca="false">IF(J1065="Belum ditukar",ROW(),"")</f>
        <v/>
      </c>
    </row>
    <row r="1066" customFormat="false" ht="15" hidden="false" customHeight="false" outlineLevel="0" collapsed="false">
      <c r="A1066" s="50" t="s">
        <v>1352</v>
      </c>
      <c r="B1066" s="51" t="n">
        <v>45882</v>
      </c>
      <c r="C1066" s="50" t="s">
        <v>211</v>
      </c>
      <c r="D1066" s="39" t="str">
        <f aca="false">INDEX(Master_Customer!$B$2:$B$126,MATCH(C1066,Master_Customer!$A$2:$A$126,0))</f>
        <v>PRIMA MOBIL</v>
      </c>
      <c r="E1066" s="50" t="s">
        <v>30</v>
      </c>
      <c r="F1066" s="52" t="n">
        <f aca="false">SUMIFS(Data_Penjualan!$G$2:$G$5998,Data_Penjualan!$A$2:$A$5998,A1066)</f>
        <v>13938700</v>
      </c>
      <c r="G1066" s="39" t="n">
        <f aca="false">IF(E1066="KANTOR",0,INDEX(Master_Customer!$C$2:$C$126,MATCH(C1066,Master_Customer!$A$2:$A$126,0)))</f>
        <v>0</v>
      </c>
      <c r="H1066" s="53" t="n">
        <f aca="false">B1066+G1066</f>
        <v>45882</v>
      </c>
      <c r="J1066" s="39" t="str">
        <f aca="false">IF(G1066=0,"Tunai",IF(I1066="","Belum ditukar","Sudah ditukar"))</f>
        <v>Tunai</v>
      </c>
      <c r="K1066" s="54" t="n">
        <v>13938700</v>
      </c>
      <c r="L1066" s="51" t="n">
        <v>45882</v>
      </c>
      <c r="M1066" s="52" t="n">
        <f aca="false">F1066-K1066</f>
        <v>0</v>
      </c>
      <c r="N1066" s="39" t="str">
        <f aca="false">IF(M1066&lt;=0,"Lunas",IF(K1066&gt;0,"Sebagian","Belum Bayar"))</f>
        <v>Lunas</v>
      </c>
      <c r="O1066" s="39" t="n">
        <f aca="false">IF(M1066&gt;0,MAX(0,Catatan!$B$3-H1066),0)</f>
        <v>0</v>
      </c>
      <c r="P1066" s="39" t="str">
        <f aca="false">IF(M1066&lt;=0,"Lunas",IF(Catatan!$B$3&lt;=H1066,"Belum Jatuh Tempo",IF(O1066&lt;=30,"1-30 hari",IF(O1066&lt;=60,"31-60 hari",IF(O1066&lt;=90,"61-90 hari","90+ hari")))))</f>
        <v>Lunas</v>
      </c>
      <c r="Q1066" s="50"/>
      <c r="R1066" s="39" t="str">
        <f aca="false">IF(M1066&lt;=0,"",IF(O1066&gt;60,"1-Tinggi",IF(O1066&gt;30,"2-Sedang",IF(O1066&gt;0,"3-Rendah","4-Pantau"))))</f>
        <v/>
      </c>
      <c r="S1066" s="39" t="str">
        <f aca="false">IF(AND(M1066&gt;0,O1066&gt;0),O1066+M1066/1000000000000+ROW()/1000000000000000,"")</f>
        <v/>
      </c>
      <c r="T1066" s="39" t="str">
        <f aca="false">IF(J1066="Belum ditukar",ROW(),"")</f>
        <v/>
      </c>
    </row>
    <row r="1067" customFormat="false" ht="15" hidden="false" customHeight="false" outlineLevel="0" collapsed="false">
      <c r="A1067" s="50" t="s">
        <v>1353</v>
      </c>
      <c r="B1067" s="51" t="n">
        <v>45883</v>
      </c>
      <c r="C1067" s="50" t="s">
        <v>174</v>
      </c>
      <c r="D1067" s="39" t="str">
        <f aca="false">INDEX(Master_Customer!$B$2:$B$126,MATCH(C1067,Master_Customer!$A$2:$A$126,0))</f>
        <v>SUMBER TEKNIK SURYA</v>
      </c>
      <c r="E1067" s="50" t="s">
        <v>31</v>
      </c>
      <c r="F1067" s="52" t="n">
        <f aca="false">SUMIFS(Data_Penjualan!$G$2:$G$5998,Data_Penjualan!$A$2:$A$5998,A1067)</f>
        <v>6936000</v>
      </c>
      <c r="G1067" s="39" t="n">
        <f aca="false">IF(E1067="KANTOR",0,INDEX(Master_Customer!$C$2:$C$126,MATCH(C1067,Master_Customer!$A$2:$A$126,0)))</f>
        <v>30</v>
      </c>
      <c r="H1067" s="53" t="n">
        <f aca="false">B1067+G1067</f>
        <v>45913</v>
      </c>
      <c r="I1067" s="51" t="n">
        <v>45885</v>
      </c>
      <c r="J1067" s="39" t="str">
        <f aca="false">IF(G1067=0,"Tunai",IF(I1067="","Belum ditukar","Sudah ditukar"))</f>
        <v>Sudah ditukar</v>
      </c>
      <c r="K1067" s="54" t="n">
        <v>6936000</v>
      </c>
      <c r="L1067" s="51" t="n">
        <v>45907</v>
      </c>
      <c r="M1067" s="52" t="n">
        <f aca="false">F1067-K1067</f>
        <v>0</v>
      </c>
      <c r="N1067" s="39" t="str">
        <f aca="false">IF(M1067&lt;=0,"Lunas",IF(K1067&gt;0,"Sebagian","Belum Bayar"))</f>
        <v>Lunas</v>
      </c>
      <c r="O1067" s="39" t="n">
        <f aca="false">IF(M1067&gt;0,MAX(0,Catatan!$B$3-H1067),0)</f>
        <v>0</v>
      </c>
      <c r="P1067" s="39" t="str">
        <f aca="false">IF(M1067&lt;=0,"Lunas",IF(Catatan!$B$3&lt;=H1067,"Belum Jatuh Tempo",IF(O1067&lt;=30,"1-30 hari",IF(O1067&lt;=60,"31-60 hari",IF(O1067&lt;=90,"61-90 hari","90+ hari")))))</f>
        <v>Lunas</v>
      </c>
      <c r="Q1067" s="50"/>
      <c r="R1067" s="39" t="str">
        <f aca="false">IF(M1067&lt;=0,"",IF(O1067&gt;60,"1-Tinggi",IF(O1067&gt;30,"2-Sedang",IF(O1067&gt;0,"3-Rendah","4-Pantau"))))</f>
        <v/>
      </c>
      <c r="S1067" s="39" t="str">
        <f aca="false">IF(AND(M1067&gt;0,O1067&gt;0),O1067+M1067/1000000000000+ROW()/1000000000000000,"")</f>
        <v/>
      </c>
      <c r="T1067" s="39" t="str">
        <f aca="false">IF(J1067="Belum ditukar",ROW(),"")</f>
        <v/>
      </c>
    </row>
    <row r="1068" customFormat="false" ht="15" hidden="false" customHeight="false" outlineLevel="0" collapsed="false">
      <c r="A1068" s="50" t="s">
        <v>1354</v>
      </c>
      <c r="B1068" s="51" t="n">
        <v>45883</v>
      </c>
      <c r="C1068" s="50" t="s">
        <v>527</v>
      </c>
      <c r="D1068" s="39" t="str">
        <f aca="false">INDEX(Master_Customer!$B$2:$B$126,MATCH(C1068,Master_Customer!$A$2:$A$126,0))</f>
        <v>BINTANG SPAREPART PRIMA</v>
      </c>
      <c r="E1068" s="50" t="s">
        <v>30</v>
      </c>
      <c r="F1068" s="52" t="n">
        <f aca="false">SUMIFS(Data_Penjualan!$G$2:$G$5998,Data_Penjualan!$A$2:$A$5998,A1068)</f>
        <v>10194500</v>
      </c>
      <c r="G1068" s="39" t="n">
        <f aca="false">IF(E1068="KANTOR",0,INDEX(Master_Customer!$C$2:$C$126,MATCH(C1068,Master_Customer!$A$2:$A$126,0)))</f>
        <v>14</v>
      </c>
      <c r="H1068" s="53" t="n">
        <f aca="false">B1068+G1068</f>
        <v>45897</v>
      </c>
      <c r="I1068" s="51" t="n">
        <v>45887</v>
      </c>
      <c r="J1068" s="39" t="str">
        <f aca="false">IF(G1068=0,"Tunai",IF(I1068="","Belum ditukar","Sudah ditukar"))</f>
        <v>Sudah ditukar</v>
      </c>
      <c r="K1068" s="54" t="n">
        <v>10194500</v>
      </c>
      <c r="L1068" s="51" t="n">
        <v>45904</v>
      </c>
      <c r="M1068" s="52" t="n">
        <f aca="false">F1068-K1068</f>
        <v>0</v>
      </c>
      <c r="N1068" s="39" t="str">
        <f aca="false">IF(M1068&lt;=0,"Lunas",IF(K1068&gt;0,"Sebagian","Belum Bayar"))</f>
        <v>Lunas</v>
      </c>
      <c r="O1068" s="39" t="n">
        <f aca="false">IF(M1068&gt;0,MAX(0,Catatan!$B$3-H1068),0)</f>
        <v>0</v>
      </c>
      <c r="P1068" s="39" t="str">
        <f aca="false">IF(M1068&lt;=0,"Lunas",IF(Catatan!$B$3&lt;=H1068,"Belum Jatuh Tempo",IF(O1068&lt;=30,"1-30 hari",IF(O1068&lt;=60,"31-60 hari",IF(O1068&lt;=90,"61-90 hari","90+ hari")))))</f>
        <v>Lunas</v>
      </c>
      <c r="Q1068" s="50"/>
      <c r="R1068" s="39" t="str">
        <f aca="false">IF(M1068&lt;=0,"",IF(O1068&gt;60,"1-Tinggi",IF(O1068&gt;30,"2-Sedang",IF(O1068&gt;0,"3-Rendah","4-Pantau"))))</f>
        <v/>
      </c>
      <c r="S1068" s="39" t="str">
        <f aca="false">IF(AND(M1068&gt;0,O1068&gt;0),O1068+M1068/1000000000000+ROW()/1000000000000000,"")</f>
        <v/>
      </c>
      <c r="T1068" s="39" t="str">
        <f aca="false">IF(J1068="Belum ditukar",ROW(),"")</f>
        <v/>
      </c>
    </row>
    <row r="1069" customFormat="false" ht="15" hidden="false" customHeight="false" outlineLevel="0" collapsed="false">
      <c r="A1069" s="50" t="s">
        <v>1355</v>
      </c>
      <c r="B1069" s="51" t="n">
        <v>45883</v>
      </c>
      <c r="C1069" s="50" t="s">
        <v>421</v>
      </c>
      <c r="D1069" s="39" t="str">
        <f aca="false">INDEX(Master_Customer!$B$2:$B$126,MATCH(C1069,Master_Customer!$A$2:$A$126,0))</f>
        <v>MITRA BENGKEL</v>
      </c>
      <c r="E1069" s="50" t="s">
        <v>28</v>
      </c>
      <c r="F1069" s="52" t="n">
        <f aca="false">SUMIFS(Data_Penjualan!$G$2:$G$5998,Data_Penjualan!$A$2:$A$5998,A1069)</f>
        <v>19486100</v>
      </c>
      <c r="G1069" s="39" t="n">
        <f aca="false">IF(E1069="KANTOR",0,INDEX(Master_Customer!$C$2:$C$126,MATCH(C1069,Master_Customer!$A$2:$A$126,0)))</f>
        <v>30</v>
      </c>
      <c r="H1069" s="53" t="n">
        <f aca="false">B1069+G1069</f>
        <v>45913</v>
      </c>
      <c r="I1069" s="51" t="n">
        <v>45886</v>
      </c>
      <c r="J1069" s="39" t="str">
        <f aca="false">IF(G1069=0,"Tunai",IF(I1069="","Belum ditukar","Sudah ditukar"))</f>
        <v>Sudah ditukar</v>
      </c>
      <c r="K1069" s="54" t="n">
        <v>19486100</v>
      </c>
      <c r="L1069" s="51" t="n">
        <v>45973</v>
      </c>
      <c r="M1069" s="52" t="n">
        <f aca="false">F1069-K1069</f>
        <v>0</v>
      </c>
      <c r="N1069" s="39" t="str">
        <f aca="false">IF(M1069&lt;=0,"Lunas",IF(K1069&gt;0,"Sebagian","Belum Bayar"))</f>
        <v>Lunas</v>
      </c>
      <c r="O1069" s="39" t="n">
        <f aca="false">IF(M1069&gt;0,MAX(0,Catatan!$B$3-H1069),0)</f>
        <v>0</v>
      </c>
      <c r="P1069" s="39" t="str">
        <f aca="false">IF(M1069&lt;=0,"Lunas",IF(Catatan!$B$3&lt;=H1069,"Belum Jatuh Tempo",IF(O1069&lt;=30,"1-30 hari",IF(O1069&lt;=60,"31-60 hari",IF(O1069&lt;=90,"61-90 hari","90+ hari")))))</f>
        <v>Lunas</v>
      </c>
      <c r="Q1069" s="50"/>
      <c r="R1069" s="39" t="str">
        <f aca="false">IF(M1069&lt;=0,"",IF(O1069&gt;60,"1-Tinggi",IF(O1069&gt;30,"2-Sedang",IF(O1069&gt;0,"3-Rendah","4-Pantau"))))</f>
        <v/>
      </c>
      <c r="S1069" s="39" t="str">
        <f aca="false">IF(AND(M1069&gt;0,O1069&gt;0),O1069+M1069/1000000000000+ROW()/1000000000000000,"")</f>
        <v/>
      </c>
      <c r="T1069" s="39" t="str">
        <f aca="false">IF(J1069="Belum ditukar",ROW(),"")</f>
        <v/>
      </c>
    </row>
    <row r="1070" customFormat="false" ht="15" hidden="false" customHeight="false" outlineLevel="0" collapsed="false">
      <c r="A1070" s="50" t="s">
        <v>1356</v>
      </c>
      <c r="B1070" s="51" t="n">
        <v>45883</v>
      </c>
      <c r="C1070" s="50" t="s">
        <v>223</v>
      </c>
      <c r="D1070" s="39" t="str">
        <f aca="false">INDEX(Master_Customer!$B$2:$B$126,MATCH(C1070,Master_Customer!$A$2:$A$126,0))</f>
        <v>ABADI AUTO UTAMA</v>
      </c>
      <c r="E1070" s="50" t="s">
        <v>31</v>
      </c>
      <c r="F1070" s="52" t="n">
        <f aca="false">SUMIFS(Data_Penjualan!$G$2:$G$5998,Data_Penjualan!$A$2:$A$5998,A1070)</f>
        <v>15771500</v>
      </c>
      <c r="G1070" s="39" t="n">
        <f aca="false">IF(E1070="KANTOR",0,INDEX(Master_Customer!$C$2:$C$126,MATCH(C1070,Master_Customer!$A$2:$A$126,0)))</f>
        <v>14</v>
      </c>
      <c r="H1070" s="53" t="n">
        <f aca="false">B1070+G1070</f>
        <v>45897</v>
      </c>
      <c r="I1070" s="51" t="n">
        <v>45884</v>
      </c>
      <c r="J1070" s="39" t="str">
        <f aca="false">IF(G1070=0,"Tunai",IF(I1070="","Belum ditukar","Sudah ditukar"))</f>
        <v>Sudah ditukar</v>
      </c>
      <c r="K1070" s="54" t="n">
        <v>15771500</v>
      </c>
      <c r="L1070" s="51" t="n">
        <v>45943</v>
      </c>
      <c r="M1070" s="52" t="n">
        <f aca="false">F1070-K1070</f>
        <v>0</v>
      </c>
      <c r="N1070" s="39" t="str">
        <f aca="false">IF(M1070&lt;=0,"Lunas",IF(K1070&gt;0,"Sebagian","Belum Bayar"))</f>
        <v>Lunas</v>
      </c>
      <c r="O1070" s="39" t="n">
        <f aca="false">IF(M1070&gt;0,MAX(0,Catatan!$B$3-H1070),0)</f>
        <v>0</v>
      </c>
      <c r="P1070" s="39" t="str">
        <f aca="false">IF(M1070&lt;=0,"Lunas",IF(Catatan!$B$3&lt;=H1070,"Belum Jatuh Tempo",IF(O1070&lt;=30,"1-30 hari",IF(O1070&lt;=60,"31-60 hari",IF(O1070&lt;=90,"61-90 hari","90+ hari")))))</f>
        <v>Lunas</v>
      </c>
      <c r="Q1070" s="50"/>
      <c r="R1070" s="39" t="str">
        <f aca="false">IF(M1070&lt;=0,"",IF(O1070&gt;60,"1-Tinggi",IF(O1070&gt;30,"2-Sedang",IF(O1070&gt;0,"3-Rendah","4-Pantau"))))</f>
        <v/>
      </c>
      <c r="S1070" s="39" t="str">
        <f aca="false">IF(AND(M1070&gt;0,O1070&gt;0),O1070+M1070/1000000000000+ROW()/1000000000000000,"")</f>
        <v/>
      </c>
      <c r="T1070" s="39" t="str">
        <f aca="false">IF(J1070="Belum ditukar",ROW(),"")</f>
        <v/>
      </c>
    </row>
    <row r="1071" customFormat="false" ht="15" hidden="false" customHeight="false" outlineLevel="0" collapsed="false">
      <c r="A1071" s="50" t="s">
        <v>1357</v>
      </c>
      <c r="B1071" s="51" t="n">
        <v>45883</v>
      </c>
      <c r="C1071" s="50" t="s">
        <v>1099</v>
      </c>
      <c r="D1071" s="39" t="str">
        <f aca="false">INDEX(Master_Customer!$B$2:$B$126,MATCH(C1071,Master_Customer!$A$2:$A$126,0))</f>
        <v>SENTOSA SPAREPART</v>
      </c>
      <c r="E1071" s="50" t="s">
        <v>32</v>
      </c>
      <c r="F1071" s="52" t="n">
        <f aca="false">SUMIFS(Data_Penjualan!$G$2:$G$5998,Data_Penjualan!$A$2:$A$5998,A1071)</f>
        <v>12014300</v>
      </c>
      <c r="G1071" s="39" t="n">
        <f aca="false">IF(E1071="KANTOR",0,INDEX(Master_Customer!$C$2:$C$126,MATCH(C1071,Master_Customer!$A$2:$A$126,0)))</f>
        <v>0</v>
      </c>
      <c r="H1071" s="53" t="n">
        <f aca="false">B1071+G1071</f>
        <v>45883</v>
      </c>
      <c r="J1071" s="39" t="str">
        <f aca="false">IF(G1071=0,"Tunai",IF(I1071="","Belum ditukar","Sudah ditukar"))</f>
        <v>Tunai</v>
      </c>
      <c r="K1071" s="54" t="n">
        <v>12014300</v>
      </c>
      <c r="L1071" s="51" t="n">
        <v>45883</v>
      </c>
      <c r="M1071" s="52" t="n">
        <f aca="false">F1071-K1071</f>
        <v>0</v>
      </c>
      <c r="N1071" s="39" t="str">
        <f aca="false">IF(M1071&lt;=0,"Lunas",IF(K1071&gt;0,"Sebagian","Belum Bayar"))</f>
        <v>Lunas</v>
      </c>
      <c r="O1071" s="39" t="n">
        <f aca="false">IF(M1071&gt;0,MAX(0,Catatan!$B$3-H1071),0)</f>
        <v>0</v>
      </c>
      <c r="P1071" s="39" t="str">
        <f aca="false">IF(M1071&lt;=0,"Lunas",IF(Catatan!$B$3&lt;=H1071,"Belum Jatuh Tempo",IF(O1071&lt;=30,"1-30 hari",IF(O1071&lt;=60,"31-60 hari",IF(O1071&lt;=90,"61-90 hari","90+ hari")))))</f>
        <v>Lunas</v>
      </c>
      <c r="Q1071" s="50"/>
      <c r="R1071" s="39" t="str">
        <f aca="false">IF(M1071&lt;=0,"",IF(O1071&gt;60,"1-Tinggi",IF(O1071&gt;30,"2-Sedang",IF(O1071&gt;0,"3-Rendah","4-Pantau"))))</f>
        <v/>
      </c>
      <c r="S1071" s="39" t="str">
        <f aca="false">IF(AND(M1071&gt;0,O1071&gt;0),O1071+M1071/1000000000000+ROW()/1000000000000000,"")</f>
        <v/>
      </c>
      <c r="T1071" s="39" t="str">
        <f aca="false">IF(J1071="Belum ditukar",ROW(),"")</f>
        <v/>
      </c>
    </row>
    <row r="1072" customFormat="false" ht="15" hidden="false" customHeight="false" outlineLevel="0" collapsed="false">
      <c r="A1072" s="50" t="s">
        <v>1358</v>
      </c>
      <c r="B1072" s="51" t="n">
        <v>45883</v>
      </c>
      <c r="C1072" s="50" t="s">
        <v>174</v>
      </c>
      <c r="D1072" s="39" t="str">
        <f aca="false">INDEX(Master_Customer!$B$2:$B$126,MATCH(C1072,Master_Customer!$A$2:$A$126,0))</f>
        <v>SUMBER TEKNIK SURYA</v>
      </c>
      <c r="E1072" s="50" t="s">
        <v>31</v>
      </c>
      <c r="F1072" s="52" t="n">
        <f aca="false">SUMIFS(Data_Penjualan!$G$2:$G$5998,Data_Penjualan!$A$2:$A$5998,A1072)</f>
        <v>9853000</v>
      </c>
      <c r="G1072" s="39" t="n">
        <f aca="false">IF(E1072="KANTOR",0,INDEX(Master_Customer!$C$2:$C$126,MATCH(C1072,Master_Customer!$A$2:$A$126,0)))</f>
        <v>30</v>
      </c>
      <c r="H1072" s="53" t="n">
        <f aca="false">B1072+G1072</f>
        <v>45913</v>
      </c>
      <c r="I1072" s="51" t="n">
        <v>45887</v>
      </c>
      <c r="J1072" s="39" t="str">
        <f aca="false">IF(G1072=0,"Tunai",IF(I1072="","Belum ditukar","Sudah ditukar"))</f>
        <v>Sudah ditukar</v>
      </c>
      <c r="K1072" s="54" t="n">
        <v>9853000</v>
      </c>
      <c r="L1072" s="51" t="n">
        <v>45913</v>
      </c>
      <c r="M1072" s="52" t="n">
        <f aca="false">F1072-K1072</f>
        <v>0</v>
      </c>
      <c r="N1072" s="39" t="str">
        <f aca="false">IF(M1072&lt;=0,"Lunas",IF(K1072&gt;0,"Sebagian","Belum Bayar"))</f>
        <v>Lunas</v>
      </c>
      <c r="O1072" s="39" t="n">
        <f aca="false">IF(M1072&gt;0,MAX(0,Catatan!$B$3-H1072),0)</f>
        <v>0</v>
      </c>
      <c r="P1072" s="39" t="str">
        <f aca="false">IF(M1072&lt;=0,"Lunas",IF(Catatan!$B$3&lt;=H1072,"Belum Jatuh Tempo",IF(O1072&lt;=30,"1-30 hari",IF(O1072&lt;=60,"31-60 hari",IF(O1072&lt;=90,"61-90 hari","90+ hari")))))</f>
        <v>Lunas</v>
      </c>
      <c r="Q1072" s="50"/>
      <c r="R1072" s="39" t="str">
        <f aca="false">IF(M1072&lt;=0,"",IF(O1072&gt;60,"1-Tinggi",IF(O1072&gt;30,"2-Sedang",IF(O1072&gt;0,"3-Rendah","4-Pantau"))))</f>
        <v/>
      </c>
      <c r="S1072" s="39" t="str">
        <f aca="false">IF(AND(M1072&gt;0,O1072&gt;0),O1072+M1072/1000000000000+ROW()/1000000000000000,"")</f>
        <v/>
      </c>
      <c r="T1072" s="39" t="str">
        <f aca="false">IF(J1072="Belum ditukar",ROW(),"")</f>
        <v/>
      </c>
    </row>
    <row r="1073" customFormat="false" ht="15" hidden="false" customHeight="false" outlineLevel="0" collapsed="false">
      <c r="A1073" s="50" t="s">
        <v>1359</v>
      </c>
      <c r="B1073" s="51" t="n">
        <v>45884</v>
      </c>
      <c r="C1073" s="50" t="s">
        <v>419</v>
      </c>
      <c r="D1073" s="39" t="str">
        <f aca="false">INDEX(Master_Customer!$B$2:$B$126,MATCH(C1073,Master_Customer!$A$2:$A$126,0))</f>
        <v>UTAMA MOTOR</v>
      </c>
      <c r="E1073" s="50" t="s">
        <v>32</v>
      </c>
      <c r="F1073" s="52" t="n">
        <f aca="false">SUMIFS(Data_Penjualan!$G$2:$G$5998,Data_Penjualan!$A$2:$A$5998,A1073)</f>
        <v>11334500</v>
      </c>
      <c r="G1073" s="39" t="n">
        <f aca="false">IF(E1073="KANTOR",0,INDEX(Master_Customer!$C$2:$C$126,MATCH(C1073,Master_Customer!$A$2:$A$126,0)))</f>
        <v>0</v>
      </c>
      <c r="H1073" s="53" t="n">
        <f aca="false">B1073+G1073</f>
        <v>45884</v>
      </c>
      <c r="J1073" s="39" t="str">
        <f aca="false">IF(G1073=0,"Tunai",IF(I1073="","Belum ditukar","Sudah ditukar"))</f>
        <v>Tunai</v>
      </c>
      <c r="K1073" s="54" t="n">
        <v>11334500</v>
      </c>
      <c r="L1073" s="51" t="n">
        <v>45885</v>
      </c>
      <c r="M1073" s="52" t="n">
        <f aca="false">F1073-K1073</f>
        <v>0</v>
      </c>
      <c r="N1073" s="39" t="str">
        <f aca="false">IF(M1073&lt;=0,"Lunas",IF(K1073&gt;0,"Sebagian","Belum Bayar"))</f>
        <v>Lunas</v>
      </c>
      <c r="O1073" s="39" t="n">
        <f aca="false">IF(M1073&gt;0,MAX(0,Catatan!$B$3-H1073),0)</f>
        <v>0</v>
      </c>
      <c r="P1073" s="39" t="str">
        <f aca="false">IF(M1073&lt;=0,"Lunas",IF(Catatan!$B$3&lt;=H1073,"Belum Jatuh Tempo",IF(O1073&lt;=30,"1-30 hari",IF(O1073&lt;=60,"31-60 hari",IF(O1073&lt;=90,"61-90 hari","90+ hari")))))</f>
        <v>Lunas</v>
      </c>
      <c r="Q1073" s="50"/>
      <c r="R1073" s="39" t="str">
        <f aca="false">IF(M1073&lt;=0,"",IF(O1073&gt;60,"1-Tinggi",IF(O1073&gt;30,"2-Sedang",IF(O1073&gt;0,"3-Rendah","4-Pantau"))))</f>
        <v/>
      </c>
      <c r="S1073" s="39" t="str">
        <f aca="false">IF(AND(M1073&gt;0,O1073&gt;0),O1073+M1073/1000000000000+ROW()/1000000000000000,"")</f>
        <v/>
      </c>
      <c r="T1073" s="39" t="str">
        <f aca="false">IF(J1073="Belum ditukar",ROW(),"")</f>
        <v/>
      </c>
    </row>
    <row r="1074" customFormat="false" ht="15" hidden="false" customHeight="false" outlineLevel="0" collapsed="false">
      <c r="A1074" s="50" t="s">
        <v>1360</v>
      </c>
      <c r="B1074" s="51" t="n">
        <v>45884</v>
      </c>
      <c r="C1074" s="50" t="s">
        <v>243</v>
      </c>
      <c r="D1074" s="39" t="str">
        <f aca="false">INDEX(Master_Customer!$B$2:$B$126,MATCH(C1074,Master_Customer!$A$2:$A$126,0))</f>
        <v>SENTOSA LUBRICANT MULIA</v>
      </c>
      <c r="E1074" s="50" t="s">
        <v>32</v>
      </c>
      <c r="F1074" s="52" t="n">
        <f aca="false">SUMIFS(Data_Penjualan!$G$2:$G$5998,Data_Penjualan!$A$2:$A$5998,A1074)</f>
        <v>3394300</v>
      </c>
      <c r="G1074" s="39" t="n">
        <f aca="false">IF(E1074="KANTOR",0,INDEX(Master_Customer!$C$2:$C$126,MATCH(C1074,Master_Customer!$A$2:$A$126,0)))</f>
        <v>0</v>
      </c>
      <c r="H1074" s="53" t="n">
        <f aca="false">B1074+G1074</f>
        <v>45884</v>
      </c>
      <c r="J1074" s="39" t="str">
        <f aca="false">IF(G1074=0,"Tunai",IF(I1074="","Belum ditukar","Sudah ditukar"))</f>
        <v>Tunai</v>
      </c>
      <c r="K1074" s="54" t="n">
        <v>3394300</v>
      </c>
      <c r="L1074" s="51" t="n">
        <v>45885</v>
      </c>
      <c r="M1074" s="52" t="n">
        <f aca="false">F1074-K1074</f>
        <v>0</v>
      </c>
      <c r="N1074" s="39" t="str">
        <f aca="false">IF(M1074&lt;=0,"Lunas",IF(K1074&gt;0,"Sebagian","Belum Bayar"))</f>
        <v>Lunas</v>
      </c>
      <c r="O1074" s="39" t="n">
        <f aca="false">IF(M1074&gt;0,MAX(0,Catatan!$B$3-H1074),0)</f>
        <v>0</v>
      </c>
      <c r="P1074" s="39" t="str">
        <f aca="false">IF(M1074&lt;=0,"Lunas",IF(Catatan!$B$3&lt;=H1074,"Belum Jatuh Tempo",IF(O1074&lt;=30,"1-30 hari",IF(O1074&lt;=60,"31-60 hari",IF(O1074&lt;=90,"61-90 hari","90+ hari")))))</f>
        <v>Lunas</v>
      </c>
      <c r="Q1074" s="50"/>
      <c r="R1074" s="39" t="str">
        <f aca="false">IF(M1074&lt;=0,"",IF(O1074&gt;60,"1-Tinggi",IF(O1074&gt;30,"2-Sedang",IF(O1074&gt;0,"3-Rendah","4-Pantau"))))</f>
        <v/>
      </c>
      <c r="S1074" s="39" t="str">
        <f aca="false">IF(AND(M1074&gt;0,O1074&gt;0),O1074+M1074/1000000000000+ROW()/1000000000000000,"")</f>
        <v/>
      </c>
      <c r="T1074" s="39" t="str">
        <f aca="false">IF(J1074="Belum ditukar",ROW(),"")</f>
        <v/>
      </c>
    </row>
    <row r="1075" customFormat="false" ht="15" hidden="false" customHeight="false" outlineLevel="0" collapsed="false">
      <c r="A1075" s="50" t="s">
        <v>1361</v>
      </c>
      <c r="B1075" s="51" t="n">
        <v>45884</v>
      </c>
      <c r="C1075" s="50" t="s">
        <v>825</v>
      </c>
      <c r="D1075" s="39" t="str">
        <f aca="false">INDEX(Master_Customer!$B$2:$B$126,MATCH(C1075,Master_Customer!$A$2:$A$126,0))</f>
        <v>MULIA BENGKEL UTAMA</v>
      </c>
      <c r="E1075" s="50" t="s">
        <v>29</v>
      </c>
      <c r="F1075" s="52" t="n">
        <f aca="false">SUMIFS(Data_Penjualan!$G$2:$G$5998,Data_Penjualan!$A$2:$A$5998,A1075)</f>
        <v>11241600</v>
      </c>
      <c r="G1075" s="39" t="n">
        <f aca="false">IF(E1075="KANTOR",0,INDEX(Master_Customer!$C$2:$C$126,MATCH(C1075,Master_Customer!$A$2:$A$126,0)))</f>
        <v>14</v>
      </c>
      <c r="H1075" s="53" t="n">
        <f aca="false">B1075+G1075</f>
        <v>45898</v>
      </c>
      <c r="I1075" s="51" t="n">
        <v>45887</v>
      </c>
      <c r="J1075" s="39" t="str">
        <f aca="false">IF(G1075=0,"Tunai",IF(I1075="","Belum ditukar","Sudah ditukar"))</f>
        <v>Sudah ditukar</v>
      </c>
      <c r="K1075" s="54" t="n">
        <v>11241600</v>
      </c>
      <c r="L1075" s="51" t="n">
        <v>45916</v>
      </c>
      <c r="M1075" s="52" t="n">
        <f aca="false">F1075-K1075</f>
        <v>0</v>
      </c>
      <c r="N1075" s="39" t="str">
        <f aca="false">IF(M1075&lt;=0,"Lunas",IF(K1075&gt;0,"Sebagian","Belum Bayar"))</f>
        <v>Lunas</v>
      </c>
      <c r="O1075" s="39" t="n">
        <f aca="false">IF(M1075&gt;0,MAX(0,Catatan!$B$3-H1075),0)</f>
        <v>0</v>
      </c>
      <c r="P1075" s="39" t="str">
        <f aca="false">IF(M1075&lt;=0,"Lunas",IF(Catatan!$B$3&lt;=H1075,"Belum Jatuh Tempo",IF(O1075&lt;=30,"1-30 hari",IF(O1075&lt;=60,"31-60 hari",IF(O1075&lt;=90,"61-90 hari","90+ hari")))))</f>
        <v>Lunas</v>
      </c>
      <c r="Q1075" s="50"/>
      <c r="R1075" s="39" t="str">
        <f aca="false">IF(M1075&lt;=0,"",IF(O1075&gt;60,"1-Tinggi",IF(O1075&gt;30,"2-Sedang",IF(O1075&gt;0,"3-Rendah","4-Pantau"))))</f>
        <v/>
      </c>
      <c r="S1075" s="39" t="str">
        <f aca="false">IF(AND(M1075&gt;0,O1075&gt;0),O1075+M1075/1000000000000+ROW()/1000000000000000,"")</f>
        <v/>
      </c>
      <c r="T1075" s="39" t="str">
        <f aca="false">IF(J1075="Belum ditukar",ROW(),"")</f>
        <v/>
      </c>
    </row>
    <row r="1076" customFormat="false" ht="15" hidden="false" customHeight="false" outlineLevel="0" collapsed="false">
      <c r="A1076" s="50" t="s">
        <v>1362</v>
      </c>
      <c r="B1076" s="51" t="n">
        <v>45884</v>
      </c>
      <c r="C1076" s="50" t="s">
        <v>1307</v>
      </c>
      <c r="D1076" s="39" t="str">
        <f aca="false">INDEX(Master_Customer!$B$2:$B$126,MATCH(C1076,Master_Customer!$A$2:$A$126,0))</f>
        <v>HARAPAN TEKNIK HARAPAN</v>
      </c>
      <c r="E1076" s="50" t="s">
        <v>28</v>
      </c>
      <c r="F1076" s="52" t="n">
        <f aca="false">SUMIFS(Data_Penjualan!$G$2:$G$5998,Data_Penjualan!$A$2:$A$5998,A1076)</f>
        <v>16387200</v>
      </c>
      <c r="G1076" s="39" t="n">
        <f aca="false">IF(E1076="KANTOR",0,INDEX(Master_Customer!$C$2:$C$126,MATCH(C1076,Master_Customer!$A$2:$A$126,0)))</f>
        <v>0</v>
      </c>
      <c r="H1076" s="53" t="n">
        <f aca="false">B1076+G1076</f>
        <v>45884</v>
      </c>
      <c r="J1076" s="39" t="str">
        <f aca="false">IF(G1076=0,"Tunai",IF(I1076="","Belum ditukar","Sudah ditukar"))</f>
        <v>Tunai</v>
      </c>
      <c r="K1076" s="54" t="n">
        <v>16387200</v>
      </c>
      <c r="L1076" s="51" t="n">
        <v>45884</v>
      </c>
      <c r="M1076" s="52" t="n">
        <f aca="false">F1076-K1076</f>
        <v>0</v>
      </c>
      <c r="N1076" s="39" t="str">
        <f aca="false">IF(M1076&lt;=0,"Lunas",IF(K1076&gt;0,"Sebagian","Belum Bayar"))</f>
        <v>Lunas</v>
      </c>
      <c r="O1076" s="39" t="n">
        <f aca="false">IF(M1076&gt;0,MAX(0,Catatan!$B$3-H1076),0)</f>
        <v>0</v>
      </c>
      <c r="P1076" s="39" t="str">
        <f aca="false">IF(M1076&lt;=0,"Lunas",IF(Catatan!$B$3&lt;=H1076,"Belum Jatuh Tempo",IF(O1076&lt;=30,"1-30 hari",IF(O1076&lt;=60,"31-60 hari",IF(O1076&lt;=90,"61-90 hari","90+ hari")))))</f>
        <v>Lunas</v>
      </c>
      <c r="Q1076" s="50"/>
      <c r="R1076" s="39" t="str">
        <f aca="false">IF(M1076&lt;=0,"",IF(O1076&gt;60,"1-Tinggi",IF(O1076&gt;30,"2-Sedang",IF(O1076&gt;0,"3-Rendah","4-Pantau"))))</f>
        <v/>
      </c>
      <c r="S1076" s="39" t="str">
        <f aca="false">IF(AND(M1076&gt;0,O1076&gt;0),O1076+M1076/1000000000000+ROW()/1000000000000000,"")</f>
        <v/>
      </c>
      <c r="T1076" s="39" t="str">
        <f aca="false">IF(J1076="Belum ditukar",ROW(),"")</f>
        <v/>
      </c>
    </row>
    <row r="1077" customFormat="false" ht="15" hidden="false" customHeight="false" outlineLevel="0" collapsed="false">
      <c r="A1077" s="50" t="s">
        <v>1363</v>
      </c>
      <c r="B1077" s="51" t="n">
        <v>45885</v>
      </c>
      <c r="C1077" s="50" t="s">
        <v>177</v>
      </c>
      <c r="D1077" s="39" t="str">
        <f aca="false">INDEX(Master_Customer!$B$2:$B$126,MATCH(C1077,Master_Customer!$A$2:$A$126,0))</f>
        <v>PRIMA MOTOR LANCAR</v>
      </c>
      <c r="E1077" s="50" t="s">
        <v>29</v>
      </c>
      <c r="F1077" s="52" t="n">
        <f aca="false">SUMIFS(Data_Penjualan!$G$2:$G$5998,Data_Penjualan!$A$2:$A$5998,A1077)</f>
        <v>9006000</v>
      </c>
      <c r="G1077" s="39" t="n">
        <f aca="false">IF(E1077="KANTOR",0,INDEX(Master_Customer!$C$2:$C$126,MATCH(C1077,Master_Customer!$A$2:$A$126,0)))</f>
        <v>14</v>
      </c>
      <c r="H1077" s="53" t="n">
        <f aca="false">B1077+G1077</f>
        <v>45899</v>
      </c>
      <c r="I1077" s="51" t="n">
        <v>45889</v>
      </c>
      <c r="J1077" s="39" t="str">
        <f aca="false">IF(G1077=0,"Tunai",IF(I1077="","Belum ditukar","Sudah ditukar"))</f>
        <v>Sudah ditukar</v>
      </c>
      <c r="K1077" s="54" t="n">
        <v>9006000</v>
      </c>
      <c r="L1077" s="51" t="n">
        <v>45894</v>
      </c>
      <c r="M1077" s="52" t="n">
        <f aca="false">F1077-K1077</f>
        <v>0</v>
      </c>
      <c r="N1077" s="39" t="str">
        <f aca="false">IF(M1077&lt;=0,"Lunas",IF(K1077&gt;0,"Sebagian","Belum Bayar"))</f>
        <v>Lunas</v>
      </c>
      <c r="O1077" s="39" t="n">
        <f aca="false">IF(M1077&gt;0,MAX(0,Catatan!$B$3-H1077),0)</f>
        <v>0</v>
      </c>
      <c r="P1077" s="39" t="str">
        <f aca="false">IF(M1077&lt;=0,"Lunas",IF(Catatan!$B$3&lt;=H1077,"Belum Jatuh Tempo",IF(O1077&lt;=30,"1-30 hari",IF(O1077&lt;=60,"31-60 hari",IF(O1077&lt;=90,"61-90 hari","90+ hari")))))</f>
        <v>Lunas</v>
      </c>
      <c r="Q1077" s="50"/>
      <c r="R1077" s="39" t="str">
        <f aca="false">IF(M1077&lt;=0,"",IF(O1077&gt;60,"1-Tinggi",IF(O1077&gt;30,"2-Sedang",IF(O1077&gt;0,"3-Rendah","4-Pantau"))))</f>
        <v/>
      </c>
      <c r="S1077" s="39" t="str">
        <f aca="false">IF(AND(M1077&gt;0,O1077&gt;0),O1077+M1077/1000000000000+ROW()/1000000000000000,"")</f>
        <v/>
      </c>
      <c r="T1077" s="39" t="str">
        <f aca="false">IF(J1077="Belum ditukar",ROW(),"")</f>
        <v/>
      </c>
    </row>
    <row r="1078" customFormat="false" ht="15" hidden="false" customHeight="false" outlineLevel="0" collapsed="false">
      <c r="A1078" s="50" t="s">
        <v>1364</v>
      </c>
      <c r="B1078" s="51" t="n">
        <v>45885</v>
      </c>
      <c r="C1078" s="50" t="s">
        <v>562</v>
      </c>
      <c r="D1078" s="39" t="str">
        <f aca="false">INDEX(Master_Customer!$B$2:$B$126,MATCH(C1078,Master_Customer!$A$2:$A$126,0))</f>
        <v>BERKAH SERVICE SENTOSA</v>
      </c>
      <c r="E1078" s="50" t="s">
        <v>28</v>
      </c>
      <c r="F1078" s="52" t="n">
        <f aca="false">SUMIFS(Data_Penjualan!$G$2:$G$5998,Data_Penjualan!$A$2:$A$5998,A1078)</f>
        <v>5094400</v>
      </c>
      <c r="G1078" s="39" t="n">
        <f aca="false">IF(E1078="KANTOR",0,INDEX(Master_Customer!$C$2:$C$126,MATCH(C1078,Master_Customer!$A$2:$A$126,0)))</f>
        <v>14</v>
      </c>
      <c r="H1078" s="53" t="n">
        <f aca="false">B1078+G1078</f>
        <v>45899</v>
      </c>
      <c r="I1078" s="51" t="n">
        <v>45888</v>
      </c>
      <c r="J1078" s="39" t="str">
        <f aca="false">IF(G1078=0,"Tunai",IF(I1078="","Belum ditukar","Sudah ditukar"))</f>
        <v>Sudah ditukar</v>
      </c>
      <c r="K1078" s="54" t="n">
        <v>5094400</v>
      </c>
      <c r="L1078" s="51" t="n">
        <v>45911</v>
      </c>
      <c r="M1078" s="52" t="n">
        <f aca="false">F1078-K1078</f>
        <v>0</v>
      </c>
      <c r="N1078" s="39" t="str">
        <f aca="false">IF(M1078&lt;=0,"Lunas",IF(K1078&gt;0,"Sebagian","Belum Bayar"))</f>
        <v>Lunas</v>
      </c>
      <c r="O1078" s="39" t="n">
        <f aca="false">IF(M1078&gt;0,MAX(0,Catatan!$B$3-H1078),0)</f>
        <v>0</v>
      </c>
      <c r="P1078" s="39" t="str">
        <f aca="false">IF(M1078&lt;=0,"Lunas",IF(Catatan!$B$3&lt;=H1078,"Belum Jatuh Tempo",IF(O1078&lt;=30,"1-30 hari",IF(O1078&lt;=60,"31-60 hari",IF(O1078&lt;=90,"61-90 hari","90+ hari")))))</f>
        <v>Lunas</v>
      </c>
      <c r="Q1078" s="50"/>
      <c r="R1078" s="39" t="str">
        <f aca="false">IF(M1078&lt;=0,"",IF(O1078&gt;60,"1-Tinggi",IF(O1078&gt;30,"2-Sedang",IF(O1078&gt;0,"3-Rendah","4-Pantau"))))</f>
        <v/>
      </c>
      <c r="S1078" s="39" t="str">
        <f aca="false">IF(AND(M1078&gt;0,O1078&gt;0),O1078+M1078/1000000000000+ROW()/1000000000000000,"")</f>
        <v/>
      </c>
      <c r="T1078" s="39" t="str">
        <f aca="false">IF(J1078="Belum ditukar",ROW(),"")</f>
        <v/>
      </c>
    </row>
    <row r="1079" customFormat="false" ht="15" hidden="false" customHeight="false" outlineLevel="0" collapsed="false">
      <c r="A1079" s="50" t="s">
        <v>1365</v>
      </c>
      <c r="B1079" s="51" t="n">
        <v>45885</v>
      </c>
      <c r="C1079" s="50" t="s">
        <v>251</v>
      </c>
      <c r="D1079" s="39" t="str">
        <f aca="false">INDEX(Master_Customer!$B$2:$B$126,MATCH(C1079,Master_Customer!$A$2:$A$126,0))</f>
        <v>MAJU SPAREPART</v>
      </c>
      <c r="E1079" s="50" t="s">
        <v>29</v>
      </c>
      <c r="F1079" s="52" t="n">
        <f aca="false">SUMIFS(Data_Penjualan!$G$2:$G$5998,Data_Penjualan!$A$2:$A$5998,A1079)</f>
        <v>15611200</v>
      </c>
      <c r="G1079" s="39" t="n">
        <f aca="false">IF(E1079="KANTOR",0,INDEX(Master_Customer!$C$2:$C$126,MATCH(C1079,Master_Customer!$A$2:$A$126,0)))</f>
        <v>45</v>
      </c>
      <c r="H1079" s="53" t="n">
        <f aca="false">B1079+G1079</f>
        <v>45930</v>
      </c>
      <c r="I1079" s="51" t="n">
        <v>45890</v>
      </c>
      <c r="J1079" s="39" t="str">
        <f aca="false">IF(G1079=0,"Tunai",IF(I1079="","Belum ditukar","Sudah ditukar"))</f>
        <v>Sudah ditukar</v>
      </c>
      <c r="K1079" s="54" t="n">
        <v>15611200</v>
      </c>
      <c r="L1079" s="51" t="n">
        <v>45924</v>
      </c>
      <c r="M1079" s="52" t="n">
        <f aca="false">F1079-K1079</f>
        <v>0</v>
      </c>
      <c r="N1079" s="39" t="str">
        <f aca="false">IF(M1079&lt;=0,"Lunas",IF(K1079&gt;0,"Sebagian","Belum Bayar"))</f>
        <v>Lunas</v>
      </c>
      <c r="O1079" s="39" t="n">
        <f aca="false">IF(M1079&gt;0,MAX(0,Catatan!$B$3-H1079),0)</f>
        <v>0</v>
      </c>
      <c r="P1079" s="39" t="str">
        <f aca="false">IF(M1079&lt;=0,"Lunas",IF(Catatan!$B$3&lt;=H1079,"Belum Jatuh Tempo",IF(O1079&lt;=30,"1-30 hari",IF(O1079&lt;=60,"31-60 hari",IF(O1079&lt;=90,"61-90 hari","90+ hari")))))</f>
        <v>Lunas</v>
      </c>
      <c r="Q1079" s="50"/>
      <c r="R1079" s="39" t="str">
        <f aca="false">IF(M1079&lt;=0,"",IF(O1079&gt;60,"1-Tinggi",IF(O1079&gt;30,"2-Sedang",IF(O1079&gt;0,"3-Rendah","4-Pantau"))))</f>
        <v/>
      </c>
      <c r="S1079" s="39" t="str">
        <f aca="false">IF(AND(M1079&gt;0,O1079&gt;0),O1079+M1079/1000000000000+ROW()/1000000000000000,"")</f>
        <v/>
      </c>
      <c r="T1079" s="39" t="str">
        <f aca="false">IF(J1079="Belum ditukar",ROW(),"")</f>
        <v/>
      </c>
    </row>
    <row r="1080" customFormat="false" ht="15" hidden="false" customHeight="false" outlineLevel="0" collapsed="false">
      <c r="A1080" s="50" t="s">
        <v>1366</v>
      </c>
      <c r="B1080" s="51" t="n">
        <v>45885</v>
      </c>
      <c r="C1080" s="50" t="s">
        <v>177</v>
      </c>
      <c r="D1080" s="39" t="str">
        <f aca="false">INDEX(Master_Customer!$B$2:$B$126,MATCH(C1080,Master_Customer!$A$2:$A$126,0))</f>
        <v>PRIMA MOTOR LANCAR</v>
      </c>
      <c r="E1080" s="50" t="s">
        <v>32</v>
      </c>
      <c r="F1080" s="52" t="n">
        <f aca="false">SUMIFS(Data_Penjualan!$G$2:$G$5998,Data_Penjualan!$A$2:$A$5998,A1080)</f>
        <v>12952200</v>
      </c>
      <c r="G1080" s="39" t="n">
        <f aca="false">IF(E1080="KANTOR",0,INDEX(Master_Customer!$C$2:$C$126,MATCH(C1080,Master_Customer!$A$2:$A$126,0)))</f>
        <v>0</v>
      </c>
      <c r="H1080" s="53" t="n">
        <f aca="false">B1080+G1080</f>
        <v>45885</v>
      </c>
      <c r="J1080" s="39" t="str">
        <f aca="false">IF(G1080=0,"Tunai",IF(I1080="","Belum ditukar","Sudah ditukar"))</f>
        <v>Tunai</v>
      </c>
      <c r="K1080" s="54" t="n">
        <v>12952200</v>
      </c>
      <c r="L1080" s="51" t="n">
        <v>45885</v>
      </c>
      <c r="M1080" s="52" t="n">
        <f aca="false">F1080-K1080</f>
        <v>0</v>
      </c>
      <c r="N1080" s="39" t="str">
        <f aca="false">IF(M1080&lt;=0,"Lunas",IF(K1080&gt;0,"Sebagian","Belum Bayar"))</f>
        <v>Lunas</v>
      </c>
      <c r="O1080" s="39" t="n">
        <f aca="false">IF(M1080&gt;0,MAX(0,Catatan!$B$3-H1080),0)</f>
        <v>0</v>
      </c>
      <c r="P1080" s="39" t="str">
        <f aca="false">IF(M1080&lt;=0,"Lunas",IF(Catatan!$B$3&lt;=H1080,"Belum Jatuh Tempo",IF(O1080&lt;=30,"1-30 hari",IF(O1080&lt;=60,"31-60 hari",IF(O1080&lt;=90,"61-90 hari","90+ hari")))))</f>
        <v>Lunas</v>
      </c>
      <c r="Q1080" s="50"/>
      <c r="R1080" s="39" t="str">
        <f aca="false">IF(M1080&lt;=0,"",IF(O1080&gt;60,"1-Tinggi",IF(O1080&gt;30,"2-Sedang",IF(O1080&gt;0,"3-Rendah","4-Pantau"))))</f>
        <v/>
      </c>
      <c r="S1080" s="39" t="str">
        <f aca="false">IF(AND(M1080&gt;0,O1080&gt;0),O1080+M1080/1000000000000+ROW()/1000000000000000,"")</f>
        <v/>
      </c>
      <c r="T1080" s="39" t="str">
        <f aca="false">IF(J1080="Belum ditukar",ROW(),"")</f>
        <v/>
      </c>
    </row>
    <row r="1081" customFormat="false" ht="15" hidden="false" customHeight="false" outlineLevel="0" collapsed="false">
      <c r="A1081" s="50" t="s">
        <v>1367</v>
      </c>
      <c r="B1081" s="51" t="n">
        <v>45885</v>
      </c>
      <c r="C1081" s="50" t="s">
        <v>611</v>
      </c>
      <c r="D1081" s="39" t="str">
        <f aca="false">INDEX(Master_Customer!$B$2:$B$126,MATCH(C1081,Master_Customer!$A$2:$A$126,0))</f>
        <v>MULIA MOBIL MITRA</v>
      </c>
      <c r="E1081" s="50" t="s">
        <v>32</v>
      </c>
      <c r="F1081" s="52" t="n">
        <f aca="false">SUMIFS(Data_Penjualan!$G$2:$G$5998,Data_Penjualan!$A$2:$A$5998,A1081)</f>
        <v>422000</v>
      </c>
      <c r="G1081" s="39" t="n">
        <f aca="false">IF(E1081="KANTOR",0,INDEX(Master_Customer!$C$2:$C$126,MATCH(C1081,Master_Customer!$A$2:$A$126,0)))</f>
        <v>0</v>
      </c>
      <c r="H1081" s="53" t="n">
        <f aca="false">B1081+G1081</f>
        <v>45885</v>
      </c>
      <c r="J1081" s="39" t="str">
        <f aca="false">IF(G1081=0,"Tunai",IF(I1081="","Belum ditukar","Sudah ditukar"))</f>
        <v>Tunai</v>
      </c>
      <c r="K1081" s="54" t="n">
        <v>422000</v>
      </c>
      <c r="L1081" s="51" t="n">
        <v>45886</v>
      </c>
      <c r="M1081" s="52" t="n">
        <f aca="false">F1081-K1081</f>
        <v>0</v>
      </c>
      <c r="N1081" s="39" t="str">
        <f aca="false">IF(M1081&lt;=0,"Lunas",IF(K1081&gt;0,"Sebagian","Belum Bayar"))</f>
        <v>Lunas</v>
      </c>
      <c r="O1081" s="39" t="n">
        <f aca="false">IF(M1081&gt;0,MAX(0,Catatan!$B$3-H1081),0)</f>
        <v>0</v>
      </c>
      <c r="P1081" s="39" t="str">
        <f aca="false">IF(M1081&lt;=0,"Lunas",IF(Catatan!$B$3&lt;=H1081,"Belum Jatuh Tempo",IF(O1081&lt;=30,"1-30 hari",IF(O1081&lt;=60,"31-60 hari",IF(O1081&lt;=90,"61-90 hari","90+ hari")))))</f>
        <v>Lunas</v>
      </c>
      <c r="Q1081" s="50"/>
      <c r="R1081" s="39" t="str">
        <f aca="false">IF(M1081&lt;=0,"",IF(O1081&gt;60,"1-Tinggi",IF(O1081&gt;30,"2-Sedang",IF(O1081&gt;0,"3-Rendah","4-Pantau"))))</f>
        <v/>
      </c>
      <c r="S1081" s="39" t="str">
        <f aca="false">IF(AND(M1081&gt;0,O1081&gt;0),O1081+M1081/1000000000000+ROW()/1000000000000000,"")</f>
        <v/>
      </c>
      <c r="T1081" s="39" t="str">
        <f aca="false">IF(J1081="Belum ditukar",ROW(),"")</f>
        <v/>
      </c>
    </row>
    <row r="1082" customFormat="false" ht="15" hidden="false" customHeight="false" outlineLevel="0" collapsed="false">
      <c r="A1082" s="50" t="s">
        <v>1368</v>
      </c>
      <c r="B1082" s="51" t="n">
        <v>45887</v>
      </c>
      <c r="C1082" s="50" t="s">
        <v>197</v>
      </c>
      <c r="D1082" s="39" t="str">
        <f aca="false">INDEX(Master_Customer!$B$2:$B$126,MATCH(C1082,Master_Customer!$A$2:$A$126,0))</f>
        <v>UTAMA LUBRICANT HARAPAN</v>
      </c>
      <c r="E1082" s="50" t="s">
        <v>30</v>
      </c>
      <c r="F1082" s="52" t="n">
        <f aca="false">SUMIFS(Data_Penjualan!$G$2:$G$5998,Data_Penjualan!$A$2:$A$5998,A1082)</f>
        <v>23324900</v>
      </c>
      <c r="G1082" s="39" t="n">
        <f aca="false">IF(E1082="KANTOR",0,INDEX(Master_Customer!$C$2:$C$126,MATCH(C1082,Master_Customer!$A$2:$A$126,0)))</f>
        <v>30</v>
      </c>
      <c r="H1082" s="53" t="n">
        <f aca="false">B1082+G1082</f>
        <v>45917</v>
      </c>
      <c r="I1082" s="51" t="n">
        <v>45891</v>
      </c>
      <c r="J1082" s="39" t="str">
        <f aca="false">IF(G1082=0,"Tunai",IF(I1082="","Belum ditukar","Sudah ditukar"))</f>
        <v>Sudah ditukar</v>
      </c>
      <c r="K1082" s="54" t="n">
        <v>23324900</v>
      </c>
      <c r="L1082" s="51" t="n">
        <v>45915</v>
      </c>
      <c r="M1082" s="52" t="n">
        <f aca="false">F1082-K1082</f>
        <v>0</v>
      </c>
      <c r="N1082" s="39" t="str">
        <f aca="false">IF(M1082&lt;=0,"Lunas",IF(K1082&gt;0,"Sebagian","Belum Bayar"))</f>
        <v>Lunas</v>
      </c>
      <c r="O1082" s="39" t="n">
        <f aca="false">IF(M1082&gt;0,MAX(0,Catatan!$B$3-H1082),0)</f>
        <v>0</v>
      </c>
      <c r="P1082" s="39" t="str">
        <f aca="false">IF(M1082&lt;=0,"Lunas",IF(Catatan!$B$3&lt;=H1082,"Belum Jatuh Tempo",IF(O1082&lt;=30,"1-30 hari",IF(O1082&lt;=60,"31-60 hari",IF(O1082&lt;=90,"61-90 hari","90+ hari")))))</f>
        <v>Lunas</v>
      </c>
      <c r="Q1082" s="50"/>
      <c r="R1082" s="39" t="str">
        <f aca="false">IF(M1082&lt;=0,"",IF(O1082&gt;60,"1-Tinggi",IF(O1082&gt;30,"2-Sedang",IF(O1082&gt;0,"3-Rendah","4-Pantau"))))</f>
        <v/>
      </c>
      <c r="S1082" s="39" t="str">
        <f aca="false">IF(AND(M1082&gt;0,O1082&gt;0),O1082+M1082/1000000000000+ROW()/1000000000000000,"")</f>
        <v/>
      </c>
      <c r="T1082" s="39" t="str">
        <f aca="false">IF(J1082="Belum ditukar",ROW(),"")</f>
        <v/>
      </c>
    </row>
    <row r="1083" customFormat="false" ht="15" hidden="false" customHeight="false" outlineLevel="0" collapsed="false">
      <c r="A1083" s="50" t="s">
        <v>1369</v>
      </c>
      <c r="B1083" s="51" t="n">
        <v>45887</v>
      </c>
      <c r="C1083" s="50" t="s">
        <v>419</v>
      </c>
      <c r="D1083" s="39" t="str">
        <f aca="false">INDEX(Master_Customer!$B$2:$B$126,MATCH(C1083,Master_Customer!$A$2:$A$126,0))</f>
        <v>UTAMA MOTOR</v>
      </c>
      <c r="E1083" s="50" t="s">
        <v>30</v>
      </c>
      <c r="F1083" s="52" t="n">
        <f aca="false">SUMIFS(Data_Penjualan!$G$2:$G$5998,Data_Penjualan!$A$2:$A$5998,A1083)</f>
        <v>18938700</v>
      </c>
      <c r="G1083" s="39" t="n">
        <f aca="false">IF(E1083="KANTOR",0,INDEX(Master_Customer!$C$2:$C$126,MATCH(C1083,Master_Customer!$A$2:$A$126,0)))</f>
        <v>14</v>
      </c>
      <c r="H1083" s="53" t="n">
        <f aca="false">B1083+G1083</f>
        <v>45901</v>
      </c>
      <c r="I1083" s="51" t="n">
        <v>45889</v>
      </c>
      <c r="J1083" s="39" t="str">
        <f aca="false">IF(G1083=0,"Tunai",IF(I1083="","Belum ditukar","Sudah ditukar"))</f>
        <v>Sudah ditukar</v>
      </c>
      <c r="K1083" s="54" t="n">
        <v>18938700</v>
      </c>
      <c r="L1083" s="51" t="n">
        <v>45898</v>
      </c>
      <c r="M1083" s="52" t="n">
        <f aca="false">F1083-K1083</f>
        <v>0</v>
      </c>
      <c r="N1083" s="39" t="str">
        <f aca="false">IF(M1083&lt;=0,"Lunas",IF(K1083&gt;0,"Sebagian","Belum Bayar"))</f>
        <v>Lunas</v>
      </c>
      <c r="O1083" s="39" t="n">
        <f aca="false">IF(M1083&gt;0,MAX(0,Catatan!$B$3-H1083),0)</f>
        <v>0</v>
      </c>
      <c r="P1083" s="39" t="str">
        <f aca="false">IF(M1083&lt;=0,"Lunas",IF(Catatan!$B$3&lt;=H1083,"Belum Jatuh Tempo",IF(O1083&lt;=30,"1-30 hari",IF(O1083&lt;=60,"31-60 hari",IF(O1083&lt;=90,"61-90 hari","90+ hari")))))</f>
        <v>Lunas</v>
      </c>
      <c r="Q1083" s="50"/>
      <c r="R1083" s="39" t="str">
        <f aca="false">IF(M1083&lt;=0,"",IF(O1083&gt;60,"1-Tinggi",IF(O1083&gt;30,"2-Sedang",IF(O1083&gt;0,"3-Rendah","4-Pantau"))))</f>
        <v/>
      </c>
      <c r="S1083" s="39" t="str">
        <f aca="false">IF(AND(M1083&gt;0,O1083&gt;0),O1083+M1083/1000000000000+ROW()/1000000000000000,"")</f>
        <v/>
      </c>
      <c r="T1083" s="39" t="str">
        <f aca="false">IF(J1083="Belum ditukar",ROW(),"")</f>
        <v/>
      </c>
    </row>
    <row r="1084" customFormat="false" ht="15" hidden="false" customHeight="false" outlineLevel="0" collapsed="false">
      <c r="A1084" s="50" t="s">
        <v>1370</v>
      </c>
      <c r="B1084" s="51" t="n">
        <v>45887</v>
      </c>
      <c r="C1084" s="50" t="s">
        <v>195</v>
      </c>
      <c r="D1084" s="39" t="str">
        <f aca="false">INDEX(Master_Customer!$B$2:$B$126,MATCH(C1084,Master_Customer!$A$2:$A$126,0))</f>
        <v>KARYA LUBRICANT BINTANG</v>
      </c>
      <c r="E1084" s="50" t="s">
        <v>30</v>
      </c>
      <c r="F1084" s="52" t="n">
        <f aca="false">SUMIFS(Data_Penjualan!$G$2:$G$5998,Data_Penjualan!$A$2:$A$5998,A1084)</f>
        <v>14055700</v>
      </c>
      <c r="G1084" s="39" t="n">
        <f aca="false">IF(E1084="KANTOR",0,INDEX(Master_Customer!$C$2:$C$126,MATCH(C1084,Master_Customer!$A$2:$A$126,0)))</f>
        <v>14</v>
      </c>
      <c r="H1084" s="53" t="n">
        <f aca="false">B1084+G1084</f>
        <v>45901</v>
      </c>
      <c r="I1084" s="51" t="n">
        <v>45892</v>
      </c>
      <c r="J1084" s="39" t="str">
        <f aca="false">IF(G1084=0,"Tunai",IF(I1084="","Belum ditukar","Sudah ditukar"))</f>
        <v>Sudah ditukar</v>
      </c>
      <c r="K1084" s="54" t="n">
        <v>14055700</v>
      </c>
      <c r="L1084" s="51" t="n">
        <v>45898</v>
      </c>
      <c r="M1084" s="52" t="n">
        <f aca="false">F1084-K1084</f>
        <v>0</v>
      </c>
      <c r="N1084" s="39" t="str">
        <f aca="false">IF(M1084&lt;=0,"Lunas",IF(K1084&gt;0,"Sebagian","Belum Bayar"))</f>
        <v>Lunas</v>
      </c>
      <c r="O1084" s="39" t="n">
        <f aca="false">IF(M1084&gt;0,MAX(0,Catatan!$B$3-H1084),0)</f>
        <v>0</v>
      </c>
      <c r="P1084" s="39" t="str">
        <f aca="false">IF(M1084&lt;=0,"Lunas",IF(Catatan!$B$3&lt;=H1084,"Belum Jatuh Tempo",IF(O1084&lt;=30,"1-30 hari",IF(O1084&lt;=60,"31-60 hari",IF(O1084&lt;=90,"61-90 hari","90+ hari")))))</f>
        <v>Lunas</v>
      </c>
      <c r="Q1084" s="50"/>
      <c r="R1084" s="39" t="str">
        <f aca="false">IF(M1084&lt;=0,"",IF(O1084&gt;60,"1-Tinggi",IF(O1084&gt;30,"2-Sedang",IF(O1084&gt;0,"3-Rendah","4-Pantau"))))</f>
        <v/>
      </c>
      <c r="S1084" s="39" t="str">
        <f aca="false">IF(AND(M1084&gt;0,O1084&gt;0),O1084+M1084/1000000000000+ROW()/1000000000000000,"")</f>
        <v/>
      </c>
      <c r="T1084" s="39" t="str">
        <f aca="false">IF(J1084="Belum ditukar",ROW(),"")</f>
        <v/>
      </c>
    </row>
    <row r="1085" customFormat="false" ht="15" hidden="false" customHeight="false" outlineLevel="0" collapsed="false">
      <c r="A1085" s="50" t="s">
        <v>1371</v>
      </c>
      <c r="B1085" s="51" t="n">
        <v>45888</v>
      </c>
      <c r="C1085" s="50" t="s">
        <v>166</v>
      </c>
      <c r="D1085" s="39" t="str">
        <f aca="false">INDEX(Master_Customer!$B$2:$B$126,MATCH(C1085,Master_Customer!$A$2:$A$126,0))</f>
        <v>SENTOSA SERVICE</v>
      </c>
      <c r="E1085" s="50" t="s">
        <v>32</v>
      </c>
      <c r="F1085" s="52" t="n">
        <f aca="false">SUMIFS(Data_Penjualan!$G$2:$G$5998,Data_Penjualan!$A$2:$A$5998,A1085)</f>
        <v>4545600</v>
      </c>
      <c r="G1085" s="39" t="n">
        <f aca="false">IF(E1085="KANTOR",0,INDEX(Master_Customer!$C$2:$C$126,MATCH(C1085,Master_Customer!$A$2:$A$126,0)))</f>
        <v>0</v>
      </c>
      <c r="H1085" s="53" t="n">
        <f aca="false">B1085+G1085</f>
        <v>45888</v>
      </c>
      <c r="J1085" s="39" t="str">
        <f aca="false">IF(G1085=0,"Tunai",IF(I1085="","Belum ditukar","Sudah ditukar"))</f>
        <v>Tunai</v>
      </c>
      <c r="K1085" s="54" t="n">
        <v>4545600</v>
      </c>
      <c r="L1085" s="51" t="n">
        <v>45891</v>
      </c>
      <c r="M1085" s="52" t="n">
        <f aca="false">F1085-K1085</f>
        <v>0</v>
      </c>
      <c r="N1085" s="39" t="str">
        <f aca="false">IF(M1085&lt;=0,"Lunas",IF(K1085&gt;0,"Sebagian","Belum Bayar"))</f>
        <v>Lunas</v>
      </c>
      <c r="O1085" s="39" t="n">
        <f aca="false">IF(M1085&gt;0,MAX(0,Catatan!$B$3-H1085),0)</f>
        <v>0</v>
      </c>
      <c r="P1085" s="39" t="str">
        <f aca="false">IF(M1085&lt;=0,"Lunas",IF(Catatan!$B$3&lt;=H1085,"Belum Jatuh Tempo",IF(O1085&lt;=30,"1-30 hari",IF(O1085&lt;=60,"31-60 hari",IF(O1085&lt;=90,"61-90 hari","90+ hari")))))</f>
        <v>Lunas</v>
      </c>
      <c r="Q1085" s="50"/>
      <c r="R1085" s="39" t="str">
        <f aca="false">IF(M1085&lt;=0,"",IF(O1085&gt;60,"1-Tinggi",IF(O1085&gt;30,"2-Sedang",IF(O1085&gt;0,"3-Rendah","4-Pantau"))))</f>
        <v/>
      </c>
      <c r="S1085" s="39" t="str">
        <f aca="false">IF(AND(M1085&gt;0,O1085&gt;0),O1085+M1085/1000000000000+ROW()/1000000000000000,"")</f>
        <v/>
      </c>
      <c r="T1085" s="39" t="str">
        <f aca="false">IF(J1085="Belum ditukar",ROW(),"")</f>
        <v/>
      </c>
    </row>
    <row r="1086" customFormat="false" ht="15" hidden="false" customHeight="false" outlineLevel="0" collapsed="false">
      <c r="A1086" s="50" t="s">
        <v>1372</v>
      </c>
      <c r="B1086" s="51" t="n">
        <v>45889</v>
      </c>
      <c r="C1086" s="50" t="s">
        <v>465</v>
      </c>
      <c r="D1086" s="39" t="str">
        <f aca="false">INDEX(Master_Customer!$B$2:$B$126,MATCH(C1086,Master_Customer!$A$2:$A$126,0))</f>
        <v>CAHAYA SERVICE BINTANG</v>
      </c>
      <c r="E1086" s="50" t="s">
        <v>28</v>
      </c>
      <c r="F1086" s="52" t="n">
        <f aca="false">SUMIFS(Data_Penjualan!$G$2:$G$5998,Data_Penjualan!$A$2:$A$5998,A1086)</f>
        <v>13189700</v>
      </c>
      <c r="G1086" s="39" t="n">
        <f aca="false">IF(E1086="KANTOR",0,INDEX(Master_Customer!$C$2:$C$126,MATCH(C1086,Master_Customer!$A$2:$A$126,0)))</f>
        <v>30</v>
      </c>
      <c r="H1086" s="53" t="n">
        <f aca="false">B1086+G1086</f>
        <v>45919</v>
      </c>
      <c r="I1086" s="51" t="n">
        <v>45893</v>
      </c>
      <c r="J1086" s="39" t="str">
        <f aca="false">IF(G1086=0,"Tunai",IF(I1086="","Belum ditukar","Sudah ditukar"))</f>
        <v>Sudah ditukar</v>
      </c>
      <c r="K1086" s="54" t="n">
        <v>13189700</v>
      </c>
      <c r="L1086" s="51" t="n">
        <v>45918</v>
      </c>
      <c r="M1086" s="52" t="n">
        <f aca="false">F1086-K1086</f>
        <v>0</v>
      </c>
      <c r="N1086" s="39" t="str">
        <f aca="false">IF(M1086&lt;=0,"Lunas",IF(K1086&gt;0,"Sebagian","Belum Bayar"))</f>
        <v>Lunas</v>
      </c>
      <c r="O1086" s="39" t="n">
        <f aca="false">IF(M1086&gt;0,MAX(0,Catatan!$B$3-H1086),0)</f>
        <v>0</v>
      </c>
      <c r="P1086" s="39" t="str">
        <f aca="false">IF(M1086&lt;=0,"Lunas",IF(Catatan!$B$3&lt;=H1086,"Belum Jatuh Tempo",IF(O1086&lt;=30,"1-30 hari",IF(O1086&lt;=60,"31-60 hari",IF(O1086&lt;=90,"61-90 hari","90+ hari")))))</f>
        <v>Lunas</v>
      </c>
      <c r="Q1086" s="50"/>
      <c r="R1086" s="39" t="str">
        <f aca="false">IF(M1086&lt;=0,"",IF(O1086&gt;60,"1-Tinggi",IF(O1086&gt;30,"2-Sedang",IF(O1086&gt;0,"3-Rendah","4-Pantau"))))</f>
        <v/>
      </c>
      <c r="S1086" s="39" t="str">
        <f aca="false">IF(AND(M1086&gt;0,O1086&gt;0),O1086+M1086/1000000000000+ROW()/1000000000000000,"")</f>
        <v/>
      </c>
      <c r="T1086" s="39" t="str">
        <f aca="false">IF(J1086="Belum ditukar",ROW(),"")</f>
        <v/>
      </c>
    </row>
    <row r="1087" customFormat="false" ht="15" hidden="false" customHeight="false" outlineLevel="0" collapsed="false">
      <c r="A1087" s="50" t="s">
        <v>1373</v>
      </c>
      <c r="B1087" s="51" t="n">
        <v>45889</v>
      </c>
      <c r="C1087" s="50" t="s">
        <v>293</v>
      </c>
      <c r="D1087" s="39" t="str">
        <f aca="false">INDEX(Master_Customer!$B$2:$B$126,MATCH(C1087,Master_Customer!$A$2:$A$126,0))</f>
        <v>SINAR LUBRICANT</v>
      </c>
      <c r="E1087" s="50" t="s">
        <v>31</v>
      </c>
      <c r="F1087" s="52" t="n">
        <f aca="false">SUMIFS(Data_Penjualan!$G$2:$G$5998,Data_Penjualan!$A$2:$A$5998,A1087)</f>
        <v>6882200</v>
      </c>
      <c r="G1087" s="39" t="n">
        <f aca="false">IF(E1087="KANTOR",0,INDEX(Master_Customer!$C$2:$C$126,MATCH(C1087,Master_Customer!$A$2:$A$126,0)))</f>
        <v>30</v>
      </c>
      <c r="H1087" s="53" t="n">
        <f aca="false">B1087+G1087</f>
        <v>45919</v>
      </c>
      <c r="I1087" s="51" t="n">
        <v>45894</v>
      </c>
      <c r="J1087" s="39" t="str">
        <f aca="false">IF(G1087=0,"Tunai",IF(I1087="","Belum ditukar","Sudah ditukar"))</f>
        <v>Sudah ditukar</v>
      </c>
      <c r="K1087" s="54" t="n">
        <v>6882200</v>
      </c>
      <c r="L1087" s="51" t="n">
        <v>45919</v>
      </c>
      <c r="M1087" s="52" t="n">
        <f aca="false">F1087-K1087</f>
        <v>0</v>
      </c>
      <c r="N1087" s="39" t="str">
        <f aca="false">IF(M1087&lt;=0,"Lunas",IF(K1087&gt;0,"Sebagian","Belum Bayar"))</f>
        <v>Lunas</v>
      </c>
      <c r="O1087" s="39" t="n">
        <f aca="false">IF(M1087&gt;0,MAX(0,Catatan!$B$3-H1087),0)</f>
        <v>0</v>
      </c>
      <c r="P1087" s="39" t="str">
        <f aca="false">IF(M1087&lt;=0,"Lunas",IF(Catatan!$B$3&lt;=H1087,"Belum Jatuh Tempo",IF(O1087&lt;=30,"1-30 hari",IF(O1087&lt;=60,"31-60 hari",IF(O1087&lt;=90,"61-90 hari","90+ hari")))))</f>
        <v>Lunas</v>
      </c>
      <c r="Q1087" s="50"/>
      <c r="R1087" s="39" t="str">
        <f aca="false">IF(M1087&lt;=0,"",IF(O1087&gt;60,"1-Tinggi",IF(O1087&gt;30,"2-Sedang",IF(O1087&gt;0,"3-Rendah","4-Pantau"))))</f>
        <v/>
      </c>
      <c r="S1087" s="39" t="str">
        <f aca="false">IF(AND(M1087&gt;0,O1087&gt;0),O1087+M1087/1000000000000+ROW()/1000000000000000,"")</f>
        <v/>
      </c>
      <c r="T1087" s="39" t="str">
        <f aca="false">IF(J1087="Belum ditukar",ROW(),"")</f>
        <v/>
      </c>
    </row>
    <row r="1088" customFormat="false" ht="15" hidden="false" customHeight="false" outlineLevel="0" collapsed="false">
      <c r="A1088" s="50" t="s">
        <v>1374</v>
      </c>
      <c r="B1088" s="51" t="n">
        <v>45889</v>
      </c>
      <c r="C1088" s="50" t="s">
        <v>188</v>
      </c>
      <c r="D1088" s="39" t="str">
        <f aca="false">INDEX(Master_Customer!$B$2:$B$126,MATCH(C1088,Master_Customer!$A$2:$A$126,0))</f>
        <v>MAJU GARAGE TIRTA</v>
      </c>
      <c r="E1088" s="50" t="s">
        <v>32</v>
      </c>
      <c r="F1088" s="52" t="n">
        <f aca="false">SUMIFS(Data_Penjualan!$G$2:$G$5998,Data_Penjualan!$A$2:$A$5998,A1088)</f>
        <v>8714900</v>
      </c>
      <c r="G1088" s="39" t="n">
        <f aca="false">IF(E1088="KANTOR",0,INDEX(Master_Customer!$C$2:$C$126,MATCH(C1088,Master_Customer!$A$2:$A$126,0)))</f>
        <v>0</v>
      </c>
      <c r="H1088" s="53" t="n">
        <f aca="false">B1088+G1088</f>
        <v>45889</v>
      </c>
      <c r="J1088" s="39" t="str">
        <f aca="false">IF(G1088=0,"Tunai",IF(I1088="","Belum ditukar","Sudah ditukar"))</f>
        <v>Tunai</v>
      </c>
      <c r="K1088" s="54" t="n">
        <v>8714900</v>
      </c>
      <c r="L1088" s="51" t="n">
        <v>45890</v>
      </c>
      <c r="M1088" s="52" t="n">
        <f aca="false">F1088-K1088</f>
        <v>0</v>
      </c>
      <c r="N1088" s="39" t="str">
        <f aca="false">IF(M1088&lt;=0,"Lunas",IF(K1088&gt;0,"Sebagian","Belum Bayar"))</f>
        <v>Lunas</v>
      </c>
      <c r="O1088" s="39" t="n">
        <f aca="false">IF(M1088&gt;0,MAX(0,Catatan!$B$3-H1088),0)</f>
        <v>0</v>
      </c>
      <c r="P1088" s="39" t="str">
        <f aca="false">IF(M1088&lt;=0,"Lunas",IF(Catatan!$B$3&lt;=H1088,"Belum Jatuh Tempo",IF(O1088&lt;=30,"1-30 hari",IF(O1088&lt;=60,"31-60 hari",IF(O1088&lt;=90,"61-90 hari","90+ hari")))))</f>
        <v>Lunas</v>
      </c>
      <c r="Q1088" s="50"/>
      <c r="R1088" s="39" t="str">
        <f aca="false">IF(M1088&lt;=0,"",IF(O1088&gt;60,"1-Tinggi",IF(O1088&gt;30,"2-Sedang",IF(O1088&gt;0,"3-Rendah","4-Pantau"))))</f>
        <v/>
      </c>
      <c r="S1088" s="39" t="str">
        <f aca="false">IF(AND(M1088&gt;0,O1088&gt;0),O1088+M1088/1000000000000+ROW()/1000000000000000,"")</f>
        <v/>
      </c>
      <c r="T1088" s="39" t="str">
        <f aca="false">IF(J1088="Belum ditukar",ROW(),"")</f>
        <v/>
      </c>
    </row>
    <row r="1089" customFormat="false" ht="15" hidden="false" customHeight="false" outlineLevel="0" collapsed="false">
      <c r="A1089" s="50" t="s">
        <v>1375</v>
      </c>
      <c r="B1089" s="51" t="n">
        <v>45889</v>
      </c>
      <c r="C1089" s="50" t="s">
        <v>174</v>
      </c>
      <c r="D1089" s="39" t="str">
        <f aca="false">INDEX(Master_Customer!$B$2:$B$126,MATCH(C1089,Master_Customer!$A$2:$A$126,0))</f>
        <v>SUMBER TEKNIK SURYA</v>
      </c>
      <c r="E1089" s="50" t="s">
        <v>32</v>
      </c>
      <c r="F1089" s="52" t="n">
        <f aca="false">SUMIFS(Data_Penjualan!$G$2:$G$5998,Data_Penjualan!$A$2:$A$5998,A1089)</f>
        <v>5729900</v>
      </c>
      <c r="G1089" s="39" t="n">
        <f aca="false">IF(E1089="KANTOR",0,INDEX(Master_Customer!$C$2:$C$126,MATCH(C1089,Master_Customer!$A$2:$A$126,0)))</f>
        <v>0</v>
      </c>
      <c r="H1089" s="53" t="n">
        <f aca="false">B1089+G1089</f>
        <v>45889</v>
      </c>
      <c r="J1089" s="39" t="str">
        <f aca="false">IF(G1089=0,"Tunai",IF(I1089="","Belum ditukar","Sudah ditukar"))</f>
        <v>Tunai</v>
      </c>
      <c r="K1089" s="54" t="n">
        <v>5729900</v>
      </c>
      <c r="L1089" s="51" t="n">
        <v>45889</v>
      </c>
      <c r="M1089" s="52" t="n">
        <f aca="false">F1089-K1089</f>
        <v>0</v>
      </c>
      <c r="N1089" s="39" t="str">
        <f aca="false">IF(M1089&lt;=0,"Lunas",IF(K1089&gt;0,"Sebagian","Belum Bayar"))</f>
        <v>Lunas</v>
      </c>
      <c r="O1089" s="39" t="n">
        <f aca="false">IF(M1089&gt;0,MAX(0,Catatan!$B$3-H1089),0)</f>
        <v>0</v>
      </c>
      <c r="P1089" s="39" t="str">
        <f aca="false">IF(M1089&lt;=0,"Lunas",IF(Catatan!$B$3&lt;=H1089,"Belum Jatuh Tempo",IF(O1089&lt;=30,"1-30 hari",IF(O1089&lt;=60,"31-60 hari",IF(O1089&lt;=90,"61-90 hari","90+ hari")))))</f>
        <v>Lunas</v>
      </c>
      <c r="Q1089" s="50"/>
      <c r="R1089" s="39" t="str">
        <f aca="false">IF(M1089&lt;=0,"",IF(O1089&gt;60,"1-Tinggi",IF(O1089&gt;30,"2-Sedang",IF(O1089&gt;0,"3-Rendah","4-Pantau"))))</f>
        <v/>
      </c>
      <c r="S1089" s="39" t="str">
        <f aca="false">IF(AND(M1089&gt;0,O1089&gt;0),O1089+M1089/1000000000000+ROW()/1000000000000000,"")</f>
        <v/>
      </c>
      <c r="T1089" s="39" t="str">
        <f aca="false">IF(J1089="Belum ditukar",ROW(),"")</f>
        <v/>
      </c>
    </row>
    <row r="1090" customFormat="false" ht="15" hidden="false" customHeight="false" outlineLevel="0" collapsed="false">
      <c r="A1090" s="50" t="s">
        <v>1376</v>
      </c>
      <c r="B1090" s="51" t="n">
        <v>45889</v>
      </c>
      <c r="C1090" s="50" t="s">
        <v>527</v>
      </c>
      <c r="D1090" s="39" t="str">
        <f aca="false">INDEX(Master_Customer!$B$2:$B$126,MATCH(C1090,Master_Customer!$A$2:$A$126,0))</f>
        <v>BINTANG SPAREPART PRIMA</v>
      </c>
      <c r="E1090" s="50" t="s">
        <v>30</v>
      </c>
      <c r="F1090" s="52" t="n">
        <f aca="false">SUMIFS(Data_Penjualan!$G$2:$G$5998,Data_Penjualan!$A$2:$A$5998,A1090)</f>
        <v>9756800</v>
      </c>
      <c r="G1090" s="39" t="n">
        <f aca="false">IF(E1090="KANTOR",0,INDEX(Master_Customer!$C$2:$C$126,MATCH(C1090,Master_Customer!$A$2:$A$126,0)))</f>
        <v>14</v>
      </c>
      <c r="H1090" s="53" t="n">
        <f aca="false">B1090+G1090</f>
        <v>45903</v>
      </c>
      <c r="I1090" s="51" t="n">
        <v>45891</v>
      </c>
      <c r="J1090" s="39" t="str">
        <f aca="false">IF(G1090=0,"Tunai",IF(I1090="","Belum ditukar","Sudah ditukar"))</f>
        <v>Sudah ditukar</v>
      </c>
      <c r="K1090" s="54" t="n">
        <v>9756800</v>
      </c>
      <c r="L1090" s="51" t="n">
        <v>45910</v>
      </c>
      <c r="M1090" s="52" t="n">
        <f aca="false">F1090-K1090</f>
        <v>0</v>
      </c>
      <c r="N1090" s="39" t="str">
        <f aca="false">IF(M1090&lt;=0,"Lunas",IF(K1090&gt;0,"Sebagian","Belum Bayar"))</f>
        <v>Lunas</v>
      </c>
      <c r="O1090" s="39" t="n">
        <f aca="false">IF(M1090&gt;0,MAX(0,Catatan!$B$3-H1090),0)</f>
        <v>0</v>
      </c>
      <c r="P1090" s="39" t="str">
        <f aca="false">IF(M1090&lt;=0,"Lunas",IF(Catatan!$B$3&lt;=H1090,"Belum Jatuh Tempo",IF(O1090&lt;=30,"1-30 hari",IF(O1090&lt;=60,"31-60 hari",IF(O1090&lt;=90,"61-90 hari","90+ hari")))))</f>
        <v>Lunas</v>
      </c>
      <c r="Q1090" s="50"/>
      <c r="R1090" s="39" t="str">
        <f aca="false">IF(M1090&lt;=0,"",IF(O1090&gt;60,"1-Tinggi",IF(O1090&gt;30,"2-Sedang",IF(O1090&gt;0,"3-Rendah","4-Pantau"))))</f>
        <v/>
      </c>
      <c r="S1090" s="39" t="str">
        <f aca="false">IF(AND(M1090&gt;0,O1090&gt;0),O1090+M1090/1000000000000+ROW()/1000000000000000,"")</f>
        <v/>
      </c>
      <c r="T1090" s="39" t="str">
        <f aca="false">IF(J1090="Belum ditukar",ROW(),"")</f>
        <v/>
      </c>
    </row>
    <row r="1091" customFormat="false" ht="15" hidden="false" customHeight="false" outlineLevel="0" collapsed="false">
      <c r="A1091" s="50" t="s">
        <v>1377</v>
      </c>
      <c r="B1091" s="51" t="n">
        <v>45889</v>
      </c>
      <c r="C1091" s="50" t="s">
        <v>174</v>
      </c>
      <c r="D1091" s="39" t="str">
        <f aca="false">INDEX(Master_Customer!$B$2:$B$126,MATCH(C1091,Master_Customer!$A$2:$A$126,0))</f>
        <v>SUMBER TEKNIK SURYA</v>
      </c>
      <c r="E1091" s="50" t="s">
        <v>31</v>
      </c>
      <c r="F1091" s="52" t="n">
        <f aca="false">SUMIFS(Data_Penjualan!$G$2:$G$5998,Data_Penjualan!$A$2:$A$5998,A1091)</f>
        <v>10384300</v>
      </c>
      <c r="G1091" s="39" t="n">
        <f aca="false">IF(E1091="KANTOR",0,INDEX(Master_Customer!$C$2:$C$126,MATCH(C1091,Master_Customer!$A$2:$A$126,0)))</f>
        <v>30</v>
      </c>
      <c r="H1091" s="53" t="n">
        <f aca="false">B1091+G1091</f>
        <v>45919</v>
      </c>
      <c r="I1091" s="51" t="n">
        <v>45891</v>
      </c>
      <c r="J1091" s="39" t="str">
        <f aca="false">IF(G1091=0,"Tunai",IF(I1091="","Belum ditukar","Sudah ditukar"))</f>
        <v>Sudah ditukar</v>
      </c>
      <c r="K1091" s="54" t="n">
        <v>5807300</v>
      </c>
      <c r="L1091" s="51" t="n">
        <v>45914</v>
      </c>
      <c r="M1091" s="52" t="n">
        <f aca="false">F1091-K1091</f>
        <v>4577000</v>
      </c>
      <c r="N1091" s="39" t="str">
        <f aca="false">IF(M1091&lt;=0,"Lunas",IF(K1091&gt;0,"Sebagian","Belum Bayar"))</f>
        <v>Sebagian</v>
      </c>
      <c r="O1091" s="39" t="n">
        <f aca="false">IF(M1091&gt;0,MAX(0,Catatan!$B$3-H1091),0)</f>
        <v>103</v>
      </c>
      <c r="P1091" s="39" t="str">
        <f aca="false">IF(M1091&lt;=0,"Lunas",IF(Catatan!$B$3&lt;=H1091,"Belum Jatuh Tempo",IF(O1091&lt;=30,"1-30 hari",IF(O1091&lt;=60,"31-60 hari",IF(O1091&lt;=90,"61-90 hari","90+ hari")))))</f>
        <v>90+ hari</v>
      </c>
      <c r="Q1091" s="50" t="s">
        <v>712</v>
      </c>
      <c r="R1091" s="39" t="str">
        <f aca="false">IF(M1091&lt;=0,"",IF(O1091&gt;60,"1-Tinggi",IF(O1091&gt;30,"2-Sedang",IF(O1091&gt;0,"3-Rendah","4-Pantau"))))</f>
        <v>1-Tinggi</v>
      </c>
      <c r="S1091" s="39" t="n">
        <f aca="false">IF(AND(M1091&gt;0,O1091&gt;0),O1091+M1091/1000000000000+ROW()/1000000000000000,"")</f>
        <v>103.000004577001</v>
      </c>
      <c r="T1091" s="39" t="str">
        <f aca="false">IF(J1091="Belum ditukar",ROW(),"")</f>
        <v/>
      </c>
    </row>
    <row r="1092" customFormat="false" ht="15" hidden="false" customHeight="false" outlineLevel="0" collapsed="false">
      <c r="A1092" s="50" t="s">
        <v>1378</v>
      </c>
      <c r="B1092" s="51" t="n">
        <v>45889</v>
      </c>
      <c r="C1092" s="50" t="s">
        <v>505</v>
      </c>
      <c r="D1092" s="39" t="str">
        <f aca="false">INDEX(Master_Customer!$B$2:$B$126,MATCH(C1092,Master_Customer!$A$2:$A$126,0))</f>
        <v>GEMILANG OLI CAHAYA</v>
      </c>
      <c r="E1092" s="50" t="s">
        <v>31</v>
      </c>
      <c r="F1092" s="52" t="n">
        <f aca="false">SUMIFS(Data_Penjualan!$G$2:$G$5998,Data_Penjualan!$A$2:$A$5998,A1092)</f>
        <v>8798100</v>
      </c>
      <c r="G1092" s="39" t="n">
        <f aca="false">IF(E1092="KANTOR",0,INDEX(Master_Customer!$C$2:$C$126,MATCH(C1092,Master_Customer!$A$2:$A$126,0)))</f>
        <v>0</v>
      </c>
      <c r="H1092" s="53" t="n">
        <f aca="false">B1092+G1092</f>
        <v>45889</v>
      </c>
      <c r="J1092" s="39" t="str">
        <f aca="false">IF(G1092=0,"Tunai",IF(I1092="","Belum ditukar","Sudah ditukar"))</f>
        <v>Tunai</v>
      </c>
      <c r="K1092" s="54" t="n">
        <v>8798100</v>
      </c>
      <c r="L1092" s="51" t="n">
        <v>45889</v>
      </c>
      <c r="M1092" s="52" t="n">
        <f aca="false">F1092-K1092</f>
        <v>0</v>
      </c>
      <c r="N1092" s="39" t="str">
        <f aca="false">IF(M1092&lt;=0,"Lunas",IF(K1092&gt;0,"Sebagian","Belum Bayar"))</f>
        <v>Lunas</v>
      </c>
      <c r="O1092" s="39" t="n">
        <f aca="false">IF(M1092&gt;0,MAX(0,Catatan!$B$3-H1092),0)</f>
        <v>0</v>
      </c>
      <c r="P1092" s="39" t="str">
        <f aca="false">IF(M1092&lt;=0,"Lunas",IF(Catatan!$B$3&lt;=H1092,"Belum Jatuh Tempo",IF(O1092&lt;=30,"1-30 hari",IF(O1092&lt;=60,"31-60 hari",IF(O1092&lt;=90,"61-90 hari","90+ hari")))))</f>
        <v>Lunas</v>
      </c>
      <c r="Q1092" s="50"/>
      <c r="R1092" s="39" t="str">
        <f aca="false">IF(M1092&lt;=0,"",IF(O1092&gt;60,"1-Tinggi",IF(O1092&gt;30,"2-Sedang",IF(O1092&gt;0,"3-Rendah","4-Pantau"))))</f>
        <v/>
      </c>
      <c r="S1092" s="39" t="str">
        <f aca="false">IF(AND(M1092&gt;0,O1092&gt;0),O1092+M1092/1000000000000+ROW()/1000000000000000,"")</f>
        <v/>
      </c>
      <c r="T1092" s="39" t="str">
        <f aca="false">IF(J1092="Belum ditukar",ROW(),"")</f>
        <v/>
      </c>
    </row>
    <row r="1093" customFormat="false" ht="15" hidden="false" customHeight="false" outlineLevel="0" collapsed="false">
      <c r="A1093" s="50" t="s">
        <v>1379</v>
      </c>
      <c r="B1093" s="51" t="n">
        <v>45890</v>
      </c>
      <c r="C1093" s="50" t="s">
        <v>354</v>
      </c>
      <c r="D1093" s="39" t="str">
        <f aca="false">INDEX(Master_Customer!$B$2:$B$126,MATCH(C1093,Master_Customer!$A$2:$A$126,0))</f>
        <v>SUMBER SERVICE MAKMUR</v>
      </c>
      <c r="E1093" s="50" t="s">
        <v>31</v>
      </c>
      <c r="F1093" s="52" t="n">
        <f aca="false">SUMIFS(Data_Penjualan!$G$2:$G$5998,Data_Penjualan!$A$2:$A$5998,A1093)</f>
        <v>10225900</v>
      </c>
      <c r="G1093" s="39" t="n">
        <f aca="false">IF(E1093="KANTOR",0,INDEX(Master_Customer!$C$2:$C$126,MATCH(C1093,Master_Customer!$A$2:$A$126,0)))</f>
        <v>30</v>
      </c>
      <c r="H1093" s="53" t="n">
        <f aca="false">B1093+G1093</f>
        <v>45920</v>
      </c>
      <c r="I1093" s="51" t="n">
        <v>45894</v>
      </c>
      <c r="J1093" s="39" t="str">
        <f aca="false">IF(G1093=0,"Tunai",IF(I1093="","Belum ditukar","Sudah ditukar"))</f>
        <v>Sudah ditukar</v>
      </c>
      <c r="K1093" s="54" t="n">
        <v>10225900</v>
      </c>
      <c r="L1093" s="51" t="n">
        <v>45914</v>
      </c>
      <c r="M1093" s="52" t="n">
        <f aca="false">F1093-K1093</f>
        <v>0</v>
      </c>
      <c r="N1093" s="39" t="str">
        <f aca="false">IF(M1093&lt;=0,"Lunas",IF(K1093&gt;0,"Sebagian","Belum Bayar"))</f>
        <v>Lunas</v>
      </c>
      <c r="O1093" s="39" t="n">
        <f aca="false">IF(M1093&gt;0,MAX(0,Catatan!$B$3-H1093),0)</f>
        <v>0</v>
      </c>
      <c r="P1093" s="39" t="str">
        <f aca="false">IF(M1093&lt;=0,"Lunas",IF(Catatan!$B$3&lt;=H1093,"Belum Jatuh Tempo",IF(O1093&lt;=30,"1-30 hari",IF(O1093&lt;=60,"31-60 hari",IF(O1093&lt;=90,"61-90 hari","90+ hari")))))</f>
        <v>Lunas</v>
      </c>
      <c r="Q1093" s="50"/>
      <c r="R1093" s="39" t="str">
        <f aca="false">IF(M1093&lt;=0,"",IF(O1093&gt;60,"1-Tinggi",IF(O1093&gt;30,"2-Sedang",IF(O1093&gt;0,"3-Rendah","4-Pantau"))))</f>
        <v/>
      </c>
      <c r="S1093" s="39" t="str">
        <f aca="false">IF(AND(M1093&gt;0,O1093&gt;0),O1093+M1093/1000000000000+ROW()/1000000000000000,"")</f>
        <v/>
      </c>
      <c r="T1093" s="39" t="str">
        <f aca="false">IF(J1093="Belum ditukar",ROW(),"")</f>
        <v/>
      </c>
    </row>
    <row r="1094" customFormat="false" ht="15" hidden="false" customHeight="false" outlineLevel="0" collapsed="false">
      <c r="A1094" s="50" t="s">
        <v>1380</v>
      </c>
      <c r="B1094" s="51" t="n">
        <v>45890</v>
      </c>
      <c r="C1094" s="50" t="s">
        <v>174</v>
      </c>
      <c r="D1094" s="39" t="str">
        <f aca="false">INDEX(Master_Customer!$B$2:$B$126,MATCH(C1094,Master_Customer!$A$2:$A$126,0))</f>
        <v>SUMBER TEKNIK SURYA</v>
      </c>
      <c r="E1094" s="50" t="s">
        <v>31</v>
      </c>
      <c r="F1094" s="52" t="n">
        <f aca="false">SUMIFS(Data_Penjualan!$G$2:$G$5998,Data_Penjualan!$A$2:$A$5998,A1094)</f>
        <v>12404200</v>
      </c>
      <c r="G1094" s="39" t="n">
        <f aca="false">IF(E1094="KANTOR",0,INDEX(Master_Customer!$C$2:$C$126,MATCH(C1094,Master_Customer!$A$2:$A$126,0)))</f>
        <v>30</v>
      </c>
      <c r="H1094" s="53" t="n">
        <f aca="false">B1094+G1094</f>
        <v>45920</v>
      </c>
      <c r="I1094" s="51" t="n">
        <v>45893</v>
      </c>
      <c r="J1094" s="39" t="str">
        <f aca="false">IF(G1094=0,"Tunai",IF(I1094="","Belum ditukar","Sudah ditukar"))</f>
        <v>Sudah ditukar</v>
      </c>
      <c r="K1094" s="54" t="n">
        <v>12404200</v>
      </c>
      <c r="L1094" s="51" t="n">
        <v>45914</v>
      </c>
      <c r="M1094" s="52" t="n">
        <f aca="false">F1094-K1094</f>
        <v>0</v>
      </c>
      <c r="N1094" s="39" t="str">
        <f aca="false">IF(M1094&lt;=0,"Lunas",IF(K1094&gt;0,"Sebagian","Belum Bayar"))</f>
        <v>Lunas</v>
      </c>
      <c r="O1094" s="39" t="n">
        <f aca="false">IF(M1094&gt;0,MAX(0,Catatan!$B$3-H1094),0)</f>
        <v>0</v>
      </c>
      <c r="P1094" s="39" t="str">
        <f aca="false">IF(M1094&lt;=0,"Lunas",IF(Catatan!$B$3&lt;=H1094,"Belum Jatuh Tempo",IF(O1094&lt;=30,"1-30 hari",IF(O1094&lt;=60,"31-60 hari",IF(O1094&lt;=90,"61-90 hari","90+ hari")))))</f>
        <v>Lunas</v>
      </c>
      <c r="Q1094" s="50"/>
      <c r="R1094" s="39" t="str">
        <f aca="false">IF(M1094&lt;=0,"",IF(O1094&gt;60,"1-Tinggi",IF(O1094&gt;30,"2-Sedang",IF(O1094&gt;0,"3-Rendah","4-Pantau"))))</f>
        <v/>
      </c>
      <c r="S1094" s="39" t="str">
        <f aca="false">IF(AND(M1094&gt;0,O1094&gt;0),O1094+M1094/1000000000000+ROW()/1000000000000000,"")</f>
        <v/>
      </c>
      <c r="T1094" s="39" t="str">
        <f aca="false">IF(J1094="Belum ditukar",ROW(),"")</f>
        <v/>
      </c>
    </row>
    <row r="1095" customFormat="false" ht="15" hidden="false" customHeight="false" outlineLevel="0" collapsed="false">
      <c r="A1095" s="50" t="s">
        <v>1381</v>
      </c>
      <c r="B1095" s="51" t="n">
        <v>45890</v>
      </c>
      <c r="C1095" s="50" t="s">
        <v>527</v>
      </c>
      <c r="D1095" s="39" t="str">
        <f aca="false">INDEX(Master_Customer!$B$2:$B$126,MATCH(C1095,Master_Customer!$A$2:$A$126,0))</f>
        <v>BINTANG SPAREPART PRIMA</v>
      </c>
      <c r="E1095" s="50" t="s">
        <v>30</v>
      </c>
      <c r="F1095" s="52" t="n">
        <f aca="false">SUMIFS(Data_Penjualan!$G$2:$G$5998,Data_Penjualan!$A$2:$A$5998,A1095)</f>
        <v>22159100</v>
      </c>
      <c r="G1095" s="39" t="n">
        <f aca="false">IF(E1095="KANTOR",0,INDEX(Master_Customer!$C$2:$C$126,MATCH(C1095,Master_Customer!$A$2:$A$126,0)))</f>
        <v>14</v>
      </c>
      <c r="H1095" s="53" t="n">
        <f aca="false">B1095+G1095</f>
        <v>45904</v>
      </c>
      <c r="I1095" s="51" t="n">
        <v>45893</v>
      </c>
      <c r="J1095" s="39" t="str">
        <f aca="false">IF(G1095=0,"Tunai",IF(I1095="","Belum ditukar","Sudah ditukar"))</f>
        <v>Sudah ditukar</v>
      </c>
      <c r="K1095" s="54" t="n">
        <v>22159100</v>
      </c>
      <c r="L1095" s="51" t="n">
        <v>45926</v>
      </c>
      <c r="M1095" s="52" t="n">
        <f aca="false">F1095-K1095</f>
        <v>0</v>
      </c>
      <c r="N1095" s="39" t="str">
        <f aca="false">IF(M1095&lt;=0,"Lunas",IF(K1095&gt;0,"Sebagian","Belum Bayar"))</f>
        <v>Lunas</v>
      </c>
      <c r="O1095" s="39" t="n">
        <f aca="false">IF(M1095&gt;0,MAX(0,Catatan!$B$3-H1095),0)</f>
        <v>0</v>
      </c>
      <c r="P1095" s="39" t="str">
        <f aca="false">IF(M1095&lt;=0,"Lunas",IF(Catatan!$B$3&lt;=H1095,"Belum Jatuh Tempo",IF(O1095&lt;=30,"1-30 hari",IF(O1095&lt;=60,"31-60 hari",IF(O1095&lt;=90,"61-90 hari","90+ hari")))))</f>
        <v>Lunas</v>
      </c>
      <c r="Q1095" s="50"/>
      <c r="R1095" s="39" t="str">
        <f aca="false">IF(M1095&lt;=0,"",IF(O1095&gt;60,"1-Tinggi",IF(O1095&gt;30,"2-Sedang",IF(O1095&gt;0,"3-Rendah","4-Pantau"))))</f>
        <v/>
      </c>
      <c r="S1095" s="39" t="str">
        <f aca="false">IF(AND(M1095&gt;0,O1095&gt;0),O1095+M1095/1000000000000+ROW()/1000000000000000,"")</f>
        <v/>
      </c>
      <c r="T1095" s="39" t="str">
        <f aca="false">IF(J1095="Belum ditukar",ROW(),"")</f>
        <v/>
      </c>
    </row>
    <row r="1096" customFormat="false" ht="15" hidden="false" customHeight="false" outlineLevel="0" collapsed="false">
      <c r="A1096" s="50" t="s">
        <v>1382</v>
      </c>
      <c r="B1096" s="51" t="n">
        <v>45890</v>
      </c>
      <c r="C1096" s="50" t="s">
        <v>562</v>
      </c>
      <c r="D1096" s="39" t="str">
        <f aca="false">INDEX(Master_Customer!$B$2:$B$126,MATCH(C1096,Master_Customer!$A$2:$A$126,0))</f>
        <v>BERKAH SERVICE SENTOSA</v>
      </c>
      <c r="E1096" s="50" t="s">
        <v>28</v>
      </c>
      <c r="F1096" s="52" t="n">
        <f aca="false">SUMIFS(Data_Penjualan!$G$2:$G$5998,Data_Penjualan!$A$2:$A$5998,A1096)</f>
        <v>8530700</v>
      </c>
      <c r="G1096" s="39" t="n">
        <f aca="false">IF(E1096="KANTOR",0,INDEX(Master_Customer!$C$2:$C$126,MATCH(C1096,Master_Customer!$A$2:$A$126,0)))</f>
        <v>14</v>
      </c>
      <c r="H1096" s="53" t="n">
        <f aca="false">B1096+G1096</f>
        <v>45904</v>
      </c>
      <c r="I1096" s="51" t="n">
        <v>45893</v>
      </c>
      <c r="J1096" s="39" t="str">
        <f aca="false">IF(G1096=0,"Tunai",IF(I1096="","Belum ditukar","Sudah ditukar"))</f>
        <v>Sudah ditukar</v>
      </c>
      <c r="K1096" s="54" t="n">
        <v>8530700</v>
      </c>
      <c r="L1096" s="51" t="n">
        <v>45905</v>
      </c>
      <c r="M1096" s="52" t="n">
        <f aca="false">F1096-K1096</f>
        <v>0</v>
      </c>
      <c r="N1096" s="39" t="str">
        <f aca="false">IF(M1096&lt;=0,"Lunas",IF(K1096&gt;0,"Sebagian","Belum Bayar"))</f>
        <v>Lunas</v>
      </c>
      <c r="O1096" s="39" t="n">
        <f aca="false">IF(M1096&gt;0,MAX(0,Catatan!$B$3-H1096),0)</f>
        <v>0</v>
      </c>
      <c r="P1096" s="39" t="str">
        <f aca="false">IF(M1096&lt;=0,"Lunas",IF(Catatan!$B$3&lt;=H1096,"Belum Jatuh Tempo",IF(O1096&lt;=30,"1-30 hari",IF(O1096&lt;=60,"31-60 hari",IF(O1096&lt;=90,"61-90 hari","90+ hari")))))</f>
        <v>Lunas</v>
      </c>
      <c r="Q1096" s="50"/>
      <c r="R1096" s="39" t="str">
        <f aca="false">IF(M1096&lt;=0,"",IF(O1096&gt;60,"1-Tinggi",IF(O1096&gt;30,"2-Sedang",IF(O1096&gt;0,"3-Rendah","4-Pantau"))))</f>
        <v/>
      </c>
      <c r="S1096" s="39" t="str">
        <f aca="false">IF(AND(M1096&gt;0,O1096&gt;0),O1096+M1096/1000000000000+ROW()/1000000000000000,"")</f>
        <v/>
      </c>
      <c r="T1096" s="39" t="str">
        <f aca="false">IF(J1096="Belum ditukar",ROW(),"")</f>
        <v/>
      </c>
    </row>
    <row r="1097" customFormat="false" ht="15" hidden="false" customHeight="false" outlineLevel="0" collapsed="false">
      <c r="A1097" s="50" t="s">
        <v>1383</v>
      </c>
      <c r="B1097" s="51" t="n">
        <v>45890</v>
      </c>
      <c r="C1097" s="50" t="s">
        <v>436</v>
      </c>
      <c r="D1097" s="39" t="str">
        <f aca="false">INDEX(Master_Customer!$B$2:$B$126,MATCH(C1097,Master_Customer!$A$2:$A$126,0))</f>
        <v>TIRTA AUTO</v>
      </c>
      <c r="E1097" s="50" t="s">
        <v>30</v>
      </c>
      <c r="F1097" s="52" t="n">
        <f aca="false">SUMIFS(Data_Penjualan!$G$2:$G$5998,Data_Penjualan!$A$2:$A$5998,A1097)</f>
        <v>5433400</v>
      </c>
      <c r="G1097" s="39" t="n">
        <f aca="false">IF(E1097="KANTOR",0,INDEX(Master_Customer!$C$2:$C$126,MATCH(C1097,Master_Customer!$A$2:$A$126,0)))</f>
        <v>14</v>
      </c>
      <c r="H1097" s="53" t="n">
        <f aca="false">B1097+G1097</f>
        <v>45904</v>
      </c>
      <c r="I1097" s="51" t="n">
        <v>45893</v>
      </c>
      <c r="J1097" s="39" t="str">
        <f aca="false">IF(G1097=0,"Tunai",IF(I1097="","Belum ditukar","Sudah ditukar"))</f>
        <v>Sudah ditukar</v>
      </c>
      <c r="K1097" s="54" t="n">
        <v>5433400</v>
      </c>
      <c r="L1097" s="51" t="n">
        <v>45918</v>
      </c>
      <c r="M1097" s="52" t="n">
        <f aca="false">F1097-K1097</f>
        <v>0</v>
      </c>
      <c r="N1097" s="39" t="str">
        <f aca="false">IF(M1097&lt;=0,"Lunas",IF(K1097&gt;0,"Sebagian","Belum Bayar"))</f>
        <v>Lunas</v>
      </c>
      <c r="O1097" s="39" t="n">
        <f aca="false">IF(M1097&gt;0,MAX(0,Catatan!$B$3-H1097),0)</f>
        <v>0</v>
      </c>
      <c r="P1097" s="39" t="str">
        <f aca="false">IF(M1097&lt;=0,"Lunas",IF(Catatan!$B$3&lt;=H1097,"Belum Jatuh Tempo",IF(O1097&lt;=30,"1-30 hari",IF(O1097&lt;=60,"31-60 hari",IF(O1097&lt;=90,"61-90 hari","90+ hari")))))</f>
        <v>Lunas</v>
      </c>
      <c r="Q1097" s="50"/>
      <c r="R1097" s="39" t="str">
        <f aca="false">IF(M1097&lt;=0,"",IF(O1097&gt;60,"1-Tinggi",IF(O1097&gt;30,"2-Sedang",IF(O1097&gt;0,"3-Rendah","4-Pantau"))))</f>
        <v/>
      </c>
      <c r="S1097" s="39" t="str">
        <f aca="false">IF(AND(M1097&gt;0,O1097&gt;0),O1097+M1097/1000000000000+ROW()/1000000000000000,"")</f>
        <v/>
      </c>
      <c r="T1097" s="39" t="str">
        <f aca="false">IF(J1097="Belum ditukar",ROW(),"")</f>
        <v/>
      </c>
    </row>
    <row r="1098" customFormat="false" ht="15" hidden="false" customHeight="false" outlineLevel="0" collapsed="false">
      <c r="A1098" s="50" t="s">
        <v>1384</v>
      </c>
      <c r="B1098" s="51" t="n">
        <v>45890</v>
      </c>
      <c r="C1098" s="50" t="s">
        <v>237</v>
      </c>
      <c r="D1098" s="39" t="str">
        <f aca="false">INDEX(Master_Customer!$B$2:$B$126,MATCH(C1098,Master_Customer!$A$2:$A$126,0))</f>
        <v>SINAR SPAREPART</v>
      </c>
      <c r="E1098" s="50" t="s">
        <v>31</v>
      </c>
      <c r="F1098" s="52" t="n">
        <f aca="false">SUMIFS(Data_Penjualan!$G$2:$G$5998,Data_Penjualan!$A$2:$A$5998,A1098)</f>
        <v>7718600</v>
      </c>
      <c r="G1098" s="39" t="n">
        <f aca="false">IF(E1098="KANTOR",0,INDEX(Master_Customer!$C$2:$C$126,MATCH(C1098,Master_Customer!$A$2:$A$126,0)))</f>
        <v>45</v>
      </c>
      <c r="H1098" s="53" t="n">
        <f aca="false">B1098+G1098</f>
        <v>45935</v>
      </c>
      <c r="I1098" s="51" t="n">
        <v>45892</v>
      </c>
      <c r="J1098" s="39" t="str">
        <f aca="false">IF(G1098=0,"Tunai",IF(I1098="","Belum ditukar","Sudah ditukar"))</f>
        <v>Sudah ditukar</v>
      </c>
      <c r="K1098" s="54" t="n">
        <v>7718600</v>
      </c>
      <c r="L1098" s="51" t="n">
        <v>45930</v>
      </c>
      <c r="M1098" s="52" t="n">
        <f aca="false">F1098-K1098</f>
        <v>0</v>
      </c>
      <c r="N1098" s="39" t="str">
        <f aca="false">IF(M1098&lt;=0,"Lunas",IF(K1098&gt;0,"Sebagian","Belum Bayar"))</f>
        <v>Lunas</v>
      </c>
      <c r="O1098" s="39" t="n">
        <f aca="false">IF(M1098&gt;0,MAX(0,Catatan!$B$3-H1098),0)</f>
        <v>0</v>
      </c>
      <c r="P1098" s="39" t="str">
        <f aca="false">IF(M1098&lt;=0,"Lunas",IF(Catatan!$B$3&lt;=H1098,"Belum Jatuh Tempo",IF(O1098&lt;=30,"1-30 hari",IF(O1098&lt;=60,"31-60 hari",IF(O1098&lt;=90,"61-90 hari","90+ hari")))))</f>
        <v>Lunas</v>
      </c>
      <c r="Q1098" s="50"/>
      <c r="R1098" s="39" t="str">
        <f aca="false">IF(M1098&lt;=0,"",IF(O1098&gt;60,"1-Tinggi",IF(O1098&gt;30,"2-Sedang",IF(O1098&gt;0,"3-Rendah","4-Pantau"))))</f>
        <v/>
      </c>
      <c r="S1098" s="39" t="str">
        <f aca="false">IF(AND(M1098&gt;0,O1098&gt;0),O1098+M1098/1000000000000+ROW()/1000000000000000,"")</f>
        <v/>
      </c>
      <c r="T1098" s="39" t="str">
        <f aca="false">IF(J1098="Belum ditukar",ROW(),"")</f>
        <v/>
      </c>
    </row>
    <row r="1099" customFormat="false" ht="15" hidden="false" customHeight="false" outlineLevel="0" collapsed="false">
      <c r="A1099" s="50" t="s">
        <v>1385</v>
      </c>
      <c r="B1099" s="51" t="n">
        <v>45891</v>
      </c>
      <c r="C1099" s="50" t="s">
        <v>174</v>
      </c>
      <c r="D1099" s="39" t="str">
        <f aca="false">INDEX(Master_Customer!$B$2:$B$126,MATCH(C1099,Master_Customer!$A$2:$A$126,0))</f>
        <v>SUMBER TEKNIK SURYA</v>
      </c>
      <c r="E1099" s="50" t="s">
        <v>31</v>
      </c>
      <c r="F1099" s="52" t="n">
        <f aca="false">SUMIFS(Data_Penjualan!$G$2:$G$5998,Data_Penjualan!$A$2:$A$5998,A1099)</f>
        <v>7733500</v>
      </c>
      <c r="G1099" s="39" t="n">
        <f aca="false">IF(E1099="KANTOR",0,INDEX(Master_Customer!$C$2:$C$126,MATCH(C1099,Master_Customer!$A$2:$A$126,0)))</f>
        <v>30</v>
      </c>
      <c r="H1099" s="53" t="n">
        <f aca="false">B1099+G1099</f>
        <v>45921</v>
      </c>
      <c r="I1099" s="51" t="n">
        <v>45896</v>
      </c>
      <c r="J1099" s="39" t="str">
        <f aca="false">IF(G1099=0,"Tunai",IF(I1099="","Belum ditukar","Sudah ditukar"))</f>
        <v>Sudah ditukar</v>
      </c>
      <c r="K1099" s="54" t="n">
        <v>7733500</v>
      </c>
      <c r="L1099" s="51" t="n">
        <v>45917</v>
      </c>
      <c r="M1099" s="52" t="n">
        <f aca="false">F1099-K1099</f>
        <v>0</v>
      </c>
      <c r="N1099" s="39" t="str">
        <f aca="false">IF(M1099&lt;=0,"Lunas",IF(K1099&gt;0,"Sebagian","Belum Bayar"))</f>
        <v>Lunas</v>
      </c>
      <c r="O1099" s="39" t="n">
        <f aca="false">IF(M1099&gt;0,MAX(0,Catatan!$B$3-H1099),0)</f>
        <v>0</v>
      </c>
      <c r="P1099" s="39" t="str">
        <f aca="false">IF(M1099&lt;=0,"Lunas",IF(Catatan!$B$3&lt;=H1099,"Belum Jatuh Tempo",IF(O1099&lt;=30,"1-30 hari",IF(O1099&lt;=60,"31-60 hari",IF(O1099&lt;=90,"61-90 hari","90+ hari")))))</f>
        <v>Lunas</v>
      </c>
      <c r="Q1099" s="50"/>
      <c r="R1099" s="39" t="str">
        <f aca="false">IF(M1099&lt;=0,"",IF(O1099&gt;60,"1-Tinggi",IF(O1099&gt;30,"2-Sedang",IF(O1099&gt;0,"3-Rendah","4-Pantau"))))</f>
        <v/>
      </c>
      <c r="S1099" s="39" t="str">
        <f aca="false">IF(AND(M1099&gt;0,O1099&gt;0),O1099+M1099/1000000000000+ROW()/1000000000000000,"")</f>
        <v/>
      </c>
      <c r="T1099" s="39" t="str">
        <f aca="false">IF(J1099="Belum ditukar",ROW(),"")</f>
        <v/>
      </c>
    </row>
    <row r="1100" customFormat="false" ht="15" hidden="false" customHeight="false" outlineLevel="0" collapsed="false">
      <c r="A1100" s="50" t="s">
        <v>1386</v>
      </c>
      <c r="B1100" s="51" t="n">
        <v>45891</v>
      </c>
      <c r="C1100" s="50" t="s">
        <v>199</v>
      </c>
      <c r="D1100" s="39" t="str">
        <f aca="false">INDEX(Master_Customer!$B$2:$B$126,MATCH(C1100,Master_Customer!$A$2:$A$126,0))</f>
        <v>KARYA SPAREPART</v>
      </c>
      <c r="E1100" s="50" t="s">
        <v>29</v>
      </c>
      <c r="F1100" s="52" t="n">
        <f aca="false">SUMIFS(Data_Penjualan!$G$2:$G$5998,Data_Penjualan!$A$2:$A$5998,A1100)</f>
        <v>8495200</v>
      </c>
      <c r="G1100" s="39" t="n">
        <f aca="false">IF(E1100="KANTOR",0,INDEX(Master_Customer!$C$2:$C$126,MATCH(C1100,Master_Customer!$A$2:$A$126,0)))</f>
        <v>45</v>
      </c>
      <c r="H1100" s="53" t="n">
        <f aca="false">B1100+G1100</f>
        <v>45936</v>
      </c>
      <c r="I1100" s="51" t="n">
        <v>45896</v>
      </c>
      <c r="J1100" s="39" t="str">
        <f aca="false">IF(G1100=0,"Tunai",IF(I1100="","Belum ditukar","Sudah ditukar"))</f>
        <v>Sudah ditukar</v>
      </c>
      <c r="K1100" s="54" t="n">
        <v>8495200</v>
      </c>
      <c r="L1100" s="51" t="n">
        <v>45933</v>
      </c>
      <c r="M1100" s="52" t="n">
        <f aca="false">F1100-K1100</f>
        <v>0</v>
      </c>
      <c r="N1100" s="39" t="str">
        <f aca="false">IF(M1100&lt;=0,"Lunas",IF(K1100&gt;0,"Sebagian","Belum Bayar"))</f>
        <v>Lunas</v>
      </c>
      <c r="O1100" s="39" t="n">
        <f aca="false">IF(M1100&gt;0,MAX(0,Catatan!$B$3-H1100),0)</f>
        <v>0</v>
      </c>
      <c r="P1100" s="39" t="str">
        <f aca="false">IF(M1100&lt;=0,"Lunas",IF(Catatan!$B$3&lt;=H1100,"Belum Jatuh Tempo",IF(O1100&lt;=30,"1-30 hari",IF(O1100&lt;=60,"31-60 hari",IF(O1100&lt;=90,"61-90 hari","90+ hari")))))</f>
        <v>Lunas</v>
      </c>
      <c r="Q1100" s="50"/>
      <c r="R1100" s="39" t="str">
        <f aca="false">IF(M1100&lt;=0,"",IF(O1100&gt;60,"1-Tinggi",IF(O1100&gt;30,"2-Sedang",IF(O1100&gt;0,"3-Rendah","4-Pantau"))))</f>
        <v/>
      </c>
      <c r="S1100" s="39" t="str">
        <f aca="false">IF(AND(M1100&gt;0,O1100&gt;0),O1100+M1100/1000000000000+ROW()/1000000000000000,"")</f>
        <v/>
      </c>
      <c r="T1100" s="39" t="str">
        <f aca="false">IF(J1100="Belum ditukar",ROW(),"")</f>
        <v/>
      </c>
    </row>
    <row r="1101" customFormat="false" ht="15" hidden="false" customHeight="false" outlineLevel="0" collapsed="false">
      <c r="A1101" s="50" t="s">
        <v>1387</v>
      </c>
      <c r="B1101" s="51" t="n">
        <v>45891</v>
      </c>
      <c r="C1101" s="50" t="s">
        <v>430</v>
      </c>
      <c r="D1101" s="39" t="str">
        <f aca="false">INDEX(Master_Customer!$B$2:$B$126,MATCH(C1101,Master_Customer!$A$2:$A$126,0))</f>
        <v>TIRTA MOBIL</v>
      </c>
      <c r="E1101" s="50" t="s">
        <v>28</v>
      </c>
      <c r="F1101" s="52" t="n">
        <f aca="false">SUMIFS(Data_Penjualan!$G$2:$G$5998,Data_Penjualan!$A$2:$A$5998,A1101)</f>
        <v>7390200</v>
      </c>
      <c r="G1101" s="39" t="n">
        <f aca="false">IF(E1101="KANTOR",0,INDEX(Master_Customer!$C$2:$C$126,MATCH(C1101,Master_Customer!$A$2:$A$126,0)))</f>
        <v>30</v>
      </c>
      <c r="H1101" s="53" t="n">
        <f aca="false">B1101+G1101</f>
        <v>45921</v>
      </c>
      <c r="I1101" s="51" t="n">
        <v>45894</v>
      </c>
      <c r="J1101" s="39" t="str">
        <f aca="false">IF(G1101=0,"Tunai",IF(I1101="","Belum ditukar","Sudah ditukar"))</f>
        <v>Sudah ditukar</v>
      </c>
      <c r="K1101" s="54" t="n">
        <v>7390200</v>
      </c>
      <c r="L1101" s="51" t="n">
        <v>45921</v>
      </c>
      <c r="M1101" s="52" t="n">
        <f aca="false">F1101-K1101</f>
        <v>0</v>
      </c>
      <c r="N1101" s="39" t="str">
        <f aca="false">IF(M1101&lt;=0,"Lunas",IF(K1101&gt;0,"Sebagian","Belum Bayar"))</f>
        <v>Lunas</v>
      </c>
      <c r="O1101" s="39" t="n">
        <f aca="false">IF(M1101&gt;0,MAX(0,Catatan!$B$3-H1101),0)</f>
        <v>0</v>
      </c>
      <c r="P1101" s="39" t="str">
        <f aca="false">IF(M1101&lt;=0,"Lunas",IF(Catatan!$B$3&lt;=H1101,"Belum Jatuh Tempo",IF(O1101&lt;=30,"1-30 hari",IF(O1101&lt;=60,"31-60 hari",IF(O1101&lt;=90,"61-90 hari","90+ hari")))))</f>
        <v>Lunas</v>
      </c>
      <c r="Q1101" s="50"/>
      <c r="R1101" s="39" t="str">
        <f aca="false">IF(M1101&lt;=0,"",IF(O1101&gt;60,"1-Tinggi",IF(O1101&gt;30,"2-Sedang",IF(O1101&gt;0,"3-Rendah","4-Pantau"))))</f>
        <v/>
      </c>
      <c r="S1101" s="39" t="str">
        <f aca="false">IF(AND(M1101&gt;0,O1101&gt;0),O1101+M1101/1000000000000+ROW()/1000000000000000,"")</f>
        <v/>
      </c>
      <c r="T1101" s="39" t="str">
        <f aca="false">IF(J1101="Belum ditukar",ROW(),"")</f>
        <v/>
      </c>
    </row>
    <row r="1102" customFormat="false" ht="15" hidden="false" customHeight="false" outlineLevel="0" collapsed="false">
      <c r="A1102" s="50" t="s">
        <v>1388</v>
      </c>
      <c r="B1102" s="51" t="n">
        <v>45891</v>
      </c>
      <c r="C1102" s="50" t="s">
        <v>216</v>
      </c>
      <c r="D1102" s="39" t="str">
        <f aca="false">INDEX(Master_Customer!$B$2:$B$126,MATCH(C1102,Master_Customer!$A$2:$A$126,0))</f>
        <v>SINAR MOTOR UTAMA</v>
      </c>
      <c r="E1102" s="50" t="s">
        <v>32</v>
      </c>
      <c r="F1102" s="52" t="n">
        <f aca="false">SUMIFS(Data_Penjualan!$G$2:$G$5998,Data_Penjualan!$A$2:$A$5998,A1102)</f>
        <v>10217100</v>
      </c>
      <c r="G1102" s="39" t="n">
        <f aca="false">IF(E1102="KANTOR",0,INDEX(Master_Customer!$C$2:$C$126,MATCH(C1102,Master_Customer!$A$2:$A$126,0)))</f>
        <v>0</v>
      </c>
      <c r="H1102" s="53" t="n">
        <f aca="false">B1102+G1102</f>
        <v>45891</v>
      </c>
      <c r="J1102" s="39" t="str">
        <f aca="false">IF(G1102=0,"Tunai",IF(I1102="","Belum ditukar","Sudah ditukar"))</f>
        <v>Tunai</v>
      </c>
      <c r="K1102" s="54" t="n">
        <v>10217100</v>
      </c>
      <c r="L1102" s="51" t="n">
        <v>45891</v>
      </c>
      <c r="M1102" s="52" t="n">
        <f aca="false">F1102-K1102</f>
        <v>0</v>
      </c>
      <c r="N1102" s="39" t="str">
        <f aca="false">IF(M1102&lt;=0,"Lunas",IF(K1102&gt;0,"Sebagian","Belum Bayar"))</f>
        <v>Lunas</v>
      </c>
      <c r="O1102" s="39" t="n">
        <f aca="false">IF(M1102&gt;0,MAX(0,Catatan!$B$3-H1102),0)</f>
        <v>0</v>
      </c>
      <c r="P1102" s="39" t="str">
        <f aca="false">IF(M1102&lt;=0,"Lunas",IF(Catatan!$B$3&lt;=H1102,"Belum Jatuh Tempo",IF(O1102&lt;=30,"1-30 hari",IF(O1102&lt;=60,"31-60 hari",IF(O1102&lt;=90,"61-90 hari","90+ hari")))))</f>
        <v>Lunas</v>
      </c>
      <c r="Q1102" s="50"/>
      <c r="R1102" s="39" t="str">
        <f aca="false">IF(M1102&lt;=0,"",IF(O1102&gt;60,"1-Tinggi",IF(O1102&gt;30,"2-Sedang",IF(O1102&gt;0,"3-Rendah","4-Pantau"))))</f>
        <v/>
      </c>
      <c r="S1102" s="39" t="str">
        <f aca="false">IF(AND(M1102&gt;0,O1102&gt;0),O1102+M1102/1000000000000+ROW()/1000000000000000,"")</f>
        <v/>
      </c>
      <c r="T1102" s="39" t="str">
        <f aca="false">IF(J1102="Belum ditukar",ROW(),"")</f>
        <v/>
      </c>
    </row>
    <row r="1103" customFormat="false" ht="15" hidden="false" customHeight="false" outlineLevel="0" collapsed="false">
      <c r="A1103" s="50" t="s">
        <v>1389</v>
      </c>
      <c r="B1103" s="51" t="n">
        <v>45891</v>
      </c>
      <c r="C1103" s="50" t="s">
        <v>188</v>
      </c>
      <c r="D1103" s="39" t="str">
        <f aca="false">INDEX(Master_Customer!$B$2:$B$126,MATCH(C1103,Master_Customer!$A$2:$A$126,0))</f>
        <v>MAJU GARAGE TIRTA</v>
      </c>
      <c r="E1103" s="50" t="s">
        <v>31</v>
      </c>
      <c r="F1103" s="52" t="n">
        <f aca="false">SUMIFS(Data_Penjualan!$G$2:$G$5998,Data_Penjualan!$A$2:$A$5998,A1103)</f>
        <v>12503500</v>
      </c>
      <c r="G1103" s="39" t="n">
        <f aca="false">IF(E1103="KANTOR",0,INDEX(Master_Customer!$C$2:$C$126,MATCH(C1103,Master_Customer!$A$2:$A$126,0)))</f>
        <v>45</v>
      </c>
      <c r="H1103" s="53" t="n">
        <f aca="false">B1103+G1103</f>
        <v>45936</v>
      </c>
      <c r="I1103" s="51" t="n">
        <v>45893</v>
      </c>
      <c r="J1103" s="39" t="str">
        <f aca="false">IF(G1103=0,"Tunai",IF(I1103="","Belum ditukar","Sudah ditukar"))</f>
        <v>Sudah ditukar</v>
      </c>
      <c r="K1103" s="54" t="n">
        <v>12503500</v>
      </c>
      <c r="L1103" s="51" t="n">
        <v>45945</v>
      </c>
      <c r="M1103" s="52" t="n">
        <f aca="false">F1103-K1103</f>
        <v>0</v>
      </c>
      <c r="N1103" s="39" t="str">
        <f aca="false">IF(M1103&lt;=0,"Lunas",IF(K1103&gt;0,"Sebagian","Belum Bayar"))</f>
        <v>Lunas</v>
      </c>
      <c r="O1103" s="39" t="n">
        <f aca="false">IF(M1103&gt;0,MAX(0,Catatan!$B$3-H1103),0)</f>
        <v>0</v>
      </c>
      <c r="P1103" s="39" t="str">
        <f aca="false">IF(M1103&lt;=0,"Lunas",IF(Catatan!$B$3&lt;=H1103,"Belum Jatuh Tempo",IF(O1103&lt;=30,"1-30 hari",IF(O1103&lt;=60,"31-60 hari",IF(O1103&lt;=90,"61-90 hari","90+ hari")))))</f>
        <v>Lunas</v>
      </c>
      <c r="Q1103" s="50"/>
      <c r="R1103" s="39" t="str">
        <f aca="false">IF(M1103&lt;=0,"",IF(O1103&gt;60,"1-Tinggi",IF(O1103&gt;30,"2-Sedang",IF(O1103&gt;0,"3-Rendah","4-Pantau"))))</f>
        <v/>
      </c>
      <c r="S1103" s="39" t="str">
        <f aca="false">IF(AND(M1103&gt;0,O1103&gt;0),O1103+M1103/1000000000000+ROW()/1000000000000000,"")</f>
        <v/>
      </c>
      <c r="T1103" s="39" t="str">
        <f aca="false">IF(J1103="Belum ditukar",ROW(),"")</f>
        <v/>
      </c>
    </row>
    <row r="1104" customFormat="false" ht="15" hidden="false" customHeight="false" outlineLevel="0" collapsed="false">
      <c r="A1104" s="50" t="s">
        <v>1390</v>
      </c>
      <c r="B1104" s="51" t="n">
        <v>45891</v>
      </c>
      <c r="C1104" s="50" t="s">
        <v>188</v>
      </c>
      <c r="D1104" s="39" t="str">
        <f aca="false">INDEX(Master_Customer!$B$2:$B$126,MATCH(C1104,Master_Customer!$A$2:$A$126,0))</f>
        <v>MAJU GARAGE TIRTA</v>
      </c>
      <c r="E1104" s="50" t="s">
        <v>31</v>
      </c>
      <c r="F1104" s="52" t="n">
        <f aca="false">SUMIFS(Data_Penjualan!$G$2:$G$5998,Data_Penjualan!$A$2:$A$5998,A1104)</f>
        <v>12035700</v>
      </c>
      <c r="G1104" s="39" t="n">
        <f aca="false">IF(E1104="KANTOR",0,INDEX(Master_Customer!$C$2:$C$126,MATCH(C1104,Master_Customer!$A$2:$A$126,0)))</f>
        <v>45</v>
      </c>
      <c r="H1104" s="53" t="n">
        <f aca="false">B1104+G1104</f>
        <v>45936</v>
      </c>
      <c r="I1104" s="51" t="n">
        <v>45895</v>
      </c>
      <c r="J1104" s="39" t="str">
        <f aca="false">IF(G1104=0,"Tunai",IF(I1104="","Belum ditukar","Sudah ditukar"))</f>
        <v>Sudah ditukar</v>
      </c>
      <c r="K1104" s="54" t="n">
        <v>12035700</v>
      </c>
      <c r="L1104" s="51" t="n">
        <v>45956</v>
      </c>
      <c r="M1104" s="52" t="n">
        <f aca="false">F1104-K1104</f>
        <v>0</v>
      </c>
      <c r="N1104" s="39" t="str">
        <f aca="false">IF(M1104&lt;=0,"Lunas",IF(K1104&gt;0,"Sebagian","Belum Bayar"))</f>
        <v>Lunas</v>
      </c>
      <c r="O1104" s="39" t="n">
        <f aca="false">IF(M1104&gt;0,MAX(0,Catatan!$B$3-H1104),0)</f>
        <v>0</v>
      </c>
      <c r="P1104" s="39" t="str">
        <f aca="false">IF(M1104&lt;=0,"Lunas",IF(Catatan!$B$3&lt;=H1104,"Belum Jatuh Tempo",IF(O1104&lt;=30,"1-30 hari",IF(O1104&lt;=60,"31-60 hari",IF(O1104&lt;=90,"61-90 hari","90+ hari")))))</f>
        <v>Lunas</v>
      </c>
      <c r="Q1104" s="50"/>
      <c r="R1104" s="39" t="str">
        <f aca="false">IF(M1104&lt;=0,"",IF(O1104&gt;60,"1-Tinggi",IF(O1104&gt;30,"2-Sedang",IF(O1104&gt;0,"3-Rendah","4-Pantau"))))</f>
        <v/>
      </c>
      <c r="S1104" s="39" t="str">
        <f aca="false">IF(AND(M1104&gt;0,O1104&gt;0),O1104+M1104/1000000000000+ROW()/1000000000000000,"")</f>
        <v/>
      </c>
      <c r="T1104" s="39" t="str">
        <f aca="false">IF(J1104="Belum ditukar",ROW(),"")</f>
        <v/>
      </c>
    </row>
    <row r="1105" customFormat="false" ht="15" hidden="false" customHeight="false" outlineLevel="0" collapsed="false">
      <c r="A1105" s="50" t="s">
        <v>1391</v>
      </c>
      <c r="B1105" s="51" t="n">
        <v>45892</v>
      </c>
      <c r="C1105" s="50" t="s">
        <v>419</v>
      </c>
      <c r="D1105" s="39" t="str">
        <f aca="false">INDEX(Master_Customer!$B$2:$B$126,MATCH(C1105,Master_Customer!$A$2:$A$126,0))</f>
        <v>UTAMA MOTOR</v>
      </c>
      <c r="E1105" s="50" t="s">
        <v>30</v>
      </c>
      <c r="F1105" s="52" t="n">
        <f aca="false">SUMIFS(Data_Penjualan!$G$2:$G$5998,Data_Penjualan!$A$2:$A$5998,A1105)</f>
        <v>14006100</v>
      </c>
      <c r="G1105" s="39" t="n">
        <f aca="false">IF(E1105="KANTOR",0,INDEX(Master_Customer!$C$2:$C$126,MATCH(C1105,Master_Customer!$A$2:$A$126,0)))</f>
        <v>14</v>
      </c>
      <c r="H1105" s="53" t="n">
        <f aca="false">B1105+G1105</f>
        <v>45906</v>
      </c>
      <c r="I1105" s="51" t="n">
        <v>45895</v>
      </c>
      <c r="J1105" s="39" t="str">
        <f aca="false">IF(G1105=0,"Tunai",IF(I1105="","Belum ditukar","Sudah ditukar"))</f>
        <v>Sudah ditukar</v>
      </c>
      <c r="K1105" s="54" t="n">
        <v>14006100</v>
      </c>
      <c r="L1105" s="51" t="n">
        <v>45903</v>
      </c>
      <c r="M1105" s="52" t="n">
        <f aca="false">F1105-K1105</f>
        <v>0</v>
      </c>
      <c r="N1105" s="39" t="str">
        <f aca="false">IF(M1105&lt;=0,"Lunas",IF(K1105&gt;0,"Sebagian","Belum Bayar"))</f>
        <v>Lunas</v>
      </c>
      <c r="O1105" s="39" t="n">
        <f aca="false">IF(M1105&gt;0,MAX(0,Catatan!$B$3-H1105),0)</f>
        <v>0</v>
      </c>
      <c r="P1105" s="39" t="str">
        <f aca="false">IF(M1105&lt;=0,"Lunas",IF(Catatan!$B$3&lt;=H1105,"Belum Jatuh Tempo",IF(O1105&lt;=30,"1-30 hari",IF(O1105&lt;=60,"31-60 hari",IF(O1105&lt;=90,"61-90 hari","90+ hari")))))</f>
        <v>Lunas</v>
      </c>
      <c r="Q1105" s="50"/>
      <c r="R1105" s="39" t="str">
        <f aca="false">IF(M1105&lt;=0,"",IF(O1105&gt;60,"1-Tinggi",IF(O1105&gt;30,"2-Sedang",IF(O1105&gt;0,"3-Rendah","4-Pantau"))))</f>
        <v/>
      </c>
      <c r="S1105" s="39" t="str">
        <f aca="false">IF(AND(M1105&gt;0,O1105&gt;0),O1105+M1105/1000000000000+ROW()/1000000000000000,"")</f>
        <v/>
      </c>
      <c r="T1105" s="39" t="str">
        <f aca="false">IF(J1105="Belum ditukar",ROW(),"")</f>
        <v/>
      </c>
    </row>
    <row r="1106" customFormat="false" ht="15" hidden="false" customHeight="false" outlineLevel="0" collapsed="false">
      <c r="A1106" s="50" t="s">
        <v>1392</v>
      </c>
      <c r="B1106" s="51" t="n">
        <v>45892</v>
      </c>
      <c r="C1106" s="50" t="s">
        <v>251</v>
      </c>
      <c r="D1106" s="39" t="str">
        <f aca="false">INDEX(Master_Customer!$B$2:$B$126,MATCH(C1106,Master_Customer!$A$2:$A$126,0))</f>
        <v>MAJU SPAREPART</v>
      </c>
      <c r="E1106" s="50" t="s">
        <v>29</v>
      </c>
      <c r="F1106" s="52" t="n">
        <f aca="false">SUMIFS(Data_Penjualan!$G$2:$G$5998,Data_Penjualan!$A$2:$A$5998,A1106)</f>
        <v>8980100</v>
      </c>
      <c r="G1106" s="39" t="n">
        <f aca="false">IF(E1106="KANTOR",0,INDEX(Master_Customer!$C$2:$C$126,MATCH(C1106,Master_Customer!$A$2:$A$126,0)))</f>
        <v>45</v>
      </c>
      <c r="H1106" s="53" t="n">
        <f aca="false">B1106+G1106</f>
        <v>45937</v>
      </c>
      <c r="I1106" s="51" t="n">
        <v>45895</v>
      </c>
      <c r="J1106" s="39" t="str">
        <f aca="false">IF(G1106=0,"Tunai",IF(I1106="","Belum ditukar","Sudah ditukar"))</f>
        <v>Sudah ditukar</v>
      </c>
      <c r="K1106" s="54" t="n">
        <v>8980100</v>
      </c>
      <c r="L1106" s="51" t="n">
        <v>45930</v>
      </c>
      <c r="M1106" s="52" t="n">
        <f aca="false">F1106-K1106</f>
        <v>0</v>
      </c>
      <c r="N1106" s="39" t="str">
        <f aca="false">IF(M1106&lt;=0,"Lunas",IF(K1106&gt;0,"Sebagian","Belum Bayar"))</f>
        <v>Lunas</v>
      </c>
      <c r="O1106" s="39" t="n">
        <f aca="false">IF(M1106&gt;0,MAX(0,Catatan!$B$3-H1106),0)</f>
        <v>0</v>
      </c>
      <c r="P1106" s="39" t="str">
        <f aca="false">IF(M1106&lt;=0,"Lunas",IF(Catatan!$B$3&lt;=H1106,"Belum Jatuh Tempo",IF(O1106&lt;=30,"1-30 hari",IF(O1106&lt;=60,"31-60 hari",IF(O1106&lt;=90,"61-90 hari","90+ hari")))))</f>
        <v>Lunas</v>
      </c>
      <c r="Q1106" s="50"/>
      <c r="R1106" s="39" t="str">
        <f aca="false">IF(M1106&lt;=0,"",IF(O1106&gt;60,"1-Tinggi",IF(O1106&gt;30,"2-Sedang",IF(O1106&gt;0,"3-Rendah","4-Pantau"))))</f>
        <v/>
      </c>
      <c r="S1106" s="39" t="str">
        <f aca="false">IF(AND(M1106&gt;0,O1106&gt;0),O1106+M1106/1000000000000+ROW()/1000000000000000,"")</f>
        <v/>
      </c>
      <c r="T1106" s="39" t="str">
        <f aca="false">IF(J1106="Belum ditukar",ROW(),"")</f>
        <v/>
      </c>
    </row>
    <row r="1107" customFormat="false" ht="15" hidden="false" customHeight="false" outlineLevel="0" collapsed="false">
      <c r="A1107" s="50" t="s">
        <v>1393</v>
      </c>
      <c r="B1107" s="51" t="n">
        <v>45892</v>
      </c>
      <c r="C1107" s="50" t="s">
        <v>166</v>
      </c>
      <c r="D1107" s="39" t="str">
        <f aca="false">INDEX(Master_Customer!$B$2:$B$126,MATCH(C1107,Master_Customer!$A$2:$A$126,0))</f>
        <v>SENTOSA SERVICE</v>
      </c>
      <c r="E1107" s="50" t="s">
        <v>32</v>
      </c>
      <c r="F1107" s="52" t="n">
        <f aca="false">SUMIFS(Data_Penjualan!$G$2:$G$5998,Data_Penjualan!$A$2:$A$5998,A1107)</f>
        <v>10880400</v>
      </c>
      <c r="G1107" s="39" t="n">
        <f aca="false">IF(E1107="KANTOR",0,INDEX(Master_Customer!$C$2:$C$126,MATCH(C1107,Master_Customer!$A$2:$A$126,0)))</f>
        <v>0</v>
      </c>
      <c r="H1107" s="53" t="n">
        <f aca="false">B1107+G1107</f>
        <v>45892</v>
      </c>
      <c r="J1107" s="39" t="str">
        <f aca="false">IF(G1107=0,"Tunai",IF(I1107="","Belum ditukar","Sudah ditukar"))</f>
        <v>Tunai</v>
      </c>
      <c r="K1107" s="54" t="n">
        <v>10880400</v>
      </c>
      <c r="L1107" s="51" t="n">
        <v>45893</v>
      </c>
      <c r="M1107" s="52" t="n">
        <f aca="false">F1107-K1107</f>
        <v>0</v>
      </c>
      <c r="N1107" s="39" t="str">
        <f aca="false">IF(M1107&lt;=0,"Lunas",IF(K1107&gt;0,"Sebagian","Belum Bayar"))</f>
        <v>Lunas</v>
      </c>
      <c r="O1107" s="39" t="n">
        <f aca="false">IF(M1107&gt;0,MAX(0,Catatan!$B$3-H1107),0)</f>
        <v>0</v>
      </c>
      <c r="P1107" s="39" t="str">
        <f aca="false">IF(M1107&lt;=0,"Lunas",IF(Catatan!$B$3&lt;=H1107,"Belum Jatuh Tempo",IF(O1107&lt;=30,"1-30 hari",IF(O1107&lt;=60,"31-60 hari",IF(O1107&lt;=90,"61-90 hari","90+ hari")))))</f>
        <v>Lunas</v>
      </c>
      <c r="Q1107" s="50"/>
      <c r="R1107" s="39" t="str">
        <f aca="false">IF(M1107&lt;=0,"",IF(O1107&gt;60,"1-Tinggi",IF(O1107&gt;30,"2-Sedang",IF(O1107&gt;0,"3-Rendah","4-Pantau"))))</f>
        <v/>
      </c>
      <c r="S1107" s="39" t="str">
        <f aca="false">IF(AND(M1107&gt;0,O1107&gt;0),O1107+M1107/1000000000000+ROW()/1000000000000000,"")</f>
        <v/>
      </c>
      <c r="T1107" s="39" t="str">
        <f aca="false">IF(J1107="Belum ditukar",ROW(),"")</f>
        <v/>
      </c>
    </row>
    <row r="1108" customFormat="false" ht="15" hidden="false" customHeight="false" outlineLevel="0" collapsed="false">
      <c r="A1108" s="50" t="s">
        <v>1394</v>
      </c>
      <c r="B1108" s="51" t="n">
        <v>45892</v>
      </c>
      <c r="C1108" s="50" t="s">
        <v>286</v>
      </c>
      <c r="D1108" s="39" t="str">
        <f aca="false">INDEX(Master_Customer!$B$2:$B$126,MATCH(C1108,Master_Customer!$A$2:$A$126,0))</f>
        <v>CAHAYA AUTO</v>
      </c>
      <c r="E1108" s="50" t="s">
        <v>29</v>
      </c>
      <c r="F1108" s="52" t="n">
        <f aca="false">SUMIFS(Data_Penjualan!$G$2:$G$5998,Data_Penjualan!$A$2:$A$5998,A1108)</f>
        <v>2106700</v>
      </c>
      <c r="G1108" s="39" t="n">
        <f aca="false">IF(E1108="KANTOR",0,INDEX(Master_Customer!$C$2:$C$126,MATCH(C1108,Master_Customer!$A$2:$A$126,0)))</f>
        <v>0</v>
      </c>
      <c r="H1108" s="53" t="n">
        <f aca="false">B1108+G1108</f>
        <v>45892</v>
      </c>
      <c r="J1108" s="39" t="str">
        <f aca="false">IF(G1108=0,"Tunai",IF(I1108="","Belum ditukar","Sudah ditukar"))</f>
        <v>Tunai</v>
      </c>
      <c r="K1108" s="54" t="n">
        <v>2106700</v>
      </c>
      <c r="L1108" s="51" t="n">
        <v>45894</v>
      </c>
      <c r="M1108" s="52" t="n">
        <f aca="false">F1108-K1108</f>
        <v>0</v>
      </c>
      <c r="N1108" s="39" t="str">
        <f aca="false">IF(M1108&lt;=0,"Lunas",IF(K1108&gt;0,"Sebagian","Belum Bayar"))</f>
        <v>Lunas</v>
      </c>
      <c r="O1108" s="39" t="n">
        <f aca="false">IF(M1108&gt;0,MAX(0,Catatan!$B$3-H1108),0)</f>
        <v>0</v>
      </c>
      <c r="P1108" s="39" t="str">
        <f aca="false">IF(M1108&lt;=0,"Lunas",IF(Catatan!$B$3&lt;=H1108,"Belum Jatuh Tempo",IF(O1108&lt;=30,"1-30 hari",IF(O1108&lt;=60,"31-60 hari",IF(O1108&lt;=90,"61-90 hari","90+ hari")))))</f>
        <v>Lunas</v>
      </c>
      <c r="Q1108" s="50"/>
      <c r="R1108" s="39" t="str">
        <f aca="false">IF(M1108&lt;=0,"",IF(O1108&gt;60,"1-Tinggi",IF(O1108&gt;30,"2-Sedang",IF(O1108&gt;0,"3-Rendah","4-Pantau"))))</f>
        <v/>
      </c>
      <c r="S1108" s="39" t="str">
        <f aca="false">IF(AND(M1108&gt;0,O1108&gt;0),O1108+M1108/1000000000000+ROW()/1000000000000000,"")</f>
        <v/>
      </c>
      <c r="T1108" s="39" t="str">
        <f aca="false">IF(J1108="Belum ditukar",ROW(),"")</f>
        <v/>
      </c>
    </row>
    <row r="1109" customFormat="false" ht="15" hidden="false" customHeight="false" outlineLevel="0" collapsed="false">
      <c r="A1109" s="50" t="s">
        <v>1395</v>
      </c>
      <c r="B1109" s="51" t="n">
        <v>45892</v>
      </c>
      <c r="C1109" s="50" t="s">
        <v>382</v>
      </c>
      <c r="D1109" s="39" t="str">
        <f aca="false">INDEX(Master_Customer!$B$2:$B$126,MATCH(C1109,Master_Customer!$A$2:$A$126,0))</f>
        <v>BERKAH SPAREPART</v>
      </c>
      <c r="E1109" s="50" t="s">
        <v>29</v>
      </c>
      <c r="F1109" s="52" t="n">
        <f aca="false">SUMIFS(Data_Penjualan!$G$2:$G$5998,Data_Penjualan!$A$2:$A$5998,A1109)</f>
        <v>4564600</v>
      </c>
      <c r="G1109" s="39" t="n">
        <f aca="false">IF(E1109="KANTOR",0,INDEX(Master_Customer!$C$2:$C$126,MATCH(C1109,Master_Customer!$A$2:$A$126,0)))</f>
        <v>30</v>
      </c>
      <c r="H1109" s="53" t="n">
        <f aca="false">B1109+G1109</f>
        <v>45922</v>
      </c>
      <c r="I1109" s="51" t="n">
        <v>45897</v>
      </c>
      <c r="J1109" s="39" t="str">
        <f aca="false">IF(G1109=0,"Tunai",IF(I1109="","Belum ditukar","Sudah ditukar"))</f>
        <v>Sudah ditukar</v>
      </c>
      <c r="K1109" s="54" t="n">
        <v>4564600</v>
      </c>
      <c r="L1109" s="51" t="n">
        <v>45923</v>
      </c>
      <c r="M1109" s="52" t="n">
        <f aca="false">F1109-K1109</f>
        <v>0</v>
      </c>
      <c r="N1109" s="39" t="str">
        <f aca="false">IF(M1109&lt;=0,"Lunas",IF(K1109&gt;0,"Sebagian","Belum Bayar"))</f>
        <v>Lunas</v>
      </c>
      <c r="O1109" s="39" t="n">
        <f aca="false">IF(M1109&gt;0,MAX(0,Catatan!$B$3-H1109),0)</f>
        <v>0</v>
      </c>
      <c r="P1109" s="39" t="str">
        <f aca="false">IF(M1109&lt;=0,"Lunas",IF(Catatan!$B$3&lt;=H1109,"Belum Jatuh Tempo",IF(O1109&lt;=30,"1-30 hari",IF(O1109&lt;=60,"31-60 hari",IF(O1109&lt;=90,"61-90 hari","90+ hari")))))</f>
        <v>Lunas</v>
      </c>
      <c r="Q1109" s="50"/>
      <c r="R1109" s="39" t="str">
        <f aca="false">IF(M1109&lt;=0,"",IF(O1109&gt;60,"1-Tinggi",IF(O1109&gt;30,"2-Sedang",IF(O1109&gt;0,"3-Rendah","4-Pantau"))))</f>
        <v/>
      </c>
      <c r="S1109" s="39" t="str">
        <f aca="false">IF(AND(M1109&gt;0,O1109&gt;0),O1109+M1109/1000000000000+ROW()/1000000000000000,"")</f>
        <v/>
      </c>
      <c r="T1109" s="39" t="str">
        <f aca="false">IF(J1109="Belum ditukar",ROW(),"")</f>
        <v/>
      </c>
    </row>
    <row r="1110" customFormat="false" ht="15" hidden="false" customHeight="false" outlineLevel="0" collapsed="false">
      <c r="A1110" s="50" t="s">
        <v>1396</v>
      </c>
      <c r="B1110" s="51" t="n">
        <v>45894</v>
      </c>
      <c r="C1110" s="50" t="s">
        <v>199</v>
      </c>
      <c r="D1110" s="39" t="str">
        <f aca="false">INDEX(Master_Customer!$B$2:$B$126,MATCH(C1110,Master_Customer!$A$2:$A$126,0))</f>
        <v>KARYA SPAREPART</v>
      </c>
      <c r="E1110" s="50" t="s">
        <v>29</v>
      </c>
      <c r="F1110" s="52" t="n">
        <f aca="false">SUMIFS(Data_Penjualan!$G$2:$G$5998,Data_Penjualan!$A$2:$A$5998,A1110)</f>
        <v>23564800</v>
      </c>
      <c r="G1110" s="39" t="n">
        <f aca="false">IF(E1110="KANTOR",0,INDEX(Master_Customer!$C$2:$C$126,MATCH(C1110,Master_Customer!$A$2:$A$126,0)))</f>
        <v>45</v>
      </c>
      <c r="H1110" s="53" t="n">
        <f aca="false">B1110+G1110</f>
        <v>45939</v>
      </c>
      <c r="I1110" s="51" t="n">
        <v>45899</v>
      </c>
      <c r="J1110" s="39" t="str">
        <f aca="false">IF(G1110=0,"Tunai",IF(I1110="","Belum ditukar","Sudah ditukar"))</f>
        <v>Sudah ditukar</v>
      </c>
      <c r="K1110" s="54" t="n">
        <v>23564800</v>
      </c>
      <c r="L1110" s="51" t="n">
        <v>45944</v>
      </c>
      <c r="M1110" s="52" t="n">
        <f aca="false">F1110-K1110</f>
        <v>0</v>
      </c>
      <c r="N1110" s="39" t="str">
        <f aca="false">IF(M1110&lt;=0,"Lunas",IF(K1110&gt;0,"Sebagian","Belum Bayar"))</f>
        <v>Lunas</v>
      </c>
      <c r="O1110" s="39" t="n">
        <f aca="false">IF(M1110&gt;0,MAX(0,Catatan!$B$3-H1110),0)</f>
        <v>0</v>
      </c>
      <c r="P1110" s="39" t="str">
        <f aca="false">IF(M1110&lt;=0,"Lunas",IF(Catatan!$B$3&lt;=H1110,"Belum Jatuh Tempo",IF(O1110&lt;=30,"1-30 hari",IF(O1110&lt;=60,"31-60 hari",IF(O1110&lt;=90,"61-90 hari","90+ hari")))))</f>
        <v>Lunas</v>
      </c>
      <c r="Q1110" s="50"/>
      <c r="R1110" s="39" t="str">
        <f aca="false">IF(M1110&lt;=0,"",IF(O1110&gt;60,"1-Tinggi",IF(O1110&gt;30,"2-Sedang",IF(O1110&gt;0,"3-Rendah","4-Pantau"))))</f>
        <v/>
      </c>
      <c r="S1110" s="39" t="str">
        <f aca="false">IF(AND(M1110&gt;0,O1110&gt;0),O1110+M1110/1000000000000+ROW()/1000000000000000,"")</f>
        <v/>
      </c>
      <c r="T1110" s="39" t="str">
        <f aca="false">IF(J1110="Belum ditukar",ROW(),"")</f>
        <v/>
      </c>
    </row>
    <row r="1111" customFormat="false" ht="15" hidden="false" customHeight="false" outlineLevel="0" collapsed="false">
      <c r="A1111" s="50" t="s">
        <v>1397</v>
      </c>
      <c r="B1111" s="51" t="n">
        <v>45894</v>
      </c>
      <c r="C1111" s="50" t="s">
        <v>419</v>
      </c>
      <c r="D1111" s="39" t="str">
        <f aca="false">INDEX(Master_Customer!$B$2:$B$126,MATCH(C1111,Master_Customer!$A$2:$A$126,0))</f>
        <v>UTAMA MOTOR</v>
      </c>
      <c r="E1111" s="50" t="s">
        <v>30</v>
      </c>
      <c r="F1111" s="52" t="n">
        <f aca="false">SUMIFS(Data_Penjualan!$G$2:$G$5998,Data_Penjualan!$A$2:$A$5998,A1111)</f>
        <v>13970100</v>
      </c>
      <c r="G1111" s="39" t="n">
        <f aca="false">IF(E1111="KANTOR",0,INDEX(Master_Customer!$C$2:$C$126,MATCH(C1111,Master_Customer!$A$2:$A$126,0)))</f>
        <v>14</v>
      </c>
      <c r="H1111" s="53" t="n">
        <f aca="false">B1111+G1111</f>
        <v>45908</v>
      </c>
      <c r="I1111" s="51" t="n">
        <v>45896</v>
      </c>
      <c r="J1111" s="39" t="str">
        <f aca="false">IF(G1111=0,"Tunai",IF(I1111="","Belum ditukar","Sudah ditukar"))</f>
        <v>Sudah ditukar</v>
      </c>
      <c r="K1111" s="54" t="n">
        <v>13970100</v>
      </c>
      <c r="L1111" s="51" t="n">
        <v>45904</v>
      </c>
      <c r="M1111" s="52" t="n">
        <f aca="false">F1111-K1111</f>
        <v>0</v>
      </c>
      <c r="N1111" s="39" t="str">
        <f aca="false">IF(M1111&lt;=0,"Lunas",IF(K1111&gt;0,"Sebagian","Belum Bayar"))</f>
        <v>Lunas</v>
      </c>
      <c r="O1111" s="39" t="n">
        <f aca="false">IF(M1111&gt;0,MAX(0,Catatan!$B$3-H1111),0)</f>
        <v>0</v>
      </c>
      <c r="P1111" s="39" t="str">
        <f aca="false">IF(M1111&lt;=0,"Lunas",IF(Catatan!$B$3&lt;=H1111,"Belum Jatuh Tempo",IF(O1111&lt;=30,"1-30 hari",IF(O1111&lt;=60,"31-60 hari",IF(O1111&lt;=90,"61-90 hari","90+ hari")))))</f>
        <v>Lunas</v>
      </c>
      <c r="Q1111" s="50"/>
      <c r="R1111" s="39" t="str">
        <f aca="false">IF(M1111&lt;=0,"",IF(O1111&gt;60,"1-Tinggi",IF(O1111&gt;30,"2-Sedang",IF(O1111&gt;0,"3-Rendah","4-Pantau"))))</f>
        <v/>
      </c>
      <c r="S1111" s="39" t="str">
        <f aca="false">IF(AND(M1111&gt;0,O1111&gt;0),O1111+M1111/1000000000000+ROW()/1000000000000000,"")</f>
        <v/>
      </c>
      <c r="T1111" s="39" t="str">
        <f aca="false">IF(J1111="Belum ditukar",ROW(),"")</f>
        <v/>
      </c>
    </row>
    <row r="1112" customFormat="false" ht="15" hidden="false" customHeight="false" outlineLevel="0" collapsed="false">
      <c r="A1112" s="50" t="s">
        <v>1398</v>
      </c>
      <c r="B1112" s="51" t="n">
        <v>45894</v>
      </c>
      <c r="C1112" s="50" t="s">
        <v>1399</v>
      </c>
      <c r="D1112" s="39" t="str">
        <f aca="false">INDEX(Master_Customer!$B$2:$B$126,MATCH(C1112,Master_Customer!$A$2:$A$126,0))</f>
        <v>SENTOSA GARAGE</v>
      </c>
      <c r="E1112" s="50" t="s">
        <v>29</v>
      </c>
      <c r="F1112" s="52" t="n">
        <f aca="false">SUMIFS(Data_Penjualan!$G$2:$G$5998,Data_Penjualan!$A$2:$A$5998,A1112)</f>
        <v>11495700</v>
      </c>
      <c r="G1112" s="39" t="n">
        <f aca="false">IF(E1112="KANTOR",0,INDEX(Master_Customer!$C$2:$C$126,MATCH(C1112,Master_Customer!$A$2:$A$126,0)))</f>
        <v>30</v>
      </c>
      <c r="H1112" s="53" t="n">
        <f aca="false">B1112+G1112</f>
        <v>45924</v>
      </c>
      <c r="I1112" s="51" t="n">
        <v>45895</v>
      </c>
      <c r="J1112" s="39" t="str">
        <f aca="false">IF(G1112=0,"Tunai",IF(I1112="","Belum ditukar","Sudah ditukar"))</f>
        <v>Sudah ditukar</v>
      </c>
      <c r="K1112" s="54" t="n">
        <v>11495700</v>
      </c>
      <c r="L1112" s="51" t="n">
        <v>45922</v>
      </c>
      <c r="M1112" s="52" t="n">
        <f aca="false">F1112-K1112</f>
        <v>0</v>
      </c>
      <c r="N1112" s="39" t="str">
        <f aca="false">IF(M1112&lt;=0,"Lunas",IF(K1112&gt;0,"Sebagian","Belum Bayar"))</f>
        <v>Lunas</v>
      </c>
      <c r="O1112" s="39" t="n">
        <f aca="false">IF(M1112&gt;0,MAX(0,Catatan!$B$3-H1112),0)</f>
        <v>0</v>
      </c>
      <c r="P1112" s="39" t="str">
        <f aca="false">IF(M1112&lt;=0,"Lunas",IF(Catatan!$B$3&lt;=H1112,"Belum Jatuh Tempo",IF(O1112&lt;=30,"1-30 hari",IF(O1112&lt;=60,"31-60 hari",IF(O1112&lt;=90,"61-90 hari","90+ hari")))))</f>
        <v>Lunas</v>
      </c>
      <c r="Q1112" s="50"/>
      <c r="R1112" s="39" t="str">
        <f aca="false">IF(M1112&lt;=0,"",IF(O1112&gt;60,"1-Tinggi",IF(O1112&gt;30,"2-Sedang",IF(O1112&gt;0,"3-Rendah","4-Pantau"))))</f>
        <v/>
      </c>
      <c r="S1112" s="39" t="str">
        <f aca="false">IF(AND(M1112&gt;0,O1112&gt;0),O1112+M1112/1000000000000+ROW()/1000000000000000,"")</f>
        <v/>
      </c>
      <c r="T1112" s="39" t="str">
        <f aca="false">IF(J1112="Belum ditukar",ROW(),"")</f>
        <v/>
      </c>
    </row>
    <row r="1113" customFormat="false" ht="15" hidden="false" customHeight="false" outlineLevel="0" collapsed="false">
      <c r="A1113" s="50" t="s">
        <v>1400</v>
      </c>
      <c r="B1113" s="51" t="n">
        <v>45894</v>
      </c>
      <c r="C1113" s="50" t="s">
        <v>329</v>
      </c>
      <c r="D1113" s="39" t="str">
        <f aca="false">INDEX(Master_Customer!$B$2:$B$126,MATCH(C1113,Master_Customer!$A$2:$A$126,0))</f>
        <v>MAKMUR OLI</v>
      </c>
      <c r="E1113" s="50" t="s">
        <v>28</v>
      </c>
      <c r="F1113" s="52" t="n">
        <f aca="false">SUMIFS(Data_Penjualan!$G$2:$G$5998,Data_Penjualan!$A$2:$A$5998,A1113)</f>
        <v>7179600</v>
      </c>
      <c r="G1113" s="39" t="n">
        <f aca="false">IF(E1113="KANTOR",0,INDEX(Master_Customer!$C$2:$C$126,MATCH(C1113,Master_Customer!$A$2:$A$126,0)))</f>
        <v>45</v>
      </c>
      <c r="H1113" s="53" t="n">
        <f aca="false">B1113+G1113</f>
        <v>45939</v>
      </c>
      <c r="I1113" s="51" t="n">
        <v>45898</v>
      </c>
      <c r="J1113" s="39" t="str">
        <f aca="false">IF(G1113=0,"Tunai",IF(I1113="","Belum ditukar","Sudah ditukar"))</f>
        <v>Sudah ditukar</v>
      </c>
      <c r="K1113" s="54" t="n">
        <v>7179600</v>
      </c>
      <c r="L1113" s="51" t="n">
        <v>45955</v>
      </c>
      <c r="M1113" s="52" t="n">
        <f aca="false">F1113-K1113</f>
        <v>0</v>
      </c>
      <c r="N1113" s="39" t="str">
        <f aca="false">IF(M1113&lt;=0,"Lunas",IF(K1113&gt;0,"Sebagian","Belum Bayar"))</f>
        <v>Lunas</v>
      </c>
      <c r="O1113" s="39" t="n">
        <f aca="false">IF(M1113&gt;0,MAX(0,Catatan!$B$3-H1113),0)</f>
        <v>0</v>
      </c>
      <c r="P1113" s="39" t="str">
        <f aca="false">IF(M1113&lt;=0,"Lunas",IF(Catatan!$B$3&lt;=H1113,"Belum Jatuh Tempo",IF(O1113&lt;=30,"1-30 hari",IF(O1113&lt;=60,"31-60 hari",IF(O1113&lt;=90,"61-90 hari","90+ hari")))))</f>
        <v>Lunas</v>
      </c>
      <c r="Q1113" s="50"/>
      <c r="R1113" s="39" t="str">
        <f aca="false">IF(M1113&lt;=0,"",IF(O1113&gt;60,"1-Tinggi",IF(O1113&gt;30,"2-Sedang",IF(O1113&gt;0,"3-Rendah","4-Pantau"))))</f>
        <v/>
      </c>
      <c r="S1113" s="39" t="str">
        <f aca="false">IF(AND(M1113&gt;0,O1113&gt;0),O1113+M1113/1000000000000+ROW()/1000000000000000,"")</f>
        <v/>
      </c>
      <c r="T1113" s="39" t="str">
        <f aca="false">IF(J1113="Belum ditukar",ROW(),"")</f>
        <v/>
      </c>
    </row>
    <row r="1114" customFormat="false" ht="15" hidden="false" customHeight="false" outlineLevel="0" collapsed="false">
      <c r="A1114" s="50" t="s">
        <v>1401</v>
      </c>
      <c r="B1114" s="51" t="n">
        <v>45894</v>
      </c>
      <c r="C1114" s="50" t="s">
        <v>540</v>
      </c>
      <c r="D1114" s="39" t="str">
        <f aca="false">INDEX(Master_Customer!$B$2:$B$126,MATCH(C1114,Master_Customer!$A$2:$A$126,0))</f>
        <v>SURYA MOBIL</v>
      </c>
      <c r="E1114" s="50" t="s">
        <v>31</v>
      </c>
      <c r="F1114" s="52" t="n">
        <f aca="false">SUMIFS(Data_Penjualan!$G$2:$G$5998,Data_Penjualan!$A$2:$A$5998,A1114)</f>
        <v>10055600</v>
      </c>
      <c r="G1114" s="39" t="n">
        <f aca="false">IF(E1114="KANTOR",0,INDEX(Master_Customer!$C$2:$C$126,MATCH(C1114,Master_Customer!$A$2:$A$126,0)))</f>
        <v>30</v>
      </c>
      <c r="H1114" s="53" t="n">
        <f aca="false">B1114+G1114</f>
        <v>45924</v>
      </c>
      <c r="I1114" s="51" t="n">
        <v>45898</v>
      </c>
      <c r="J1114" s="39" t="str">
        <f aca="false">IF(G1114=0,"Tunai",IF(I1114="","Belum ditukar","Sudah ditukar"))</f>
        <v>Sudah ditukar</v>
      </c>
      <c r="K1114" s="54" t="n">
        <v>10055600</v>
      </c>
      <c r="L1114" s="51" t="n">
        <v>45978</v>
      </c>
      <c r="M1114" s="52" t="n">
        <f aca="false">F1114-K1114</f>
        <v>0</v>
      </c>
      <c r="N1114" s="39" t="str">
        <f aca="false">IF(M1114&lt;=0,"Lunas",IF(K1114&gt;0,"Sebagian","Belum Bayar"))</f>
        <v>Lunas</v>
      </c>
      <c r="O1114" s="39" t="n">
        <f aca="false">IF(M1114&gt;0,MAX(0,Catatan!$B$3-H1114),0)</f>
        <v>0</v>
      </c>
      <c r="P1114" s="39" t="str">
        <f aca="false">IF(M1114&lt;=0,"Lunas",IF(Catatan!$B$3&lt;=H1114,"Belum Jatuh Tempo",IF(O1114&lt;=30,"1-30 hari",IF(O1114&lt;=60,"31-60 hari",IF(O1114&lt;=90,"61-90 hari","90+ hari")))))</f>
        <v>Lunas</v>
      </c>
      <c r="Q1114" s="50"/>
      <c r="R1114" s="39" t="str">
        <f aca="false">IF(M1114&lt;=0,"",IF(O1114&gt;60,"1-Tinggi",IF(O1114&gt;30,"2-Sedang",IF(O1114&gt;0,"3-Rendah","4-Pantau"))))</f>
        <v/>
      </c>
      <c r="S1114" s="39" t="str">
        <f aca="false">IF(AND(M1114&gt;0,O1114&gt;0),O1114+M1114/1000000000000+ROW()/1000000000000000,"")</f>
        <v/>
      </c>
      <c r="T1114" s="39" t="str">
        <f aca="false">IF(J1114="Belum ditukar",ROW(),"")</f>
        <v/>
      </c>
    </row>
    <row r="1115" customFormat="false" ht="15" hidden="false" customHeight="false" outlineLevel="0" collapsed="false">
      <c r="A1115" s="50" t="s">
        <v>1402</v>
      </c>
      <c r="B1115" s="51" t="n">
        <v>45894</v>
      </c>
      <c r="C1115" s="50" t="s">
        <v>261</v>
      </c>
      <c r="D1115" s="39" t="str">
        <f aca="false">INDEX(Master_Customer!$B$2:$B$126,MATCH(C1115,Master_Customer!$A$2:$A$126,0))</f>
        <v>SUMBER MOTOR UTAMA</v>
      </c>
      <c r="E1115" s="50" t="s">
        <v>32</v>
      </c>
      <c r="F1115" s="52" t="n">
        <f aca="false">SUMIFS(Data_Penjualan!$G$2:$G$5998,Data_Penjualan!$A$2:$A$5998,A1115)</f>
        <v>3831700</v>
      </c>
      <c r="G1115" s="39" t="n">
        <f aca="false">IF(E1115="KANTOR",0,INDEX(Master_Customer!$C$2:$C$126,MATCH(C1115,Master_Customer!$A$2:$A$126,0)))</f>
        <v>0</v>
      </c>
      <c r="H1115" s="53" t="n">
        <f aca="false">B1115+G1115</f>
        <v>45894</v>
      </c>
      <c r="J1115" s="39" t="str">
        <f aca="false">IF(G1115=0,"Tunai",IF(I1115="","Belum ditukar","Sudah ditukar"))</f>
        <v>Tunai</v>
      </c>
      <c r="K1115" s="54" t="n">
        <v>3831700</v>
      </c>
      <c r="L1115" s="51" t="n">
        <v>45894</v>
      </c>
      <c r="M1115" s="52" t="n">
        <f aca="false">F1115-K1115</f>
        <v>0</v>
      </c>
      <c r="N1115" s="39" t="str">
        <f aca="false">IF(M1115&lt;=0,"Lunas",IF(K1115&gt;0,"Sebagian","Belum Bayar"))</f>
        <v>Lunas</v>
      </c>
      <c r="O1115" s="39" t="n">
        <f aca="false">IF(M1115&gt;0,MAX(0,Catatan!$B$3-H1115),0)</f>
        <v>0</v>
      </c>
      <c r="P1115" s="39" t="str">
        <f aca="false">IF(M1115&lt;=0,"Lunas",IF(Catatan!$B$3&lt;=H1115,"Belum Jatuh Tempo",IF(O1115&lt;=30,"1-30 hari",IF(O1115&lt;=60,"31-60 hari",IF(O1115&lt;=90,"61-90 hari","90+ hari")))))</f>
        <v>Lunas</v>
      </c>
      <c r="Q1115" s="50"/>
      <c r="R1115" s="39" t="str">
        <f aca="false">IF(M1115&lt;=0,"",IF(O1115&gt;60,"1-Tinggi",IF(O1115&gt;30,"2-Sedang",IF(O1115&gt;0,"3-Rendah","4-Pantau"))))</f>
        <v/>
      </c>
      <c r="S1115" s="39" t="str">
        <f aca="false">IF(AND(M1115&gt;0,O1115&gt;0),O1115+M1115/1000000000000+ROW()/1000000000000000,"")</f>
        <v/>
      </c>
      <c r="T1115" s="39" t="str">
        <f aca="false">IF(J1115="Belum ditukar",ROW(),"")</f>
        <v/>
      </c>
    </row>
    <row r="1116" customFormat="false" ht="15" hidden="false" customHeight="false" outlineLevel="0" collapsed="false">
      <c r="A1116" s="50" t="s">
        <v>1403</v>
      </c>
      <c r="B1116" s="51" t="n">
        <v>45895</v>
      </c>
      <c r="C1116" s="50" t="s">
        <v>170</v>
      </c>
      <c r="D1116" s="39" t="str">
        <f aca="false">INDEX(Master_Customer!$B$2:$B$126,MATCH(C1116,Master_Customer!$A$2:$A$126,0))</f>
        <v>HARAPAN MOTOR</v>
      </c>
      <c r="E1116" s="50" t="s">
        <v>30</v>
      </c>
      <c r="F1116" s="52" t="n">
        <f aca="false">SUMIFS(Data_Penjualan!$G$2:$G$5998,Data_Penjualan!$A$2:$A$5998,A1116)</f>
        <v>9252800</v>
      </c>
      <c r="G1116" s="39" t="n">
        <f aca="false">IF(E1116="KANTOR",0,INDEX(Master_Customer!$C$2:$C$126,MATCH(C1116,Master_Customer!$A$2:$A$126,0)))</f>
        <v>45</v>
      </c>
      <c r="H1116" s="53" t="n">
        <f aca="false">B1116+G1116</f>
        <v>45940</v>
      </c>
      <c r="I1116" s="51" t="n">
        <v>45896</v>
      </c>
      <c r="J1116" s="39" t="str">
        <f aca="false">IF(G1116=0,"Tunai",IF(I1116="","Belum ditukar","Sudah ditukar"))</f>
        <v>Sudah ditukar</v>
      </c>
      <c r="K1116" s="54" t="n">
        <v>9252800</v>
      </c>
      <c r="L1116" s="51" t="n">
        <v>45938</v>
      </c>
      <c r="M1116" s="52" t="n">
        <f aca="false">F1116-K1116</f>
        <v>0</v>
      </c>
      <c r="N1116" s="39" t="str">
        <f aca="false">IF(M1116&lt;=0,"Lunas",IF(K1116&gt;0,"Sebagian","Belum Bayar"))</f>
        <v>Lunas</v>
      </c>
      <c r="O1116" s="39" t="n">
        <f aca="false">IF(M1116&gt;0,MAX(0,Catatan!$B$3-H1116),0)</f>
        <v>0</v>
      </c>
      <c r="P1116" s="39" t="str">
        <f aca="false">IF(M1116&lt;=0,"Lunas",IF(Catatan!$B$3&lt;=H1116,"Belum Jatuh Tempo",IF(O1116&lt;=30,"1-30 hari",IF(O1116&lt;=60,"31-60 hari",IF(O1116&lt;=90,"61-90 hari","90+ hari")))))</f>
        <v>Lunas</v>
      </c>
      <c r="Q1116" s="50"/>
      <c r="R1116" s="39" t="str">
        <f aca="false">IF(M1116&lt;=0,"",IF(O1116&gt;60,"1-Tinggi",IF(O1116&gt;30,"2-Sedang",IF(O1116&gt;0,"3-Rendah","4-Pantau"))))</f>
        <v/>
      </c>
      <c r="S1116" s="39" t="str">
        <f aca="false">IF(AND(M1116&gt;0,O1116&gt;0),O1116+M1116/1000000000000+ROW()/1000000000000000,"")</f>
        <v/>
      </c>
      <c r="T1116" s="39" t="str">
        <f aca="false">IF(J1116="Belum ditukar",ROW(),"")</f>
        <v/>
      </c>
    </row>
    <row r="1117" customFormat="false" ht="15" hidden="false" customHeight="false" outlineLevel="0" collapsed="false">
      <c r="A1117" s="50" t="s">
        <v>1404</v>
      </c>
      <c r="B1117" s="51" t="n">
        <v>45895</v>
      </c>
      <c r="C1117" s="50" t="s">
        <v>168</v>
      </c>
      <c r="D1117" s="39" t="str">
        <f aca="false">INDEX(Master_Customer!$B$2:$B$126,MATCH(C1117,Master_Customer!$A$2:$A$126,0))</f>
        <v>JAYA LUBRICANT</v>
      </c>
      <c r="E1117" s="50" t="s">
        <v>29</v>
      </c>
      <c r="F1117" s="52" t="n">
        <f aca="false">SUMIFS(Data_Penjualan!$G$2:$G$5998,Data_Penjualan!$A$2:$A$5998,A1117)</f>
        <v>14109300</v>
      </c>
      <c r="G1117" s="39" t="n">
        <f aca="false">IF(E1117="KANTOR",0,INDEX(Master_Customer!$C$2:$C$126,MATCH(C1117,Master_Customer!$A$2:$A$126,0)))</f>
        <v>0</v>
      </c>
      <c r="H1117" s="53" t="n">
        <f aca="false">B1117+G1117</f>
        <v>45895</v>
      </c>
      <c r="J1117" s="39" t="str">
        <f aca="false">IF(G1117=0,"Tunai",IF(I1117="","Belum ditukar","Sudah ditukar"))</f>
        <v>Tunai</v>
      </c>
      <c r="K1117" s="54" t="n">
        <v>14109300</v>
      </c>
      <c r="L1117" s="51" t="n">
        <v>45896</v>
      </c>
      <c r="M1117" s="52" t="n">
        <f aca="false">F1117-K1117</f>
        <v>0</v>
      </c>
      <c r="N1117" s="39" t="str">
        <f aca="false">IF(M1117&lt;=0,"Lunas",IF(K1117&gt;0,"Sebagian","Belum Bayar"))</f>
        <v>Lunas</v>
      </c>
      <c r="O1117" s="39" t="n">
        <f aca="false">IF(M1117&gt;0,MAX(0,Catatan!$B$3-H1117),0)</f>
        <v>0</v>
      </c>
      <c r="P1117" s="39" t="str">
        <f aca="false">IF(M1117&lt;=0,"Lunas",IF(Catatan!$B$3&lt;=H1117,"Belum Jatuh Tempo",IF(O1117&lt;=30,"1-30 hari",IF(O1117&lt;=60,"31-60 hari",IF(O1117&lt;=90,"61-90 hari","90+ hari")))))</f>
        <v>Lunas</v>
      </c>
      <c r="Q1117" s="50"/>
      <c r="R1117" s="39" t="str">
        <f aca="false">IF(M1117&lt;=0,"",IF(O1117&gt;60,"1-Tinggi",IF(O1117&gt;30,"2-Sedang",IF(O1117&gt;0,"3-Rendah","4-Pantau"))))</f>
        <v/>
      </c>
      <c r="S1117" s="39" t="str">
        <f aca="false">IF(AND(M1117&gt;0,O1117&gt;0),O1117+M1117/1000000000000+ROW()/1000000000000000,"")</f>
        <v/>
      </c>
      <c r="T1117" s="39" t="str">
        <f aca="false">IF(J1117="Belum ditukar",ROW(),"")</f>
        <v/>
      </c>
    </row>
    <row r="1118" customFormat="false" ht="15" hidden="false" customHeight="false" outlineLevel="0" collapsed="false">
      <c r="A1118" s="50" t="s">
        <v>1405</v>
      </c>
      <c r="B1118" s="51" t="n">
        <v>45895</v>
      </c>
      <c r="C1118" s="50" t="s">
        <v>211</v>
      </c>
      <c r="D1118" s="39" t="str">
        <f aca="false">INDEX(Master_Customer!$B$2:$B$126,MATCH(C1118,Master_Customer!$A$2:$A$126,0))</f>
        <v>PRIMA MOBIL</v>
      </c>
      <c r="E1118" s="50" t="s">
        <v>30</v>
      </c>
      <c r="F1118" s="52" t="n">
        <f aca="false">SUMIFS(Data_Penjualan!$G$2:$G$5998,Data_Penjualan!$A$2:$A$5998,A1118)</f>
        <v>9268900</v>
      </c>
      <c r="G1118" s="39" t="n">
        <f aca="false">IF(E1118="KANTOR",0,INDEX(Master_Customer!$C$2:$C$126,MATCH(C1118,Master_Customer!$A$2:$A$126,0)))</f>
        <v>0</v>
      </c>
      <c r="H1118" s="53" t="n">
        <f aca="false">B1118+G1118</f>
        <v>45895</v>
      </c>
      <c r="J1118" s="39" t="str">
        <f aca="false">IF(G1118=0,"Tunai",IF(I1118="","Belum ditukar","Sudah ditukar"))</f>
        <v>Tunai</v>
      </c>
      <c r="K1118" s="54" t="n">
        <v>9268900</v>
      </c>
      <c r="L1118" s="51" t="n">
        <v>45895</v>
      </c>
      <c r="M1118" s="52" t="n">
        <f aca="false">F1118-K1118</f>
        <v>0</v>
      </c>
      <c r="N1118" s="39" t="str">
        <f aca="false">IF(M1118&lt;=0,"Lunas",IF(K1118&gt;0,"Sebagian","Belum Bayar"))</f>
        <v>Lunas</v>
      </c>
      <c r="O1118" s="39" t="n">
        <f aca="false">IF(M1118&gt;0,MAX(0,Catatan!$B$3-H1118),0)</f>
        <v>0</v>
      </c>
      <c r="P1118" s="39" t="str">
        <f aca="false">IF(M1118&lt;=0,"Lunas",IF(Catatan!$B$3&lt;=H1118,"Belum Jatuh Tempo",IF(O1118&lt;=30,"1-30 hari",IF(O1118&lt;=60,"31-60 hari",IF(O1118&lt;=90,"61-90 hari","90+ hari")))))</f>
        <v>Lunas</v>
      </c>
      <c r="Q1118" s="50"/>
      <c r="R1118" s="39" t="str">
        <f aca="false">IF(M1118&lt;=0,"",IF(O1118&gt;60,"1-Tinggi",IF(O1118&gt;30,"2-Sedang",IF(O1118&gt;0,"3-Rendah","4-Pantau"))))</f>
        <v/>
      </c>
      <c r="S1118" s="39" t="str">
        <f aca="false">IF(AND(M1118&gt;0,O1118&gt;0),O1118+M1118/1000000000000+ROW()/1000000000000000,"")</f>
        <v/>
      </c>
      <c r="T1118" s="39" t="str">
        <f aca="false">IF(J1118="Belum ditukar",ROW(),"")</f>
        <v/>
      </c>
    </row>
    <row r="1119" customFormat="false" ht="15" hidden="false" customHeight="false" outlineLevel="0" collapsed="false">
      <c r="A1119" s="50" t="s">
        <v>1406</v>
      </c>
      <c r="B1119" s="51" t="n">
        <v>45895</v>
      </c>
      <c r="C1119" s="50" t="s">
        <v>170</v>
      </c>
      <c r="D1119" s="39" t="str">
        <f aca="false">INDEX(Master_Customer!$B$2:$B$126,MATCH(C1119,Master_Customer!$A$2:$A$126,0))</f>
        <v>HARAPAN MOTOR</v>
      </c>
      <c r="E1119" s="50" t="s">
        <v>30</v>
      </c>
      <c r="F1119" s="52" t="n">
        <f aca="false">SUMIFS(Data_Penjualan!$G$2:$G$5998,Data_Penjualan!$A$2:$A$5998,A1119)</f>
        <v>9455900</v>
      </c>
      <c r="G1119" s="39" t="n">
        <f aca="false">IF(E1119="KANTOR",0,INDEX(Master_Customer!$C$2:$C$126,MATCH(C1119,Master_Customer!$A$2:$A$126,0)))</f>
        <v>45</v>
      </c>
      <c r="H1119" s="53" t="n">
        <f aca="false">B1119+G1119</f>
        <v>45940</v>
      </c>
      <c r="I1119" s="51" t="n">
        <v>45898</v>
      </c>
      <c r="J1119" s="39" t="str">
        <f aca="false">IF(G1119=0,"Tunai",IF(I1119="","Belum ditukar","Sudah ditukar"))</f>
        <v>Sudah ditukar</v>
      </c>
      <c r="K1119" s="54" t="n">
        <v>9455900</v>
      </c>
      <c r="L1119" s="51" t="n">
        <v>45937</v>
      </c>
      <c r="M1119" s="52" t="n">
        <f aca="false">F1119-K1119</f>
        <v>0</v>
      </c>
      <c r="N1119" s="39" t="str">
        <f aca="false">IF(M1119&lt;=0,"Lunas",IF(K1119&gt;0,"Sebagian","Belum Bayar"))</f>
        <v>Lunas</v>
      </c>
      <c r="O1119" s="39" t="n">
        <f aca="false">IF(M1119&gt;0,MAX(0,Catatan!$B$3-H1119),0)</f>
        <v>0</v>
      </c>
      <c r="P1119" s="39" t="str">
        <f aca="false">IF(M1119&lt;=0,"Lunas",IF(Catatan!$B$3&lt;=H1119,"Belum Jatuh Tempo",IF(O1119&lt;=30,"1-30 hari",IF(O1119&lt;=60,"31-60 hari",IF(O1119&lt;=90,"61-90 hari","90+ hari")))))</f>
        <v>Lunas</v>
      </c>
      <c r="Q1119" s="50"/>
      <c r="R1119" s="39" t="str">
        <f aca="false">IF(M1119&lt;=0,"",IF(O1119&gt;60,"1-Tinggi",IF(O1119&gt;30,"2-Sedang",IF(O1119&gt;0,"3-Rendah","4-Pantau"))))</f>
        <v/>
      </c>
      <c r="S1119" s="39" t="str">
        <f aca="false">IF(AND(M1119&gt;0,O1119&gt;0),O1119+M1119/1000000000000+ROW()/1000000000000000,"")</f>
        <v/>
      </c>
      <c r="T1119" s="39" t="str">
        <f aca="false">IF(J1119="Belum ditukar",ROW(),"")</f>
        <v/>
      </c>
    </row>
    <row r="1120" customFormat="false" ht="15" hidden="false" customHeight="false" outlineLevel="0" collapsed="false">
      <c r="A1120" s="50" t="s">
        <v>1407</v>
      </c>
      <c r="B1120" s="51" t="n">
        <v>45895</v>
      </c>
      <c r="C1120" s="50" t="s">
        <v>367</v>
      </c>
      <c r="D1120" s="39" t="str">
        <f aca="false">INDEX(Master_Customer!$B$2:$B$126,MATCH(C1120,Master_Customer!$A$2:$A$126,0))</f>
        <v>JAYA MOBIL SUMBER</v>
      </c>
      <c r="E1120" s="50" t="s">
        <v>32</v>
      </c>
      <c r="F1120" s="52" t="n">
        <f aca="false">SUMIFS(Data_Penjualan!$G$2:$G$5998,Data_Penjualan!$A$2:$A$5998,A1120)</f>
        <v>20359400</v>
      </c>
      <c r="G1120" s="39" t="n">
        <f aca="false">IF(E1120="KANTOR",0,INDEX(Master_Customer!$C$2:$C$126,MATCH(C1120,Master_Customer!$A$2:$A$126,0)))</f>
        <v>0</v>
      </c>
      <c r="H1120" s="53" t="n">
        <f aca="false">B1120+G1120</f>
        <v>45895</v>
      </c>
      <c r="J1120" s="39" t="str">
        <f aca="false">IF(G1120=0,"Tunai",IF(I1120="","Belum ditukar","Sudah ditukar"))</f>
        <v>Tunai</v>
      </c>
      <c r="K1120" s="54" t="n">
        <v>20359400</v>
      </c>
      <c r="L1120" s="51" t="n">
        <v>45895</v>
      </c>
      <c r="M1120" s="52" t="n">
        <f aca="false">F1120-K1120</f>
        <v>0</v>
      </c>
      <c r="N1120" s="39" t="str">
        <f aca="false">IF(M1120&lt;=0,"Lunas",IF(K1120&gt;0,"Sebagian","Belum Bayar"))</f>
        <v>Lunas</v>
      </c>
      <c r="O1120" s="39" t="n">
        <f aca="false">IF(M1120&gt;0,MAX(0,Catatan!$B$3-H1120),0)</f>
        <v>0</v>
      </c>
      <c r="P1120" s="39" t="str">
        <f aca="false">IF(M1120&lt;=0,"Lunas",IF(Catatan!$B$3&lt;=H1120,"Belum Jatuh Tempo",IF(O1120&lt;=30,"1-30 hari",IF(O1120&lt;=60,"31-60 hari",IF(O1120&lt;=90,"61-90 hari","90+ hari")))))</f>
        <v>Lunas</v>
      </c>
      <c r="Q1120" s="50"/>
      <c r="R1120" s="39" t="str">
        <f aca="false">IF(M1120&lt;=0,"",IF(O1120&gt;60,"1-Tinggi",IF(O1120&gt;30,"2-Sedang",IF(O1120&gt;0,"3-Rendah","4-Pantau"))))</f>
        <v/>
      </c>
      <c r="S1120" s="39" t="str">
        <f aca="false">IF(AND(M1120&gt;0,O1120&gt;0),O1120+M1120/1000000000000+ROW()/1000000000000000,"")</f>
        <v/>
      </c>
      <c r="T1120" s="39" t="str">
        <f aca="false">IF(J1120="Belum ditukar",ROW(),"")</f>
        <v/>
      </c>
    </row>
    <row r="1121" customFormat="false" ht="15" hidden="false" customHeight="false" outlineLevel="0" collapsed="false">
      <c r="A1121" s="50" t="s">
        <v>1408</v>
      </c>
      <c r="B1121" s="51" t="n">
        <v>45895</v>
      </c>
      <c r="C1121" s="50" t="s">
        <v>191</v>
      </c>
      <c r="D1121" s="39" t="str">
        <f aca="false">INDEX(Master_Customer!$B$2:$B$126,MATCH(C1121,Master_Customer!$A$2:$A$126,0))</f>
        <v>SINAR AUTO BERKAH</v>
      </c>
      <c r="E1121" s="50" t="s">
        <v>30</v>
      </c>
      <c r="F1121" s="52" t="n">
        <f aca="false">SUMIFS(Data_Penjualan!$G$2:$G$5998,Data_Penjualan!$A$2:$A$5998,A1121)</f>
        <v>9705500</v>
      </c>
      <c r="G1121" s="39" t="n">
        <f aca="false">IF(E1121="KANTOR",0,INDEX(Master_Customer!$C$2:$C$126,MATCH(C1121,Master_Customer!$A$2:$A$126,0)))</f>
        <v>30</v>
      </c>
      <c r="H1121" s="53" t="n">
        <f aca="false">B1121+G1121</f>
        <v>45925</v>
      </c>
      <c r="I1121" s="51" t="n">
        <v>45897</v>
      </c>
      <c r="J1121" s="39" t="str">
        <f aca="false">IF(G1121=0,"Tunai",IF(I1121="","Belum ditukar","Sudah ditukar"))</f>
        <v>Sudah ditukar</v>
      </c>
      <c r="K1121" s="54" t="n">
        <v>9705500</v>
      </c>
      <c r="L1121" s="51" t="n">
        <v>45957</v>
      </c>
      <c r="M1121" s="52" t="n">
        <f aca="false">F1121-K1121</f>
        <v>0</v>
      </c>
      <c r="N1121" s="39" t="str">
        <f aca="false">IF(M1121&lt;=0,"Lunas",IF(K1121&gt;0,"Sebagian","Belum Bayar"))</f>
        <v>Lunas</v>
      </c>
      <c r="O1121" s="39" t="n">
        <f aca="false">IF(M1121&gt;0,MAX(0,Catatan!$B$3-H1121),0)</f>
        <v>0</v>
      </c>
      <c r="P1121" s="39" t="str">
        <f aca="false">IF(M1121&lt;=0,"Lunas",IF(Catatan!$B$3&lt;=H1121,"Belum Jatuh Tempo",IF(O1121&lt;=30,"1-30 hari",IF(O1121&lt;=60,"31-60 hari",IF(O1121&lt;=90,"61-90 hari","90+ hari")))))</f>
        <v>Lunas</v>
      </c>
      <c r="Q1121" s="50"/>
      <c r="R1121" s="39" t="str">
        <f aca="false">IF(M1121&lt;=0,"",IF(O1121&gt;60,"1-Tinggi",IF(O1121&gt;30,"2-Sedang",IF(O1121&gt;0,"3-Rendah","4-Pantau"))))</f>
        <v/>
      </c>
      <c r="S1121" s="39" t="str">
        <f aca="false">IF(AND(M1121&gt;0,O1121&gt;0),O1121+M1121/1000000000000+ROW()/1000000000000000,"")</f>
        <v/>
      </c>
      <c r="T1121" s="39" t="str">
        <f aca="false">IF(J1121="Belum ditukar",ROW(),"")</f>
        <v/>
      </c>
    </row>
    <row r="1122" customFormat="false" ht="15" hidden="false" customHeight="false" outlineLevel="0" collapsed="false">
      <c r="A1122" s="50" t="s">
        <v>1409</v>
      </c>
      <c r="B1122" s="51" t="n">
        <v>45895</v>
      </c>
      <c r="C1122" s="50" t="s">
        <v>293</v>
      </c>
      <c r="D1122" s="39" t="str">
        <f aca="false">INDEX(Master_Customer!$B$2:$B$126,MATCH(C1122,Master_Customer!$A$2:$A$126,0))</f>
        <v>SINAR LUBRICANT</v>
      </c>
      <c r="E1122" s="50" t="s">
        <v>32</v>
      </c>
      <c r="F1122" s="52" t="n">
        <f aca="false">SUMIFS(Data_Penjualan!$G$2:$G$5998,Data_Penjualan!$A$2:$A$5998,A1122)</f>
        <v>9546600</v>
      </c>
      <c r="G1122" s="39" t="n">
        <f aca="false">IF(E1122="KANTOR",0,INDEX(Master_Customer!$C$2:$C$126,MATCH(C1122,Master_Customer!$A$2:$A$126,0)))</f>
        <v>0</v>
      </c>
      <c r="H1122" s="53" t="n">
        <f aca="false">B1122+G1122</f>
        <v>45895</v>
      </c>
      <c r="J1122" s="39" t="str">
        <f aca="false">IF(G1122=0,"Tunai",IF(I1122="","Belum ditukar","Sudah ditukar"))</f>
        <v>Tunai</v>
      </c>
      <c r="K1122" s="54" t="n">
        <v>9546600</v>
      </c>
      <c r="L1122" s="51" t="n">
        <v>45895</v>
      </c>
      <c r="M1122" s="52" t="n">
        <f aca="false">F1122-K1122</f>
        <v>0</v>
      </c>
      <c r="N1122" s="39" t="str">
        <f aca="false">IF(M1122&lt;=0,"Lunas",IF(K1122&gt;0,"Sebagian","Belum Bayar"))</f>
        <v>Lunas</v>
      </c>
      <c r="O1122" s="39" t="n">
        <f aca="false">IF(M1122&gt;0,MAX(0,Catatan!$B$3-H1122),0)</f>
        <v>0</v>
      </c>
      <c r="P1122" s="39" t="str">
        <f aca="false">IF(M1122&lt;=0,"Lunas",IF(Catatan!$B$3&lt;=H1122,"Belum Jatuh Tempo",IF(O1122&lt;=30,"1-30 hari",IF(O1122&lt;=60,"31-60 hari",IF(O1122&lt;=90,"61-90 hari","90+ hari")))))</f>
        <v>Lunas</v>
      </c>
      <c r="Q1122" s="50"/>
      <c r="R1122" s="39" t="str">
        <f aca="false">IF(M1122&lt;=0,"",IF(O1122&gt;60,"1-Tinggi",IF(O1122&gt;30,"2-Sedang",IF(O1122&gt;0,"3-Rendah","4-Pantau"))))</f>
        <v/>
      </c>
      <c r="S1122" s="39" t="str">
        <f aca="false">IF(AND(M1122&gt;0,O1122&gt;0),O1122+M1122/1000000000000+ROW()/1000000000000000,"")</f>
        <v/>
      </c>
      <c r="T1122" s="39" t="str">
        <f aca="false">IF(J1122="Belum ditukar",ROW(),"")</f>
        <v/>
      </c>
    </row>
    <row r="1123" customFormat="false" ht="15" hidden="false" customHeight="false" outlineLevel="0" collapsed="false">
      <c r="A1123" s="50" t="s">
        <v>1410</v>
      </c>
      <c r="B1123" s="51" t="n">
        <v>45896</v>
      </c>
      <c r="C1123" s="50" t="s">
        <v>177</v>
      </c>
      <c r="D1123" s="39" t="str">
        <f aca="false">INDEX(Master_Customer!$B$2:$B$126,MATCH(C1123,Master_Customer!$A$2:$A$126,0))</f>
        <v>PRIMA MOTOR LANCAR</v>
      </c>
      <c r="E1123" s="50" t="s">
        <v>29</v>
      </c>
      <c r="F1123" s="52" t="n">
        <f aca="false">SUMIFS(Data_Penjualan!$G$2:$G$5998,Data_Penjualan!$A$2:$A$5998,A1123)</f>
        <v>14759900</v>
      </c>
      <c r="G1123" s="39" t="n">
        <f aca="false">IF(E1123="KANTOR",0,INDEX(Master_Customer!$C$2:$C$126,MATCH(C1123,Master_Customer!$A$2:$A$126,0)))</f>
        <v>14</v>
      </c>
      <c r="H1123" s="53" t="n">
        <f aca="false">B1123+G1123</f>
        <v>45910</v>
      </c>
      <c r="I1123" s="51" t="n">
        <v>45897</v>
      </c>
      <c r="J1123" s="39" t="str">
        <f aca="false">IF(G1123=0,"Tunai",IF(I1123="","Belum ditukar","Sudah ditukar"))</f>
        <v>Sudah ditukar</v>
      </c>
      <c r="K1123" s="54" t="n">
        <v>14759900</v>
      </c>
      <c r="L1123" s="51" t="n">
        <v>45906</v>
      </c>
      <c r="M1123" s="52" t="n">
        <f aca="false">F1123-K1123</f>
        <v>0</v>
      </c>
      <c r="N1123" s="39" t="str">
        <f aca="false">IF(M1123&lt;=0,"Lunas",IF(K1123&gt;0,"Sebagian","Belum Bayar"))</f>
        <v>Lunas</v>
      </c>
      <c r="O1123" s="39" t="n">
        <f aca="false">IF(M1123&gt;0,MAX(0,Catatan!$B$3-H1123),0)</f>
        <v>0</v>
      </c>
      <c r="P1123" s="39" t="str">
        <f aca="false">IF(M1123&lt;=0,"Lunas",IF(Catatan!$B$3&lt;=H1123,"Belum Jatuh Tempo",IF(O1123&lt;=30,"1-30 hari",IF(O1123&lt;=60,"31-60 hari",IF(O1123&lt;=90,"61-90 hari","90+ hari")))))</f>
        <v>Lunas</v>
      </c>
      <c r="Q1123" s="50"/>
      <c r="R1123" s="39" t="str">
        <f aca="false">IF(M1123&lt;=0,"",IF(O1123&gt;60,"1-Tinggi",IF(O1123&gt;30,"2-Sedang",IF(O1123&gt;0,"3-Rendah","4-Pantau"))))</f>
        <v/>
      </c>
      <c r="S1123" s="39" t="str">
        <f aca="false">IF(AND(M1123&gt;0,O1123&gt;0),O1123+M1123/1000000000000+ROW()/1000000000000000,"")</f>
        <v/>
      </c>
      <c r="T1123" s="39" t="str">
        <f aca="false">IF(J1123="Belum ditukar",ROW(),"")</f>
        <v/>
      </c>
    </row>
    <row r="1124" customFormat="false" ht="15" hidden="false" customHeight="false" outlineLevel="0" collapsed="false">
      <c r="A1124" s="50" t="s">
        <v>1411</v>
      </c>
      <c r="B1124" s="51" t="n">
        <v>45896</v>
      </c>
      <c r="C1124" s="50" t="s">
        <v>358</v>
      </c>
      <c r="D1124" s="39" t="str">
        <f aca="false">INDEX(Master_Customer!$B$2:$B$126,MATCH(C1124,Master_Customer!$A$2:$A$126,0))</f>
        <v>HARAPAN TEKNIK</v>
      </c>
      <c r="E1124" s="50" t="s">
        <v>31</v>
      </c>
      <c r="F1124" s="52" t="n">
        <f aca="false">SUMIFS(Data_Penjualan!$G$2:$G$5998,Data_Penjualan!$A$2:$A$5998,A1124)</f>
        <v>10194400</v>
      </c>
      <c r="G1124" s="39" t="n">
        <f aca="false">IF(E1124="KANTOR",0,INDEX(Master_Customer!$C$2:$C$126,MATCH(C1124,Master_Customer!$A$2:$A$126,0)))</f>
        <v>0</v>
      </c>
      <c r="H1124" s="53" t="n">
        <f aca="false">B1124+G1124</f>
        <v>45896</v>
      </c>
      <c r="J1124" s="39" t="str">
        <f aca="false">IF(G1124=0,"Tunai",IF(I1124="","Belum ditukar","Sudah ditukar"))</f>
        <v>Tunai</v>
      </c>
      <c r="K1124" s="54" t="n">
        <v>10194400</v>
      </c>
      <c r="L1124" s="51" t="n">
        <v>45897</v>
      </c>
      <c r="M1124" s="52" t="n">
        <f aca="false">F1124-K1124</f>
        <v>0</v>
      </c>
      <c r="N1124" s="39" t="str">
        <f aca="false">IF(M1124&lt;=0,"Lunas",IF(K1124&gt;0,"Sebagian","Belum Bayar"))</f>
        <v>Lunas</v>
      </c>
      <c r="O1124" s="39" t="n">
        <f aca="false">IF(M1124&gt;0,MAX(0,Catatan!$B$3-H1124),0)</f>
        <v>0</v>
      </c>
      <c r="P1124" s="39" t="str">
        <f aca="false">IF(M1124&lt;=0,"Lunas",IF(Catatan!$B$3&lt;=H1124,"Belum Jatuh Tempo",IF(O1124&lt;=30,"1-30 hari",IF(O1124&lt;=60,"31-60 hari",IF(O1124&lt;=90,"61-90 hari","90+ hari")))))</f>
        <v>Lunas</v>
      </c>
      <c r="Q1124" s="50"/>
      <c r="R1124" s="39" t="str">
        <f aca="false">IF(M1124&lt;=0,"",IF(O1124&gt;60,"1-Tinggi",IF(O1124&gt;30,"2-Sedang",IF(O1124&gt;0,"3-Rendah","4-Pantau"))))</f>
        <v/>
      </c>
      <c r="S1124" s="39" t="str">
        <f aca="false">IF(AND(M1124&gt;0,O1124&gt;0),O1124+M1124/1000000000000+ROW()/1000000000000000,"")</f>
        <v/>
      </c>
      <c r="T1124" s="39" t="str">
        <f aca="false">IF(J1124="Belum ditukar",ROW(),"")</f>
        <v/>
      </c>
    </row>
    <row r="1125" customFormat="false" ht="15" hidden="false" customHeight="false" outlineLevel="0" collapsed="false">
      <c r="A1125" s="50" t="s">
        <v>1412</v>
      </c>
      <c r="B1125" s="51" t="n">
        <v>45896</v>
      </c>
      <c r="C1125" s="50" t="s">
        <v>179</v>
      </c>
      <c r="D1125" s="39" t="str">
        <f aca="false">INDEX(Master_Customer!$B$2:$B$126,MATCH(C1125,Master_Customer!$A$2:$A$126,0))</f>
        <v>BINTANG TEKNIK SURYA</v>
      </c>
      <c r="E1125" s="50" t="s">
        <v>29</v>
      </c>
      <c r="F1125" s="52" t="n">
        <f aca="false">SUMIFS(Data_Penjualan!$G$2:$G$5998,Data_Penjualan!$A$2:$A$5998,A1125)</f>
        <v>8861500</v>
      </c>
      <c r="G1125" s="39" t="n">
        <f aca="false">IF(E1125="KANTOR",0,INDEX(Master_Customer!$C$2:$C$126,MATCH(C1125,Master_Customer!$A$2:$A$126,0)))</f>
        <v>45</v>
      </c>
      <c r="H1125" s="53" t="n">
        <f aca="false">B1125+G1125</f>
        <v>45941</v>
      </c>
      <c r="I1125" s="51" t="n">
        <v>45899</v>
      </c>
      <c r="J1125" s="39" t="str">
        <f aca="false">IF(G1125=0,"Tunai",IF(I1125="","Belum ditukar","Sudah ditukar"))</f>
        <v>Sudah ditukar</v>
      </c>
      <c r="K1125" s="54" t="n">
        <v>8861500</v>
      </c>
      <c r="L1125" s="51" t="n">
        <v>45934</v>
      </c>
      <c r="M1125" s="52" t="n">
        <f aca="false">F1125-K1125</f>
        <v>0</v>
      </c>
      <c r="N1125" s="39" t="str">
        <f aca="false">IF(M1125&lt;=0,"Lunas",IF(K1125&gt;0,"Sebagian","Belum Bayar"))</f>
        <v>Lunas</v>
      </c>
      <c r="O1125" s="39" t="n">
        <f aca="false">IF(M1125&gt;0,MAX(0,Catatan!$B$3-H1125),0)</f>
        <v>0</v>
      </c>
      <c r="P1125" s="39" t="str">
        <f aca="false">IF(M1125&lt;=0,"Lunas",IF(Catatan!$B$3&lt;=H1125,"Belum Jatuh Tempo",IF(O1125&lt;=30,"1-30 hari",IF(O1125&lt;=60,"31-60 hari",IF(O1125&lt;=90,"61-90 hari","90+ hari")))))</f>
        <v>Lunas</v>
      </c>
      <c r="Q1125" s="50"/>
      <c r="R1125" s="39" t="str">
        <f aca="false">IF(M1125&lt;=0,"",IF(O1125&gt;60,"1-Tinggi",IF(O1125&gt;30,"2-Sedang",IF(O1125&gt;0,"3-Rendah","4-Pantau"))))</f>
        <v/>
      </c>
      <c r="S1125" s="39" t="str">
        <f aca="false">IF(AND(M1125&gt;0,O1125&gt;0),O1125+M1125/1000000000000+ROW()/1000000000000000,"")</f>
        <v/>
      </c>
      <c r="T1125" s="39" t="str">
        <f aca="false">IF(J1125="Belum ditukar",ROW(),"")</f>
        <v/>
      </c>
    </row>
    <row r="1126" customFormat="false" ht="15" hidden="false" customHeight="false" outlineLevel="0" collapsed="false">
      <c r="A1126" s="50" t="s">
        <v>1413</v>
      </c>
      <c r="B1126" s="51" t="n">
        <v>45896</v>
      </c>
      <c r="C1126" s="50" t="s">
        <v>261</v>
      </c>
      <c r="D1126" s="39" t="str">
        <f aca="false">INDEX(Master_Customer!$B$2:$B$126,MATCH(C1126,Master_Customer!$A$2:$A$126,0))</f>
        <v>SUMBER MOTOR UTAMA</v>
      </c>
      <c r="E1126" s="50" t="s">
        <v>28</v>
      </c>
      <c r="F1126" s="52" t="n">
        <f aca="false">SUMIFS(Data_Penjualan!$G$2:$G$5998,Data_Penjualan!$A$2:$A$5998,A1126)</f>
        <v>10463100</v>
      </c>
      <c r="G1126" s="39" t="n">
        <f aca="false">IF(E1126="KANTOR",0,INDEX(Master_Customer!$C$2:$C$126,MATCH(C1126,Master_Customer!$A$2:$A$126,0)))</f>
        <v>0</v>
      </c>
      <c r="H1126" s="53" t="n">
        <f aca="false">B1126+G1126</f>
        <v>45896</v>
      </c>
      <c r="J1126" s="39" t="str">
        <f aca="false">IF(G1126=0,"Tunai",IF(I1126="","Belum ditukar","Sudah ditukar"))</f>
        <v>Tunai</v>
      </c>
      <c r="K1126" s="54" t="n">
        <v>10463100</v>
      </c>
      <c r="L1126" s="51" t="n">
        <v>45897</v>
      </c>
      <c r="M1126" s="52" t="n">
        <f aca="false">F1126-K1126</f>
        <v>0</v>
      </c>
      <c r="N1126" s="39" t="str">
        <f aca="false">IF(M1126&lt;=0,"Lunas",IF(K1126&gt;0,"Sebagian","Belum Bayar"))</f>
        <v>Lunas</v>
      </c>
      <c r="O1126" s="39" t="n">
        <f aca="false">IF(M1126&gt;0,MAX(0,Catatan!$B$3-H1126),0)</f>
        <v>0</v>
      </c>
      <c r="P1126" s="39" t="str">
        <f aca="false">IF(M1126&lt;=0,"Lunas",IF(Catatan!$B$3&lt;=H1126,"Belum Jatuh Tempo",IF(O1126&lt;=30,"1-30 hari",IF(O1126&lt;=60,"31-60 hari",IF(O1126&lt;=90,"61-90 hari","90+ hari")))))</f>
        <v>Lunas</v>
      </c>
      <c r="Q1126" s="50"/>
      <c r="R1126" s="39" t="str">
        <f aca="false">IF(M1126&lt;=0,"",IF(O1126&gt;60,"1-Tinggi",IF(O1126&gt;30,"2-Sedang",IF(O1126&gt;0,"3-Rendah","4-Pantau"))))</f>
        <v/>
      </c>
      <c r="S1126" s="39" t="str">
        <f aca="false">IF(AND(M1126&gt;0,O1126&gt;0),O1126+M1126/1000000000000+ROW()/1000000000000000,"")</f>
        <v/>
      </c>
      <c r="T1126" s="39" t="str">
        <f aca="false">IF(J1126="Belum ditukar",ROW(),"")</f>
        <v/>
      </c>
    </row>
    <row r="1127" customFormat="false" ht="15" hidden="false" customHeight="false" outlineLevel="0" collapsed="false">
      <c r="A1127" s="50" t="s">
        <v>1414</v>
      </c>
      <c r="B1127" s="51" t="n">
        <v>45896</v>
      </c>
      <c r="C1127" s="50" t="s">
        <v>481</v>
      </c>
      <c r="D1127" s="39" t="str">
        <f aca="false">INDEX(Master_Customer!$B$2:$B$126,MATCH(C1127,Master_Customer!$A$2:$A$126,0))</f>
        <v>MITRA GARAGE</v>
      </c>
      <c r="E1127" s="50" t="s">
        <v>32</v>
      </c>
      <c r="F1127" s="52" t="n">
        <f aca="false">SUMIFS(Data_Penjualan!$G$2:$G$5998,Data_Penjualan!$A$2:$A$5998,A1127)</f>
        <v>3493500</v>
      </c>
      <c r="G1127" s="39" t="n">
        <f aca="false">IF(E1127="KANTOR",0,INDEX(Master_Customer!$C$2:$C$126,MATCH(C1127,Master_Customer!$A$2:$A$126,0)))</f>
        <v>0</v>
      </c>
      <c r="H1127" s="53" t="n">
        <f aca="false">B1127+G1127</f>
        <v>45896</v>
      </c>
      <c r="J1127" s="39" t="str">
        <f aca="false">IF(G1127=0,"Tunai",IF(I1127="","Belum ditukar","Sudah ditukar"))</f>
        <v>Tunai</v>
      </c>
      <c r="K1127" s="54" t="n">
        <v>3493500</v>
      </c>
      <c r="L1127" s="51" t="n">
        <v>45897</v>
      </c>
      <c r="M1127" s="52" t="n">
        <f aca="false">F1127-K1127</f>
        <v>0</v>
      </c>
      <c r="N1127" s="39" t="str">
        <f aca="false">IF(M1127&lt;=0,"Lunas",IF(K1127&gt;0,"Sebagian","Belum Bayar"))</f>
        <v>Lunas</v>
      </c>
      <c r="O1127" s="39" t="n">
        <f aca="false">IF(M1127&gt;0,MAX(0,Catatan!$B$3-H1127),0)</f>
        <v>0</v>
      </c>
      <c r="P1127" s="39" t="str">
        <f aca="false">IF(M1127&lt;=0,"Lunas",IF(Catatan!$B$3&lt;=H1127,"Belum Jatuh Tempo",IF(O1127&lt;=30,"1-30 hari",IF(O1127&lt;=60,"31-60 hari",IF(O1127&lt;=90,"61-90 hari","90+ hari")))))</f>
        <v>Lunas</v>
      </c>
      <c r="Q1127" s="50"/>
      <c r="R1127" s="39" t="str">
        <f aca="false">IF(M1127&lt;=0,"",IF(O1127&gt;60,"1-Tinggi",IF(O1127&gt;30,"2-Sedang",IF(O1127&gt;0,"3-Rendah","4-Pantau"))))</f>
        <v/>
      </c>
      <c r="S1127" s="39" t="str">
        <f aca="false">IF(AND(M1127&gt;0,O1127&gt;0),O1127+M1127/1000000000000+ROW()/1000000000000000,"")</f>
        <v/>
      </c>
      <c r="T1127" s="39" t="str">
        <f aca="false">IF(J1127="Belum ditukar",ROW(),"")</f>
        <v/>
      </c>
    </row>
    <row r="1128" customFormat="false" ht="15" hidden="false" customHeight="false" outlineLevel="0" collapsed="false">
      <c r="A1128" s="50" t="s">
        <v>1415</v>
      </c>
      <c r="B1128" s="51" t="n">
        <v>45896</v>
      </c>
      <c r="C1128" s="50" t="s">
        <v>211</v>
      </c>
      <c r="D1128" s="39" t="str">
        <f aca="false">INDEX(Master_Customer!$B$2:$B$126,MATCH(C1128,Master_Customer!$A$2:$A$126,0))</f>
        <v>PRIMA MOBIL</v>
      </c>
      <c r="E1128" s="50" t="s">
        <v>30</v>
      </c>
      <c r="F1128" s="52" t="n">
        <f aca="false">SUMIFS(Data_Penjualan!$G$2:$G$5998,Data_Penjualan!$A$2:$A$5998,A1128)</f>
        <v>7567000</v>
      </c>
      <c r="G1128" s="39" t="n">
        <f aca="false">IF(E1128="KANTOR",0,INDEX(Master_Customer!$C$2:$C$126,MATCH(C1128,Master_Customer!$A$2:$A$126,0)))</f>
        <v>0</v>
      </c>
      <c r="H1128" s="53" t="n">
        <f aca="false">B1128+G1128</f>
        <v>45896</v>
      </c>
      <c r="J1128" s="39" t="str">
        <f aca="false">IF(G1128=0,"Tunai",IF(I1128="","Belum ditukar","Sudah ditukar"))</f>
        <v>Tunai</v>
      </c>
      <c r="K1128" s="54" t="n">
        <v>7567000</v>
      </c>
      <c r="L1128" s="51" t="n">
        <v>45897</v>
      </c>
      <c r="M1128" s="52" t="n">
        <f aca="false">F1128-K1128</f>
        <v>0</v>
      </c>
      <c r="N1128" s="39" t="str">
        <f aca="false">IF(M1128&lt;=0,"Lunas",IF(K1128&gt;0,"Sebagian","Belum Bayar"))</f>
        <v>Lunas</v>
      </c>
      <c r="O1128" s="39" t="n">
        <f aca="false">IF(M1128&gt;0,MAX(0,Catatan!$B$3-H1128),0)</f>
        <v>0</v>
      </c>
      <c r="P1128" s="39" t="str">
        <f aca="false">IF(M1128&lt;=0,"Lunas",IF(Catatan!$B$3&lt;=H1128,"Belum Jatuh Tempo",IF(O1128&lt;=30,"1-30 hari",IF(O1128&lt;=60,"31-60 hari",IF(O1128&lt;=90,"61-90 hari","90+ hari")))))</f>
        <v>Lunas</v>
      </c>
      <c r="Q1128" s="50"/>
      <c r="R1128" s="39" t="str">
        <f aca="false">IF(M1128&lt;=0,"",IF(O1128&gt;60,"1-Tinggi",IF(O1128&gt;30,"2-Sedang",IF(O1128&gt;0,"3-Rendah","4-Pantau"))))</f>
        <v/>
      </c>
      <c r="S1128" s="39" t="str">
        <f aca="false">IF(AND(M1128&gt;0,O1128&gt;0),O1128+M1128/1000000000000+ROW()/1000000000000000,"")</f>
        <v/>
      </c>
      <c r="T1128" s="39" t="str">
        <f aca="false">IF(J1128="Belum ditukar",ROW(),"")</f>
        <v/>
      </c>
    </row>
    <row r="1129" customFormat="false" ht="15" hidden="false" customHeight="false" outlineLevel="0" collapsed="false">
      <c r="A1129" s="50" t="s">
        <v>1416</v>
      </c>
      <c r="B1129" s="51" t="n">
        <v>45897</v>
      </c>
      <c r="C1129" s="50" t="s">
        <v>205</v>
      </c>
      <c r="D1129" s="39" t="str">
        <f aca="false">INDEX(Master_Customer!$B$2:$B$126,MATCH(C1129,Master_Customer!$A$2:$A$126,0))</f>
        <v>BERKAH OLI</v>
      </c>
      <c r="E1129" s="50" t="s">
        <v>32</v>
      </c>
      <c r="F1129" s="52" t="n">
        <f aca="false">SUMIFS(Data_Penjualan!$G$2:$G$5998,Data_Penjualan!$A$2:$A$5998,A1129)</f>
        <v>9464900</v>
      </c>
      <c r="G1129" s="39" t="n">
        <f aca="false">IF(E1129="KANTOR",0,INDEX(Master_Customer!$C$2:$C$126,MATCH(C1129,Master_Customer!$A$2:$A$126,0)))</f>
        <v>0</v>
      </c>
      <c r="H1129" s="53" t="n">
        <f aca="false">B1129+G1129</f>
        <v>45897</v>
      </c>
      <c r="J1129" s="39" t="str">
        <f aca="false">IF(G1129=0,"Tunai",IF(I1129="","Belum ditukar","Sudah ditukar"))</f>
        <v>Tunai</v>
      </c>
      <c r="K1129" s="54" t="n">
        <v>9464900</v>
      </c>
      <c r="L1129" s="51" t="n">
        <v>45897</v>
      </c>
      <c r="M1129" s="52" t="n">
        <f aca="false">F1129-K1129</f>
        <v>0</v>
      </c>
      <c r="N1129" s="39" t="str">
        <f aca="false">IF(M1129&lt;=0,"Lunas",IF(K1129&gt;0,"Sebagian","Belum Bayar"))</f>
        <v>Lunas</v>
      </c>
      <c r="O1129" s="39" t="n">
        <f aca="false">IF(M1129&gt;0,MAX(0,Catatan!$B$3-H1129),0)</f>
        <v>0</v>
      </c>
      <c r="P1129" s="39" t="str">
        <f aca="false">IF(M1129&lt;=0,"Lunas",IF(Catatan!$B$3&lt;=H1129,"Belum Jatuh Tempo",IF(O1129&lt;=30,"1-30 hari",IF(O1129&lt;=60,"31-60 hari",IF(O1129&lt;=90,"61-90 hari","90+ hari")))))</f>
        <v>Lunas</v>
      </c>
      <c r="Q1129" s="50"/>
      <c r="R1129" s="39" t="str">
        <f aca="false">IF(M1129&lt;=0,"",IF(O1129&gt;60,"1-Tinggi",IF(O1129&gt;30,"2-Sedang",IF(O1129&gt;0,"3-Rendah","4-Pantau"))))</f>
        <v/>
      </c>
      <c r="S1129" s="39" t="str">
        <f aca="false">IF(AND(M1129&gt;0,O1129&gt;0),O1129+M1129/1000000000000+ROW()/1000000000000000,"")</f>
        <v/>
      </c>
      <c r="T1129" s="39" t="str">
        <f aca="false">IF(J1129="Belum ditukar",ROW(),"")</f>
        <v/>
      </c>
    </row>
    <row r="1130" customFormat="false" ht="15" hidden="false" customHeight="false" outlineLevel="0" collapsed="false">
      <c r="A1130" s="50" t="s">
        <v>1417</v>
      </c>
      <c r="B1130" s="51" t="n">
        <v>45897</v>
      </c>
      <c r="C1130" s="50" t="s">
        <v>172</v>
      </c>
      <c r="D1130" s="39" t="str">
        <f aca="false">INDEX(Master_Customer!$B$2:$B$126,MATCH(C1130,Master_Customer!$A$2:$A$126,0))</f>
        <v>SURYA GARAGE MITRA</v>
      </c>
      <c r="E1130" s="50" t="s">
        <v>31</v>
      </c>
      <c r="F1130" s="52" t="n">
        <f aca="false">SUMIFS(Data_Penjualan!$G$2:$G$5998,Data_Penjualan!$A$2:$A$5998,A1130)</f>
        <v>15034500</v>
      </c>
      <c r="G1130" s="39" t="n">
        <f aca="false">IF(E1130="KANTOR",0,INDEX(Master_Customer!$C$2:$C$126,MATCH(C1130,Master_Customer!$A$2:$A$126,0)))</f>
        <v>30</v>
      </c>
      <c r="H1130" s="53" t="n">
        <f aca="false">B1130+G1130</f>
        <v>45927</v>
      </c>
      <c r="I1130" s="51" t="n">
        <v>45901</v>
      </c>
      <c r="J1130" s="39" t="str">
        <f aca="false">IF(G1130=0,"Tunai",IF(I1130="","Belum ditukar","Sudah ditukar"))</f>
        <v>Sudah ditukar</v>
      </c>
      <c r="K1130" s="54" t="n">
        <v>15034500</v>
      </c>
      <c r="L1130" s="51" t="n">
        <v>45927</v>
      </c>
      <c r="M1130" s="52" t="n">
        <f aca="false">F1130-K1130</f>
        <v>0</v>
      </c>
      <c r="N1130" s="39" t="str">
        <f aca="false">IF(M1130&lt;=0,"Lunas",IF(K1130&gt;0,"Sebagian","Belum Bayar"))</f>
        <v>Lunas</v>
      </c>
      <c r="O1130" s="39" t="n">
        <f aca="false">IF(M1130&gt;0,MAX(0,Catatan!$B$3-H1130),0)</f>
        <v>0</v>
      </c>
      <c r="P1130" s="39" t="str">
        <f aca="false">IF(M1130&lt;=0,"Lunas",IF(Catatan!$B$3&lt;=H1130,"Belum Jatuh Tempo",IF(O1130&lt;=30,"1-30 hari",IF(O1130&lt;=60,"31-60 hari",IF(O1130&lt;=90,"61-90 hari","90+ hari")))))</f>
        <v>Lunas</v>
      </c>
      <c r="Q1130" s="50"/>
      <c r="R1130" s="39" t="str">
        <f aca="false">IF(M1130&lt;=0,"",IF(O1130&gt;60,"1-Tinggi",IF(O1130&gt;30,"2-Sedang",IF(O1130&gt;0,"3-Rendah","4-Pantau"))))</f>
        <v/>
      </c>
      <c r="S1130" s="39" t="str">
        <f aca="false">IF(AND(M1130&gt;0,O1130&gt;0),O1130+M1130/1000000000000+ROW()/1000000000000000,"")</f>
        <v/>
      </c>
      <c r="T1130" s="39" t="str">
        <f aca="false">IF(J1130="Belum ditukar",ROW(),"")</f>
        <v/>
      </c>
    </row>
    <row r="1131" customFormat="false" ht="15" hidden="false" customHeight="false" outlineLevel="0" collapsed="false">
      <c r="A1131" s="50" t="s">
        <v>1418</v>
      </c>
      <c r="B1131" s="51" t="n">
        <v>45897</v>
      </c>
      <c r="C1131" s="50" t="s">
        <v>349</v>
      </c>
      <c r="D1131" s="39" t="str">
        <f aca="false">INDEX(Master_Customer!$B$2:$B$126,MATCH(C1131,Master_Customer!$A$2:$A$126,0))</f>
        <v>MITRA GARAGE MULIA</v>
      </c>
      <c r="E1131" s="50" t="s">
        <v>28</v>
      </c>
      <c r="F1131" s="52" t="n">
        <f aca="false">SUMIFS(Data_Penjualan!$G$2:$G$5998,Data_Penjualan!$A$2:$A$5998,A1131)</f>
        <v>12732200</v>
      </c>
      <c r="G1131" s="39" t="n">
        <f aca="false">IF(E1131="KANTOR",0,INDEX(Master_Customer!$C$2:$C$126,MATCH(C1131,Master_Customer!$A$2:$A$126,0)))</f>
        <v>14</v>
      </c>
      <c r="H1131" s="53" t="n">
        <f aca="false">B1131+G1131</f>
        <v>45911</v>
      </c>
      <c r="I1131" s="51" t="n">
        <v>45901</v>
      </c>
      <c r="J1131" s="39" t="str">
        <f aca="false">IF(G1131=0,"Tunai",IF(I1131="","Belum ditukar","Sudah ditukar"))</f>
        <v>Sudah ditukar</v>
      </c>
      <c r="K1131" s="54" t="n">
        <v>12732200</v>
      </c>
      <c r="L1131" s="51" t="n">
        <v>45928</v>
      </c>
      <c r="M1131" s="52" t="n">
        <f aca="false">F1131-K1131</f>
        <v>0</v>
      </c>
      <c r="N1131" s="39" t="str">
        <f aca="false">IF(M1131&lt;=0,"Lunas",IF(K1131&gt;0,"Sebagian","Belum Bayar"))</f>
        <v>Lunas</v>
      </c>
      <c r="O1131" s="39" t="n">
        <f aca="false">IF(M1131&gt;0,MAX(0,Catatan!$B$3-H1131),0)</f>
        <v>0</v>
      </c>
      <c r="P1131" s="39" t="str">
        <f aca="false">IF(M1131&lt;=0,"Lunas",IF(Catatan!$B$3&lt;=H1131,"Belum Jatuh Tempo",IF(O1131&lt;=30,"1-30 hari",IF(O1131&lt;=60,"31-60 hari",IF(O1131&lt;=90,"61-90 hari","90+ hari")))))</f>
        <v>Lunas</v>
      </c>
      <c r="Q1131" s="50"/>
      <c r="R1131" s="39" t="str">
        <f aca="false">IF(M1131&lt;=0,"",IF(O1131&gt;60,"1-Tinggi",IF(O1131&gt;30,"2-Sedang",IF(O1131&gt;0,"3-Rendah","4-Pantau"))))</f>
        <v/>
      </c>
      <c r="S1131" s="39" t="str">
        <f aca="false">IF(AND(M1131&gt;0,O1131&gt;0),O1131+M1131/1000000000000+ROW()/1000000000000000,"")</f>
        <v/>
      </c>
      <c r="T1131" s="39" t="str">
        <f aca="false">IF(J1131="Belum ditukar",ROW(),"")</f>
        <v/>
      </c>
    </row>
    <row r="1132" customFormat="false" ht="15" hidden="false" customHeight="false" outlineLevel="0" collapsed="false">
      <c r="A1132" s="50" t="s">
        <v>1419</v>
      </c>
      <c r="B1132" s="51" t="n">
        <v>45898</v>
      </c>
      <c r="C1132" s="50" t="s">
        <v>174</v>
      </c>
      <c r="D1132" s="39" t="str">
        <f aca="false">INDEX(Master_Customer!$B$2:$B$126,MATCH(C1132,Master_Customer!$A$2:$A$126,0))</f>
        <v>SUMBER TEKNIK SURYA</v>
      </c>
      <c r="E1132" s="50" t="s">
        <v>31</v>
      </c>
      <c r="F1132" s="52" t="n">
        <f aca="false">SUMIFS(Data_Penjualan!$G$2:$G$5998,Data_Penjualan!$A$2:$A$5998,A1132)</f>
        <v>5029900</v>
      </c>
      <c r="G1132" s="39" t="n">
        <f aca="false">IF(E1132="KANTOR",0,INDEX(Master_Customer!$C$2:$C$126,MATCH(C1132,Master_Customer!$A$2:$A$126,0)))</f>
        <v>30</v>
      </c>
      <c r="H1132" s="53" t="n">
        <f aca="false">B1132+G1132</f>
        <v>45928</v>
      </c>
      <c r="I1132" s="51" t="n">
        <v>45902</v>
      </c>
      <c r="J1132" s="39" t="str">
        <f aca="false">IF(G1132=0,"Tunai",IF(I1132="","Belum ditukar","Sudah ditukar"))</f>
        <v>Sudah ditukar</v>
      </c>
      <c r="K1132" s="54" t="n">
        <v>5029900</v>
      </c>
      <c r="L1132" s="51" t="n">
        <v>45925</v>
      </c>
      <c r="M1132" s="52" t="n">
        <f aca="false">F1132-K1132</f>
        <v>0</v>
      </c>
      <c r="N1132" s="39" t="str">
        <f aca="false">IF(M1132&lt;=0,"Lunas",IF(K1132&gt;0,"Sebagian","Belum Bayar"))</f>
        <v>Lunas</v>
      </c>
      <c r="O1132" s="39" t="n">
        <f aca="false">IF(M1132&gt;0,MAX(0,Catatan!$B$3-H1132),0)</f>
        <v>0</v>
      </c>
      <c r="P1132" s="39" t="str">
        <f aca="false">IF(M1132&lt;=0,"Lunas",IF(Catatan!$B$3&lt;=H1132,"Belum Jatuh Tempo",IF(O1132&lt;=30,"1-30 hari",IF(O1132&lt;=60,"31-60 hari",IF(O1132&lt;=90,"61-90 hari","90+ hari")))))</f>
        <v>Lunas</v>
      </c>
      <c r="Q1132" s="50"/>
      <c r="R1132" s="39" t="str">
        <f aca="false">IF(M1132&lt;=0,"",IF(O1132&gt;60,"1-Tinggi",IF(O1132&gt;30,"2-Sedang",IF(O1132&gt;0,"3-Rendah","4-Pantau"))))</f>
        <v/>
      </c>
      <c r="S1132" s="39" t="str">
        <f aca="false">IF(AND(M1132&gt;0,O1132&gt;0),O1132+M1132/1000000000000+ROW()/1000000000000000,"")</f>
        <v/>
      </c>
      <c r="T1132" s="39" t="str">
        <f aca="false">IF(J1132="Belum ditukar",ROW(),"")</f>
        <v/>
      </c>
    </row>
    <row r="1133" customFormat="false" ht="15" hidden="false" customHeight="false" outlineLevel="0" collapsed="false">
      <c r="A1133" s="50" t="s">
        <v>1420</v>
      </c>
      <c r="B1133" s="51" t="n">
        <v>45898</v>
      </c>
      <c r="C1133" s="50" t="s">
        <v>199</v>
      </c>
      <c r="D1133" s="39" t="str">
        <f aca="false">INDEX(Master_Customer!$B$2:$B$126,MATCH(C1133,Master_Customer!$A$2:$A$126,0))</f>
        <v>KARYA SPAREPART</v>
      </c>
      <c r="E1133" s="50" t="s">
        <v>29</v>
      </c>
      <c r="F1133" s="52" t="n">
        <f aca="false">SUMIFS(Data_Penjualan!$G$2:$G$5998,Data_Penjualan!$A$2:$A$5998,A1133)</f>
        <v>6355800</v>
      </c>
      <c r="G1133" s="39" t="n">
        <f aca="false">IF(E1133="KANTOR",0,INDEX(Master_Customer!$C$2:$C$126,MATCH(C1133,Master_Customer!$A$2:$A$126,0)))</f>
        <v>45</v>
      </c>
      <c r="H1133" s="53" t="n">
        <f aca="false">B1133+G1133</f>
        <v>45943</v>
      </c>
      <c r="I1133" s="51" t="n">
        <v>45900</v>
      </c>
      <c r="J1133" s="39" t="str">
        <f aca="false">IF(G1133=0,"Tunai",IF(I1133="","Belum ditukar","Sudah ditukar"))</f>
        <v>Sudah ditukar</v>
      </c>
      <c r="K1133" s="54" t="n">
        <v>6355800</v>
      </c>
      <c r="L1133" s="51" t="n">
        <v>45940</v>
      </c>
      <c r="M1133" s="52" t="n">
        <f aca="false">F1133-K1133</f>
        <v>0</v>
      </c>
      <c r="N1133" s="39" t="str">
        <f aca="false">IF(M1133&lt;=0,"Lunas",IF(K1133&gt;0,"Sebagian","Belum Bayar"))</f>
        <v>Lunas</v>
      </c>
      <c r="O1133" s="39" t="n">
        <f aca="false">IF(M1133&gt;0,MAX(0,Catatan!$B$3-H1133),0)</f>
        <v>0</v>
      </c>
      <c r="P1133" s="39" t="str">
        <f aca="false">IF(M1133&lt;=0,"Lunas",IF(Catatan!$B$3&lt;=H1133,"Belum Jatuh Tempo",IF(O1133&lt;=30,"1-30 hari",IF(O1133&lt;=60,"31-60 hari",IF(O1133&lt;=90,"61-90 hari","90+ hari")))))</f>
        <v>Lunas</v>
      </c>
      <c r="Q1133" s="50"/>
      <c r="R1133" s="39" t="str">
        <f aca="false">IF(M1133&lt;=0,"",IF(O1133&gt;60,"1-Tinggi",IF(O1133&gt;30,"2-Sedang",IF(O1133&gt;0,"3-Rendah","4-Pantau"))))</f>
        <v/>
      </c>
      <c r="S1133" s="39" t="str">
        <f aca="false">IF(AND(M1133&gt;0,O1133&gt;0),O1133+M1133/1000000000000+ROW()/1000000000000000,"")</f>
        <v/>
      </c>
      <c r="T1133" s="39" t="str">
        <f aca="false">IF(J1133="Belum ditukar",ROW(),"")</f>
        <v/>
      </c>
    </row>
    <row r="1134" customFormat="false" ht="15" hidden="false" customHeight="false" outlineLevel="0" collapsed="false">
      <c r="A1134" s="50" t="s">
        <v>1421</v>
      </c>
      <c r="B1134" s="51" t="n">
        <v>45898</v>
      </c>
      <c r="C1134" s="50" t="s">
        <v>1147</v>
      </c>
      <c r="D1134" s="39" t="str">
        <f aca="false">INDEX(Master_Customer!$B$2:$B$126,MATCH(C1134,Master_Customer!$A$2:$A$126,0))</f>
        <v>BINTANG GARAGE UTAMA</v>
      </c>
      <c r="E1134" s="50" t="s">
        <v>29</v>
      </c>
      <c r="F1134" s="52" t="n">
        <f aca="false">SUMIFS(Data_Penjualan!$G$2:$G$5998,Data_Penjualan!$A$2:$A$5998,A1134)</f>
        <v>7530400</v>
      </c>
      <c r="G1134" s="39" t="n">
        <f aca="false">IF(E1134="KANTOR",0,INDEX(Master_Customer!$C$2:$C$126,MATCH(C1134,Master_Customer!$A$2:$A$126,0)))</f>
        <v>30</v>
      </c>
      <c r="H1134" s="53" t="n">
        <f aca="false">B1134+G1134</f>
        <v>45928</v>
      </c>
      <c r="I1134" s="51" t="n">
        <v>45903</v>
      </c>
      <c r="J1134" s="39" t="str">
        <f aca="false">IF(G1134=0,"Tunai",IF(I1134="","Belum ditukar","Sudah ditukar"))</f>
        <v>Sudah ditukar</v>
      </c>
      <c r="K1134" s="54" t="n">
        <v>7530400</v>
      </c>
      <c r="L1134" s="51" t="n">
        <v>45928</v>
      </c>
      <c r="M1134" s="52" t="n">
        <f aca="false">F1134-K1134</f>
        <v>0</v>
      </c>
      <c r="N1134" s="39" t="str">
        <f aca="false">IF(M1134&lt;=0,"Lunas",IF(K1134&gt;0,"Sebagian","Belum Bayar"))</f>
        <v>Lunas</v>
      </c>
      <c r="O1134" s="39" t="n">
        <f aca="false">IF(M1134&gt;0,MAX(0,Catatan!$B$3-H1134),0)</f>
        <v>0</v>
      </c>
      <c r="P1134" s="39" t="str">
        <f aca="false">IF(M1134&lt;=0,"Lunas",IF(Catatan!$B$3&lt;=H1134,"Belum Jatuh Tempo",IF(O1134&lt;=30,"1-30 hari",IF(O1134&lt;=60,"31-60 hari",IF(O1134&lt;=90,"61-90 hari","90+ hari")))))</f>
        <v>Lunas</v>
      </c>
      <c r="Q1134" s="50"/>
      <c r="R1134" s="39" t="str">
        <f aca="false">IF(M1134&lt;=0,"",IF(O1134&gt;60,"1-Tinggi",IF(O1134&gt;30,"2-Sedang",IF(O1134&gt;0,"3-Rendah","4-Pantau"))))</f>
        <v/>
      </c>
      <c r="S1134" s="39" t="str">
        <f aca="false">IF(AND(M1134&gt;0,O1134&gt;0),O1134+M1134/1000000000000+ROW()/1000000000000000,"")</f>
        <v/>
      </c>
      <c r="T1134" s="39" t="str">
        <f aca="false">IF(J1134="Belum ditukar",ROW(),"")</f>
        <v/>
      </c>
    </row>
    <row r="1135" customFormat="false" ht="15" hidden="false" customHeight="false" outlineLevel="0" collapsed="false">
      <c r="A1135" s="50" t="s">
        <v>1422</v>
      </c>
      <c r="B1135" s="51" t="n">
        <v>45898</v>
      </c>
      <c r="C1135" s="50" t="s">
        <v>505</v>
      </c>
      <c r="D1135" s="39" t="str">
        <f aca="false">INDEX(Master_Customer!$B$2:$B$126,MATCH(C1135,Master_Customer!$A$2:$A$126,0))</f>
        <v>GEMILANG OLI CAHAYA</v>
      </c>
      <c r="E1135" s="50" t="s">
        <v>32</v>
      </c>
      <c r="F1135" s="52" t="n">
        <f aca="false">SUMIFS(Data_Penjualan!$G$2:$G$5998,Data_Penjualan!$A$2:$A$5998,A1135)</f>
        <v>11406100</v>
      </c>
      <c r="G1135" s="39" t="n">
        <f aca="false">IF(E1135="KANTOR",0,INDEX(Master_Customer!$C$2:$C$126,MATCH(C1135,Master_Customer!$A$2:$A$126,0)))</f>
        <v>0</v>
      </c>
      <c r="H1135" s="53" t="n">
        <f aca="false">B1135+G1135</f>
        <v>45898</v>
      </c>
      <c r="J1135" s="39" t="str">
        <f aca="false">IF(G1135=0,"Tunai",IF(I1135="","Belum ditukar","Sudah ditukar"))</f>
        <v>Tunai</v>
      </c>
      <c r="K1135" s="54" t="n">
        <v>11406100</v>
      </c>
      <c r="L1135" s="51" t="n">
        <v>45898</v>
      </c>
      <c r="M1135" s="52" t="n">
        <f aca="false">F1135-K1135</f>
        <v>0</v>
      </c>
      <c r="N1135" s="39" t="str">
        <f aca="false">IF(M1135&lt;=0,"Lunas",IF(K1135&gt;0,"Sebagian","Belum Bayar"))</f>
        <v>Lunas</v>
      </c>
      <c r="O1135" s="39" t="n">
        <f aca="false">IF(M1135&gt;0,MAX(0,Catatan!$B$3-H1135),0)</f>
        <v>0</v>
      </c>
      <c r="P1135" s="39" t="str">
        <f aca="false">IF(M1135&lt;=0,"Lunas",IF(Catatan!$B$3&lt;=H1135,"Belum Jatuh Tempo",IF(O1135&lt;=30,"1-30 hari",IF(O1135&lt;=60,"31-60 hari",IF(O1135&lt;=90,"61-90 hari","90+ hari")))))</f>
        <v>Lunas</v>
      </c>
      <c r="Q1135" s="50"/>
      <c r="R1135" s="39" t="str">
        <f aca="false">IF(M1135&lt;=0,"",IF(O1135&gt;60,"1-Tinggi",IF(O1135&gt;30,"2-Sedang",IF(O1135&gt;0,"3-Rendah","4-Pantau"))))</f>
        <v/>
      </c>
      <c r="S1135" s="39" t="str">
        <f aca="false">IF(AND(M1135&gt;0,O1135&gt;0),O1135+M1135/1000000000000+ROW()/1000000000000000,"")</f>
        <v/>
      </c>
      <c r="T1135" s="39" t="str">
        <f aca="false">IF(J1135="Belum ditukar",ROW(),"")</f>
        <v/>
      </c>
    </row>
    <row r="1136" customFormat="false" ht="15" hidden="false" customHeight="false" outlineLevel="0" collapsed="false">
      <c r="A1136" s="50" t="s">
        <v>1423</v>
      </c>
      <c r="B1136" s="51" t="n">
        <v>45898</v>
      </c>
      <c r="C1136" s="50" t="s">
        <v>232</v>
      </c>
      <c r="D1136" s="39" t="str">
        <f aca="false">INDEX(Master_Customer!$B$2:$B$126,MATCH(C1136,Master_Customer!$A$2:$A$126,0))</f>
        <v>ABADI LUBRICANT KARYA</v>
      </c>
      <c r="E1136" s="50" t="s">
        <v>29</v>
      </c>
      <c r="F1136" s="52" t="n">
        <f aca="false">SUMIFS(Data_Penjualan!$G$2:$G$5998,Data_Penjualan!$A$2:$A$5998,A1136)</f>
        <v>14720000</v>
      </c>
      <c r="G1136" s="39" t="n">
        <f aca="false">IF(E1136="KANTOR",0,INDEX(Master_Customer!$C$2:$C$126,MATCH(C1136,Master_Customer!$A$2:$A$126,0)))</f>
        <v>14</v>
      </c>
      <c r="H1136" s="53" t="n">
        <f aca="false">B1136+G1136</f>
        <v>45912</v>
      </c>
      <c r="I1136" s="51" t="n">
        <v>45902</v>
      </c>
      <c r="J1136" s="39" t="str">
        <f aca="false">IF(G1136=0,"Tunai",IF(I1136="","Belum ditukar","Sudah ditukar"))</f>
        <v>Sudah ditukar</v>
      </c>
      <c r="K1136" s="54" t="n">
        <v>14720000</v>
      </c>
      <c r="L1136" s="51" t="n">
        <v>45909</v>
      </c>
      <c r="M1136" s="52" t="n">
        <f aca="false">F1136-K1136</f>
        <v>0</v>
      </c>
      <c r="N1136" s="39" t="str">
        <f aca="false">IF(M1136&lt;=0,"Lunas",IF(K1136&gt;0,"Sebagian","Belum Bayar"))</f>
        <v>Lunas</v>
      </c>
      <c r="O1136" s="39" t="n">
        <f aca="false">IF(M1136&gt;0,MAX(0,Catatan!$B$3-H1136),0)</f>
        <v>0</v>
      </c>
      <c r="P1136" s="39" t="str">
        <f aca="false">IF(M1136&lt;=0,"Lunas",IF(Catatan!$B$3&lt;=H1136,"Belum Jatuh Tempo",IF(O1136&lt;=30,"1-30 hari",IF(O1136&lt;=60,"31-60 hari",IF(O1136&lt;=90,"61-90 hari","90+ hari")))))</f>
        <v>Lunas</v>
      </c>
      <c r="Q1136" s="50"/>
      <c r="R1136" s="39" t="str">
        <f aca="false">IF(M1136&lt;=0,"",IF(O1136&gt;60,"1-Tinggi",IF(O1136&gt;30,"2-Sedang",IF(O1136&gt;0,"3-Rendah","4-Pantau"))))</f>
        <v/>
      </c>
      <c r="S1136" s="39" t="str">
        <f aca="false">IF(AND(M1136&gt;0,O1136&gt;0),O1136+M1136/1000000000000+ROW()/1000000000000000,"")</f>
        <v/>
      </c>
      <c r="T1136" s="39" t="str">
        <f aca="false">IF(J1136="Belum ditukar",ROW(),"")</f>
        <v/>
      </c>
    </row>
    <row r="1137" customFormat="false" ht="15" hidden="false" customHeight="false" outlineLevel="0" collapsed="false">
      <c r="A1137" s="50" t="s">
        <v>1424</v>
      </c>
      <c r="B1137" s="51" t="n">
        <v>45898</v>
      </c>
      <c r="C1137" s="50" t="s">
        <v>419</v>
      </c>
      <c r="D1137" s="39" t="str">
        <f aca="false">INDEX(Master_Customer!$B$2:$B$126,MATCH(C1137,Master_Customer!$A$2:$A$126,0))</f>
        <v>UTAMA MOTOR</v>
      </c>
      <c r="E1137" s="50" t="s">
        <v>32</v>
      </c>
      <c r="F1137" s="52" t="n">
        <f aca="false">SUMIFS(Data_Penjualan!$G$2:$G$5998,Data_Penjualan!$A$2:$A$5998,A1137)</f>
        <v>823400</v>
      </c>
      <c r="G1137" s="39" t="n">
        <f aca="false">IF(E1137="KANTOR",0,INDEX(Master_Customer!$C$2:$C$126,MATCH(C1137,Master_Customer!$A$2:$A$126,0)))</f>
        <v>0</v>
      </c>
      <c r="H1137" s="53" t="n">
        <f aca="false">B1137+G1137</f>
        <v>45898</v>
      </c>
      <c r="J1137" s="39" t="str">
        <f aca="false">IF(G1137=0,"Tunai",IF(I1137="","Belum ditukar","Sudah ditukar"))</f>
        <v>Tunai</v>
      </c>
      <c r="K1137" s="54" t="n">
        <v>823400</v>
      </c>
      <c r="L1137" s="51" t="n">
        <v>45898</v>
      </c>
      <c r="M1137" s="52" t="n">
        <f aca="false">F1137-K1137</f>
        <v>0</v>
      </c>
      <c r="N1137" s="39" t="str">
        <f aca="false">IF(M1137&lt;=0,"Lunas",IF(K1137&gt;0,"Sebagian","Belum Bayar"))</f>
        <v>Lunas</v>
      </c>
      <c r="O1137" s="39" t="n">
        <f aca="false">IF(M1137&gt;0,MAX(0,Catatan!$B$3-H1137),0)</f>
        <v>0</v>
      </c>
      <c r="P1137" s="39" t="str">
        <f aca="false">IF(M1137&lt;=0,"Lunas",IF(Catatan!$B$3&lt;=H1137,"Belum Jatuh Tempo",IF(O1137&lt;=30,"1-30 hari",IF(O1137&lt;=60,"31-60 hari",IF(O1137&lt;=90,"61-90 hari","90+ hari")))))</f>
        <v>Lunas</v>
      </c>
      <c r="Q1137" s="50"/>
      <c r="R1137" s="39" t="str">
        <f aca="false">IF(M1137&lt;=0,"",IF(O1137&gt;60,"1-Tinggi",IF(O1137&gt;30,"2-Sedang",IF(O1137&gt;0,"3-Rendah","4-Pantau"))))</f>
        <v/>
      </c>
      <c r="S1137" s="39" t="str">
        <f aca="false">IF(AND(M1137&gt;0,O1137&gt;0),O1137+M1137/1000000000000+ROW()/1000000000000000,"")</f>
        <v/>
      </c>
      <c r="T1137" s="39" t="str">
        <f aca="false">IF(J1137="Belum ditukar",ROW(),"")</f>
        <v/>
      </c>
    </row>
    <row r="1138" customFormat="false" ht="15" hidden="false" customHeight="false" outlineLevel="0" collapsed="false">
      <c r="A1138" s="50" t="s">
        <v>1425</v>
      </c>
      <c r="B1138" s="51" t="n">
        <v>45898</v>
      </c>
      <c r="C1138" s="50" t="s">
        <v>349</v>
      </c>
      <c r="D1138" s="39" t="str">
        <f aca="false">INDEX(Master_Customer!$B$2:$B$126,MATCH(C1138,Master_Customer!$A$2:$A$126,0))</f>
        <v>MITRA GARAGE MULIA</v>
      </c>
      <c r="E1138" s="50" t="s">
        <v>28</v>
      </c>
      <c r="F1138" s="52" t="n">
        <f aca="false">SUMIFS(Data_Penjualan!$G$2:$G$5998,Data_Penjualan!$A$2:$A$5998,A1138)</f>
        <v>6191000</v>
      </c>
      <c r="G1138" s="39" t="n">
        <f aca="false">IF(E1138="KANTOR",0,INDEX(Master_Customer!$C$2:$C$126,MATCH(C1138,Master_Customer!$A$2:$A$126,0)))</f>
        <v>14</v>
      </c>
      <c r="H1138" s="53" t="n">
        <f aca="false">B1138+G1138</f>
        <v>45912</v>
      </c>
      <c r="I1138" s="51" t="n">
        <v>45903</v>
      </c>
      <c r="J1138" s="39" t="str">
        <f aca="false">IF(G1138=0,"Tunai",IF(I1138="","Belum ditukar","Sudah ditukar"))</f>
        <v>Sudah ditukar</v>
      </c>
      <c r="K1138" s="54" t="n">
        <v>2121600</v>
      </c>
      <c r="L1138" s="51" t="n">
        <v>45947</v>
      </c>
      <c r="M1138" s="52" t="n">
        <f aca="false">F1138-K1138</f>
        <v>4069400</v>
      </c>
      <c r="N1138" s="39" t="str">
        <f aca="false">IF(M1138&lt;=0,"Lunas",IF(K1138&gt;0,"Sebagian","Belum Bayar"))</f>
        <v>Sebagian</v>
      </c>
      <c r="O1138" s="39" t="n">
        <f aca="false">IF(M1138&gt;0,MAX(0,Catatan!$B$3-H1138),0)</f>
        <v>110</v>
      </c>
      <c r="P1138" s="39" t="str">
        <f aca="false">IF(M1138&lt;=0,"Lunas",IF(Catatan!$B$3&lt;=H1138,"Belum Jatuh Tempo",IF(O1138&lt;=30,"1-30 hari",IF(O1138&lt;=60,"31-60 hari",IF(O1138&lt;=90,"61-90 hari","90+ hari")))))</f>
        <v>90+ hari</v>
      </c>
      <c r="Q1138" s="50" t="s">
        <v>1426</v>
      </c>
      <c r="R1138" s="39" t="str">
        <f aca="false">IF(M1138&lt;=0,"",IF(O1138&gt;60,"1-Tinggi",IF(O1138&gt;30,"2-Sedang",IF(O1138&gt;0,"3-Rendah","4-Pantau"))))</f>
        <v>1-Tinggi</v>
      </c>
      <c r="S1138" s="39" t="n">
        <f aca="false">IF(AND(M1138&gt;0,O1138&gt;0),O1138+M1138/1000000000000+ROW()/1000000000000000,"")</f>
        <v>110.000004069401</v>
      </c>
      <c r="T1138" s="39" t="str">
        <f aca="false">IF(J1138="Belum ditukar",ROW(),"")</f>
        <v/>
      </c>
    </row>
    <row r="1139" customFormat="false" ht="15" hidden="false" customHeight="false" outlineLevel="0" collapsed="false">
      <c r="A1139" s="50" t="s">
        <v>1427</v>
      </c>
      <c r="B1139" s="51" t="n">
        <v>45899</v>
      </c>
      <c r="C1139" s="50" t="s">
        <v>296</v>
      </c>
      <c r="D1139" s="39" t="str">
        <f aca="false">INDEX(Master_Customer!$B$2:$B$126,MATCH(C1139,Master_Customer!$A$2:$A$126,0))</f>
        <v>KARYA LUBRICANT MAJU</v>
      </c>
      <c r="E1139" s="50" t="s">
        <v>29</v>
      </c>
      <c r="F1139" s="52" t="n">
        <f aca="false">SUMIFS(Data_Penjualan!$G$2:$G$5998,Data_Penjualan!$A$2:$A$5998,A1139)</f>
        <v>9631200</v>
      </c>
      <c r="G1139" s="39" t="n">
        <f aca="false">IF(E1139="KANTOR",0,INDEX(Master_Customer!$C$2:$C$126,MATCH(C1139,Master_Customer!$A$2:$A$126,0)))</f>
        <v>14</v>
      </c>
      <c r="H1139" s="53" t="n">
        <f aca="false">B1139+G1139</f>
        <v>45913</v>
      </c>
      <c r="I1139" s="51" t="n">
        <v>45901</v>
      </c>
      <c r="J1139" s="39" t="str">
        <f aca="false">IF(G1139=0,"Tunai",IF(I1139="","Belum ditukar","Sudah ditukar"))</f>
        <v>Sudah ditukar</v>
      </c>
      <c r="K1139" s="54" t="n">
        <v>9631200</v>
      </c>
      <c r="L1139" s="51" t="n">
        <v>45914</v>
      </c>
      <c r="M1139" s="52" t="n">
        <f aca="false">F1139-K1139</f>
        <v>0</v>
      </c>
      <c r="N1139" s="39" t="str">
        <f aca="false">IF(M1139&lt;=0,"Lunas",IF(K1139&gt;0,"Sebagian","Belum Bayar"))</f>
        <v>Lunas</v>
      </c>
      <c r="O1139" s="39" t="n">
        <f aca="false">IF(M1139&gt;0,MAX(0,Catatan!$B$3-H1139),0)</f>
        <v>0</v>
      </c>
      <c r="P1139" s="39" t="str">
        <f aca="false">IF(M1139&lt;=0,"Lunas",IF(Catatan!$B$3&lt;=H1139,"Belum Jatuh Tempo",IF(O1139&lt;=30,"1-30 hari",IF(O1139&lt;=60,"31-60 hari",IF(O1139&lt;=90,"61-90 hari","90+ hari")))))</f>
        <v>Lunas</v>
      </c>
      <c r="Q1139" s="50"/>
      <c r="R1139" s="39" t="str">
        <f aca="false">IF(M1139&lt;=0,"",IF(O1139&gt;60,"1-Tinggi",IF(O1139&gt;30,"2-Sedang",IF(O1139&gt;0,"3-Rendah","4-Pantau"))))</f>
        <v/>
      </c>
      <c r="S1139" s="39" t="str">
        <f aca="false">IF(AND(M1139&gt;0,O1139&gt;0),O1139+M1139/1000000000000+ROW()/1000000000000000,"")</f>
        <v/>
      </c>
      <c r="T1139" s="39" t="str">
        <f aca="false">IF(J1139="Belum ditukar",ROW(),"")</f>
        <v/>
      </c>
    </row>
    <row r="1140" customFormat="false" ht="15" hidden="false" customHeight="false" outlineLevel="0" collapsed="false">
      <c r="A1140" s="50" t="s">
        <v>1428</v>
      </c>
      <c r="B1140" s="51" t="n">
        <v>45899</v>
      </c>
      <c r="C1140" s="50" t="s">
        <v>177</v>
      </c>
      <c r="D1140" s="39" t="str">
        <f aca="false">INDEX(Master_Customer!$B$2:$B$126,MATCH(C1140,Master_Customer!$A$2:$A$126,0))</f>
        <v>PRIMA MOTOR LANCAR</v>
      </c>
      <c r="E1140" s="50" t="s">
        <v>29</v>
      </c>
      <c r="F1140" s="52" t="n">
        <f aca="false">SUMIFS(Data_Penjualan!$G$2:$G$5998,Data_Penjualan!$A$2:$A$5998,A1140)</f>
        <v>19560800</v>
      </c>
      <c r="G1140" s="39" t="n">
        <f aca="false">IF(E1140="KANTOR",0,INDEX(Master_Customer!$C$2:$C$126,MATCH(C1140,Master_Customer!$A$2:$A$126,0)))</f>
        <v>14</v>
      </c>
      <c r="H1140" s="53" t="n">
        <f aca="false">B1140+G1140</f>
        <v>45913</v>
      </c>
      <c r="I1140" s="51" t="n">
        <v>45901</v>
      </c>
      <c r="J1140" s="39" t="str">
        <f aca="false">IF(G1140=0,"Tunai",IF(I1140="","Belum ditukar","Sudah ditukar"))</f>
        <v>Sudah ditukar</v>
      </c>
      <c r="K1140" s="54" t="n">
        <v>19560800</v>
      </c>
      <c r="L1140" s="51" t="n">
        <v>45911</v>
      </c>
      <c r="M1140" s="52" t="n">
        <f aca="false">F1140-K1140</f>
        <v>0</v>
      </c>
      <c r="N1140" s="39" t="str">
        <f aca="false">IF(M1140&lt;=0,"Lunas",IF(K1140&gt;0,"Sebagian","Belum Bayar"))</f>
        <v>Lunas</v>
      </c>
      <c r="O1140" s="39" t="n">
        <f aca="false">IF(M1140&gt;0,MAX(0,Catatan!$B$3-H1140),0)</f>
        <v>0</v>
      </c>
      <c r="P1140" s="39" t="str">
        <f aca="false">IF(M1140&lt;=0,"Lunas",IF(Catatan!$B$3&lt;=H1140,"Belum Jatuh Tempo",IF(O1140&lt;=30,"1-30 hari",IF(O1140&lt;=60,"31-60 hari",IF(O1140&lt;=90,"61-90 hari","90+ hari")))))</f>
        <v>Lunas</v>
      </c>
      <c r="Q1140" s="50"/>
      <c r="R1140" s="39" t="str">
        <f aca="false">IF(M1140&lt;=0,"",IF(O1140&gt;60,"1-Tinggi",IF(O1140&gt;30,"2-Sedang",IF(O1140&gt;0,"3-Rendah","4-Pantau"))))</f>
        <v/>
      </c>
      <c r="S1140" s="39" t="str">
        <f aca="false">IF(AND(M1140&gt;0,O1140&gt;0),O1140+M1140/1000000000000+ROW()/1000000000000000,"")</f>
        <v/>
      </c>
      <c r="T1140" s="39" t="str">
        <f aca="false">IF(J1140="Belum ditukar",ROW(),"")</f>
        <v/>
      </c>
    </row>
    <row r="1141" customFormat="false" ht="15" hidden="false" customHeight="false" outlineLevel="0" collapsed="false">
      <c r="A1141" s="50" t="s">
        <v>1429</v>
      </c>
      <c r="B1141" s="51" t="n">
        <v>45899</v>
      </c>
      <c r="C1141" s="50" t="s">
        <v>179</v>
      </c>
      <c r="D1141" s="39" t="str">
        <f aca="false">INDEX(Master_Customer!$B$2:$B$126,MATCH(C1141,Master_Customer!$A$2:$A$126,0))</f>
        <v>BINTANG TEKNIK SURYA</v>
      </c>
      <c r="E1141" s="50" t="s">
        <v>32</v>
      </c>
      <c r="F1141" s="52" t="n">
        <f aca="false">SUMIFS(Data_Penjualan!$G$2:$G$5998,Data_Penjualan!$A$2:$A$5998,A1141)</f>
        <v>6445000</v>
      </c>
      <c r="G1141" s="39" t="n">
        <f aca="false">IF(E1141="KANTOR",0,INDEX(Master_Customer!$C$2:$C$126,MATCH(C1141,Master_Customer!$A$2:$A$126,0)))</f>
        <v>0</v>
      </c>
      <c r="H1141" s="53" t="n">
        <f aca="false">B1141+G1141</f>
        <v>45899</v>
      </c>
      <c r="J1141" s="39" t="str">
        <f aca="false">IF(G1141=0,"Tunai",IF(I1141="","Belum ditukar","Sudah ditukar"))</f>
        <v>Tunai</v>
      </c>
      <c r="K1141" s="54" t="n">
        <v>6445000</v>
      </c>
      <c r="L1141" s="51" t="n">
        <v>45901</v>
      </c>
      <c r="M1141" s="52" t="n">
        <f aca="false">F1141-K1141</f>
        <v>0</v>
      </c>
      <c r="N1141" s="39" t="str">
        <f aca="false">IF(M1141&lt;=0,"Lunas",IF(K1141&gt;0,"Sebagian","Belum Bayar"))</f>
        <v>Lunas</v>
      </c>
      <c r="O1141" s="39" t="n">
        <f aca="false">IF(M1141&gt;0,MAX(0,Catatan!$B$3-H1141),0)</f>
        <v>0</v>
      </c>
      <c r="P1141" s="39" t="str">
        <f aca="false">IF(M1141&lt;=0,"Lunas",IF(Catatan!$B$3&lt;=H1141,"Belum Jatuh Tempo",IF(O1141&lt;=30,"1-30 hari",IF(O1141&lt;=60,"31-60 hari",IF(O1141&lt;=90,"61-90 hari","90+ hari")))))</f>
        <v>Lunas</v>
      </c>
      <c r="Q1141" s="50"/>
      <c r="R1141" s="39" t="str">
        <f aca="false">IF(M1141&lt;=0,"",IF(O1141&gt;60,"1-Tinggi",IF(O1141&gt;30,"2-Sedang",IF(O1141&gt;0,"3-Rendah","4-Pantau"))))</f>
        <v/>
      </c>
      <c r="S1141" s="39" t="str">
        <f aca="false">IF(AND(M1141&gt;0,O1141&gt;0),O1141+M1141/1000000000000+ROW()/1000000000000000,"")</f>
        <v/>
      </c>
      <c r="T1141" s="39" t="str">
        <f aca="false">IF(J1141="Belum ditukar",ROW(),"")</f>
        <v/>
      </c>
    </row>
    <row r="1142" customFormat="false" ht="15" hidden="false" customHeight="false" outlineLevel="0" collapsed="false">
      <c r="A1142" s="50" t="s">
        <v>1430</v>
      </c>
      <c r="B1142" s="51" t="n">
        <v>45899</v>
      </c>
      <c r="C1142" s="50" t="s">
        <v>209</v>
      </c>
      <c r="D1142" s="39" t="str">
        <f aca="false">INDEX(Master_Customer!$B$2:$B$126,MATCH(C1142,Master_Customer!$A$2:$A$126,0))</f>
        <v>PRIMA TEKNIK</v>
      </c>
      <c r="E1142" s="50" t="s">
        <v>31</v>
      </c>
      <c r="F1142" s="52" t="n">
        <f aca="false">SUMIFS(Data_Penjualan!$G$2:$G$5998,Data_Penjualan!$A$2:$A$5998,A1142)</f>
        <v>7130900</v>
      </c>
      <c r="G1142" s="39" t="n">
        <f aca="false">IF(E1142="KANTOR",0,INDEX(Master_Customer!$C$2:$C$126,MATCH(C1142,Master_Customer!$A$2:$A$126,0)))</f>
        <v>30</v>
      </c>
      <c r="H1142" s="53" t="n">
        <f aca="false">B1142+G1142</f>
        <v>45929</v>
      </c>
      <c r="I1142" s="51" t="n">
        <v>45903</v>
      </c>
      <c r="J1142" s="39" t="str">
        <f aca="false">IF(G1142=0,"Tunai",IF(I1142="","Belum ditukar","Sudah ditukar"))</f>
        <v>Sudah ditukar</v>
      </c>
      <c r="K1142" s="54" t="n">
        <v>7130900</v>
      </c>
      <c r="L1142" s="51" t="n">
        <v>46012</v>
      </c>
      <c r="M1142" s="52" t="n">
        <f aca="false">F1142-K1142</f>
        <v>0</v>
      </c>
      <c r="N1142" s="39" t="str">
        <f aca="false">IF(M1142&lt;=0,"Lunas",IF(K1142&gt;0,"Sebagian","Belum Bayar"))</f>
        <v>Lunas</v>
      </c>
      <c r="O1142" s="39" t="n">
        <f aca="false">IF(M1142&gt;0,MAX(0,Catatan!$B$3-H1142),0)</f>
        <v>0</v>
      </c>
      <c r="P1142" s="39" t="str">
        <f aca="false">IF(M1142&lt;=0,"Lunas",IF(Catatan!$B$3&lt;=H1142,"Belum Jatuh Tempo",IF(O1142&lt;=30,"1-30 hari",IF(O1142&lt;=60,"31-60 hari",IF(O1142&lt;=90,"61-90 hari","90+ hari")))))</f>
        <v>Lunas</v>
      </c>
      <c r="Q1142" s="50"/>
      <c r="R1142" s="39" t="str">
        <f aca="false">IF(M1142&lt;=0,"",IF(O1142&gt;60,"1-Tinggi",IF(O1142&gt;30,"2-Sedang",IF(O1142&gt;0,"3-Rendah","4-Pantau"))))</f>
        <v/>
      </c>
      <c r="S1142" s="39" t="str">
        <f aca="false">IF(AND(M1142&gt;0,O1142&gt;0),O1142+M1142/1000000000000+ROW()/1000000000000000,"")</f>
        <v/>
      </c>
      <c r="T1142" s="39" t="str">
        <f aca="false">IF(J1142="Belum ditukar",ROW(),"")</f>
        <v/>
      </c>
    </row>
    <row r="1143" customFormat="false" ht="15" hidden="false" customHeight="false" outlineLevel="0" collapsed="false">
      <c r="A1143" s="50" t="s">
        <v>1431</v>
      </c>
      <c r="B1143" s="51" t="n">
        <v>45899</v>
      </c>
      <c r="C1143" s="50" t="s">
        <v>289</v>
      </c>
      <c r="D1143" s="39" t="str">
        <f aca="false">INDEX(Master_Customer!$B$2:$B$126,MATCH(C1143,Master_Customer!$A$2:$A$126,0))</f>
        <v>SINAR GARAGE</v>
      </c>
      <c r="E1143" s="50" t="s">
        <v>28</v>
      </c>
      <c r="F1143" s="52" t="n">
        <f aca="false">SUMIFS(Data_Penjualan!$G$2:$G$5998,Data_Penjualan!$A$2:$A$5998,A1143)</f>
        <v>26129200</v>
      </c>
      <c r="G1143" s="39" t="n">
        <f aca="false">IF(E1143="KANTOR",0,INDEX(Master_Customer!$C$2:$C$126,MATCH(C1143,Master_Customer!$A$2:$A$126,0)))</f>
        <v>30</v>
      </c>
      <c r="H1143" s="53" t="n">
        <f aca="false">B1143+G1143</f>
        <v>45929</v>
      </c>
      <c r="I1143" s="51" t="n">
        <v>45901</v>
      </c>
      <c r="J1143" s="39" t="str">
        <f aca="false">IF(G1143=0,"Tunai",IF(I1143="","Belum ditukar","Sudah ditukar"))</f>
        <v>Sudah ditukar</v>
      </c>
      <c r="K1143" s="54" t="n">
        <v>26129200</v>
      </c>
      <c r="L1143" s="51" t="n">
        <v>45922</v>
      </c>
      <c r="M1143" s="52" t="n">
        <f aca="false">F1143-K1143</f>
        <v>0</v>
      </c>
      <c r="N1143" s="39" t="str">
        <f aca="false">IF(M1143&lt;=0,"Lunas",IF(K1143&gt;0,"Sebagian","Belum Bayar"))</f>
        <v>Lunas</v>
      </c>
      <c r="O1143" s="39" t="n">
        <f aca="false">IF(M1143&gt;0,MAX(0,Catatan!$B$3-H1143),0)</f>
        <v>0</v>
      </c>
      <c r="P1143" s="39" t="str">
        <f aca="false">IF(M1143&lt;=0,"Lunas",IF(Catatan!$B$3&lt;=H1143,"Belum Jatuh Tempo",IF(O1143&lt;=30,"1-30 hari",IF(O1143&lt;=60,"31-60 hari",IF(O1143&lt;=90,"61-90 hari","90+ hari")))))</f>
        <v>Lunas</v>
      </c>
      <c r="Q1143" s="50"/>
      <c r="R1143" s="39" t="str">
        <f aca="false">IF(M1143&lt;=0,"",IF(O1143&gt;60,"1-Tinggi",IF(O1143&gt;30,"2-Sedang",IF(O1143&gt;0,"3-Rendah","4-Pantau"))))</f>
        <v/>
      </c>
      <c r="S1143" s="39" t="str">
        <f aca="false">IF(AND(M1143&gt;0,O1143&gt;0),O1143+M1143/1000000000000+ROW()/1000000000000000,"")</f>
        <v/>
      </c>
      <c r="T1143" s="39" t="str">
        <f aca="false">IF(J1143="Belum ditukar",ROW(),"")</f>
        <v/>
      </c>
    </row>
    <row r="1144" customFormat="false" ht="15" hidden="false" customHeight="false" outlineLevel="0" collapsed="false">
      <c r="A1144" s="50" t="s">
        <v>1432</v>
      </c>
      <c r="B1144" s="51" t="n">
        <v>45899</v>
      </c>
      <c r="C1144" s="50" t="s">
        <v>216</v>
      </c>
      <c r="D1144" s="39" t="str">
        <f aca="false">INDEX(Master_Customer!$B$2:$B$126,MATCH(C1144,Master_Customer!$A$2:$A$126,0))</f>
        <v>SINAR MOTOR UTAMA</v>
      </c>
      <c r="E1144" s="50" t="s">
        <v>30</v>
      </c>
      <c r="F1144" s="52" t="n">
        <f aca="false">SUMIFS(Data_Penjualan!$G$2:$G$5998,Data_Penjualan!$A$2:$A$5998,A1144)</f>
        <v>29465200</v>
      </c>
      <c r="G1144" s="39" t="n">
        <f aca="false">IF(E1144="KANTOR",0,INDEX(Master_Customer!$C$2:$C$126,MATCH(C1144,Master_Customer!$A$2:$A$126,0)))</f>
        <v>0</v>
      </c>
      <c r="H1144" s="53" t="n">
        <f aca="false">B1144+G1144</f>
        <v>45899</v>
      </c>
      <c r="J1144" s="39" t="str">
        <f aca="false">IF(G1144=0,"Tunai",IF(I1144="","Belum ditukar","Sudah ditukar"))</f>
        <v>Tunai</v>
      </c>
      <c r="K1144" s="54" t="n">
        <v>29465200</v>
      </c>
      <c r="L1144" s="51" t="n">
        <v>45899</v>
      </c>
      <c r="M1144" s="52" t="n">
        <f aca="false">F1144-K1144</f>
        <v>0</v>
      </c>
      <c r="N1144" s="39" t="str">
        <f aca="false">IF(M1144&lt;=0,"Lunas",IF(K1144&gt;0,"Sebagian","Belum Bayar"))</f>
        <v>Lunas</v>
      </c>
      <c r="O1144" s="39" t="n">
        <f aca="false">IF(M1144&gt;0,MAX(0,Catatan!$B$3-H1144),0)</f>
        <v>0</v>
      </c>
      <c r="P1144" s="39" t="str">
        <f aca="false">IF(M1144&lt;=0,"Lunas",IF(Catatan!$B$3&lt;=H1144,"Belum Jatuh Tempo",IF(O1144&lt;=30,"1-30 hari",IF(O1144&lt;=60,"31-60 hari",IF(O1144&lt;=90,"61-90 hari","90+ hari")))))</f>
        <v>Lunas</v>
      </c>
      <c r="Q1144" s="50"/>
      <c r="R1144" s="39" t="str">
        <f aca="false">IF(M1144&lt;=0,"",IF(O1144&gt;60,"1-Tinggi",IF(O1144&gt;30,"2-Sedang",IF(O1144&gt;0,"3-Rendah","4-Pantau"))))</f>
        <v/>
      </c>
      <c r="S1144" s="39" t="str">
        <f aca="false">IF(AND(M1144&gt;0,O1144&gt;0),O1144+M1144/1000000000000+ROW()/1000000000000000,"")</f>
        <v/>
      </c>
      <c r="T1144" s="39" t="str">
        <f aca="false">IF(J1144="Belum ditukar",ROW(),"")</f>
        <v/>
      </c>
    </row>
    <row r="1145" customFormat="false" ht="15" hidden="false" customHeight="false" outlineLevel="0" collapsed="false">
      <c r="A1145" s="50" t="s">
        <v>1433</v>
      </c>
      <c r="B1145" s="51" t="n">
        <v>45899</v>
      </c>
      <c r="C1145" s="50" t="s">
        <v>293</v>
      </c>
      <c r="D1145" s="39" t="str">
        <f aca="false">INDEX(Master_Customer!$B$2:$B$126,MATCH(C1145,Master_Customer!$A$2:$A$126,0))</f>
        <v>SINAR LUBRICANT</v>
      </c>
      <c r="E1145" s="50" t="s">
        <v>31</v>
      </c>
      <c r="F1145" s="52" t="n">
        <f aca="false">SUMIFS(Data_Penjualan!$G$2:$G$5998,Data_Penjualan!$A$2:$A$5998,A1145)</f>
        <v>8107600</v>
      </c>
      <c r="G1145" s="39" t="n">
        <f aca="false">IF(E1145="KANTOR",0,INDEX(Master_Customer!$C$2:$C$126,MATCH(C1145,Master_Customer!$A$2:$A$126,0)))</f>
        <v>30</v>
      </c>
      <c r="H1145" s="53" t="n">
        <f aca="false">B1145+G1145</f>
        <v>45929</v>
      </c>
      <c r="I1145" s="51" t="n">
        <v>45902</v>
      </c>
      <c r="J1145" s="39" t="str">
        <f aca="false">IF(G1145=0,"Tunai",IF(I1145="","Belum ditukar","Sudah ditukar"))</f>
        <v>Sudah ditukar</v>
      </c>
      <c r="K1145" s="54" t="n">
        <v>8107600</v>
      </c>
      <c r="L1145" s="51" t="n">
        <v>45944</v>
      </c>
      <c r="M1145" s="52" t="n">
        <f aca="false">F1145-K1145</f>
        <v>0</v>
      </c>
      <c r="N1145" s="39" t="str">
        <f aca="false">IF(M1145&lt;=0,"Lunas",IF(K1145&gt;0,"Sebagian","Belum Bayar"))</f>
        <v>Lunas</v>
      </c>
      <c r="O1145" s="39" t="n">
        <f aca="false">IF(M1145&gt;0,MAX(0,Catatan!$B$3-H1145),0)</f>
        <v>0</v>
      </c>
      <c r="P1145" s="39" t="str">
        <f aca="false">IF(M1145&lt;=0,"Lunas",IF(Catatan!$B$3&lt;=H1145,"Belum Jatuh Tempo",IF(O1145&lt;=30,"1-30 hari",IF(O1145&lt;=60,"31-60 hari",IF(O1145&lt;=90,"61-90 hari","90+ hari")))))</f>
        <v>Lunas</v>
      </c>
      <c r="Q1145" s="50"/>
      <c r="R1145" s="39" t="str">
        <f aca="false">IF(M1145&lt;=0,"",IF(O1145&gt;60,"1-Tinggi",IF(O1145&gt;30,"2-Sedang",IF(O1145&gt;0,"3-Rendah","4-Pantau"))))</f>
        <v/>
      </c>
      <c r="S1145" s="39" t="str">
        <f aca="false">IF(AND(M1145&gt;0,O1145&gt;0),O1145+M1145/1000000000000+ROW()/1000000000000000,"")</f>
        <v/>
      </c>
      <c r="T1145" s="39" t="str">
        <f aca="false">IF(J1145="Belum ditukar",ROW(),"")</f>
        <v/>
      </c>
    </row>
    <row r="1146" customFormat="false" ht="15" hidden="false" customHeight="false" outlineLevel="0" collapsed="false">
      <c r="A1146" s="50" t="s">
        <v>1434</v>
      </c>
      <c r="B1146" s="51" t="n">
        <v>45901</v>
      </c>
      <c r="C1146" s="50" t="s">
        <v>166</v>
      </c>
      <c r="D1146" s="39" t="str">
        <f aca="false">INDEX(Master_Customer!$B$2:$B$126,MATCH(C1146,Master_Customer!$A$2:$A$126,0))</f>
        <v>SENTOSA SERVICE</v>
      </c>
      <c r="E1146" s="50" t="s">
        <v>30</v>
      </c>
      <c r="F1146" s="52" t="n">
        <f aca="false">SUMIFS(Data_Penjualan!$G$2:$G$5998,Data_Penjualan!$A$2:$A$5998,A1146)</f>
        <v>12520900</v>
      </c>
      <c r="G1146" s="39" t="n">
        <f aca="false">IF(E1146="KANTOR",0,INDEX(Master_Customer!$C$2:$C$126,MATCH(C1146,Master_Customer!$A$2:$A$126,0)))</f>
        <v>0</v>
      </c>
      <c r="H1146" s="53" t="n">
        <f aca="false">B1146+G1146</f>
        <v>45901</v>
      </c>
      <c r="J1146" s="39" t="str">
        <f aca="false">IF(G1146=0,"Tunai",IF(I1146="","Belum ditukar","Sudah ditukar"))</f>
        <v>Tunai</v>
      </c>
      <c r="K1146" s="54" t="n">
        <v>12520900</v>
      </c>
      <c r="L1146" s="51" t="n">
        <v>45901</v>
      </c>
      <c r="M1146" s="52" t="n">
        <f aca="false">F1146-K1146</f>
        <v>0</v>
      </c>
      <c r="N1146" s="39" t="str">
        <f aca="false">IF(M1146&lt;=0,"Lunas",IF(K1146&gt;0,"Sebagian","Belum Bayar"))</f>
        <v>Lunas</v>
      </c>
      <c r="O1146" s="39" t="n">
        <f aca="false">IF(M1146&gt;0,MAX(0,Catatan!$B$3-H1146),0)</f>
        <v>0</v>
      </c>
      <c r="P1146" s="39" t="str">
        <f aca="false">IF(M1146&lt;=0,"Lunas",IF(Catatan!$B$3&lt;=H1146,"Belum Jatuh Tempo",IF(O1146&lt;=30,"1-30 hari",IF(O1146&lt;=60,"31-60 hari",IF(O1146&lt;=90,"61-90 hari","90+ hari")))))</f>
        <v>Lunas</v>
      </c>
      <c r="Q1146" s="50"/>
      <c r="R1146" s="39" t="str">
        <f aca="false">IF(M1146&lt;=0,"",IF(O1146&gt;60,"1-Tinggi",IF(O1146&gt;30,"2-Sedang",IF(O1146&gt;0,"3-Rendah","4-Pantau"))))</f>
        <v/>
      </c>
      <c r="S1146" s="39" t="str">
        <f aca="false">IF(AND(M1146&gt;0,O1146&gt;0),O1146+M1146/1000000000000+ROW()/1000000000000000,"")</f>
        <v/>
      </c>
      <c r="T1146" s="39" t="str">
        <f aca="false">IF(J1146="Belum ditukar",ROW(),"")</f>
        <v/>
      </c>
    </row>
    <row r="1147" customFormat="false" ht="15" hidden="false" customHeight="false" outlineLevel="0" collapsed="false">
      <c r="A1147" s="50" t="s">
        <v>1435</v>
      </c>
      <c r="B1147" s="51" t="n">
        <v>45901</v>
      </c>
      <c r="C1147" s="50" t="s">
        <v>640</v>
      </c>
      <c r="D1147" s="39" t="str">
        <f aca="false">INDEX(Master_Customer!$B$2:$B$126,MATCH(C1147,Master_Customer!$A$2:$A$126,0))</f>
        <v>MULIA AUTO</v>
      </c>
      <c r="E1147" s="50" t="s">
        <v>30</v>
      </c>
      <c r="F1147" s="52" t="n">
        <f aca="false">SUMIFS(Data_Penjualan!$G$2:$G$5998,Data_Penjualan!$A$2:$A$5998,A1147)</f>
        <v>8573000</v>
      </c>
      <c r="G1147" s="39" t="n">
        <f aca="false">IF(E1147="KANTOR",0,INDEX(Master_Customer!$C$2:$C$126,MATCH(C1147,Master_Customer!$A$2:$A$126,0)))</f>
        <v>30</v>
      </c>
      <c r="H1147" s="53" t="n">
        <f aca="false">B1147+G1147</f>
        <v>45931</v>
      </c>
      <c r="I1147" s="51" t="n">
        <v>45905</v>
      </c>
      <c r="J1147" s="39" t="str">
        <f aca="false">IF(G1147=0,"Tunai",IF(I1147="","Belum ditukar","Sudah ditukar"))</f>
        <v>Sudah ditukar</v>
      </c>
      <c r="K1147" s="54" t="n">
        <v>8573000</v>
      </c>
      <c r="L1147" s="51" t="n">
        <v>45932</v>
      </c>
      <c r="M1147" s="52" t="n">
        <f aca="false">F1147-K1147</f>
        <v>0</v>
      </c>
      <c r="N1147" s="39" t="str">
        <f aca="false">IF(M1147&lt;=0,"Lunas",IF(K1147&gt;0,"Sebagian","Belum Bayar"))</f>
        <v>Lunas</v>
      </c>
      <c r="O1147" s="39" t="n">
        <f aca="false">IF(M1147&gt;0,MAX(0,Catatan!$B$3-H1147),0)</f>
        <v>0</v>
      </c>
      <c r="P1147" s="39" t="str">
        <f aca="false">IF(M1147&lt;=0,"Lunas",IF(Catatan!$B$3&lt;=H1147,"Belum Jatuh Tempo",IF(O1147&lt;=30,"1-30 hari",IF(O1147&lt;=60,"31-60 hari",IF(O1147&lt;=90,"61-90 hari","90+ hari")))))</f>
        <v>Lunas</v>
      </c>
      <c r="Q1147" s="50"/>
      <c r="R1147" s="39" t="str">
        <f aca="false">IF(M1147&lt;=0,"",IF(O1147&gt;60,"1-Tinggi",IF(O1147&gt;30,"2-Sedang",IF(O1147&gt;0,"3-Rendah","4-Pantau"))))</f>
        <v/>
      </c>
      <c r="S1147" s="39" t="str">
        <f aca="false">IF(AND(M1147&gt;0,O1147&gt;0),O1147+M1147/1000000000000+ROW()/1000000000000000,"")</f>
        <v/>
      </c>
      <c r="T1147" s="39" t="str">
        <f aca="false">IF(J1147="Belum ditukar",ROW(),"")</f>
        <v/>
      </c>
    </row>
    <row r="1148" customFormat="false" ht="15" hidden="false" customHeight="false" outlineLevel="0" collapsed="false">
      <c r="A1148" s="50" t="s">
        <v>1436</v>
      </c>
      <c r="B1148" s="51" t="n">
        <v>45902</v>
      </c>
      <c r="C1148" s="50" t="s">
        <v>205</v>
      </c>
      <c r="D1148" s="39" t="str">
        <f aca="false">INDEX(Master_Customer!$B$2:$B$126,MATCH(C1148,Master_Customer!$A$2:$A$126,0))</f>
        <v>BERKAH OLI</v>
      </c>
      <c r="E1148" s="50" t="s">
        <v>32</v>
      </c>
      <c r="F1148" s="52" t="n">
        <f aca="false">SUMIFS(Data_Penjualan!$G$2:$G$5998,Data_Penjualan!$A$2:$A$5998,A1148)</f>
        <v>7655500</v>
      </c>
      <c r="G1148" s="39" t="n">
        <f aca="false">IF(E1148="KANTOR",0,INDEX(Master_Customer!$C$2:$C$126,MATCH(C1148,Master_Customer!$A$2:$A$126,0)))</f>
        <v>0</v>
      </c>
      <c r="H1148" s="53" t="n">
        <f aca="false">B1148+G1148</f>
        <v>45902</v>
      </c>
      <c r="J1148" s="39" t="str">
        <f aca="false">IF(G1148=0,"Tunai",IF(I1148="","Belum ditukar","Sudah ditukar"))</f>
        <v>Tunai</v>
      </c>
      <c r="K1148" s="54" t="n">
        <v>7655500</v>
      </c>
      <c r="L1148" s="51" t="n">
        <v>45903</v>
      </c>
      <c r="M1148" s="52" t="n">
        <f aca="false">F1148-K1148</f>
        <v>0</v>
      </c>
      <c r="N1148" s="39" t="str">
        <f aca="false">IF(M1148&lt;=0,"Lunas",IF(K1148&gt;0,"Sebagian","Belum Bayar"))</f>
        <v>Lunas</v>
      </c>
      <c r="O1148" s="39" t="n">
        <f aca="false">IF(M1148&gt;0,MAX(0,Catatan!$B$3-H1148),0)</f>
        <v>0</v>
      </c>
      <c r="P1148" s="39" t="str">
        <f aca="false">IF(M1148&lt;=0,"Lunas",IF(Catatan!$B$3&lt;=H1148,"Belum Jatuh Tempo",IF(O1148&lt;=30,"1-30 hari",IF(O1148&lt;=60,"31-60 hari",IF(O1148&lt;=90,"61-90 hari","90+ hari")))))</f>
        <v>Lunas</v>
      </c>
      <c r="Q1148" s="50"/>
      <c r="R1148" s="39" t="str">
        <f aca="false">IF(M1148&lt;=0,"",IF(O1148&gt;60,"1-Tinggi",IF(O1148&gt;30,"2-Sedang",IF(O1148&gt;0,"3-Rendah","4-Pantau"))))</f>
        <v/>
      </c>
      <c r="S1148" s="39" t="str">
        <f aca="false">IF(AND(M1148&gt;0,O1148&gt;0),O1148+M1148/1000000000000+ROW()/1000000000000000,"")</f>
        <v/>
      </c>
      <c r="T1148" s="39" t="str">
        <f aca="false">IF(J1148="Belum ditukar",ROW(),"")</f>
        <v/>
      </c>
    </row>
    <row r="1149" customFormat="false" ht="15" hidden="false" customHeight="false" outlineLevel="0" collapsed="false">
      <c r="A1149" s="50" t="s">
        <v>1437</v>
      </c>
      <c r="B1149" s="51" t="n">
        <v>45902</v>
      </c>
      <c r="C1149" s="50" t="s">
        <v>737</v>
      </c>
      <c r="D1149" s="39" t="str">
        <f aca="false">INDEX(Master_Customer!$B$2:$B$126,MATCH(C1149,Master_Customer!$A$2:$A$126,0))</f>
        <v>MAJU GARAGE</v>
      </c>
      <c r="E1149" s="50" t="s">
        <v>32</v>
      </c>
      <c r="F1149" s="52" t="n">
        <f aca="false">SUMIFS(Data_Penjualan!$G$2:$G$5998,Data_Penjualan!$A$2:$A$5998,A1149)</f>
        <v>2643200</v>
      </c>
      <c r="G1149" s="39" t="n">
        <f aca="false">IF(E1149="KANTOR",0,INDEX(Master_Customer!$C$2:$C$126,MATCH(C1149,Master_Customer!$A$2:$A$126,0)))</f>
        <v>0</v>
      </c>
      <c r="H1149" s="53" t="n">
        <f aca="false">B1149+G1149</f>
        <v>45902</v>
      </c>
      <c r="J1149" s="39" t="str">
        <f aca="false">IF(G1149=0,"Tunai",IF(I1149="","Belum ditukar","Sudah ditukar"))</f>
        <v>Tunai</v>
      </c>
      <c r="K1149" s="54" t="n">
        <v>2643200</v>
      </c>
      <c r="L1149" s="51" t="n">
        <v>45902</v>
      </c>
      <c r="M1149" s="52" t="n">
        <f aca="false">F1149-K1149</f>
        <v>0</v>
      </c>
      <c r="N1149" s="39" t="str">
        <f aca="false">IF(M1149&lt;=0,"Lunas",IF(K1149&gt;0,"Sebagian","Belum Bayar"))</f>
        <v>Lunas</v>
      </c>
      <c r="O1149" s="39" t="n">
        <f aca="false">IF(M1149&gt;0,MAX(0,Catatan!$B$3-H1149),0)</f>
        <v>0</v>
      </c>
      <c r="P1149" s="39" t="str">
        <f aca="false">IF(M1149&lt;=0,"Lunas",IF(Catatan!$B$3&lt;=H1149,"Belum Jatuh Tempo",IF(O1149&lt;=30,"1-30 hari",IF(O1149&lt;=60,"31-60 hari",IF(O1149&lt;=90,"61-90 hari","90+ hari")))))</f>
        <v>Lunas</v>
      </c>
      <c r="Q1149" s="50"/>
      <c r="R1149" s="39" t="str">
        <f aca="false">IF(M1149&lt;=0,"",IF(O1149&gt;60,"1-Tinggi",IF(O1149&gt;30,"2-Sedang",IF(O1149&gt;0,"3-Rendah","4-Pantau"))))</f>
        <v/>
      </c>
      <c r="S1149" s="39" t="str">
        <f aca="false">IF(AND(M1149&gt;0,O1149&gt;0),O1149+M1149/1000000000000+ROW()/1000000000000000,"")</f>
        <v/>
      </c>
      <c r="T1149" s="39" t="str">
        <f aca="false">IF(J1149="Belum ditukar",ROW(),"")</f>
        <v/>
      </c>
    </row>
    <row r="1150" customFormat="false" ht="15" hidden="false" customHeight="false" outlineLevel="0" collapsed="false">
      <c r="A1150" s="50" t="s">
        <v>1438</v>
      </c>
      <c r="B1150" s="51" t="n">
        <v>45902</v>
      </c>
      <c r="C1150" s="50" t="s">
        <v>967</v>
      </c>
      <c r="D1150" s="39" t="str">
        <f aca="false">INDEX(Master_Customer!$B$2:$B$126,MATCH(C1150,Master_Customer!$A$2:$A$126,0))</f>
        <v>MAKMUR SPAREPART GEMILANG</v>
      </c>
      <c r="E1150" s="50" t="s">
        <v>32</v>
      </c>
      <c r="F1150" s="52" t="n">
        <f aca="false">SUMIFS(Data_Penjualan!$G$2:$G$5998,Data_Penjualan!$A$2:$A$5998,A1150)</f>
        <v>3708200</v>
      </c>
      <c r="G1150" s="39" t="n">
        <f aca="false">IF(E1150="KANTOR",0,INDEX(Master_Customer!$C$2:$C$126,MATCH(C1150,Master_Customer!$A$2:$A$126,0)))</f>
        <v>0</v>
      </c>
      <c r="H1150" s="53" t="n">
        <f aca="false">B1150+G1150</f>
        <v>45902</v>
      </c>
      <c r="J1150" s="39" t="str">
        <f aca="false">IF(G1150=0,"Tunai",IF(I1150="","Belum ditukar","Sudah ditukar"))</f>
        <v>Tunai</v>
      </c>
      <c r="K1150" s="54" t="n">
        <v>3708200</v>
      </c>
      <c r="L1150" s="51" t="n">
        <v>45902</v>
      </c>
      <c r="M1150" s="52" t="n">
        <f aca="false">F1150-K1150</f>
        <v>0</v>
      </c>
      <c r="N1150" s="39" t="str">
        <f aca="false">IF(M1150&lt;=0,"Lunas",IF(K1150&gt;0,"Sebagian","Belum Bayar"))</f>
        <v>Lunas</v>
      </c>
      <c r="O1150" s="39" t="n">
        <f aca="false">IF(M1150&gt;0,MAX(0,Catatan!$B$3-H1150),0)</f>
        <v>0</v>
      </c>
      <c r="P1150" s="39" t="str">
        <f aca="false">IF(M1150&lt;=0,"Lunas",IF(Catatan!$B$3&lt;=H1150,"Belum Jatuh Tempo",IF(O1150&lt;=30,"1-30 hari",IF(O1150&lt;=60,"31-60 hari",IF(O1150&lt;=90,"61-90 hari","90+ hari")))))</f>
        <v>Lunas</v>
      </c>
      <c r="Q1150" s="50"/>
      <c r="R1150" s="39" t="str">
        <f aca="false">IF(M1150&lt;=0,"",IF(O1150&gt;60,"1-Tinggi",IF(O1150&gt;30,"2-Sedang",IF(O1150&gt;0,"3-Rendah","4-Pantau"))))</f>
        <v/>
      </c>
      <c r="S1150" s="39" t="str">
        <f aca="false">IF(AND(M1150&gt;0,O1150&gt;0),O1150+M1150/1000000000000+ROW()/1000000000000000,"")</f>
        <v/>
      </c>
      <c r="T1150" s="39" t="str">
        <f aca="false">IF(J1150="Belum ditukar",ROW(),"")</f>
        <v/>
      </c>
    </row>
    <row r="1151" customFormat="false" ht="15" hidden="false" customHeight="false" outlineLevel="0" collapsed="false">
      <c r="A1151" s="50" t="s">
        <v>1439</v>
      </c>
      <c r="B1151" s="51" t="n">
        <v>45903</v>
      </c>
      <c r="C1151" s="50" t="s">
        <v>562</v>
      </c>
      <c r="D1151" s="39" t="str">
        <f aca="false">INDEX(Master_Customer!$B$2:$B$126,MATCH(C1151,Master_Customer!$A$2:$A$126,0))</f>
        <v>BERKAH SERVICE SENTOSA</v>
      </c>
      <c r="E1151" s="50" t="s">
        <v>28</v>
      </c>
      <c r="F1151" s="52" t="n">
        <f aca="false">SUMIFS(Data_Penjualan!$G$2:$G$5998,Data_Penjualan!$A$2:$A$5998,A1151)</f>
        <v>3137900</v>
      </c>
      <c r="G1151" s="39" t="n">
        <f aca="false">IF(E1151="KANTOR",0,INDEX(Master_Customer!$C$2:$C$126,MATCH(C1151,Master_Customer!$A$2:$A$126,0)))</f>
        <v>14</v>
      </c>
      <c r="H1151" s="53" t="n">
        <f aca="false">B1151+G1151</f>
        <v>45917</v>
      </c>
      <c r="I1151" s="51" t="n">
        <v>45907</v>
      </c>
      <c r="J1151" s="39" t="str">
        <f aca="false">IF(G1151=0,"Tunai",IF(I1151="","Belum ditukar","Sudah ditukar"))</f>
        <v>Sudah ditukar</v>
      </c>
      <c r="K1151" s="54" t="n">
        <v>3137900</v>
      </c>
      <c r="L1151" s="51" t="n">
        <v>45937</v>
      </c>
      <c r="M1151" s="52" t="n">
        <f aca="false">F1151-K1151</f>
        <v>0</v>
      </c>
      <c r="N1151" s="39" t="str">
        <f aca="false">IF(M1151&lt;=0,"Lunas",IF(K1151&gt;0,"Sebagian","Belum Bayar"))</f>
        <v>Lunas</v>
      </c>
      <c r="O1151" s="39" t="n">
        <f aca="false">IF(M1151&gt;0,MAX(0,Catatan!$B$3-H1151),0)</f>
        <v>0</v>
      </c>
      <c r="P1151" s="39" t="str">
        <f aca="false">IF(M1151&lt;=0,"Lunas",IF(Catatan!$B$3&lt;=H1151,"Belum Jatuh Tempo",IF(O1151&lt;=30,"1-30 hari",IF(O1151&lt;=60,"31-60 hari",IF(O1151&lt;=90,"61-90 hari","90+ hari")))))</f>
        <v>Lunas</v>
      </c>
      <c r="Q1151" s="50"/>
      <c r="R1151" s="39" t="str">
        <f aca="false">IF(M1151&lt;=0,"",IF(O1151&gt;60,"1-Tinggi",IF(O1151&gt;30,"2-Sedang",IF(O1151&gt;0,"3-Rendah","4-Pantau"))))</f>
        <v/>
      </c>
      <c r="S1151" s="39" t="str">
        <f aca="false">IF(AND(M1151&gt;0,O1151&gt;0),O1151+M1151/1000000000000+ROW()/1000000000000000,"")</f>
        <v/>
      </c>
      <c r="T1151" s="39" t="str">
        <f aca="false">IF(J1151="Belum ditukar",ROW(),"")</f>
        <v/>
      </c>
    </row>
    <row r="1152" customFormat="false" ht="15" hidden="false" customHeight="false" outlineLevel="0" collapsed="false">
      <c r="A1152" s="50" t="s">
        <v>1440</v>
      </c>
      <c r="B1152" s="51" t="n">
        <v>45903</v>
      </c>
      <c r="C1152" s="50" t="s">
        <v>197</v>
      </c>
      <c r="D1152" s="39" t="str">
        <f aca="false">INDEX(Master_Customer!$B$2:$B$126,MATCH(C1152,Master_Customer!$A$2:$A$126,0))</f>
        <v>UTAMA LUBRICANT HARAPAN</v>
      </c>
      <c r="E1152" s="50" t="s">
        <v>30</v>
      </c>
      <c r="F1152" s="52" t="n">
        <f aca="false">SUMIFS(Data_Penjualan!$G$2:$G$5998,Data_Penjualan!$A$2:$A$5998,A1152)</f>
        <v>11963700</v>
      </c>
      <c r="G1152" s="39" t="n">
        <f aca="false">IF(E1152="KANTOR",0,INDEX(Master_Customer!$C$2:$C$126,MATCH(C1152,Master_Customer!$A$2:$A$126,0)))</f>
        <v>30</v>
      </c>
      <c r="H1152" s="53" t="n">
        <f aca="false">B1152+G1152</f>
        <v>45933</v>
      </c>
      <c r="I1152" s="51" t="n">
        <v>45906</v>
      </c>
      <c r="J1152" s="39" t="str">
        <f aca="false">IF(G1152=0,"Tunai",IF(I1152="","Belum ditukar","Sudah ditukar"))</f>
        <v>Sudah ditukar</v>
      </c>
      <c r="K1152" s="54" t="n">
        <v>11963700</v>
      </c>
      <c r="L1152" s="51" t="n">
        <v>45930</v>
      </c>
      <c r="M1152" s="52" t="n">
        <f aca="false">F1152-K1152</f>
        <v>0</v>
      </c>
      <c r="N1152" s="39" t="str">
        <f aca="false">IF(M1152&lt;=0,"Lunas",IF(K1152&gt;0,"Sebagian","Belum Bayar"))</f>
        <v>Lunas</v>
      </c>
      <c r="O1152" s="39" t="n">
        <f aca="false">IF(M1152&gt;0,MAX(0,Catatan!$B$3-H1152),0)</f>
        <v>0</v>
      </c>
      <c r="P1152" s="39" t="str">
        <f aca="false">IF(M1152&lt;=0,"Lunas",IF(Catatan!$B$3&lt;=H1152,"Belum Jatuh Tempo",IF(O1152&lt;=30,"1-30 hari",IF(O1152&lt;=60,"31-60 hari",IF(O1152&lt;=90,"61-90 hari","90+ hari")))))</f>
        <v>Lunas</v>
      </c>
      <c r="Q1152" s="50"/>
      <c r="R1152" s="39" t="str">
        <f aca="false">IF(M1152&lt;=0,"",IF(O1152&gt;60,"1-Tinggi",IF(O1152&gt;30,"2-Sedang",IF(O1152&gt;0,"3-Rendah","4-Pantau"))))</f>
        <v/>
      </c>
      <c r="S1152" s="39" t="str">
        <f aca="false">IF(AND(M1152&gt;0,O1152&gt;0),O1152+M1152/1000000000000+ROW()/1000000000000000,"")</f>
        <v/>
      </c>
      <c r="T1152" s="39" t="str">
        <f aca="false">IF(J1152="Belum ditukar",ROW(),"")</f>
        <v/>
      </c>
    </row>
    <row r="1153" customFormat="false" ht="15" hidden="false" customHeight="false" outlineLevel="0" collapsed="false">
      <c r="A1153" s="50" t="s">
        <v>1441</v>
      </c>
      <c r="B1153" s="51" t="n">
        <v>45903</v>
      </c>
      <c r="C1153" s="50" t="s">
        <v>280</v>
      </c>
      <c r="D1153" s="39" t="str">
        <f aca="false">INDEX(Master_Customer!$B$2:$B$126,MATCH(C1153,Master_Customer!$A$2:$A$126,0))</f>
        <v>CAHAYA TEKNIK SURYA</v>
      </c>
      <c r="E1153" s="50" t="s">
        <v>29</v>
      </c>
      <c r="F1153" s="52" t="n">
        <f aca="false">SUMIFS(Data_Penjualan!$G$2:$G$5998,Data_Penjualan!$A$2:$A$5998,A1153)</f>
        <v>3872400</v>
      </c>
      <c r="G1153" s="39" t="n">
        <f aca="false">IF(E1153="KANTOR",0,INDEX(Master_Customer!$C$2:$C$126,MATCH(C1153,Master_Customer!$A$2:$A$126,0)))</f>
        <v>30</v>
      </c>
      <c r="H1153" s="53" t="n">
        <f aca="false">B1153+G1153</f>
        <v>45933</v>
      </c>
      <c r="I1153" s="51" t="n">
        <v>45908</v>
      </c>
      <c r="J1153" s="39" t="str">
        <f aca="false">IF(G1153=0,"Tunai",IF(I1153="","Belum ditukar","Sudah ditukar"))</f>
        <v>Sudah ditukar</v>
      </c>
      <c r="K1153" s="54" t="n">
        <v>3872400</v>
      </c>
      <c r="L1153" s="51" t="n">
        <v>45929</v>
      </c>
      <c r="M1153" s="52" t="n">
        <f aca="false">F1153-K1153</f>
        <v>0</v>
      </c>
      <c r="N1153" s="39" t="str">
        <f aca="false">IF(M1153&lt;=0,"Lunas",IF(K1153&gt;0,"Sebagian","Belum Bayar"))</f>
        <v>Lunas</v>
      </c>
      <c r="O1153" s="39" t="n">
        <f aca="false">IF(M1153&gt;0,MAX(0,Catatan!$B$3-H1153),0)</f>
        <v>0</v>
      </c>
      <c r="P1153" s="39" t="str">
        <f aca="false">IF(M1153&lt;=0,"Lunas",IF(Catatan!$B$3&lt;=H1153,"Belum Jatuh Tempo",IF(O1153&lt;=30,"1-30 hari",IF(O1153&lt;=60,"31-60 hari",IF(O1153&lt;=90,"61-90 hari","90+ hari")))))</f>
        <v>Lunas</v>
      </c>
      <c r="Q1153" s="50"/>
      <c r="R1153" s="39" t="str">
        <f aca="false">IF(M1153&lt;=0,"",IF(O1153&gt;60,"1-Tinggi",IF(O1153&gt;30,"2-Sedang",IF(O1153&gt;0,"3-Rendah","4-Pantau"))))</f>
        <v/>
      </c>
      <c r="S1153" s="39" t="str">
        <f aca="false">IF(AND(M1153&gt;0,O1153&gt;0),O1153+M1153/1000000000000+ROW()/1000000000000000,"")</f>
        <v/>
      </c>
      <c r="T1153" s="39" t="str">
        <f aca="false">IF(J1153="Belum ditukar",ROW(),"")</f>
        <v/>
      </c>
    </row>
    <row r="1154" customFormat="false" ht="15" hidden="false" customHeight="false" outlineLevel="0" collapsed="false">
      <c r="A1154" s="50" t="s">
        <v>1442</v>
      </c>
      <c r="B1154" s="51" t="n">
        <v>45903</v>
      </c>
      <c r="C1154" s="50" t="s">
        <v>405</v>
      </c>
      <c r="D1154" s="39" t="str">
        <f aca="false">INDEX(Master_Customer!$B$2:$B$126,MATCH(C1154,Master_Customer!$A$2:$A$126,0))</f>
        <v>BINTANG BENGKEL HARAPAN</v>
      </c>
      <c r="E1154" s="50" t="s">
        <v>30</v>
      </c>
      <c r="F1154" s="52" t="n">
        <f aca="false">SUMIFS(Data_Penjualan!$G$2:$G$5998,Data_Penjualan!$A$2:$A$5998,A1154)</f>
        <v>10885300</v>
      </c>
      <c r="G1154" s="39" t="n">
        <f aca="false">IF(E1154="KANTOR",0,INDEX(Master_Customer!$C$2:$C$126,MATCH(C1154,Master_Customer!$A$2:$A$126,0)))</f>
        <v>14</v>
      </c>
      <c r="H1154" s="53" t="n">
        <f aca="false">B1154+G1154</f>
        <v>45917</v>
      </c>
      <c r="I1154" s="51" t="n">
        <v>45904</v>
      </c>
      <c r="J1154" s="39" t="str">
        <f aca="false">IF(G1154=0,"Tunai",IF(I1154="","Belum ditukar","Sudah ditukar"))</f>
        <v>Sudah ditukar</v>
      </c>
      <c r="K1154" s="54" t="n">
        <v>10885300</v>
      </c>
      <c r="L1154" s="51" t="n">
        <v>45914</v>
      </c>
      <c r="M1154" s="52" t="n">
        <f aca="false">F1154-K1154</f>
        <v>0</v>
      </c>
      <c r="N1154" s="39" t="str">
        <f aca="false">IF(M1154&lt;=0,"Lunas",IF(K1154&gt;0,"Sebagian","Belum Bayar"))</f>
        <v>Lunas</v>
      </c>
      <c r="O1154" s="39" t="n">
        <f aca="false">IF(M1154&gt;0,MAX(0,Catatan!$B$3-H1154),0)</f>
        <v>0</v>
      </c>
      <c r="P1154" s="39" t="str">
        <f aca="false">IF(M1154&lt;=0,"Lunas",IF(Catatan!$B$3&lt;=H1154,"Belum Jatuh Tempo",IF(O1154&lt;=30,"1-30 hari",IF(O1154&lt;=60,"31-60 hari",IF(O1154&lt;=90,"61-90 hari","90+ hari")))))</f>
        <v>Lunas</v>
      </c>
      <c r="Q1154" s="50"/>
      <c r="R1154" s="39" t="str">
        <f aca="false">IF(M1154&lt;=0,"",IF(O1154&gt;60,"1-Tinggi",IF(O1154&gt;30,"2-Sedang",IF(O1154&gt;0,"3-Rendah","4-Pantau"))))</f>
        <v/>
      </c>
      <c r="S1154" s="39" t="str">
        <f aca="false">IF(AND(M1154&gt;0,O1154&gt;0),O1154+M1154/1000000000000+ROW()/1000000000000000,"")</f>
        <v/>
      </c>
      <c r="T1154" s="39" t="str">
        <f aca="false">IF(J1154="Belum ditukar",ROW(),"")</f>
        <v/>
      </c>
    </row>
    <row r="1155" customFormat="false" ht="15" hidden="false" customHeight="false" outlineLevel="0" collapsed="false">
      <c r="A1155" s="50" t="s">
        <v>1443</v>
      </c>
      <c r="B1155" s="51" t="n">
        <v>45903</v>
      </c>
      <c r="C1155" s="50" t="s">
        <v>256</v>
      </c>
      <c r="D1155" s="39" t="str">
        <f aca="false">INDEX(Master_Customer!$B$2:$B$126,MATCH(C1155,Master_Customer!$A$2:$A$126,0))</f>
        <v>HARAPAN SPAREPART</v>
      </c>
      <c r="E1155" s="50" t="s">
        <v>31</v>
      </c>
      <c r="F1155" s="52" t="n">
        <f aca="false">SUMIFS(Data_Penjualan!$G$2:$G$5998,Data_Penjualan!$A$2:$A$5998,A1155)</f>
        <v>19524500</v>
      </c>
      <c r="G1155" s="39" t="n">
        <f aca="false">IF(E1155="KANTOR",0,INDEX(Master_Customer!$C$2:$C$126,MATCH(C1155,Master_Customer!$A$2:$A$126,0)))</f>
        <v>45</v>
      </c>
      <c r="H1155" s="53" t="n">
        <f aca="false">B1155+G1155</f>
        <v>45948</v>
      </c>
      <c r="I1155" s="51" t="n">
        <v>45906</v>
      </c>
      <c r="J1155" s="39" t="str">
        <f aca="false">IF(G1155=0,"Tunai",IF(I1155="","Belum ditukar","Sudah ditukar"))</f>
        <v>Sudah ditukar</v>
      </c>
      <c r="K1155" s="54" t="n">
        <v>19524500</v>
      </c>
      <c r="L1155" s="51" t="n">
        <v>45945</v>
      </c>
      <c r="M1155" s="52" t="n">
        <f aca="false">F1155-K1155</f>
        <v>0</v>
      </c>
      <c r="N1155" s="39" t="str">
        <f aca="false">IF(M1155&lt;=0,"Lunas",IF(K1155&gt;0,"Sebagian","Belum Bayar"))</f>
        <v>Lunas</v>
      </c>
      <c r="O1155" s="39" t="n">
        <f aca="false">IF(M1155&gt;0,MAX(0,Catatan!$B$3-H1155),0)</f>
        <v>0</v>
      </c>
      <c r="P1155" s="39" t="str">
        <f aca="false">IF(M1155&lt;=0,"Lunas",IF(Catatan!$B$3&lt;=H1155,"Belum Jatuh Tempo",IF(O1155&lt;=30,"1-30 hari",IF(O1155&lt;=60,"31-60 hari",IF(O1155&lt;=90,"61-90 hari","90+ hari")))))</f>
        <v>Lunas</v>
      </c>
      <c r="Q1155" s="50"/>
      <c r="R1155" s="39" t="str">
        <f aca="false">IF(M1155&lt;=0,"",IF(O1155&gt;60,"1-Tinggi",IF(O1155&gt;30,"2-Sedang",IF(O1155&gt;0,"3-Rendah","4-Pantau"))))</f>
        <v/>
      </c>
      <c r="S1155" s="39" t="str">
        <f aca="false">IF(AND(M1155&gt;0,O1155&gt;0),O1155+M1155/1000000000000+ROW()/1000000000000000,"")</f>
        <v/>
      </c>
      <c r="T1155" s="39" t="str">
        <f aca="false">IF(J1155="Belum ditukar",ROW(),"")</f>
        <v/>
      </c>
    </row>
    <row r="1156" customFormat="false" ht="15" hidden="false" customHeight="false" outlineLevel="0" collapsed="false">
      <c r="A1156" s="50" t="s">
        <v>1444</v>
      </c>
      <c r="B1156" s="51" t="n">
        <v>45903</v>
      </c>
      <c r="C1156" s="50" t="s">
        <v>467</v>
      </c>
      <c r="D1156" s="39" t="str">
        <f aca="false">INDEX(Master_Customer!$B$2:$B$126,MATCH(C1156,Master_Customer!$A$2:$A$126,0))</f>
        <v>LANCAR GARAGE UTAMA</v>
      </c>
      <c r="E1156" s="50" t="s">
        <v>31</v>
      </c>
      <c r="F1156" s="52" t="n">
        <f aca="false">SUMIFS(Data_Penjualan!$G$2:$G$5998,Data_Penjualan!$A$2:$A$5998,A1156)</f>
        <v>18025600</v>
      </c>
      <c r="G1156" s="39" t="n">
        <f aca="false">IF(E1156="KANTOR",0,INDEX(Master_Customer!$C$2:$C$126,MATCH(C1156,Master_Customer!$A$2:$A$126,0)))</f>
        <v>14</v>
      </c>
      <c r="H1156" s="53" t="n">
        <f aca="false">B1156+G1156</f>
        <v>45917</v>
      </c>
      <c r="I1156" s="51" t="n">
        <v>45908</v>
      </c>
      <c r="J1156" s="39" t="str">
        <f aca="false">IF(G1156=0,"Tunai",IF(I1156="","Belum ditukar","Sudah ditukar"))</f>
        <v>Sudah ditukar</v>
      </c>
      <c r="K1156" s="54" t="n">
        <v>18025600</v>
      </c>
      <c r="L1156" s="51" t="n">
        <v>45966</v>
      </c>
      <c r="M1156" s="52" t="n">
        <f aca="false">F1156-K1156</f>
        <v>0</v>
      </c>
      <c r="N1156" s="39" t="str">
        <f aca="false">IF(M1156&lt;=0,"Lunas",IF(K1156&gt;0,"Sebagian","Belum Bayar"))</f>
        <v>Lunas</v>
      </c>
      <c r="O1156" s="39" t="n">
        <f aca="false">IF(M1156&gt;0,MAX(0,Catatan!$B$3-H1156),0)</f>
        <v>0</v>
      </c>
      <c r="P1156" s="39" t="str">
        <f aca="false">IF(M1156&lt;=0,"Lunas",IF(Catatan!$B$3&lt;=H1156,"Belum Jatuh Tempo",IF(O1156&lt;=30,"1-30 hari",IF(O1156&lt;=60,"31-60 hari",IF(O1156&lt;=90,"61-90 hari","90+ hari")))))</f>
        <v>Lunas</v>
      </c>
      <c r="Q1156" s="50"/>
      <c r="R1156" s="39" t="str">
        <f aca="false">IF(M1156&lt;=0,"",IF(O1156&gt;60,"1-Tinggi",IF(O1156&gt;30,"2-Sedang",IF(O1156&gt;0,"3-Rendah","4-Pantau"))))</f>
        <v/>
      </c>
      <c r="S1156" s="39" t="str">
        <f aca="false">IF(AND(M1156&gt;0,O1156&gt;0),O1156+M1156/1000000000000+ROW()/1000000000000000,"")</f>
        <v/>
      </c>
      <c r="T1156" s="39" t="str">
        <f aca="false">IF(J1156="Belum ditukar",ROW(),"")</f>
        <v/>
      </c>
    </row>
    <row r="1157" customFormat="false" ht="15" hidden="false" customHeight="false" outlineLevel="0" collapsed="false">
      <c r="A1157" s="50" t="s">
        <v>1445</v>
      </c>
      <c r="B1157" s="51" t="n">
        <v>45904</v>
      </c>
      <c r="C1157" s="50" t="s">
        <v>172</v>
      </c>
      <c r="D1157" s="39" t="str">
        <f aca="false">INDEX(Master_Customer!$B$2:$B$126,MATCH(C1157,Master_Customer!$A$2:$A$126,0))</f>
        <v>SURYA GARAGE MITRA</v>
      </c>
      <c r="E1157" s="50" t="s">
        <v>32</v>
      </c>
      <c r="F1157" s="52" t="n">
        <f aca="false">SUMIFS(Data_Penjualan!$G$2:$G$5998,Data_Penjualan!$A$2:$A$5998,A1157)</f>
        <v>7765200</v>
      </c>
      <c r="G1157" s="39" t="n">
        <f aca="false">IF(E1157="KANTOR",0,INDEX(Master_Customer!$C$2:$C$126,MATCH(C1157,Master_Customer!$A$2:$A$126,0)))</f>
        <v>0</v>
      </c>
      <c r="H1157" s="53" t="n">
        <f aca="false">B1157+G1157</f>
        <v>45904</v>
      </c>
      <c r="J1157" s="39" t="str">
        <f aca="false">IF(G1157=0,"Tunai",IF(I1157="","Belum ditukar","Sudah ditukar"))</f>
        <v>Tunai</v>
      </c>
      <c r="K1157" s="54" t="n">
        <v>7765200</v>
      </c>
      <c r="L1157" s="51" t="n">
        <v>45904</v>
      </c>
      <c r="M1157" s="52" t="n">
        <f aca="false">F1157-K1157</f>
        <v>0</v>
      </c>
      <c r="N1157" s="39" t="str">
        <f aca="false">IF(M1157&lt;=0,"Lunas",IF(K1157&gt;0,"Sebagian","Belum Bayar"))</f>
        <v>Lunas</v>
      </c>
      <c r="O1157" s="39" t="n">
        <f aca="false">IF(M1157&gt;0,MAX(0,Catatan!$B$3-H1157),0)</f>
        <v>0</v>
      </c>
      <c r="P1157" s="39" t="str">
        <f aca="false">IF(M1157&lt;=0,"Lunas",IF(Catatan!$B$3&lt;=H1157,"Belum Jatuh Tempo",IF(O1157&lt;=30,"1-30 hari",IF(O1157&lt;=60,"31-60 hari",IF(O1157&lt;=90,"61-90 hari","90+ hari")))))</f>
        <v>Lunas</v>
      </c>
      <c r="Q1157" s="50"/>
      <c r="R1157" s="39" t="str">
        <f aca="false">IF(M1157&lt;=0,"",IF(O1157&gt;60,"1-Tinggi",IF(O1157&gt;30,"2-Sedang",IF(O1157&gt;0,"3-Rendah","4-Pantau"))))</f>
        <v/>
      </c>
      <c r="S1157" s="39" t="str">
        <f aca="false">IF(AND(M1157&gt;0,O1157&gt;0),O1157+M1157/1000000000000+ROW()/1000000000000000,"")</f>
        <v/>
      </c>
      <c r="T1157" s="39" t="str">
        <f aca="false">IF(J1157="Belum ditukar",ROW(),"")</f>
        <v/>
      </c>
    </row>
    <row r="1158" customFormat="false" ht="15" hidden="false" customHeight="false" outlineLevel="0" collapsed="false">
      <c r="A1158" s="50" t="s">
        <v>1446</v>
      </c>
      <c r="B1158" s="51" t="n">
        <v>45904</v>
      </c>
      <c r="C1158" s="50" t="s">
        <v>205</v>
      </c>
      <c r="D1158" s="39" t="str">
        <f aca="false">INDEX(Master_Customer!$B$2:$B$126,MATCH(C1158,Master_Customer!$A$2:$A$126,0))</f>
        <v>BERKAH OLI</v>
      </c>
      <c r="E1158" s="50" t="s">
        <v>28</v>
      </c>
      <c r="F1158" s="52" t="n">
        <f aca="false">SUMIFS(Data_Penjualan!$G$2:$G$5998,Data_Penjualan!$A$2:$A$5998,A1158)</f>
        <v>7258300</v>
      </c>
      <c r="G1158" s="39" t="n">
        <f aca="false">IF(E1158="KANTOR",0,INDEX(Master_Customer!$C$2:$C$126,MATCH(C1158,Master_Customer!$A$2:$A$126,0)))</f>
        <v>0</v>
      </c>
      <c r="H1158" s="53" t="n">
        <f aca="false">B1158+G1158</f>
        <v>45904</v>
      </c>
      <c r="J1158" s="39" t="str">
        <f aca="false">IF(G1158=0,"Tunai",IF(I1158="","Belum ditukar","Sudah ditukar"))</f>
        <v>Tunai</v>
      </c>
      <c r="K1158" s="54" t="n">
        <v>7258300</v>
      </c>
      <c r="L1158" s="51" t="n">
        <v>45904</v>
      </c>
      <c r="M1158" s="52" t="n">
        <f aca="false">F1158-K1158</f>
        <v>0</v>
      </c>
      <c r="N1158" s="39" t="str">
        <f aca="false">IF(M1158&lt;=0,"Lunas",IF(K1158&gt;0,"Sebagian","Belum Bayar"))</f>
        <v>Lunas</v>
      </c>
      <c r="O1158" s="39" t="n">
        <f aca="false">IF(M1158&gt;0,MAX(0,Catatan!$B$3-H1158),0)</f>
        <v>0</v>
      </c>
      <c r="P1158" s="39" t="str">
        <f aca="false">IF(M1158&lt;=0,"Lunas",IF(Catatan!$B$3&lt;=H1158,"Belum Jatuh Tempo",IF(O1158&lt;=30,"1-30 hari",IF(O1158&lt;=60,"31-60 hari",IF(O1158&lt;=90,"61-90 hari","90+ hari")))))</f>
        <v>Lunas</v>
      </c>
      <c r="Q1158" s="50"/>
      <c r="R1158" s="39" t="str">
        <f aca="false">IF(M1158&lt;=0,"",IF(O1158&gt;60,"1-Tinggi",IF(O1158&gt;30,"2-Sedang",IF(O1158&gt;0,"3-Rendah","4-Pantau"))))</f>
        <v/>
      </c>
      <c r="S1158" s="39" t="str">
        <f aca="false">IF(AND(M1158&gt;0,O1158&gt;0),O1158+M1158/1000000000000+ROW()/1000000000000000,"")</f>
        <v/>
      </c>
      <c r="T1158" s="39" t="str">
        <f aca="false">IF(J1158="Belum ditukar",ROW(),"")</f>
        <v/>
      </c>
    </row>
    <row r="1159" customFormat="false" ht="15" hidden="false" customHeight="false" outlineLevel="0" collapsed="false">
      <c r="A1159" s="50" t="s">
        <v>1447</v>
      </c>
      <c r="B1159" s="51" t="n">
        <v>45904</v>
      </c>
      <c r="C1159" s="50" t="s">
        <v>174</v>
      </c>
      <c r="D1159" s="39" t="str">
        <f aca="false">INDEX(Master_Customer!$B$2:$B$126,MATCH(C1159,Master_Customer!$A$2:$A$126,0))</f>
        <v>SUMBER TEKNIK SURYA</v>
      </c>
      <c r="E1159" s="50" t="s">
        <v>32</v>
      </c>
      <c r="F1159" s="52" t="n">
        <f aca="false">SUMIFS(Data_Penjualan!$G$2:$G$5998,Data_Penjualan!$A$2:$A$5998,A1159)</f>
        <v>14162400</v>
      </c>
      <c r="G1159" s="39" t="n">
        <f aca="false">IF(E1159="KANTOR",0,INDEX(Master_Customer!$C$2:$C$126,MATCH(C1159,Master_Customer!$A$2:$A$126,0)))</f>
        <v>0</v>
      </c>
      <c r="H1159" s="53" t="n">
        <f aca="false">B1159+G1159</f>
        <v>45904</v>
      </c>
      <c r="J1159" s="39" t="str">
        <f aca="false">IF(G1159=0,"Tunai",IF(I1159="","Belum ditukar","Sudah ditukar"))</f>
        <v>Tunai</v>
      </c>
      <c r="K1159" s="54" t="n">
        <v>14162400</v>
      </c>
      <c r="L1159" s="51" t="n">
        <v>45907</v>
      </c>
      <c r="M1159" s="52" t="n">
        <f aca="false">F1159-K1159</f>
        <v>0</v>
      </c>
      <c r="N1159" s="39" t="str">
        <f aca="false">IF(M1159&lt;=0,"Lunas",IF(K1159&gt;0,"Sebagian","Belum Bayar"))</f>
        <v>Lunas</v>
      </c>
      <c r="O1159" s="39" t="n">
        <f aca="false">IF(M1159&gt;0,MAX(0,Catatan!$B$3-H1159),0)</f>
        <v>0</v>
      </c>
      <c r="P1159" s="39" t="str">
        <f aca="false">IF(M1159&lt;=0,"Lunas",IF(Catatan!$B$3&lt;=H1159,"Belum Jatuh Tempo",IF(O1159&lt;=30,"1-30 hari",IF(O1159&lt;=60,"31-60 hari",IF(O1159&lt;=90,"61-90 hari","90+ hari")))))</f>
        <v>Lunas</v>
      </c>
      <c r="Q1159" s="50"/>
      <c r="R1159" s="39" t="str">
        <f aca="false">IF(M1159&lt;=0,"",IF(O1159&gt;60,"1-Tinggi",IF(O1159&gt;30,"2-Sedang",IF(O1159&gt;0,"3-Rendah","4-Pantau"))))</f>
        <v/>
      </c>
      <c r="S1159" s="39" t="str">
        <f aca="false">IF(AND(M1159&gt;0,O1159&gt;0),O1159+M1159/1000000000000+ROW()/1000000000000000,"")</f>
        <v/>
      </c>
      <c r="T1159" s="39" t="str">
        <f aca="false">IF(J1159="Belum ditukar",ROW(),"")</f>
        <v/>
      </c>
    </row>
    <row r="1160" customFormat="false" ht="15" hidden="false" customHeight="false" outlineLevel="0" collapsed="false">
      <c r="A1160" s="50" t="s">
        <v>1448</v>
      </c>
      <c r="B1160" s="51" t="n">
        <v>45904</v>
      </c>
      <c r="C1160" s="50" t="s">
        <v>199</v>
      </c>
      <c r="D1160" s="39" t="str">
        <f aca="false">INDEX(Master_Customer!$B$2:$B$126,MATCH(C1160,Master_Customer!$A$2:$A$126,0))</f>
        <v>KARYA SPAREPART</v>
      </c>
      <c r="E1160" s="50" t="s">
        <v>29</v>
      </c>
      <c r="F1160" s="52" t="n">
        <f aca="false">SUMIFS(Data_Penjualan!$G$2:$G$5998,Data_Penjualan!$A$2:$A$5998,A1160)</f>
        <v>7104100</v>
      </c>
      <c r="G1160" s="39" t="n">
        <f aca="false">IF(E1160="KANTOR",0,INDEX(Master_Customer!$C$2:$C$126,MATCH(C1160,Master_Customer!$A$2:$A$126,0)))</f>
        <v>45</v>
      </c>
      <c r="H1160" s="53" t="n">
        <f aca="false">B1160+G1160</f>
        <v>45949</v>
      </c>
      <c r="I1160" s="51" t="n">
        <v>45905</v>
      </c>
      <c r="J1160" s="39" t="str">
        <f aca="false">IF(G1160=0,"Tunai",IF(I1160="","Belum ditukar","Sudah ditukar"))</f>
        <v>Sudah ditukar</v>
      </c>
      <c r="K1160" s="54" t="n">
        <v>7104100</v>
      </c>
      <c r="L1160" s="51" t="n">
        <v>45948</v>
      </c>
      <c r="M1160" s="52" t="n">
        <f aca="false">F1160-K1160</f>
        <v>0</v>
      </c>
      <c r="N1160" s="39" t="str">
        <f aca="false">IF(M1160&lt;=0,"Lunas",IF(K1160&gt;0,"Sebagian","Belum Bayar"))</f>
        <v>Lunas</v>
      </c>
      <c r="O1160" s="39" t="n">
        <f aca="false">IF(M1160&gt;0,MAX(0,Catatan!$B$3-H1160),0)</f>
        <v>0</v>
      </c>
      <c r="P1160" s="39" t="str">
        <f aca="false">IF(M1160&lt;=0,"Lunas",IF(Catatan!$B$3&lt;=H1160,"Belum Jatuh Tempo",IF(O1160&lt;=30,"1-30 hari",IF(O1160&lt;=60,"31-60 hari",IF(O1160&lt;=90,"61-90 hari","90+ hari")))))</f>
        <v>Lunas</v>
      </c>
      <c r="Q1160" s="50"/>
      <c r="R1160" s="39" t="str">
        <f aca="false">IF(M1160&lt;=0,"",IF(O1160&gt;60,"1-Tinggi",IF(O1160&gt;30,"2-Sedang",IF(O1160&gt;0,"3-Rendah","4-Pantau"))))</f>
        <v/>
      </c>
      <c r="S1160" s="39" t="str">
        <f aca="false">IF(AND(M1160&gt;0,O1160&gt;0),O1160+M1160/1000000000000+ROW()/1000000000000000,"")</f>
        <v/>
      </c>
      <c r="T1160" s="39" t="str">
        <f aca="false">IF(J1160="Belum ditukar",ROW(),"")</f>
        <v/>
      </c>
    </row>
    <row r="1161" customFormat="false" ht="15" hidden="false" customHeight="false" outlineLevel="0" collapsed="false">
      <c r="A1161" s="50" t="s">
        <v>1449</v>
      </c>
      <c r="B1161" s="51" t="n">
        <v>45904</v>
      </c>
      <c r="C1161" s="50" t="s">
        <v>419</v>
      </c>
      <c r="D1161" s="39" t="str">
        <f aca="false">INDEX(Master_Customer!$B$2:$B$126,MATCH(C1161,Master_Customer!$A$2:$A$126,0))</f>
        <v>UTAMA MOTOR</v>
      </c>
      <c r="E1161" s="50" t="s">
        <v>30</v>
      </c>
      <c r="F1161" s="52" t="n">
        <f aca="false">SUMIFS(Data_Penjualan!$G$2:$G$5998,Data_Penjualan!$A$2:$A$5998,A1161)</f>
        <v>7755800</v>
      </c>
      <c r="G1161" s="39" t="n">
        <f aca="false">IF(E1161="KANTOR",0,INDEX(Master_Customer!$C$2:$C$126,MATCH(C1161,Master_Customer!$A$2:$A$126,0)))</f>
        <v>14</v>
      </c>
      <c r="H1161" s="53" t="n">
        <f aca="false">B1161+G1161</f>
        <v>45918</v>
      </c>
      <c r="I1161" s="51" t="n">
        <v>45906</v>
      </c>
      <c r="J1161" s="39" t="str">
        <f aca="false">IF(G1161=0,"Tunai",IF(I1161="","Belum ditukar","Sudah ditukar"))</f>
        <v>Sudah ditukar</v>
      </c>
      <c r="K1161" s="54" t="n">
        <v>7755800</v>
      </c>
      <c r="L1161" s="51" t="n">
        <v>45920</v>
      </c>
      <c r="M1161" s="52" t="n">
        <f aca="false">F1161-K1161</f>
        <v>0</v>
      </c>
      <c r="N1161" s="39" t="str">
        <f aca="false">IF(M1161&lt;=0,"Lunas",IF(K1161&gt;0,"Sebagian","Belum Bayar"))</f>
        <v>Lunas</v>
      </c>
      <c r="O1161" s="39" t="n">
        <f aca="false">IF(M1161&gt;0,MAX(0,Catatan!$B$3-H1161),0)</f>
        <v>0</v>
      </c>
      <c r="P1161" s="39" t="str">
        <f aca="false">IF(M1161&lt;=0,"Lunas",IF(Catatan!$B$3&lt;=H1161,"Belum Jatuh Tempo",IF(O1161&lt;=30,"1-30 hari",IF(O1161&lt;=60,"31-60 hari",IF(O1161&lt;=90,"61-90 hari","90+ hari")))))</f>
        <v>Lunas</v>
      </c>
      <c r="Q1161" s="50"/>
      <c r="R1161" s="39" t="str">
        <f aca="false">IF(M1161&lt;=0,"",IF(O1161&gt;60,"1-Tinggi",IF(O1161&gt;30,"2-Sedang",IF(O1161&gt;0,"3-Rendah","4-Pantau"))))</f>
        <v/>
      </c>
      <c r="S1161" s="39" t="str">
        <f aca="false">IF(AND(M1161&gt;0,O1161&gt;0),O1161+M1161/1000000000000+ROW()/1000000000000000,"")</f>
        <v/>
      </c>
      <c r="T1161" s="39" t="str">
        <f aca="false">IF(J1161="Belum ditukar",ROW(),"")</f>
        <v/>
      </c>
    </row>
    <row r="1162" customFormat="false" ht="15" hidden="false" customHeight="false" outlineLevel="0" collapsed="false">
      <c r="A1162" s="50" t="s">
        <v>1450</v>
      </c>
      <c r="B1162" s="51" t="n">
        <v>45904</v>
      </c>
      <c r="C1162" s="50" t="s">
        <v>223</v>
      </c>
      <c r="D1162" s="39" t="str">
        <f aca="false">INDEX(Master_Customer!$B$2:$B$126,MATCH(C1162,Master_Customer!$A$2:$A$126,0))</f>
        <v>ABADI AUTO UTAMA</v>
      </c>
      <c r="E1162" s="50" t="s">
        <v>31</v>
      </c>
      <c r="F1162" s="52" t="n">
        <f aca="false">SUMIFS(Data_Penjualan!$G$2:$G$5998,Data_Penjualan!$A$2:$A$5998,A1162)</f>
        <v>13091600</v>
      </c>
      <c r="G1162" s="39" t="n">
        <f aca="false">IF(E1162="KANTOR",0,INDEX(Master_Customer!$C$2:$C$126,MATCH(C1162,Master_Customer!$A$2:$A$126,0)))</f>
        <v>14</v>
      </c>
      <c r="H1162" s="53" t="n">
        <f aca="false">B1162+G1162</f>
        <v>45918</v>
      </c>
      <c r="I1162" s="51" t="n">
        <v>45905</v>
      </c>
      <c r="J1162" s="39" t="str">
        <f aca="false">IF(G1162=0,"Tunai",IF(I1162="","Belum ditukar","Sudah ditukar"))</f>
        <v>Sudah ditukar</v>
      </c>
      <c r="K1162" s="54" t="n">
        <v>13091600</v>
      </c>
      <c r="L1162" s="51" t="n">
        <v>45964</v>
      </c>
      <c r="M1162" s="52" t="n">
        <f aca="false">F1162-K1162</f>
        <v>0</v>
      </c>
      <c r="N1162" s="39" t="str">
        <f aca="false">IF(M1162&lt;=0,"Lunas",IF(K1162&gt;0,"Sebagian","Belum Bayar"))</f>
        <v>Lunas</v>
      </c>
      <c r="O1162" s="39" t="n">
        <f aca="false">IF(M1162&gt;0,MAX(0,Catatan!$B$3-H1162),0)</f>
        <v>0</v>
      </c>
      <c r="P1162" s="39" t="str">
        <f aca="false">IF(M1162&lt;=0,"Lunas",IF(Catatan!$B$3&lt;=H1162,"Belum Jatuh Tempo",IF(O1162&lt;=30,"1-30 hari",IF(O1162&lt;=60,"31-60 hari",IF(O1162&lt;=90,"61-90 hari","90+ hari")))))</f>
        <v>Lunas</v>
      </c>
      <c r="Q1162" s="50"/>
      <c r="R1162" s="39" t="str">
        <f aca="false">IF(M1162&lt;=0,"",IF(O1162&gt;60,"1-Tinggi",IF(O1162&gt;30,"2-Sedang",IF(O1162&gt;0,"3-Rendah","4-Pantau"))))</f>
        <v/>
      </c>
      <c r="S1162" s="39" t="str">
        <f aca="false">IF(AND(M1162&gt;0,O1162&gt;0),O1162+M1162/1000000000000+ROW()/1000000000000000,"")</f>
        <v/>
      </c>
      <c r="T1162" s="39" t="str">
        <f aca="false">IF(J1162="Belum ditukar",ROW(),"")</f>
        <v/>
      </c>
    </row>
    <row r="1163" customFormat="false" ht="15" hidden="false" customHeight="false" outlineLevel="0" collapsed="false">
      <c r="A1163" s="50" t="s">
        <v>1451</v>
      </c>
      <c r="B1163" s="51" t="n">
        <v>45904</v>
      </c>
      <c r="C1163" s="50" t="s">
        <v>447</v>
      </c>
      <c r="D1163" s="39" t="str">
        <f aca="false">INDEX(Master_Customer!$B$2:$B$126,MATCH(C1163,Master_Customer!$A$2:$A$126,0))</f>
        <v>PRIMA LUBRICANT</v>
      </c>
      <c r="E1163" s="50" t="s">
        <v>28</v>
      </c>
      <c r="F1163" s="52" t="n">
        <f aca="false">SUMIFS(Data_Penjualan!$G$2:$G$5998,Data_Penjualan!$A$2:$A$5998,A1163)</f>
        <v>21225400</v>
      </c>
      <c r="G1163" s="39" t="n">
        <f aca="false">IF(E1163="KANTOR",0,INDEX(Master_Customer!$C$2:$C$126,MATCH(C1163,Master_Customer!$A$2:$A$126,0)))</f>
        <v>30</v>
      </c>
      <c r="H1163" s="53" t="n">
        <f aca="false">B1163+G1163</f>
        <v>45934</v>
      </c>
      <c r="I1163" s="51" t="n">
        <v>45905</v>
      </c>
      <c r="J1163" s="39" t="str">
        <f aca="false">IF(G1163=0,"Tunai",IF(I1163="","Belum ditukar","Sudah ditukar"))</f>
        <v>Sudah ditukar</v>
      </c>
      <c r="K1163" s="54" t="n">
        <v>21225400</v>
      </c>
      <c r="L1163" s="51" t="n">
        <v>45940</v>
      </c>
      <c r="M1163" s="52" t="n">
        <f aca="false">F1163-K1163</f>
        <v>0</v>
      </c>
      <c r="N1163" s="39" t="str">
        <f aca="false">IF(M1163&lt;=0,"Lunas",IF(K1163&gt;0,"Sebagian","Belum Bayar"))</f>
        <v>Lunas</v>
      </c>
      <c r="O1163" s="39" t="n">
        <f aca="false">IF(M1163&gt;0,MAX(0,Catatan!$B$3-H1163),0)</f>
        <v>0</v>
      </c>
      <c r="P1163" s="39" t="str">
        <f aca="false">IF(M1163&lt;=0,"Lunas",IF(Catatan!$B$3&lt;=H1163,"Belum Jatuh Tempo",IF(O1163&lt;=30,"1-30 hari",IF(O1163&lt;=60,"31-60 hari",IF(O1163&lt;=90,"61-90 hari","90+ hari")))))</f>
        <v>Lunas</v>
      </c>
      <c r="Q1163" s="50"/>
      <c r="R1163" s="39" t="str">
        <f aca="false">IF(M1163&lt;=0,"",IF(O1163&gt;60,"1-Tinggi",IF(O1163&gt;30,"2-Sedang",IF(O1163&gt;0,"3-Rendah","4-Pantau"))))</f>
        <v/>
      </c>
      <c r="S1163" s="39" t="str">
        <f aca="false">IF(AND(M1163&gt;0,O1163&gt;0),O1163+M1163/1000000000000+ROW()/1000000000000000,"")</f>
        <v/>
      </c>
      <c r="T1163" s="39" t="str">
        <f aca="false">IF(J1163="Belum ditukar",ROW(),"")</f>
        <v/>
      </c>
    </row>
    <row r="1164" customFormat="false" ht="15" hidden="false" customHeight="false" outlineLevel="0" collapsed="false">
      <c r="A1164" s="50" t="s">
        <v>1452</v>
      </c>
      <c r="B1164" s="51" t="n">
        <v>45904</v>
      </c>
      <c r="C1164" s="50" t="s">
        <v>166</v>
      </c>
      <c r="D1164" s="39" t="str">
        <f aca="false">INDEX(Master_Customer!$B$2:$B$126,MATCH(C1164,Master_Customer!$A$2:$A$126,0))</f>
        <v>SENTOSA SERVICE</v>
      </c>
      <c r="E1164" s="50" t="s">
        <v>32</v>
      </c>
      <c r="F1164" s="52" t="n">
        <f aca="false">SUMIFS(Data_Penjualan!$G$2:$G$5998,Data_Penjualan!$A$2:$A$5998,A1164)</f>
        <v>22566700</v>
      </c>
      <c r="G1164" s="39" t="n">
        <f aca="false">IF(E1164="KANTOR",0,INDEX(Master_Customer!$C$2:$C$126,MATCH(C1164,Master_Customer!$A$2:$A$126,0)))</f>
        <v>0</v>
      </c>
      <c r="H1164" s="53" t="n">
        <f aca="false">B1164+G1164</f>
        <v>45904</v>
      </c>
      <c r="J1164" s="39" t="str">
        <f aca="false">IF(G1164=0,"Tunai",IF(I1164="","Belum ditukar","Sudah ditukar"))</f>
        <v>Tunai</v>
      </c>
      <c r="K1164" s="54" t="n">
        <v>22566700</v>
      </c>
      <c r="L1164" s="51" t="n">
        <v>45904</v>
      </c>
      <c r="M1164" s="52" t="n">
        <f aca="false">F1164-K1164</f>
        <v>0</v>
      </c>
      <c r="N1164" s="39" t="str">
        <f aca="false">IF(M1164&lt;=0,"Lunas",IF(K1164&gt;0,"Sebagian","Belum Bayar"))</f>
        <v>Lunas</v>
      </c>
      <c r="O1164" s="39" t="n">
        <f aca="false">IF(M1164&gt;0,MAX(0,Catatan!$B$3-H1164),0)</f>
        <v>0</v>
      </c>
      <c r="P1164" s="39" t="str">
        <f aca="false">IF(M1164&lt;=0,"Lunas",IF(Catatan!$B$3&lt;=H1164,"Belum Jatuh Tempo",IF(O1164&lt;=30,"1-30 hari",IF(O1164&lt;=60,"31-60 hari",IF(O1164&lt;=90,"61-90 hari","90+ hari")))))</f>
        <v>Lunas</v>
      </c>
      <c r="Q1164" s="50"/>
      <c r="R1164" s="39" t="str">
        <f aca="false">IF(M1164&lt;=0,"",IF(O1164&gt;60,"1-Tinggi",IF(O1164&gt;30,"2-Sedang",IF(O1164&gt;0,"3-Rendah","4-Pantau"))))</f>
        <v/>
      </c>
      <c r="S1164" s="39" t="str">
        <f aca="false">IF(AND(M1164&gt;0,O1164&gt;0),O1164+M1164/1000000000000+ROW()/1000000000000000,"")</f>
        <v/>
      </c>
      <c r="T1164" s="39" t="str">
        <f aca="false">IF(J1164="Belum ditukar",ROW(),"")</f>
        <v/>
      </c>
    </row>
    <row r="1165" customFormat="false" ht="15" hidden="false" customHeight="false" outlineLevel="0" collapsed="false">
      <c r="A1165" s="50" t="s">
        <v>1453</v>
      </c>
      <c r="B1165" s="51" t="n">
        <v>45904</v>
      </c>
      <c r="C1165" s="50" t="s">
        <v>174</v>
      </c>
      <c r="D1165" s="39" t="str">
        <f aca="false">INDEX(Master_Customer!$B$2:$B$126,MATCH(C1165,Master_Customer!$A$2:$A$126,0))</f>
        <v>SUMBER TEKNIK SURYA</v>
      </c>
      <c r="E1165" s="50" t="s">
        <v>31</v>
      </c>
      <c r="F1165" s="52" t="n">
        <f aca="false">SUMIFS(Data_Penjualan!$G$2:$G$5998,Data_Penjualan!$A$2:$A$5998,A1165)</f>
        <v>10138200</v>
      </c>
      <c r="G1165" s="39" t="n">
        <f aca="false">IF(E1165="KANTOR",0,INDEX(Master_Customer!$C$2:$C$126,MATCH(C1165,Master_Customer!$A$2:$A$126,0)))</f>
        <v>30</v>
      </c>
      <c r="H1165" s="53" t="n">
        <f aca="false">B1165+G1165</f>
        <v>45934</v>
      </c>
      <c r="I1165" s="51" t="n">
        <v>45905</v>
      </c>
      <c r="J1165" s="39" t="str">
        <f aca="false">IF(G1165=0,"Tunai",IF(I1165="","Belum ditukar","Sudah ditukar"))</f>
        <v>Sudah ditukar</v>
      </c>
      <c r="K1165" s="54" t="n">
        <v>10138200</v>
      </c>
      <c r="L1165" s="51" t="n">
        <v>45931</v>
      </c>
      <c r="M1165" s="52" t="n">
        <f aca="false">F1165-K1165</f>
        <v>0</v>
      </c>
      <c r="N1165" s="39" t="str">
        <f aca="false">IF(M1165&lt;=0,"Lunas",IF(K1165&gt;0,"Sebagian","Belum Bayar"))</f>
        <v>Lunas</v>
      </c>
      <c r="O1165" s="39" t="n">
        <f aca="false">IF(M1165&gt;0,MAX(0,Catatan!$B$3-H1165),0)</f>
        <v>0</v>
      </c>
      <c r="P1165" s="39" t="str">
        <f aca="false">IF(M1165&lt;=0,"Lunas",IF(Catatan!$B$3&lt;=H1165,"Belum Jatuh Tempo",IF(O1165&lt;=30,"1-30 hari",IF(O1165&lt;=60,"31-60 hari",IF(O1165&lt;=90,"61-90 hari","90+ hari")))))</f>
        <v>Lunas</v>
      </c>
      <c r="Q1165" s="50"/>
      <c r="R1165" s="39" t="str">
        <f aca="false">IF(M1165&lt;=0,"",IF(O1165&gt;60,"1-Tinggi",IF(O1165&gt;30,"2-Sedang",IF(O1165&gt;0,"3-Rendah","4-Pantau"))))</f>
        <v/>
      </c>
      <c r="S1165" s="39" t="str">
        <f aca="false">IF(AND(M1165&gt;0,O1165&gt;0),O1165+M1165/1000000000000+ROW()/1000000000000000,"")</f>
        <v/>
      </c>
      <c r="T1165" s="39" t="str">
        <f aca="false">IF(J1165="Belum ditukar",ROW(),"")</f>
        <v/>
      </c>
    </row>
    <row r="1166" customFormat="false" ht="15" hidden="false" customHeight="false" outlineLevel="0" collapsed="false">
      <c r="A1166" s="50" t="s">
        <v>1454</v>
      </c>
      <c r="B1166" s="51" t="n">
        <v>45905</v>
      </c>
      <c r="C1166" s="50" t="s">
        <v>463</v>
      </c>
      <c r="D1166" s="39" t="str">
        <f aca="false">INDEX(Master_Customer!$B$2:$B$126,MATCH(C1166,Master_Customer!$A$2:$A$126,0))</f>
        <v>UTAMA TEKNIK ABADI</v>
      </c>
      <c r="E1166" s="50" t="s">
        <v>30</v>
      </c>
      <c r="F1166" s="52" t="n">
        <f aca="false">SUMIFS(Data_Penjualan!$G$2:$G$5998,Data_Penjualan!$A$2:$A$5998,A1166)</f>
        <v>17639000</v>
      </c>
      <c r="G1166" s="39" t="n">
        <f aca="false">IF(E1166="KANTOR",0,INDEX(Master_Customer!$C$2:$C$126,MATCH(C1166,Master_Customer!$A$2:$A$126,0)))</f>
        <v>30</v>
      </c>
      <c r="H1166" s="53" t="n">
        <f aca="false">B1166+G1166</f>
        <v>45935</v>
      </c>
      <c r="I1166" s="51" t="n">
        <v>45906</v>
      </c>
      <c r="J1166" s="39" t="str">
        <f aca="false">IF(G1166=0,"Tunai",IF(I1166="","Belum ditukar","Sudah ditukar"))</f>
        <v>Sudah ditukar</v>
      </c>
      <c r="K1166" s="54" t="n">
        <v>17639000</v>
      </c>
      <c r="L1166" s="51" t="n">
        <v>45934</v>
      </c>
      <c r="M1166" s="52" t="n">
        <f aca="false">F1166-K1166</f>
        <v>0</v>
      </c>
      <c r="N1166" s="39" t="str">
        <f aca="false">IF(M1166&lt;=0,"Lunas",IF(K1166&gt;0,"Sebagian","Belum Bayar"))</f>
        <v>Lunas</v>
      </c>
      <c r="O1166" s="39" t="n">
        <f aca="false">IF(M1166&gt;0,MAX(0,Catatan!$B$3-H1166),0)</f>
        <v>0</v>
      </c>
      <c r="P1166" s="39" t="str">
        <f aca="false">IF(M1166&lt;=0,"Lunas",IF(Catatan!$B$3&lt;=H1166,"Belum Jatuh Tempo",IF(O1166&lt;=30,"1-30 hari",IF(O1166&lt;=60,"31-60 hari",IF(O1166&lt;=90,"61-90 hari","90+ hari")))))</f>
        <v>Lunas</v>
      </c>
      <c r="Q1166" s="50"/>
      <c r="R1166" s="39" t="str">
        <f aca="false">IF(M1166&lt;=0,"",IF(O1166&gt;60,"1-Tinggi",IF(O1166&gt;30,"2-Sedang",IF(O1166&gt;0,"3-Rendah","4-Pantau"))))</f>
        <v/>
      </c>
      <c r="S1166" s="39" t="str">
        <f aca="false">IF(AND(M1166&gt;0,O1166&gt;0),O1166+M1166/1000000000000+ROW()/1000000000000000,"")</f>
        <v/>
      </c>
      <c r="T1166" s="39" t="str">
        <f aca="false">IF(J1166="Belum ditukar",ROW(),"")</f>
        <v/>
      </c>
    </row>
    <row r="1167" customFormat="false" ht="15" hidden="false" customHeight="false" outlineLevel="0" collapsed="false">
      <c r="A1167" s="50" t="s">
        <v>1455</v>
      </c>
      <c r="B1167" s="51" t="n">
        <v>45905</v>
      </c>
      <c r="C1167" s="50" t="s">
        <v>475</v>
      </c>
      <c r="D1167" s="39" t="str">
        <f aca="false">INDEX(Master_Customer!$B$2:$B$126,MATCH(C1167,Master_Customer!$A$2:$A$126,0))</f>
        <v>CAHAYA BENGKEL</v>
      </c>
      <c r="E1167" s="50" t="s">
        <v>30</v>
      </c>
      <c r="F1167" s="52" t="n">
        <f aca="false">SUMIFS(Data_Penjualan!$G$2:$G$5998,Data_Penjualan!$A$2:$A$5998,A1167)</f>
        <v>5971200</v>
      </c>
      <c r="G1167" s="39" t="n">
        <f aca="false">IF(E1167="KANTOR",0,INDEX(Master_Customer!$C$2:$C$126,MATCH(C1167,Master_Customer!$A$2:$A$126,0)))</f>
        <v>30</v>
      </c>
      <c r="H1167" s="53" t="n">
        <f aca="false">B1167+G1167</f>
        <v>45935</v>
      </c>
      <c r="I1167" s="51" t="n">
        <v>45908</v>
      </c>
      <c r="J1167" s="39" t="str">
        <f aca="false">IF(G1167=0,"Tunai",IF(I1167="","Belum ditukar","Sudah ditukar"))</f>
        <v>Sudah ditukar</v>
      </c>
      <c r="K1167" s="54" t="n">
        <v>2806300</v>
      </c>
      <c r="L1167" s="51" t="n">
        <v>45964</v>
      </c>
      <c r="M1167" s="52" t="n">
        <f aca="false">F1167-K1167</f>
        <v>3164900</v>
      </c>
      <c r="N1167" s="39" t="str">
        <f aca="false">IF(M1167&lt;=0,"Lunas",IF(K1167&gt;0,"Sebagian","Belum Bayar"))</f>
        <v>Sebagian</v>
      </c>
      <c r="O1167" s="39" t="n">
        <f aca="false">IF(M1167&gt;0,MAX(0,Catatan!$B$3-H1167),0)</f>
        <v>87</v>
      </c>
      <c r="P1167" s="39" t="str">
        <f aca="false">IF(M1167&lt;=0,"Lunas",IF(Catatan!$B$3&lt;=H1167,"Belum Jatuh Tempo",IF(O1167&lt;=30,"1-30 hari",IF(O1167&lt;=60,"31-60 hari",IF(O1167&lt;=90,"61-90 hari","90+ hari")))))</f>
        <v>61-90 hari</v>
      </c>
      <c r="Q1167" s="50" t="s">
        <v>397</v>
      </c>
      <c r="R1167" s="39" t="str">
        <f aca="false">IF(M1167&lt;=0,"",IF(O1167&gt;60,"1-Tinggi",IF(O1167&gt;30,"2-Sedang",IF(O1167&gt;0,"3-Rendah","4-Pantau"))))</f>
        <v>1-Tinggi</v>
      </c>
      <c r="S1167" s="39" t="n">
        <f aca="false">IF(AND(M1167&gt;0,O1167&gt;0),O1167+M1167/1000000000000+ROW()/1000000000000000,"")</f>
        <v>87.0000031649012</v>
      </c>
      <c r="T1167" s="39" t="str">
        <f aca="false">IF(J1167="Belum ditukar",ROW(),"")</f>
        <v/>
      </c>
    </row>
    <row r="1168" customFormat="false" ht="15" hidden="false" customHeight="false" outlineLevel="0" collapsed="false">
      <c r="A1168" s="50" t="s">
        <v>1456</v>
      </c>
      <c r="B1168" s="51" t="n">
        <v>45905</v>
      </c>
      <c r="C1168" s="50" t="s">
        <v>177</v>
      </c>
      <c r="D1168" s="39" t="str">
        <f aca="false">INDEX(Master_Customer!$B$2:$B$126,MATCH(C1168,Master_Customer!$A$2:$A$126,0))</f>
        <v>PRIMA MOTOR LANCAR</v>
      </c>
      <c r="E1168" s="50" t="s">
        <v>29</v>
      </c>
      <c r="F1168" s="52" t="n">
        <f aca="false">SUMIFS(Data_Penjualan!$G$2:$G$5998,Data_Penjualan!$A$2:$A$5998,A1168)</f>
        <v>10183400</v>
      </c>
      <c r="G1168" s="39" t="n">
        <f aca="false">IF(E1168="KANTOR",0,INDEX(Master_Customer!$C$2:$C$126,MATCH(C1168,Master_Customer!$A$2:$A$126,0)))</f>
        <v>14</v>
      </c>
      <c r="H1168" s="53" t="n">
        <f aca="false">B1168+G1168</f>
        <v>45919</v>
      </c>
      <c r="I1168" s="51" t="n">
        <v>45908</v>
      </c>
      <c r="J1168" s="39" t="str">
        <f aca="false">IF(G1168=0,"Tunai",IF(I1168="","Belum ditukar","Sudah ditukar"))</f>
        <v>Sudah ditukar</v>
      </c>
      <c r="K1168" s="54" t="n">
        <v>10183400</v>
      </c>
      <c r="L1168" s="51" t="n">
        <v>45915</v>
      </c>
      <c r="M1168" s="52" t="n">
        <f aca="false">F1168-K1168</f>
        <v>0</v>
      </c>
      <c r="N1168" s="39" t="str">
        <f aca="false">IF(M1168&lt;=0,"Lunas",IF(K1168&gt;0,"Sebagian","Belum Bayar"))</f>
        <v>Lunas</v>
      </c>
      <c r="O1168" s="39" t="n">
        <f aca="false">IF(M1168&gt;0,MAX(0,Catatan!$B$3-H1168),0)</f>
        <v>0</v>
      </c>
      <c r="P1168" s="39" t="str">
        <f aca="false">IF(M1168&lt;=0,"Lunas",IF(Catatan!$B$3&lt;=H1168,"Belum Jatuh Tempo",IF(O1168&lt;=30,"1-30 hari",IF(O1168&lt;=60,"31-60 hari",IF(O1168&lt;=90,"61-90 hari","90+ hari")))))</f>
        <v>Lunas</v>
      </c>
      <c r="Q1168" s="50"/>
      <c r="R1168" s="39" t="str">
        <f aca="false">IF(M1168&lt;=0,"",IF(O1168&gt;60,"1-Tinggi",IF(O1168&gt;30,"2-Sedang",IF(O1168&gt;0,"3-Rendah","4-Pantau"))))</f>
        <v/>
      </c>
      <c r="S1168" s="39" t="str">
        <f aca="false">IF(AND(M1168&gt;0,O1168&gt;0),O1168+M1168/1000000000000+ROW()/1000000000000000,"")</f>
        <v/>
      </c>
      <c r="T1168" s="39" t="str">
        <f aca="false">IF(J1168="Belum ditukar",ROW(),"")</f>
        <v/>
      </c>
    </row>
    <row r="1169" customFormat="false" ht="15" hidden="false" customHeight="false" outlineLevel="0" collapsed="false">
      <c r="A1169" s="50" t="s">
        <v>1457</v>
      </c>
      <c r="B1169" s="51" t="n">
        <v>45905</v>
      </c>
      <c r="C1169" s="50" t="s">
        <v>174</v>
      </c>
      <c r="D1169" s="39" t="str">
        <f aca="false">INDEX(Master_Customer!$B$2:$B$126,MATCH(C1169,Master_Customer!$A$2:$A$126,0))</f>
        <v>SUMBER TEKNIK SURYA</v>
      </c>
      <c r="E1169" s="50" t="s">
        <v>31</v>
      </c>
      <c r="F1169" s="52" t="n">
        <f aca="false">SUMIFS(Data_Penjualan!$G$2:$G$5998,Data_Penjualan!$A$2:$A$5998,A1169)</f>
        <v>7773200</v>
      </c>
      <c r="G1169" s="39" t="n">
        <f aca="false">IF(E1169="KANTOR",0,INDEX(Master_Customer!$C$2:$C$126,MATCH(C1169,Master_Customer!$A$2:$A$126,0)))</f>
        <v>30</v>
      </c>
      <c r="H1169" s="53" t="n">
        <f aca="false">B1169+G1169</f>
        <v>45935</v>
      </c>
      <c r="I1169" s="51" t="n">
        <v>45906</v>
      </c>
      <c r="J1169" s="39" t="str">
        <f aca="false">IF(G1169=0,"Tunai",IF(I1169="","Belum ditukar","Sudah ditukar"))</f>
        <v>Sudah ditukar</v>
      </c>
      <c r="K1169" s="54" t="n">
        <v>7773200</v>
      </c>
      <c r="L1169" s="51" t="n">
        <v>45927</v>
      </c>
      <c r="M1169" s="52" t="n">
        <f aca="false">F1169-K1169</f>
        <v>0</v>
      </c>
      <c r="N1169" s="39" t="str">
        <f aca="false">IF(M1169&lt;=0,"Lunas",IF(K1169&gt;0,"Sebagian","Belum Bayar"))</f>
        <v>Lunas</v>
      </c>
      <c r="O1169" s="39" t="n">
        <f aca="false">IF(M1169&gt;0,MAX(0,Catatan!$B$3-H1169),0)</f>
        <v>0</v>
      </c>
      <c r="P1169" s="39" t="str">
        <f aca="false">IF(M1169&lt;=0,"Lunas",IF(Catatan!$B$3&lt;=H1169,"Belum Jatuh Tempo",IF(O1169&lt;=30,"1-30 hari",IF(O1169&lt;=60,"31-60 hari",IF(O1169&lt;=90,"61-90 hari","90+ hari")))))</f>
        <v>Lunas</v>
      </c>
      <c r="Q1169" s="50"/>
      <c r="R1169" s="39" t="str">
        <f aca="false">IF(M1169&lt;=0,"",IF(O1169&gt;60,"1-Tinggi",IF(O1169&gt;30,"2-Sedang",IF(O1169&gt;0,"3-Rendah","4-Pantau"))))</f>
        <v/>
      </c>
      <c r="S1169" s="39" t="str">
        <f aca="false">IF(AND(M1169&gt;0,O1169&gt;0),O1169+M1169/1000000000000+ROW()/1000000000000000,"")</f>
        <v/>
      </c>
      <c r="T1169" s="39" t="str">
        <f aca="false">IF(J1169="Belum ditukar",ROW(),"")</f>
        <v/>
      </c>
    </row>
    <row r="1170" customFormat="false" ht="15" hidden="false" customHeight="false" outlineLevel="0" collapsed="false">
      <c r="A1170" s="50" t="s">
        <v>1458</v>
      </c>
      <c r="B1170" s="51" t="n">
        <v>45906</v>
      </c>
      <c r="C1170" s="50" t="s">
        <v>358</v>
      </c>
      <c r="D1170" s="39" t="str">
        <f aca="false">INDEX(Master_Customer!$B$2:$B$126,MATCH(C1170,Master_Customer!$A$2:$A$126,0))</f>
        <v>HARAPAN TEKNIK</v>
      </c>
      <c r="E1170" s="50" t="s">
        <v>31</v>
      </c>
      <c r="F1170" s="52" t="n">
        <f aca="false">SUMIFS(Data_Penjualan!$G$2:$G$5998,Data_Penjualan!$A$2:$A$5998,A1170)</f>
        <v>13781600</v>
      </c>
      <c r="G1170" s="39" t="n">
        <f aca="false">IF(E1170="KANTOR",0,INDEX(Master_Customer!$C$2:$C$126,MATCH(C1170,Master_Customer!$A$2:$A$126,0)))</f>
        <v>0</v>
      </c>
      <c r="H1170" s="53" t="n">
        <f aca="false">B1170+G1170</f>
        <v>45906</v>
      </c>
      <c r="J1170" s="39" t="str">
        <f aca="false">IF(G1170=0,"Tunai",IF(I1170="","Belum ditukar","Sudah ditukar"))</f>
        <v>Tunai</v>
      </c>
      <c r="K1170" s="54" t="n">
        <v>13781600</v>
      </c>
      <c r="L1170" s="51" t="n">
        <v>45906</v>
      </c>
      <c r="M1170" s="52" t="n">
        <f aca="false">F1170-K1170</f>
        <v>0</v>
      </c>
      <c r="N1170" s="39" t="str">
        <f aca="false">IF(M1170&lt;=0,"Lunas",IF(K1170&gt;0,"Sebagian","Belum Bayar"))</f>
        <v>Lunas</v>
      </c>
      <c r="O1170" s="39" t="n">
        <f aca="false">IF(M1170&gt;0,MAX(0,Catatan!$B$3-H1170),0)</f>
        <v>0</v>
      </c>
      <c r="P1170" s="39" t="str">
        <f aca="false">IF(M1170&lt;=0,"Lunas",IF(Catatan!$B$3&lt;=H1170,"Belum Jatuh Tempo",IF(O1170&lt;=30,"1-30 hari",IF(O1170&lt;=60,"31-60 hari",IF(O1170&lt;=90,"61-90 hari","90+ hari")))))</f>
        <v>Lunas</v>
      </c>
      <c r="Q1170" s="50"/>
      <c r="R1170" s="39" t="str">
        <f aca="false">IF(M1170&lt;=0,"",IF(O1170&gt;60,"1-Tinggi",IF(O1170&gt;30,"2-Sedang",IF(O1170&gt;0,"3-Rendah","4-Pantau"))))</f>
        <v/>
      </c>
      <c r="S1170" s="39" t="str">
        <f aca="false">IF(AND(M1170&gt;0,O1170&gt;0),O1170+M1170/1000000000000+ROW()/1000000000000000,"")</f>
        <v/>
      </c>
      <c r="T1170" s="39" t="str">
        <f aca="false">IF(J1170="Belum ditukar",ROW(),"")</f>
        <v/>
      </c>
    </row>
    <row r="1171" customFormat="false" ht="15" hidden="false" customHeight="false" outlineLevel="0" collapsed="false">
      <c r="A1171" s="50" t="s">
        <v>1459</v>
      </c>
      <c r="B1171" s="51" t="n">
        <v>45906</v>
      </c>
      <c r="C1171" s="50" t="s">
        <v>191</v>
      </c>
      <c r="D1171" s="39" t="str">
        <f aca="false">INDEX(Master_Customer!$B$2:$B$126,MATCH(C1171,Master_Customer!$A$2:$A$126,0))</f>
        <v>SINAR AUTO BERKAH</v>
      </c>
      <c r="E1171" s="50" t="s">
        <v>30</v>
      </c>
      <c r="F1171" s="52" t="n">
        <f aca="false">SUMIFS(Data_Penjualan!$G$2:$G$5998,Data_Penjualan!$A$2:$A$5998,A1171)</f>
        <v>11917100</v>
      </c>
      <c r="G1171" s="39" t="n">
        <f aca="false">IF(E1171="KANTOR",0,INDEX(Master_Customer!$C$2:$C$126,MATCH(C1171,Master_Customer!$A$2:$A$126,0)))</f>
        <v>30</v>
      </c>
      <c r="H1171" s="53" t="n">
        <f aca="false">B1171+G1171</f>
        <v>45936</v>
      </c>
      <c r="I1171" s="51" t="n">
        <v>45910</v>
      </c>
      <c r="J1171" s="39" t="str">
        <f aca="false">IF(G1171=0,"Tunai",IF(I1171="","Belum ditukar","Sudah ditukar"))</f>
        <v>Sudah ditukar</v>
      </c>
      <c r="K1171" s="54" t="n">
        <v>11917100</v>
      </c>
      <c r="L1171" s="51" t="n">
        <v>45984</v>
      </c>
      <c r="M1171" s="52" t="n">
        <f aca="false">F1171-K1171</f>
        <v>0</v>
      </c>
      <c r="N1171" s="39" t="str">
        <f aca="false">IF(M1171&lt;=0,"Lunas",IF(K1171&gt;0,"Sebagian","Belum Bayar"))</f>
        <v>Lunas</v>
      </c>
      <c r="O1171" s="39" t="n">
        <f aca="false">IF(M1171&gt;0,MAX(0,Catatan!$B$3-H1171),0)</f>
        <v>0</v>
      </c>
      <c r="P1171" s="39" t="str">
        <f aca="false">IF(M1171&lt;=0,"Lunas",IF(Catatan!$B$3&lt;=H1171,"Belum Jatuh Tempo",IF(O1171&lt;=30,"1-30 hari",IF(O1171&lt;=60,"31-60 hari",IF(O1171&lt;=90,"61-90 hari","90+ hari")))))</f>
        <v>Lunas</v>
      </c>
      <c r="Q1171" s="50"/>
      <c r="R1171" s="39" t="str">
        <f aca="false">IF(M1171&lt;=0,"",IF(O1171&gt;60,"1-Tinggi",IF(O1171&gt;30,"2-Sedang",IF(O1171&gt;0,"3-Rendah","4-Pantau"))))</f>
        <v/>
      </c>
      <c r="S1171" s="39" t="str">
        <f aca="false">IF(AND(M1171&gt;0,O1171&gt;0),O1171+M1171/1000000000000+ROW()/1000000000000000,"")</f>
        <v/>
      </c>
      <c r="T1171" s="39" t="str">
        <f aca="false">IF(J1171="Belum ditukar",ROW(),"")</f>
        <v/>
      </c>
    </row>
    <row r="1172" customFormat="false" ht="15" hidden="false" customHeight="false" outlineLevel="0" collapsed="false">
      <c r="A1172" s="50" t="s">
        <v>1460</v>
      </c>
      <c r="B1172" s="51" t="n">
        <v>45906</v>
      </c>
      <c r="C1172" s="50" t="s">
        <v>289</v>
      </c>
      <c r="D1172" s="39" t="str">
        <f aca="false">INDEX(Master_Customer!$B$2:$B$126,MATCH(C1172,Master_Customer!$A$2:$A$126,0))</f>
        <v>SINAR GARAGE</v>
      </c>
      <c r="E1172" s="50" t="s">
        <v>32</v>
      </c>
      <c r="F1172" s="52" t="n">
        <f aca="false">SUMIFS(Data_Penjualan!$G$2:$G$5998,Data_Penjualan!$A$2:$A$5998,A1172)</f>
        <v>1208000</v>
      </c>
      <c r="G1172" s="39" t="n">
        <f aca="false">IF(E1172="KANTOR",0,INDEX(Master_Customer!$C$2:$C$126,MATCH(C1172,Master_Customer!$A$2:$A$126,0)))</f>
        <v>0</v>
      </c>
      <c r="H1172" s="53" t="n">
        <f aca="false">B1172+G1172</f>
        <v>45906</v>
      </c>
      <c r="J1172" s="39" t="str">
        <f aca="false">IF(G1172=0,"Tunai",IF(I1172="","Belum ditukar","Sudah ditukar"))</f>
        <v>Tunai</v>
      </c>
      <c r="K1172" s="54" t="n">
        <v>1208000</v>
      </c>
      <c r="L1172" s="51" t="n">
        <v>45906</v>
      </c>
      <c r="M1172" s="52" t="n">
        <f aca="false">F1172-K1172</f>
        <v>0</v>
      </c>
      <c r="N1172" s="39" t="str">
        <f aca="false">IF(M1172&lt;=0,"Lunas",IF(K1172&gt;0,"Sebagian","Belum Bayar"))</f>
        <v>Lunas</v>
      </c>
      <c r="O1172" s="39" t="n">
        <f aca="false">IF(M1172&gt;0,MAX(0,Catatan!$B$3-H1172),0)</f>
        <v>0</v>
      </c>
      <c r="P1172" s="39" t="str">
        <f aca="false">IF(M1172&lt;=0,"Lunas",IF(Catatan!$B$3&lt;=H1172,"Belum Jatuh Tempo",IF(O1172&lt;=30,"1-30 hari",IF(O1172&lt;=60,"31-60 hari",IF(O1172&lt;=90,"61-90 hari","90+ hari")))))</f>
        <v>Lunas</v>
      </c>
      <c r="Q1172" s="50"/>
      <c r="R1172" s="39" t="str">
        <f aca="false">IF(M1172&lt;=0,"",IF(O1172&gt;60,"1-Tinggi",IF(O1172&gt;30,"2-Sedang",IF(O1172&gt;0,"3-Rendah","4-Pantau"))))</f>
        <v/>
      </c>
      <c r="S1172" s="39" t="str">
        <f aca="false">IF(AND(M1172&gt;0,O1172&gt;0),O1172+M1172/1000000000000+ROW()/1000000000000000,"")</f>
        <v/>
      </c>
      <c r="T1172" s="39" t="str">
        <f aca="false">IF(J1172="Belum ditukar",ROW(),"")</f>
        <v/>
      </c>
    </row>
    <row r="1173" customFormat="false" ht="15" hidden="false" customHeight="false" outlineLevel="0" collapsed="false">
      <c r="A1173" s="50" t="s">
        <v>1461</v>
      </c>
      <c r="B1173" s="51" t="n">
        <v>45906</v>
      </c>
      <c r="C1173" s="50" t="s">
        <v>177</v>
      </c>
      <c r="D1173" s="39" t="str">
        <f aca="false">INDEX(Master_Customer!$B$2:$B$126,MATCH(C1173,Master_Customer!$A$2:$A$126,0))</f>
        <v>PRIMA MOTOR LANCAR</v>
      </c>
      <c r="E1173" s="50" t="s">
        <v>29</v>
      </c>
      <c r="F1173" s="52" t="n">
        <f aca="false">SUMIFS(Data_Penjualan!$G$2:$G$5998,Data_Penjualan!$A$2:$A$5998,A1173)</f>
        <v>5565200</v>
      </c>
      <c r="G1173" s="39" t="n">
        <f aca="false">IF(E1173="KANTOR",0,INDEX(Master_Customer!$C$2:$C$126,MATCH(C1173,Master_Customer!$A$2:$A$126,0)))</f>
        <v>14</v>
      </c>
      <c r="H1173" s="53" t="n">
        <f aca="false">B1173+G1173</f>
        <v>45920</v>
      </c>
      <c r="I1173" s="51" t="n">
        <v>45911</v>
      </c>
      <c r="J1173" s="39" t="str">
        <f aca="false">IF(G1173=0,"Tunai",IF(I1173="","Belum ditukar","Sudah ditukar"))</f>
        <v>Sudah ditukar</v>
      </c>
      <c r="K1173" s="54" t="n">
        <v>5565200</v>
      </c>
      <c r="L1173" s="51" t="n">
        <v>45917</v>
      </c>
      <c r="M1173" s="52" t="n">
        <f aca="false">F1173-K1173</f>
        <v>0</v>
      </c>
      <c r="N1173" s="39" t="str">
        <f aca="false">IF(M1173&lt;=0,"Lunas",IF(K1173&gt;0,"Sebagian","Belum Bayar"))</f>
        <v>Lunas</v>
      </c>
      <c r="O1173" s="39" t="n">
        <f aca="false">IF(M1173&gt;0,MAX(0,Catatan!$B$3-H1173),0)</f>
        <v>0</v>
      </c>
      <c r="P1173" s="39" t="str">
        <f aca="false">IF(M1173&lt;=0,"Lunas",IF(Catatan!$B$3&lt;=H1173,"Belum Jatuh Tempo",IF(O1173&lt;=30,"1-30 hari",IF(O1173&lt;=60,"31-60 hari",IF(O1173&lt;=90,"61-90 hari","90+ hari")))))</f>
        <v>Lunas</v>
      </c>
      <c r="Q1173" s="50"/>
      <c r="R1173" s="39" t="str">
        <f aca="false">IF(M1173&lt;=0,"",IF(O1173&gt;60,"1-Tinggi",IF(O1173&gt;30,"2-Sedang",IF(O1173&gt;0,"3-Rendah","4-Pantau"))))</f>
        <v/>
      </c>
      <c r="S1173" s="39" t="str">
        <f aca="false">IF(AND(M1173&gt;0,O1173&gt;0),O1173+M1173/1000000000000+ROW()/1000000000000000,"")</f>
        <v/>
      </c>
      <c r="T1173" s="39" t="str">
        <f aca="false">IF(J1173="Belum ditukar",ROW(),"")</f>
        <v/>
      </c>
    </row>
    <row r="1174" customFormat="false" ht="15" hidden="false" customHeight="false" outlineLevel="0" collapsed="false">
      <c r="A1174" s="50" t="s">
        <v>1462</v>
      </c>
      <c r="B1174" s="51" t="n">
        <v>45906</v>
      </c>
      <c r="C1174" s="50" t="s">
        <v>174</v>
      </c>
      <c r="D1174" s="39" t="str">
        <f aca="false">INDEX(Master_Customer!$B$2:$B$126,MATCH(C1174,Master_Customer!$A$2:$A$126,0))</f>
        <v>SUMBER TEKNIK SURYA</v>
      </c>
      <c r="E1174" s="50" t="s">
        <v>31</v>
      </c>
      <c r="F1174" s="52" t="n">
        <f aca="false">SUMIFS(Data_Penjualan!$G$2:$G$5998,Data_Penjualan!$A$2:$A$5998,A1174)</f>
        <v>12270100</v>
      </c>
      <c r="G1174" s="39" t="n">
        <f aca="false">IF(E1174="KANTOR",0,INDEX(Master_Customer!$C$2:$C$126,MATCH(C1174,Master_Customer!$A$2:$A$126,0)))</f>
        <v>30</v>
      </c>
      <c r="H1174" s="53" t="n">
        <f aca="false">B1174+G1174</f>
        <v>45936</v>
      </c>
      <c r="I1174" s="51" t="n">
        <v>45908</v>
      </c>
      <c r="J1174" s="39" t="str">
        <f aca="false">IF(G1174=0,"Tunai",IF(I1174="","Belum ditukar","Sudah ditukar"))</f>
        <v>Sudah ditukar</v>
      </c>
      <c r="K1174" s="54" t="n">
        <v>12270100</v>
      </c>
      <c r="L1174" s="51" t="n">
        <v>45941</v>
      </c>
      <c r="M1174" s="52" t="n">
        <f aca="false">F1174-K1174</f>
        <v>0</v>
      </c>
      <c r="N1174" s="39" t="str">
        <f aca="false">IF(M1174&lt;=0,"Lunas",IF(K1174&gt;0,"Sebagian","Belum Bayar"))</f>
        <v>Lunas</v>
      </c>
      <c r="O1174" s="39" t="n">
        <f aca="false">IF(M1174&gt;0,MAX(0,Catatan!$B$3-H1174),0)</f>
        <v>0</v>
      </c>
      <c r="P1174" s="39" t="str">
        <f aca="false">IF(M1174&lt;=0,"Lunas",IF(Catatan!$B$3&lt;=H1174,"Belum Jatuh Tempo",IF(O1174&lt;=30,"1-30 hari",IF(O1174&lt;=60,"31-60 hari",IF(O1174&lt;=90,"61-90 hari","90+ hari")))))</f>
        <v>Lunas</v>
      </c>
      <c r="Q1174" s="50"/>
      <c r="R1174" s="39" t="str">
        <f aca="false">IF(M1174&lt;=0,"",IF(O1174&gt;60,"1-Tinggi",IF(O1174&gt;30,"2-Sedang",IF(O1174&gt;0,"3-Rendah","4-Pantau"))))</f>
        <v/>
      </c>
      <c r="S1174" s="39" t="str">
        <f aca="false">IF(AND(M1174&gt;0,O1174&gt;0),O1174+M1174/1000000000000+ROW()/1000000000000000,"")</f>
        <v/>
      </c>
      <c r="T1174" s="39" t="str">
        <f aca="false">IF(J1174="Belum ditukar",ROW(),"")</f>
        <v/>
      </c>
    </row>
    <row r="1175" customFormat="false" ht="15" hidden="false" customHeight="false" outlineLevel="0" collapsed="false">
      <c r="A1175" s="50" t="s">
        <v>1463</v>
      </c>
      <c r="B1175" s="51" t="n">
        <v>45906</v>
      </c>
      <c r="C1175" s="50" t="s">
        <v>367</v>
      </c>
      <c r="D1175" s="39" t="str">
        <f aca="false">INDEX(Master_Customer!$B$2:$B$126,MATCH(C1175,Master_Customer!$A$2:$A$126,0))</f>
        <v>JAYA MOBIL SUMBER</v>
      </c>
      <c r="E1175" s="50" t="s">
        <v>28</v>
      </c>
      <c r="F1175" s="52" t="n">
        <f aca="false">SUMIFS(Data_Penjualan!$G$2:$G$5998,Data_Penjualan!$A$2:$A$5998,A1175)</f>
        <v>4018900</v>
      </c>
      <c r="G1175" s="39" t="n">
        <f aca="false">IF(E1175="KANTOR",0,INDEX(Master_Customer!$C$2:$C$126,MATCH(C1175,Master_Customer!$A$2:$A$126,0)))</f>
        <v>0</v>
      </c>
      <c r="H1175" s="53" t="n">
        <f aca="false">B1175+G1175</f>
        <v>45906</v>
      </c>
      <c r="J1175" s="39" t="str">
        <f aca="false">IF(G1175=0,"Tunai",IF(I1175="","Belum ditukar","Sudah ditukar"))</f>
        <v>Tunai</v>
      </c>
      <c r="K1175" s="54" t="n">
        <v>4018900</v>
      </c>
      <c r="L1175" s="51" t="n">
        <v>45906</v>
      </c>
      <c r="M1175" s="52" t="n">
        <f aca="false">F1175-K1175</f>
        <v>0</v>
      </c>
      <c r="N1175" s="39" t="str">
        <f aca="false">IF(M1175&lt;=0,"Lunas",IF(K1175&gt;0,"Sebagian","Belum Bayar"))</f>
        <v>Lunas</v>
      </c>
      <c r="O1175" s="39" t="n">
        <f aca="false">IF(M1175&gt;0,MAX(0,Catatan!$B$3-H1175),0)</f>
        <v>0</v>
      </c>
      <c r="P1175" s="39" t="str">
        <f aca="false">IF(M1175&lt;=0,"Lunas",IF(Catatan!$B$3&lt;=H1175,"Belum Jatuh Tempo",IF(O1175&lt;=30,"1-30 hari",IF(O1175&lt;=60,"31-60 hari",IF(O1175&lt;=90,"61-90 hari","90+ hari")))))</f>
        <v>Lunas</v>
      </c>
      <c r="Q1175" s="50"/>
      <c r="R1175" s="39" t="str">
        <f aca="false">IF(M1175&lt;=0,"",IF(O1175&gt;60,"1-Tinggi",IF(O1175&gt;30,"2-Sedang",IF(O1175&gt;0,"3-Rendah","4-Pantau"))))</f>
        <v/>
      </c>
      <c r="S1175" s="39" t="str">
        <f aca="false">IF(AND(M1175&gt;0,O1175&gt;0),O1175+M1175/1000000000000+ROW()/1000000000000000,"")</f>
        <v/>
      </c>
      <c r="T1175" s="39" t="str">
        <f aca="false">IF(J1175="Belum ditukar",ROW(),"")</f>
        <v/>
      </c>
    </row>
    <row r="1176" customFormat="false" ht="15" hidden="false" customHeight="false" outlineLevel="0" collapsed="false">
      <c r="A1176" s="50" t="s">
        <v>1464</v>
      </c>
      <c r="B1176" s="51" t="n">
        <v>45908</v>
      </c>
      <c r="C1176" s="50" t="s">
        <v>195</v>
      </c>
      <c r="D1176" s="39" t="str">
        <f aca="false">INDEX(Master_Customer!$B$2:$B$126,MATCH(C1176,Master_Customer!$A$2:$A$126,0))</f>
        <v>KARYA LUBRICANT BINTANG</v>
      </c>
      <c r="E1176" s="50" t="s">
        <v>30</v>
      </c>
      <c r="F1176" s="52" t="n">
        <f aca="false">SUMIFS(Data_Penjualan!$G$2:$G$5998,Data_Penjualan!$A$2:$A$5998,A1176)</f>
        <v>20691700</v>
      </c>
      <c r="G1176" s="39" t="n">
        <f aca="false">IF(E1176="KANTOR",0,INDEX(Master_Customer!$C$2:$C$126,MATCH(C1176,Master_Customer!$A$2:$A$126,0)))</f>
        <v>14</v>
      </c>
      <c r="H1176" s="53" t="n">
        <f aca="false">B1176+G1176</f>
        <v>45922</v>
      </c>
      <c r="I1176" s="51" t="n">
        <v>45909</v>
      </c>
      <c r="J1176" s="39" t="str">
        <f aca="false">IF(G1176=0,"Tunai",IF(I1176="","Belum ditukar","Sudah ditukar"))</f>
        <v>Sudah ditukar</v>
      </c>
      <c r="K1176" s="54" t="n">
        <v>20691700</v>
      </c>
      <c r="L1176" s="51" t="n">
        <v>45923</v>
      </c>
      <c r="M1176" s="52" t="n">
        <f aca="false">F1176-K1176</f>
        <v>0</v>
      </c>
      <c r="N1176" s="39" t="str">
        <f aca="false">IF(M1176&lt;=0,"Lunas",IF(K1176&gt;0,"Sebagian","Belum Bayar"))</f>
        <v>Lunas</v>
      </c>
      <c r="O1176" s="39" t="n">
        <f aca="false">IF(M1176&gt;0,MAX(0,Catatan!$B$3-H1176),0)</f>
        <v>0</v>
      </c>
      <c r="P1176" s="39" t="str">
        <f aca="false">IF(M1176&lt;=0,"Lunas",IF(Catatan!$B$3&lt;=H1176,"Belum Jatuh Tempo",IF(O1176&lt;=30,"1-30 hari",IF(O1176&lt;=60,"31-60 hari",IF(O1176&lt;=90,"61-90 hari","90+ hari")))))</f>
        <v>Lunas</v>
      </c>
      <c r="Q1176" s="50"/>
      <c r="R1176" s="39" t="str">
        <f aca="false">IF(M1176&lt;=0,"",IF(O1176&gt;60,"1-Tinggi",IF(O1176&gt;30,"2-Sedang",IF(O1176&gt;0,"3-Rendah","4-Pantau"))))</f>
        <v/>
      </c>
      <c r="S1176" s="39" t="str">
        <f aca="false">IF(AND(M1176&gt;0,O1176&gt;0),O1176+M1176/1000000000000+ROW()/1000000000000000,"")</f>
        <v/>
      </c>
      <c r="T1176" s="39" t="str">
        <f aca="false">IF(J1176="Belum ditukar",ROW(),"")</f>
        <v/>
      </c>
    </row>
    <row r="1177" customFormat="false" ht="15" hidden="false" customHeight="false" outlineLevel="0" collapsed="false">
      <c r="A1177" s="50" t="s">
        <v>1465</v>
      </c>
      <c r="B1177" s="51" t="n">
        <v>45908</v>
      </c>
      <c r="C1177" s="50" t="s">
        <v>221</v>
      </c>
      <c r="D1177" s="39" t="str">
        <f aca="false">INDEX(Master_Customer!$B$2:$B$126,MATCH(C1177,Master_Customer!$A$2:$A$126,0))</f>
        <v>ABADI AUTO SURYA</v>
      </c>
      <c r="E1177" s="50" t="s">
        <v>31</v>
      </c>
      <c r="F1177" s="52" t="n">
        <f aca="false">SUMIFS(Data_Penjualan!$G$2:$G$5998,Data_Penjualan!$A$2:$A$5998,A1177)</f>
        <v>9015500</v>
      </c>
      <c r="G1177" s="39" t="n">
        <f aca="false">IF(E1177="KANTOR",0,INDEX(Master_Customer!$C$2:$C$126,MATCH(C1177,Master_Customer!$A$2:$A$126,0)))</f>
        <v>14</v>
      </c>
      <c r="H1177" s="53" t="n">
        <f aca="false">B1177+G1177</f>
        <v>45922</v>
      </c>
      <c r="I1177" s="51" t="n">
        <v>45912</v>
      </c>
      <c r="J1177" s="39" t="str">
        <f aca="false">IF(G1177=0,"Tunai",IF(I1177="","Belum ditukar","Sudah ditukar"))</f>
        <v>Sudah ditukar</v>
      </c>
      <c r="K1177" s="54" t="n">
        <v>4778300</v>
      </c>
      <c r="L1177" s="51" t="n">
        <v>45944</v>
      </c>
      <c r="M1177" s="52" t="n">
        <f aca="false">F1177-K1177</f>
        <v>4237200</v>
      </c>
      <c r="N1177" s="39" t="str">
        <f aca="false">IF(M1177&lt;=0,"Lunas",IF(K1177&gt;0,"Sebagian","Belum Bayar"))</f>
        <v>Sebagian</v>
      </c>
      <c r="O1177" s="39" t="n">
        <f aca="false">IF(M1177&gt;0,MAX(0,Catatan!$B$3-H1177),0)</f>
        <v>100</v>
      </c>
      <c r="P1177" s="39" t="str">
        <f aca="false">IF(M1177&lt;=0,"Lunas",IF(Catatan!$B$3&lt;=H1177,"Belum Jatuh Tempo",IF(O1177&lt;=30,"1-30 hari",IF(O1177&lt;=60,"31-60 hari",IF(O1177&lt;=90,"61-90 hari","90+ hari")))))</f>
        <v>90+ hari</v>
      </c>
      <c r="Q1177" s="50" t="s">
        <v>497</v>
      </c>
      <c r="R1177" s="39" t="str">
        <f aca="false">IF(M1177&lt;=0,"",IF(O1177&gt;60,"1-Tinggi",IF(O1177&gt;30,"2-Sedang",IF(O1177&gt;0,"3-Rendah","4-Pantau"))))</f>
        <v>1-Tinggi</v>
      </c>
      <c r="S1177" s="39" t="n">
        <f aca="false">IF(AND(M1177&gt;0,O1177&gt;0),O1177+M1177/1000000000000+ROW()/1000000000000000,"")</f>
        <v>100.000004237201</v>
      </c>
      <c r="T1177" s="39" t="str">
        <f aca="false">IF(J1177="Belum ditukar",ROW(),"")</f>
        <v/>
      </c>
    </row>
    <row r="1178" customFormat="false" ht="15" hidden="false" customHeight="false" outlineLevel="0" collapsed="false">
      <c r="A1178" s="50" t="s">
        <v>1466</v>
      </c>
      <c r="B1178" s="51" t="n">
        <v>45908</v>
      </c>
      <c r="C1178" s="50" t="s">
        <v>320</v>
      </c>
      <c r="D1178" s="39" t="str">
        <f aca="false">INDEX(Master_Customer!$B$2:$B$126,MATCH(C1178,Master_Customer!$A$2:$A$126,0))</f>
        <v>BINTANG OLI</v>
      </c>
      <c r="E1178" s="50" t="s">
        <v>31</v>
      </c>
      <c r="F1178" s="52" t="n">
        <f aca="false">SUMIFS(Data_Penjualan!$G$2:$G$5998,Data_Penjualan!$A$2:$A$5998,A1178)</f>
        <v>10598100</v>
      </c>
      <c r="G1178" s="39" t="n">
        <f aca="false">IF(E1178="KANTOR",0,INDEX(Master_Customer!$C$2:$C$126,MATCH(C1178,Master_Customer!$A$2:$A$126,0)))</f>
        <v>14</v>
      </c>
      <c r="H1178" s="53" t="n">
        <f aca="false">B1178+G1178</f>
        <v>45922</v>
      </c>
      <c r="I1178" s="51" t="n">
        <v>45911</v>
      </c>
      <c r="J1178" s="39" t="str">
        <f aca="false">IF(G1178=0,"Tunai",IF(I1178="","Belum ditukar","Sudah ditukar"))</f>
        <v>Sudah ditukar</v>
      </c>
      <c r="K1178" s="54" t="n">
        <v>10598100</v>
      </c>
      <c r="L1178" s="51" t="n">
        <v>45948</v>
      </c>
      <c r="M1178" s="52" t="n">
        <f aca="false">F1178-K1178</f>
        <v>0</v>
      </c>
      <c r="N1178" s="39" t="str">
        <f aca="false">IF(M1178&lt;=0,"Lunas",IF(K1178&gt;0,"Sebagian","Belum Bayar"))</f>
        <v>Lunas</v>
      </c>
      <c r="O1178" s="39" t="n">
        <f aca="false">IF(M1178&gt;0,MAX(0,Catatan!$B$3-H1178),0)</f>
        <v>0</v>
      </c>
      <c r="P1178" s="39" t="str">
        <f aca="false">IF(M1178&lt;=0,"Lunas",IF(Catatan!$B$3&lt;=H1178,"Belum Jatuh Tempo",IF(O1178&lt;=30,"1-30 hari",IF(O1178&lt;=60,"31-60 hari",IF(O1178&lt;=90,"61-90 hari","90+ hari")))))</f>
        <v>Lunas</v>
      </c>
      <c r="Q1178" s="50"/>
      <c r="R1178" s="39" t="str">
        <f aca="false">IF(M1178&lt;=0,"",IF(O1178&gt;60,"1-Tinggi",IF(O1178&gt;30,"2-Sedang",IF(O1178&gt;0,"3-Rendah","4-Pantau"))))</f>
        <v/>
      </c>
      <c r="S1178" s="39" t="str">
        <f aca="false">IF(AND(M1178&gt;0,O1178&gt;0),O1178+M1178/1000000000000+ROW()/1000000000000000,"")</f>
        <v/>
      </c>
      <c r="T1178" s="39" t="str">
        <f aca="false">IF(J1178="Belum ditukar",ROW(),"")</f>
        <v/>
      </c>
    </row>
    <row r="1179" customFormat="false" ht="15" hidden="false" customHeight="false" outlineLevel="0" collapsed="false">
      <c r="A1179" s="50" t="s">
        <v>1467</v>
      </c>
      <c r="B1179" s="51" t="n">
        <v>45909</v>
      </c>
      <c r="C1179" s="50" t="s">
        <v>1048</v>
      </c>
      <c r="D1179" s="39" t="str">
        <f aca="false">INDEX(Master_Customer!$B$2:$B$126,MATCH(C1179,Master_Customer!$A$2:$A$126,0))</f>
        <v>ABADI LUBRICANT</v>
      </c>
      <c r="E1179" s="50" t="s">
        <v>28</v>
      </c>
      <c r="F1179" s="52" t="n">
        <f aca="false">SUMIFS(Data_Penjualan!$G$2:$G$5998,Data_Penjualan!$A$2:$A$5998,A1179)</f>
        <v>12967400</v>
      </c>
      <c r="G1179" s="39" t="n">
        <f aca="false">IF(E1179="KANTOR",0,INDEX(Master_Customer!$C$2:$C$126,MATCH(C1179,Master_Customer!$A$2:$A$126,0)))</f>
        <v>30</v>
      </c>
      <c r="H1179" s="53" t="n">
        <f aca="false">B1179+G1179</f>
        <v>45939</v>
      </c>
      <c r="I1179" s="51" t="n">
        <v>45914</v>
      </c>
      <c r="J1179" s="39" t="str">
        <f aca="false">IF(G1179=0,"Tunai",IF(I1179="","Belum ditukar","Sudah ditukar"))</f>
        <v>Sudah ditukar</v>
      </c>
      <c r="K1179" s="54" t="n">
        <v>12967400</v>
      </c>
      <c r="L1179" s="51" t="n">
        <v>45942</v>
      </c>
      <c r="M1179" s="52" t="n">
        <f aca="false">F1179-K1179</f>
        <v>0</v>
      </c>
      <c r="N1179" s="39" t="str">
        <f aca="false">IF(M1179&lt;=0,"Lunas",IF(K1179&gt;0,"Sebagian","Belum Bayar"))</f>
        <v>Lunas</v>
      </c>
      <c r="O1179" s="39" t="n">
        <f aca="false">IF(M1179&gt;0,MAX(0,Catatan!$B$3-H1179),0)</f>
        <v>0</v>
      </c>
      <c r="P1179" s="39" t="str">
        <f aca="false">IF(M1179&lt;=0,"Lunas",IF(Catatan!$B$3&lt;=H1179,"Belum Jatuh Tempo",IF(O1179&lt;=30,"1-30 hari",IF(O1179&lt;=60,"31-60 hari",IF(O1179&lt;=90,"61-90 hari","90+ hari")))))</f>
        <v>Lunas</v>
      </c>
      <c r="Q1179" s="50"/>
      <c r="R1179" s="39" t="str">
        <f aca="false">IF(M1179&lt;=0,"",IF(O1179&gt;60,"1-Tinggi",IF(O1179&gt;30,"2-Sedang",IF(O1179&gt;0,"3-Rendah","4-Pantau"))))</f>
        <v/>
      </c>
      <c r="S1179" s="39" t="str">
        <f aca="false">IF(AND(M1179&gt;0,O1179&gt;0),O1179+M1179/1000000000000+ROW()/1000000000000000,"")</f>
        <v/>
      </c>
      <c r="T1179" s="39" t="str">
        <f aca="false">IF(J1179="Belum ditukar",ROW(),"")</f>
        <v/>
      </c>
    </row>
    <row r="1180" customFormat="false" ht="15" hidden="false" customHeight="false" outlineLevel="0" collapsed="false">
      <c r="A1180" s="50" t="s">
        <v>1468</v>
      </c>
      <c r="B1180" s="51" t="n">
        <v>45909</v>
      </c>
      <c r="C1180" s="50" t="s">
        <v>405</v>
      </c>
      <c r="D1180" s="39" t="str">
        <f aca="false">INDEX(Master_Customer!$B$2:$B$126,MATCH(C1180,Master_Customer!$A$2:$A$126,0))</f>
        <v>BINTANG BENGKEL HARAPAN</v>
      </c>
      <c r="E1180" s="50" t="s">
        <v>32</v>
      </c>
      <c r="F1180" s="52" t="n">
        <f aca="false">SUMIFS(Data_Penjualan!$G$2:$G$5998,Data_Penjualan!$A$2:$A$5998,A1180)</f>
        <v>1854100</v>
      </c>
      <c r="G1180" s="39" t="n">
        <f aca="false">IF(E1180="KANTOR",0,INDEX(Master_Customer!$C$2:$C$126,MATCH(C1180,Master_Customer!$A$2:$A$126,0)))</f>
        <v>0</v>
      </c>
      <c r="H1180" s="53" t="n">
        <f aca="false">B1180+G1180</f>
        <v>45909</v>
      </c>
      <c r="J1180" s="39" t="str">
        <f aca="false">IF(G1180=0,"Tunai",IF(I1180="","Belum ditukar","Sudah ditukar"))</f>
        <v>Tunai</v>
      </c>
      <c r="K1180" s="54" t="n">
        <v>1854100</v>
      </c>
      <c r="L1180" s="51" t="n">
        <v>45909</v>
      </c>
      <c r="M1180" s="52" t="n">
        <f aca="false">F1180-K1180</f>
        <v>0</v>
      </c>
      <c r="N1180" s="39" t="str">
        <f aca="false">IF(M1180&lt;=0,"Lunas",IF(K1180&gt;0,"Sebagian","Belum Bayar"))</f>
        <v>Lunas</v>
      </c>
      <c r="O1180" s="39" t="n">
        <f aca="false">IF(M1180&gt;0,MAX(0,Catatan!$B$3-H1180),0)</f>
        <v>0</v>
      </c>
      <c r="P1180" s="39" t="str">
        <f aca="false">IF(M1180&lt;=0,"Lunas",IF(Catatan!$B$3&lt;=H1180,"Belum Jatuh Tempo",IF(O1180&lt;=30,"1-30 hari",IF(O1180&lt;=60,"31-60 hari",IF(O1180&lt;=90,"61-90 hari","90+ hari")))))</f>
        <v>Lunas</v>
      </c>
      <c r="Q1180" s="50"/>
      <c r="R1180" s="39" t="str">
        <f aca="false">IF(M1180&lt;=0,"",IF(O1180&gt;60,"1-Tinggi",IF(O1180&gt;30,"2-Sedang",IF(O1180&gt;0,"3-Rendah","4-Pantau"))))</f>
        <v/>
      </c>
      <c r="S1180" s="39" t="str">
        <f aca="false">IF(AND(M1180&gt;0,O1180&gt;0),O1180+M1180/1000000000000+ROW()/1000000000000000,"")</f>
        <v/>
      </c>
      <c r="T1180" s="39" t="str">
        <f aca="false">IF(J1180="Belum ditukar",ROW(),"")</f>
        <v/>
      </c>
    </row>
    <row r="1181" customFormat="false" ht="15" hidden="false" customHeight="false" outlineLevel="0" collapsed="false">
      <c r="A1181" s="50" t="s">
        <v>1469</v>
      </c>
      <c r="B1181" s="51" t="n">
        <v>45909</v>
      </c>
      <c r="C1181" s="50" t="s">
        <v>369</v>
      </c>
      <c r="D1181" s="39" t="str">
        <f aca="false">INDEX(Master_Customer!$B$2:$B$126,MATCH(C1181,Master_Customer!$A$2:$A$126,0))</f>
        <v>UTAMA TEKNIK</v>
      </c>
      <c r="E1181" s="50" t="s">
        <v>31</v>
      </c>
      <c r="F1181" s="52" t="n">
        <f aca="false">SUMIFS(Data_Penjualan!$G$2:$G$5998,Data_Penjualan!$A$2:$A$5998,A1181)</f>
        <v>1864800</v>
      </c>
      <c r="G1181" s="39" t="n">
        <f aca="false">IF(E1181="KANTOR",0,INDEX(Master_Customer!$C$2:$C$126,MATCH(C1181,Master_Customer!$A$2:$A$126,0)))</f>
        <v>30</v>
      </c>
      <c r="H1181" s="53" t="n">
        <f aca="false">B1181+G1181</f>
        <v>45939</v>
      </c>
      <c r="I1181" s="51" t="n">
        <v>45911</v>
      </c>
      <c r="J1181" s="39" t="str">
        <f aca="false">IF(G1181=0,"Tunai",IF(I1181="","Belum ditukar","Sudah ditukar"))</f>
        <v>Sudah ditukar</v>
      </c>
      <c r="K1181" s="54" t="n">
        <v>1864800</v>
      </c>
      <c r="L1181" s="51" t="n">
        <v>45939</v>
      </c>
      <c r="M1181" s="52" t="n">
        <f aca="false">F1181-K1181</f>
        <v>0</v>
      </c>
      <c r="N1181" s="39" t="str">
        <f aca="false">IF(M1181&lt;=0,"Lunas",IF(K1181&gt;0,"Sebagian","Belum Bayar"))</f>
        <v>Lunas</v>
      </c>
      <c r="O1181" s="39" t="n">
        <f aca="false">IF(M1181&gt;0,MAX(0,Catatan!$B$3-H1181),0)</f>
        <v>0</v>
      </c>
      <c r="P1181" s="39" t="str">
        <f aca="false">IF(M1181&lt;=0,"Lunas",IF(Catatan!$B$3&lt;=H1181,"Belum Jatuh Tempo",IF(O1181&lt;=30,"1-30 hari",IF(O1181&lt;=60,"31-60 hari",IF(O1181&lt;=90,"61-90 hari","90+ hari")))))</f>
        <v>Lunas</v>
      </c>
      <c r="Q1181" s="50"/>
      <c r="R1181" s="39" t="str">
        <f aca="false">IF(M1181&lt;=0,"",IF(O1181&gt;60,"1-Tinggi",IF(O1181&gt;30,"2-Sedang",IF(O1181&gt;0,"3-Rendah","4-Pantau"))))</f>
        <v/>
      </c>
      <c r="S1181" s="39" t="str">
        <f aca="false">IF(AND(M1181&gt;0,O1181&gt;0),O1181+M1181/1000000000000+ROW()/1000000000000000,"")</f>
        <v/>
      </c>
      <c r="T1181" s="39" t="str">
        <f aca="false">IF(J1181="Belum ditukar",ROW(),"")</f>
        <v/>
      </c>
    </row>
    <row r="1182" customFormat="false" ht="15" hidden="false" customHeight="false" outlineLevel="0" collapsed="false">
      <c r="A1182" s="50" t="s">
        <v>1470</v>
      </c>
      <c r="B1182" s="51" t="n">
        <v>45909</v>
      </c>
      <c r="C1182" s="50" t="s">
        <v>293</v>
      </c>
      <c r="D1182" s="39" t="str">
        <f aca="false">INDEX(Master_Customer!$B$2:$B$126,MATCH(C1182,Master_Customer!$A$2:$A$126,0))</f>
        <v>SINAR LUBRICANT</v>
      </c>
      <c r="E1182" s="50" t="s">
        <v>31</v>
      </c>
      <c r="F1182" s="52" t="n">
        <f aca="false">SUMIFS(Data_Penjualan!$G$2:$G$5998,Data_Penjualan!$A$2:$A$5998,A1182)</f>
        <v>11334800</v>
      </c>
      <c r="G1182" s="39" t="n">
        <f aca="false">IF(E1182="KANTOR",0,INDEX(Master_Customer!$C$2:$C$126,MATCH(C1182,Master_Customer!$A$2:$A$126,0)))</f>
        <v>30</v>
      </c>
      <c r="H1182" s="53" t="n">
        <f aca="false">B1182+G1182</f>
        <v>45939</v>
      </c>
      <c r="I1182" s="51" t="n">
        <v>45911</v>
      </c>
      <c r="J1182" s="39" t="str">
        <f aca="false">IF(G1182=0,"Tunai",IF(I1182="","Belum ditukar","Sudah ditukar"))</f>
        <v>Sudah ditukar</v>
      </c>
      <c r="K1182" s="54" t="n">
        <v>11334800</v>
      </c>
      <c r="L1182" s="51" t="n">
        <v>45951</v>
      </c>
      <c r="M1182" s="52" t="n">
        <f aca="false">F1182-K1182</f>
        <v>0</v>
      </c>
      <c r="N1182" s="39" t="str">
        <f aca="false">IF(M1182&lt;=0,"Lunas",IF(K1182&gt;0,"Sebagian","Belum Bayar"))</f>
        <v>Lunas</v>
      </c>
      <c r="O1182" s="39" t="n">
        <f aca="false">IF(M1182&gt;0,MAX(0,Catatan!$B$3-H1182),0)</f>
        <v>0</v>
      </c>
      <c r="P1182" s="39" t="str">
        <f aca="false">IF(M1182&lt;=0,"Lunas",IF(Catatan!$B$3&lt;=H1182,"Belum Jatuh Tempo",IF(O1182&lt;=30,"1-30 hari",IF(O1182&lt;=60,"31-60 hari",IF(O1182&lt;=90,"61-90 hari","90+ hari")))))</f>
        <v>Lunas</v>
      </c>
      <c r="Q1182" s="50"/>
      <c r="R1182" s="39" t="str">
        <f aca="false">IF(M1182&lt;=0,"",IF(O1182&gt;60,"1-Tinggi",IF(O1182&gt;30,"2-Sedang",IF(O1182&gt;0,"3-Rendah","4-Pantau"))))</f>
        <v/>
      </c>
      <c r="S1182" s="39" t="str">
        <f aca="false">IF(AND(M1182&gt;0,O1182&gt;0),O1182+M1182/1000000000000+ROW()/1000000000000000,"")</f>
        <v/>
      </c>
      <c r="T1182" s="39" t="str">
        <f aca="false">IF(J1182="Belum ditukar",ROW(),"")</f>
        <v/>
      </c>
    </row>
    <row r="1183" customFormat="false" ht="15" hidden="false" customHeight="false" outlineLevel="0" collapsed="false">
      <c r="A1183" s="50" t="s">
        <v>1471</v>
      </c>
      <c r="B1183" s="51" t="n">
        <v>45909</v>
      </c>
      <c r="C1183" s="50" t="s">
        <v>243</v>
      </c>
      <c r="D1183" s="39" t="str">
        <f aca="false">INDEX(Master_Customer!$B$2:$B$126,MATCH(C1183,Master_Customer!$A$2:$A$126,0))</f>
        <v>SENTOSA LUBRICANT MULIA</v>
      </c>
      <c r="E1183" s="50" t="s">
        <v>30</v>
      </c>
      <c r="F1183" s="52" t="n">
        <f aca="false">SUMIFS(Data_Penjualan!$G$2:$G$5998,Data_Penjualan!$A$2:$A$5998,A1183)</f>
        <v>17889600</v>
      </c>
      <c r="G1183" s="39" t="n">
        <f aca="false">IF(E1183="KANTOR",0,INDEX(Master_Customer!$C$2:$C$126,MATCH(C1183,Master_Customer!$A$2:$A$126,0)))</f>
        <v>45</v>
      </c>
      <c r="H1183" s="53" t="n">
        <f aca="false">B1183+G1183</f>
        <v>45954</v>
      </c>
      <c r="I1183" s="51" t="n">
        <v>45914</v>
      </c>
      <c r="J1183" s="39" t="str">
        <f aca="false">IF(G1183=0,"Tunai",IF(I1183="","Belum ditukar","Sudah ditukar"))</f>
        <v>Sudah ditukar</v>
      </c>
      <c r="K1183" s="54" t="n">
        <v>17889600</v>
      </c>
      <c r="L1183" s="51" t="n">
        <v>45990</v>
      </c>
      <c r="M1183" s="52" t="n">
        <f aca="false">F1183-K1183</f>
        <v>0</v>
      </c>
      <c r="N1183" s="39" t="str">
        <f aca="false">IF(M1183&lt;=0,"Lunas",IF(K1183&gt;0,"Sebagian","Belum Bayar"))</f>
        <v>Lunas</v>
      </c>
      <c r="O1183" s="39" t="n">
        <f aca="false">IF(M1183&gt;0,MAX(0,Catatan!$B$3-H1183),0)</f>
        <v>0</v>
      </c>
      <c r="P1183" s="39" t="str">
        <f aca="false">IF(M1183&lt;=0,"Lunas",IF(Catatan!$B$3&lt;=H1183,"Belum Jatuh Tempo",IF(O1183&lt;=30,"1-30 hari",IF(O1183&lt;=60,"31-60 hari",IF(O1183&lt;=90,"61-90 hari","90+ hari")))))</f>
        <v>Lunas</v>
      </c>
      <c r="Q1183" s="50"/>
      <c r="R1183" s="39" t="str">
        <f aca="false">IF(M1183&lt;=0,"",IF(O1183&gt;60,"1-Tinggi",IF(O1183&gt;30,"2-Sedang",IF(O1183&gt;0,"3-Rendah","4-Pantau"))))</f>
        <v/>
      </c>
      <c r="S1183" s="39" t="str">
        <f aca="false">IF(AND(M1183&gt;0,O1183&gt;0),O1183+M1183/1000000000000+ROW()/1000000000000000,"")</f>
        <v/>
      </c>
      <c r="T1183" s="39" t="str">
        <f aca="false">IF(J1183="Belum ditukar",ROW(),"")</f>
        <v/>
      </c>
    </row>
    <row r="1184" customFormat="false" ht="15" hidden="false" customHeight="false" outlineLevel="0" collapsed="false">
      <c r="A1184" s="50" t="s">
        <v>1472</v>
      </c>
      <c r="B1184" s="51" t="n">
        <v>45909</v>
      </c>
      <c r="C1184" s="50" t="s">
        <v>177</v>
      </c>
      <c r="D1184" s="39" t="str">
        <f aca="false">INDEX(Master_Customer!$B$2:$B$126,MATCH(C1184,Master_Customer!$A$2:$A$126,0))</f>
        <v>PRIMA MOTOR LANCAR</v>
      </c>
      <c r="E1184" s="50" t="s">
        <v>29</v>
      </c>
      <c r="F1184" s="52" t="n">
        <f aca="false">SUMIFS(Data_Penjualan!$G$2:$G$5998,Data_Penjualan!$A$2:$A$5998,A1184)</f>
        <v>9477000</v>
      </c>
      <c r="G1184" s="39" t="n">
        <f aca="false">IF(E1184="KANTOR",0,INDEX(Master_Customer!$C$2:$C$126,MATCH(C1184,Master_Customer!$A$2:$A$126,0)))</f>
        <v>14</v>
      </c>
      <c r="H1184" s="53" t="n">
        <f aca="false">B1184+G1184</f>
        <v>45923</v>
      </c>
      <c r="I1184" s="51" t="n">
        <v>45913</v>
      </c>
      <c r="J1184" s="39" t="str">
        <f aca="false">IF(G1184=0,"Tunai",IF(I1184="","Belum ditukar","Sudah ditukar"))</f>
        <v>Sudah ditukar</v>
      </c>
      <c r="K1184" s="54" t="n">
        <v>9477000</v>
      </c>
      <c r="L1184" s="51" t="n">
        <v>45918</v>
      </c>
      <c r="M1184" s="52" t="n">
        <f aca="false">F1184-K1184</f>
        <v>0</v>
      </c>
      <c r="N1184" s="39" t="str">
        <f aca="false">IF(M1184&lt;=0,"Lunas",IF(K1184&gt;0,"Sebagian","Belum Bayar"))</f>
        <v>Lunas</v>
      </c>
      <c r="O1184" s="39" t="n">
        <f aca="false">IF(M1184&gt;0,MAX(0,Catatan!$B$3-H1184),0)</f>
        <v>0</v>
      </c>
      <c r="P1184" s="39" t="str">
        <f aca="false">IF(M1184&lt;=0,"Lunas",IF(Catatan!$B$3&lt;=H1184,"Belum Jatuh Tempo",IF(O1184&lt;=30,"1-30 hari",IF(O1184&lt;=60,"31-60 hari",IF(O1184&lt;=90,"61-90 hari","90+ hari")))))</f>
        <v>Lunas</v>
      </c>
      <c r="Q1184" s="50"/>
      <c r="R1184" s="39" t="str">
        <f aca="false">IF(M1184&lt;=0,"",IF(O1184&gt;60,"1-Tinggi",IF(O1184&gt;30,"2-Sedang",IF(O1184&gt;0,"3-Rendah","4-Pantau"))))</f>
        <v/>
      </c>
      <c r="S1184" s="39" t="str">
        <f aca="false">IF(AND(M1184&gt;0,O1184&gt;0),O1184+M1184/1000000000000+ROW()/1000000000000000,"")</f>
        <v/>
      </c>
      <c r="T1184" s="39" t="str">
        <f aca="false">IF(J1184="Belum ditukar",ROW(),"")</f>
        <v/>
      </c>
    </row>
    <row r="1185" customFormat="false" ht="15" hidden="false" customHeight="false" outlineLevel="0" collapsed="false">
      <c r="A1185" s="50" t="s">
        <v>1473</v>
      </c>
      <c r="B1185" s="51" t="n">
        <v>45909</v>
      </c>
      <c r="C1185" s="50" t="s">
        <v>179</v>
      </c>
      <c r="D1185" s="39" t="str">
        <f aca="false">INDEX(Master_Customer!$B$2:$B$126,MATCH(C1185,Master_Customer!$A$2:$A$126,0))</f>
        <v>BINTANG TEKNIK SURYA</v>
      </c>
      <c r="E1185" s="50" t="s">
        <v>29</v>
      </c>
      <c r="F1185" s="52" t="n">
        <f aca="false">SUMIFS(Data_Penjualan!$G$2:$G$5998,Data_Penjualan!$A$2:$A$5998,A1185)</f>
        <v>7876200</v>
      </c>
      <c r="G1185" s="39" t="n">
        <f aca="false">IF(E1185="KANTOR",0,INDEX(Master_Customer!$C$2:$C$126,MATCH(C1185,Master_Customer!$A$2:$A$126,0)))</f>
        <v>45</v>
      </c>
      <c r="H1185" s="53" t="n">
        <f aca="false">B1185+G1185</f>
        <v>45954</v>
      </c>
      <c r="I1185" s="51" t="n">
        <v>45914</v>
      </c>
      <c r="J1185" s="39" t="str">
        <f aca="false">IF(G1185=0,"Tunai",IF(I1185="","Belum ditukar","Sudah ditukar"))</f>
        <v>Sudah ditukar</v>
      </c>
      <c r="K1185" s="54" t="n">
        <v>7876200</v>
      </c>
      <c r="L1185" s="51" t="n">
        <v>45951</v>
      </c>
      <c r="M1185" s="52" t="n">
        <f aca="false">F1185-K1185</f>
        <v>0</v>
      </c>
      <c r="N1185" s="39" t="str">
        <f aca="false">IF(M1185&lt;=0,"Lunas",IF(K1185&gt;0,"Sebagian","Belum Bayar"))</f>
        <v>Lunas</v>
      </c>
      <c r="O1185" s="39" t="n">
        <f aca="false">IF(M1185&gt;0,MAX(0,Catatan!$B$3-H1185),0)</f>
        <v>0</v>
      </c>
      <c r="P1185" s="39" t="str">
        <f aca="false">IF(M1185&lt;=0,"Lunas",IF(Catatan!$B$3&lt;=H1185,"Belum Jatuh Tempo",IF(O1185&lt;=30,"1-30 hari",IF(O1185&lt;=60,"31-60 hari",IF(O1185&lt;=90,"61-90 hari","90+ hari")))))</f>
        <v>Lunas</v>
      </c>
      <c r="Q1185" s="50"/>
      <c r="R1185" s="39" t="str">
        <f aca="false">IF(M1185&lt;=0,"",IF(O1185&gt;60,"1-Tinggi",IF(O1185&gt;30,"2-Sedang",IF(O1185&gt;0,"3-Rendah","4-Pantau"))))</f>
        <v/>
      </c>
      <c r="S1185" s="39" t="str">
        <f aca="false">IF(AND(M1185&gt;0,O1185&gt;0),O1185+M1185/1000000000000+ROW()/1000000000000000,"")</f>
        <v/>
      </c>
      <c r="T1185" s="39" t="str">
        <f aca="false">IF(J1185="Belum ditukar",ROW(),"")</f>
        <v/>
      </c>
    </row>
    <row r="1186" customFormat="false" ht="15" hidden="false" customHeight="false" outlineLevel="0" collapsed="false">
      <c r="A1186" s="50" t="s">
        <v>1474</v>
      </c>
      <c r="B1186" s="51" t="n">
        <v>45909</v>
      </c>
      <c r="C1186" s="50" t="s">
        <v>205</v>
      </c>
      <c r="D1186" s="39" t="str">
        <f aca="false">INDEX(Master_Customer!$B$2:$B$126,MATCH(C1186,Master_Customer!$A$2:$A$126,0))</f>
        <v>BERKAH OLI</v>
      </c>
      <c r="E1186" s="50" t="s">
        <v>28</v>
      </c>
      <c r="F1186" s="52" t="n">
        <f aca="false">SUMIFS(Data_Penjualan!$G$2:$G$5998,Data_Penjualan!$A$2:$A$5998,A1186)</f>
        <v>1987100</v>
      </c>
      <c r="G1186" s="39" t="n">
        <f aca="false">IF(E1186="KANTOR",0,INDEX(Master_Customer!$C$2:$C$126,MATCH(C1186,Master_Customer!$A$2:$A$126,0)))</f>
        <v>0</v>
      </c>
      <c r="H1186" s="53" t="n">
        <f aca="false">B1186+G1186</f>
        <v>45909</v>
      </c>
      <c r="J1186" s="39" t="str">
        <f aca="false">IF(G1186=0,"Tunai",IF(I1186="","Belum ditukar","Sudah ditukar"))</f>
        <v>Tunai</v>
      </c>
      <c r="K1186" s="54" t="n">
        <v>1987100</v>
      </c>
      <c r="L1186" s="51" t="n">
        <v>45910</v>
      </c>
      <c r="M1186" s="52" t="n">
        <f aca="false">F1186-K1186</f>
        <v>0</v>
      </c>
      <c r="N1186" s="39" t="str">
        <f aca="false">IF(M1186&lt;=0,"Lunas",IF(K1186&gt;0,"Sebagian","Belum Bayar"))</f>
        <v>Lunas</v>
      </c>
      <c r="O1186" s="39" t="n">
        <f aca="false">IF(M1186&gt;0,MAX(0,Catatan!$B$3-H1186),0)</f>
        <v>0</v>
      </c>
      <c r="P1186" s="39" t="str">
        <f aca="false">IF(M1186&lt;=0,"Lunas",IF(Catatan!$B$3&lt;=H1186,"Belum Jatuh Tempo",IF(O1186&lt;=30,"1-30 hari",IF(O1186&lt;=60,"31-60 hari",IF(O1186&lt;=90,"61-90 hari","90+ hari")))))</f>
        <v>Lunas</v>
      </c>
      <c r="Q1186" s="50"/>
      <c r="R1186" s="39" t="str">
        <f aca="false">IF(M1186&lt;=0,"",IF(O1186&gt;60,"1-Tinggi",IF(O1186&gt;30,"2-Sedang",IF(O1186&gt;0,"3-Rendah","4-Pantau"))))</f>
        <v/>
      </c>
      <c r="S1186" s="39" t="str">
        <f aca="false">IF(AND(M1186&gt;0,O1186&gt;0),O1186+M1186/1000000000000+ROW()/1000000000000000,"")</f>
        <v/>
      </c>
      <c r="T1186" s="39" t="str">
        <f aca="false">IF(J1186="Belum ditukar",ROW(),"")</f>
        <v/>
      </c>
    </row>
    <row r="1187" customFormat="false" ht="15" hidden="false" customHeight="false" outlineLevel="0" collapsed="false">
      <c r="A1187" s="50" t="s">
        <v>1475</v>
      </c>
      <c r="B1187" s="51" t="n">
        <v>45909</v>
      </c>
      <c r="C1187" s="50" t="s">
        <v>205</v>
      </c>
      <c r="D1187" s="39" t="str">
        <f aca="false">INDEX(Master_Customer!$B$2:$B$126,MATCH(C1187,Master_Customer!$A$2:$A$126,0))</f>
        <v>BERKAH OLI</v>
      </c>
      <c r="E1187" s="50" t="s">
        <v>28</v>
      </c>
      <c r="F1187" s="52" t="n">
        <f aca="false">SUMIFS(Data_Penjualan!$G$2:$G$5998,Data_Penjualan!$A$2:$A$5998,A1187)</f>
        <v>5195800</v>
      </c>
      <c r="G1187" s="39" t="n">
        <f aca="false">IF(E1187="KANTOR",0,INDEX(Master_Customer!$C$2:$C$126,MATCH(C1187,Master_Customer!$A$2:$A$126,0)))</f>
        <v>0</v>
      </c>
      <c r="H1187" s="53" t="n">
        <f aca="false">B1187+G1187</f>
        <v>45909</v>
      </c>
      <c r="J1187" s="39" t="str">
        <f aca="false">IF(G1187=0,"Tunai",IF(I1187="","Belum ditukar","Sudah ditukar"))</f>
        <v>Tunai</v>
      </c>
      <c r="K1187" s="54" t="n">
        <v>5195800</v>
      </c>
      <c r="L1187" s="51" t="n">
        <v>45909</v>
      </c>
      <c r="M1187" s="52" t="n">
        <f aca="false">F1187-K1187</f>
        <v>0</v>
      </c>
      <c r="N1187" s="39" t="str">
        <f aca="false">IF(M1187&lt;=0,"Lunas",IF(K1187&gt;0,"Sebagian","Belum Bayar"))</f>
        <v>Lunas</v>
      </c>
      <c r="O1187" s="39" t="n">
        <f aca="false">IF(M1187&gt;0,MAX(0,Catatan!$B$3-H1187),0)</f>
        <v>0</v>
      </c>
      <c r="P1187" s="39" t="str">
        <f aca="false">IF(M1187&lt;=0,"Lunas",IF(Catatan!$B$3&lt;=H1187,"Belum Jatuh Tempo",IF(O1187&lt;=30,"1-30 hari",IF(O1187&lt;=60,"31-60 hari",IF(O1187&lt;=90,"61-90 hari","90+ hari")))))</f>
        <v>Lunas</v>
      </c>
      <c r="Q1187" s="50"/>
      <c r="R1187" s="39" t="str">
        <f aca="false">IF(M1187&lt;=0,"",IF(O1187&gt;60,"1-Tinggi",IF(O1187&gt;30,"2-Sedang",IF(O1187&gt;0,"3-Rendah","4-Pantau"))))</f>
        <v/>
      </c>
      <c r="S1187" s="39" t="str">
        <f aca="false">IF(AND(M1187&gt;0,O1187&gt;0),O1187+M1187/1000000000000+ROW()/1000000000000000,"")</f>
        <v/>
      </c>
      <c r="T1187" s="39" t="str">
        <f aca="false">IF(J1187="Belum ditukar",ROW(),"")</f>
        <v/>
      </c>
    </row>
    <row r="1188" customFormat="false" ht="15" hidden="false" customHeight="false" outlineLevel="0" collapsed="false">
      <c r="A1188" s="50" t="s">
        <v>1476</v>
      </c>
      <c r="B1188" s="51" t="n">
        <v>45910</v>
      </c>
      <c r="C1188" s="50" t="s">
        <v>491</v>
      </c>
      <c r="D1188" s="39" t="str">
        <f aca="false">INDEX(Master_Customer!$B$2:$B$126,MATCH(C1188,Master_Customer!$A$2:$A$126,0))</f>
        <v>SINAR SERVICE</v>
      </c>
      <c r="E1188" s="50" t="s">
        <v>31</v>
      </c>
      <c r="F1188" s="52" t="n">
        <f aca="false">SUMIFS(Data_Penjualan!$G$2:$G$5998,Data_Penjualan!$A$2:$A$5998,A1188)</f>
        <v>18533100</v>
      </c>
      <c r="G1188" s="39" t="n">
        <f aca="false">IF(E1188="KANTOR",0,INDEX(Master_Customer!$C$2:$C$126,MATCH(C1188,Master_Customer!$A$2:$A$126,0)))</f>
        <v>0</v>
      </c>
      <c r="H1188" s="53" t="n">
        <f aca="false">B1188+G1188</f>
        <v>45910</v>
      </c>
      <c r="J1188" s="39" t="str">
        <f aca="false">IF(G1188=0,"Tunai",IF(I1188="","Belum ditukar","Sudah ditukar"))</f>
        <v>Tunai</v>
      </c>
      <c r="K1188" s="54" t="n">
        <v>18533100</v>
      </c>
      <c r="L1188" s="51" t="n">
        <v>45911</v>
      </c>
      <c r="M1188" s="52" t="n">
        <f aca="false">F1188-K1188</f>
        <v>0</v>
      </c>
      <c r="N1188" s="39" t="str">
        <f aca="false">IF(M1188&lt;=0,"Lunas",IF(K1188&gt;0,"Sebagian","Belum Bayar"))</f>
        <v>Lunas</v>
      </c>
      <c r="O1188" s="39" t="n">
        <f aca="false">IF(M1188&gt;0,MAX(0,Catatan!$B$3-H1188),0)</f>
        <v>0</v>
      </c>
      <c r="P1188" s="39" t="str">
        <f aca="false">IF(M1188&lt;=0,"Lunas",IF(Catatan!$B$3&lt;=H1188,"Belum Jatuh Tempo",IF(O1188&lt;=30,"1-30 hari",IF(O1188&lt;=60,"31-60 hari",IF(O1188&lt;=90,"61-90 hari","90+ hari")))))</f>
        <v>Lunas</v>
      </c>
      <c r="Q1188" s="50"/>
      <c r="R1188" s="39" t="str">
        <f aca="false">IF(M1188&lt;=0,"",IF(O1188&gt;60,"1-Tinggi",IF(O1188&gt;30,"2-Sedang",IF(O1188&gt;0,"3-Rendah","4-Pantau"))))</f>
        <v/>
      </c>
      <c r="S1188" s="39" t="str">
        <f aca="false">IF(AND(M1188&gt;0,O1188&gt;0),O1188+M1188/1000000000000+ROW()/1000000000000000,"")</f>
        <v/>
      </c>
      <c r="T1188" s="39" t="str">
        <f aca="false">IF(J1188="Belum ditukar",ROW(),"")</f>
        <v/>
      </c>
    </row>
    <row r="1189" customFormat="false" ht="15" hidden="false" customHeight="false" outlineLevel="0" collapsed="false">
      <c r="A1189" s="50" t="s">
        <v>1477</v>
      </c>
      <c r="B1189" s="51" t="n">
        <v>45910</v>
      </c>
      <c r="C1189" s="50" t="s">
        <v>174</v>
      </c>
      <c r="D1189" s="39" t="str">
        <f aca="false">INDEX(Master_Customer!$B$2:$B$126,MATCH(C1189,Master_Customer!$A$2:$A$126,0))</f>
        <v>SUMBER TEKNIK SURYA</v>
      </c>
      <c r="E1189" s="50" t="s">
        <v>31</v>
      </c>
      <c r="F1189" s="52" t="n">
        <f aca="false">SUMIFS(Data_Penjualan!$G$2:$G$5998,Data_Penjualan!$A$2:$A$5998,A1189)</f>
        <v>7948400</v>
      </c>
      <c r="G1189" s="39" t="n">
        <f aca="false">IF(E1189="KANTOR",0,INDEX(Master_Customer!$C$2:$C$126,MATCH(C1189,Master_Customer!$A$2:$A$126,0)))</f>
        <v>30</v>
      </c>
      <c r="H1189" s="53" t="n">
        <f aca="false">B1189+G1189</f>
        <v>45940</v>
      </c>
      <c r="I1189" s="51" t="n">
        <v>45911</v>
      </c>
      <c r="J1189" s="39" t="str">
        <f aca="false">IF(G1189=0,"Tunai",IF(I1189="","Belum ditukar","Sudah ditukar"))</f>
        <v>Sudah ditukar</v>
      </c>
      <c r="K1189" s="54" t="n">
        <v>7948400</v>
      </c>
      <c r="L1189" s="51" t="n">
        <v>45943</v>
      </c>
      <c r="M1189" s="52" t="n">
        <f aca="false">F1189-K1189</f>
        <v>0</v>
      </c>
      <c r="N1189" s="39" t="str">
        <f aca="false">IF(M1189&lt;=0,"Lunas",IF(K1189&gt;0,"Sebagian","Belum Bayar"))</f>
        <v>Lunas</v>
      </c>
      <c r="O1189" s="39" t="n">
        <f aca="false">IF(M1189&gt;0,MAX(0,Catatan!$B$3-H1189),0)</f>
        <v>0</v>
      </c>
      <c r="P1189" s="39" t="str">
        <f aca="false">IF(M1189&lt;=0,"Lunas",IF(Catatan!$B$3&lt;=H1189,"Belum Jatuh Tempo",IF(O1189&lt;=30,"1-30 hari",IF(O1189&lt;=60,"31-60 hari",IF(O1189&lt;=90,"61-90 hari","90+ hari")))))</f>
        <v>Lunas</v>
      </c>
      <c r="Q1189" s="50"/>
      <c r="R1189" s="39" t="str">
        <f aca="false">IF(M1189&lt;=0,"",IF(O1189&gt;60,"1-Tinggi",IF(O1189&gt;30,"2-Sedang",IF(O1189&gt;0,"3-Rendah","4-Pantau"))))</f>
        <v/>
      </c>
      <c r="S1189" s="39" t="str">
        <f aca="false">IF(AND(M1189&gt;0,O1189&gt;0),O1189+M1189/1000000000000+ROW()/1000000000000000,"")</f>
        <v/>
      </c>
      <c r="T1189" s="39" t="str">
        <f aca="false">IF(J1189="Belum ditukar",ROW(),"")</f>
        <v/>
      </c>
    </row>
    <row r="1190" customFormat="false" ht="15" hidden="false" customHeight="false" outlineLevel="0" collapsed="false">
      <c r="A1190" s="50" t="s">
        <v>1478</v>
      </c>
      <c r="B1190" s="51" t="n">
        <v>45910</v>
      </c>
      <c r="C1190" s="50" t="s">
        <v>166</v>
      </c>
      <c r="D1190" s="39" t="str">
        <f aca="false">INDEX(Master_Customer!$B$2:$B$126,MATCH(C1190,Master_Customer!$A$2:$A$126,0))</f>
        <v>SENTOSA SERVICE</v>
      </c>
      <c r="E1190" s="50" t="s">
        <v>30</v>
      </c>
      <c r="F1190" s="52" t="n">
        <f aca="false">SUMIFS(Data_Penjualan!$G$2:$G$5998,Data_Penjualan!$A$2:$A$5998,A1190)</f>
        <v>10939100</v>
      </c>
      <c r="G1190" s="39" t="n">
        <f aca="false">IF(E1190="KANTOR",0,INDEX(Master_Customer!$C$2:$C$126,MATCH(C1190,Master_Customer!$A$2:$A$126,0)))</f>
        <v>0</v>
      </c>
      <c r="H1190" s="53" t="n">
        <f aca="false">B1190+G1190</f>
        <v>45910</v>
      </c>
      <c r="J1190" s="39" t="str">
        <f aca="false">IF(G1190=0,"Tunai",IF(I1190="","Belum ditukar","Sudah ditukar"))</f>
        <v>Tunai</v>
      </c>
      <c r="K1190" s="54" t="n">
        <v>10939100</v>
      </c>
      <c r="L1190" s="51" t="n">
        <v>45911</v>
      </c>
      <c r="M1190" s="52" t="n">
        <f aca="false">F1190-K1190</f>
        <v>0</v>
      </c>
      <c r="N1190" s="39" t="str">
        <f aca="false">IF(M1190&lt;=0,"Lunas",IF(K1190&gt;0,"Sebagian","Belum Bayar"))</f>
        <v>Lunas</v>
      </c>
      <c r="O1190" s="39" t="n">
        <f aca="false">IF(M1190&gt;0,MAX(0,Catatan!$B$3-H1190),0)</f>
        <v>0</v>
      </c>
      <c r="P1190" s="39" t="str">
        <f aca="false">IF(M1190&lt;=0,"Lunas",IF(Catatan!$B$3&lt;=H1190,"Belum Jatuh Tempo",IF(O1190&lt;=30,"1-30 hari",IF(O1190&lt;=60,"31-60 hari",IF(O1190&lt;=90,"61-90 hari","90+ hari")))))</f>
        <v>Lunas</v>
      </c>
      <c r="Q1190" s="50"/>
      <c r="R1190" s="39" t="str">
        <f aca="false">IF(M1190&lt;=0,"",IF(O1190&gt;60,"1-Tinggi",IF(O1190&gt;30,"2-Sedang",IF(O1190&gt;0,"3-Rendah","4-Pantau"))))</f>
        <v/>
      </c>
      <c r="S1190" s="39" t="str">
        <f aca="false">IF(AND(M1190&gt;0,O1190&gt;0),O1190+M1190/1000000000000+ROW()/1000000000000000,"")</f>
        <v/>
      </c>
      <c r="T1190" s="39" t="str">
        <f aca="false">IF(J1190="Belum ditukar",ROW(),"")</f>
        <v/>
      </c>
    </row>
    <row r="1191" customFormat="false" ht="15" hidden="false" customHeight="false" outlineLevel="0" collapsed="false">
      <c r="A1191" s="50" t="s">
        <v>1479</v>
      </c>
      <c r="B1191" s="51" t="n">
        <v>45910</v>
      </c>
      <c r="C1191" s="50" t="s">
        <v>223</v>
      </c>
      <c r="D1191" s="39" t="str">
        <f aca="false">INDEX(Master_Customer!$B$2:$B$126,MATCH(C1191,Master_Customer!$A$2:$A$126,0))</f>
        <v>ABADI AUTO UTAMA</v>
      </c>
      <c r="E1191" s="50" t="s">
        <v>32</v>
      </c>
      <c r="F1191" s="52" t="n">
        <f aca="false">SUMIFS(Data_Penjualan!$G$2:$G$5998,Data_Penjualan!$A$2:$A$5998,A1191)</f>
        <v>2252100</v>
      </c>
      <c r="G1191" s="39" t="n">
        <f aca="false">IF(E1191="KANTOR",0,INDEX(Master_Customer!$C$2:$C$126,MATCH(C1191,Master_Customer!$A$2:$A$126,0)))</f>
        <v>0</v>
      </c>
      <c r="H1191" s="53" t="n">
        <f aca="false">B1191+G1191</f>
        <v>45910</v>
      </c>
      <c r="J1191" s="39" t="str">
        <f aca="false">IF(G1191=0,"Tunai",IF(I1191="","Belum ditukar","Sudah ditukar"))</f>
        <v>Tunai</v>
      </c>
      <c r="K1191" s="54" t="n">
        <v>2252100</v>
      </c>
      <c r="L1191" s="51" t="n">
        <v>45912</v>
      </c>
      <c r="M1191" s="52" t="n">
        <f aca="false">F1191-K1191</f>
        <v>0</v>
      </c>
      <c r="N1191" s="39" t="str">
        <f aca="false">IF(M1191&lt;=0,"Lunas",IF(K1191&gt;0,"Sebagian","Belum Bayar"))</f>
        <v>Lunas</v>
      </c>
      <c r="O1191" s="39" t="n">
        <f aca="false">IF(M1191&gt;0,MAX(0,Catatan!$B$3-H1191),0)</f>
        <v>0</v>
      </c>
      <c r="P1191" s="39" t="str">
        <f aca="false">IF(M1191&lt;=0,"Lunas",IF(Catatan!$B$3&lt;=H1191,"Belum Jatuh Tempo",IF(O1191&lt;=30,"1-30 hari",IF(O1191&lt;=60,"31-60 hari",IF(O1191&lt;=90,"61-90 hari","90+ hari")))))</f>
        <v>Lunas</v>
      </c>
      <c r="Q1191" s="50"/>
      <c r="R1191" s="39" t="str">
        <f aca="false">IF(M1191&lt;=0,"",IF(O1191&gt;60,"1-Tinggi",IF(O1191&gt;30,"2-Sedang",IF(O1191&gt;0,"3-Rendah","4-Pantau"))))</f>
        <v/>
      </c>
      <c r="S1191" s="39" t="str">
        <f aca="false">IF(AND(M1191&gt;0,O1191&gt;0),O1191+M1191/1000000000000+ROW()/1000000000000000,"")</f>
        <v/>
      </c>
      <c r="T1191" s="39" t="str">
        <f aca="false">IF(J1191="Belum ditukar",ROW(),"")</f>
        <v/>
      </c>
    </row>
    <row r="1192" customFormat="false" ht="15" hidden="false" customHeight="false" outlineLevel="0" collapsed="false">
      <c r="A1192" s="50" t="s">
        <v>1480</v>
      </c>
      <c r="B1192" s="51" t="n">
        <v>45910</v>
      </c>
      <c r="C1192" s="50" t="s">
        <v>174</v>
      </c>
      <c r="D1192" s="39" t="str">
        <f aca="false">INDEX(Master_Customer!$B$2:$B$126,MATCH(C1192,Master_Customer!$A$2:$A$126,0))</f>
        <v>SUMBER TEKNIK SURYA</v>
      </c>
      <c r="E1192" s="50" t="s">
        <v>32</v>
      </c>
      <c r="F1192" s="52" t="n">
        <f aca="false">SUMIFS(Data_Penjualan!$G$2:$G$5998,Data_Penjualan!$A$2:$A$5998,A1192)</f>
        <v>8746400</v>
      </c>
      <c r="G1192" s="39" t="n">
        <f aca="false">IF(E1192="KANTOR",0,INDEX(Master_Customer!$C$2:$C$126,MATCH(C1192,Master_Customer!$A$2:$A$126,0)))</f>
        <v>0</v>
      </c>
      <c r="H1192" s="53" t="n">
        <f aca="false">B1192+G1192</f>
        <v>45910</v>
      </c>
      <c r="J1192" s="39" t="str">
        <f aca="false">IF(G1192=0,"Tunai",IF(I1192="","Belum ditukar","Sudah ditukar"))</f>
        <v>Tunai</v>
      </c>
      <c r="K1192" s="54" t="n">
        <v>8746400</v>
      </c>
      <c r="L1192" s="51" t="n">
        <v>45910</v>
      </c>
      <c r="M1192" s="52" t="n">
        <f aca="false">F1192-K1192</f>
        <v>0</v>
      </c>
      <c r="N1192" s="39" t="str">
        <f aca="false">IF(M1192&lt;=0,"Lunas",IF(K1192&gt;0,"Sebagian","Belum Bayar"))</f>
        <v>Lunas</v>
      </c>
      <c r="O1192" s="39" t="n">
        <f aca="false">IF(M1192&gt;0,MAX(0,Catatan!$B$3-H1192),0)</f>
        <v>0</v>
      </c>
      <c r="P1192" s="39" t="str">
        <f aca="false">IF(M1192&lt;=0,"Lunas",IF(Catatan!$B$3&lt;=H1192,"Belum Jatuh Tempo",IF(O1192&lt;=30,"1-30 hari",IF(O1192&lt;=60,"31-60 hari",IF(O1192&lt;=90,"61-90 hari","90+ hari")))))</f>
        <v>Lunas</v>
      </c>
      <c r="Q1192" s="50"/>
      <c r="R1192" s="39" t="str">
        <f aca="false">IF(M1192&lt;=0,"",IF(O1192&gt;60,"1-Tinggi",IF(O1192&gt;30,"2-Sedang",IF(O1192&gt;0,"3-Rendah","4-Pantau"))))</f>
        <v/>
      </c>
      <c r="S1192" s="39" t="str">
        <f aca="false">IF(AND(M1192&gt;0,O1192&gt;0),O1192+M1192/1000000000000+ROW()/1000000000000000,"")</f>
        <v/>
      </c>
      <c r="T1192" s="39" t="str">
        <f aca="false">IF(J1192="Belum ditukar",ROW(),"")</f>
        <v/>
      </c>
    </row>
    <row r="1193" customFormat="false" ht="15" hidden="false" customHeight="false" outlineLevel="0" collapsed="false">
      <c r="A1193" s="50" t="s">
        <v>1481</v>
      </c>
      <c r="B1193" s="51" t="n">
        <v>45910</v>
      </c>
      <c r="C1193" s="50" t="s">
        <v>367</v>
      </c>
      <c r="D1193" s="39" t="str">
        <f aca="false">INDEX(Master_Customer!$B$2:$B$126,MATCH(C1193,Master_Customer!$A$2:$A$126,0))</f>
        <v>JAYA MOBIL SUMBER</v>
      </c>
      <c r="E1193" s="50" t="s">
        <v>28</v>
      </c>
      <c r="F1193" s="52" t="n">
        <f aca="false">SUMIFS(Data_Penjualan!$G$2:$G$5998,Data_Penjualan!$A$2:$A$5998,A1193)</f>
        <v>2001600</v>
      </c>
      <c r="G1193" s="39" t="n">
        <f aca="false">IF(E1193="KANTOR",0,INDEX(Master_Customer!$C$2:$C$126,MATCH(C1193,Master_Customer!$A$2:$A$126,0)))</f>
        <v>0</v>
      </c>
      <c r="H1193" s="53" t="n">
        <f aca="false">B1193+G1193</f>
        <v>45910</v>
      </c>
      <c r="J1193" s="39" t="str">
        <f aca="false">IF(G1193=0,"Tunai",IF(I1193="","Belum ditukar","Sudah ditukar"))</f>
        <v>Tunai</v>
      </c>
      <c r="K1193" s="54" t="n">
        <v>2001600</v>
      </c>
      <c r="L1193" s="51" t="n">
        <v>45910</v>
      </c>
      <c r="M1193" s="52" t="n">
        <f aca="false">F1193-K1193</f>
        <v>0</v>
      </c>
      <c r="N1193" s="39" t="str">
        <f aca="false">IF(M1193&lt;=0,"Lunas",IF(K1193&gt;0,"Sebagian","Belum Bayar"))</f>
        <v>Lunas</v>
      </c>
      <c r="O1193" s="39" t="n">
        <f aca="false">IF(M1193&gt;0,MAX(0,Catatan!$B$3-H1193),0)</f>
        <v>0</v>
      </c>
      <c r="P1193" s="39" t="str">
        <f aca="false">IF(M1193&lt;=0,"Lunas",IF(Catatan!$B$3&lt;=H1193,"Belum Jatuh Tempo",IF(O1193&lt;=30,"1-30 hari",IF(O1193&lt;=60,"31-60 hari",IF(O1193&lt;=90,"61-90 hari","90+ hari")))))</f>
        <v>Lunas</v>
      </c>
      <c r="Q1193" s="50"/>
      <c r="R1193" s="39" t="str">
        <f aca="false">IF(M1193&lt;=0,"",IF(O1193&gt;60,"1-Tinggi",IF(O1193&gt;30,"2-Sedang",IF(O1193&gt;0,"3-Rendah","4-Pantau"))))</f>
        <v/>
      </c>
      <c r="S1193" s="39" t="str">
        <f aca="false">IF(AND(M1193&gt;0,O1193&gt;0),O1193+M1193/1000000000000+ROW()/1000000000000000,"")</f>
        <v/>
      </c>
      <c r="T1193" s="39" t="str">
        <f aca="false">IF(J1193="Belum ditukar",ROW(),"")</f>
        <v/>
      </c>
    </row>
    <row r="1194" customFormat="false" ht="15" hidden="false" customHeight="false" outlineLevel="0" collapsed="false">
      <c r="A1194" s="50" t="s">
        <v>1482</v>
      </c>
      <c r="B1194" s="51" t="n">
        <v>45910</v>
      </c>
      <c r="C1194" s="50" t="s">
        <v>211</v>
      </c>
      <c r="D1194" s="39" t="str">
        <f aca="false">INDEX(Master_Customer!$B$2:$B$126,MATCH(C1194,Master_Customer!$A$2:$A$126,0))</f>
        <v>PRIMA MOBIL</v>
      </c>
      <c r="E1194" s="50" t="s">
        <v>30</v>
      </c>
      <c r="F1194" s="52" t="n">
        <f aca="false">SUMIFS(Data_Penjualan!$G$2:$G$5998,Data_Penjualan!$A$2:$A$5998,A1194)</f>
        <v>5021100</v>
      </c>
      <c r="G1194" s="39" t="n">
        <f aca="false">IF(E1194="KANTOR",0,INDEX(Master_Customer!$C$2:$C$126,MATCH(C1194,Master_Customer!$A$2:$A$126,0)))</f>
        <v>0</v>
      </c>
      <c r="H1194" s="53" t="n">
        <f aca="false">B1194+G1194</f>
        <v>45910</v>
      </c>
      <c r="J1194" s="39" t="str">
        <f aca="false">IF(G1194=0,"Tunai",IF(I1194="","Belum ditukar","Sudah ditukar"))</f>
        <v>Tunai</v>
      </c>
      <c r="K1194" s="54" t="n">
        <v>5021100</v>
      </c>
      <c r="L1194" s="51" t="n">
        <v>45910</v>
      </c>
      <c r="M1194" s="52" t="n">
        <f aca="false">F1194-K1194</f>
        <v>0</v>
      </c>
      <c r="N1194" s="39" t="str">
        <f aca="false">IF(M1194&lt;=0,"Lunas",IF(K1194&gt;0,"Sebagian","Belum Bayar"))</f>
        <v>Lunas</v>
      </c>
      <c r="O1194" s="39" t="n">
        <f aca="false">IF(M1194&gt;0,MAX(0,Catatan!$B$3-H1194),0)</f>
        <v>0</v>
      </c>
      <c r="P1194" s="39" t="str">
        <f aca="false">IF(M1194&lt;=0,"Lunas",IF(Catatan!$B$3&lt;=H1194,"Belum Jatuh Tempo",IF(O1194&lt;=30,"1-30 hari",IF(O1194&lt;=60,"31-60 hari",IF(O1194&lt;=90,"61-90 hari","90+ hari")))))</f>
        <v>Lunas</v>
      </c>
      <c r="Q1194" s="50"/>
      <c r="R1194" s="39" t="str">
        <f aca="false">IF(M1194&lt;=0,"",IF(O1194&gt;60,"1-Tinggi",IF(O1194&gt;30,"2-Sedang",IF(O1194&gt;0,"3-Rendah","4-Pantau"))))</f>
        <v/>
      </c>
      <c r="S1194" s="39" t="str">
        <f aca="false">IF(AND(M1194&gt;0,O1194&gt;0),O1194+M1194/1000000000000+ROW()/1000000000000000,"")</f>
        <v/>
      </c>
      <c r="T1194" s="39" t="str">
        <f aca="false">IF(J1194="Belum ditukar",ROW(),"")</f>
        <v/>
      </c>
    </row>
    <row r="1195" customFormat="false" ht="15" hidden="false" customHeight="false" outlineLevel="0" collapsed="false">
      <c r="A1195" s="50" t="s">
        <v>1483</v>
      </c>
      <c r="B1195" s="51" t="n">
        <v>45911</v>
      </c>
      <c r="C1195" s="50" t="s">
        <v>838</v>
      </c>
      <c r="D1195" s="39" t="str">
        <f aca="false">INDEX(Master_Customer!$B$2:$B$126,MATCH(C1195,Master_Customer!$A$2:$A$126,0))</f>
        <v>HARAPAN AUTO</v>
      </c>
      <c r="E1195" s="50" t="s">
        <v>32</v>
      </c>
      <c r="F1195" s="52" t="n">
        <f aca="false">SUMIFS(Data_Penjualan!$G$2:$G$5998,Data_Penjualan!$A$2:$A$5998,A1195)</f>
        <v>16878400</v>
      </c>
      <c r="G1195" s="39" t="n">
        <f aca="false">IF(E1195="KANTOR",0,INDEX(Master_Customer!$C$2:$C$126,MATCH(C1195,Master_Customer!$A$2:$A$126,0)))</f>
        <v>0</v>
      </c>
      <c r="H1195" s="53" t="n">
        <f aca="false">B1195+G1195</f>
        <v>45911</v>
      </c>
      <c r="J1195" s="39" t="str">
        <f aca="false">IF(G1195=0,"Tunai",IF(I1195="","Belum ditukar","Sudah ditukar"))</f>
        <v>Tunai</v>
      </c>
      <c r="K1195" s="54" t="n">
        <v>16878400</v>
      </c>
      <c r="L1195" s="51" t="n">
        <v>45911</v>
      </c>
      <c r="M1195" s="52" t="n">
        <f aca="false">F1195-K1195</f>
        <v>0</v>
      </c>
      <c r="N1195" s="39" t="str">
        <f aca="false">IF(M1195&lt;=0,"Lunas",IF(K1195&gt;0,"Sebagian","Belum Bayar"))</f>
        <v>Lunas</v>
      </c>
      <c r="O1195" s="39" t="n">
        <f aca="false">IF(M1195&gt;0,MAX(0,Catatan!$B$3-H1195),0)</f>
        <v>0</v>
      </c>
      <c r="P1195" s="39" t="str">
        <f aca="false">IF(M1195&lt;=0,"Lunas",IF(Catatan!$B$3&lt;=H1195,"Belum Jatuh Tempo",IF(O1195&lt;=30,"1-30 hari",IF(O1195&lt;=60,"31-60 hari",IF(O1195&lt;=90,"61-90 hari","90+ hari")))))</f>
        <v>Lunas</v>
      </c>
      <c r="Q1195" s="50"/>
      <c r="R1195" s="39" t="str">
        <f aca="false">IF(M1195&lt;=0,"",IF(O1195&gt;60,"1-Tinggi",IF(O1195&gt;30,"2-Sedang",IF(O1195&gt;0,"3-Rendah","4-Pantau"))))</f>
        <v/>
      </c>
      <c r="S1195" s="39" t="str">
        <f aca="false">IF(AND(M1195&gt;0,O1195&gt;0),O1195+M1195/1000000000000+ROW()/1000000000000000,"")</f>
        <v/>
      </c>
      <c r="T1195" s="39" t="str">
        <f aca="false">IF(J1195="Belum ditukar",ROW(),"")</f>
        <v/>
      </c>
    </row>
    <row r="1196" customFormat="false" ht="15" hidden="false" customHeight="false" outlineLevel="0" collapsed="false">
      <c r="A1196" s="50" t="s">
        <v>1484</v>
      </c>
      <c r="B1196" s="51" t="n">
        <v>45911</v>
      </c>
      <c r="C1196" s="50" t="s">
        <v>571</v>
      </c>
      <c r="D1196" s="39" t="str">
        <f aca="false">INDEX(Master_Customer!$B$2:$B$126,MATCH(C1196,Master_Customer!$A$2:$A$126,0))</f>
        <v>HARAPAN OLI TIRTA</v>
      </c>
      <c r="E1196" s="50" t="s">
        <v>28</v>
      </c>
      <c r="F1196" s="52" t="n">
        <f aca="false">SUMIFS(Data_Penjualan!$G$2:$G$5998,Data_Penjualan!$A$2:$A$5998,A1196)</f>
        <v>5312900</v>
      </c>
      <c r="G1196" s="39" t="n">
        <f aca="false">IF(E1196="KANTOR",0,INDEX(Master_Customer!$C$2:$C$126,MATCH(C1196,Master_Customer!$A$2:$A$126,0)))</f>
        <v>14</v>
      </c>
      <c r="H1196" s="53" t="n">
        <f aca="false">B1196+G1196</f>
        <v>45925</v>
      </c>
      <c r="I1196" s="51" t="n">
        <v>45914</v>
      </c>
      <c r="J1196" s="39" t="str">
        <f aca="false">IF(G1196=0,"Tunai",IF(I1196="","Belum ditukar","Sudah ditukar"))</f>
        <v>Sudah ditukar</v>
      </c>
      <c r="K1196" s="54" t="n">
        <v>5312900</v>
      </c>
      <c r="L1196" s="51" t="n">
        <v>45926</v>
      </c>
      <c r="M1196" s="52" t="n">
        <f aca="false">F1196-K1196</f>
        <v>0</v>
      </c>
      <c r="N1196" s="39" t="str">
        <f aca="false">IF(M1196&lt;=0,"Lunas",IF(K1196&gt;0,"Sebagian","Belum Bayar"))</f>
        <v>Lunas</v>
      </c>
      <c r="O1196" s="39" t="n">
        <f aca="false">IF(M1196&gt;0,MAX(0,Catatan!$B$3-H1196),0)</f>
        <v>0</v>
      </c>
      <c r="P1196" s="39" t="str">
        <f aca="false">IF(M1196&lt;=0,"Lunas",IF(Catatan!$B$3&lt;=H1196,"Belum Jatuh Tempo",IF(O1196&lt;=30,"1-30 hari",IF(O1196&lt;=60,"31-60 hari",IF(O1196&lt;=90,"61-90 hari","90+ hari")))))</f>
        <v>Lunas</v>
      </c>
      <c r="Q1196" s="50"/>
      <c r="R1196" s="39" t="str">
        <f aca="false">IF(M1196&lt;=0,"",IF(O1196&gt;60,"1-Tinggi",IF(O1196&gt;30,"2-Sedang",IF(O1196&gt;0,"3-Rendah","4-Pantau"))))</f>
        <v/>
      </c>
      <c r="S1196" s="39" t="str">
        <f aca="false">IF(AND(M1196&gt;0,O1196&gt;0),O1196+M1196/1000000000000+ROW()/1000000000000000,"")</f>
        <v/>
      </c>
      <c r="T1196" s="39" t="str">
        <f aca="false">IF(J1196="Belum ditukar",ROW(),"")</f>
        <v/>
      </c>
    </row>
    <row r="1197" customFormat="false" ht="15" hidden="false" customHeight="false" outlineLevel="0" collapsed="false">
      <c r="A1197" s="50" t="s">
        <v>1485</v>
      </c>
      <c r="B1197" s="51" t="n">
        <v>45911</v>
      </c>
      <c r="C1197" s="50" t="s">
        <v>376</v>
      </c>
      <c r="D1197" s="39" t="str">
        <f aca="false">INDEX(Master_Customer!$B$2:$B$126,MATCH(C1197,Master_Customer!$A$2:$A$126,0))</f>
        <v>JAYA SPAREPART</v>
      </c>
      <c r="E1197" s="50" t="s">
        <v>28</v>
      </c>
      <c r="F1197" s="52" t="n">
        <f aca="false">SUMIFS(Data_Penjualan!$G$2:$G$5998,Data_Penjualan!$A$2:$A$5998,A1197)</f>
        <v>8337100</v>
      </c>
      <c r="G1197" s="39" t="n">
        <f aca="false">IF(E1197="KANTOR",0,INDEX(Master_Customer!$C$2:$C$126,MATCH(C1197,Master_Customer!$A$2:$A$126,0)))</f>
        <v>30</v>
      </c>
      <c r="H1197" s="53" t="n">
        <f aca="false">B1197+G1197</f>
        <v>45941</v>
      </c>
      <c r="I1197" s="51" t="n">
        <v>45915</v>
      </c>
      <c r="J1197" s="39" t="str">
        <f aca="false">IF(G1197=0,"Tunai",IF(I1197="","Belum ditukar","Sudah ditukar"))</f>
        <v>Sudah ditukar</v>
      </c>
      <c r="K1197" s="54" t="n">
        <v>8337100</v>
      </c>
      <c r="L1197" s="51" t="n">
        <v>45951</v>
      </c>
      <c r="M1197" s="52" t="n">
        <f aca="false">F1197-K1197</f>
        <v>0</v>
      </c>
      <c r="N1197" s="39" t="str">
        <f aca="false">IF(M1197&lt;=0,"Lunas",IF(K1197&gt;0,"Sebagian","Belum Bayar"))</f>
        <v>Lunas</v>
      </c>
      <c r="O1197" s="39" t="n">
        <f aca="false">IF(M1197&gt;0,MAX(0,Catatan!$B$3-H1197),0)</f>
        <v>0</v>
      </c>
      <c r="P1197" s="39" t="str">
        <f aca="false">IF(M1197&lt;=0,"Lunas",IF(Catatan!$B$3&lt;=H1197,"Belum Jatuh Tempo",IF(O1197&lt;=30,"1-30 hari",IF(O1197&lt;=60,"31-60 hari",IF(O1197&lt;=90,"61-90 hari","90+ hari")))))</f>
        <v>Lunas</v>
      </c>
      <c r="Q1197" s="50"/>
      <c r="R1197" s="39" t="str">
        <f aca="false">IF(M1197&lt;=0,"",IF(O1197&gt;60,"1-Tinggi",IF(O1197&gt;30,"2-Sedang",IF(O1197&gt;0,"3-Rendah","4-Pantau"))))</f>
        <v/>
      </c>
      <c r="S1197" s="39" t="str">
        <f aca="false">IF(AND(M1197&gt;0,O1197&gt;0),O1197+M1197/1000000000000+ROW()/1000000000000000,"")</f>
        <v/>
      </c>
      <c r="T1197" s="39" t="str">
        <f aca="false">IF(J1197="Belum ditukar",ROW(),"")</f>
        <v/>
      </c>
    </row>
    <row r="1198" customFormat="false" ht="15" hidden="false" customHeight="false" outlineLevel="0" collapsed="false">
      <c r="A1198" s="50" t="s">
        <v>1486</v>
      </c>
      <c r="B1198" s="51" t="n">
        <v>45911</v>
      </c>
      <c r="C1198" s="50" t="s">
        <v>1487</v>
      </c>
      <c r="D1198" s="39" t="str">
        <f aca="false">INDEX(Master_Customer!$B$2:$B$126,MATCH(C1198,Master_Customer!$A$2:$A$126,0))</f>
        <v>PRIMA SERVICE</v>
      </c>
      <c r="E1198" s="50" t="s">
        <v>30</v>
      </c>
      <c r="F1198" s="52" t="n">
        <f aca="false">SUMIFS(Data_Penjualan!$G$2:$G$5998,Data_Penjualan!$A$2:$A$5998,A1198)</f>
        <v>23321700</v>
      </c>
      <c r="G1198" s="39" t="n">
        <f aca="false">IF(E1198="KANTOR",0,INDEX(Master_Customer!$C$2:$C$126,MATCH(C1198,Master_Customer!$A$2:$A$126,0)))</f>
        <v>0</v>
      </c>
      <c r="H1198" s="53" t="n">
        <f aca="false">B1198+G1198</f>
        <v>45911</v>
      </c>
      <c r="J1198" s="39" t="str">
        <f aca="false">IF(G1198=0,"Tunai",IF(I1198="","Belum ditukar","Sudah ditukar"))</f>
        <v>Tunai</v>
      </c>
      <c r="K1198" s="54" t="n">
        <v>23321700</v>
      </c>
      <c r="L1198" s="51" t="n">
        <v>45911</v>
      </c>
      <c r="M1198" s="52" t="n">
        <f aca="false">F1198-K1198</f>
        <v>0</v>
      </c>
      <c r="N1198" s="39" t="str">
        <f aca="false">IF(M1198&lt;=0,"Lunas",IF(K1198&gt;0,"Sebagian","Belum Bayar"))</f>
        <v>Lunas</v>
      </c>
      <c r="O1198" s="39" t="n">
        <f aca="false">IF(M1198&gt;0,MAX(0,Catatan!$B$3-H1198),0)</f>
        <v>0</v>
      </c>
      <c r="P1198" s="39" t="str">
        <f aca="false">IF(M1198&lt;=0,"Lunas",IF(Catatan!$B$3&lt;=H1198,"Belum Jatuh Tempo",IF(O1198&lt;=30,"1-30 hari",IF(O1198&lt;=60,"31-60 hari",IF(O1198&lt;=90,"61-90 hari","90+ hari")))))</f>
        <v>Lunas</v>
      </c>
      <c r="Q1198" s="50"/>
      <c r="R1198" s="39" t="str">
        <f aca="false">IF(M1198&lt;=0,"",IF(O1198&gt;60,"1-Tinggi",IF(O1198&gt;30,"2-Sedang",IF(O1198&gt;0,"3-Rendah","4-Pantau"))))</f>
        <v/>
      </c>
      <c r="S1198" s="39" t="str">
        <f aca="false">IF(AND(M1198&gt;0,O1198&gt;0),O1198+M1198/1000000000000+ROW()/1000000000000000,"")</f>
        <v/>
      </c>
      <c r="T1198" s="39" t="str">
        <f aca="false">IF(J1198="Belum ditukar",ROW(),"")</f>
        <v/>
      </c>
    </row>
    <row r="1199" customFormat="false" ht="15" hidden="false" customHeight="false" outlineLevel="0" collapsed="false">
      <c r="A1199" s="50" t="s">
        <v>1488</v>
      </c>
      <c r="B1199" s="51" t="n">
        <v>45912</v>
      </c>
      <c r="C1199" s="50" t="s">
        <v>207</v>
      </c>
      <c r="D1199" s="39" t="str">
        <f aca="false">INDEX(Master_Customer!$B$2:$B$126,MATCH(C1199,Master_Customer!$A$2:$A$126,0))</f>
        <v>MAKMUR AUTO HARAPAN</v>
      </c>
      <c r="E1199" s="50" t="s">
        <v>29</v>
      </c>
      <c r="F1199" s="52" t="n">
        <f aca="false">SUMIFS(Data_Penjualan!$G$2:$G$5998,Data_Penjualan!$A$2:$A$5998,A1199)</f>
        <v>8868600</v>
      </c>
      <c r="G1199" s="39" t="n">
        <f aca="false">IF(E1199="KANTOR",0,INDEX(Master_Customer!$C$2:$C$126,MATCH(C1199,Master_Customer!$A$2:$A$126,0)))</f>
        <v>30</v>
      </c>
      <c r="H1199" s="53" t="n">
        <f aca="false">B1199+G1199</f>
        <v>45942</v>
      </c>
      <c r="I1199" s="51" t="n">
        <v>45914</v>
      </c>
      <c r="J1199" s="39" t="str">
        <f aca="false">IF(G1199=0,"Tunai",IF(I1199="","Belum ditukar","Sudah ditukar"))</f>
        <v>Sudah ditukar</v>
      </c>
      <c r="K1199" s="54" t="n">
        <v>8868600</v>
      </c>
      <c r="L1199" s="51" t="n">
        <v>45962</v>
      </c>
      <c r="M1199" s="52" t="n">
        <f aca="false">F1199-K1199</f>
        <v>0</v>
      </c>
      <c r="N1199" s="39" t="str">
        <f aca="false">IF(M1199&lt;=0,"Lunas",IF(K1199&gt;0,"Sebagian","Belum Bayar"))</f>
        <v>Lunas</v>
      </c>
      <c r="O1199" s="39" t="n">
        <f aca="false">IF(M1199&gt;0,MAX(0,Catatan!$B$3-H1199),0)</f>
        <v>0</v>
      </c>
      <c r="P1199" s="39" t="str">
        <f aca="false">IF(M1199&lt;=0,"Lunas",IF(Catatan!$B$3&lt;=H1199,"Belum Jatuh Tempo",IF(O1199&lt;=30,"1-30 hari",IF(O1199&lt;=60,"31-60 hari",IF(O1199&lt;=90,"61-90 hari","90+ hari")))))</f>
        <v>Lunas</v>
      </c>
      <c r="Q1199" s="50"/>
      <c r="R1199" s="39" t="str">
        <f aca="false">IF(M1199&lt;=0,"",IF(O1199&gt;60,"1-Tinggi",IF(O1199&gt;30,"2-Sedang",IF(O1199&gt;0,"3-Rendah","4-Pantau"))))</f>
        <v/>
      </c>
      <c r="S1199" s="39" t="str">
        <f aca="false">IF(AND(M1199&gt;0,O1199&gt;0),O1199+M1199/1000000000000+ROW()/1000000000000000,"")</f>
        <v/>
      </c>
      <c r="T1199" s="39" t="str">
        <f aca="false">IF(J1199="Belum ditukar",ROW(),"")</f>
        <v/>
      </c>
    </row>
    <row r="1200" customFormat="false" ht="15" hidden="false" customHeight="false" outlineLevel="0" collapsed="false">
      <c r="A1200" s="50" t="s">
        <v>1489</v>
      </c>
      <c r="B1200" s="51" t="n">
        <v>45912</v>
      </c>
      <c r="C1200" s="50" t="s">
        <v>205</v>
      </c>
      <c r="D1200" s="39" t="str">
        <f aca="false">INDEX(Master_Customer!$B$2:$B$126,MATCH(C1200,Master_Customer!$A$2:$A$126,0))</f>
        <v>BERKAH OLI</v>
      </c>
      <c r="E1200" s="50" t="s">
        <v>28</v>
      </c>
      <c r="F1200" s="52" t="n">
        <f aca="false">SUMIFS(Data_Penjualan!$G$2:$G$5998,Data_Penjualan!$A$2:$A$5998,A1200)</f>
        <v>9729800</v>
      </c>
      <c r="G1200" s="39" t="n">
        <f aca="false">IF(E1200="KANTOR",0,INDEX(Master_Customer!$C$2:$C$126,MATCH(C1200,Master_Customer!$A$2:$A$126,0)))</f>
        <v>0</v>
      </c>
      <c r="H1200" s="53" t="n">
        <f aca="false">B1200+G1200</f>
        <v>45912</v>
      </c>
      <c r="J1200" s="39" t="str">
        <f aca="false">IF(G1200=0,"Tunai",IF(I1200="","Belum ditukar","Sudah ditukar"))</f>
        <v>Tunai</v>
      </c>
      <c r="K1200" s="54" t="n">
        <v>9729800</v>
      </c>
      <c r="L1200" s="51" t="n">
        <v>45913</v>
      </c>
      <c r="M1200" s="52" t="n">
        <f aca="false">F1200-K1200</f>
        <v>0</v>
      </c>
      <c r="N1200" s="39" t="str">
        <f aca="false">IF(M1200&lt;=0,"Lunas",IF(K1200&gt;0,"Sebagian","Belum Bayar"))</f>
        <v>Lunas</v>
      </c>
      <c r="O1200" s="39" t="n">
        <f aca="false">IF(M1200&gt;0,MAX(0,Catatan!$B$3-H1200),0)</f>
        <v>0</v>
      </c>
      <c r="P1200" s="39" t="str">
        <f aca="false">IF(M1200&lt;=0,"Lunas",IF(Catatan!$B$3&lt;=H1200,"Belum Jatuh Tempo",IF(O1200&lt;=30,"1-30 hari",IF(O1200&lt;=60,"31-60 hari",IF(O1200&lt;=90,"61-90 hari","90+ hari")))))</f>
        <v>Lunas</v>
      </c>
      <c r="Q1200" s="50"/>
      <c r="R1200" s="39" t="str">
        <f aca="false">IF(M1200&lt;=0,"",IF(O1200&gt;60,"1-Tinggi",IF(O1200&gt;30,"2-Sedang",IF(O1200&gt;0,"3-Rendah","4-Pantau"))))</f>
        <v/>
      </c>
      <c r="S1200" s="39" t="str">
        <f aca="false">IF(AND(M1200&gt;0,O1200&gt;0),O1200+M1200/1000000000000+ROW()/1000000000000000,"")</f>
        <v/>
      </c>
      <c r="T1200" s="39" t="str">
        <f aca="false">IF(J1200="Belum ditukar",ROW(),"")</f>
        <v/>
      </c>
    </row>
    <row r="1201" customFormat="false" ht="15" hidden="false" customHeight="false" outlineLevel="0" collapsed="false">
      <c r="A1201" s="50" t="s">
        <v>1490</v>
      </c>
      <c r="B1201" s="51" t="n">
        <v>45912</v>
      </c>
      <c r="C1201" s="50" t="s">
        <v>174</v>
      </c>
      <c r="D1201" s="39" t="str">
        <f aca="false">INDEX(Master_Customer!$B$2:$B$126,MATCH(C1201,Master_Customer!$A$2:$A$126,0))</f>
        <v>SUMBER TEKNIK SURYA</v>
      </c>
      <c r="E1201" s="50" t="s">
        <v>31</v>
      </c>
      <c r="F1201" s="52" t="n">
        <f aca="false">SUMIFS(Data_Penjualan!$G$2:$G$5998,Data_Penjualan!$A$2:$A$5998,A1201)</f>
        <v>9563500</v>
      </c>
      <c r="G1201" s="39" t="n">
        <f aca="false">IF(E1201="KANTOR",0,INDEX(Master_Customer!$C$2:$C$126,MATCH(C1201,Master_Customer!$A$2:$A$126,0)))</f>
        <v>30</v>
      </c>
      <c r="H1201" s="53" t="n">
        <f aca="false">B1201+G1201</f>
        <v>45942</v>
      </c>
      <c r="I1201" s="51" t="n">
        <v>45915</v>
      </c>
      <c r="J1201" s="39" t="str">
        <f aca="false">IF(G1201=0,"Tunai",IF(I1201="","Belum ditukar","Sudah ditukar"))</f>
        <v>Sudah ditukar</v>
      </c>
      <c r="K1201" s="54" t="n">
        <v>9563500</v>
      </c>
      <c r="L1201" s="51" t="n">
        <v>45943</v>
      </c>
      <c r="M1201" s="52" t="n">
        <f aca="false">F1201-K1201</f>
        <v>0</v>
      </c>
      <c r="N1201" s="39" t="str">
        <f aca="false">IF(M1201&lt;=0,"Lunas",IF(K1201&gt;0,"Sebagian","Belum Bayar"))</f>
        <v>Lunas</v>
      </c>
      <c r="O1201" s="39" t="n">
        <f aca="false">IF(M1201&gt;0,MAX(0,Catatan!$B$3-H1201),0)</f>
        <v>0</v>
      </c>
      <c r="P1201" s="39" t="str">
        <f aca="false">IF(M1201&lt;=0,"Lunas",IF(Catatan!$B$3&lt;=H1201,"Belum Jatuh Tempo",IF(O1201&lt;=30,"1-30 hari",IF(O1201&lt;=60,"31-60 hari",IF(O1201&lt;=90,"61-90 hari","90+ hari")))))</f>
        <v>Lunas</v>
      </c>
      <c r="Q1201" s="50"/>
      <c r="R1201" s="39" t="str">
        <f aca="false">IF(M1201&lt;=0,"",IF(O1201&gt;60,"1-Tinggi",IF(O1201&gt;30,"2-Sedang",IF(O1201&gt;0,"3-Rendah","4-Pantau"))))</f>
        <v/>
      </c>
      <c r="S1201" s="39" t="str">
        <f aca="false">IF(AND(M1201&gt;0,O1201&gt;0),O1201+M1201/1000000000000+ROW()/1000000000000000,"")</f>
        <v/>
      </c>
      <c r="T1201" s="39" t="str">
        <f aca="false">IF(J1201="Belum ditukar",ROW(),"")</f>
        <v/>
      </c>
    </row>
    <row r="1202" customFormat="false" ht="15" hidden="false" customHeight="false" outlineLevel="0" collapsed="false">
      <c r="A1202" s="50" t="s">
        <v>1491</v>
      </c>
      <c r="B1202" s="51" t="n">
        <v>45912</v>
      </c>
      <c r="C1202" s="50" t="s">
        <v>174</v>
      </c>
      <c r="D1202" s="39" t="str">
        <f aca="false">INDEX(Master_Customer!$B$2:$B$126,MATCH(C1202,Master_Customer!$A$2:$A$126,0))</f>
        <v>SUMBER TEKNIK SURYA</v>
      </c>
      <c r="E1202" s="50" t="s">
        <v>31</v>
      </c>
      <c r="F1202" s="52" t="n">
        <f aca="false">SUMIFS(Data_Penjualan!$G$2:$G$5998,Data_Penjualan!$A$2:$A$5998,A1202)</f>
        <v>13692500</v>
      </c>
      <c r="G1202" s="39" t="n">
        <f aca="false">IF(E1202="KANTOR",0,INDEX(Master_Customer!$C$2:$C$126,MATCH(C1202,Master_Customer!$A$2:$A$126,0)))</f>
        <v>30</v>
      </c>
      <c r="H1202" s="53" t="n">
        <f aca="false">B1202+G1202</f>
        <v>45942</v>
      </c>
      <c r="I1202" s="51" t="n">
        <v>45913</v>
      </c>
      <c r="J1202" s="39" t="str">
        <f aca="false">IF(G1202=0,"Tunai",IF(I1202="","Belum ditukar","Sudah ditukar"))</f>
        <v>Sudah ditukar</v>
      </c>
      <c r="K1202" s="54" t="n">
        <v>13692500</v>
      </c>
      <c r="L1202" s="51" t="n">
        <v>45943</v>
      </c>
      <c r="M1202" s="52" t="n">
        <f aca="false">F1202-K1202</f>
        <v>0</v>
      </c>
      <c r="N1202" s="39" t="str">
        <f aca="false">IF(M1202&lt;=0,"Lunas",IF(K1202&gt;0,"Sebagian","Belum Bayar"))</f>
        <v>Lunas</v>
      </c>
      <c r="O1202" s="39" t="n">
        <f aca="false">IF(M1202&gt;0,MAX(0,Catatan!$B$3-H1202),0)</f>
        <v>0</v>
      </c>
      <c r="P1202" s="39" t="str">
        <f aca="false">IF(M1202&lt;=0,"Lunas",IF(Catatan!$B$3&lt;=H1202,"Belum Jatuh Tempo",IF(O1202&lt;=30,"1-30 hari",IF(O1202&lt;=60,"31-60 hari",IF(O1202&lt;=90,"61-90 hari","90+ hari")))))</f>
        <v>Lunas</v>
      </c>
      <c r="Q1202" s="50"/>
      <c r="R1202" s="39" t="str">
        <f aca="false">IF(M1202&lt;=0,"",IF(O1202&gt;60,"1-Tinggi",IF(O1202&gt;30,"2-Sedang",IF(O1202&gt;0,"3-Rendah","4-Pantau"))))</f>
        <v/>
      </c>
      <c r="S1202" s="39" t="str">
        <f aca="false">IF(AND(M1202&gt;0,O1202&gt;0),O1202+M1202/1000000000000+ROW()/1000000000000000,"")</f>
        <v/>
      </c>
      <c r="T1202" s="39" t="str">
        <f aca="false">IF(J1202="Belum ditukar",ROW(),"")</f>
        <v/>
      </c>
    </row>
    <row r="1203" customFormat="false" ht="15" hidden="false" customHeight="false" outlineLevel="0" collapsed="false">
      <c r="A1203" s="50" t="s">
        <v>144</v>
      </c>
      <c r="B1203" s="51" t="n">
        <v>45913</v>
      </c>
      <c r="C1203" s="50" t="s">
        <v>315</v>
      </c>
      <c r="D1203" s="39" t="str">
        <f aca="false">INDEX(Master_Customer!$B$2:$B$126,MATCH(C1203,Master_Customer!$A$2:$A$126,0))</f>
        <v>CAHAYA SERVICE</v>
      </c>
      <c r="E1203" s="50" t="s">
        <v>31</v>
      </c>
      <c r="F1203" s="52" t="n">
        <f aca="false">SUMIFS(Data_Penjualan!$G$2:$G$5998,Data_Penjualan!$A$2:$A$5998,A1203)</f>
        <v>5619600</v>
      </c>
      <c r="G1203" s="39" t="n">
        <f aca="false">IF(E1203="KANTOR",0,INDEX(Master_Customer!$C$2:$C$126,MATCH(C1203,Master_Customer!$A$2:$A$126,0)))</f>
        <v>30</v>
      </c>
      <c r="H1203" s="53" t="n">
        <f aca="false">B1203+G1203</f>
        <v>45943</v>
      </c>
      <c r="I1203" s="51" t="n">
        <v>45916</v>
      </c>
      <c r="J1203" s="39" t="str">
        <f aca="false">IF(G1203=0,"Tunai",IF(I1203="","Belum ditukar","Sudah ditukar"))</f>
        <v>Sudah ditukar</v>
      </c>
      <c r="K1203" s="54" t="n">
        <v>2529600</v>
      </c>
      <c r="L1203" s="51" t="n">
        <v>45942</v>
      </c>
      <c r="M1203" s="52" t="n">
        <f aca="false">F1203-K1203</f>
        <v>3090000</v>
      </c>
      <c r="N1203" s="39" t="str">
        <f aca="false">IF(M1203&lt;=0,"Lunas",IF(K1203&gt;0,"Sebagian","Belum Bayar"))</f>
        <v>Sebagian</v>
      </c>
      <c r="O1203" s="39" t="n">
        <f aca="false">IF(M1203&gt;0,MAX(0,Catatan!$B$3-H1203),0)</f>
        <v>79</v>
      </c>
      <c r="P1203" s="39" t="str">
        <f aca="false">IF(M1203&lt;=0,"Lunas",IF(Catatan!$B$3&lt;=H1203,"Belum Jatuh Tempo",IF(O1203&lt;=30,"1-30 hari",IF(O1203&lt;=60,"31-60 hari",IF(O1203&lt;=90,"61-90 hari","90+ hari")))))</f>
        <v>61-90 hari</v>
      </c>
      <c r="Q1203" s="50" t="s">
        <v>712</v>
      </c>
      <c r="R1203" s="39" t="str">
        <f aca="false">IF(M1203&lt;=0,"",IF(O1203&gt;60,"1-Tinggi",IF(O1203&gt;30,"2-Sedang",IF(O1203&gt;0,"3-Rendah","4-Pantau"))))</f>
        <v>1-Tinggi</v>
      </c>
      <c r="S1203" s="39" t="n">
        <f aca="false">IF(AND(M1203&gt;0,O1203&gt;0),O1203+M1203/1000000000000+ROW()/1000000000000000,"")</f>
        <v>79.0000030900012</v>
      </c>
      <c r="T1203" s="39" t="str">
        <f aca="false">IF(J1203="Belum ditukar",ROW(),"")</f>
        <v/>
      </c>
    </row>
    <row r="1204" customFormat="false" ht="15" hidden="false" customHeight="false" outlineLevel="0" collapsed="false">
      <c r="A1204" s="50" t="s">
        <v>1492</v>
      </c>
      <c r="B1204" s="51" t="n">
        <v>45913</v>
      </c>
      <c r="C1204" s="50" t="s">
        <v>562</v>
      </c>
      <c r="D1204" s="39" t="str">
        <f aca="false">INDEX(Master_Customer!$B$2:$B$126,MATCH(C1204,Master_Customer!$A$2:$A$126,0))</f>
        <v>BERKAH SERVICE SENTOSA</v>
      </c>
      <c r="E1204" s="50" t="s">
        <v>28</v>
      </c>
      <c r="F1204" s="52" t="n">
        <f aca="false">SUMIFS(Data_Penjualan!$G$2:$G$5998,Data_Penjualan!$A$2:$A$5998,A1204)</f>
        <v>17681800</v>
      </c>
      <c r="G1204" s="39" t="n">
        <f aca="false">IF(E1204="KANTOR",0,INDEX(Master_Customer!$C$2:$C$126,MATCH(C1204,Master_Customer!$A$2:$A$126,0)))</f>
        <v>14</v>
      </c>
      <c r="H1204" s="53" t="n">
        <f aca="false">B1204+G1204</f>
        <v>45927</v>
      </c>
      <c r="I1204" s="51" t="n">
        <v>45916</v>
      </c>
      <c r="J1204" s="39" t="str">
        <f aca="false">IF(G1204=0,"Tunai",IF(I1204="","Belum ditukar","Sudah ditukar"))</f>
        <v>Sudah ditukar</v>
      </c>
      <c r="K1204" s="54" t="n">
        <v>17681800</v>
      </c>
      <c r="L1204" s="51" t="n">
        <v>45925</v>
      </c>
      <c r="M1204" s="52" t="n">
        <f aca="false">F1204-K1204</f>
        <v>0</v>
      </c>
      <c r="N1204" s="39" t="str">
        <f aca="false">IF(M1204&lt;=0,"Lunas",IF(K1204&gt;0,"Sebagian","Belum Bayar"))</f>
        <v>Lunas</v>
      </c>
      <c r="O1204" s="39" t="n">
        <f aca="false">IF(M1204&gt;0,MAX(0,Catatan!$B$3-H1204),0)</f>
        <v>0</v>
      </c>
      <c r="P1204" s="39" t="str">
        <f aca="false">IF(M1204&lt;=0,"Lunas",IF(Catatan!$B$3&lt;=H1204,"Belum Jatuh Tempo",IF(O1204&lt;=30,"1-30 hari",IF(O1204&lt;=60,"31-60 hari",IF(O1204&lt;=90,"61-90 hari","90+ hari")))))</f>
        <v>Lunas</v>
      </c>
      <c r="Q1204" s="50"/>
      <c r="R1204" s="39" t="str">
        <f aca="false">IF(M1204&lt;=0,"",IF(O1204&gt;60,"1-Tinggi",IF(O1204&gt;30,"2-Sedang",IF(O1204&gt;0,"3-Rendah","4-Pantau"))))</f>
        <v/>
      </c>
      <c r="S1204" s="39" t="str">
        <f aca="false">IF(AND(M1204&gt;0,O1204&gt;0),O1204+M1204/1000000000000+ROW()/1000000000000000,"")</f>
        <v/>
      </c>
      <c r="T1204" s="39" t="str">
        <f aca="false">IF(J1204="Belum ditukar",ROW(),"")</f>
        <v/>
      </c>
    </row>
    <row r="1205" customFormat="false" ht="15" hidden="false" customHeight="false" outlineLevel="0" collapsed="false">
      <c r="A1205" s="50" t="s">
        <v>1493</v>
      </c>
      <c r="B1205" s="51" t="n">
        <v>45913</v>
      </c>
      <c r="C1205" s="50" t="s">
        <v>188</v>
      </c>
      <c r="D1205" s="39" t="str">
        <f aca="false">INDEX(Master_Customer!$B$2:$B$126,MATCH(C1205,Master_Customer!$A$2:$A$126,0))</f>
        <v>MAJU GARAGE TIRTA</v>
      </c>
      <c r="E1205" s="50" t="s">
        <v>31</v>
      </c>
      <c r="F1205" s="52" t="n">
        <f aca="false">SUMIFS(Data_Penjualan!$G$2:$G$5998,Data_Penjualan!$A$2:$A$5998,A1205)</f>
        <v>1659600</v>
      </c>
      <c r="G1205" s="39" t="n">
        <f aca="false">IF(E1205="KANTOR",0,INDEX(Master_Customer!$C$2:$C$126,MATCH(C1205,Master_Customer!$A$2:$A$126,0)))</f>
        <v>45</v>
      </c>
      <c r="H1205" s="53" t="n">
        <f aca="false">B1205+G1205</f>
        <v>45958</v>
      </c>
      <c r="I1205" s="51" t="n">
        <v>45914</v>
      </c>
      <c r="J1205" s="39" t="str">
        <f aca="false">IF(G1205=0,"Tunai",IF(I1205="","Belum ditukar","Sudah ditukar"))</f>
        <v>Sudah ditukar</v>
      </c>
      <c r="K1205" s="54" t="n">
        <v>1659600</v>
      </c>
      <c r="L1205" s="51" t="n">
        <v>45971</v>
      </c>
      <c r="M1205" s="52" t="n">
        <f aca="false">F1205-K1205</f>
        <v>0</v>
      </c>
      <c r="N1205" s="39" t="str">
        <f aca="false">IF(M1205&lt;=0,"Lunas",IF(K1205&gt;0,"Sebagian","Belum Bayar"))</f>
        <v>Lunas</v>
      </c>
      <c r="O1205" s="39" t="n">
        <f aca="false">IF(M1205&gt;0,MAX(0,Catatan!$B$3-H1205),0)</f>
        <v>0</v>
      </c>
      <c r="P1205" s="39" t="str">
        <f aca="false">IF(M1205&lt;=0,"Lunas",IF(Catatan!$B$3&lt;=H1205,"Belum Jatuh Tempo",IF(O1205&lt;=30,"1-30 hari",IF(O1205&lt;=60,"31-60 hari",IF(O1205&lt;=90,"61-90 hari","90+ hari")))))</f>
        <v>Lunas</v>
      </c>
      <c r="Q1205" s="50"/>
      <c r="R1205" s="39" t="str">
        <f aca="false">IF(M1205&lt;=0,"",IF(O1205&gt;60,"1-Tinggi",IF(O1205&gt;30,"2-Sedang",IF(O1205&gt;0,"3-Rendah","4-Pantau"))))</f>
        <v/>
      </c>
      <c r="S1205" s="39" t="str">
        <f aca="false">IF(AND(M1205&gt;0,O1205&gt;0),O1205+M1205/1000000000000+ROW()/1000000000000000,"")</f>
        <v/>
      </c>
      <c r="T1205" s="39" t="str">
        <f aca="false">IF(J1205="Belum ditukar",ROW(),"")</f>
        <v/>
      </c>
    </row>
    <row r="1206" customFormat="false" ht="15" hidden="false" customHeight="false" outlineLevel="0" collapsed="false">
      <c r="A1206" s="50" t="s">
        <v>1494</v>
      </c>
      <c r="B1206" s="51" t="n">
        <v>45913</v>
      </c>
      <c r="C1206" s="50" t="s">
        <v>174</v>
      </c>
      <c r="D1206" s="39" t="str">
        <f aca="false">INDEX(Master_Customer!$B$2:$B$126,MATCH(C1206,Master_Customer!$A$2:$A$126,0))</f>
        <v>SUMBER TEKNIK SURYA</v>
      </c>
      <c r="E1206" s="50" t="s">
        <v>31</v>
      </c>
      <c r="F1206" s="52" t="n">
        <f aca="false">SUMIFS(Data_Penjualan!$G$2:$G$5998,Data_Penjualan!$A$2:$A$5998,A1206)</f>
        <v>8812400</v>
      </c>
      <c r="G1206" s="39" t="n">
        <f aca="false">IF(E1206="KANTOR",0,INDEX(Master_Customer!$C$2:$C$126,MATCH(C1206,Master_Customer!$A$2:$A$126,0)))</f>
        <v>30</v>
      </c>
      <c r="H1206" s="53" t="n">
        <f aca="false">B1206+G1206</f>
        <v>45943</v>
      </c>
      <c r="I1206" s="51" t="n">
        <v>45915</v>
      </c>
      <c r="J1206" s="39" t="str">
        <f aca="false">IF(G1206=0,"Tunai",IF(I1206="","Belum ditukar","Sudah ditukar"))</f>
        <v>Sudah ditukar</v>
      </c>
      <c r="K1206" s="54" t="n">
        <v>8812400</v>
      </c>
      <c r="L1206" s="51" t="n">
        <v>45948</v>
      </c>
      <c r="M1206" s="52" t="n">
        <f aca="false">F1206-K1206</f>
        <v>0</v>
      </c>
      <c r="N1206" s="39" t="str">
        <f aca="false">IF(M1206&lt;=0,"Lunas",IF(K1206&gt;0,"Sebagian","Belum Bayar"))</f>
        <v>Lunas</v>
      </c>
      <c r="O1206" s="39" t="n">
        <f aca="false">IF(M1206&gt;0,MAX(0,Catatan!$B$3-H1206),0)</f>
        <v>0</v>
      </c>
      <c r="P1206" s="39" t="str">
        <f aca="false">IF(M1206&lt;=0,"Lunas",IF(Catatan!$B$3&lt;=H1206,"Belum Jatuh Tempo",IF(O1206&lt;=30,"1-30 hari",IF(O1206&lt;=60,"31-60 hari",IF(O1206&lt;=90,"61-90 hari","90+ hari")))))</f>
        <v>Lunas</v>
      </c>
      <c r="Q1206" s="50"/>
      <c r="R1206" s="39" t="str">
        <f aca="false">IF(M1206&lt;=0,"",IF(O1206&gt;60,"1-Tinggi",IF(O1206&gt;30,"2-Sedang",IF(O1206&gt;0,"3-Rendah","4-Pantau"))))</f>
        <v/>
      </c>
      <c r="S1206" s="39" t="str">
        <f aca="false">IF(AND(M1206&gt;0,O1206&gt;0),O1206+M1206/1000000000000+ROW()/1000000000000000,"")</f>
        <v/>
      </c>
      <c r="T1206" s="39" t="str">
        <f aca="false">IF(J1206="Belum ditukar",ROW(),"")</f>
        <v/>
      </c>
    </row>
    <row r="1207" customFormat="false" ht="15" hidden="false" customHeight="false" outlineLevel="0" collapsed="false">
      <c r="A1207" s="50" t="s">
        <v>1495</v>
      </c>
      <c r="B1207" s="51" t="n">
        <v>45915</v>
      </c>
      <c r="C1207" s="50" t="s">
        <v>1147</v>
      </c>
      <c r="D1207" s="39" t="str">
        <f aca="false">INDEX(Master_Customer!$B$2:$B$126,MATCH(C1207,Master_Customer!$A$2:$A$126,0))</f>
        <v>BINTANG GARAGE UTAMA</v>
      </c>
      <c r="E1207" s="50" t="s">
        <v>32</v>
      </c>
      <c r="F1207" s="52" t="n">
        <f aca="false">SUMIFS(Data_Penjualan!$G$2:$G$5998,Data_Penjualan!$A$2:$A$5998,A1207)</f>
        <v>19471800</v>
      </c>
      <c r="G1207" s="39" t="n">
        <f aca="false">IF(E1207="KANTOR",0,INDEX(Master_Customer!$C$2:$C$126,MATCH(C1207,Master_Customer!$A$2:$A$126,0)))</f>
        <v>0</v>
      </c>
      <c r="H1207" s="53" t="n">
        <f aca="false">B1207+G1207</f>
        <v>45915</v>
      </c>
      <c r="J1207" s="39" t="str">
        <f aca="false">IF(G1207=0,"Tunai",IF(I1207="","Belum ditukar","Sudah ditukar"))</f>
        <v>Tunai</v>
      </c>
      <c r="K1207" s="54" t="n">
        <v>19471800</v>
      </c>
      <c r="L1207" s="51" t="n">
        <v>45915</v>
      </c>
      <c r="M1207" s="52" t="n">
        <f aca="false">F1207-K1207</f>
        <v>0</v>
      </c>
      <c r="N1207" s="39" t="str">
        <f aca="false">IF(M1207&lt;=0,"Lunas",IF(K1207&gt;0,"Sebagian","Belum Bayar"))</f>
        <v>Lunas</v>
      </c>
      <c r="O1207" s="39" t="n">
        <f aca="false">IF(M1207&gt;0,MAX(0,Catatan!$B$3-H1207),0)</f>
        <v>0</v>
      </c>
      <c r="P1207" s="39" t="str">
        <f aca="false">IF(M1207&lt;=0,"Lunas",IF(Catatan!$B$3&lt;=H1207,"Belum Jatuh Tempo",IF(O1207&lt;=30,"1-30 hari",IF(O1207&lt;=60,"31-60 hari",IF(O1207&lt;=90,"61-90 hari","90+ hari")))))</f>
        <v>Lunas</v>
      </c>
      <c r="Q1207" s="50"/>
      <c r="R1207" s="39" t="str">
        <f aca="false">IF(M1207&lt;=0,"",IF(O1207&gt;60,"1-Tinggi",IF(O1207&gt;30,"2-Sedang",IF(O1207&gt;0,"3-Rendah","4-Pantau"))))</f>
        <v/>
      </c>
      <c r="S1207" s="39" t="str">
        <f aca="false">IF(AND(M1207&gt;0,O1207&gt;0),O1207+M1207/1000000000000+ROW()/1000000000000000,"")</f>
        <v/>
      </c>
      <c r="T1207" s="39" t="str">
        <f aca="false">IF(J1207="Belum ditukar",ROW(),"")</f>
        <v/>
      </c>
    </row>
    <row r="1208" customFormat="false" ht="15" hidden="false" customHeight="false" outlineLevel="0" collapsed="false">
      <c r="A1208" s="50" t="s">
        <v>1496</v>
      </c>
      <c r="B1208" s="51" t="n">
        <v>45915</v>
      </c>
      <c r="C1208" s="50" t="s">
        <v>216</v>
      </c>
      <c r="D1208" s="39" t="str">
        <f aca="false">INDEX(Master_Customer!$B$2:$B$126,MATCH(C1208,Master_Customer!$A$2:$A$126,0))</f>
        <v>SINAR MOTOR UTAMA</v>
      </c>
      <c r="E1208" s="50" t="s">
        <v>30</v>
      </c>
      <c r="F1208" s="52" t="n">
        <f aca="false">SUMIFS(Data_Penjualan!$G$2:$G$5998,Data_Penjualan!$A$2:$A$5998,A1208)</f>
        <v>15668400</v>
      </c>
      <c r="G1208" s="39" t="n">
        <f aca="false">IF(E1208="KANTOR",0,INDEX(Master_Customer!$C$2:$C$126,MATCH(C1208,Master_Customer!$A$2:$A$126,0)))</f>
        <v>0</v>
      </c>
      <c r="H1208" s="53" t="n">
        <f aca="false">B1208+G1208</f>
        <v>45915</v>
      </c>
      <c r="J1208" s="39" t="str">
        <f aca="false">IF(G1208=0,"Tunai",IF(I1208="","Belum ditukar","Sudah ditukar"))</f>
        <v>Tunai</v>
      </c>
      <c r="K1208" s="54" t="n">
        <v>15668400</v>
      </c>
      <c r="L1208" s="51" t="n">
        <v>45915</v>
      </c>
      <c r="M1208" s="52" t="n">
        <f aca="false">F1208-K1208</f>
        <v>0</v>
      </c>
      <c r="N1208" s="39" t="str">
        <f aca="false">IF(M1208&lt;=0,"Lunas",IF(K1208&gt;0,"Sebagian","Belum Bayar"))</f>
        <v>Lunas</v>
      </c>
      <c r="O1208" s="39" t="n">
        <f aca="false">IF(M1208&gt;0,MAX(0,Catatan!$B$3-H1208),0)</f>
        <v>0</v>
      </c>
      <c r="P1208" s="39" t="str">
        <f aca="false">IF(M1208&lt;=0,"Lunas",IF(Catatan!$B$3&lt;=H1208,"Belum Jatuh Tempo",IF(O1208&lt;=30,"1-30 hari",IF(O1208&lt;=60,"31-60 hari",IF(O1208&lt;=90,"61-90 hari","90+ hari")))))</f>
        <v>Lunas</v>
      </c>
      <c r="Q1208" s="50"/>
      <c r="R1208" s="39" t="str">
        <f aca="false">IF(M1208&lt;=0,"",IF(O1208&gt;60,"1-Tinggi",IF(O1208&gt;30,"2-Sedang",IF(O1208&gt;0,"3-Rendah","4-Pantau"))))</f>
        <v/>
      </c>
      <c r="S1208" s="39" t="str">
        <f aca="false">IF(AND(M1208&gt;0,O1208&gt;0),O1208+M1208/1000000000000+ROW()/1000000000000000,"")</f>
        <v/>
      </c>
      <c r="T1208" s="39" t="str">
        <f aca="false">IF(J1208="Belum ditukar",ROW(),"")</f>
        <v/>
      </c>
    </row>
    <row r="1209" customFormat="false" ht="15" hidden="false" customHeight="false" outlineLevel="0" collapsed="false">
      <c r="A1209" s="50" t="s">
        <v>1497</v>
      </c>
      <c r="B1209" s="51" t="n">
        <v>45915</v>
      </c>
      <c r="C1209" s="50" t="s">
        <v>527</v>
      </c>
      <c r="D1209" s="39" t="str">
        <f aca="false">INDEX(Master_Customer!$B$2:$B$126,MATCH(C1209,Master_Customer!$A$2:$A$126,0))</f>
        <v>BINTANG SPAREPART PRIMA</v>
      </c>
      <c r="E1209" s="50" t="s">
        <v>30</v>
      </c>
      <c r="F1209" s="52" t="n">
        <f aca="false">SUMIFS(Data_Penjualan!$G$2:$G$5998,Data_Penjualan!$A$2:$A$5998,A1209)</f>
        <v>23000000</v>
      </c>
      <c r="G1209" s="39" t="n">
        <f aca="false">IF(E1209="KANTOR",0,INDEX(Master_Customer!$C$2:$C$126,MATCH(C1209,Master_Customer!$A$2:$A$126,0)))</f>
        <v>14</v>
      </c>
      <c r="H1209" s="53" t="n">
        <f aca="false">B1209+G1209</f>
        <v>45929</v>
      </c>
      <c r="I1209" s="51" t="n">
        <v>45917</v>
      </c>
      <c r="J1209" s="39" t="str">
        <f aca="false">IF(G1209=0,"Tunai",IF(I1209="","Belum ditukar","Sudah ditukar"))</f>
        <v>Sudah ditukar</v>
      </c>
      <c r="K1209" s="54" t="n">
        <v>23000000</v>
      </c>
      <c r="L1209" s="51" t="n">
        <v>45945</v>
      </c>
      <c r="M1209" s="52" t="n">
        <f aca="false">F1209-K1209</f>
        <v>0</v>
      </c>
      <c r="N1209" s="39" t="str">
        <f aca="false">IF(M1209&lt;=0,"Lunas",IF(K1209&gt;0,"Sebagian","Belum Bayar"))</f>
        <v>Lunas</v>
      </c>
      <c r="O1209" s="39" t="n">
        <f aca="false">IF(M1209&gt;0,MAX(0,Catatan!$B$3-H1209),0)</f>
        <v>0</v>
      </c>
      <c r="P1209" s="39" t="str">
        <f aca="false">IF(M1209&lt;=0,"Lunas",IF(Catatan!$B$3&lt;=H1209,"Belum Jatuh Tempo",IF(O1209&lt;=30,"1-30 hari",IF(O1209&lt;=60,"31-60 hari",IF(O1209&lt;=90,"61-90 hari","90+ hari")))))</f>
        <v>Lunas</v>
      </c>
      <c r="Q1209" s="50"/>
      <c r="R1209" s="39" t="str">
        <f aca="false">IF(M1209&lt;=0,"",IF(O1209&gt;60,"1-Tinggi",IF(O1209&gt;30,"2-Sedang",IF(O1209&gt;0,"3-Rendah","4-Pantau"))))</f>
        <v/>
      </c>
      <c r="S1209" s="39" t="str">
        <f aca="false">IF(AND(M1209&gt;0,O1209&gt;0),O1209+M1209/1000000000000+ROW()/1000000000000000,"")</f>
        <v/>
      </c>
      <c r="T1209" s="39" t="str">
        <f aca="false">IF(J1209="Belum ditukar",ROW(),"")</f>
        <v/>
      </c>
    </row>
    <row r="1210" customFormat="false" ht="15" hidden="false" customHeight="false" outlineLevel="0" collapsed="false">
      <c r="A1210" s="50" t="s">
        <v>1498</v>
      </c>
      <c r="B1210" s="51" t="n">
        <v>45915</v>
      </c>
      <c r="C1210" s="50" t="s">
        <v>237</v>
      </c>
      <c r="D1210" s="39" t="str">
        <f aca="false">INDEX(Master_Customer!$B$2:$B$126,MATCH(C1210,Master_Customer!$A$2:$A$126,0))</f>
        <v>SINAR SPAREPART</v>
      </c>
      <c r="E1210" s="50" t="s">
        <v>31</v>
      </c>
      <c r="F1210" s="52" t="n">
        <f aca="false">SUMIFS(Data_Penjualan!$G$2:$G$5998,Data_Penjualan!$A$2:$A$5998,A1210)</f>
        <v>6536200</v>
      </c>
      <c r="G1210" s="39" t="n">
        <f aca="false">IF(E1210="KANTOR",0,INDEX(Master_Customer!$C$2:$C$126,MATCH(C1210,Master_Customer!$A$2:$A$126,0)))</f>
        <v>45</v>
      </c>
      <c r="H1210" s="53" t="n">
        <f aca="false">B1210+G1210</f>
        <v>45960</v>
      </c>
      <c r="I1210" s="51" t="n">
        <v>45920</v>
      </c>
      <c r="J1210" s="39" t="str">
        <f aca="false">IF(G1210=0,"Tunai",IF(I1210="","Belum ditukar","Sudah ditukar"))</f>
        <v>Sudah ditukar</v>
      </c>
      <c r="K1210" s="54" t="n">
        <v>6536200</v>
      </c>
      <c r="L1210" s="51" t="n">
        <v>45961</v>
      </c>
      <c r="M1210" s="52" t="n">
        <f aca="false">F1210-K1210</f>
        <v>0</v>
      </c>
      <c r="N1210" s="39" t="str">
        <f aca="false">IF(M1210&lt;=0,"Lunas",IF(K1210&gt;0,"Sebagian","Belum Bayar"))</f>
        <v>Lunas</v>
      </c>
      <c r="O1210" s="39" t="n">
        <f aca="false">IF(M1210&gt;0,MAX(0,Catatan!$B$3-H1210),0)</f>
        <v>0</v>
      </c>
      <c r="P1210" s="39" t="str">
        <f aca="false">IF(M1210&lt;=0,"Lunas",IF(Catatan!$B$3&lt;=H1210,"Belum Jatuh Tempo",IF(O1210&lt;=30,"1-30 hari",IF(O1210&lt;=60,"31-60 hari",IF(O1210&lt;=90,"61-90 hari","90+ hari")))))</f>
        <v>Lunas</v>
      </c>
      <c r="Q1210" s="50"/>
      <c r="R1210" s="39" t="str">
        <f aca="false">IF(M1210&lt;=0,"",IF(O1210&gt;60,"1-Tinggi",IF(O1210&gt;30,"2-Sedang",IF(O1210&gt;0,"3-Rendah","4-Pantau"))))</f>
        <v/>
      </c>
      <c r="S1210" s="39" t="str">
        <f aca="false">IF(AND(M1210&gt;0,O1210&gt;0),O1210+M1210/1000000000000+ROW()/1000000000000000,"")</f>
        <v/>
      </c>
      <c r="T1210" s="39" t="str">
        <f aca="false">IF(J1210="Belum ditukar",ROW(),"")</f>
        <v/>
      </c>
    </row>
    <row r="1211" customFormat="false" ht="15" hidden="false" customHeight="false" outlineLevel="0" collapsed="false">
      <c r="A1211" s="50" t="s">
        <v>1499</v>
      </c>
      <c r="B1211" s="51" t="n">
        <v>45915</v>
      </c>
      <c r="C1211" s="50" t="s">
        <v>174</v>
      </c>
      <c r="D1211" s="39" t="str">
        <f aca="false">INDEX(Master_Customer!$B$2:$B$126,MATCH(C1211,Master_Customer!$A$2:$A$126,0))</f>
        <v>SUMBER TEKNIK SURYA</v>
      </c>
      <c r="E1211" s="50" t="s">
        <v>31</v>
      </c>
      <c r="F1211" s="52" t="n">
        <f aca="false">SUMIFS(Data_Penjualan!$G$2:$G$5998,Data_Penjualan!$A$2:$A$5998,A1211)</f>
        <v>9686700</v>
      </c>
      <c r="G1211" s="39" t="n">
        <f aca="false">IF(E1211="KANTOR",0,INDEX(Master_Customer!$C$2:$C$126,MATCH(C1211,Master_Customer!$A$2:$A$126,0)))</f>
        <v>30</v>
      </c>
      <c r="H1211" s="53" t="n">
        <f aca="false">B1211+G1211</f>
        <v>45945</v>
      </c>
      <c r="I1211" s="51" t="n">
        <v>45920</v>
      </c>
      <c r="J1211" s="39" t="str">
        <f aca="false">IF(G1211=0,"Tunai",IF(I1211="","Belum ditukar","Sudah ditukar"))</f>
        <v>Sudah ditukar</v>
      </c>
      <c r="K1211" s="54" t="n">
        <v>9686700</v>
      </c>
      <c r="L1211" s="51" t="n">
        <v>45945</v>
      </c>
      <c r="M1211" s="52" t="n">
        <f aca="false">F1211-K1211</f>
        <v>0</v>
      </c>
      <c r="N1211" s="39" t="str">
        <f aca="false">IF(M1211&lt;=0,"Lunas",IF(K1211&gt;0,"Sebagian","Belum Bayar"))</f>
        <v>Lunas</v>
      </c>
      <c r="O1211" s="39" t="n">
        <f aca="false">IF(M1211&gt;0,MAX(0,Catatan!$B$3-H1211),0)</f>
        <v>0</v>
      </c>
      <c r="P1211" s="39" t="str">
        <f aca="false">IF(M1211&lt;=0,"Lunas",IF(Catatan!$B$3&lt;=H1211,"Belum Jatuh Tempo",IF(O1211&lt;=30,"1-30 hari",IF(O1211&lt;=60,"31-60 hari",IF(O1211&lt;=90,"61-90 hari","90+ hari")))))</f>
        <v>Lunas</v>
      </c>
      <c r="Q1211" s="50"/>
      <c r="R1211" s="39" t="str">
        <f aca="false">IF(M1211&lt;=0,"",IF(O1211&gt;60,"1-Tinggi",IF(O1211&gt;30,"2-Sedang",IF(O1211&gt;0,"3-Rendah","4-Pantau"))))</f>
        <v/>
      </c>
      <c r="S1211" s="39" t="str">
        <f aca="false">IF(AND(M1211&gt;0,O1211&gt;0),O1211+M1211/1000000000000+ROW()/1000000000000000,"")</f>
        <v/>
      </c>
      <c r="T1211" s="39" t="str">
        <f aca="false">IF(J1211="Belum ditukar",ROW(),"")</f>
        <v/>
      </c>
    </row>
    <row r="1212" customFormat="false" ht="15" hidden="false" customHeight="false" outlineLevel="0" collapsed="false">
      <c r="A1212" s="50" t="s">
        <v>1500</v>
      </c>
      <c r="B1212" s="51" t="n">
        <v>45916</v>
      </c>
      <c r="C1212" s="50" t="s">
        <v>174</v>
      </c>
      <c r="D1212" s="39" t="str">
        <f aca="false">INDEX(Master_Customer!$B$2:$B$126,MATCH(C1212,Master_Customer!$A$2:$A$126,0))</f>
        <v>SUMBER TEKNIK SURYA</v>
      </c>
      <c r="E1212" s="50" t="s">
        <v>31</v>
      </c>
      <c r="F1212" s="52" t="n">
        <f aca="false">SUMIFS(Data_Penjualan!$G$2:$G$5998,Data_Penjualan!$A$2:$A$5998,A1212)</f>
        <v>10063600</v>
      </c>
      <c r="G1212" s="39" t="n">
        <f aca="false">IF(E1212="KANTOR",0,INDEX(Master_Customer!$C$2:$C$126,MATCH(C1212,Master_Customer!$A$2:$A$126,0)))</f>
        <v>30</v>
      </c>
      <c r="H1212" s="53" t="n">
        <f aca="false">B1212+G1212</f>
        <v>45946</v>
      </c>
      <c r="I1212" s="51" t="n">
        <v>45919</v>
      </c>
      <c r="J1212" s="39" t="str">
        <f aca="false">IF(G1212=0,"Tunai",IF(I1212="","Belum ditukar","Sudah ditukar"))</f>
        <v>Sudah ditukar</v>
      </c>
      <c r="K1212" s="54" t="n">
        <v>6387800</v>
      </c>
      <c r="L1212" s="51" t="n">
        <v>45948</v>
      </c>
      <c r="M1212" s="52" t="n">
        <f aca="false">F1212-K1212</f>
        <v>3675800</v>
      </c>
      <c r="N1212" s="39" t="str">
        <f aca="false">IF(M1212&lt;=0,"Lunas",IF(K1212&gt;0,"Sebagian","Belum Bayar"))</f>
        <v>Sebagian</v>
      </c>
      <c r="O1212" s="39" t="n">
        <f aca="false">IF(M1212&gt;0,MAX(0,Catatan!$B$3-H1212),0)</f>
        <v>76</v>
      </c>
      <c r="P1212" s="39" t="str">
        <f aca="false">IF(M1212&lt;=0,"Lunas",IF(Catatan!$B$3&lt;=H1212,"Belum Jatuh Tempo",IF(O1212&lt;=30,"1-30 hari",IF(O1212&lt;=60,"31-60 hari",IF(O1212&lt;=90,"61-90 hari","90+ hari")))))</f>
        <v>61-90 hari</v>
      </c>
      <c r="Q1212" s="50" t="s">
        <v>397</v>
      </c>
      <c r="R1212" s="39" t="str">
        <f aca="false">IF(M1212&lt;=0,"",IF(O1212&gt;60,"1-Tinggi",IF(O1212&gt;30,"2-Sedang",IF(O1212&gt;0,"3-Rendah","4-Pantau"))))</f>
        <v>1-Tinggi</v>
      </c>
      <c r="S1212" s="39" t="n">
        <f aca="false">IF(AND(M1212&gt;0,O1212&gt;0),O1212+M1212/1000000000000+ROW()/1000000000000000,"")</f>
        <v>76.0000036758012</v>
      </c>
      <c r="T1212" s="39" t="str">
        <f aca="false">IF(J1212="Belum ditukar",ROW(),"")</f>
        <v/>
      </c>
    </row>
    <row r="1213" customFormat="false" ht="15" hidden="false" customHeight="false" outlineLevel="0" collapsed="false">
      <c r="A1213" s="50" t="s">
        <v>1501</v>
      </c>
      <c r="B1213" s="51" t="n">
        <v>45916</v>
      </c>
      <c r="C1213" s="50" t="s">
        <v>177</v>
      </c>
      <c r="D1213" s="39" t="str">
        <f aca="false">INDEX(Master_Customer!$B$2:$B$126,MATCH(C1213,Master_Customer!$A$2:$A$126,0))</f>
        <v>PRIMA MOTOR LANCAR</v>
      </c>
      <c r="E1213" s="50" t="s">
        <v>29</v>
      </c>
      <c r="F1213" s="52" t="n">
        <f aca="false">SUMIFS(Data_Penjualan!$G$2:$G$5998,Data_Penjualan!$A$2:$A$5998,A1213)</f>
        <v>35146900</v>
      </c>
      <c r="G1213" s="39" t="n">
        <f aca="false">IF(E1213="KANTOR",0,INDEX(Master_Customer!$C$2:$C$126,MATCH(C1213,Master_Customer!$A$2:$A$126,0)))</f>
        <v>14</v>
      </c>
      <c r="H1213" s="53" t="n">
        <f aca="false">B1213+G1213</f>
        <v>45930</v>
      </c>
      <c r="I1213" s="51" t="n">
        <v>45919</v>
      </c>
      <c r="J1213" s="39" t="str">
        <f aca="false">IF(G1213=0,"Tunai",IF(I1213="","Belum ditukar","Sudah ditukar"))</f>
        <v>Sudah ditukar</v>
      </c>
      <c r="K1213" s="54" t="n">
        <v>35146900</v>
      </c>
      <c r="L1213" s="51" t="n">
        <v>45935</v>
      </c>
      <c r="M1213" s="52" t="n">
        <f aca="false">F1213-K1213</f>
        <v>0</v>
      </c>
      <c r="N1213" s="39" t="str">
        <f aca="false">IF(M1213&lt;=0,"Lunas",IF(K1213&gt;0,"Sebagian","Belum Bayar"))</f>
        <v>Lunas</v>
      </c>
      <c r="O1213" s="39" t="n">
        <f aca="false">IF(M1213&gt;0,MAX(0,Catatan!$B$3-H1213),0)</f>
        <v>0</v>
      </c>
      <c r="P1213" s="39" t="str">
        <f aca="false">IF(M1213&lt;=0,"Lunas",IF(Catatan!$B$3&lt;=H1213,"Belum Jatuh Tempo",IF(O1213&lt;=30,"1-30 hari",IF(O1213&lt;=60,"31-60 hari",IF(O1213&lt;=90,"61-90 hari","90+ hari")))))</f>
        <v>Lunas</v>
      </c>
      <c r="Q1213" s="50"/>
      <c r="R1213" s="39" t="str">
        <f aca="false">IF(M1213&lt;=0,"",IF(O1213&gt;60,"1-Tinggi",IF(O1213&gt;30,"2-Sedang",IF(O1213&gt;0,"3-Rendah","4-Pantau"))))</f>
        <v/>
      </c>
      <c r="S1213" s="39" t="str">
        <f aca="false">IF(AND(M1213&gt;0,O1213&gt;0),O1213+M1213/1000000000000+ROW()/1000000000000000,"")</f>
        <v/>
      </c>
      <c r="T1213" s="39" t="str">
        <f aca="false">IF(J1213="Belum ditukar",ROW(),"")</f>
        <v/>
      </c>
    </row>
    <row r="1214" customFormat="false" ht="15" hidden="false" customHeight="false" outlineLevel="0" collapsed="false">
      <c r="A1214" s="50" t="s">
        <v>1502</v>
      </c>
      <c r="B1214" s="51" t="n">
        <v>45916</v>
      </c>
      <c r="C1214" s="50" t="s">
        <v>329</v>
      </c>
      <c r="D1214" s="39" t="str">
        <f aca="false">INDEX(Master_Customer!$B$2:$B$126,MATCH(C1214,Master_Customer!$A$2:$A$126,0))</f>
        <v>MAKMUR OLI</v>
      </c>
      <c r="E1214" s="50" t="s">
        <v>32</v>
      </c>
      <c r="F1214" s="52" t="n">
        <f aca="false">SUMIFS(Data_Penjualan!$G$2:$G$5998,Data_Penjualan!$A$2:$A$5998,A1214)</f>
        <v>5833300</v>
      </c>
      <c r="G1214" s="39" t="n">
        <f aca="false">IF(E1214="KANTOR",0,INDEX(Master_Customer!$C$2:$C$126,MATCH(C1214,Master_Customer!$A$2:$A$126,0)))</f>
        <v>0</v>
      </c>
      <c r="H1214" s="53" t="n">
        <f aca="false">B1214+G1214</f>
        <v>45916</v>
      </c>
      <c r="J1214" s="39" t="str">
        <f aca="false">IF(G1214=0,"Tunai",IF(I1214="","Belum ditukar","Sudah ditukar"))</f>
        <v>Tunai</v>
      </c>
      <c r="K1214" s="54" t="n">
        <v>5833300</v>
      </c>
      <c r="L1214" s="51" t="n">
        <v>45916</v>
      </c>
      <c r="M1214" s="52" t="n">
        <f aca="false">F1214-K1214</f>
        <v>0</v>
      </c>
      <c r="N1214" s="39" t="str">
        <f aca="false">IF(M1214&lt;=0,"Lunas",IF(K1214&gt;0,"Sebagian","Belum Bayar"))</f>
        <v>Lunas</v>
      </c>
      <c r="O1214" s="39" t="n">
        <f aca="false">IF(M1214&gt;0,MAX(0,Catatan!$B$3-H1214),0)</f>
        <v>0</v>
      </c>
      <c r="P1214" s="39" t="str">
        <f aca="false">IF(M1214&lt;=0,"Lunas",IF(Catatan!$B$3&lt;=H1214,"Belum Jatuh Tempo",IF(O1214&lt;=30,"1-30 hari",IF(O1214&lt;=60,"31-60 hari",IF(O1214&lt;=90,"61-90 hari","90+ hari")))))</f>
        <v>Lunas</v>
      </c>
      <c r="Q1214" s="50"/>
      <c r="R1214" s="39" t="str">
        <f aca="false">IF(M1214&lt;=0,"",IF(O1214&gt;60,"1-Tinggi",IF(O1214&gt;30,"2-Sedang",IF(O1214&gt;0,"3-Rendah","4-Pantau"))))</f>
        <v/>
      </c>
      <c r="S1214" s="39" t="str">
        <f aca="false">IF(AND(M1214&gt;0,O1214&gt;0),O1214+M1214/1000000000000+ROW()/1000000000000000,"")</f>
        <v/>
      </c>
      <c r="T1214" s="39" t="str">
        <f aca="false">IF(J1214="Belum ditukar",ROW(),"")</f>
        <v/>
      </c>
    </row>
    <row r="1215" customFormat="false" ht="15" hidden="false" customHeight="false" outlineLevel="0" collapsed="false">
      <c r="A1215" s="50" t="s">
        <v>1503</v>
      </c>
      <c r="B1215" s="51" t="n">
        <v>45916</v>
      </c>
      <c r="C1215" s="50" t="s">
        <v>223</v>
      </c>
      <c r="D1215" s="39" t="str">
        <f aca="false">INDEX(Master_Customer!$B$2:$B$126,MATCH(C1215,Master_Customer!$A$2:$A$126,0))</f>
        <v>ABADI AUTO UTAMA</v>
      </c>
      <c r="E1215" s="50" t="s">
        <v>31</v>
      </c>
      <c r="F1215" s="52" t="n">
        <f aca="false">SUMIFS(Data_Penjualan!$G$2:$G$5998,Data_Penjualan!$A$2:$A$5998,A1215)</f>
        <v>6670700</v>
      </c>
      <c r="G1215" s="39" t="n">
        <f aca="false">IF(E1215="KANTOR",0,INDEX(Master_Customer!$C$2:$C$126,MATCH(C1215,Master_Customer!$A$2:$A$126,0)))</f>
        <v>14</v>
      </c>
      <c r="H1215" s="53" t="n">
        <f aca="false">B1215+G1215</f>
        <v>45930</v>
      </c>
      <c r="I1215" s="51" t="n">
        <v>45918</v>
      </c>
      <c r="J1215" s="39" t="str">
        <f aca="false">IF(G1215=0,"Tunai",IF(I1215="","Belum ditukar","Sudah ditukar"))</f>
        <v>Sudah ditukar</v>
      </c>
      <c r="K1215" s="54" t="n">
        <v>6670700</v>
      </c>
      <c r="L1215" s="51" t="n">
        <v>45972</v>
      </c>
      <c r="M1215" s="52" t="n">
        <f aca="false">F1215-K1215</f>
        <v>0</v>
      </c>
      <c r="N1215" s="39" t="str">
        <f aca="false">IF(M1215&lt;=0,"Lunas",IF(K1215&gt;0,"Sebagian","Belum Bayar"))</f>
        <v>Lunas</v>
      </c>
      <c r="O1215" s="39" t="n">
        <f aca="false">IF(M1215&gt;0,MAX(0,Catatan!$B$3-H1215),0)</f>
        <v>0</v>
      </c>
      <c r="P1215" s="39" t="str">
        <f aca="false">IF(M1215&lt;=0,"Lunas",IF(Catatan!$B$3&lt;=H1215,"Belum Jatuh Tempo",IF(O1215&lt;=30,"1-30 hari",IF(O1215&lt;=60,"31-60 hari",IF(O1215&lt;=90,"61-90 hari","90+ hari")))))</f>
        <v>Lunas</v>
      </c>
      <c r="Q1215" s="50"/>
      <c r="R1215" s="39" t="str">
        <f aca="false">IF(M1215&lt;=0,"",IF(O1215&gt;60,"1-Tinggi",IF(O1215&gt;30,"2-Sedang",IF(O1215&gt;0,"3-Rendah","4-Pantau"))))</f>
        <v/>
      </c>
      <c r="S1215" s="39" t="str">
        <f aca="false">IF(AND(M1215&gt;0,O1215&gt;0),O1215+M1215/1000000000000+ROW()/1000000000000000,"")</f>
        <v/>
      </c>
      <c r="T1215" s="39" t="str">
        <f aca="false">IF(J1215="Belum ditukar",ROW(),"")</f>
        <v/>
      </c>
    </row>
    <row r="1216" customFormat="false" ht="15" hidden="false" customHeight="false" outlineLevel="0" collapsed="false">
      <c r="A1216" s="50" t="s">
        <v>1504</v>
      </c>
      <c r="B1216" s="51" t="n">
        <v>45916</v>
      </c>
      <c r="C1216" s="50" t="s">
        <v>286</v>
      </c>
      <c r="D1216" s="39" t="str">
        <f aca="false">INDEX(Master_Customer!$B$2:$B$126,MATCH(C1216,Master_Customer!$A$2:$A$126,0))</f>
        <v>CAHAYA AUTO</v>
      </c>
      <c r="E1216" s="50" t="s">
        <v>29</v>
      </c>
      <c r="F1216" s="52" t="n">
        <f aca="false">SUMIFS(Data_Penjualan!$G$2:$G$5998,Data_Penjualan!$A$2:$A$5998,A1216)</f>
        <v>2410100</v>
      </c>
      <c r="G1216" s="39" t="n">
        <f aca="false">IF(E1216="KANTOR",0,INDEX(Master_Customer!$C$2:$C$126,MATCH(C1216,Master_Customer!$A$2:$A$126,0)))</f>
        <v>0</v>
      </c>
      <c r="H1216" s="53" t="n">
        <f aca="false">B1216+G1216</f>
        <v>45916</v>
      </c>
      <c r="J1216" s="39" t="str">
        <f aca="false">IF(G1216=0,"Tunai",IF(I1216="","Belum ditukar","Sudah ditukar"))</f>
        <v>Tunai</v>
      </c>
      <c r="K1216" s="54" t="n">
        <v>2410100</v>
      </c>
      <c r="L1216" s="51" t="n">
        <v>45916</v>
      </c>
      <c r="M1216" s="52" t="n">
        <f aca="false">F1216-K1216</f>
        <v>0</v>
      </c>
      <c r="N1216" s="39" t="str">
        <f aca="false">IF(M1216&lt;=0,"Lunas",IF(K1216&gt;0,"Sebagian","Belum Bayar"))</f>
        <v>Lunas</v>
      </c>
      <c r="O1216" s="39" t="n">
        <f aca="false">IF(M1216&gt;0,MAX(0,Catatan!$B$3-H1216),0)</f>
        <v>0</v>
      </c>
      <c r="P1216" s="39" t="str">
        <f aca="false">IF(M1216&lt;=0,"Lunas",IF(Catatan!$B$3&lt;=H1216,"Belum Jatuh Tempo",IF(O1216&lt;=30,"1-30 hari",IF(O1216&lt;=60,"31-60 hari",IF(O1216&lt;=90,"61-90 hari","90+ hari")))))</f>
        <v>Lunas</v>
      </c>
      <c r="Q1216" s="50"/>
      <c r="R1216" s="39" t="str">
        <f aca="false">IF(M1216&lt;=0,"",IF(O1216&gt;60,"1-Tinggi",IF(O1216&gt;30,"2-Sedang",IF(O1216&gt;0,"3-Rendah","4-Pantau"))))</f>
        <v/>
      </c>
      <c r="S1216" s="39" t="str">
        <f aca="false">IF(AND(M1216&gt;0,O1216&gt;0),O1216+M1216/1000000000000+ROW()/1000000000000000,"")</f>
        <v/>
      </c>
      <c r="T1216" s="39" t="str">
        <f aca="false">IF(J1216="Belum ditukar",ROW(),"")</f>
        <v/>
      </c>
    </row>
    <row r="1217" customFormat="false" ht="15" hidden="false" customHeight="false" outlineLevel="0" collapsed="false">
      <c r="A1217" s="50" t="s">
        <v>1505</v>
      </c>
      <c r="B1217" s="51" t="n">
        <v>45916</v>
      </c>
      <c r="C1217" s="50" t="s">
        <v>286</v>
      </c>
      <c r="D1217" s="39" t="str">
        <f aca="false">INDEX(Master_Customer!$B$2:$B$126,MATCH(C1217,Master_Customer!$A$2:$A$126,0))</f>
        <v>CAHAYA AUTO</v>
      </c>
      <c r="E1217" s="50" t="s">
        <v>29</v>
      </c>
      <c r="F1217" s="52" t="n">
        <f aca="false">SUMIFS(Data_Penjualan!$G$2:$G$5998,Data_Penjualan!$A$2:$A$5998,A1217)</f>
        <v>9637900</v>
      </c>
      <c r="G1217" s="39" t="n">
        <f aca="false">IF(E1217="KANTOR",0,INDEX(Master_Customer!$C$2:$C$126,MATCH(C1217,Master_Customer!$A$2:$A$126,0)))</f>
        <v>0</v>
      </c>
      <c r="H1217" s="53" t="n">
        <f aca="false">B1217+G1217</f>
        <v>45916</v>
      </c>
      <c r="J1217" s="39" t="str">
        <f aca="false">IF(G1217=0,"Tunai",IF(I1217="","Belum ditukar","Sudah ditukar"))</f>
        <v>Tunai</v>
      </c>
      <c r="K1217" s="54" t="n">
        <v>9637900</v>
      </c>
      <c r="L1217" s="51" t="n">
        <v>45916</v>
      </c>
      <c r="M1217" s="52" t="n">
        <f aca="false">F1217-K1217</f>
        <v>0</v>
      </c>
      <c r="N1217" s="39" t="str">
        <f aca="false">IF(M1217&lt;=0,"Lunas",IF(K1217&gt;0,"Sebagian","Belum Bayar"))</f>
        <v>Lunas</v>
      </c>
      <c r="O1217" s="39" t="n">
        <f aca="false">IF(M1217&gt;0,MAX(0,Catatan!$B$3-H1217),0)</f>
        <v>0</v>
      </c>
      <c r="P1217" s="39" t="str">
        <f aca="false">IF(M1217&lt;=0,"Lunas",IF(Catatan!$B$3&lt;=H1217,"Belum Jatuh Tempo",IF(O1217&lt;=30,"1-30 hari",IF(O1217&lt;=60,"31-60 hari",IF(O1217&lt;=90,"61-90 hari","90+ hari")))))</f>
        <v>Lunas</v>
      </c>
      <c r="Q1217" s="50"/>
      <c r="R1217" s="39" t="str">
        <f aca="false">IF(M1217&lt;=0,"",IF(O1217&gt;60,"1-Tinggi",IF(O1217&gt;30,"2-Sedang",IF(O1217&gt;0,"3-Rendah","4-Pantau"))))</f>
        <v/>
      </c>
      <c r="S1217" s="39" t="str">
        <f aca="false">IF(AND(M1217&gt;0,O1217&gt;0),O1217+M1217/1000000000000+ROW()/1000000000000000,"")</f>
        <v/>
      </c>
      <c r="T1217" s="39" t="str">
        <f aca="false">IF(J1217="Belum ditukar",ROW(),"")</f>
        <v/>
      </c>
    </row>
    <row r="1218" customFormat="false" ht="15" hidden="false" customHeight="false" outlineLevel="0" collapsed="false">
      <c r="A1218" s="50" t="s">
        <v>1506</v>
      </c>
      <c r="B1218" s="51" t="n">
        <v>45917</v>
      </c>
      <c r="C1218" s="50" t="s">
        <v>261</v>
      </c>
      <c r="D1218" s="39" t="str">
        <f aca="false">INDEX(Master_Customer!$B$2:$B$126,MATCH(C1218,Master_Customer!$A$2:$A$126,0))</f>
        <v>SUMBER MOTOR UTAMA</v>
      </c>
      <c r="E1218" s="50" t="s">
        <v>28</v>
      </c>
      <c r="F1218" s="52" t="n">
        <f aca="false">SUMIFS(Data_Penjualan!$G$2:$G$5998,Data_Penjualan!$A$2:$A$5998,A1218)</f>
        <v>13459400</v>
      </c>
      <c r="G1218" s="39" t="n">
        <f aca="false">IF(E1218="KANTOR",0,INDEX(Master_Customer!$C$2:$C$126,MATCH(C1218,Master_Customer!$A$2:$A$126,0)))</f>
        <v>0</v>
      </c>
      <c r="H1218" s="53" t="n">
        <f aca="false">B1218+G1218</f>
        <v>45917</v>
      </c>
      <c r="J1218" s="39" t="str">
        <f aca="false">IF(G1218=0,"Tunai",IF(I1218="","Belum ditukar","Sudah ditukar"))</f>
        <v>Tunai</v>
      </c>
      <c r="K1218" s="54" t="n">
        <v>13459400</v>
      </c>
      <c r="L1218" s="51" t="n">
        <v>45919</v>
      </c>
      <c r="M1218" s="52" t="n">
        <f aca="false">F1218-K1218</f>
        <v>0</v>
      </c>
      <c r="N1218" s="39" t="str">
        <f aca="false">IF(M1218&lt;=0,"Lunas",IF(K1218&gt;0,"Sebagian","Belum Bayar"))</f>
        <v>Lunas</v>
      </c>
      <c r="O1218" s="39" t="n">
        <f aca="false">IF(M1218&gt;0,MAX(0,Catatan!$B$3-H1218),0)</f>
        <v>0</v>
      </c>
      <c r="P1218" s="39" t="str">
        <f aca="false">IF(M1218&lt;=0,"Lunas",IF(Catatan!$B$3&lt;=H1218,"Belum Jatuh Tempo",IF(O1218&lt;=30,"1-30 hari",IF(O1218&lt;=60,"31-60 hari",IF(O1218&lt;=90,"61-90 hari","90+ hari")))))</f>
        <v>Lunas</v>
      </c>
      <c r="Q1218" s="50"/>
      <c r="R1218" s="39" t="str">
        <f aca="false">IF(M1218&lt;=0,"",IF(O1218&gt;60,"1-Tinggi",IF(O1218&gt;30,"2-Sedang",IF(O1218&gt;0,"3-Rendah","4-Pantau"))))</f>
        <v/>
      </c>
      <c r="S1218" s="39" t="str">
        <f aca="false">IF(AND(M1218&gt;0,O1218&gt;0),O1218+M1218/1000000000000+ROW()/1000000000000000,"")</f>
        <v/>
      </c>
      <c r="T1218" s="39" t="str">
        <f aca="false">IF(J1218="Belum ditukar",ROW(),"")</f>
        <v/>
      </c>
    </row>
    <row r="1219" customFormat="false" ht="15" hidden="false" customHeight="false" outlineLevel="0" collapsed="false">
      <c r="A1219" s="50" t="s">
        <v>1507</v>
      </c>
      <c r="B1219" s="51" t="n">
        <v>45917</v>
      </c>
      <c r="C1219" s="50" t="s">
        <v>174</v>
      </c>
      <c r="D1219" s="39" t="str">
        <f aca="false">INDEX(Master_Customer!$B$2:$B$126,MATCH(C1219,Master_Customer!$A$2:$A$126,0))</f>
        <v>SUMBER TEKNIK SURYA</v>
      </c>
      <c r="E1219" s="50" t="s">
        <v>31</v>
      </c>
      <c r="F1219" s="52" t="n">
        <f aca="false">SUMIFS(Data_Penjualan!$G$2:$G$5998,Data_Penjualan!$A$2:$A$5998,A1219)</f>
        <v>2774600</v>
      </c>
      <c r="G1219" s="39" t="n">
        <f aca="false">IF(E1219="KANTOR",0,INDEX(Master_Customer!$C$2:$C$126,MATCH(C1219,Master_Customer!$A$2:$A$126,0)))</f>
        <v>30</v>
      </c>
      <c r="H1219" s="53" t="n">
        <f aca="false">B1219+G1219</f>
        <v>45947</v>
      </c>
      <c r="I1219" s="51" t="n">
        <v>45922</v>
      </c>
      <c r="J1219" s="39" t="str">
        <f aca="false">IF(G1219=0,"Tunai",IF(I1219="","Belum ditukar","Sudah ditukar"))</f>
        <v>Sudah ditukar</v>
      </c>
      <c r="K1219" s="54" t="n">
        <v>2774600</v>
      </c>
      <c r="L1219" s="51" t="n">
        <v>45949</v>
      </c>
      <c r="M1219" s="52" t="n">
        <f aca="false">F1219-K1219</f>
        <v>0</v>
      </c>
      <c r="N1219" s="39" t="str">
        <f aca="false">IF(M1219&lt;=0,"Lunas",IF(K1219&gt;0,"Sebagian","Belum Bayar"))</f>
        <v>Lunas</v>
      </c>
      <c r="O1219" s="39" t="n">
        <f aca="false">IF(M1219&gt;0,MAX(0,Catatan!$B$3-H1219),0)</f>
        <v>0</v>
      </c>
      <c r="P1219" s="39" t="str">
        <f aca="false">IF(M1219&lt;=0,"Lunas",IF(Catatan!$B$3&lt;=H1219,"Belum Jatuh Tempo",IF(O1219&lt;=30,"1-30 hari",IF(O1219&lt;=60,"31-60 hari",IF(O1219&lt;=90,"61-90 hari","90+ hari")))))</f>
        <v>Lunas</v>
      </c>
      <c r="Q1219" s="50"/>
      <c r="R1219" s="39" t="str">
        <f aca="false">IF(M1219&lt;=0,"",IF(O1219&gt;60,"1-Tinggi",IF(O1219&gt;30,"2-Sedang",IF(O1219&gt;0,"3-Rendah","4-Pantau"))))</f>
        <v/>
      </c>
      <c r="S1219" s="39" t="str">
        <f aca="false">IF(AND(M1219&gt;0,O1219&gt;0),O1219+M1219/1000000000000+ROW()/1000000000000000,"")</f>
        <v/>
      </c>
      <c r="T1219" s="39" t="str">
        <f aca="false">IF(J1219="Belum ditukar",ROW(),"")</f>
        <v/>
      </c>
    </row>
    <row r="1220" customFormat="false" ht="15" hidden="false" customHeight="false" outlineLevel="0" collapsed="false">
      <c r="A1220" s="50" t="s">
        <v>1508</v>
      </c>
      <c r="B1220" s="51" t="n">
        <v>45917</v>
      </c>
      <c r="C1220" s="50" t="s">
        <v>225</v>
      </c>
      <c r="D1220" s="39" t="str">
        <f aca="false">INDEX(Master_Customer!$B$2:$B$126,MATCH(C1220,Master_Customer!$A$2:$A$126,0))</f>
        <v>KARYA LUBRICANT ABADI</v>
      </c>
      <c r="E1220" s="50" t="s">
        <v>30</v>
      </c>
      <c r="F1220" s="52" t="n">
        <f aca="false">SUMIFS(Data_Penjualan!$G$2:$G$5998,Data_Penjualan!$A$2:$A$5998,A1220)</f>
        <v>17646900</v>
      </c>
      <c r="G1220" s="39" t="n">
        <f aca="false">IF(E1220="KANTOR",0,INDEX(Master_Customer!$C$2:$C$126,MATCH(C1220,Master_Customer!$A$2:$A$126,0)))</f>
        <v>0</v>
      </c>
      <c r="H1220" s="53" t="n">
        <f aca="false">B1220+G1220</f>
        <v>45917</v>
      </c>
      <c r="J1220" s="39" t="str">
        <f aca="false">IF(G1220=0,"Tunai",IF(I1220="","Belum ditukar","Sudah ditukar"))</f>
        <v>Tunai</v>
      </c>
      <c r="K1220" s="54" t="n">
        <v>17646900</v>
      </c>
      <c r="L1220" s="51" t="n">
        <v>45917</v>
      </c>
      <c r="M1220" s="52" t="n">
        <f aca="false">F1220-K1220</f>
        <v>0</v>
      </c>
      <c r="N1220" s="39" t="str">
        <f aca="false">IF(M1220&lt;=0,"Lunas",IF(K1220&gt;0,"Sebagian","Belum Bayar"))</f>
        <v>Lunas</v>
      </c>
      <c r="O1220" s="39" t="n">
        <f aca="false">IF(M1220&gt;0,MAX(0,Catatan!$B$3-H1220),0)</f>
        <v>0</v>
      </c>
      <c r="P1220" s="39" t="str">
        <f aca="false">IF(M1220&lt;=0,"Lunas",IF(Catatan!$B$3&lt;=H1220,"Belum Jatuh Tempo",IF(O1220&lt;=30,"1-30 hari",IF(O1220&lt;=60,"31-60 hari",IF(O1220&lt;=90,"61-90 hari","90+ hari")))))</f>
        <v>Lunas</v>
      </c>
      <c r="Q1220" s="50"/>
      <c r="R1220" s="39" t="str">
        <f aca="false">IF(M1220&lt;=0,"",IF(O1220&gt;60,"1-Tinggi",IF(O1220&gt;30,"2-Sedang",IF(O1220&gt;0,"3-Rendah","4-Pantau"))))</f>
        <v/>
      </c>
      <c r="S1220" s="39" t="str">
        <f aca="false">IF(AND(M1220&gt;0,O1220&gt;0),O1220+M1220/1000000000000+ROW()/1000000000000000,"")</f>
        <v/>
      </c>
      <c r="T1220" s="39" t="str">
        <f aca="false">IF(J1220="Belum ditukar",ROW(),"")</f>
        <v/>
      </c>
    </row>
    <row r="1221" customFormat="false" ht="15" hidden="false" customHeight="false" outlineLevel="0" collapsed="false">
      <c r="A1221" s="50" t="s">
        <v>1509</v>
      </c>
      <c r="B1221" s="51" t="n">
        <v>45917</v>
      </c>
      <c r="C1221" s="50" t="s">
        <v>249</v>
      </c>
      <c r="D1221" s="39" t="str">
        <f aca="false">INDEX(Master_Customer!$B$2:$B$126,MATCH(C1221,Master_Customer!$A$2:$A$126,0))</f>
        <v>SENTOSA MOTOR</v>
      </c>
      <c r="E1221" s="50" t="s">
        <v>32</v>
      </c>
      <c r="F1221" s="52" t="n">
        <f aca="false">SUMIFS(Data_Penjualan!$G$2:$G$5998,Data_Penjualan!$A$2:$A$5998,A1221)</f>
        <v>33124400</v>
      </c>
      <c r="G1221" s="39" t="n">
        <f aca="false">IF(E1221="KANTOR",0,INDEX(Master_Customer!$C$2:$C$126,MATCH(C1221,Master_Customer!$A$2:$A$126,0)))</f>
        <v>0</v>
      </c>
      <c r="H1221" s="53" t="n">
        <f aca="false">B1221+G1221</f>
        <v>45917</v>
      </c>
      <c r="J1221" s="39" t="str">
        <f aca="false">IF(G1221=0,"Tunai",IF(I1221="","Belum ditukar","Sudah ditukar"))</f>
        <v>Tunai</v>
      </c>
      <c r="K1221" s="54" t="n">
        <v>33124400</v>
      </c>
      <c r="L1221" s="51" t="n">
        <v>45917</v>
      </c>
      <c r="M1221" s="52" t="n">
        <f aca="false">F1221-K1221</f>
        <v>0</v>
      </c>
      <c r="N1221" s="39" t="str">
        <f aca="false">IF(M1221&lt;=0,"Lunas",IF(K1221&gt;0,"Sebagian","Belum Bayar"))</f>
        <v>Lunas</v>
      </c>
      <c r="O1221" s="39" t="n">
        <f aca="false">IF(M1221&gt;0,MAX(0,Catatan!$B$3-H1221),0)</f>
        <v>0</v>
      </c>
      <c r="P1221" s="39" t="str">
        <f aca="false">IF(M1221&lt;=0,"Lunas",IF(Catatan!$B$3&lt;=H1221,"Belum Jatuh Tempo",IF(O1221&lt;=30,"1-30 hari",IF(O1221&lt;=60,"31-60 hari",IF(O1221&lt;=90,"61-90 hari","90+ hari")))))</f>
        <v>Lunas</v>
      </c>
      <c r="Q1221" s="50"/>
      <c r="R1221" s="39" t="str">
        <f aca="false">IF(M1221&lt;=0,"",IF(O1221&gt;60,"1-Tinggi",IF(O1221&gt;30,"2-Sedang",IF(O1221&gt;0,"3-Rendah","4-Pantau"))))</f>
        <v/>
      </c>
      <c r="S1221" s="39" t="str">
        <f aca="false">IF(AND(M1221&gt;0,O1221&gt;0),O1221+M1221/1000000000000+ROW()/1000000000000000,"")</f>
        <v/>
      </c>
      <c r="T1221" s="39" t="str">
        <f aca="false">IF(J1221="Belum ditukar",ROW(),"")</f>
        <v/>
      </c>
    </row>
    <row r="1222" customFormat="false" ht="15" hidden="false" customHeight="false" outlineLevel="0" collapsed="false">
      <c r="A1222" s="50" t="s">
        <v>1510</v>
      </c>
      <c r="B1222" s="51" t="n">
        <v>45917</v>
      </c>
      <c r="C1222" s="50" t="s">
        <v>286</v>
      </c>
      <c r="D1222" s="39" t="str">
        <f aca="false">INDEX(Master_Customer!$B$2:$B$126,MATCH(C1222,Master_Customer!$A$2:$A$126,0))</f>
        <v>CAHAYA AUTO</v>
      </c>
      <c r="E1222" s="50" t="s">
        <v>29</v>
      </c>
      <c r="F1222" s="52" t="n">
        <f aca="false">SUMIFS(Data_Penjualan!$G$2:$G$5998,Data_Penjualan!$A$2:$A$5998,A1222)</f>
        <v>13347200</v>
      </c>
      <c r="G1222" s="39" t="n">
        <f aca="false">IF(E1222="KANTOR",0,INDEX(Master_Customer!$C$2:$C$126,MATCH(C1222,Master_Customer!$A$2:$A$126,0)))</f>
        <v>0</v>
      </c>
      <c r="H1222" s="53" t="n">
        <f aca="false">B1222+G1222</f>
        <v>45917</v>
      </c>
      <c r="J1222" s="39" t="str">
        <f aca="false">IF(G1222=0,"Tunai",IF(I1222="","Belum ditukar","Sudah ditukar"))</f>
        <v>Tunai</v>
      </c>
      <c r="K1222" s="54" t="n">
        <v>13347200</v>
      </c>
      <c r="L1222" s="51" t="n">
        <v>45917</v>
      </c>
      <c r="M1222" s="52" t="n">
        <f aca="false">F1222-K1222</f>
        <v>0</v>
      </c>
      <c r="N1222" s="39" t="str">
        <f aca="false">IF(M1222&lt;=0,"Lunas",IF(K1222&gt;0,"Sebagian","Belum Bayar"))</f>
        <v>Lunas</v>
      </c>
      <c r="O1222" s="39" t="n">
        <f aca="false">IF(M1222&gt;0,MAX(0,Catatan!$B$3-H1222),0)</f>
        <v>0</v>
      </c>
      <c r="P1222" s="39" t="str">
        <f aca="false">IF(M1222&lt;=0,"Lunas",IF(Catatan!$B$3&lt;=H1222,"Belum Jatuh Tempo",IF(O1222&lt;=30,"1-30 hari",IF(O1222&lt;=60,"31-60 hari",IF(O1222&lt;=90,"61-90 hari","90+ hari")))))</f>
        <v>Lunas</v>
      </c>
      <c r="Q1222" s="50"/>
      <c r="R1222" s="39" t="str">
        <f aca="false">IF(M1222&lt;=0,"",IF(O1222&gt;60,"1-Tinggi",IF(O1222&gt;30,"2-Sedang",IF(O1222&gt;0,"3-Rendah","4-Pantau"))))</f>
        <v/>
      </c>
      <c r="S1222" s="39" t="str">
        <f aca="false">IF(AND(M1222&gt;0,O1222&gt;0),O1222+M1222/1000000000000+ROW()/1000000000000000,"")</f>
        <v/>
      </c>
      <c r="T1222" s="39" t="str">
        <f aca="false">IF(J1222="Belum ditukar",ROW(),"")</f>
        <v/>
      </c>
    </row>
    <row r="1223" customFormat="false" ht="15" hidden="false" customHeight="false" outlineLevel="0" collapsed="false">
      <c r="A1223" s="50" t="s">
        <v>1511</v>
      </c>
      <c r="B1223" s="51" t="n">
        <v>45917</v>
      </c>
      <c r="C1223" s="50" t="s">
        <v>211</v>
      </c>
      <c r="D1223" s="39" t="str">
        <f aca="false">INDEX(Master_Customer!$B$2:$B$126,MATCH(C1223,Master_Customer!$A$2:$A$126,0))</f>
        <v>PRIMA MOBIL</v>
      </c>
      <c r="E1223" s="50" t="s">
        <v>32</v>
      </c>
      <c r="F1223" s="52" t="n">
        <f aca="false">SUMIFS(Data_Penjualan!$G$2:$G$5998,Data_Penjualan!$A$2:$A$5998,A1223)</f>
        <v>10532600</v>
      </c>
      <c r="G1223" s="39" t="n">
        <f aca="false">IF(E1223="KANTOR",0,INDEX(Master_Customer!$C$2:$C$126,MATCH(C1223,Master_Customer!$A$2:$A$126,0)))</f>
        <v>0</v>
      </c>
      <c r="H1223" s="53" t="n">
        <f aca="false">B1223+G1223</f>
        <v>45917</v>
      </c>
      <c r="J1223" s="39" t="str">
        <f aca="false">IF(G1223=0,"Tunai",IF(I1223="","Belum ditukar","Sudah ditukar"))</f>
        <v>Tunai</v>
      </c>
      <c r="K1223" s="54" t="n">
        <v>10532600</v>
      </c>
      <c r="L1223" s="51" t="n">
        <v>45917</v>
      </c>
      <c r="M1223" s="52" t="n">
        <f aca="false">F1223-K1223</f>
        <v>0</v>
      </c>
      <c r="N1223" s="39" t="str">
        <f aca="false">IF(M1223&lt;=0,"Lunas",IF(K1223&gt;0,"Sebagian","Belum Bayar"))</f>
        <v>Lunas</v>
      </c>
      <c r="O1223" s="39" t="n">
        <f aca="false">IF(M1223&gt;0,MAX(0,Catatan!$B$3-H1223),0)</f>
        <v>0</v>
      </c>
      <c r="P1223" s="39" t="str">
        <f aca="false">IF(M1223&lt;=0,"Lunas",IF(Catatan!$B$3&lt;=H1223,"Belum Jatuh Tempo",IF(O1223&lt;=30,"1-30 hari",IF(O1223&lt;=60,"31-60 hari",IF(O1223&lt;=90,"61-90 hari","90+ hari")))))</f>
        <v>Lunas</v>
      </c>
      <c r="Q1223" s="50"/>
      <c r="R1223" s="39" t="str">
        <f aca="false">IF(M1223&lt;=0,"",IF(O1223&gt;60,"1-Tinggi",IF(O1223&gt;30,"2-Sedang",IF(O1223&gt;0,"3-Rendah","4-Pantau"))))</f>
        <v/>
      </c>
      <c r="S1223" s="39" t="str">
        <f aca="false">IF(AND(M1223&gt;0,O1223&gt;0),O1223+M1223/1000000000000+ROW()/1000000000000000,"")</f>
        <v/>
      </c>
      <c r="T1223" s="39" t="str">
        <f aca="false">IF(J1223="Belum ditukar",ROW(),"")</f>
        <v/>
      </c>
    </row>
    <row r="1224" customFormat="false" ht="15" hidden="false" customHeight="false" outlineLevel="0" collapsed="false">
      <c r="A1224" s="50" t="s">
        <v>1512</v>
      </c>
      <c r="B1224" s="51" t="n">
        <v>45917</v>
      </c>
      <c r="C1224" s="50" t="s">
        <v>174</v>
      </c>
      <c r="D1224" s="39" t="str">
        <f aca="false">INDEX(Master_Customer!$B$2:$B$126,MATCH(C1224,Master_Customer!$A$2:$A$126,0))</f>
        <v>SUMBER TEKNIK SURYA</v>
      </c>
      <c r="E1224" s="50" t="s">
        <v>31</v>
      </c>
      <c r="F1224" s="52" t="n">
        <f aca="false">SUMIFS(Data_Penjualan!$G$2:$G$5998,Data_Penjualan!$A$2:$A$5998,A1224)</f>
        <v>5937500</v>
      </c>
      <c r="G1224" s="39" t="n">
        <f aca="false">IF(E1224="KANTOR",0,INDEX(Master_Customer!$C$2:$C$126,MATCH(C1224,Master_Customer!$A$2:$A$126,0)))</f>
        <v>30</v>
      </c>
      <c r="H1224" s="53" t="n">
        <f aca="false">B1224+G1224</f>
        <v>45947</v>
      </c>
      <c r="I1224" s="51" t="n">
        <v>45919</v>
      </c>
      <c r="J1224" s="39" t="str">
        <f aca="false">IF(G1224=0,"Tunai",IF(I1224="","Belum ditukar","Sudah ditukar"))</f>
        <v>Sudah ditukar</v>
      </c>
      <c r="K1224" s="54" t="n">
        <v>5937500</v>
      </c>
      <c r="L1224" s="51" t="n">
        <v>45945</v>
      </c>
      <c r="M1224" s="52" t="n">
        <f aca="false">F1224-K1224</f>
        <v>0</v>
      </c>
      <c r="N1224" s="39" t="str">
        <f aca="false">IF(M1224&lt;=0,"Lunas",IF(K1224&gt;0,"Sebagian","Belum Bayar"))</f>
        <v>Lunas</v>
      </c>
      <c r="O1224" s="39" t="n">
        <f aca="false">IF(M1224&gt;0,MAX(0,Catatan!$B$3-H1224),0)</f>
        <v>0</v>
      </c>
      <c r="P1224" s="39" t="str">
        <f aca="false">IF(M1224&lt;=0,"Lunas",IF(Catatan!$B$3&lt;=H1224,"Belum Jatuh Tempo",IF(O1224&lt;=30,"1-30 hari",IF(O1224&lt;=60,"31-60 hari",IF(O1224&lt;=90,"61-90 hari","90+ hari")))))</f>
        <v>Lunas</v>
      </c>
      <c r="Q1224" s="50"/>
      <c r="R1224" s="39" t="str">
        <f aca="false">IF(M1224&lt;=0,"",IF(O1224&gt;60,"1-Tinggi",IF(O1224&gt;30,"2-Sedang",IF(O1224&gt;0,"3-Rendah","4-Pantau"))))</f>
        <v/>
      </c>
      <c r="S1224" s="39" t="str">
        <f aca="false">IF(AND(M1224&gt;0,O1224&gt;0),O1224+M1224/1000000000000+ROW()/1000000000000000,"")</f>
        <v/>
      </c>
      <c r="T1224" s="39" t="str">
        <f aca="false">IF(J1224="Belum ditukar",ROW(),"")</f>
        <v/>
      </c>
    </row>
    <row r="1225" customFormat="false" ht="15" hidden="false" customHeight="false" outlineLevel="0" collapsed="false">
      <c r="A1225" s="50" t="s">
        <v>1513</v>
      </c>
      <c r="B1225" s="51" t="n">
        <v>45918</v>
      </c>
      <c r="C1225" s="50" t="s">
        <v>243</v>
      </c>
      <c r="D1225" s="39" t="str">
        <f aca="false">INDEX(Master_Customer!$B$2:$B$126,MATCH(C1225,Master_Customer!$A$2:$A$126,0))</f>
        <v>SENTOSA LUBRICANT MULIA</v>
      </c>
      <c r="E1225" s="50" t="s">
        <v>30</v>
      </c>
      <c r="F1225" s="52" t="n">
        <f aca="false">SUMIFS(Data_Penjualan!$G$2:$G$5998,Data_Penjualan!$A$2:$A$5998,A1225)</f>
        <v>18352900</v>
      </c>
      <c r="G1225" s="39" t="n">
        <f aca="false">IF(E1225="KANTOR",0,INDEX(Master_Customer!$C$2:$C$126,MATCH(C1225,Master_Customer!$A$2:$A$126,0)))</f>
        <v>45</v>
      </c>
      <c r="H1225" s="53" t="n">
        <f aca="false">B1225+G1225</f>
        <v>45963</v>
      </c>
      <c r="I1225" s="51" t="n">
        <v>45923</v>
      </c>
      <c r="J1225" s="39" t="str">
        <f aca="false">IF(G1225=0,"Tunai",IF(I1225="","Belum ditukar","Sudah ditukar"))</f>
        <v>Sudah ditukar</v>
      </c>
      <c r="K1225" s="54" t="n">
        <v>18352900</v>
      </c>
      <c r="L1225" s="51" t="n">
        <v>45987</v>
      </c>
      <c r="M1225" s="52" t="n">
        <f aca="false">F1225-K1225</f>
        <v>0</v>
      </c>
      <c r="N1225" s="39" t="str">
        <f aca="false">IF(M1225&lt;=0,"Lunas",IF(K1225&gt;0,"Sebagian","Belum Bayar"))</f>
        <v>Lunas</v>
      </c>
      <c r="O1225" s="39" t="n">
        <f aca="false">IF(M1225&gt;0,MAX(0,Catatan!$B$3-H1225),0)</f>
        <v>0</v>
      </c>
      <c r="P1225" s="39" t="str">
        <f aca="false">IF(M1225&lt;=0,"Lunas",IF(Catatan!$B$3&lt;=H1225,"Belum Jatuh Tempo",IF(O1225&lt;=30,"1-30 hari",IF(O1225&lt;=60,"31-60 hari",IF(O1225&lt;=90,"61-90 hari","90+ hari")))))</f>
        <v>Lunas</v>
      </c>
      <c r="Q1225" s="50"/>
      <c r="R1225" s="39" t="str">
        <f aca="false">IF(M1225&lt;=0,"",IF(O1225&gt;60,"1-Tinggi",IF(O1225&gt;30,"2-Sedang",IF(O1225&gt;0,"3-Rendah","4-Pantau"))))</f>
        <v/>
      </c>
      <c r="S1225" s="39" t="str">
        <f aca="false">IF(AND(M1225&gt;0,O1225&gt;0),O1225+M1225/1000000000000+ROW()/1000000000000000,"")</f>
        <v/>
      </c>
      <c r="T1225" s="39" t="str">
        <f aca="false">IF(J1225="Belum ditukar",ROW(),"")</f>
        <v/>
      </c>
    </row>
    <row r="1226" customFormat="false" ht="15" hidden="false" customHeight="false" outlineLevel="0" collapsed="false">
      <c r="A1226" s="50" t="s">
        <v>1514</v>
      </c>
      <c r="B1226" s="51" t="n">
        <v>45918</v>
      </c>
      <c r="C1226" s="50" t="s">
        <v>199</v>
      </c>
      <c r="D1226" s="39" t="str">
        <f aca="false">INDEX(Master_Customer!$B$2:$B$126,MATCH(C1226,Master_Customer!$A$2:$A$126,0))</f>
        <v>KARYA SPAREPART</v>
      </c>
      <c r="E1226" s="50" t="s">
        <v>29</v>
      </c>
      <c r="F1226" s="52" t="n">
        <f aca="false">SUMIFS(Data_Penjualan!$G$2:$G$5998,Data_Penjualan!$A$2:$A$5998,A1226)</f>
        <v>4114800</v>
      </c>
      <c r="G1226" s="39" t="n">
        <f aca="false">IF(E1226="KANTOR",0,INDEX(Master_Customer!$C$2:$C$126,MATCH(C1226,Master_Customer!$A$2:$A$126,0)))</f>
        <v>45</v>
      </c>
      <c r="H1226" s="53" t="n">
        <f aca="false">B1226+G1226</f>
        <v>45963</v>
      </c>
      <c r="I1226" s="51" t="n">
        <v>45922</v>
      </c>
      <c r="J1226" s="39" t="str">
        <f aca="false">IF(G1226=0,"Tunai",IF(I1226="","Belum ditukar","Sudah ditukar"))</f>
        <v>Sudah ditukar</v>
      </c>
      <c r="K1226" s="54" t="n">
        <v>2798500</v>
      </c>
      <c r="L1226" s="51" t="n">
        <v>45962</v>
      </c>
      <c r="M1226" s="52" t="n">
        <f aca="false">F1226-K1226</f>
        <v>1316300</v>
      </c>
      <c r="N1226" s="39" t="str">
        <f aca="false">IF(M1226&lt;=0,"Lunas",IF(K1226&gt;0,"Sebagian","Belum Bayar"))</f>
        <v>Sebagian</v>
      </c>
      <c r="O1226" s="39" t="n">
        <f aca="false">IF(M1226&gt;0,MAX(0,Catatan!$B$3-H1226),0)</f>
        <v>59</v>
      </c>
      <c r="P1226" s="39" t="str">
        <f aca="false">IF(M1226&lt;=0,"Lunas",IF(Catatan!$B$3&lt;=H1226,"Belum Jatuh Tempo",IF(O1226&lt;=30,"1-30 hari",IF(O1226&lt;=60,"31-60 hari",IF(O1226&lt;=90,"61-90 hari","90+ hari")))))</f>
        <v>31-60 hari</v>
      </c>
      <c r="Q1226" s="50" t="s">
        <v>397</v>
      </c>
      <c r="R1226" s="39" t="str">
        <f aca="false">IF(M1226&lt;=0,"",IF(O1226&gt;60,"1-Tinggi",IF(O1226&gt;30,"2-Sedang",IF(O1226&gt;0,"3-Rendah","4-Pantau"))))</f>
        <v>2-Sedang</v>
      </c>
      <c r="S1226" s="39" t="n">
        <f aca="false">IF(AND(M1226&gt;0,O1226&gt;0),O1226+M1226/1000000000000+ROW()/1000000000000000,"")</f>
        <v>59.0000013163012</v>
      </c>
      <c r="T1226" s="39" t="str">
        <f aca="false">IF(J1226="Belum ditukar",ROW(),"")</f>
        <v/>
      </c>
    </row>
    <row r="1227" customFormat="false" ht="15" hidden="false" customHeight="false" outlineLevel="0" collapsed="false">
      <c r="A1227" s="50" t="s">
        <v>1515</v>
      </c>
      <c r="B1227" s="51" t="n">
        <v>45918</v>
      </c>
      <c r="C1227" s="50" t="s">
        <v>179</v>
      </c>
      <c r="D1227" s="39" t="str">
        <f aca="false">INDEX(Master_Customer!$B$2:$B$126,MATCH(C1227,Master_Customer!$A$2:$A$126,0))</f>
        <v>BINTANG TEKNIK SURYA</v>
      </c>
      <c r="E1227" s="50" t="s">
        <v>29</v>
      </c>
      <c r="F1227" s="52" t="n">
        <f aca="false">SUMIFS(Data_Penjualan!$G$2:$G$5998,Data_Penjualan!$A$2:$A$5998,A1227)</f>
        <v>16068700</v>
      </c>
      <c r="G1227" s="39" t="n">
        <f aca="false">IF(E1227="KANTOR",0,INDEX(Master_Customer!$C$2:$C$126,MATCH(C1227,Master_Customer!$A$2:$A$126,0)))</f>
        <v>45</v>
      </c>
      <c r="H1227" s="53" t="n">
        <f aca="false">B1227+G1227</f>
        <v>45963</v>
      </c>
      <c r="I1227" s="51" t="n">
        <v>45921</v>
      </c>
      <c r="J1227" s="39" t="str">
        <f aca="false">IF(G1227=0,"Tunai",IF(I1227="","Belum ditukar","Sudah ditukar"))</f>
        <v>Sudah ditukar</v>
      </c>
      <c r="K1227" s="54" t="n">
        <v>16068700</v>
      </c>
      <c r="L1227" s="51" t="n">
        <v>45958</v>
      </c>
      <c r="M1227" s="52" t="n">
        <f aca="false">F1227-K1227</f>
        <v>0</v>
      </c>
      <c r="N1227" s="39" t="str">
        <f aca="false">IF(M1227&lt;=0,"Lunas",IF(K1227&gt;0,"Sebagian","Belum Bayar"))</f>
        <v>Lunas</v>
      </c>
      <c r="O1227" s="39" t="n">
        <f aca="false">IF(M1227&gt;0,MAX(0,Catatan!$B$3-H1227),0)</f>
        <v>0</v>
      </c>
      <c r="P1227" s="39" t="str">
        <f aca="false">IF(M1227&lt;=0,"Lunas",IF(Catatan!$B$3&lt;=H1227,"Belum Jatuh Tempo",IF(O1227&lt;=30,"1-30 hari",IF(O1227&lt;=60,"31-60 hari",IF(O1227&lt;=90,"61-90 hari","90+ hari")))))</f>
        <v>Lunas</v>
      </c>
      <c r="Q1227" s="50"/>
      <c r="R1227" s="39" t="str">
        <f aca="false">IF(M1227&lt;=0,"",IF(O1227&gt;60,"1-Tinggi",IF(O1227&gt;30,"2-Sedang",IF(O1227&gt;0,"3-Rendah","4-Pantau"))))</f>
        <v/>
      </c>
      <c r="S1227" s="39" t="str">
        <f aca="false">IF(AND(M1227&gt;0,O1227&gt;0),O1227+M1227/1000000000000+ROW()/1000000000000000,"")</f>
        <v/>
      </c>
      <c r="T1227" s="39" t="str">
        <f aca="false">IF(J1227="Belum ditukar",ROW(),"")</f>
        <v/>
      </c>
    </row>
    <row r="1228" customFormat="false" ht="15" hidden="false" customHeight="false" outlineLevel="0" collapsed="false">
      <c r="A1228" s="50" t="s">
        <v>1516</v>
      </c>
      <c r="B1228" s="51" t="n">
        <v>45919</v>
      </c>
      <c r="C1228" s="50" t="s">
        <v>271</v>
      </c>
      <c r="D1228" s="39" t="str">
        <f aca="false">INDEX(Master_Customer!$B$2:$B$126,MATCH(C1228,Master_Customer!$A$2:$A$126,0))</f>
        <v>CAHAYA MOTOR</v>
      </c>
      <c r="E1228" s="50" t="s">
        <v>28</v>
      </c>
      <c r="F1228" s="52" t="n">
        <f aca="false">SUMIFS(Data_Penjualan!$G$2:$G$5998,Data_Penjualan!$A$2:$A$5998,A1228)</f>
        <v>4366800</v>
      </c>
      <c r="G1228" s="39" t="n">
        <f aca="false">IF(E1228="KANTOR",0,INDEX(Master_Customer!$C$2:$C$126,MATCH(C1228,Master_Customer!$A$2:$A$126,0)))</f>
        <v>14</v>
      </c>
      <c r="H1228" s="53" t="n">
        <f aca="false">B1228+G1228</f>
        <v>45933</v>
      </c>
      <c r="I1228" s="51" t="n">
        <v>45922</v>
      </c>
      <c r="J1228" s="39" t="str">
        <f aca="false">IF(G1228=0,"Tunai",IF(I1228="","Belum ditukar","Sudah ditukar"))</f>
        <v>Sudah ditukar</v>
      </c>
      <c r="K1228" s="54" t="n">
        <v>4366800</v>
      </c>
      <c r="L1228" s="51" t="n">
        <v>45936</v>
      </c>
      <c r="M1228" s="52" t="n">
        <f aca="false">F1228-K1228</f>
        <v>0</v>
      </c>
      <c r="N1228" s="39" t="str">
        <f aca="false">IF(M1228&lt;=0,"Lunas",IF(K1228&gt;0,"Sebagian","Belum Bayar"))</f>
        <v>Lunas</v>
      </c>
      <c r="O1228" s="39" t="n">
        <f aca="false">IF(M1228&gt;0,MAX(0,Catatan!$B$3-H1228),0)</f>
        <v>0</v>
      </c>
      <c r="P1228" s="39" t="str">
        <f aca="false">IF(M1228&lt;=0,"Lunas",IF(Catatan!$B$3&lt;=H1228,"Belum Jatuh Tempo",IF(O1228&lt;=30,"1-30 hari",IF(O1228&lt;=60,"31-60 hari",IF(O1228&lt;=90,"61-90 hari","90+ hari")))))</f>
        <v>Lunas</v>
      </c>
      <c r="Q1228" s="50"/>
      <c r="R1228" s="39" t="str">
        <f aca="false">IF(M1228&lt;=0,"",IF(O1228&gt;60,"1-Tinggi",IF(O1228&gt;30,"2-Sedang",IF(O1228&gt;0,"3-Rendah","4-Pantau"))))</f>
        <v/>
      </c>
      <c r="S1228" s="39" t="str">
        <f aca="false">IF(AND(M1228&gt;0,O1228&gt;0),O1228+M1228/1000000000000+ROW()/1000000000000000,"")</f>
        <v/>
      </c>
      <c r="T1228" s="39" t="str">
        <f aca="false">IF(J1228="Belum ditukar",ROW(),"")</f>
        <v/>
      </c>
    </row>
    <row r="1229" customFormat="false" ht="15" hidden="false" customHeight="false" outlineLevel="0" collapsed="false">
      <c r="A1229" s="50" t="s">
        <v>1517</v>
      </c>
      <c r="B1229" s="51" t="n">
        <v>45919</v>
      </c>
      <c r="C1229" s="50" t="s">
        <v>166</v>
      </c>
      <c r="D1229" s="39" t="str">
        <f aca="false">INDEX(Master_Customer!$B$2:$B$126,MATCH(C1229,Master_Customer!$A$2:$A$126,0))</f>
        <v>SENTOSA SERVICE</v>
      </c>
      <c r="E1229" s="50" t="s">
        <v>30</v>
      </c>
      <c r="F1229" s="52" t="n">
        <f aca="false">SUMIFS(Data_Penjualan!$G$2:$G$5998,Data_Penjualan!$A$2:$A$5998,A1229)</f>
        <v>7018400</v>
      </c>
      <c r="G1229" s="39" t="n">
        <f aca="false">IF(E1229="KANTOR",0,INDEX(Master_Customer!$C$2:$C$126,MATCH(C1229,Master_Customer!$A$2:$A$126,0)))</f>
        <v>0</v>
      </c>
      <c r="H1229" s="53" t="n">
        <f aca="false">B1229+G1229</f>
        <v>45919</v>
      </c>
      <c r="J1229" s="39" t="str">
        <f aca="false">IF(G1229=0,"Tunai",IF(I1229="","Belum ditukar","Sudah ditukar"))</f>
        <v>Tunai</v>
      </c>
      <c r="K1229" s="54" t="n">
        <v>7018400</v>
      </c>
      <c r="L1229" s="51" t="n">
        <v>45919</v>
      </c>
      <c r="M1229" s="52" t="n">
        <f aca="false">F1229-K1229</f>
        <v>0</v>
      </c>
      <c r="N1229" s="39" t="str">
        <f aca="false">IF(M1229&lt;=0,"Lunas",IF(K1229&gt;0,"Sebagian","Belum Bayar"))</f>
        <v>Lunas</v>
      </c>
      <c r="O1229" s="39" t="n">
        <f aca="false">IF(M1229&gt;0,MAX(0,Catatan!$B$3-H1229),0)</f>
        <v>0</v>
      </c>
      <c r="P1229" s="39" t="str">
        <f aca="false">IF(M1229&lt;=0,"Lunas",IF(Catatan!$B$3&lt;=H1229,"Belum Jatuh Tempo",IF(O1229&lt;=30,"1-30 hari",IF(O1229&lt;=60,"31-60 hari",IF(O1229&lt;=90,"61-90 hari","90+ hari")))))</f>
        <v>Lunas</v>
      </c>
      <c r="Q1229" s="50"/>
      <c r="R1229" s="39" t="str">
        <f aca="false">IF(M1229&lt;=0,"",IF(O1229&gt;60,"1-Tinggi",IF(O1229&gt;30,"2-Sedang",IF(O1229&gt;0,"3-Rendah","4-Pantau"))))</f>
        <v/>
      </c>
      <c r="S1229" s="39" t="str">
        <f aca="false">IF(AND(M1229&gt;0,O1229&gt;0),O1229+M1229/1000000000000+ROW()/1000000000000000,"")</f>
        <v/>
      </c>
      <c r="T1229" s="39" t="str">
        <f aca="false">IF(J1229="Belum ditukar",ROW(),"")</f>
        <v/>
      </c>
    </row>
    <row r="1230" customFormat="false" ht="15" hidden="false" customHeight="false" outlineLevel="0" collapsed="false">
      <c r="A1230" s="50" t="s">
        <v>1518</v>
      </c>
      <c r="B1230" s="51" t="n">
        <v>45919</v>
      </c>
      <c r="C1230" s="50" t="s">
        <v>419</v>
      </c>
      <c r="D1230" s="39" t="str">
        <f aca="false">INDEX(Master_Customer!$B$2:$B$126,MATCH(C1230,Master_Customer!$A$2:$A$126,0))</f>
        <v>UTAMA MOTOR</v>
      </c>
      <c r="E1230" s="50" t="s">
        <v>30</v>
      </c>
      <c r="F1230" s="52" t="n">
        <f aca="false">SUMIFS(Data_Penjualan!$G$2:$G$5998,Data_Penjualan!$A$2:$A$5998,A1230)</f>
        <v>22049200</v>
      </c>
      <c r="G1230" s="39" t="n">
        <f aca="false">IF(E1230="KANTOR",0,INDEX(Master_Customer!$C$2:$C$126,MATCH(C1230,Master_Customer!$A$2:$A$126,0)))</f>
        <v>14</v>
      </c>
      <c r="H1230" s="53" t="n">
        <f aca="false">B1230+G1230</f>
        <v>45933</v>
      </c>
      <c r="I1230" s="51" t="n">
        <v>45920</v>
      </c>
      <c r="J1230" s="39" t="str">
        <f aca="false">IF(G1230=0,"Tunai",IF(I1230="","Belum ditukar","Sudah ditukar"))</f>
        <v>Sudah ditukar</v>
      </c>
      <c r="K1230" s="54" t="n">
        <v>22049200</v>
      </c>
      <c r="L1230" s="51" t="n">
        <v>45934</v>
      </c>
      <c r="M1230" s="52" t="n">
        <f aca="false">F1230-K1230</f>
        <v>0</v>
      </c>
      <c r="N1230" s="39" t="str">
        <f aca="false">IF(M1230&lt;=0,"Lunas",IF(K1230&gt;0,"Sebagian","Belum Bayar"))</f>
        <v>Lunas</v>
      </c>
      <c r="O1230" s="39" t="n">
        <f aca="false">IF(M1230&gt;0,MAX(0,Catatan!$B$3-H1230),0)</f>
        <v>0</v>
      </c>
      <c r="P1230" s="39" t="str">
        <f aca="false">IF(M1230&lt;=0,"Lunas",IF(Catatan!$B$3&lt;=H1230,"Belum Jatuh Tempo",IF(O1230&lt;=30,"1-30 hari",IF(O1230&lt;=60,"31-60 hari",IF(O1230&lt;=90,"61-90 hari","90+ hari")))))</f>
        <v>Lunas</v>
      </c>
      <c r="Q1230" s="50"/>
      <c r="R1230" s="39" t="str">
        <f aca="false">IF(M1230&lt;=0,"",IF(O1230&gt;60,"1-Tinggi",IF(O1230&gt;30,"2-Sedang",IF(O1230&gt;0,"3-Rendah","4-Pantau"))))</f>
        <v/>
      </c>
      <c r="S1230" s="39" t="str">
        <f aca="false">IF(AND(M1230&gt;0,O1230&gt;0),O1230+M1230/1000000000000+ROW()/1000000000000000,"")</f>
        <v/>
      </c>
      <c r="T1230" s="39" t="str">
        <f aca="false">IF(J1230="Belum ditukar",ROW(),"")</f>
        <v/>
      </c>
    </row>
    <row r="1231" customFormat="false" ht="15" hidden="false" customHeight="false" outlineLevel="0" collapsed="false">
      <c r="A1231" s="50" t="s">
        <v>1519</v>
      </c>
      <c r="B1231" s="51" t="n">
        <v>45919</v>
      </c>
      <c r="C1231" s="50" t="s">
        <v>261</v>
      </c>
      <c r="D1231" s="39" t="str">
        <f aca="false">INDEX(Master_Customer!$B$2:$B$126,MATCH(C1231,Master_Customer!$A$2:$A$126,0))</f>
        <v>SUMBER MOTOR UTAMA</v>
      </c>
      <c r="E1231" s="50" t="s">
        <v>28</v>
      </c>
      <c r="F1231" s="52" t="n">
        <f aca="false">SUMIFS(Data_Penjualan!$G$2:$G$5998,Data_Penjualan!$A$2:$A$5998,A1231)</f>
        <v>6611600</v>
      </c>
      <c r="G1231" s="39" t="n">
        <f aca="false">IF(E1231="KANTOR",0,INDEX(Master_Customer!$C$2:$C$126,MATCH(C1231,Master_Customer!$A$2:$A$126,0)))</f>
        <v>0</v>
      </c>
      <c r="H1231" s="53" t="n">
        <f aca="false">B1231+G1231</f>
        <v>45919</v>
      </c>
      <c r="J1231" s="39" t="str">
        <f aca="false">IF(G1231=0,"Tunai",IF(I1231="","Belum ditukar","Sudah ditukar"))</f>
        <v>Tunai</v>
      </c>
      <c r="K1231" s="54" t="n">
        <v>6611600</v>
      </c>
      <c r="L1231" s="51" t="n">
        <v>45919</v>
      </c>
      <c r="M1231" s="52" t="n">
        <f aca="false">F1231-K1231</f>
        <v>0</v>
      </c>
      <c r="N1231" s="39" t="str">
        <f aca="false">IF(M1231&lt;=0,"Lunas",IF(K1231&gt;0,"Sebagian","Belum Bayar"))</f>
        <v>Lunas</v>
      </c>
      <c r="O1231" s="39" t="n">
        <f aca="false">IF(M1231&gt;0,MAX(0,Catatan!$B$3-H1231),0)</f>
        <v>0</v>
      </c>
      <c r="P1231" s="39" t="str">
        <f aca="false">IF(M1231&lt;=0,"Lunas",IF(Catatan!$B$3&lt;=H1231,"Belum Jatuh Tempo",IF(O1231&lt;=30,"1-30 hari",IF(O1231&lt;=60,"31-60 hari",IF(O1231&lt;=90,"61-90 hari","90+ hari")))))</f>
        <v>Lunas</v>
      </c>
      <c r="Q1231" s="50"/>
      <c r="R1231" s="39" t="str">
        <f aca="false">IF(M1231&lt;=0,"",IF(O1231&gt;60,"1-Tinggi",IF(O1231&gt;30,"2-Sedang",IF(O1231&gt;0,"3-Rendah","4-Pantau"))))</f>
        <v/>
      </c>
      <c r="S1231" s="39" t="str">
        <f aca="false">IF(AND(M1231&gt;0,O1231&gt;0),O1231+M1231/1000000000000+ROW()/1000000000000000,"")</f>
        <v/>
      </c>
      <c r="T1231" s="39" t="str">
        <f aca="false">IF(J1231="Belum ditukar",ROW(),"")</f>
        <v/>
      </c>
    </row>
    <row r="1232" customFormat="false" ht="15" hidden="false" customHeight="false" outlineLevel="0" collapsed="false">
      <c r="A1232" s="50" t="s">
        <v>1520</v>
      </c>
      <c r="B1232" s="51" t="n">
        <v>45919</v>
      </c>
      <c r="C1232" s="50" t="s">
        <v>207</v>
      </c>
      <c r="D1232" s="39" t="str">
        <f aca="false">INDEX(Master_Customer!$B$2:$B$126,MATCH(C1232,Master_Customer!$A$2:$A$126,0))</f>
        <v>MAKMUR AUTO HARAPAN</v>
      </c>
      <c r="E1232" s="50" t="s">
        <v>29</v>
      </c>
      <c r="F1232" s="52" t="n">
        <f aca="false">SUMIFS(Data_Penjualan!$G$2:$G$5998,Data_Penjualan!$A$2:$A$5998,A1232)</f>
        <v>13164500</v>
      </c>
      <c r="G1232" s="39" t="n">
        <f aca="false">IF(E1232="KANTOR",0,INDEX(Master_Customer!$C$2:$C$126,MATCH(C1232,Master_Customer!$A$2:$A$126,0)))</f>
        <v>30</v>
      </c>
      <c r="H1232" s="53" t="n">
        <f aca="false">B1232+G1232</f>
        <v>45949</v>
      </c>
      <c r="I1232" s="51" t="n">
        <v>45923</v>
      </c>
      <c r="J1232" s="39" t="str">
        <f aca="false">IF(G1232=0,"Tunai",IF(I1232="","Belum ditukar","Sudah ditukar"))</f>
        <v>Sudah ditukar</v>
      </c>
      <c r="K1232" s="54" t="n">
        <v>13164500</v>
      </c>
      <c r="L1232" s="51" t="n">
        <v>45972</v>
      </c>
      <c r="M1232" s="52" t="n">
        <f aca="false">F1232-K1232</f>
        <v>0</v>
      </c>
      <c r="N1232" s="39" t="str">
        <f aca="false">IF(M1232&lt;=0,"Lunas",IF(K1232&gt;0,"Sebagian","Belum Bayar"))</f>
        <v>Lunas</v>
      </c>
      <c r="O1232" s="39" t="n">
        <f aca="false">IF(M1232&gt;0,MAX(0,Catatan!$B$3-H1232),0)</f>
        <v>0</v>
      </c>
      <c r="P1232" s="39" t="str">
        <f aca="false">IF(M1232&lt;=0,"Lunas",IF(Catatan!$B$3&lt;=H1232,"Belum Jatuh Tempo",IF(O1232&lt;=30,"1-30 hari",IF(O1232&lt;=60,"31-60 hari",IF(O1232&lt;=90,"61-90 hari","90+ hari")))))</f>
        <v>Lunas</v>
      </c>
      <c r="Q1232" s="50"/>
      <c r="R1232" s="39" t="str">
        <f aca="false">IF(M1232&lt;=0,"",IF(O1232&gt;60,"1-Tinggi",IF(O1232&gt;30,"2-Sedang",IF(O1232&gt;0,"3-Rendah","4-Pantau"))))</f>
        <v/>
      </c>
      <c r="S1232" s="39" t="str">
        <f aca="false">IF(AND(M1232&gt;0,O1232&gt;0),O1232+M1232/1000000000000+ROW()/1000000000000000,"")</f>
        <v/>
      </c>
      <c r="T1232" s="39" t="str">
        <f aca="false">IF(J1232="Belum ditukar",ROW(),"")</f>
        <v/>
      </c>
    </row>
    <row r="1233" customFormat="false" ht="15" hidden="false" customHeight="false" outlineLevel="0" collapsed="false">
      <c r="A1233" s="50" t="s">
        <v>1521</v>
      </c>
      <c r="B1233" s="51" t="n">
        <v>45919</v>
      </c>
      <c r="C1233" s="50" t="s">
        <v>247</v>
      </c>
      <c r="D1233" s="39" t="str">
        <f aca="false">INDEX(Master_Customer!$B$2:$B$126,MATCH(C1233,Master_Customer!$A$2:$A$126,0))</f>
        <v>BINTANG LUBRICANT SURYA</v>
      </c>
      <c r="E1233" s="50" t="s">
        <v>28</v>
      </c>
      <c r="F1233" s="52" t="n">
        <f aca="false">SUMIFS(Data_Penjualan!$G$2:$G$5998,Data_Penjualan!$A$2:$A$5998,A1233)</f>
        <v>9918600</v>
      </c>
      <c r="G1233" s="39" t="n">
        <f aca="false">IF(E1233="KANTOR",0,INDEX(Master_Customer!$C$2:$C$126,MATCH(C1233,Master_Customer!$A$2:$A$126,0)))</f>
        <v>30</v>
      </c>
      <c r="H1233" s="53" t="n">
        <f aca="false">B1233+G1233</f>
        <v>45949</v>
      </c>
      <c r="I1233" s="51" t="n">
        <v>45924</v>
      </c>
      <c r="J1233" s="39" t="str">
        <f aca="false">IF(G1233=0,"Tunai",IF(I1233="","Belum ditukar","Sudah ditukar"))</f>
        <v>Sudah ditukar</v>
      </c>
      <c r="K1233" s="54" t="n">
        <v>9918600</v>
      </c>
      <c r="L1233" s="51" t="n">
        <v>45945</v>
      </c>
      <c r="M1233" s="52" t="n">
        <f aca="false">F1233-K1233</f>
        <v>0</v>
      </c>
      <c r="N1233" s="39" t="str">
        <f aca="false">IF(M1233&lt;=0,"Lunas",IF(K1233&gt;0,"Sebagian","Belum Bayar"))</f>
        <v>Lunas</v>
      </c>
      <c r="O1233" s="39" t="n">
        <f aca="false">IF(M1233&gt;0,MAX(0,Catatan!$B$3-H1233),0)</f>
        <v>0</v>
      </c>
      <c r="P1233" s="39" t="str">
        <f aca="false">IF(M1233&lt;=0,"Lunas",IF(Catatan!$B$3&lt;=H1233,"Belum Jatuh Tempo",IF(O1233&lt;=30,"1-30 hari",IF(O1233&lt;=60,"31-60 hari",IF(O1233&lt;=90,"61-90 hari","90+ hari")))))</f>
        <v>Lunas</v>
      </c>
      <c r="Q1233" s="50"/>
      <c r="R1233" s="39" t="str">
        <f aca="false">IF(M1233&lt;=0,"",IF(O1233&gt;60,"1-Tinggi",IF(O1233&gt;30,"2-Sedang",IF(O1233&gt;0,"3-Rendah","4-Pantau"))))</f>
        <v/>
      </c>
      <c r="S1233" s="39" t="str">
        <f aca="false">IF(AND(M1233&gt;0,O1233&gt;0),O1233+M1233/1000000000000+ROW()/1000000000000000,"")</f>
        <v/>
      </c>
      <c r="T1233" s="39" t="str">
        <f aca="false">IF(J1233="Belum ditukar",ROW(),"")</f>
        <v/>
      </c>
    </row>
    <row r="1234" customFormat="false" ht="15" hidden="false" customHeight="false" outlineLevel="0" collapsed="false">
      <c r="A1234" s="50" t="s">
        <v>1522</v>
      </c>
      <c r="B1234" s="51" t="n">
        <v>45919</v>
      </c>
      <c r="C1234" s="50" t="s">
        <v>382</v>
      </c>
      <c r="D1234" s="39" t="str">
        <f aca="false">INDEX(Master_Customer!$B$2:$B$126,MATCH(C1234,Master_Customer!$A$2:$A$126,0))</f>
        <v>BERKAH SPAREPART</v>
      </c>
      <c r="E1234" s="50" t="s">
        <v>29</v>
      </c>
      <c r="F1234" s="52" t="n">
        <f aca="false">SUMIFS(Data_Penjualan!$G$2:$G$5998,Data_Penjualan!$A$2:$A$5998,A1234)</f>
        <v>18151000</v>
      </c>
      <c r="G1234" s="39" t="n">
        <f aca="false">IF(E1234="KANTOR",0,INDEX(Master_Customer!$C$2:$C$126,MATCH(C1234,Master_Customer!$A$2:$A$126,0)))</f>
        <v>30</v>
      </c>
      <c r="H1234" s="53" t="n">
        <f aca="false">B1234+G1234</f>
        <v>45949</v>
      </c>
      <c r="I1234" s="51" t="n">
        <v>45921</v>
      </c>
      <c r="J1234" s="39" t="str">
        <f aca="false">IF(G1234=0,"Tunai",IF(I1234="","Belum ditukar","Sudah ditukar"))</f>
        <v>Sudah ditukar</v>
      </c>
      <c r="K1234" s="54" t="n">
        <v>18151000</v>
      </c>
      <c r="L1234" s="51" t="n">
        <v>45967</v>
      </c>
      <c r="M1234" s="52" t="n">
        <f aca="false">F1234-K1234</f>
        <v>0</v>
      </c>
      <c r="N1234" s="39" t="str">
        <f aca="false">IF(M1234&lt;=0,"Lunas",IF(K1234&gt;0,"Sebagian","Belum Bayar"))</f>
        <v>Lunas</v>
      </c>
      <c r="O1234" s="39" t="n">
        <f aca="false">IF(M1234&gt;0,MAX(0,Catatan!$B$3-H1234),0)</f>
        <v>0</v>
      </c>
      <c r="P1234" s="39" t="str">
        <f aca="false">IF(M1234&lt;=0,"Lunas",IF(Catatan!$B$3&lt;=H1234,"Belum Jatuh Tempo",IF(O1234&lt;=30,"1-30 hari",IF(O1234&lt;=60,"31-60 hari",IF(O1234&lt;=90,"61-90 hari","90+ hari")))))</f>
        <v>Lunas</v>
      </c>
      <c r="Q1234" s="50"/>
      <c r="R1234" s="39" t="str">
        <f aca="false">IF(M1234&lt;=0,"",IF(O1234&gt;60,"1-Tinggi",IF(O1234&gt;30,"2-Sedang",IF(O1234&gt;0,"3-Rendah","4-Pantau"))))</f>
        <v/>
      </c>
      <c r="S1234" s="39" t="str">
        <f aca="false">IF(AND(M1234&gt;0,O1234&gt;0),O1234+M1234/1000000000000+ROW()/1000000000000000,"")</f>
        <v/>
      </c>
      <c r="T1234" s="39" t="str">
        <f aca="false">IF(J1234="Belum ditukar",ROW(),"")</f>
        <v/>
      </c>
    </row>
    <row r="1235" customFormat="false" ht="15" hidden="false" customHeight="false" outlineLevel="0" collapsed="false">
      <c r="A1235" s="50" t="s">
        <v>1523</v>
      </c>
      <c r="B1235" s="51" t="n">
        <v>45920</v>
      </c>
      <c r="C1235" s="50" t="s">
        <v>177</v>
      </c>
      <c r="D1235" s="39" t="str">
        <f aca="false">INDEX(Master_Customer!$B$2:$B$126,MATCH(C1235,Master_Customer!$A$2:$A$126,0))</f>
        <v>PRIMA MOTOR LANCAR</v>
      </c>
      <c r="E1235" s="50" t="s">
        <v>29</v>
      </c>
      <c r="F1235" s="52" t="n">
        <f aca="false">SUMIFS(Data_Penjualan!$G$2:$G$5998,Data_Penjualan!$A$2:$A$5998,A1235)</f>
        <v>10472800</v>
      </c>
      <c r="G1235" s="39" t="n">
        <f aca="false">IF(E1235="KANTOR",0,INDEX(Master_Customer!$C$2:$C$126,MATCH(C1235,Master_Customer!$A$2:$A$126,0)))</f>
        <v>14</v>
      </c>
      <c r="H1235" s="53" t="n">
        <f aca="false">B1235+G1235</f>
        <v>45934</v>
      </c>
      <c r="I1235" s="51" t="n">
        <v>45922</v>
      </c>
      <c r="J1235" s="39" t="str">
        <f aca="false">IF(G1235=0,"Tunai",IF(I1235="","Belum ditukar","Sudah ditukar"))</f>
        <v>Sudah ditukar</v>
      </c>
      <c r="K1235" s="54" t="n">
        <v>10472800</v>
      </c>
      <c r="L1235" s="51" t="n">
        <v>45933</v>
      </c>
      <c r="M1235" s="52" t="n">
        <f aca="false">F1235-K1235</f>
        <v>0</v>
      </c>
      <c r="N1235" s="39" t="str">
        <f aca="false">IF(M1235&lt;=0,"Lunas",IF(K1235&gt;0,"Sebagian","Belum Bayar"))</f>
        <v>Lunas</v>
      </c>
      <c r="O1235" s="39" t="n">
        <f aca="false">IF(M1235&gt;0,MAX(0,Catatan!$B$3-H1235),0)</f>
        <v>0</v>
      </c>
      <c r="P1235" s="39" t="str">
        <f aca="false">IF(M1235&lt;=0,"Lunas",IF(Catatan!$B$3&lt;=H1235,"Belum Jatuh Tempo",IF(O1235&lt;=30,"1-30 hari",IF(O1235&lt;=60,"31-60 hari",IF(O1235&lt;=90,"61-90 hari","90+ hari")))))</f>
        <v>Lunas</v>
      </c>
      <c r="Q1235" s="50"/>
      <c r="R1235" s="39" t="str">
        <f aca="false">IF(M1235&lt;=0,"",IF(O1235&gt;60,"1-Tinggi",IF(O1235&gt;30,"2-Sedang",IF(O1235&gt;0,"3-Rendah","4-Pantau"))))</f>
        <v/>
      </c>
      <c r="S1235" s="39" t="str">
        <f aca="false">IF(AND(M1235&gt;0,O1235&gt;0),O1235+M1235/1000000000000+ROW()/1000000000000000,"")</f>
        <v/>
      </c>
      <c r="T1235" s="39" t="str">
        <f aca="false">IF(J1235="Belum ditukar",ROW(),"")</f>
        <v/>
      </c>
    </row>
    <row r="1236" customFormat="false" ht="15" hidden="false" customHeight="false" outlineLevel="0" collapsed="false">
      <c r="A1236" s="50" t="s">
        <v>1524</v>
      </c>
      <c r="B1236" s="51" t="n">
        <v>45920</v>
      </c>
      <c r="C1236" s="50" t="s">
        <v>376</v>
      </c>
      <c r="D1236" s="39" t="str">
        <f aca="false">INDEX(Master_Customer!$B$2:$B$126,MATCH(C1236,Master_Customer!$A$2:$A$126,0))</f>
        <v>JAYA SPAREPART</v>
      </c>
      <c r="E1236" s="50" t="s">
        <v>28</v>
      </c>
      <c r="F1236" s="52" t="n">
        <f aca="false">SUMIFS(Data_Penjualan!$G$2:$G$5998,Data_Penjualan!$A$2:$A$5998,A1236)</f>
        <v>17971600</v>
      </c>
      <c r="G1236" s="39" t="n">
        <f aca="false">IF(E1236="KANTOR",0,INDEX(Master_Customer!$C$2:$C$126,MATCH(C1236,Master_Customer!$A$2:$A$126,0)))</f>
        <v>30</v>
      </c>
      <c r="H1236" s="53" t="n">
        <f aca="false">B1236+G1236</f>
        <v>45950</v>
      </c>
      <c r="I1236" s="51" t="n">
        <v>45925</v>
      </c>
      <c r="J1236" s="39" t="str">
        <f aca="false">IF(G1236=0,"Tunai",IF(I1236="","Belum ditukar","Sudah ditukar"))</f>
        <v>Sudah ditukar</v>
      </c>
      <c r="K1236" s="54" t="n">
        <v>17971600</v>
      </c>
      <c r="L1236" s="51" t="n">
        <v>45962</v>
      </c>
      <c r="M1236" s="52" t="n">
        <f aca="false">F1236-K1236</f>
        <v>0</v>
      </c>
      <c r="N1236" s="39" t="str">
        <f aca="false">IF(M1236&lt;=0,"Lunas",IF(K1236&gt;0,"Sebagian","Belum Bayar"))</f>
        <v>Lunas</v>
      </c>
      <c r="O1236" s="39" t="n">
        <f aca="false">IF(M1236&gt;0,MAX(0,Catatan!$B$3-H1236),0)</f>
        <v>0</v>
      </c>
      <c r="P1236" s="39" t="str">
        <f aca="false">IF(M1236&lt;=0,"Lunas",IF(Catatan!$B$3&lt;=H1236,"Belum Jatuh Tempo",IF(O1236&lt;=30,"1-30 hari",IF(O1236&lt;=60,"31-60 hari",IF(O1236&lt;=90,"61-90 hari","90+ hari")))))</f>
        <v>Lunas</v>
      </c>
      <c r="Q1236" s="50"/>
      <c r="R1236" s="39" t="str">
        <f aca="false">IF(M1236&lt;=0,"",IF(O1236&gt;60,"1-Tinggi",IF(O1236&gt;30,"2-Sedang",IF(O1236&gt;0,"3-Rendah","4-Pantau"))))</f>
        <v/>
      </c>
      <c r="S1236" s="39" t="str">
        <f aca="false">IF(AND(M1236&gt;0,O1236&gt;0),O1236+M1236/1000000000000+ROW()/1000000000000000,"")</f>
        <v/>
      </c>
      <c r="T1236" s="39" t="str">
        <f aca="false">IF(J1236="Belum ditukar",ROW(),"")</f>
        <v/>
      </c>
    </row>
    <row r="1237" customFormat="false" ht="15" hidden="false" customHeight="false" outlineLevel="0" collapsed="false">
      <c r="A1237" s="50" t="s">
        <v>1525</v>
      </c>
      <c r="B1237" s="51" t="n">
        <v>45920</v>
      </c>
      <c r="C1237" s="50" t="s">
        <v>298</v>
      </c>
      <c r="D1237" s="39" t="str">
        <f aca="false">INDEX(Master_Customer!$B$2:$B$126,MATCH(C1237,Master_Customer!$A$2:$A$126,0))</f>
        <v>BERKAH MOBIL MAKMUR</v>
      </c>
      <c r="E1237" s="50" t="s">
        <v>31</v>
      </c>
      <c r="F1237" s="52" t="n">
        <f aca="false">SUMIFS(Data_Penjualan!$G$2:$G$5998,Data_Penjualan!$A$2:$A$5998,A1237)</f>
        <v>17647200</v>
      </c>
      <c r="G1237" s="39" t="n">
        <f aca="false">IF(E1237="KANTOR",0,INDEX(Master_Customer!$C$2:$C$126,MATCH(C1237,Master_Customer!$A$2:$A$126,0)))</f>
        <v>14</v>
      </c>
      <c r="H1237" s="53" t="n">
        <f aca="false">B1237+G1237</f>
        <v>45934</v>
      </c>
      <c r="I1237" s="51" t="n">
        <v>45921</v>
      </c>
      <c r="J1237" s="39" t="str">
        <f aca="false">IF(G1237=0,"Tunai",IF(I1237="","Belum ditukar","Sudah ditukar"))</f>
        <v>Sudah ditukar</v>
      </c>
      <c r="K1237" s="54" t="n">
        <v>17647200</v>
      </c>
      <c r="L1237" s="51" t="n">
        <v>45923</v>
      </c>
      <c r="M1237" s="52" t="n">
        <f aca="false">F1237-K1237</f>
        <v>0</v>
      </c>
      <c r="N1237" s="39" t="str">
        <f aca="false">IF(M1237&lt;=0,"Lunas",IF(K1237&gt;0,"Sebagian","Belum Bayar"))</f>
        <v>Lunas</v>
      </c>
      <c r="O1237" s="39" t="n">
        <f aca="false">IF(M1237&gt;0,MAX(0,Catatan!$B$3-H1237),0)</f>
        <v>0</v>
      </c>
      <c r="P1237" s="39" t="str">
        <f aca="false">IF(M1237&lt;=0,"Lunas",IF(Catatan!$B$3&lt;=H1237,"Belum Jatuh Tempo",IF(O1237&lt;=30,"1-30 hari",IF(O1237&lt;=60,"31-60 hari",IF(O1237&lt;=90,"61-90 hari","90+ hari")))))</f>
        <v>Lunas</v>
      </c>
      <c r="Q1237" s="50"/>
      <c r="R1237" s="39" t="str">
        <f aca="false">IF(M1237&lt;=0,"",IF(O1237&gt;60,"1-Tinggi",IF(O1237&gt;30,"2-Sedang",IF(O1237&gt;0,"3-Rendah","4-Pantau"))))</f>
        <v/>
      </c>
      <c r="S1237" s="39" t="str">
        <f aca="false">IF(AND(M1237&gt;0,O1237&gt;0),O1237+M1237/1000000000000+ROW()/1000000000000000,"")</f>
        <v/>
      </c>
      <c r="T1237" s="39" t="str">
        <f aca="false">IF(J1237="Belum ditukar",ROW(),"")</f>
        <v/>
      </c>
    </row>
    <row r="1238" customFormat="false" ht="15" hidden="false" customHeight="false" outlineLevel="0" collapsed="false">
      <c r="A1238" s="50" t="s">
        <v>1526</v>
      </c>
      <c r="B1238" s="51" t="n">
        <v>45920</v>
      </c>
      <c r="C1238" s="50" t="s">
        <v>962</v>
      </c>
      <c r="D1238" s="39" t="str">
        <f aca="false">INDEX(Master_Customer!$B$2:$B$126,MATCH(C1238,Master_Customer!$A$2:$A$126,0))</f>
        <v>ABADI OLI</v>
      </c>
      <c r="E1238" s="50" t="s">
        <v>28</v>
      </c>
      <c r="F1238" s="52" t="n">
        <f aca="false">SUMIFS(Data_Penjualan!$G$2:$G$5998,Data_Penjualan!$A$2:$A$5998,A1238)</f>
        <v>19315500</v>
      </c>
      <c r="G1238" s="39" t="n">
        <f aca="false">IF(E1238="KANTOR",0,INDEX(Master_Customer!$C$2:$C$126,MATCH(C1238,Master_Customer!$A$2:$A$126,0)))</f>
        <v>14</v>
      </c>
      <c r="H1238" s="53" t="n">
        <f aca="false">B1238+G1238</f>
        <v>45934</v>
      </c>
      <c r="I1238" s="51" t="n">
        <v>45921</v>
      </c>
      <c r="J1238" s="39" t="str">
        <f aca="false">IF(G1238=0,"Tunai",IF(I1238="","Belum ditukar","Sudah ditukar"))</f>
        <v>Sudah ditukar</v>
      </c>
      <c r="K1238" s="54" t="n">
        <v>19315500</v>
      </c>
      <c r="L1238" s="51" t="n">
        <v>45932</v>
      </c>
      <c r="M1238" s="52" t="n">
        <f aca="false">F1238-K1238</f>
        <v>0</v>
      </c>
      <c r="N1238" s="39" t="str">
        <f aca="false">IF(M1238&lt;=0,"Lunas",IF(K1238&gt;0,"Sebagian","Belum Bayar"))</f>
        <v>Lunas</v>
      </c>
      <c r="O1238" s="39" t="n">
        <f aca="false">IF(M1238&gt;0,MAX(0,Catatan!$B$3-H1238),0)</f>
        <v>0</v>
      </c>
      <c r="P1238" s="39" t="str">
        <f aca="false">IF(M1238&lt;=0,"Lunas",IF(Catatan!$B$3&lt;=H1238,"Belum Jatuh Tempo",IF(O1238&lt;=30,"1-30 hari",IF(O1238&lt;=60,"31-60 hari",IF(O1238&lt;=90,"61-90 hari","90+ hari")))))</f>
        <v>Lunas</v>
      </c>
      <c r="Q1238" s="50"/>
      <c r="R1238" s="39" t="str">
        <f aca="false">IF(M1238&lt;=0,"",IF(O1238&gt;60,"1-Tinggi",IF(O1238&gt;30,"2-Sedang",IF(O1238&gt;0,"3-Rendah","4-Pantau"))))</f>
        <v/>
      </c>
      <c r="S1238" s="39" t="str">
        <f aca="false">IF(AND(M1238&gt;0,O1238&gt;0),O1238+M1238/1000000000000+ROW()/1000000000000000,"")</f>
        <v/>
      </c>
      <c r="T1238" s="39" t="str">
        <f aca="false">IF(J1238="Belum ditukar",ROW(),"")</f>
        <v/>
      </c>
    </row>
    <row r="1239" customFormat="false" ht="15" hidden="false" customHeight="false" outlineLevel="0" collapsed="false">
      <c r="A1239" s="50" t="s">
        <v>1527</v>
      </c>
      <c r="B1239" s="51" t="n">
        <v>45920</v>
      </c>
      <c r="C1239" s="50" t="s">
        <v>1099</v>
      </c>
      <c r="D1239" s="39" t="str">
        <f aca="false">INDEX(Master_Customer!$B$2:$B$126,MATCH(C1239,Master_Customer!$A$2:$A$126,0))</f>
        <v>SENTOSA SPAREPART</v>
      </c>
      <c r="E1239" s="50" t="s">
        <v>30</v>
      </c>
      <c r="F1239" s="52" t="n">
        <f aca="false">SUMIFS(Data_Penjualan!$G$2:$G$5998,Data_Penjualan!$A$2:$A$5998,A1239)</f>
        <v>7961900</v>
      </c>
      <c r="G1239" s="39" t="n">
        <f aca="false">IF(E1239="KANTOR",0,INDEX(Master_Customer!$C$2:$C$126,MATCH(C1239,Master_Customer!$A$2:$A$126,0)))</f>
        <v>30</v>
      </c>
      <c r="H1239" s="53" t="n">
        <f aca="false">B1239+G1239</f>
        <v>45950</v>
      </c>
      <c r="I1239" s="51" t="n">
        <v>45923</v>
      </c>
      <c r="J1239" s="39" t="str">
        <f aca="false">IF(G1239=0,"Tunai",IF(I1239="","Belum ditukar","Sudah ditukar"))</f>
        <v>Sudah ditukar</v>
      </c>
      <c r="K1239" s="54" t="n">
        <v>7961900</v>
      </c>
      <c r="L1239" s="51" t="n">
        <v>46011</v>
      </c>
      <c r="M1239" s="52" t="n">
        <f aca="false">F1239-K1239</f>
        <v>0</v>
      </c>
      <c r="N1239" s="39" t="str">
        <f aca="false">IF(M1239&lt;=0,"Lunas",IF(K1239&gt;0,"Sebagian","Belum Bayar"))</f>
        <v>Lunas</v>
      </c>
      <c r="O1239" s="39" t="n">
        <f aca="false">IF(M1239&gt;0,MAX(0,Catatan!$B$3-H1239),0)</f>
        <v>0</v>
      </c>
      <c r="P1239" s="39" t="str">
        <f aca="false">IF(M1239&lt;=0,"Lunas",IF(Catatan!$B$3&lt;=H1239,"Belum Jatuh Tempo",IF(O1239&lt;=30,"1-30 hari",IF(O1239&lt;=60,"31-60 hari",IF(O1239&lt;=90,"61-90 hari","90+ hari")))))</f>
        <v>Lunas</v>
      </c>
      <c r="Q1239" s="50"/>
      <c r="R1239" s="39" t="str">
        <f aca="false">IF(M1239&lt;=0,"",IF(O1239&gt;60,"1-Tinggi",IF(O1239&gt;30,"2-Sedang",IF(O1239&gt;0,"3-Rendah","4-Pantau"))))</f>
        <v/>
      </c>
      <c r="S1239" s="39" t="str">
        <f aca="false">IF(AND(M1239&gt;0,O1239&gt;0),O1239+M1239/1000000000000+ROW()/1000000000000000,"")</f>
        <v/>
      </c>
      <c r="T1239" s="39" t="str">
        <f aca="false">IF(J1239="Belum ditukar",ROW(),"")</f>
        <v/>
      </c>
    </row>
    <row r="1240" customFormat="false" ht="15" hidden="false" customHeight="false" outlineLevel="0" collapsed="false">
      <c r="A1240" s="50" t="s">
        <v>1528</v>
      </c>
      <c r="B1240" s="51" t="n">
        <v>45920</v>
      </c>
      <c r="C1240" s="50" t="s">
        <v>315</v>
      </c>
      <c r="D1240" s="39" t="str">
        <f aca="false">INDEX(Master_Customer!$B$2:$B$126,MATCH(C1240,Master_Customer!$A$2:$A$126,0))</f>
        <v>CAHAYA SERVICE</v>
      </c>
      <c r="E1240" s="50" t="s">
        <v>31</v>
      </c>
      <c r="F1240" s="52" t="n">
        <f aca="false">SUMIFS(Data_Penjualan!$G$2:$G$5998,Data_Penjualan!$A$2:$A$5998,A1240)</f>
        <v>3575000</v>
      </c>
      <c r="G1240" s="39" t="n">
        <f aca="false">IF(E1240="KANTOR",0,INDEX(Master_Customer!$C$2:$C$126,MATCH(C1240,Master_Customer!$A$2:$A$126,0)))</f>
        <v>30</v>
      </c>
      <c r="H1240" s="53" t="n">
        <f aca="false">B1240+G1240</f>
        <v>45950</v>
      </c>
      <c r="I1240" s="51" t="n">
        <v>45923</v>
      </c>
      <c r="J1240" s="39" t="str">
        <f aca="false">IF(G1240=0,"Tunai",IF(I1240="","Belum ditukar","Sudah ditukar"))</f>
        <v>Sudah ditukar</v>
      </c>
      <c r="K1240" s="54" t="n">
        <v>3575000</v>
      </c>
      <c r="L1240" s="51" t="n">
        <v>45942</v>
      </c>
      <c r="M1240" s="52" t="n">
        <f aca="false">F1240-K1240</f>
        <v>0</v>
      </c>
      <c r="N1240" s="39" t="str">
        <f aca="false">IF(M1240&lt;=0,"Lunas",IF(K1240&gt;0,"Sebagian","Belum Bayar"))</f>
        <v>Lunas</v>
      </c>
      <c r="O1240" s="39" t="n">
        <f aca="false">IF(M1240&gt;0,MAX(0,Catatan!$B$3-H1240),0)</f>
        <v>0</v>
      </c>
      <c r="P1240" s="39" t="str">
        <f aca="false">IF(M1240&lt;=0,"Lunas",IF(Catatan!$B$3&lt;=H1240,"Belum Jatuh Tempo",IF(O1240&lt;=30,"1-30 hari",IF(O1240&lt;=60,"31-60 hari",IF(O1240&lt;=90,"61-90 hari","90+ hari")))))</f>
        <v>Lunas</v>
      </c>
      <c r="Q1240" s="50"/>
      <c r="R1240" s="39" t="str">
        <f aca="false">IF(M1240&lt;=0,"",IF(O1240&gt;60,"1-Tinggi",IF(O1240&gt;30,"2-Sedang",IF(O1240&gt;0,"3-Rendah","4-Pantau"))))</f>
        <v/>
      </c>
      <c r="S1240" s="39" t="str">
        <f aca="false">IF(AND(M1240&gt;0,O1240&gt;0),O1240+M1240/1000000000000+ROW()/1000000000000000,"")</f>
        <v/>
      </c>
      <c r="T1240" s="39" t="str">
        <f aca="false">IF(J1240="Belum ditukar",ROW(),"")</f>
        <v/>
      </c>
    </row>
    <row r="1241" customFormat="false" ht="15" hidden="false" customHeight="false" outlineLevel="0" collapsed="false">
      <c r="A1241" s="50" t="s">
        <v>1529</v>
      </c>
      <c r="B1241" s="51" t="n">
        <v>45920</v>
      </c>
      <c r="C1241" s="50" t="s">
        <v>403</v>
      </c>
      <c r="D1241" s="39" t="str">
        <f aca="false">INDEX(Master_Customer!$B$2:$B$126,MATCH(C1241,Master_Customer!$A$2:$A$126,0))</f>
        <v>BINTANG TEKNIK HARAPAN</v>
      </c>
      <c r="E1241" s="50" t="s">
        <v>31</v>
      </c>
      <c r="F1241" s="52" t="n">
        <f aca="false">SUMIFS(Data_Penjualan!$G$2:$G$5998,Data_Penjualan!$A$2:$A$5998,A1241)</f>
        <v>20467900</v>
      </c>
      <c r="G1241" s="39" t="n">
        <f aca="false">IF(E1241="KANTOR",0,INDEX(Master_Customer!$C$2:$C$126,MATCH(C1241,Master_Customer!$A$2:$A$126,0)))</f>
        <v>14</v>
      </c>
      <c r="H1241" s="53" t="n">
        <f aca="false">B1241+G1241</f>
        <v>45934</v>
      </c>
      <c r="I1241" s="51" t="n">
        <v>45924</v>
      </c>
      <c r="J1241" s="39" t="str">
        <f aca="false">IF(G1241=0,"Tunai",IF(I1241="","Belum ditukar","Sudah ditukar"))</f>
        <v>Sudah ditukar</v>
      </c>
      <c r="K1241" s="54" t="n">
        <v>20467900</v>
      </c>
      <c r="L1241" s="51" t="n">
        <v>45936</v>
      </c>
      <c r="M1241" s="52" t="n">
        <f aca="false">F1241-K1241</f>
        <v>0</v>
      </c>
      <c r="N1241" s="39" t="str">
        <f aca="false">IF(M1241&lt;=0,"Lunas",IF(K1241&gt;0,"Sebagian","Belum Bayar"))</f>
        <v>Lunas</v>
      </c>
      <c r="O1241" s="39" t="n">
        <f aca="false">IF(M1241&gt;0,MAX(0,Catatan!$B$3-H1241),0)</f>
        <v>0</v>
      </c>
      <c r="P1241" s="39" t="str">
        <f aca="false">IF(M1241&lt;=0,"Lunas",IF(Catatan!$B$3&lt;=H1241,"Belum Jatuh Tempo",IF(O1241&lt;=30,"1-30 hari",IF(O1241&lt;=60,"31-60 hari",IF(O1241&lt;=90,"61-90 hari","90+ hari")))))</f>
        <v>Lunas</v>
      </c>
      <c r="Q1241" s="50"/>
      <c r="R1241" s="39" t="str">
        <f aca="false">IF(M1241&lt;=0,"",IF(O1241&gt;60,"1-Tinggi",IF(O1241&gt;30,"2-Sedang",IF(O1241&gt;0,"3-Rendah","4-Pantau"))))</f>
        <v/>
      </c>
      <c r="S1241" s="39" t="str">
        <f aca="false">IF(AND(M1241&gt;0,O1241&gt;0),O1241+M1241/1000000000000+ROW()/1000000000000000,"")</f>
        <v/>
      </c>
      <c r="T1241" s="39" t="str">
        <f aca="false">IF(J1241="Belum ditukar",ROW(),"")</f>
        <v/>
      </c>
    </row>
    <row r="1242" customFormat="false" ht="15" hidden="false" customHeight="false" outlineLevel="0" collapsed="false">
      <c r="A1242" s="50" t="s">
        <v>1530</v>
      </c>
      <c r="B1242" s="51" t="n">
        <v>45920</v>
      </c>
      <c r="C1242" s="50" t="s">
        <v>223</v>
      </c>
      <c r="D1242" s="39" t="str">
        <f aca="false">INDEX(Master_Customer!$B$2:$B$126,MATCH(C1242,Master_Customer!$A$2:$A$126,0))</f>
        <v>ABADI AUTO UTAMA</v>
      </c>
      <c r="E1242" s="50" t="s">
        <v>32</v>
      </c>
      <c r="F1242" s="52" t="n">
        <f aca="false">SUMIFS(Data_Penjualan!$G$2:$G$5998,Data_Penjualan!$A$2:$A$5998,A1242)</f>
        <v>21755500</v>
      </c>
      <c r="G1242" s="39" t="n">
        <f aca="false">IF(E1242="KANTOR",0,INDEX(Master_Customer!$C$2:$C$126,MATCH(C1242,Master_Customer!$A$2:$A$126,0)))</f>
        <v>0</v>
      </c>
      <c r="H1242" s="53" t="n">
        <f aca="false">B1242+G1242</f>
        <v>45920</v>
      </c>
      <c r="J1242" s="39" t="str">
        <f aca="false">IF(G1242=0,"Tunai",IF(I1242="","Belum ditukar","Sudah ditukar"))</f>
        <v>Tunai</v>
      </c>
      <c r="K1242" s="54" t="n">
        <v>21755500</v>
      </c>
      <c r="L1242" s="51" t="n">
        <v>45920</v>
      </c>
      <c r="M1242" s="52" t="n">
        <f aca="false">F1242-K1242</f>
        <v>0</v>
      </c>
      <c r="N1242" s="39" t="str">
        <f aca="false">IF(M1242&lt;=0,"Lunas",IF(K1242&gt;0,"Sebagian","Belum Bayar"))</f>
        <v>Lunas</v>
      </c>
      <c r="O1242" s="39" t="n">
        <f aca="false">IF(M1242&gt;0,MAX(0,Catatan!$B$3-H1242),0)</f>
        <v>0</v>
      </c>
      <c r="P1242" s="39" t="str">
        <f aca="false">IF(M1242&lt;=0,"Lunas",IF(Catatan!$B$3&lt;=H1242,"Belum Jatuh Tempo",IF(O1242&lt;=30,"1-30 hari",IF(O1242&lt;=60,"31-60 hari",IF(O1242&lt;=90,"61-90 hari","90+ hari")))))</f>
        <v>Lunas</v>
      </c>
      <c r="Q1242" s="50"/>
      <c r="R1242" s="39" t="str">
        <f aca="false">IF(M1242&lt;=0,"",IF(O1242&gt;60,"1-Tinggi",IF(O1242&gt;30,"2-Sedang",IF(O1242&gt;0,"3-Rendah","4-Pantau"))))</f>
        <v/>
      </c>
      <c r="S1242" s="39" t="str">
        <f aca="false">IF(AND(M1242&gt;0,O1242&gt;0),O1242+M1242/1000000000000+ROW()/1000000000000000,"")</f>
        <v/>
      </c>
      <c r="T1242" s="39" t="str">
        <f aca="false">IF(J1242="Belum ditukar",ROW(),"")</f>
        <v/>
      </c>
    </row>
    <row r="1243" customFormat="false" ht="15" hidden="false" customHeight="false" outlineLevel="0" collapsed="false">
      <c r="A1243" s="50" t="s">
        <v>1531</v>
      </c>
      <c r="B1243" s="51" t="n">
        <v>45922</v>
      </c>
      <c r="C1243" s="50" t="s">
        <v>403</v>
      </c>
      <c r="D1243" s="39" t="str">
        <f aca="false">INDEX(Master_Customer!$B$2:$B$126,MATCH(C1243,Master_Customer!$A$2:$A$126,0))</f>
        <v>BINTANG TEKNIK HARAPAN</v>
      </c>
      <c r="E1243" s="50" t="s">
        <v>31</v>
      </c>
      <c r="F1243" s="52" t="n">
        <f aca="false">SUMIFS(Data_Penjualan!$G$2:$G$5998,Data_Penjualan!$A$2:$A$5998,A1243)</f>
        <v>3962700</v>
      </c>
      <c r="G1243" s="39" t="n">
        <f aca="false">IF(E1243="KANTOR",0,INDEX(Master_Customer!$C$2:$C$126,MATCH(C1243,Master_Customer!$A$2:$A$126,0)))</f>
        <v>14</v>
      </c>
      <c r="H1243" s="53" t="n">
        <f aca="false">B1243+G1243</f>
        <v>45936</v>
      </c>
      <c r="I1243" s="51" t="n">
        <v>45927</v>
      </c>
      <c r="J1243" s="39" t="str">
        <f aca="false">IF(G1243=0,"Tunai",IF(I1243="","Belum ditukar","Sudah ditukar"))</f>
        <v>Sudah ditukar</v>
      </c>
      <c r="K1243" s="54" t="n">
        <v>3962700</v>
      </c>
      <c r="L1243" s="51" t="n">
        <v>45935</v>
      </c>
      <c r="M1243" s="52" t="n">
        <f aca="false">F1243-K1243</f>
        <v>0</v>
      </c>
      <c r="N1243" s="39" t="str">
        <f aca="false">IF(M1243&lt;=0,"Lunas",IF(K1243&gt;0,"Sebagian","Belum Bayar"))</f>
        <v>Lunas</v>
      </c>
      <c r="O1243" s="39" t="n">
        <f aca="false">IF(M1243&gt;0,MAX(0,Catatan!$B$3-H1243),0)</f>
        <v>0</v>
      </c>
      <c r="P1243" s="39" t="str">
        <f aca="false">IF(M1243&lt;=0,"Lunas",IF(Catatan!$B$3&lt;=H1243,"Belum Jatuh Tempo",IF(O1243&lt;=30,"1-30 hari",IF(O1243&lt;=60,"31-60 hari",IF(O1243&lt;=90,"61-90 hari","90+ hari")))))</f>
        <v>Lunas</v>
      </c>
      <c r="Q1243" s="50"/>
      <c r="R1243" s="39" t="str">
        <f aca="false">IF(M1243&lt;=0,"",IF(O1243&gt;60,"1-Tinggi",IF(O1243&gt;30,"2-Sedang",IF(O1243&gt;0,"3-Rendah","4-Pantau"))))</f>
        <v/>
      </c>
      <c r="S1243" s="39" t="str">
        <f aca="false">IF(AND(M1243&gt;0,O1243&gt;0),O1243+M1243/1000000000000+ROW()/1000000000000000,"")</f>
        <v/>
      </c>
      <c r="T1243" s="39" t="str">
        <f aca="false">IF(J1243="Belum ditukar",ROW(),"")</f>
        <v/>
      </c>
    </row>
    <row r="1244" customFormat="false" ht="15" hidden="false" customHeight="false" outlineLevel="0" collapsed="false">
      <c r="A1244" s="50" t="s">
        <v>1532</v>
      </c>
      <c r="B1244" s="51" t="n">
        <v>45922</v>
      </c>
      <c r="C1244" s="50" t="s">
        <v>174</v>
      </c>
      <c r="D1244" s="39" t="str">
        <f aca="false">INDEX(Master_Customer!$B$2:$B$126,MATCH(C1244,Master_Customer!$A$2:$A$126,0))</f>
        <v>SUMBER TEKNIK SURYA</v>
      </c>
      <c r="E1244" s="50" t="s">
        <v>31</v>
      </c>
      <c r="F1244" s="52" t="n">
        <f aca="false">SUMIFS(Data_Penjualan!$G$2:$G$5998,Data_Penjualan!$A$2:$A$5998,A1244)</f>
        <v>20600800</v>
      </c>
      <c r="G1244" s="39" t="n">
        <f aca="false">IF(E1244="KANTOR",0,INDEX(Master_Customer!$C$2:$C$126,MATCH(C1244,Master_Customer!$A$2:$A$126,0)))</f>
        <v>30</v>
      </c>
      <c r="H1244" s="53" t="n">
        <f aca="false">B1244+G1244</f>
        <v>45952</v>
      </c>
      <c r="I1244" s="51" t="n">
        <v>45927</v>
      </c>
      <c r="J1244" s="39" t="str">
        <f aca="false">IF(G1244=0,"Tunai",IF(I1244="","Belum ditukar","Sudah ditukar"))</f>
        <v>Sudah ditukar</v>
      </c>
      <c r="K1244" s="54" t="n">
        <v>20600800</v>
      </c>
      <c r="L1244" s="51" t="n">
        <v>45950</v>
      </c>
      <c r="M1244" s="52" t="n">
        <f aca="false">F1244-K1244</f>
        <v>0</v>
      </c>
      <c r="N1244" s="39" t="str">
        <f aca="false">IF(M1244&lt;=0,"Lunas",IF(K1244&gt;0,"Sebagian","Belum Bayar"))</f>
        <v>Lunas</v>
      </c>
      <c r="O1244" s="39" t="n">
        <f aca="false">IF(M1244&gt;0,MAX(0,Catatan!$B$3-H1244),0)</f>
        <v>0</v>
      </c>
      <c r="P1244" s="39" t="str">
        <f aca="false">IF(M1244&lt;=0,"Lunas",IF(Catatan!$B$3&lt;=H1244,"Belum Jatuh Tempo",IF(O1244&lt;=30,"1-30 hari",IF(O1244&lt;=60,"31-60 hari",IF(O1244&lt;=90,"61-90 hari","90+ hari")))))</f>
        <v>Lunas</v>
      </c>
      <c r="Q1244" s="50"/>
      <c r="R1244" s="39" t="str">
        <f aca="false">IF(M1244&lt;=0,"",IF(O1244&gt;60,"1-Tinggi",IF(O1244&gt;30,"2-Sedang",IF(O1244&gt;0,"3-Rendah","4-Pantau"))))</f>
        <v/>
      </c>
      <c r="S1244" s="39" t="str">
        <f aca="false">IF(AND(M1244&gt;0,O1244&gt;0),O1244+M1244/1000000000000+ROW()/1000000000000000,"")</f>
        <v/>
      </c>
      <c r="T1244" s="39" t="str">
        <f aca="false">IF(J1244="Belum ditukar",ROW(),"")</f>
        <v/>
      </c>
    </row>
    <row r="1245" customFormat="false" ht="15" hidden="false" customHeight="false" outlineLevel="0" collapsed="false">
      <c r="A1245" s="50" t="s">
        <v>1533</v>
      </c>
      <c r="B1245" s="51" t="n">
        <v>45922</v>
      </c>
      <c r="C1245" s="50" t="s">
        <v>766</v>
      </c>
      <c r="D1245" s="39" t="str">
        <f aca="false">INDEX(Master_Customer!$B$2:$B$126,MATCH(C1245,Master_Customer!$A$2:$A$126,0))</f>
        <v>TIRTA SPAREPART BINTANG</v>
      </c>
      <c r="E1245" s="50" t="s">
        <v>29</v>
      </c>
      <c r="F1245" s="52" t="n">
        <f aca="false">SUMIFS(Data_Penjualan!$G$2:$G$5998,Data_Penjualan!$A$2:$A$5998,A1245)</f>
        <v>5514400</v>
      </c>
      <c r="G1245" s="39" t="n">
        <f aca="false">IF(E1245="KANTOR",0,INDEX(Master_Customer!$C$2:$C$126,MATCH(C1245,Master_Customer!$A$2:$A$126,0)))</f>
        <v>30</v>
      </c>
      <c r="H1245" s="53" t="n">
        <f aca="false">B1245+G1245</f>
        <v>45952</v>
      </c>
      <c r="I1245" s="51" t="n">
        <v>45926</v>
      </c>
      <c r="J1245" s="39" t="str">
        <f aca="false">IF(G1245=0,"Tunai",IF(I1245="","Belum ditukar","Sudah ditukar"))</f>
        <v>Sudah ditukar</v>
      </c>
      <c r="K1245" s="54" t="n">
        <v>5514400</v>
      </c>
      <c r="L1245" s="51" t="n">
        <v>45947</v>
      </c>
      <c r="M1245" s="52" t="n">
        <f aca="false">F1245-K1245</f>
        <v>0</v>
      </c>
      <c r="N1245" s="39" t="str">
        <f aca="false">IF(M1245&lt;=0,"Lunas",IF(K1245&gt;0,"Sebagian","Belum Bayar"))</f>
        <v>Lunas</v>
      </c>
      <c r="O1245" s="39" t="n">
        <f aca="false">IF(M1245&gt;0,MAX(0,Catatan!$B$3-H1245),0)</f>
        <v>0</v>
      </c>
      <c r="P1245" s="39" t="str">
        <f aca="false">IF(M1245&lt;=0,"Lunas",IF(Catatan!$B$3&lt;=H1245,"Belum Jatuh Tempo",IF(O1245&lt;=30,"1-30 hari",IF(O1245&lt;=60,"31-60 hari",IF(O1245&lt;=90,"61-90 hari","90+ hari")))))</f>
        <v>Lunas</v>
      </c>
      <c r="Q1245" s="50"/>
      <c r="R1245" s="39" t="str">
        <f aca="false">IF(M1245&lt;=0,"",IF(O1245&gt;60,"1-Tinggi",IF(O1245&gt;30,"2-Sedang",IF(O1245&gt;0,"3-Rendah","4-Pantau"))))</f>
        <v/>
      </c>
      <c r="S1245" s="39" t="str">
        <f aca="false">IF(AND(M1245&gt;0,O1245&gt;0),O1245+M1245/1000000000000+ROW()/1000000000000000,"")</f>
        <v/>
      </c>
      <c r="T1245" s="39" t="str">
        <f aca="false">IF(J1245="Belum ditukar",ROW(),"")</f>
        <v/>
      </c>
    </row>
    <row r="1246" customFormat="false" ht="15" hidden="false" customHeight="false" outlineLevel="0" collapsed="false">
      <c r="A1246" s="50" t="s">
        <v>1534</v>
      </c>
      <c r="B1246" s="51" t="n">
        <v>45922</v>
      </c>
      <c r="C1246" s="50" t="s">
        <v>271</v>
      </c>
      <c r="D1246" s="39" t="str">
        <f aca="false">INDEX(Master_Customer!$B$2:$B$126,MATCH(C1246,Master_Customer!$A$2:$A$126,0))</f>
        <v>CAHAYA MOTOR</v>
      </c>
      <c r="E1246" s="50" t="s">
        <v>28</v>
      </c>
      <c r="F1246" s="52" t="n">
        <f aca="false">SUMIFS(Data_Penjualan!$G$2:$G$5998,Data_Penjualan!$A$2:$A$5998,A1246)</f>
        <v>12574800</v>
      </c>
      <c r="G1246" s="39" t="n">
        <f aca="false">IF(E1246="KANTOR",0,INDEX(Master_Customer!$C$2:$C$126,MATCH(C1246,Master_Customer!$A$2:$A$126,0)))</f>
        <v>14</v>
      </c>
      <c r="H1246" s="53" t="n">
        <f aca="false">B1246+G1246</f>
        <v>45936</v>
      </c>
      <c r="I1246" s="51" t="n">
        <v>45927</v>
      </c>
      <c r="J1246" s="39" t="str">
        <f aca="false">IF(G1246=0,"Tunai",IF(I1246="","Belum ditukar","Sudah ditukar"))</f>
        <v>Sudah ditukar</v>
      </c>
      <c r="K1246" s="54" t="n">
        <v>12574800</v>
      </c>
      <c r="L1246" s="51" t="n">
        <v>45928</v>
      </c>
      <c r="M1246" s="52" t="n">
        <f aca="false">F1246-K1246</f>
        <v>0</v>
      </c>
      <c r="N1246" s="39" t="str">
        <f aca="false">IF(M1246&lt;=0,"Lunas",IF(K1246&gt;0,"Sebagian","Belum Bayar"))</f>
        <v>Lunas</v>
      </c>
      <c r="O1246" s="39" t="n">
        <f aca="false">IF(M1246&gt;0,MAX(0,Catatan!$B$3-H1246),0)</f>
        <v>0</v>
      </c>
      <c r="P1246" s="39" t="str">
        <f aca="false">IF(M1246&lt;=0,"Lunas",IF(Catatan!$B$3&lt;=H1246,"Belum Jatuh Tempo",IF(O1246&lt;=30,"1-30 hari",IF(O1246&lt;=60,"31-60 hari",IF(O1246&lt;=90,"61-90 hari","90+ hari")))))</f>
        <v>Lunas</v>
      </c>
      <c r="Q1246" s="50"/>
      <c r="R1246" s="39" t="str">
        <f aca="false">IF(M1246&lt;=0,"",IF(O1246&gt;60,"1-Tinggi",IF(O1246&gt;30,"2-Sedang",IF(O1246&gt;0,"3-Rendah","4-Pantau"))))</f>
        <v/>
      </c>
      <c r="S1246" s="39" t="str">
        <f aca="false">IF(AND(M1246&gt;0,O1246&gt;0),O1246+M1246/1000000000000+ROW()/1000000000000000,"")</f>
        <v/>
      </c>
      <c r="T1246" s="39" t="str">
        <f aca="false">IF(J1246="Belum ditukar",ROW(),"")</f>
        <v/>
      </c>
    </row>
    <row r="1247" customFormat="false" ht="15" hidden="false" customHeight="false" outlineLevel="0" collapsed="false">
      <c r="A1247" s="50" t="s">
        <v>1535</v>
      </c>
      <c r="B1247" s="51" t="n">
        <v>45923</v>
      </c>
      <c r="C1247" s="50" t="s">
        <v>228</v>
      </c>
      <c r="D1247" s="39" t="str">
        <f aca="false">INDEX(Master_Customer!$B$2:$B$126,MATCH(C1247,Master_Customer!$A$2:$A$126,0))</f>
        <v>MAKMUR SERVICE JAYA</v>
      </c>
      <c r="E1247" s="50" t="s">
        <v>29</v>
      </c>
      <c r="F1247" s="52" t="n">
        <f aca="false">SUMIFS(Data_Penjualan!$G$2:$G$5998,Data_Penjualan!$A$2:$A$5998,A1247)</f>
        <v>2851600</v>
      </c>
      <c r="G1247" s="39" t="n">
        <f aca="false">IF(E1247="KANTOR",0,INDEX(Master_Customer!$C$2:$C$126,MATCH(C1247,Master_Customer!$A$2:$A$126,0)))</f>
        <v>30</v>
      </c>
      <c r="H1247" s="53" t="n">
        <f aca="false">B1247+G1247</f>
        <v>45953</v>
      </c>
      <c r="I1247" s="51" t="n">
        <v>45925</v>
      </c>
      <c r="J1247" s="39" t="str">
        <f aca="false">IF(G1247=0,"Tunai",IF(I1247="","Belum ditukar","Sudah ditukar"))</f>
        <v>Sudah ditukar</v>
      </c>
      <c r="K1247" s="54" t="n">
        <v>2851600</v>
      </c>
      <c r="L1247" s="51" t="n">
        <v>45995</v>
      </c>
      <c r="M1247" s="52" t="n">
        <f aca="false">F1247-K1247</f>
        <v>0</v>
      </c>
      <c r="N1247" s="39" t="str">
        <f aca="false">IF(M1247&lt;=0,"Lunas",IF(K1247&gt;0,"Sebagian","Belum Bayar"))</f>
        <v>Lunas</v>
      </c>
      <c r="O1247" s="39" t="n">
        <f aca="false">IF(M1247&gt;0,MAX(0,Catatan!$B$3-H1247),0)</f>
        <v>0</v>
      </c>
      <c r="P1247" s="39" t="str">
        <f aca="false">IF(M1247&lt;=0,"Lunas",IF(Catatan!$B$3&lt;=H1247,"Belum Jatuh Tempo",IF(O1247&lt;=30,"1-30 hari",IF(O1247&lt;=60,"31-60 hari",IF(O1247&lt;=90,"61-90 hari","90+ hari")))))</f>
        <v>Lunas</v>
      </c>
      <c r="Q1247" s="50"/>
      <c r="R1247" s="39" t="str">
        <f aca="false">IF(M1247&lt;=0,"",IF(O1247&gt;60,"1-Tinggi",IF(O1247&gt;30,"2-Sedang",IF(O1247&gt;0,"3-Rendah","4-Pantau"))))</f>
        <v/>
      </c>
      <c r="S1247" s="39" t="str">
        <f aca="false">IF(AND(M1247&gt;0,O1247&gt;0),O1247+M1247/1000000000000+ROW()/1000000000000000,"")</f>
        <v/>
      </c>
      <c r="T1247" s="39" t="str">
        <f aca="false">IF(J1247="Belum ditukar",ROW(),"")</f>
        <v/>
      </c>
    </row>
    <row r="1248" customFormat="false" ht="15" hidden="false" customHeight="false" outlineLevel="0" collapsed="false">
      <c r="A1248" s="50" t="s">
        <v>1536</v>
      </c>
      <c r="B1248" s="51" t="n">
        <v>45923</v>
      </c>
      <c r="C1248" s="50" t="s">
        <v>505</v>
      </c>
      <c r="D1248" s="39" t="str">
        <f aca="false">INDEX(Master_Customer!$B$2:$B$126,MATCH(C1248,Master_Customer!$A$2:$A$126,0))</f>
        <v>GEMILANG OLI CAHAYA</v>
      </c>
      <c r="E1248" s="50" t="s">
        <v>31</v>
      </c>
      <c r="F1248" s="52" t="n">
        <f aca="false">SUMIFS(Data_Penjualan!$G$2:$G$5998,Data_Penjualan!$A$2:$A$5998,A1248)</f>
        <v>28468400</v>
      </c>
      <c r="G1248" s="39" t="n">
        <f aca="false">IF(E1248="KANTOR",0,INDEX(Master_Customer!$C$2:$C$126,MATCH(C1248,Master_Customer!$A$2:$A$126,0)))</f>
        <v>0</v>
      </c>
      <c r="H1248" s="53" t="n">
        <f aca="false">B1248+G1248</f>
        <v>45923</v>
      </c>
      <c r="J1248" s="39" t="str">
        <f aca="false">IF(G1248=0,"Tunai",IF(I1248="","Belum ditukar","Sudah ditukar"))</f>
        <v>Tunai</v>
      </c>
      <c r="K1248" s="54" t="n">
        <v>28468400</v>
      </c>
      <c r="L1248" s="51" t="n">
        <v>45923</v>
      </c>
      <c r="M1248" s="52" t="n">
        <f aca="false">F1248-K1248</f>
        <v>0</v>
      </c>
      <c r="N1248" s="39" t="str">
        <f aca="false">IF(M1248&lt;=0,"Lunas",IF(K1248&gt;0,"Sebagian","Belum Bayar"))</f>
        <v>Lunas</v>
      </c>
      <c r="O1248" s="39" t="n">
        <f aca="false">IF(M1248&gt;0,MAX(0,Catatan!$B$3-H1248),0)</f>
        <v>0</v>
      </c>
      <c r="P1248" s="39" t="str">
        <f aca="false">IF(M1248&lt;=0,"Lunas",IF(Catatan!$B$3&lt;=H1248,"Belum Jatuh Tempo",IF(O1248&lt;=30,"1-30 hari",IF(O1248&lt;=60,"31-60 hari",IF(O1248&lt;=90,"61-90 hari","90+ hari")))))</f>
        <v>Lunas</v>
      </c>
      <c r="Q1248" s="50"/>
      <c r="R1248" s="39" t="str">
        <f aca="false">IF(M1248&lt;=0,"",IF(O1248&gt;60,"1-Tinggi",IF(O1248&gt;30,"2-Sedang",IF(O1248&gt;0,"3-Rendah","4-Pantau"))))</f>
        <v/>
      </c>
      <c r="S1248" s="39" t="str">
        <f aca="false">IF(AND(M1248&gt;0,O1248&gt;0),O1248+M1248/1000000000000+ROW()/1000000000000000,"")</f>
        <v/>
      </c>
      <c r="T1248" s="39" t="str">
        <f aca="false">IF(J1248="Belum ditukar",ROW(),"")</f>
        <v/>
      </c>
    </row>
    <row r="1249" customFormat="false" ht="15" hidden="false" customHeight="false" outlineLevel="0" collapsed="false">
      <c r="A1249" s="50" t="s">
        <v>1537</v>
      </c>
      <c r="B1249" s="51" t="n">
        <v>45923</v>
      </c>
      <c r="C1249" s="50" t="s">
        <v>193</v>
      </c>
      <c r="D1249" s="39" t="str">
        <f aca="false">INDEX(Master_Customer!$B$2:$B$126,MATCH(C1249,Master_Customer!$A$2:$A$126,0))</f>
        <v>BINTANG BENGKEL</v>
      </c>
      <c r="E1249" s="50" t="s">
        <v>31</v>
      </c>
      <c r="F1249" s="52" t="n">
        <f aca="false">SUMIFS(Data_Penjualan!$G$2:$G$5998,Data_Penjualan!$A$2:$A$5998,A1249)</f>
        <v>2979000</v>
      </c>
      <c r="G1249" s="39" t="n">
        <f aca="false">IF(E1249="KANTOR",0,INDEX(Master_Customer!$C$2:$C$126,MATCH(C1249,Master_Customer!$A$2:$A$126,0)))</f>
        <v>14</v>
      </c>
      <c r="H1249" s="53" t="n">
        <f aca="false">B1249+G1249</f>
        <v>45937</v>
      </c>
      <c r="I1249" s="51" t="n">
        <v>45924</v>
      </c>
      <c r="J1249" s="39" t="str">
        <f aca="false">IF(G1249=0,"Tunai",IF(I1249="","Belum ditukar","Sudah ditukar"))</f>
        <v>Sudah ditukar</v>
      </c>
      <c r="K1249" s="54" t="n">
        <v>2979000</v>
      </c>
      <c r="L1249" s="51" t="n">
        <v>46004</v>
      </c>
      <c r="M1249" s="52" t="n">
        <f aca="false">F1249-K1249</f>
        <v>0</v>
      </c>
      <c r="N1249" s="39" t="str">
        <f aca="false">IF(M1249&lt;=0,"Lunas",IF(K1249&gt;0,"Sebagian","Belum Bayar"))</f>
        <v>Lunas</v>
      </c>
      <c r="O1249" s="39" t="n">
        <f aca="false">IF(M1249&gt;0,MAX(0,Catatan!$B$3-H1249),0)</f>
        <v>0</v>
      </c>
      <c r="P1249" s="39" t="str">
        <f aca="false">IF(M1249&lt;=0,"Lunas",IF(Catatan!$B$3&lt;=H1249,"Belum Jatuh Tempo",IF(O1249&lt;=30,"1-30 hari",IF(O1249&lt;=60,"31-60 hari",IF(O1249&lt;=90,"61-90 hari","90+ hari")))))</f>
        <v>Lunas</v>
      </c>
      <c r="Q1249" s="50"/>
      <c r="R1249" s="39" t="str">
        <f aca="false">IF(M1249&lt;=0,"",IF(O1249&gt;60,"1-Tinggi",IF(O1249&gt;30,"2-Sedang",IF(O1249&gt;0,"3-Rendah","4-Pantau"))))</f>
        <v/>
      </c>
      <c r="S1249" s="39" t="str">
        <f aca="false">IF(AND(M1249&gt;0,O1249&gt;0),O1249+M1249/1000000000000+ROW()/1000000000000000,"")</f>
        <v/>
      </c>
      <c r="T1249" s="39" t="str">
        <f aca="false">IF(J1249="Belum ditukar",ROW(),"")</f>
        <v/>
      </c>
    </row>
    <row r="1250" customFormat="false" ht="15" hidden="false" customHeight="false" outlineLevel="0" collapsed="false">
      <c r="A1250" s="50" t="s">
        <v>1538</v>
      </c>
      <c r="B1250" s="51" t="n">
        <v>45923</v>
      </c>
      <c r="C1250" s="50" t="s">
        <v>174</v>
      </c>
      <c r="D1250" s="39" t="str">
        <f aca="false">INDEX(Master_Customer!$B$2:$B$126,MATCH(C1250,Master_Customer!$A$2:$A$126,0))</f>
        <v>SUMBER TEKNIK SURYA</v>
      </c>
      <c r="E1250" s="50" t="s">
        <v>31</v>
      </c>
      <c r="F1250" s="52" t="n">
        <f aca="false">SUMIFS(Data_Penjualan!$G$2:$G$5998,Data_Penjualan!$A$2:$A$5998,A1250)</f>
        <v>2084800</v>
      </c>
      <c r="G1250" s="39" t="n">
        <f aca="false">IF(E1250="KANTOR",0,INDEX(Master_Customer!$C$2:$C$126,MATCH(C1250,Master_Customer!$A$2:$A$126,0)))</f>
        <v>30</v>
      </c>
      <c r="H1250" s="53" t="n">
        <f aca="false">B1250+G1250</f>
        <v>45953</v>
      </c>
      <c r="I1250" s="51" t="n">
        <v>45928</v>
      </c>
      <c r="J1250" s="39" t="str">
        <f aca="false">IF(G1250=0,"Tunai",IF(I1250="","Belum ditukar","Sudah ditukar"))</f>
        <v>Sudah ditukar</v>
      </c>
      <c r="K1250" s="54" t="n">
        <v>2084800</v>
      </c>
      <c r="L1250" s="51" t="n">
        <v>45947</v>
      </c>
      <c r="M1250" s="52" t="n">
        <f aca="false">F1250-K1250</f>
        <v>0</v>
      </c>
      <c r="N1250" s="39" t="str">
        <f aca="false">IF(M1250&lt;=0,"Lunas",IF(K1250&gt;0,"Sebagian","Belum Bayar"))</f>
        <v>Lunas</v>
      </c>
      <c r="O1250" s="39" t="n">
        <f aca="false">IF(M1250&gt;0,MAX(0,Catatan!$B$3-H1250),0)</f>
        <v>0</v>
      </c>
      <c r="P1250" s="39" t="str">
        <f aca="false">IF(M1250&lt;=0,"Lunas",IF(Catatan!$B$3&lt;=H1250,"Belum Jatuh Tempo",IF(O1250&lt;=30,"1-30 hari",IF(O1250&lt;=60,"31-60 hari",IF(O1250&lt;=90,"61-90 hari","90+ hari")))))</f>
        <v>Lunas</v>
      </c>
      <c r="Q1250" s="50"/>
      <c r="R1250" s="39" t="str">
        <f aca="false">IF(M1250&lt;=0,"",IF(O1250&gt;60,"1-Tinggi",IF(O1250&gt;30,"2-Sedang",IF(O1250&gt;0,"3-Rendah","4-Pantau"))))</f>
        <v/>
      </c>
      <c r="S1250" s="39" t="str">
        <f aca="false">IF(AND(M1250&gt;0,O1250&gt;0),O1250+M1250/1000000000000+ROW()/1000000000000000,"")</f>
        <v/>
      </c>
      <c r="T1250" s="39" t="str">
        <f aca="false">IF(J1250="Belum ditukar",ROW(),"")</f>
        <v/>
      </c>
    </row>
    <row r="1251" customFormat="false" ht="15" hidden="false" customHeight="false" outlineLevel="0" collapsed="false">
      <c r="A1251" s="50" t="s">
        <v>1539</v>
      </c>
      <c r="B1251" s="51" t="n">
        <v>45924</v>
      </c>
      <c r="C1251" s="50" t="s">
        <v>166</v>
      </c>
      <c r="D1251" s="39" t="str">
        <f aca="false">INDEX(Master_Customer!$B$2:$B$126,MATCH(C1251,Master_Customer!$A$2:$A$126,0))</f>
        <v>SENTOSA SERVICE</v>
      </c>
      <c r="E1251" s="50" t="s">
        <v>30</v>
      </c>
      <c r="F1251" s="52" t="n">
        <f aca="false">SUMIFS(Data_Penjualan!$G$2:$G$5998,Data_Penjualan!$A$2:$A$5998,A1251)</f>
        <v>3140400</v>
      </c>
      <c r="G1251" s="39" t="n">
        <f aca="false">IF(E1251="KANTOR",0,INDEX(Master_Customer!$C$2:$C$126,MATCH(C1251,Master_Customer!$A$2:$A$126,0)))</f>
        <v>0</v>
      </c>
      <c r="H1251" s="53" t="n">
        <f aca="false">B1251+G1251</f>
        <v>45924</v>
      </c>
      <c r="J1251" s="39" t="str">
        <f aca="false">IF(G1251=0,"Tunai",IF(I1251="","Belum ditukar","Sudah ditukar"))</f>
        <v>Tunai</v>
      </c>
      <c r="K1251" s="54" t="n">
        <v>3140400</v>
      </c>
      <c r="L1251" s="51" t="n">
        <v>45925</v>
      </c>
      <c r="M1251" s="52" t="n">
        <f aca="false">F1251-K1251</f>
        <v>0</v>
      </c>
      <c r="N1251" s="39" t="str">
        <f aca="false">IF(M1251&lt;=0,"Lunas",IF(K1251&gt;0,"Sebagian","Belum Bayar"))</f>
        <v>Lunas</v>
      </c>
      <c r="O1251" s="39" t="n">
        <f aca="false">IF(M1251&gt;0,MAX(0,Catatan!$B$3-H1251),0)</f>
        <v>0</v>
      </c>
      <c r="P1251" s="39" t="str">
        <f aca="false">IF(M1251&lt;=0,"Lunas",IF(Catatan!$B$3&lt;=H1251,"Belum Jatuh Tempo",IF(O1251&lt;=30,"1-30 hari",IF(O1251&lt;=60,"31-60 hari",IF(O1251&lt;=90,"61-90 hari","90+ hari")))))</f>
        <v>Lunas</v>
      </c>
      <c r="Q1251" s="50"/>
      <c r="R1251" s="39" t="str">
        <f aca="false">IF(M1251&lt;=0,"",IF(O1251&gt;60,"1-Tinggi",IF(O1251&gt;30,"2-Sedang",IF(O1251&gt;0,"3-Rendah","4-Pantau"))))</f>
        <v/>
      </c>
      <c r="S1251" s="39" t="str">
        <f aca="false">IF(AND(M1251&gt;0,O1251&gt;0),O1251+M1251/1000000000000+ROW()/1000000000000000,"")</f>
        <v/>
      </c>
      <c r="T1251" s="39" t="str">
        <f aca="false">IF(J1251="Belum ditukar",ROW(),"")</f>
        <v/>
      </c>
    </row>
    <row r="1252" customFormat="false" ht="15" hidden="false" customHeight="false" outlineLevel="0" collapsed="false">
      <c r="A1252" s="50" t="s">
        <v>1540</v>
      </c>
      <c r="B1252" s="51" t="n">
        <v>45924</v>
      </c>
      <c r="C1252" s="50" t="s">
        <v>284</v>
      </c>
      <c r="D1252" s="39" t="str">
        <f aca="false">INDEX(Master_Customer!$B$2:$B$126,MATCH(C1252,Master_Customer!$A$2:$A$126,0))</f>
        <v>CAHAYA SPAREPART</v>
      </c>
      <c r="E1252" s="50" t="s">
        <v>29</v>
      </c>
      <c r="F1252" s="52" t="n">
        <f aca="false">SUMIFS(Data_Penjualan!$G$2:$G$5998,Data_Penjualan!$A$2:$A$5998,A1252)</f>
        <v>20522700</v>
      </c>
      <c r="G1252" s="39" t="n">
        <f aca="false">IF(E1252="KANTOR",0,INDEX(Master_Customer!$C$2:$C$126,MATCH(C1252,Master_Customer!$A$2:$A$126,0)))</f>
        <v>14</v>
      </c>
      <c r="H1252" s="53" t="n">
        <f aca="false">B1252+G1252</f>
        <v>45938</v>
      </c>
      <c r="I1252" s="51" t="n">
        <v>45927</v>
      </c>
      <c r="J1252" s="39" t="str">
        <f aca="false">IF(G1252=0,"Tunai",IF(I1252="","Belum ditukar","Sudah ditukar"))</f>
        <v>Sudah ditukar</v>
      </c>
      <c r="K1252" s="54" t="n">
        <v>20522700</v>
      </c>
      <c r="L1252" s="51" t="n">
        <v>45941</v>
      </c>
      <c r="M1252" s="52" t="n">
        <f aca="false">F1252-K1252</f>
        <v>0</v>
      </c>
      <c r="N1252" s="39" t="str">
        <f aca="false">IF(M1252&lt;=0,"Lunas",IF(K1252&gt;0,"Sebagian","Belum Bayar"))</f>
        <v>Lunas</v>
      </c>
      <c r="O1252" s="39" t="n">
        <f aca="false">IF(M1252&gt;0,MAX(0,Catatan!$B$3-H1252),0)</f>
        <v>0</v>
      </c>
      <c r="P1252" s="39" t="str">
        <f aca="false">IF(M1252&lt;=0,"Lunas",IF(Catatan!$B$3&lt;=H1252,"Belum Jatuh Tempo",IF(O1252&lt;=30,"1-30 hari",IF(O1252&lt;=60,"31-60 hari",IF(O1252&lt;=90,"61-90 hari","90+ hari")))))</f>
        <v>Lunas</v>
      </c>
      <c r="Q1252" s="50"/>
      <c r="R1252" s="39" t="str">
        <f aca="false">IF(M1252&lt;=0,"",IF(O1252&gt;60,"1-Tinggi",IF(O1252&gt;30,"2-Sedang",IF(O1252&gt;0,"3-Rendah","4-Pantau"))))</f>
        <v/>
      </c>
      <c r="S1252" s="39" t="str">
        <f aca="false">IF(AND(M1252&gt;0,O1252&gt;0),O1252+M1252/1000000000000+ROW()/1000000000000000,"")</f>
        <v/>
      </c>
      <c r="T1252" s="39" t="str">
        <f aca="false">IF(J1252="Belum ditukar",ROW(),"")</f>
        <v/>
      </c>
    </row>
    <row r="1253" customFormat="false" ht="15" hidden="false" customHeight="false" outlineLevel="0" collapsed="false">
      <c r="A1253" s="50" t="s">
        <v>1541</v>
      </c>
      <c r="B1253" s="51" t="n">
        <v>45924</v>
      </c>
      <c r="C1253" s="50" t="s">
        <v>293</v>
      </c>
      <c r="D1253" s="39" t="str">
        <f aca="false">INDEX(Master_Customer!$B$2:$B$126,MATCH(C1253,Master_Customer!$A$2:$A$126,0))</f>
        <v>SINAR LUBRICANT</v>
      </c>
      <c r="E1253" s="50" t="s">
        <v>31</v>
      </c>
      <c r="F1253" s="52" t="n">
        <f aca="false">SUMIFS(Data_Penjualan!$G$2:$G$5998,Data_Penjualan!$A$2:$A$5998,A1253)</f>
        <v>10094200</v>
      </c>
      <c r="G1253" s="39" t="n">
        <f aca="false">IF(E1253="KANTOR",0,INDEX(Master_Customer!$C$2:$C$126,MATCH(C1253,Master_Customer!$A$2:$A$126,0)))</f>
        <v>30</v>
      </c>
      <c r="H1253" s="53" t="n">
        <f aca="false">B1253+G1253</f>
        <v>45954</v>
      </c>
      <c r="I1253" s="51" t="n">
        <v>45929</v>
      </c>
      <c r="J1253" s="39" t="str">
        <f aca="false">IF(G1253=0,"Tunai",IF(I1253="","Belum ditukar","Sudah ditukar"))</f>
        <v>Sudah ditukar</v>
      </c>
      <c r="K1253" s="54" t="n">
        <v>10094200</v>
      </c>
      <c r="L1253" s="51" t="n">
        <v>45985</v>
      </c>
      <c r="M1253" s="52" t="n">
        <f aca="false">F1253-K1253</f>
        <v>0</v>
      </c>
      <c r="N1253" s="39" t="str">
        <f aca="false">IF(M1253&lt;=0,"Lunas",IF(K1253&gt;0,"Sebagian","Belum Bayar"))</f>
        <v>Lunas</v>
      </c>
      <c r="O1253" s="39" t="n">
        <f aca="false">IF(M1253&gt;0,MAX(0,Catatan!$B$3-H1253),0)</f>
        <v>0</v>
      </c>
      <c r="P1253" s="39" t="str">
        <f aca="false">IF(M1253&lt;=0,"Lunas",IF(Catatan!$B$3&lt;=H1253,"Belum Jatuh Tempo",IF(O1253&lt;=30,"1-30 hari",IF(O1253&lt;=60,"31-60 hari",IF(O1253&lt;=90,"61-90 hari","90+ hari")))))</f>
        <v>Lunas</v>
      </c>
      <c r="Q1253" s="50"/>
      <c r="R1253" s="39" t="str">
        <f aca="false">IF(M1253&lt;=0,"",IF(O1253&gt;60,"1-Tinggi",IF(O1253&gt;30,"2-Sedang",IF(O1253&gt;0,"3-Rendah","4-Pantau"))))</f>
        <v/>
      </c>
      <c r="S1253" s="39" t="str">
        <f aca="false">IF(AND(M1253&gt;0,O1253&gt;0),O1253+M1253/1000000000000+ROW()/1000000000000000,"")</f>
        <v/>
      </c>
      <c r="T1253" s="39" t="str">
        <f aca="false">IF(J1253="Belum ditukar",ROW(),"")</f>
        <v/>
      </c>
    </row>
    <row r="1254" customFormat="false" ht="15" hidden="false" customHeight="false" outlineLevel="0" collapsed="false">
      <c r="A1254" s="50" t="s">
        <v>1542</v>
      </c>
      <c r="B1254" s="51" t="n">
        <v>45924</v>
      </c>
      <c r="C1254" s="50" t="s">
        <v>284</v>
      </c>
      <c r="D1254" s="39" t="str">
        <f aca="false">INDEX(Master_Customer!$B$2:$B$126,MATCH(C1254,Master_Customer!$A$2:$A$126,0))</f>
        <v>CAHAYA SPAREPART</v>
      </c>
      <c r="E1254" s="50" t="s">
        <v>29</v>
      </c>
      <c r="F1254" s="52" t="n">
        <f aca="false">SUMIFS(Data_Penjualan!$G$2:$G$5998,Data_Penjualan!$A$2:$A$5998,A1254)</f>
        <v>30490500</v>
      </c>
      <c r="G1254" s="39" t="n">
        <f aca="false">IF(E1254="KANTOR",0,INDEX(Master_Customer!$C$2:$C$126,MATCH(C1254,Master_Customer!$A$2:$A$126,0)))</f>
        <v>14</v>
      </c>
      <c r="H1254" s="53" t="n">
        <f aca="false">B1254+G1254</f>
        <v>45938</v>
      </c>
      <c r="I1254" s="51" t="n">
        <v>45928</v>
      </c>
      <c r="J1254" s="39" t="str">
        <f aca="false">IF(G1254=0,"Tunai",IF(I1254="","Belum ditukar","Sudah ditukar"))</f>
        <v>Sudah ditukar</v>
      </c>
      <c r="K1254" s="54" t="n">
        <v>30490500</v>
      </c>
      <c r="L1254" s="51" t="n">
        <v>45953</v>
      </c>
      <c r="M1254" s="52" t="n">
        <f aca="false">F1254-K1254</f>
        <v>0</v>
      </c>
      <c r="N1254" s="39" t="str">
        <f aca="false">IF(M1254&lt;=0,"Lunas",IF(K1254&gt;0,"Sebagian","Belum Bayar"))</f>
        <v>Lunas</v>
      </c>
      <c r="O1254" s="39" t="n">
        <f aca="false">IF(M1254&gt;0,MAX(0,Catatan!$B$3-H1254),0)</f>
        <v>0</v>
      </c>
      <c r="P1254" s="39" t="str">
        <f aca="false">IF(M1254&lt;=0,"Lunas",IF(Catatan!$B$3&lt;=H1254,"Belum Jatuh Tempo",IF(O1254&lt;=30,"1-30 hari",IF(O1254&lt;=60,"31-60 hari",IF(O1254&lt;=90,"61-90 hari","90+ hari")))))</f>
        <v>Lunas</v>
      </c>
      <c r="Q1254" s="50"/>
      <c r="R1254" s="39" t="str">
        <f aca="false">IF(M1254&lt;=0,"",IF(O1254&gt;60,"1-Tinggi",IF(O1254&gt;30,"2-Sedang",IF(O1254&gt;0,"3-Rendah","4-Pantau"))))</f>
        <v/>
      </c>
      <c r="S1254" s="39" t="str">
        <f aca="false">IF(AND(M1254&gt;0,O1254&gt;0),O1254+M1254/1000000000000+ROW()/1000000000000000,"")</f>
        <v/>
      </c>
      <c r="T1254" s="39" t="str">
        <f aca="false">IF(J1254="Belum ditukar",ROW(),"")</f>
        <v/>
      </c>
    </row>
    <row r="1255" customFormat="false" ht="15" hidden="false" customHeight="false" outlineLevel="0" collapsed="false">
      <c r="A1255" s="50" t="s">
        <v>1543</v>
      </c>
      <c r="B1255" s="51" t="n">
        <v>45924</v>
      </c>
      <c r="C1255" s="50" t="s">
        <v>256</v>
      </c>
      <c r="D1255" s="39" t="str">
        <f aca="false">INDEX(Master_Customer!$B$2:$B$126,MATCH(C1255,Master_Customer!$A$2:$A$126,0))</f>
        <v>HARAPAN SPAREPART</v>
      </c>
      <c r="E1255" s="50" t="s">
        <v>31</v>
      </c>
      <c r="F1255" s="52" t="n">
        <f aca="false">SUMIFS(Data_Penjualan!$G$2:$G$5998,Data_Penjualan!$A$2:$A$5998,A1255)</f>
        <v>10181400</v>
      </c>
      <c r="G1255" s="39" t="n">
        <f aca="false">IF(E1255="KANTOR",0,INDEX(Master_Customer!$C$2:$C$126,MATCH(C1255,Master_Customer!$A$2:$A$126,0)))</f>
        <v>45</v>
      </c>
      <c r="H1255" s="53" t="n">
        <f aca="false">B1255+G1255</f>
        <v>45969</v>
      </c>
      <c r="I1255" s="51" t="n">
        <v>45926</v>
      </c>
      <c r="J1255" s="39" t="str">
        <f aca="false">IF(G1255=0,"Tunai",IF(I1255="","Belum ditukar","Sudah ditukar"))</f>
        <v>Sudah ditukar</v>
      </c>
      <c r="K1255" s="54" t="n">
        <v>10181400</v>
      </c>
      <c r="L1255" s="51" t="n">
        <v>45969</v>
      </c>
      <c r="M1255" s="52" t="n">
        <f aca="false">F1255-K1255</f>
        <v>0</v>
      </c>
      <c r="N1255" s="39" t="str">
        <f aca="false">IF(M1255&lt;=0,"Lunas",IF(K1255&gt;0,"Sebagian","Belum Bayar"))</f>
        <v>Lunas</v>
      </c>
      <c r="O1255" s="39" t="n">
        <f aca="false">IF(M1255&gt;0,MAX(0,Catatan!$B$3-H1255),0)</f>
        <v>0</v>
      </c>
      <c r="P1255" s="39" t="str">
        <f aca="false">IF(M1255&lt;=0,"Lunas",IF(Catatan!$B$3&lt;=H1255,"Belum Jatuh Tempo",IF(O1255&lt;=30,"1-30 hari",IF(O1255&lt;=60,"31-60 hari",IF(O1255&lt;=90,"61-90 hari","90+ hari")))))</f>
        <v>Lunas</v>
      </c>
      <c r="Q1255" s="50"/>
      <c r="R1255" s="39" t="str">
        <f aca="false">IF(M1255&lt;=0,"",IF(O1255&gt;60,"1-Tinggi",IF(O1255&gt;30,"2-Sedang",IF(O1255&gt;0,"3-Rendah","4-Pantau"))))</f>
        <v/>
      </c>
      <c r="S1255" s="39" t="str">
        <f aca="false">IF(AND(M1255&gt;0,O1255&gt;0),O1255+M1255/1000000000000+ROW()/1000000000000000,"")</f>
        <v/>
      </c>
      <c r="T1255" s="39" t="str">
        <f aca="false">IF(J1255="Belum ditukar",ROW(),"")</f>
        <v/>
      </c>
    </row>
    <row r="1256" customFormat="false" ht="15" hidden="false" customHeight="false" outlineLevel="0" collapsed="false">
      <c r="A1256" s="50" t="s">
        <v>1544</v>
      </c>
      <c r="B1256" s="51" t="n">
        <v>45924</v>
      </c>
      <c r="C1256" s="50" t="s">
        <v>354</v>
      </c>
      <c r="D1256" s="39" t="str">
        <f aca="false">INDEX(Master_Customer!$B$2:$B$126,MATCH(C1256,Master_Customer!$A$2:$A$126,0))</f>
        <v>SUMBER SERVICE MAKMUR</v>
      </c>
      <c r="E1256" s="50" t="s">
        <v>31</v>
      </c>
      <c r="F1256" s="52" t="n">
        <f aca="false">SUMIFS(Data_Penjualan!$G$2:$G$5998,Data_Penjualan!$A$2:$A$5998,A1256)</f>
        <v>10089700</v>
      </c>
      <c r="G1256" s="39" t="n">
        <f aca="false">IF(E1256="KANTOR",0,INDEX(Master_Customer!$C$2:$C$126,MATCH(C1256,Master_Customer!$A$2:$A$126,0)))</f>
        <v>30</v>
      </c>
      <c r="H1256" s="53" t="n">
        <f aca="false">B1256+G1256</f>
        <v>45954</v>
      </c>
      <c r="I1256" s="51" t="n">
        <v>45929</v>
      </c>
      <c r="J1256" s="39" t="str">
        <f aca="false">IF(G1256=0,"Tunai",IF(I1256="","Belum ditukar","Sudah ditukar"))</f>
        <v>Sudah ditukar</v>
      </c>
      <c r="K1256" s="54" t="n">
        <v>10089700</v>
      </c>
      <c r="L1256" s="51" t="n">
        <v>45953</v>
      </c>
      <c r="M1256" s="52" t="n">
        <f aca="false">F1256-K1256</f>
        <v>0</v>
      </c>
      <c r="N1256" s="39" t="str">
        <f aca="false">IF(M1256&lt;=0,"Lunas",IF(K1256&gt;0,"Sebagian","Belum Bayar"))</f>
        <v>Lunas</v>
      </c>
      <c r="O1256" s="39" t="n">
        <f aca="false">IF(M1256&gt;0,MAX(0,Catatan!$B$3-H1256),0)</f>
        <v>0</v>
      </c>
      <c r="P1256" s="39" t="str">
        <f aca="false">IF(M1256&lt;=0,"Lunas",IF(Catatan!$B$3&lt;=H1256,"Belum Jatuh Tempo",IF(O1256&lt;=30,"1-30 hari",IF(O1256&lt;=60,"31-60 hari",IF(O1256&lt;=90,"61-90 hari","90+ hari")))))</f>
        <v>Lunas</v>
      </c>
      <c r="Q1256" s="50"/>
      <c r="R1256" s="39" t="str">
        <f aca="false">IF(M1256&lt;=0,"",IF(O1256&gt;60,"1-Tinggi",IF(O1256&gt;30,"2-Sedang",IF(O1256&gt;0,"3-Rendah","4-Pantau"))))</f>
        <v/>
      </c>
      <c r="S1256" s="39" t="str">
        <f aca="false">IF(AND(M1256&gt;0,O1256&gt;0),O1256+M1256/1000000000000+ROW()/1000000000000000,"")</f>
        <v/>
      </c>
      <c r="T1256" s="39" t="str">
        <f aca="false">IF(J1256="Belum ditukar",ROW(),"")</f>
        <v/>
      </c>
    </row>
    <row r="1257" customFormat="false" ht="15" hidden="false" customHeight="false" outlineLevel="0" collapsed="false">
      <c r="A1257" s="50" t="s">
        <v>1545</v>
      </c>
      <c r="B1257" s="51" t="n">
        <v>45925</v>
      </c>
      <c r="C1257" s="50" t="s">
        <v>179</v>
      </c>
      <c r="D1257" s="39" t="str">
        <f aca="false">INDEX(Master_Customer!$B$2:$B$126,MATCH(C1257,Master_Customer!$A$2:$A$126,0))</f>
        <v>BINTANG TEKNIK SURYA</v>
      </c>
      <c r="E1257" s="50" t="s">
        <v>29</v>
      </c>
      <c r="F1257" s="52" t="n">
        <f aca="false">SUMIFS(Data_Penjualan!$G$2:$G$5998,Data_Penjualan!$A$2:$A$5998,A1257)</f>
        <v>3870300</v>
      </c>
      <c r="G1257" s="39" t="n">
        <f aca="false">IF(E1257="KANTOR",0,INDEX(Master_Customer!$C$2:$C$126,MATCH(C1257,Master_Customer!$A$2:$A$126,0)))</f>
        <v>45</v>
      </c>
      <c r="H1257" s="53" t="n">
        <f aca="false">B1257+G1257</f>
        <v>45970</v>
      </c>
      <c r="I1257" s="51" t="n">
        <v>45928</v>
      </c>
      <c r="J1257" s="39" t="str">
        <f aca="false">IF(G1257=0,"Tunai",IF(I1257="","Belum ditukar","Sudah ditukar"))</f>
        <v>Sudah ditukar</v>
      </c>
      <c r="K1257" s="54" t="n">
        <v>3870300</v>
      </c>
      <c r="L1257" s="51" t="n">
        <v>45970</v>
      </c>
      <c r="M1257" s="52" t="n">
        <f aca="false">F1257-K1257</f>
        <v>0</v>
      </c>
      <c r="N1257" s="39" t="str">
        <f aca="false">IF(M1257&lt;=0,"Lunas",IF(K1257&gt;0,"Sebagian","Belum Bayar"))</f>
        <v>Lunas</v>
      </c>
      <c r="O1257" s="39" t="n">
        <f aca="false">IF(M1257&gt;0,MAX(0,Catatan!$B$3-H1257),0)</f>
        <v>0</v>
      </c>
      <c r="P1257" s="39" t="str">
        <f aca="false">IF(M1257&lt;=0,"Lunas",IF(Catatan!$B$3&lt;=H1257,"Belum Jatuh Tempo",IF(O1257&lt;=30,"1-30 hari",IF(O1257&lt;=60,"31-60 hari",IF(O1257&lt;=90,"61-90 hari","90+ hari")))))</f>
        <v>Lunas</v>
      </c>
      <c r="Q1257" s="50"/>
      <c r="R1257" s="39" t="str">
        <f aca="false">IF(M1257&lt;=0,"",IF(O1257&gt;60,"1-Tinggi",IF(O1257&gt;30,"2-Sedang",IF(O1257&gt;0,"3-Rendah","4-Pantau"))))</f>
        <v/>
      </c>
      <c r="S1257" s="39" t="str">
        <f aca="false">IF(AND(M1257&gt;0,O1257&gt;0),O1257+M1257/1000000000000+ROW()/1000000000000000,"")</f>
        <v/>
      </c>
      <c r="T1257" s="39" t="str">
        <f aca="false">IF(J1257="Belum ditukar",ROW(),"")</f>
        <v/>
      </c>
    </row>
    <row r="1258" customFormat="false" ht="15" hidden="false" customHeight="false" outlineLevel="0" collapsed="false">
      <c r="A1258" s="50" t="s">
        <v>1546</v>
      </c>
      <c r="B1258" s="51" t="n">
        <v>45925</v>
      </c>
      <c r="C1258" s="50" t="s">
        <v>179</v>
      </c>
      <c r="D1258" s="39" t="str">
        <f aca="false">INDEX(Master_Customer!$B$2:$B$126,MATCH(C1258,Master_Customer!$A$2:$A$126,0))</f>
        <v>BINTANG TEKNIK SURYA</v>
      </c>
      <c r="E1258" s="50" t="s">
        <v>29</v>
      </c>
      <c r="F1258" s="52" t="n">
        <f aca="false">SUMIFS(Data_Penjualan!$G$2:$G$5998,Data_Penjualan!$A$2:$A$5998,A1258)</f>
        <v>9081400</v>
      </c>
      <c r="G1258" s="39" t="n">
        <f aca="false">IF(E1258="KANTOR",0,INDEX(Master_Customer!$C$2:$C$126,MATCH(C1258,Master_Customer!$A$2:$A$126,0)))</f>
        <v>45</v>
      </c>
      <c r="H1258" s="53" t="n">
        <f aca="false">B1258+G1258</f>
        <v>45970</v>
      </c>
      <c r="I1258" s="51" t="n">
        <v>45930</v>
      </c>
      <c r="J1258" s="39" t="str">
        <f aca="false">IF(G1258=0,"Tunai",IF(I1258="","Belum ditukar","Sudah ditukar"))</f>
        <v>Sudah ditukar</v>
      </c>
      <c r="K1258" s="54" t="n">
        <v>9081400</v>
      </c>
      <c r="L1258" s="51" t="n">
        <v>45969</v>
      </c>
      <c r="M1258" s="52" t="n">
        <f aca="false">F1258-K1258</f>
        <v>0</v>
      </c>
      <c r="N1258" s="39" t="str">
        <f aca="false">IF(M1258&lt;=0,"Lunas",IF(K1258&gt;0,"Sebagian","Belum Bayar"))</f>
        <v>Lunas</v>
      </c>
      <c r="O1258" s="39" t="n">
        <f aca="false">IF(M1258&gt;0,MAX(0,Catatan!$B$3-H1258),0)</f>
        <v>0</v>
      </c>
      <c r="P1258" s="39" t="str">
        <f aca="false">IF(M1258&lt;=0,"Lunas",IF(Catatan!$B$3&lt;=H1258,"Belum Jatuh Tempo",IF(O1258&lt;=30,"1-30 hari",IF(O1258&lt;=60,"31-60 hari",IF(O1258&lt;=90,"61-90 hari","90+ hari")))))</f>
        <v>Lunas</v>
      </c>
      <c r="Q1258" s="50"/>
      <c r="R1258" s="39" t="str">
        <f aca="false">IF(M1258&lt;=0,"",IF(O1258&gt;60,"1-Tinggi",IF(O1258&gt;30,"2-Sedang",IF(O1258&gt;0,"3-Rendah","4-Pantau"))))</f>
        <v/>
      </c>
      <c r="S1258" s="39" t="str">
        <f aca="false">IF(AND(M1258&gt;0,O1258&gt;0),O1258+M1258/1000000000000+ROW()/1000000000000000,"")</f>
        <v/>
      </c>
      <c r="T1258" s="39" t="str">
        <f aca="false">IF(J1258="Belum ditukar",ROW(),"")</f>
        <v/>
      </c>
    </row>
    <row r="1259" customFormat="false" ht="15" hidden="false" customHeight="false" outlineLevel="0" collapsed="false">
      <c r="A1259" s="50" t="s">
        <v>1547</v>
      </c>
      <c r="B1259" s="51" t="n">
        <v>45925</v>
      </c>
      <c r="C1259" s="50" t="s">
        <v>289</v>
      </c>
      <c r="D1259" s="39" t="str">
        <f aca="false">INDEX(Master_Customer!$B$2:$B$126,MATCH(C1259,Master_Customer!$A$2:$A$126,0))</f>
        <v>SINAR GARAGE</v>
      </c>
      <c r="E1259" s="50" t="s">
        <v>32</v>
      </c>
      <c r="F1259" s="52" t="n">
        <f aca="false">SUMIFS(Data_Penjualan!$G$2:$G$5998,Data_Penjualan!$A$2:$A$5998,A1259)</f>
        <v>11068000</v>
      </c>
      <c r="G1259" s="39" t="n">
        <f aca="false">IF(E1259="KANTOR",0,INDEX(Master_Customer!$C$2:$C$126,MATCH(C1259,Master_Customer!$A$2:$A$126,0)))</f>
        <v>0</v>
      </c>
      <c r="H1259" s="53" t="n">
        <f aca="false">B1259+G1259</f>
        <v>45925</v>
      </c>
      <c r="J1259" s="39" t="str">
        <f aca="false">IF(G1259=0,"Tunai",IF(I1259="","Belum ditukar","Sudah ditukar"))</f>
        <v>Tunai</v>
      </c>
      <c r="K1259" s="54" t="n">
        <v>11068000</v>
      </c>
      <c r="L1259" s="51" t="n">
        <v>45925</v>
      </c>
      <c r="M1259" s="52" t="n">
        <f aca="false">F1259-K1259</f>
        <v>0</v>
      </c>
      <c r="N1259" s="39" t="str">
        <f aca="false">IF(M1259&lt;=0,"Lunas",IF(K1259&gt;0,"Sebagian","Belum Bayar"))</f>
        <v>Lunas</v>
      </c>
      <c r="O1259" s="39" t="n">
        <f aca="false">IF(M1259&gt;0,MAX(0,Catatan!$B$3-H1259),0)</f>
        <v>0</v>
      </c>
      <c r="P1259" s="39" t="str">
        <f aca="false">IF(M1259&lt;=0,"Lunas",IF(Catatan!$B$3&lt;=H1259,"Belum Jatuh Tempo",IF(O1259&lt;=30,"1-30 hari",IF(O1259&lt;=60,"31-60 hari",IF(O1259&lt;=90,"61-90 hari","90+ hari")))))</f>
        <v>Lunas</v>
      </c>
      <c r="Q1259" s="50"/>
      <c r="R1259" s="39" t="str">
        <f aca="false">IF(M1259&lt;=0,"",IF(O1259&gt;60,"1-Tinggi",IF(O1259&gt;30,"2-Sedang",IF(O1259&gt;0,"3-Rendah","4-Pantau"))))</f>
        <v/>
      </c>
      <c r="S1259" s="39" t="str">
        <f aca="false">IF(AND(M1259&gt;0,O1259&gt;0),O1259+M1259/1000000000000+ROW()/1000000000000000,"")</f>
        <v/>
      </c>
      <c r="T1259" s="39" t="str">
        <f aca="false">IF(J1259="Belum ditukar",ROW(),"")</f>
        <v/>
      </c>
    </row>
    <row r="1260" customFormat="false" ht="15" hidden="false" customHeight="false" outlineLevel="0" collapsed="false">
      <c r="A1260" s="50" t="s">
        <v>1548</v>
      </c>
      <c r="B1260" s="51" t="n">
        <v>45925</v>
      </c>
      <c r="C1260" s="50" t="s">
        <v>241</v>
      </c>
      <c r="D1260" s="39" t="str">
        <f aca="false">INDEX(Master_Customer!$B$2:$B$126,MATCH(C1260,Master_Customer!$A$2:$A$126,0))</f>
        <v>GEMILANG GARAGE TIRTA</v>
      </c>
      <c r="E1260" s="50" t="s">
        <v>29</v>
      </c>
      <c r="F1260" s="52" t="n">
        <f aca="false">SUMIFS(Data_Penjualan!$G$2:$G$5998,Data_Penjualan!$A$2:$A$5998,A1260)</f>
        <v>24746400</v>
      </c>
      <c r="G1260" s="39" t="n">
        <f aca="false">IF(E1260="KANTOR",0,INDEX(Master_Customer!$C$2:$C$126,MATCH(C1260,Master_Customer!$A$2:$A$126,0)))</f>
        <v>14</v>
      </c>
      <c r="H1260" s="53" t="n">
        <f aca="false">B1260+G1260</f>
        <v>45939</v>
      </c>
      <c r="I1260" s="51" t="n">
        <v>45929</v>
      </c>
      <c r="J1260" s="39" t="str">
        <f aca="false">IF(G1260=0,"Tunai",IF(I1260="","Belum ditukar","Sudah ditukar"))</f>
        <v>Sudah ditukar</v>
      </c>
      <c r="K1260" s="54" t="n">
        <v>24746400</v>
      </c>
      <c r="L1260" s="51" t="n">
        <v>45936</v>
      </c>
      <c r="M1260" s="52" t="n">
        <f aca="false">F1260-K1260</f>
        <v>0</v>
      </c>
      <c r="N1260" s="39" t="str">
        <f aca="false">IF(M1260&lt;=0,"Lunas",IF(K1260&gt;0,"Sebagian","Belum Bayar"))</f>
        <v>Lunas</v>
      </c>
      <c r="O1260" s="39" t="n">
        <f aca="false">IF(M1260&gt;0,MAX(0,Catatan!$B$3-H1260),0)</f>
        <v>0</v>
      </c>
      <c r="P1260" s="39" t="str">
        <f aca="false">IF(M1260&lt;=0,"Lunas",IF(Catatan!$B$3&lt;=H1260,"Belum Jatuh Tempo",IF(O1260&lt;=30,"1-30 hari",IF(O1260&lt;=60,"31-60 hari",IF(O1260&lt;=90,"61-90 hari","90+ hari")))))</f>
        <v>Lunas</v>
      </c>
      <c r="Q1260" s="50"/>
      <c r="R1260" s="39" t="str">
        <f aca="false">IF(M1260&lt;=0,"",IF(O1260&gt;60,"1-Tinggi",IF(O1260&gt;30,"2-Sedang",IF(O1260&gt;0,"3-Rendah","4-Pantau"))))</f>
        <v/>
      </c>
      <c r="S1260" s="39" t="str">
        <f aca="false">IF(AND(M1260&gt;0,O1260&gt;0),O1260+M1260/1000000000000+ROW()/1000000000000000,"")</f>
        <v/>
      </c>
      <c r="T1260" s="39" t="str">
        <f aca="false">IF(J1260="Belum ditukar",ROW(),"")</f>
        <v/>
      </c>
    </row>
    <row r="1261" customFormat="false" ht="15" hidden="false" customHeight="false" outlineLevel="0" collapsed="false">
      <c r="A1261" s="50" t="s">
        <v>1549</v>
      </c>
      <c r="B1261" s="51" t="n">
        <v>45925</v>
      </c>
      <c r="C1261" s="50" t="s">
        <v>197</v>
      </c>
      <c r="D1261" s="39" t="str">
        <f aca="false">INDEX(Master_Customer!$B$2:$B$126,MATCH(C1261,Master_Customer!$A$2:$A$126,0))</f>
        <v>UTAMA LUBRICANT HARAPAN</v>
      </c>
      <c r="E1261" s="50" t="s">
        <v>30</v>
      </c>
      <c r="F1261" s="52" t="n">
        <f aca="false">SUMIFS(Data_Penjualan!$G$2:$G$5998,Data_Penjualan!$A$2:$A$5998,A1261)</f>
        <v>16095600</v>
      </c>
      <c r="G1261" s="39" t="n">
        <f aca="false">IF(E1261="KANTOR",0,INDEX(Master_Customer!$C$2:$C$126,MATCH(C1261,Master_Customer!$A$2:$A$126,0)))</f>
        <v>30</v>
      </c>
      <c r="H1261" s="53" t="n">
        <f aca="false">B1261+G1261</f>
        <v>45955</v>
      </c>
      <c r="I1261" s="51" t="n">
        <v>45927</v>
      </c>
      <c r="J1261" s="39" t="str">
        <f aca="false">IF(G1261=0,"Tunai",IF(I1261="","Belum ditukar","Sudah ditukar"))</f>
        <v>Sudah ditukar</v>
      </c>
      <c r="K1261" s="54" t="n">
        <v>16095600</v>
      </c>
      <c r="L1261" s="51" t="n">
        <v>45956</v>
      </c>
      <c r="M1261" s="52" t="n">
        <f aca="false">F1261-K1261</f>
        <v>0</v>
      </c>
      <c r="N1261" s="39" t="str">
        <f aca="false">IF(M1261&lt;=0,"Lunas",IF(K1261&gt;0,"Sebagian","Belum Bayar"))</f>
        <v>Lunas</v>
      </c>
      <c r="O1261" s="39" t="n">
        <f aca="false">IF(M1261&gt;0,MAX(0,Catatan!$B$3-H1261),0)</f>
        <v>0</v>
      </c>
      <c r="P1261" s="39" t="str">
        <f aca="false">IF(M1261&lt;=0,"Lunas",IF(Catatan!$B$3&lt;=H1261,"Belum Jatuh Tempo",IF(O1261&lt;=30,"1-30 hari",IF(O1261&lt;=60,"31-60 hari",IF(O1261&lt;=90,"61-90 hari","90+ hari")))))</f>
        <v>Lunas</v>
      </c>
      <c r="Q1261" s="50"/>
      <c r="R1261" s="39" t="str">
        <f aca="false">IF(M1261&lt;=0,"",IF(O1261&gt;60,"1-Tinggi",IF(O1261&gt;30,"2-Sedang",IF(O1261&gt;0,"3-Rendah","4-Pantau"))))</f>
        <v/>
      </c>
      <c r="S1261" s="39" t="str">
        <f aca="false">IF(AND(M1261&gt;0,O1261&gt;0),O1261+M1261/1000000000000+ROW()/1000000000000000,"")</f>
        <v/>
      </c>
      <c r="T1261" s="39" t="str">
        <f aca="false">IF(J1261="Belum ditukar",ROW(),"")</f>
        <v/>
      </c>
    </row>
    <row r="1262" customFormat="false" ht="15" hidden="false" customHeight="false" outlineLevel="0" collapsed="false">
      <c r="A1262" s="50" t="s">
        <v>1550</v>
      </c>
      <c r="B1262" s="51" t="n">
        <v>45925</v>
      </c>
      <c r="C1262" s="50" t="s">
        <v>838</v>
      </c>
      <c r="D1262" s="39" t="str">
        <f aca="false">INDEX(Master_Customer!$B$2:$B$126,MATCH(C1262,Master_Customer!$A$2:$A$126,0))</f>
        <v>HARAPAN AUTO</v>
      </c>
      <c r="E1262" s="50" t="s">
        <v>30</v>
      </c>
      <c r="F1262" s="52" t="n">
        <f aca="false">SUMIFS(Data_Penjualan!$G$2:$G$5998,Data_Penjualan!$A$2:$A$5998,A1262)</f>
        <v>16067300</v>
      </c>
      <c r="G1262" s="39" t="n">
        <f aca="false">IF(E1262="KANTOR",0,INDEX(Master_Customer!$C$2:$C$126,MATCH(C1262,Master_Customer!$A$2:$A$126,0)))</f>
        <v>30</v>
      </c>
      <c r="H1262" s="53" t="n">
        <f aca="false">B1262+G1262</f>
        <v>45955</v>
      </c>
      <c r="I1262" s="51" t="n">
        <v>45928</v>
      </c>
      <c r="J1262" s="39" t="str">
        <f aca="false">IF(G1262=0,"Tunai",IF(I1262="","Belum ditukar","Sudah ditukar"))</f>
        <v>Sudah ditukar</v>
      </c>
      <c r="K1262" s="54" t="n">
        <v>16067300</v>
      </c>
      <c r="L1262" s="51" t="n">
        <v>45957</v>
      </c>
      <c r="M1262" s="52" t="n">
        <f aca="false">F1262-K1262</f>
        <v>0</v>
      </c>
      <c r="N1262" s="39" t="str">
        <f aca="false">IF(M1262&lt;=0,"Lunas",IF(K1262&gt;0,"Sebagian","Belum Bayar"))</f>
        <v>Lunas</v>
      </c>
      <c r="O1262" s="39" t="n">
        <f aca="false">IF(M1262&gt;0,MAX(0,Catatan!$B$3-H1262),0)</f>
        <v>0</v>
      </c>
      <c r="P1262" s="39" t="str">
        <f aca="false">IF(M1262&lt;=0,"Lunas",IF(Catatan!$B$3&lt;=H1262,"Belum Jatuh Tempo",IF(O1262&lt;=30,"1-30 hari",IF(O1262&lt;=60,"31-60 hari",IF(O1262&lt;=90,"61-90 hari","90+ hari")))))</f>
        <v>Lunas</v>
      </c>
      <c r="Q1262" s="50"/>
      <c r="R1262" s="39" t="str">
        <f aca="false">IF(M1262&lt;=0,"",IF(O1262&gt;60,"1-Tinggi",IF(O1262&gt;30,"2-Sedang",IF(O1262&gt;0,"3-Rendah","4-Pantau"))))</f>
        <v/>
      </c>
      <c r="S1262" s="39" t="str">
        <f aca="false">IF(AND(M1262&gt;0,O1262&gt;0),O1262+M1262/1000000000000+ROW()/1000000000000000,"")</f>
        <v/>
      </c>
      <c r="T1262" s="39" t="str">
        <f aca="false">IF(J1262="Belum ditukar",ROW(),"")</f>
        <v/>
      </c>
    </row>
    <row r="1263" customFormat="false" ht="15" hidden="false" customHeight="false" outlineLevel="0" collapsed="false">
      <c r="A1263" s="50" t="s">
        <v>1551</v>
      </c>
      <c r="B1263" s="51" t="n">
        <v>45925</v>
      </c>
      <c r="C1263" s="50" t="s">
        <v>243</v>
      </c>
      <c r="D1263" s="39" t="str">
        <f aca="false">INDEX(Master_Customer!$B$2:$B$126,MATCH(C1263,Master_Customer!$A$2:$A$126,0))</f>
        <v>SENTOSA LUBRICANT MULIA</v>
      </c>
      <c r="E1263" s="50" t="s">
        <v>30</v>
      </c>
      <c r="F1263" s="52" t="n">
        <f aca="false">SUMIFS(Data_Penjualan!$G$2:$G$5998,Data_Penjualan!$A$2:$A$5998,A1263)</f>
        <v>5717900</v>
      </c>
      <c r="G1263" s="39" t="n">
        <f aca="false">IF(E1263="KANTOR",0,INDEX(Master_Customer!$C$2:$C$126,MATCH(C1263,Master_Customer!$A$2:$A$126,0)))</f>
        <v>45</v>
      </c>
      <c r="H1263" s="53" t="n">
        <f aca="false">B1263+G1263</f>
        <v>45970</v>
      </c>
      <c r="I1263" s="51" t="n">
        <v>45926</v>
      </c>
      <c r="J1263" s="39" t="str">
        <f aca="false">IF(G1263=0,"Tunai",IF(I1263="","Belum ditukar","Sudah ditukar"))</f>
        <v>Sudah ditukar</v>
      </c>
      <c r="K1263" s="54" t="n">
        <v>5717900</v>
      </c>
      <c r="L1263" s="51" t="n">
        <v>46015</v>
      </c>
      <c r="M1263" s="52" t="n">
        <f aca="false">F1263-K1263</f>
        <v>0</v>
      </c>
      <c r="N1263" s="39" t="str">
        <f aca="false">IF(M1263&lt;=0,"Lunas",IF(K1263&gt;0,"Sebagian","Belum Bayar"))</f>
        <v>Lunas</v>
      </c>
      <c r="O1263" s="39" t="n">
        <f aca="false">IF(M1263&gt;0,MAX(0,Catatan!$B$3-H1263),0)</f>
        <v>0</v>
      </c>
      <c r="P1263" s="39" t="str">
        <f aca="false">IF(M1263&lt;=0,"Lunas",IF(Catatan!$B$3&lt;=H1263,"Belum Jatuh Tempo",IF(O1263&lt;=30,"1-30 hari",IF(O1263&lt;=60,"31-60 hari",IF(O1263&lt;=90,"61-90 hari","90+ hari")))))</f>
        <v>Lunas</v>
      </c>
      <c r="Q1263" s="50"/>
      <c r="R1263" s="39" t="str">
        <f aca="false">IF(M1263&lt;=0,"",IF(O1263&gt;60,"1-Tinggi",IF(O1263&gt;30,"2-Sedang",IF(O1263&gt;0,"3-Rendah","4-Pantau"))))</f>
        <v/>
      </c>
      <c r="S1263" s="39" t="str">
        <f aca="false">IF(AND(M1263&gt;0,O1263&gt;0),O1263+M1263/1000000000000+ROW()/1000000000000000,"")</f>
        <v/>
      </c>
      <c r="T1263" s="39" t="str">
        <f aca="false">IF(J1263="Belum ditukar",ROW(),"")</f>
        <v/>
      </c>
    </row>
    <row r="1264" customFormat="false" ht="15" hidden="false" customHeight="false" outlineLevel="0" collapsed="false">
      <c r="A1264" s="50" t="s">
        <v>1552</v>
      </c>
      <c r="B1264" s="51" t="n">
        <v>45925</v>
      </c>
      <c r="C1264" s="50" t="s">
        <v>298</v>
      </c>
      <c r="D1264" s="39" t="str">
        <f aca="false">INDEX(Master_Customer!$B$2:$B$126,MATCH(C1264,Master_Customer!$A$2:$A$126,0))</f>
        <v>BERKAH MOBIL MAKMUR</v>
      </c>
      <c r="E1264" s="50" t="s">
        <v>32</v>
      </c>
      <c r="F1264" s="52" t="n">
        <f aca="false">SUMIFS(Data_Penjualan!$G$2:$G$5998,Data_Penjualan!$A$2:$A$5998,A1264)</f>
        <v>17694800</v>
      </c>
      <c r="G1264" s="39" t="n">
        <f aca="false">IF(E1264="KANTOR",0,INDEX(Master_Customer!$C$2:$C$126,MATCH(C1264,Master_Customer!$A$2:$A$126,0)))</f>
        <v>0</v>
      </c>
      <c r="H1264" s="53" t="n">
        <f aca="false">B1264+G1264</f>
        <v>45925</v>
      </c>
      <c r="J1264" s="39" t="str">
        <f aca="false">IF(G1264=0,"Tunai",IF(I1264="","Belum ditukar","Sudah ditukar"))</f>
        <v>Tunai</v>
      </c>
      <c r="K1264" s="54" t="n">
        <v>17694800</v>
      </c>
      <c r="L1264" s="51" t="n">
        <v>45926</v>
      </c>
      <c r="M1264" s="52" t="n">
        <f aca="false">F1264-K1264</f>
        <v>0</v>
      </c>
      <c r="N1264" s="39" t="str">
        <f aca="false">IF(M1264&lt;=0,"Lunas",IF(K1264&gt;0,"Sebagian","Belum Bayar"))</f>
        <v>Lunas</v>
      </c>
      <c r="O1264" s="39" t="n">
        <f aca="false">IF(M1264&gt;0,MAX(0,Catatan!$B$3-H1264),0)</f>
        <v>0</v>
      </c>
      <c r="P1264" s="39" t="str">
        <f aca="false">IF(M1264&lt;=0,"Lunas",IF(Catatan!$B$3&lt;=H1264,"Belum Jatuh Tempo",IF(O1264&lt;=30,"1-30 hari",IF(O1264&lt;=60,"31-60 hari",IF(O1264&lt;=90,"61-90 hari","90+ hari")))))</f>
        <v>Lunas</v>
      </c>
      <c r="Q1264" s="50"/>
      <c r="R1264" s="39" t="str">
        <f aca="false">IF(M1264&lt;=0,"",IF(O1264&gt;60,"1-Tinggi",IF(O1264&gt;30,"2-Sedang",IF(O1264&gt;0,"3-Rendah","4-Pantau"))))</f>
        <v/>
      </c>
      <c r="S1264" s="39" t="str">
        <f aca="false">IF(AND(M1264&gt;0,O1264&gt;0),O1264+M1264/1000000000000+ROW()/1000000000000000,"")</f>
        <v/>
      </c>
      <c r="T1264" s="39" t="str">
        <f aca="false">IF(J1264="Belum ditukar",ROW(),"")</f>
        <v/>
      </c>
    </row>
    <row r="1265" customFormat="false" ht="15" hidden="false" customHeight="false" outlineLevel="0" collapsed="false">
      <c r="A1265" s="50" t="s">
        <v>1553</v>
      </c>
      <c r="B1265" s="51" t="n">
        <v>45926</v>
      </c>
      <c r="C1265" s="50" t="s">
        <v>228</v>
      </c>
      <c r="D1265" s="39" t="str">
        <f aca="false">INDEX(Master_Customer!$B$2:$B$126,MATCH(C1265,Master_Customer!$A$2:$A$126,0))</f>
        <v>MAKMUR SERVICE JAYA</v>
      </c>
      <c r="E1265" s="50" t="s">
        <v>29</v>
      </c>
      <c r="F1265" s="52" t="n">
        <f aca="false">SUMIFS(Data_Penjualan!$G$2:$G$5998,Data_Penjualan!$A$2:$A$5998,A1265)</f>
        <v>5245300</v>
      </c>
      <c r="G1265" s="39" t="n">
        <f aca="false">IF(E1265="KANTOR",0,INDEX(Master_Customer!$C$2:$C$126,MATCH(C1265,Master_Customer!$A$2:$A$126,0)))</f>
        <v>30</v>
      </c>
      <c r="H1265" s="53" t="n">
        <f aca="false">B1265+G1265</f>
        <v>45956</v>
      </c>
      <c r="I1265" s="51" t="n">
        <v>45930</v>
      </c>
      <c r="J1265" s="39" t="str">
        <f aca="false">IF(G1265=0,"Tunai",IF(I1265="","Belum ditukar","Sudah ditukar"))</f>
        <v>Sudah ditukar</v>
      </c>
      <c r="K1265" s="54" t="n">
        <v>5245300</v>
      </c>
      <c r="L1265" s="51" t="n">
        <v>46002</v>
      </c>
      <c r="M1265" s="52" t="n">
        <f aca="false">F1265-K1265</f>
        <v>0</v>
      </c>
      <c r="N1265" s="39" t="str">
        <f aca="false">IF(M1265&lt;=0,"Lunas",IF(K1265&gt;0,"Sebagian","Belum Bayar"))</f>
        <v>Lunas</v>
      </c>
      <c r="O1265" s="39" t="n">
        <f aca="false">IF(M1265&gt;0,MAX(0,Catatan!$B$3-H1265),0)</f>
        <v>0</v>
      </c>
      <c r="P1265" s="39" t="str">
        <f aca="false">IF(M1265&lt;=0,"Lunas",IF(Catatan!$B$3&lt;=H1265,"Belum Jatuh Tempo",IF(O1265&lt;=30,"1-30 hari",IF(O1265&lt;=60,"31-60 hari",IF(O1265&lt;=90,"61-90 hari","90+ hari")))))</f>
        <v>Lunas</v>
      </c>
      <c r="Q1265" s="50"/>
      <c r="R1265" s="39" t="str">
        <f aca="false">IF(M1265&lt;=0,"",IF(O1265&gt;60,"1-Tinggi",IF(O1265&gt;30,"2-Sedang",IF(O1265&gt;0,"3-Rendah","4-Pantau"))))</f>
        <v/>
      </c>
      <c r="S1265" s="39" t="str">
        <f aca="false">IF(AND(M1265&gt;0,O1265&gt;0),O1265+M1265/1000000000000+ROW()/1000000000000000,"")</f>
        <v/>
      </c>
      <c r="T1265" s="39" t="str">
        <f aca="false">IF(J1265="Belum ditukar",ROW(),"")</f>
        <v/>
      </c>
    </row>
    <row r="1266" customFormat="false" ht="15" hidden="false" customHeight="false" outlineLevel="0" collapsed="false">
      <c r="A1266" s="50" t="s">
        <v>1554</v>
      </c>
      <c r="B1266" s="51" t="n">
        <v>45926</v>
      </c>
      <c r="C1266" s="50" t="s">
        <v>269</v>
      </c>
      <c r="D1266" s="39" t="str">
        <f aca="false">INDEX(Master_Customer!$B$2:$B$126,MATCH(C1266,Master_Customer!$A$2:$A$126,0))</f>
        <v>KARYA BENGKEL</v>
      </c>
      <c r="E1266" s="50" t="s">
        <v>28</v>
      </c>
      <c r="F1266" s="52" t="n">
        <f aca="false">SUMIFS(Data_Penjualan!$G$2:$G$5998,Data_Penjualan!$A$2:$A$5998,A1266)</f>
        <v>17077500</v>
      </c>
      <c r="G1266" s="39" t="n">
        <f aca="false">IF(E1266="KANTOR",0,INDEX(Master_Customer!$C$2:$C$126,MATCH(C1266,Master_Customer!$A$2:$A$126,0)))</f>
        <v>14</v>
      </c>
      <c r="H1266" s="53" t="n">
        <f aca="false">B1266+G1266</f>
        <v>45940</v>
      </c>
      <c r="I1266" s="51" t="n">
        <v>45929</v>
      </c>
      <c r="J1266" s="39" t="str">
        <f aca="false">IF(G1266=0,"Tunai",IF(I1266="","Belum ditukar","Sudah ditukar"))</f>
        <v>Sudah ditukar</v>
      </c>
      <c r="K1266" s="54" t="n">
        <v>17077500</v>
      </c>
      <c r="L1266" s="51" t="n">
        <v>45947</v>
      </c>
      <c r="M1266" s="52" t="n">
        <f aca="false">F1266-K1266</f>
        <v>0</v>
      </c>
      <c r="N1266" s="39" t="str">
        <f aca="false">IF(M1266&lt;=0,"Lunas",IF(K1266&gt;0,"Sebagian","Belum Bayar"))</f>
        <v>Lunas</v>
      </c>
      <c r="O1266" s="39" t="n">
        <f aca="false">IF(M1266&gt;0,MAX(0,Catatan!$B$3-H1266),0)</f>
        <v>0</v>
      </c>
      <c r="P1266" s="39" t="str">
        <f aca="false">IF(M1266&lt;=0,"Lunas",IF(Catatan!$B$3&lt;=H1266,"Belum Jatuh Tempo",IF(O1266&lt;=30,"1-30 hari",IF(O1266&lt;=60,"31-60 hari",IF(O1266&lt;=90,"61-90 hari","90+ hari")))))</f>
        <v>Lunas</v>
      </c>
      <c r="Q1266" s="50"/>
      <c r="R1266" s="39" t="str">
        <f aca="false">IF(M1266&lt;=0,"",IF(O1266&gt;60,"1-Tinggi",IF(O1266&gt;30,"2-Sedang",IF(O1266&gt;0,"3-Rendah","4-Pantau"))))</f>
        <v/>
      </c>
      <c r="S1266" s="39" t="str">
        <f aca="false">IF(AND(M1266&gt;0,O1266&gt;0),O1266+M1266/1000000000000+ROW()/1000000000000000,"")</f>
        <v/>
      </c>
      <c r="T1266" s="39" t="str">
        <f aca="false">IF(J1266="Belum ditukar",ROW(),"")</f>
        <v/>
      </c>
    </row>
    <row r="1267" customFormat="false" ht="15" hidden="false" customHeight="false" outlineLevel="0" collapsed="false">
      <c r="A1267" s="50" t="s">
        <v>1555</v>
      </c>
      <c r="B1267" s="51" t="n">
        <v>45926</v>
      </c>
      <c r="C1267" s="50" t="s">
        <v>475</v>
      </c>
      <c r="D1267" s="39" t="str">
        <f aca="false">INDEX(Master_Customer!$B$2:$B$126,MATCH(C1267,Master_Customer!$A$2:$A$126,0))</f>
        <v>CAHAYA BENGKEL</v>
      </c>
      <c r="E1267" s="50" t="s">
        <v>32</v>
      </c>
      <c r="F1267" s="52" t="n">
        <f aca="false">SUMIFS(Data_Penjualan!$G$2:$G$5998,Data_Penjualan!$A$2:$A$5998,A1267)</f>
        <v>15648800</v>
      </c>
      <c r="G1267" s="39" t="n">
        <f aca="false">IF(E1267="KANTOR",0,INDEX(Master_Customer!$C$2:$C$126,MATCH(C1267,Master_Customer!$A$2:$A$126,0)))</f>
        <v>0</v>
      </c>
      <c r="H1267" s="53" t="n">
        <f aca="false">B1267+G1267</f>
        <v>45926</v>
      </c>
      <c r="J1267" s="39" t="str">
        <f aca="false">IF(G1267=0,"Tunai",IF(I1267="","Belum ditukar","Sudah ditukar"))</f>
        <v>Tunai</v>
      </c>
      <c r="K1267" s="54" t="n">
        <v>15648800</v>
      </c>
      <c r="L1267" s="51" t="n">
        <v>45926</v>
      </c>
      <c r="M1267" s="52" t="n">
        <f aca="false">F1267-K1267</f>
        <v>0</v>
      </c>
      <c r="N1267" s="39" t="str">
        <f aca="false">IF(M1267&lt;=0,"Lunas",IF(K1267&gt;0,"Sebagian","Belum Bayar"))</f>
        <v>Lunas</v>
      </c>
      <c r="O1267" s="39" t="n">
        <f aca="false">IF(M1267&gt;0,MAX(0,Catatan!$B$3-H1267),0)</f>
        <v>0</v>
      </c>
      <c r="P1267" s="39" t="str">
        <f aca="false">IF(M1267&lt;=0,"Lunas",IF(Catatan!$B$3&lt;=H1267,"Belum Jatuh Tempo",IF(O1267&lt;=30,"1-30 hari",IF(O1267&lt;=60,"31-60 hari",IF(O1267&lt;=90,"61-90 hari","90+ hari")))))</f>
        <v>Lunas</v>
      </c>
      <c r="Q1267" s="50"/>
      <c r="R1267" s="39" t="str">
        <f aca="false">IF(M1267&lt;=0,"",IF(O1267&gt;60,"1-Tinggi",IF(O1267&gt;30,"2-Sedang",IF(O1267&gt;0,"3-Rendah","4-Pantau"))))</f>
        <v/>
      </c>
      <c r="S1267" s="39" t="str">
        <f aca="false">IF(AND(M1267&gt;0,O1267&gt;0),O1267+M1267/1000000000000+ROW()/1000000000000000,"")</f>
        <v/>
      </c>
      <c r="T1267" s="39" t="str">
        <f aca="false">IF(J1267="Belum ditukar",ROW(),"")</f>
        <v/>
      </c>
    </row>
    <row r="1268" customFormat="false" ht="15" hidden="false" customHeight="false" outlineLevel="0" collapsed="false">
      <c r="A1268" s="50" t="s">
        <v>1556</v>
      </c>
      <c r="B1268" s="51" t="n">
        <v>45927</v>
      </c>
      <c r="C1268" s="50" t="s">
        <v>174</v>
      </c>
      <c r="D1268" s="39" t="str">
        <f aca="false">INDEX(Master_Customer!$B$2:$B$126,MATCH(C1268,Master_Customer!$A$2:$A$126,0))</f>
        <v>SUMBER TEKNIK SURYA</v>
      </c>
      <c r="E1268" s="50" t="s">
        <v>31</v>
      </c>
      <c r="F1268" s="52" t="n">
        <f aca="false">SUMIFS(Data_Penjualan!$G$2:$G$5998,Data_Penjualan!$A$2:$A$5998,A1268)</f>
        <v>10580800</v>
      </c>
      <c r="G1268" s="39" t="n">
        <f aca="false">IF(E1268="KANTOR",0,INDEX(Master_Customer!$C$2:$C$126,MATCH(C1268,Master_Customer!$A$2:$A$126,0)))</f>
        <v>30</v>
      </c>
      <c r="H1268" s="53" t="n">
        <f aca="false">B1268+G1268</f>
        <v>45957</v>
      </c>
      <c r="I1268" s="51" t="n">
        <v>45929</v>
      </c>
      <c r="J1268" s="39" t="str">
        <f aca="false">IF(G1268=0,"Tunai",IF(I1268="","Belum ditukar","Sudah ditukar"))</f>
        <v>Sudah ditukar</v>
      </c>
      <c r="K1268" s="54" t="n">
        <v>10580800</v>
      </c>
      <c r="L1268" s="51" t="n">
        <v>45959</v>
      </c>
      <c r="M1268" s="52" t="n">
        <f aca="false">F1268-K1268</f>
        <v>0</v>
      </c>
      <c r="N1268" s="39" t="str">
        <f aca="false">IF(M1268&lt;=0,"Lunas",IF(K1268&gt;0,"Sebagian","Belum Bayar"))</f>
        <v>Lunas</v>
      </c>
      <c r="O1268" s="39" t="n">
        <f aca="false">IF(M1268&gt;0,MAX(0,Catatan!$B$3-H1268),0)</f>
        <v>0</v>
      </c>
      <c r="P1268" s="39" t="str">
        <f aca="false">IF(M1268&lt;=0,"Lunas",IF(Catatan!$B$3&lt;=H1268,"Belum Jatuh Tempo",IF(O1268&lt;=30,"1-30 hari",IF(O1268&lt;=60,"31-60 hari",IF(O1268&lt;=90,"61-90 hari","90+ hari")))))</f>
        <v>Lunas</v>
      </c>
      <c r="Q1268" s="50"/>
      <c r="R1268" s="39" t="str">
        <f aca="false">IF(M1268&lt;=0,"",IF(O1268&gt;60,"1-Tinggi",IF(O1268&gt;30,"2-Sedang",IF(O1268&gt;0,"3-Rendah","4-Pantau"))))</f>
        <v/>
      </c>
      <c r="S1268" s="39" t="str">
        <f aca="false">IF(AND(M1268&gt;0,O1268&gt;0),O1268+M1268/1000000000000+ROW()/1000000000000000,"")</f>
        <v/>
      </c>
      <c r="T1268" s="39" t="str">
        <f aca="false">IF(J1268="Belum ditukar",ROW(),"")</f>
        <v/>
      </c>
    </row>
    <row r="1269" customFormat="false" ht="15" hidden="false" customHeight="false" outlineLevel="0" collapsed="false">
      <c r="A1269" s="50" t="s">
        <v>1557</v>
      </c>
      <c r="B1269" s="51" t="n">
        <v>45927</v>
      </c>
      <c r="C1269" s="50" t="s">
        <v>199</v>
      </c>
      <c r="D1269" s="39" t="str">
        <f aca="false">INDEX(Master_Customer!$B$2:$B$126,MATCH(C1269,Master_Customer!$A$2:$A$126,0))</f>
        <v>KARYA SPAREPART</v>
      </c>
      <c r="E1269" s="50" t="s">
        <v>29</v>
      </c>
      <c r="F1269" s="52" t="n">
        <f aca="false">SUMIFS(Data_Penjualan!$G$2:$G$5998,Data_Penjualan!$A$2:$A$5998,A1269)</f>
        <v>13125200</v>
      </c>
      <c r="G1269" s="39" t="n">
        <f aca="false">IF(E1269="KANTOR",0,INDEX(Master_Customer!$C$2:$C$126,MATCH(C1269,Master_Customer!$A$2:$A$126,0)))</f>
        <v>45</v>
      </c>
      <c r="H1269" s="53" t="n">
        <f aca="false">B1269+G1269</f>
        <v>45972</v>
      </c>
      <c r="I1269" s="51" t="n">
        <v>45929</v>
      </c>
      <c r="J1269" s="39" t="str">
        <f aca="false">IF(G1269=0,"Tunai",IF(I1269="","Belum ditukar","Sudah ditukar"))</f>
        <v>Sudah ditukar</v>
      </c>
      <c r="K1269" s="54" t="n">
        <v>13125200</v>
      </c>
      <c r="L1269" s="51" t="n">
        <v>45972</v>
      </c>
      <c r="M1269" s="52" t="n">
        <f aca="false">F1269-K1269</f>
        <v>0</v>
      </c>
      <c r="N1269" s="39" t="str">
        <f aca="false">IF(M1269&lt;=0,"Lunas",IF(K1269&gt;0,"Sebagian","Belum Bayar"))</f>
        <v>Lunas</v>
      </c>
      <c r="O1269" s="39" t="n">
        <f aca="false">IF(M1269&gt;0,MAX(0,Catatan!$B$3-H1269),0)</f>
        <v>0</v>
      </c>
      <c r="P1269" s="39" t="str">
        <f aca="false">IF(M1269&lt;=0,"Lunas",IF(Catatan!$B$3&lt;=H1269,"Belum Jatuh Tempo",IF(O1269&lt;=30,"1-30 hari",IF(O1269&lt;=60,"31-60 hari",IF(O1269&lt;=90,"61-90 hari","90+ hari")))))</f>
        <v>Lunas</v>
      </c>
      <c r="Q1269" s="50"/>
      <c r="R1269" s="39" t="str">
        <f aca="false">IF(M1269&lt;=0,"",IF(O1269&gt;60,"1-Tinggi",IF(O1269&gt;30,"2-Sedang",IF(O1269&gt;0,"3-Rendah","4-Pantau"))))</f>
        <v/>
      </c>
      <c r="S1269" s="39" t="str">
        <f aca="false">IF(AND(M1269&gt;0,O1269&gt;0),O1269+M1269/1000000000000+ROW()/1000000000000000,"")</f>
        <v/>
      </c>
      <c r="T1269" s="39" t="str">
        <f aca="false">IF(J1269="Belum ditukar",ROW(),"")</f>
        <v/>
      </c>
    </row>
    <row r="1270" customFormat="false" ht="15" hidden="false" customHeight="false" outlineLevel="0" collapsed="false">
      <c r="A1270" s="50" t="s">
        <v>1558</v>
      </c>
      <c r="B1270" s="51" t="n">
        <v>45927</v>
      </c>
      <c r="C1270" s="50" t="s">
        <v>232</v>
      </c>
      <c r="D1270" s="39" t="str">
        <f aca="false">INDEX(Master_Customer!$B$2:$B$126,MATCH(C1270,Master_Customer!$A$2:$A$126,0))</f>
        <v>ABADI LUBRICANT KARYA</v>
      </c>
      <c r="E1270" s="50" t="s">
        <v>32</v>
      </c>
      <c r="F1270" s="52" t="n">
        <f aca="false">SUMIFS(Data_Penjualan!$G$2:$G$5998,Data_Penjualan!$A$2:$A$5998,A1270)</f>
        <v>4692700</v>
      </c>
      <c r="G1270" s="39" t="n">
        <f aca="false">IF(E1270="KANTOR",0,INDEX(Master_Customer!$C$2:$C$126,MATCH(C1270,Master_Customer!$A$2:$A$126,0)))</f>
        <v>0</v>
      </c>
      <c r="H1270" s="53" t="n">
        <f aca="false">B1270+G1270</f>
        <v>45927</v>
      </c>
      <c r="J1270" s="39" t="str">
        <f aca="false">IF(G1270=0,"Tunai",IF(I1270="","Belum ditukar","Sudah ditukar"))</f>
        <v>Tunai</v>
      </c>
      <c r="K1270" s="54" t="n">
        <v>4692700</v>
      </c>
      <c r="L1270" s="51" t="n">
        <v>45929</v>
      </c>
      <c r="M1270" s="52" t="n">
        <f aca="false">F1270-K1270</f>
        <v>0</v>
      </c>
      <c r="N1270" s="39" t="str">
        <f aca="false">IF(M1270&lt;=0,"Lunas",IF(K1270&gt;0,"Sebagian","Belum Bayar"))</f>
        <v>Lunas</v>
      </c>
      <c r="O1270" s="39" t="n">
        <f aca="false">IF(M1270&gt;0,MAX(0,Catatan!$B$3-H1270),0)</f>
        <v>0</v>
      </c>
      <c r="P1270" s="39" t="str">
        <f aca="false">IF(M1270&lt;=0,"Lunas",IF(Catatan!$B$3&lt;=H1270,"Belum Jatuh Tempo",IF(O1270&lt;=30,"1-30 hari",IF(O1270&lt;=60,"31-60 hari",IF(O1270&lt;=90,"61-90 hari","90+ hari")))))</f>
        <v>Lunas</v>
      </c>
      <c r="Q1270" s="50"/>
      <c r="R1270" s="39" t="str">
        <f aca="false">IF(M1270&lt;=0,"",IF(O1270&gt;60,"1-Tinggi",IF(O1270&gt;30,"2-Sedang",IF(O1270&gt;0,"3-Rendah","4-Pantau"))))</f>
        <v/>
      </c>
      <c r="S1270" s="39" t="str">
        <f aca="false">IF(AND(M1270&gt;0,O1270&gt;0),O1270+M1270/1000000000000+ROW()/1000000000000000,"")</f>
        <v/>
      </c>
      <c r="T1270" s="39" t="str">
        <f aca="false">IF(J1270="Belum ditukar",ROW(),"")</f>
        <v/>
      </c>
    </row>
    <row r="1271" customFormat="false" ht="15" hidden="false" customHeight="false" outlineLevel="0" collapsed="false">
      <c r="A1271" s="50" t="s">
        <v>1559</v>
      </c>
      <c r="B1271" s="51" t="n">
        <v>45927</v>
      </c>
      <c r="C1271" s="50" t="s">
        <v>205</v>
      </c>
      <c r="D1271" s="39" t="str">
        <f aca="false">INDEX(Master_Customer!$B$2:$B$126,MATCH(C1271,Master_Customer!$A$2:$A$126,0))</f>
        <v>BERKAH OLI</v>
      </c>
      <c r="E1271" s="50" t="s">
        <v>28</v>
      </c>
      <c r="F1271" s="52" t="n">
        <f aca="false">SUMIFS(Data_Penjualan!$G$2:$G$5998,Data_Penjualan!$A$2:$A$5998,A1271)</f>
        <v>14725400</v>
      </c>
      <c r="G1271" s="39" t="n">
        <f aca="false">IF(E1271="KANTOR",0,INDEX(Master_Customer!$C$2:$C$126,MATCH(C1271,Master_Customer!$A$2:$A$126,0)))</f>
        <v>0</v>
      </c>
      <c r="H1271" s="53" t="n">
        <f aca="false">B1271+G1271</f>
        <v>45927</v>
      </c>
      <c r="J1271" s="39" t="str">
        <f aca="false">IF(G1271=0,"Tunai",IF(I1271="","Belum ditukar","Sudah ditukar"))</f>
        <v>Tunai</v>
      </c>
      <c r="K1271" s="54" t="n">
        <v>14725400</v>
      </c>
      <c r="L1271" s="51" t="n">
        <v>45927</v>
      </c>
      <c r="M1271" s="52" t="n">
        <f aca="false">F1271-K1271</f>
        <v>0</v>
      </c>
      <c r="N1271" s="39" t="str">
        <f aca="false">IF(M1271&lt;=0,"Lunas",IF(K1271&gt;0,"Sebagian","Belum Bayar"))</f>
        <v>Lunas</v>
      </c>
      <c r="O1271" s="39" t="n">
        <f aca="false">IF(M1271&gt;0,MAX(0,Catatan!$B$3-H1271),0)</f>
        <v>0</v>
      </c>
      <c r="P1271" s="39" t="str">
        <f aca="false">IF(M1271&lt;=0,"Lunas",IF(Catatan!$B$3&lt;=H1271,"Belum Jatuh Tempo",IF(O1271&lt;=30,"1-30 hari",IF(O1271&lt;=60,"31-60 hari",IF(O1271&lt;=90,"61-90 hari","90+ hari")))))</f>
        <v>Lunas</v>
      </c>
      <c r="Q1271" s="50"/>
      <c r="R1271" s="39" t="str">
        <f aca="false">IF(M1271&lt;=0,"",IF(O1271&gt;60,"1-Tinggi",IF(O1271&gt;30,"2-Sedang",IF(O1271&gt;0,"3-Rendah","4-Pantau"))))</f>
        <v/>
      </c>
      <c r="S1271" s="39" t="str">
        <f aca="false">IF(AND(M1271&gt;0,O1271&gt;0),O1271+M1271/1000000000000+ROW()/1000000000000000,"")</f>
        <v/>
      </c>
      <c r="T1271" s="39" t="str">
        <f aca="false">IF(J1271="Belum ditukar",ROW(),"")</f>
        <v/>
      </c>
    </row>
    <row r="1272" customFormat="false" ht="15" hidden="false" customHeight="false" outlineLevel="0" collapsed="false">
      <c r="A1272" s="50" t="s">
        <v>1560</v>
      </c>
      <c r="B1272" s="51" t="n">
        <v>45927</v>
      </c>
      <c r="C1272" s="50" t="s">
        <v>207</v>
      </c>
      <c r="D1272" s="39" t="str">
        <f aca="false">INDEX(Master_Customer!$B$2:$B$126,MATCH(C1272,Master_Customer!$A$2:$A$126,0))</f>
        <v>MAKMUR AUTO HARAPAN</v>
      </c>
      <c r="E1272" s="50" t="s">
        <v>29</v>
      </c>
      <c r="F1272" s="52" t="n">
        <f aca="false">SUMIFS(Data_Penjualan!$G$2:$G$5998,Data_Penjualan!$A$2:$A$5998,A1272)</f>
        <v>3088700</v>
      </c>
      <c r="G1272" s="39" t="n">
        <f aca="false">IF(E1272="KANTOR",0,INDEX(Master_Customer!$C$2:$C$126,MATCH(C1272,Master_Customer!$A$2:$A$126,0)))</f>
        <v>30</v>
      </c>
      <c r="H1272" s="53" t="n">
        <f aca="false">B1272+G1272</f>
        <v>45957</v>
      </c>
      <c r="I1272" s="51" t="n">
        <v>45932</v>
      </c>
      <c r="J1272" s="39" t="str">
        <f aca="false">IF(G1272=0,"Tunai",IF(I1272="","Belum ditukar","Sudah ditukar"))</f>
        <v>Sudah ditukar</v>
      </c>
      <c r="K1272" s="54" t="n">
        <v>3088700</v>
      </c>
      <c r="L1272" s="51" t="n">
        <v>45965</v>
      </c>
      <c r="M1272" s="52" t="n">
        <f aca="false">F1272-K1272</f>
        <v>0</v>
      </c>
      <c r="N1272" s="39" t="str">
        <f aca="false">IF(M1272&lt;=0,"Lunas",IF(K1272&gt;0,"Sebagian","Belum Bayar"))</f>
        <v>Lunas</v>
      </c>
      <c r="O1272" s="39" t="n">
        <f aca="false">IF(M1272&gt;0,MAX(0,Catatan!$B$3-H1272),0)</f>
        <v>0</v>
      </c>
      <c r="P1272" s="39" t="str">
        <f aca="false">IF(M1272&lt;=0,"Lunas",IF(Catatan!$B$3&lt;=H1272,"Belum Jatuh Tempo",IF(O1272&lt;=30,"1-30 hari",IF(O1272&lt;=60,"31-60 hari",IF(O1272&lt;=90,"61-90 hari","90+ hari")))))</f>
        <v>Lunas</v>
      </c>
      <c r="Q1272" s="50"/>
      <c r="R1272" s="39" t="str">
        <f aca="false">IF(M1272&lt;=0,"",IF(O1272&gt;60,"1-Tinggi",IF(O1272&gt;30,"2-Sedang",IF(O1272&gt;0,"3-Rendah","4-Pantau"))))</f>
        <v/>
      </c>
      <c r="S1272" s="39" t="str">
        <f aca="false">IF(AND(M1272&gt;0,O1272&gt;0),O1272+M1272/1000000000000+ROW()/1000000000000000,"")</f>
        <v/>
      </c>
      <c r="T1272" s="39" t="str">
        <f aca="false">IF(J1272="Belum ditukar",ROW(),"")</f>
        <v/>
      </c>
    </row>
    <row r="1273" customFormat="false" ht="15" hidden="false" customHeight="false" outlineLevel="0" collapsed="false">
      <c r="A1273" s="50" t="s">
        <v>1561</v>
      </c>
      <c r="B1273" s="51" t="n">
        <v>45927</v>
      </c>
      <c r="C1273" s="50" t="s">
        <v>298</v>
      </c>
      <c r="D1273" s="39" t="str">
        <f aca="false">INDEX(Master_Customer!$B$2:$B$126,MATCH(C1273,Master_Customer!$A$2:$A$126,0))</f>
        <v>BERKAH MOBIL MAKMUR</v>
      </c>
      <c r="E1273" s="50" t="s">
        <v>31</v>
      </c>
      <c r="F1273" s="52" t="n">
        <f aca="false">SUMIFS(Data_Penjualan!$G$2:$G$5998,Data_Penjualan!$A$2:$A$5998,A1273)</f>
        <v>8383300</v>
      </c>
      <c r="G1273" s="39" t="n">
        <f aca="false">IF(E1273="KANTOR",0,INDEX(Master_Customer!$C$2:$C$126,MATCH(C1273,Master_Customer!$A$2:$A$126,0)))</f>
        <v>14</v>
      </c>
      <c r="H1273" s="53" t="n">
        <f aca="false">B1273+G1273</f>
        <v>45941</v>
      </c>
      <c r="I1273" s="51" t="n">
        <v>45931</v>
      </c>
      <c r="J1273" s="39" t="str">
        <f aca="false">IF(G1273=0,"Tunai",IF(I1273="","Belum ditukar","Sudah ditukar"))</f>
        <v>Sudah ditukar</v>
      </c>
      <c r="K1273" s="54" t="n">
        <v>8383300</v>
      </c>
      <c r="L1273" s="51" t="n">
        <v>45934</v>
      </c>
      <c r="M1273" s="52" t="n">
        <f aca="false">F1273-K1273</f>
        <v>0</v>
      </c>
      <c r="N1273" s="39" t="str">
        <f aca="false">IF(M1273&lt;=0,"Lunas",IF(K1273&gt;0,"Sebagian","Belum Bayar"))</f>
        <v>Lunas</v>
      </c>
      <c r="O1273" s="39" t="n">
        <f aca="false">IF(M1273&gt;0,MAX(0,Catatan!$B$3-H1273),0)</f>
        <v>0</v>
      </c>
      <c r="P1273" s="39" t="str">
        <f aca="false">IF(M1273&lt;=0,"Lunas",IF(Catatan!$B$3&lt;=H1273,"Belum Jatuh Tempo",IF(O1273&lt;=30,"1-30 hari",IF(O1273&lt;=60,"31-60 hari",IF(O1273&lt;=90,"61-90 hari","90+ hari")))))</f>
        <v>Lunas</v>
      </c>
      <c r="Q1273" s="50"/>
      <c r="R1273" s="39" t="str">
        <f aca="false">IF(M1273&lt;=0,"",IF(O1273&gt;60,"1-Tinggi",IF(O1273&gt;30,"2-Sedang",IF(O1273&gt;0,"3-Rendah","4-Pantau"))))</f>
        <v/>
      </c>
      <c r="S1273" s="39" t="str">
        <f aca="false">IF(AND(M1273&gt;0,O1273&gt;0),O1273+M1273/1000000000000+ROW()/1000000000000000,"")</f>
        <v/>
      </c>
      <c r="T1273" s="39" t="str">
        <f aca="false">IF(J1273="Belum ditukar",ROW(),"")</f>
        <v/>
      </c>
    </row>
    <row r="1274" customFormat="false" ht="15" hidden="false" customHeight="false" outlineLevel="0" collapsed="false">
      <c r="A1274" s="50" t="s">
        <v>1562</v>
      </c>
      <c r="B1274" s="51" t="n">
        <v>45929</v>
      </c>
      <c r="C1274" s="50" t="s">
        <v>199</v>
      </c>
      <c r="D1274" s="39" t="str">
        <f aca="false">INDEX(Master_Customer!$B$2:$B$126,MATCH(C1274,Master_Customer!$A$2:$A$126,0))</f>
        <v>KARYA SPAREPART</v>
      </c>
      <c r="E1274" s="50" t="s">
        <v>29</v>
      </c>
      <c r="F1274" s="52" t="n">
        <f aca="false">SUMIFS(Data_Penjualan!$G$2:$G$5998,Data_Penjualan!$A$2:$A$5998,A1274)</f>
        <v>6153200</v>
      </c>
      <c r="G1274" s="39" t="n">
        <f aca="false">IF(E1274="KANTOR",0,INDEX(Master_Customer!$C$2:$C$126,MATCH(C1274,Master_Customer!$A$2:$A$126,0)))</f>
        <v>45</v>
      </c>
      <c r="H1274" s="53" t="n">
        <f aca="false">B1274+G1274</f>
        <v>45974</v>
      </c>
      <c r="I1274" s="51" t="n">
        <v>45934</v>
      </c>
      <c r="J1274" s="39" t="str">
        <f aca="false">IF(G1274=0,"Tunai",IF(I1274="","Belum ditukar","Sudah ditukar"))</f>
        <v>Sudah ditukar</v>
      </c>
      <c r="K1274" s="54" t="n">
        <v>6153200</v>
      </c>
      <c r="L1274" s="51" t="n">
        <v>45976</v>
      </c>
      <c r="M1274" s="52" t="n">
        <f aca="false">F1274-K1274</f>
        <v>0</v>
      </c>
      <c r="N1274" s="39" t="str">
        <f aca="false">IF(M1274&lt;=0,"Lunas",IF(K1274&gt;0,"Sebagian","Belum Bayar"))</f>
        <v>Lunas</v>
      </c>
      <c r="O1274" s="39" t="n">
        <f aca="false">IF(M1274&gt;0,MAX(0,Catatan!$B$3-H1274),0)</f>
        <v>0</v>
      </c>
      <c r="P1274" s="39" t="str">
        <f aca="false">IF(M1274&lt;=0,"Lunas",IF(Catatan!$B$3&lt;=H1274,"Belum Jatuh Tempo",IF(O1274&lt;=30,"1-30 hari",IF(O1274&lt;=60,"31-60 hari",IF(O1274&lt;=90,"61-90 hari","90+ hari")))))</f>
        <v>Lunas</v>
      </c>
      <c r="Q1274" s="50"/>
      <c r="R1274" s="39" t="str">
        <f aca="false">IF(M1274&lt;=0,"",IF(O1274&gt;60,"1-Tinggi",IF(O1274&gt;30,"2-Sedang",IF(O1274&gt;0,"3-Rendah","4-Pantau"))))</f>
        <v/>
      </c>
      <c r="S1274" s="39" t="str">
        <f aca="false">IF(AND(M1274&gt;0,O1274&gt;0),O1274+M1274/1000000000000+ROW()/1000000000000000,"")</f>
        <v/>
      </c>
      <c r="T1274" s="39" t="str">
        <f aca="false">IF(J1274="Belum ditukar",ROW(),"")</f>
        <v/>
      </c>
    </row>
    <row r="1275" customFormat="false" ht="15" hidden="false" customHeight="false" outlineLevel="0" collapsed="false">
      <c r="A1275" s="50" t="s">
        <v>1563</v>
      </c>
      <c r="B1275" s="51" t="n">
        <v>45929</v>
      </c>
      <c r="C1275" s="50" t="s">
        <v>166</v>
      </c>
      <c r="D1275" s="39" t="str">
        <f aca="false">INDEX(Master_Customer!$B$2:$B$126,MATCH(C1275,Master_Customer!$A$2:$A$126,0))</f>
        <v>SENTOSA SERVICE</v>
      </c>
      <c r="E1275" s="50" t="s">
        <v>32</v>
      </c>
      <c r="F1275" s="52" t="n">
        <f aca="false">SUMIFS(Data_Penjualan!$G$2:$G$5998,Data_Penjualan!$A$2:$A$5998,A1275)</f>
        <v>22470000</v>
      </c>
      <c r="G1275" s="39" t="n">
        <f aca="false">IF(E1275="KANTOR",0,INDEX(Master_Customer!$C$2:$C$126,MATCH(C1275,Master_Customer!$A$2:$A$126,0)))</f>
        <v>0</v>
      </c>
      <c r="H1275" s="53" t="n">
        <f aca="false">B1275+G1275</f>
        <v>45929</v>
      </c>
      <c r="J1275" s="39" t="str">
        <f aca="false">IF(G1275=0,"Tunai",IF(I1275="","Belum ditukar","Sudah ditukar"))</f>
        <v>Tunai</v>
      </c>
      <c r="K1275" s="54" t="n">
        <v>22470000</v>
      </c>
      <c r="L1275" s="51" t="n">
        <v>45931</v>
      </c>
      <c r="M1275" s="52" t="n">
        <f aca="false">F1275-K1275</f>
        <v>0</v>
      </c>
      <c r="N1275" s="39" t="str">
        <f aca="false">IF(M1275&lt;=0,"Lunas",IF(K1275&gt;0,"Sebagian","Belum Bayar"))</f>
        <v>Lunas</v>
      </c>
      <c r="O1275" s="39" t="n">
        <f aca="false">IF(M1275&gt;0,MAX(0,Catatan!$B$3-H1275),0)</f>
        <v>0</v>
      </c>
      <c r="P1275" s="39" t="str">
        <f aca="false">IF(M1275&lt;=0,"Lunas",IF(Catatan!$B$3&lt;=H1275,"Belum Jatuh Tempo",IF(O1275&lt;=30,"1-30 hari",IF(O1275&lt;=60,"31-60 hari",IF(O1275&lt;=90,"61-90 hari","90+ hari")))))</f>
        <v>Lunas</v>
      </c>
      <c r="Q1275" s="50"/>
      <c r="R1275" s="39" t="str">
        <f aca="false">IF(M1275&lt;=0,"",IF(O1275&gt;60,"1-Tinggi",IF(O1275&gt;30,"2-Sedang",IF(O1275&gt;0,"3-Rendah","4-Pantau"))))</f>
        <v/>
      </c>
      <c r="S1275" s="39" t="str">
        <f aca="false">IF(AND(M1275&gt;0,O1275&gt;0),O1275+M1275/1000000000000+ROW()/1000000000000000,"")</f>
        <v/>
      </c>
      <c r="T1275" s="39" t="str">
        <f aca="false">IF(J1275="Belum ditukar",ROW(),"")</f>
        <v/>
      </c>
    </row>
    <row r="1276" customFormat="false" ht="15" hidden="false" customHeight="false" outlineLevel="0" collapsed="false">
      <c r="A1276" s="50" t="s">
        <v>1564</v>
      </c>
      <c r="B1276" s="51" t="n">
        <v>45929</v>
      </c>
      <c r="C1276" s="50" t="s">
        <v>358</v>
      </c>
      <c r="D1276" s="39" t="str">
        <f aca="false">INDEX(Master_Customer!$B$2:$B$126,MATCH(C1276,Master_Customer!$A$2:$A$126,0))</f>
        <v>HARAPAN TEKNIK</v>
      </c>
      <c r="E1276" s="50" t="s">
        <v>32</v>
      </c>
      <c r="F1276" s="52" t="n">
        <f aca="false">SUMIFS(Data_Penjualan!$G$2:$G$5998,Data_Penjualan!$A$2:$A$5998,A1276)</f>
        <v>3208400</v>
      </c>
      <c r="G1276" s="39" t="n">
        <f aca="false">IF(E1276="KANTOR",0,INDEX(Master_Customer!$C$2:$C$126,MATCH(C1276,Master_Customer!$A$2:$A$126,0)))</f>
        <v>0</v>
      </c>
      <c r="H1276" s="53" t="n">
        <f aca="false">B1276+G1276</f>
        <v>45929</v>
      </c>
      <c r="J1276" s="39" t="str">
        <f aca="false">IF(G1276=0,"Tunai",IF(I1276="","Belum ditukar","Sudah ditukar"))</f>
        <v>Tunai</v>
      </c>
      <c r="K1276" s="54" t="n">
        <v>3208400</v>
      </c>
      <c r="L1276" s="51" t="n">
        <v>45929</v>
      </c>
      <c r="M1276" s="52" t="n">
        <f aca="false">F1276-K1276</f>
        <v>0</v>
      </c>
      <c r="N1276" s="39" t="str">
        <f aca="false">IF(M1276&lt;=0,"Lunas",IF(K1276&gt;0,"Sebagian","Belum Bayar"))</f>
        <v>Lunas</v>
      </c>
      <c r="O1276" s="39" t="n">
        <f aca="false">IF(M1276&gt;0,MAX(0,Catatan!$B$3-H1276),0)</f>
        <v>0</v>
      </c>
      <c r="P1276" s="39" t="str">
        <f aca="false">IF(M1276&lt;=0,"Lunas",IF(Catatan!$B$3&lt;=H1276,"Belum Jatuh Tempo",IF(O1276&lt;=30,"1-30 hari",IF(O1276&lt;=60,"31-60 hari",IF(O1276&lt;=90,"61-90 hari","90+ hari")))))</f>
        <v>Lunas</v>
      </c>
      <c r="Q1276" s="50"/>
      <c r="R1276" s="39" t="str">
        <f aca="false">IF(M1276&lt;=0,"",IF(O1276&gt;60,"1-Tinggi",IF(O1276&gt;30,"2-Sedang",IF(O1276&gt;0,"3-Rendah","4-Pantau"))))</f>
        <v/>
      </c>
      <c r="S1276" s="39" t="str">
        <f aca="false">IF(AND(M1276&gt;0,O1276&gt;0),O1276+M1276/1000000000000+ROW()/1000000000000000,"")</f>
        <v/>
      </c>
      <c r="T1276" s="39" t="str">
        <f aca="false">IF(J1276="Belum ditukar",ROW(),"")</f>
        <v/>
      </c>
    </row>
    <row r="1277" customFormat="false" ht="15" hidden="false" customHeight="false" outlineLevel="0" collapsed="false">
      <c r="A1277" s="50" t="s">
        <v>1565</v>
      </c>
      <c r="B1277" s="51" t="n">
        <v>45929</v>
      </c>
      <c r="C1277" s="50" t="s">
        <v>505</v>
      </c>
      <c r="D1277" s="39" t="str">
        <f aca="false">INDEX(Master_Customer!$B$2:$B$126,MATCH(C1277,Master_Customer!$A$2:$A$126,0))</f>
        <v>GEMILANG OLI CAHAYA</v>
      </c>
      <c r="E1277" s="50" t="s">
        <v>31</v>
      </c>
      <c r="F1277" s="52" t="n">
        <f aca="false">SUMIFS(Data_Penjualan!$G$2:$G$5998,Data_Penjualan!$A$2:$A$5998,A1277)</f>
        <v>16275300</v>
      </c>
      <c r="G1277" s="39" t="n">
        <f aca="false">IF(E1277="KANTOR",0,INDEX(Master_Customer!$C$2:$C$126,MATCH(C1277,Master_Customer!$A$2:$A$126,0)))</f>
        <v>0</v>
      </c>
      <c r="H1277" s="53" t="n">
        <f aca="false">B1277+G1277</f>
        <v>45929</v>
      </c>
      <c r="J1277" s="39" t="str">
        <f aca="false">IF(G1277=0,"Tunai",IF(I1277="","Belum ditukar","Sudah ditukar"))</f>
        <v>Tunai</v>
      </c>
      <c r="K1277" s="54" t="n">
        <v>16275300</v>
      </c>
      <c r="L1277" s="51" t="n">
        <v>45929</v>
      </c>
      <c r="M1277" s="52" t="n">
        <f aca="false">F1277-K1277</f>
        <v>0</v>
      </c>
      <c r="N1277" s="39" t="str">
        <f aca="false">IF(M1277&lt;=0,"Lunas",IF(K1277&gt;0,"Sebagian","Belum Bayar"))</f>
        <v>Lunas</v>
      </c>
      <c r="O1277" s="39" t="n">
        <f aca="false">IF(M1277&gt;0,MAX(0,Catatan!$B$3-H1277),0)</f>
        <v>0</v>
      </c>
      <c r="P1277" s="39" t="str">
        <f aca="false">IF(M1277&lt;=0,"Lunas",IF(Catatan!$B$3&lt;=H1277,"Belum Jatuh Tempo",IF(O1277&lt;=30,"1-30 hari",IF(O1277&lt;=60,"31-60 hari",IF(O1277&lt;=90,"61-90 hari","90+ hari")))))</f>
        <v>Lunas</v>
      </c>
      <c r="Q1277" s="50"/>
      <c r="R1277" s="39" t="str">
        <f aca="false">IF(M1277&lt;=0,"",IF(O1277&gt;60,"1-Tinggi",IF(O1277&gt;30,"2-Sedang",IF(O1277&gt;0,"3-Rendah","4-Pantau"))))</f>
        <v/>
      </c>
      <c r="S1277" s="39" t="str">
        <f aca="false">IF(AND(M1277&gt;0,O1277&gt;0),O1277+M1277/1000000000000+ROW()/1000000000000000,"")</f>
        <v/>
      </c>
      <c r="T1277" s="39" t="str">
        <f aca="false">IF(J1277="Belum ditukar",ROW(),"")</f>
        <v/>
      </c>
    </row>
    <row r="1278" customFormat="false" ht="15" hidden="false" customHeight="false" outlineLevel="0" collapsed="false">
      <c r="A1278" s="50" t="s">
        <v>1566</v>
      </c>
      <c r="B1278" s="51" t="n">
        <v>45929</v>
      </c>
      <c r="C1278" s="50" t="s">
        <v>234</v>
      </c>
      <c r="D1278" s="39" t="str">
        <f aca="false">INDEX(Master_Customer!$B$2:$B$126,MATCH(C1278,Master_Customer!$A$2:$A$126,0))</f>
        <v>CAHAYA OLI</v>
      </c>
      <c r="E1278" s="50" t="s">
        <v>28</v>
      </c>
      <c r="F1278" s="52" t="n">
        <f aca="false">SUMIFS(Data_Penjualan!$G$2:$G$5998,Data_Penjualan!$A$2:$A$5998,A1278)</f>
        <v>9698200</v>
      </c>
      <c r="G1278" s="39" t="n">
        <f aca="false">IF(E1278="KANTOR",0,INDEX(Master_Customer!$C$2:$C$126,MATCH(C1278,Master_Customer!$A$2:$A$126,0)))</f>
        <v>30</v>
      </c>
      <c r="H1278" s="53" t="n">
        <f aca="false">B1278+G1278</f>
        <v>45959</v>
      </c>
      <c r="I1278" s="51" t="n">
        <v>45930</v>
      </c>
      <c r="J1278" s="39" t="str">
        <f aca="false">IF(G1278=0,"Tunai",IF(I1278="","Belum ditukar","Sudah ditukar"))</f>
        <v>Sudah ditukar</v>
      </c>
      <c r="K1278" s="54" t="n">
        <v>9698200</v>
      </c>
      <c r="L1278" s="51" t="n">
        <v>45952</v>
      </c>
      <c r="M1278" s="52" t="n">
        <f aca="false">F1278-K1278</f>
        <v>0</v>
      </c>
      <c r="N1278" s="39" t="str">
        <f aca="false">IF(M1278&lt;=0,"Lunas",IF(K1278&gt;0,"Sebagian","Belum Bayar"))</f>
        <v>Lunas</v>
      </c>
      <c r="O1278" s="39" t="n">
        <f aca="false">IF(M1278&gt;0,MAX(0,Catatan!$B$3-H1278),0)</f>
        <v>0</v>
      </c>
      <c r="P1278" s="39" t="str">
        <f aca="false">IF(M1278&lt;=0,"Lunas",IF(Catatan!$B$3&lt;=H1278,"Belum Jatuh Tempo",IF(O1278&lt;=30,"1-30 hari",IF(O1278&lt;=60,"31-60 hari",IF(O1278&lt;=90,"61-90 hari","90+ hari")))))</f>
        <v>Lunas</v>
      </c>
      <c r="Q1278" s="50"/>
      <c r="R1278" s="39" t="str">
        <f aca="false">IF(M1278&lt;=0,"",IF(O1278&gt;60,"1-Tinggi",IF(O1278&gt;30,"2-Sedang",IF(O1278&gt;0,"3-Rendah","4-Pantau"))))</f>
        <v/>
      </c>
      <c r="S1278" s="39" t="str">
        <f aca="false">IF(AND(M1278&gt;0,O1278&gt;0),O1278+M1278/1000000000000+ROW()/1000000000000000,"")</f>
        <v/>
      </c>
      <c r="T1278" s="39" t="str">
        <f aca="false">IF(J1278="Belum ditukar",ROW(),"")</f>
        <v/>
      </c>
    </row>
    <row r="1279" customFormat="false" ht="15" hidden="false" customHeight="false" outlineLevel="0" collapsed="false">
      <c r="A1279" s="50" t="s">
        <v>1567</v>
      </c>
      <c r="B1279" s="51" t="n">
        <v>45929</v>
      </c>
      <c r="C1279" s="50" t="s">
        <v>174</v>
      </c>
      <c r="D1279" s="39" t="str">
        <f aca="false">INDEX(Master_Customer!$B$2:$B$126,MATCH(C1279,Master_Customer!$A$2:$A$126,0))</f>
        <v>SUMBER TEKNIK SURYA</v>
      </c>
      <c r="E1279" s="50" t="s">
        <v>31</v>
      </c>
      <c r="F1279" s="52" t="n">
        <f aca="false">SUMIFS(Data_Penjualan!$G$2:$G$5998,Data_Penjualan!$A$2:$A$5998,A1279)</f>
        <v>4461700</v>
      </c>
      <c r="G1279" s="39" t="n">
        <f aca="false">IF(E1279="KANTOR",0,INDEX(Master_Customer!$C$2:$C$126,MATCH(C1279,Master_Customer!$A$2:$A$126,0)))</f>
        <v>30</v>
      </c>
      <c r="H1279" s="53" t="n">
        <f aca="false">B1279+G1279</f>
        <v>45959</v>
      </c>
      <c r="I1279" s="51" t="n">
        <v>45934</v>
      </c>
      <c r="J1279" s="39" t="str">
        <f aca="false">IF(G1279=0,"Tunai",IF(I1279="","Belum ditukar","Sudah ditukar"))</f>
        <v>Sudah ditukar</v>
      </c>
      <c r="K1279" s="54" t="n">
        <v>4461700</v>
      </c>
      <c r="L1279" s="51" t="n">
        <v>45957</v>
      </c>
      <c r="M1279" s="52" t="n">
        <f aca="false">F1279-K1279</f>
        <v>0</v>
      </c>
      <c r="N1279" s="39" t="str">
        <f aca="false">IF(M1279&lt;=0,"Lunas",IF(K1279&gt;0,"Sebagian","Belum Bayar"))</f>
        <v>Lunas</v>
      </c>
      <c r="O1279" s="39" t="n">
        <f aca="false">IF(M1279&gt;0,MAX(0,Catatan!$B$3-H1279),0)</f>
        <v>0</v>
      </c>
      <c r="P1279" s="39" t="str">
        <f aca="false">IF(M1279&lt;=0,"Lunas",IF(Catatan!$B$3&lt;=H1279,"Belum Jatuh Tempo",IF(O1279&lt;=30,"1-30 hari",IF(O1279&lt;=60,"31-60 hari",IF(O1279&lt;=90,"61-90 hari","90+ hari")))))</f>
        <v>Lunas</v>
      </c>
      <c r="Q1279" s="50"/>
      <c r="R1279" s="39" t="str">
        <f aca="false">IF(M1279&lt;=0,"",IF(O1279&gt;60,"1-Tinggi",IF(O1279&gt;30,"2-Sedang",IF(O1279&gt;0,"3-Rendah","4-Pantau"))))</f>
        <v/>
      </c>
      <c r="S1279" s="39" t="str">
        <f aca="false">IF(AND(M1279&gt;0,O1279&gt;0),O1279+M1279/1000000000000+ROW()/1000000000000000,"")</f>
        <v/>
      </c>
      <c r="T1279" s="39" t="str">
        <f aca="false">IF(J1279="Belum ditukar",ROW(),"")</f>
        <v/>
      </c>
    </row>
    <row r="1280" customFormat="false" ht="15" hidden="false" customHeight="false" outlineLevel="0" collapsed="false">
      <c r="A1280" s="50" t="s">
        <v>1568</v>
      </c>
      <c r="B1280" s="51" t="n">
        <v>45929</v>
      </c>
      <c r="C1280" s="50" t="s">
        <v>247</v>
      </c>
      <c r="D1280" s="39" t="str">
        <f aca="false">INDEX(Master_Customer!$B$2:$B$126,MATCH(C1280,Master_Customer!$A$2:$A$126,0))</f>
        <v>BINTANG LUBRICANT SURYA</v>
      </c>
      <c r="E1280" s="50" t="s">
        <v>28</v>
      </c>
      <c r="F1280" s="52" t="n">
        <f aca="false">SUMIFS(Data_Penjualan!$G$2:$G$5998,Data_Penjualan!$A$2:$A$5998,A1280)</f>
        <v>6421500</v>
      </c>
      <c r="G1280" s="39" t="n">
        <f aca="false">IF(E1280="KANTOR",0,INDEX(Master_Customer!$C$2:$C$126,MATCH(C1280,Master_Customer!$A$2:$A$126,0)))</f>
        <v>30</v>
      </c>
      <c r="H1280" s="53" t="n">
        <f aca="false">B1280+G1280</f>
        <v>45959</v>
      </c>
      <c r="I1280" s="51" t="n">
        <v>45930</v>
      </c>
      <c r="J1280" s="39" t="str">
        <f aca="false">IF(G1280=0,"Tunai",IF(I1280="","Belum ditukar","Sudah ditukar"))</f>
        <v>Sudah ditukar</v>
      </c>
      <c r="K1280" s="54" t="n">
        <v>6421500</v>
      </c>
      <c r="L1280" s="51" t="n">
        <v>45957</v>
      </c>
      <c r="M1280" s="52" t="n">
        <f aca="false">F1280-K1280</f>
        <v>0</v>
      </c>
      <c r="N1280" s="39" t="str">
        <f aca="false">IF(M1280&lt;=0,"Lunas",IF(K1280&gt;0,"Sebagian","Belum Bayar"))</f>
        <v>Lunas</v>
      </c>
      <c r="O1280" s="39" t="n">
        <f aca="false">IF(M1280&gt;0,MAX(0,Catatan!$B$3-H1280),0)</f>
        <v>0</v>
      </c>
      <c r="P1280" s="39" t="str">
        <f aca="false">IF(M1280&lt;=0,"Lunas",IF(Catatan!$B$3&lt;=H1280,"Belum Jatuh Tempo",IF(O1280&lt;=30,"1-30 hari",IF(O1280&lt;=60,"31-60 hari",IF(O1280&lt;=90,"61-90 hari","90+ hari")))))</f>
        <v>Lunas</v>
      </c>
      <c r="Q1280" s="50"/>
      <c r="R1280" s="39" t="str">
        <f aca="false">IF(M1280&lt;=0,"",IF(O1280&gt;60,"1-Tinggi",IF(O1280&gt;30,"2-Sedang",IF(O1280&gt;0,"3-Rendah","4-Pantau"))))</f>
        <v/>
      </c>
      <c r="S1280" s="39" t="str">
        <f aca="false">IF(AND(M1280&gt;0,O1280&gt;0),O1280+M1280/1000000000000+ROW()/1000000000000000,"")</f>
        <v/>
      </c>
      <c r="T1280" s="39" t="str">
        <f aca="false">IF(J1280="Belum ditukar",ROW(),"")</f>
        <v/>
      </c>
    </row>
    <row r="1281" customFormat="false" ht="15" hidden="false" customHeight="false" outlineLevel="0" collapsed="false">
      <c r="A1281" s="50" t="s">
        <v>1569</v>
      </c>
      <c r="B1281" s="51" t="n">
        <v>45929</v>
      </c>
      <c r="C1281" s="50" t="s">
        <v>491</v>
      </c>
      <c r="D1281" s="39" t="str">
        <f aca="false">INDEX(Master_Customer!$B$2:$B$126,MATCH(C1281,Master_Customer!$A$2:$A$126,0))</f>
        <v>SINAR SERVICE</v>
      </c>
      <c r="E1281" s="50" t="s">
        <v>32</v>
      </c>
      <c r="F1281" s="52" t="n">
        <f aca="false">SUMIFS(Data_Penjualan!$G$2:$G$5998,Data_Penjualan!$A$2:$A$5998,A1281)</f>
        <v>36613500</v>
      </c>
      <c r="G1281" s="39" t="n">
        <f aca="false">IF(E1281="KANTOR",0,INDEX(Master_Customer!$C$2:$C$126,MATCH(C1281,Master_Customer!$A$2:$A$126,0)))</f>
        <v>0</v>
      </c>
      <c r="H1281" s="53" t="n">
        <f aca="false">B1281+G1281</f>
        <v>45929</v>
      </c>
      <c r="J1281" s="39" t="str">
        <f aca="false">IF(G1281=0,"Tunai",IF(I1281="","Belum ditukar","Sudah ditukar"))</f>
        <v>Tunai</v>
      </c>
      <c r="K1281" s="54" t="n">
        <v>36613500</v>
      </c>
      <c r="L1281" s="51" t="n">
        <v>45930</v>
      </c>
      <c r="M1281" s="52" t="n">
        <f aca="false">F1281-K1281</f>
        <v>0</v>
      </c>
      <c r="N1281" s="39" t="str">
        <f aca="false">IF(M1281&lt;=0,"Lunas",IF(K1281&gt;0,"Sebagian","Belum Bayar"))</f>
        <v>Lunas</v>
      </c>
      <c r="O1281" s="39" t="n">
        <f aca="false">IF(M1281&gt;0,MAX(0,Catatan!$B$3-H1281),0)</f>
        <v>0</v>
      </c>
      <c r="P1281" s="39" t="str">
        <f aca="false">IF(M1281&lt;=0,"Lunas",IF(Catatan!$B$3&lt;=H1281,"Belum Jatuh Tempo",IF(O1281&lt;=30,"1-30 hari",IF(O1281&lt;=60,"31-60 hari",IF(O1281&lt;=90,"61-90 hari","90+ hari")))))</f>
        <v>Lunas</v>
      </c>
      <c r="Q1281" s="50"/>
      <c r="R1281" s="39" t="str">
        <f aca="false">IF(M1281&lt;=0,"",IF(O1281&gt;60,"1-Tinggi",IF(O1281&gt;30,"2-Sedang",IF(O1281&gt;0,"3-Rendah","4-Pantau"))))</f>
        <v/>
      </c>
      <c r="S1281" s="39" t="str">
        <f aca="false">IF(AND(M1281&gt;0,O1281&gt;0),O1281+M1281/1000000000000+ROW()/1000000000000000,"")</f>
        <v/>
      </c>
      <c r="T1281" s="39" t="str">
        <f aca="false">IF(J1281="Belum ditukar",ROW(),"")</f>
        <v/>
      </c>
    </row>
    <row r="1282" customFormat="false" ht="15" hidden="false" customHeight="false" outlineLevel="0" collapsed="false">
      <c r="A1282" s="50" t="s">
        <v>1570</v>
      </c>
      <c r="B1282" s="51" t="n">
        <v>45930</v>
      </c>
      <c r="C1282" s="50" t="s">
        <v>168</v>
      </c>
      <c r="D1282" s="39" t="str">
        <f aca="false">INDEX(Master_Customer!$B$2:$B$126,MATCH(C1282,Master_Customer!$A$2:$A$126,0))</f>
        <v>JAYA LUBRICANT</v>
      </c>
      <c r="E1282" s="50" t="s">
        <v>32</v>
      </c>
      <c r="F1282" s="52" t="n">
        <f aca="false">SUMIFS(Data_Penjualan!$G$2:$G$5998,Data_Penjualan!$A$2:$A$5998,A1282)</f>
        <v>2555500</v>
      </c>
      <c r="G1282" s="39" t="n">
        <f aca="false">IF(E1282="KANTOR",0,INDEX(Master_Customer!$C$2:$C$126,MATCH(C1282,Master_Customer!$A$2:$A$126,0)))</f>
        <v>0</v>
      </c>
      <c r="H1282" s="53" t="n">
        <f aca="false">B1282+G1282</f>
        <v>45930</v>
      </c>
      <c r="J1282" s="39" t="str">
        <f aca="false">IF(G1282=0,"Tunai",IF(I1282="","Belum ditukar","Sudah ditukar"))</f>
        <v>Tunai</v>
      </c>
      <c r="K1282" s="54" t="n">
        <v>2555500</v>
      </c>
      <c r="L1282" s="51" t="n">
        <v>45930</v>
      </c>
      <c r="M1282" s="52" t="n">
        <f aca="false">F1282-K1282</f>
        <v>0</v>
      </c>
      <c r="N1282" s="39" t="str">
        <f aca="false">IF(M1282&lt;=0,"Lunas",IF(K1282&gt;0,"Sebagian","Belum Bayar"))</f>
        <v>Lunas</v>
      </c>
      <c r="O1282" s="39" t="n">
        <f aca="false">IF(M1282&gt;0,MAX(0,Catatan!$B$3-H1282),0)</f>
        <v>0</v>
      </c>
      <c r="P1282" s="39" t="str">
        <f aca="false">IF(M1282&lt;=0,"Lunas",IF(Catatan!$B$3&lt;=H1282,"Belum Jatuh Tempo",IF(O1282&lt;=30,"1-30 hari",IF(O1282&lt;=60,"31-60 hari",IF(O1282&lt;=90,"61-90 hari","90+ hari")))))</f>
        <v>Lunas</v>
      </c>
      <c r="Q1282" s="50"/>
      <c r="R1282" s="39" t="str">
        <f aca="false">IF(M1282&lt;=0,"",IF(O1282&gt;60,"1-Tinggi",IF(O1282&gt;30,"2-Sedang",IF(O1282&gt;0,"3-Rendah","4-Pantau"))))</f>
        <v/>
      </c>
      <c r="S1282" s="39" t="str">
        <f aca="false">IF(AND(M1282&gt;0,O1282&gt;0),O1282+M1282/1000000000000+ROW()/1000000000000000,"")</f>
        <v/>
      </c>
      <c r="T1282" s="39" t="str">
        <f aca="false">IF(J1282="Belum ditukar",ROW(),"")</f>
        <v/>
      </c>
    </row>
    <row r="1283" customFormat="false" ht="15" hidden="false" customHeight="false" outlineLevel="0" collapsed="false">
      <c r="A1283" s="50" t="s">
        <v>1571</v>
      </c>
      <c r="B1283" s="51" t="n">
        <v>45930</v>
      </c>
      <c r="C1283" s="50" t="s">
        <v>228</v>
      </c>
      <c r="D1283" s="39" t="str">
        <f aca="false">INDEX(Master_Customer!$B$2:$B$126,MATCH(C1283,Master_Customer!$A$2:$A$126,0))</f>
        <v>MAKMUR SERVICE JAYA</v>
      </c>
      <c r="E1283" s="50" t="s">
        <v>32</v>
      </c>
      <c r="F1283" s="52" t="n">
        <f aca="false">SUMIFS(Data_Penjualan!$G$2:$G$5998,Data_Penjualan!$A$2:$A$5998,A1283)</f>
        <v>6708300</v>
      </c>
      <c r="G1283" s="39" t="n">
        <f aca="false">IF(E1283="KANTOR",0,INDEX(Master_Customer!$C$2:$C$126,MATCH(C1283,Master_Customer!$A$2:$A$126,0)))</f>
        <v>0</v>
      </c>
      <c r="H1283" s="53" t="n">
        <f aca="false">B1283+G1283</f>
        <v>45930</v>
      </c>
      <c r="J1283" s="39" t="str">
        <f aca="false">IF(G1283=0,"Tunai",IF(I1283="","Belum ditukar","Sudah ditukar"))</f>
        <v>Tunai</v>
      </c>
      <c r="K1283" s="54" t="n">
        <v>6708300</v>
      </c>
      <c r="L1283" s="51" t="n">
        <v>45931</v>
      </c>
      <c r="M1283" s="52" t="n">
        <f aca="false">F1283-K1283</f>
        <v>0</v>
      </c>
      <c r="N1283" s="39" t="str">
        <f aca="false">IF(M1283&lt;=0,"Lunas",IF(K1283&gt;0,"Sebagian","Belum Bayar"))</f>
        <v>Lunas</v>
      </c>
      <c r="O1283" s="39" t="n">
        <f aca="false">IF(M1283&gt;0,MAX(0,Catatan!$B$3-H1283),0)</f>
        <v>0</v>
      </c>
      <c r="P1283" s="39" t="str">
        <f aca="false">IF(M1283&lt;=0,"Lunas",IF(Catatan!$B$3&lt;=H1283,"Belum Jatuh Tempo",IF(O1283&lt;=30,"1-30 hari",IF(O1283&lt;=60,"31-60 hari",IF(O1283&lt;=90,"61-90 hari","90+ hari")))))</f>
        <v>Lunas</v>
      </c>
      <c r="Q1283" s="50"/>
      <c r="R1283" s="39" t="str">
        <f aca="false">IF(M1283&lt;=0,"",IF(O1283&gt;60,"1-Tinggi",IF(O1283&gt;30,"2-Sedang",IF(O1283&gt;0,"3-Rendah","4-Pantau"))))</f>
        <v/>
      </c>
      <c r="S1283" s="39" t="str">
        <f aca="false">IF(AND(M1283&gt;0,O1283&gt;0),O1283+M1283/1000000000000+ROW()/1000000000000000,"")</f>
        <v/>
      </c>
      <c r="T1283" s="39" t="str">
        <f aca="false">IF(J1283="Belum ditukar",ROW(),"")</f>
        <v/>
      </c>
    </row>
    <row r="1284" customFormat="false" ht="15" hidden="false" customHeight="false" outlineLevel="0" collapsed="false">
      <c r="A1284" s="50" t="s">
        <v>1572</v>
      </c>
      <c r="B1284" s="51" t="n">
        <v>45930</v>
      </c>
      <c r="C1284" s="50" t="s">
        <v>197</v>
      </c>
      <c r="D1284" s="39" t="str">
        <f aca="false">INDEX(Master_Customer!$B$2:$B$126,MATCH(C1284,Master_Customer!$A$2:$A$126,0))</f>
        <v>UTAMA LUBRICANT HARAPAN</v>
      </c>
      <c r="E1284" s="50" t="s">
        <v>32</v>
      </c>
      <c r="F1284" s="52" t="n">
        <f aca="false">SUMIFS(Data_Penjualan!$G$2:$G$5998,Data_Penjualan!$A$2:$A$5998,A1284)</f>
        <v>7704000</v>
      </c>
      <c r="G1284" s="39" t="n">
        <f aca="false">IF(E1284="KANTOR",0,INDEX(Master_Customer!$C$2:$C$126,MATCH(C1284,Master_Customer!$A$2:$A$126,0)))</f>
        <v>0</v>
      </c>
      <c r="H1284" s="53" t="n">
        <f aca="false">B1284+G1284</f>
        <v>45930</v>
      </c>
      <c r="J1284" s="39" t="str">
        <f aca="false">IF(G1284=0,"Tunai",IF(I1284="","Belum ditukar","Sudah ditukar"))</f>
        <v>Tunai</v>
      </c>
      <c r="K1284" s="54" t="n">
        <v>7704000</v>
      </c>
      <c r="L1284" s="51" t="n">
        <v>45930</v>
      </c>
      <c r="M1284" s="52" t="n">
        <f aca="false">F1284-K1284</f>
        <v>0</v>
      </c>
      <c r="N1284" s="39" t="str">
        <f aca="false">IF(M1284&lt;=0,"Lunas",IF(K1284&gt;0,"Sebagian","Belum Bayar"))</f>
        <v>Lunas</v>
      </c>
      <c r="O1284" s="39" t="n">
        <f aca="false">IF(M1284&gt;0,MAX(0,Catatan!$B$3-H1284),0)</f>
        <v>0</v>
      </c>
      <c r="P1284" s="39" t="str">
        <f aca="false">IF(M1284&lt;=0,"Lunas",IF(Catatan!$B$3&lt;=H1284,"Belum Jatuh Tempo",IF(O1284&lt;=30,"1-30 hari",IF(O1284&lt;=60,"31-60 hari",IF(O1284&lt;=90,"61-90 hari","90+ hari")))))</f>
        <v>Lunas</v>
      </c>
      <c r="Q1284" s="50"/>
      <c r="R1284" s="39" t="str">
        <f aca="false">IF(M1284&lt;=0,"",IF(O1284&gt;60,"1-Tinggi",IF(O1284&gt;30,"2-Sedang",IF(O1284&gt;0,"3-Rendah","4-Pantau"))))</f>
        <v/>
      </c>
      <c r="S1284" s="39" t="str">
        <f aca="false">IF(AND(M1284&gt;0,O1284&gt;0),O1284+M1284/1000000000000+ROW()/1000000000000000,"")</f>
        <v/>
      </c>
      <c r="T1284" s="39" t="str">
        <f aca="false">IF(J1284="Belum ditukar",ROW(),"")</f>
        <v/>
      </c>
    </row>
    <row r="1285" customFormat="false" ht="15" hidden="false" customHeight="false" outlineLevel="0" collapsed="false">
      <c r="A1285" s="50" t="s">
        <v>1573</v>
      </c>
      <c r="B1285" s="51" t="n">
        <v>45930</v>
      </c>
      <c r="C1285" s="50" t="s">
        <v>562</v>
      </c>
      <c r="D1285" s="39" t="str">
        <f aca="false">INDEX(Master_Customer!$B$2:$B$126,MATCH(C1285,Master_Customer!$A$2:$A$126,0))</f>
        <v>BERKAH SERVICE SENTOSA</v>
      </c>
      <c r="E1285" s="50" t="s">
        <v>28</v>
      </c>
      <c r="F1285" s="52" t="n">
        <f aca="false">SUMIFS(Data_Penjualan!$G$2:$G$5998,Data_Penjualan!$A$2:$A$5998,A1285)</f>
        <v>16597900</v>
      </c>
      <c r="G1285" s="39" t="n">
        <f aca="false">IF(E1285="KANTOR",0,INDEX(Master_Customer!$C$2:$C$126,MATCH(C1285,Master_Customer!$A$2:$A$126,0)))</f>
        <v>14</v>
      </c>
      <c r="H1285" s="53" t="n">
        <f aca="false">B1285+G1285</f>
        <v>45944</v>
      </c>
      <c r="I1285" s="51" t="n">
        <v>45932</v>
      </c>
      <c r="J1285" s="39" t="str">
        <f aca="false">IF(G1285=0,"Tunai",IF(I1285="","Belum ditukar","Sudah ditukar"))</f>
        <v>Sudah ditukar</v>
      </c>
      <c r="K1285" s="54" t="n">
        <v>16597900</v>
      </c>
      <c r="L1285" s="51" t="n">
        <v>45958</v>
      </c>
      <c r="M1285" s="52" t="n">
        <f aca="false">F1285-K1285</f>
        <v>0</v>
      </c>
      <c r="N1285" s="39" t="str">
        <f aca="false">IF(M1285&lt;=0,"Lunas",IF(K1285&gt;0,"Sebagian","Belum Bayar"))</f>
        <v>Lunas</v>
      </c>
      <c r="O1285" s="39" t="n">
        <f aca="false">IF(M1285&gt;0,MAX(0,Catatan!$B$3-H1285),0)</f>
        <v>0</v>
      </c>
      <c r="P1285" s="39" t="str">
        <f aca="false">IF(M1285&lt;=0,"Lunas",IF(Catatan!$B$3&lt;=H1285,"Belum Jatuh Tempo",IF(O1285&lt;=30,"1-30 hari",IF(O1285&lt;=60,"31-60 hari",IF(O1285&lt;=90,"61-90 hari","90+ hari")))))</f>
        <v>Lunas</v>
      </c>
      <c r="Q1285" s="50"/>
      <c r="R1285" s="39" t="str">
        <f aca="false">IF(M1285&lt;=0,"",IF(O1285&gt;60,"1-Tinggi",IF(O1285&gt;30,"2-Sedang",IF(O1285&gt;0,"3-Rendah","4-Pantau"))))</f>
        <v/>
      </c>
      <c r="S1285" s="39" t="str">
        <f aca="false">IF(AND(M1285&gt;0,O1285&gt;0),O1285+M1285/1000000000000+ROW()/1000000000000000,"")</f>
        <v/>
      </c>
      <c r="T1285" s="39" t="str">
        <f aca="false">IF(J1285="Belum ditukar",ROW(),"")</f>
        <v/>
      </c>
    </row>
    <row r="1286" customFormat="false" ht="15" hidden="false" customHeight="false" outlineLevel="0" collapsed="false">
      <c r="A1286" s="50" t="s">
        <v>1574</v>
      </c>
      <c r="B1286" s="51" t="n">
        <v>45930</v>
      </c>
      <c r="C1286" s="50" t="s">
        <v>197</v>
      </c>
      <c r="D1286" s="39" t="str">
        <f aca="false">INDEX(Master_Customer!$B$2:$B$126,MATCH(C1286,Master_Customer!$A$2:$A$126,0))</f>
        <v>UTAMA LUBRICANT HARAPAN</v>
      </c>
      <c r="E1286" s="50" t="s">
        <v>32</v>
      </c>
      <c r="F1286" s="52" t="n">
        <f aca="false">SUMIFS(Data_Penjualan!$G$2:$G$5998,Data_Penjualan!$A$2:$A$5998,A1286)</f>
        <v>21450600</v>
      </c>
      <c r="G1286" s="39" t="n">
        <f aca="false">IF(E1286="KANTOR",0,INDEX(Master_Customer!$C$2:$C$126,MATCH(C1286,Master_Customer!$A$2:$A$126,0)))</f>
        <v>0</v>
      </c>
      <c r="H1286" s="53" t="n">
        <f aca="false">B1286+G1286</f>
        <v>45930</v>
      </c>
      <c r="J1286" s="39" t="str">
        <f aca="false">IF(G1286=0,"Tunai",IF(I1286="","Belum ditukar","Sudah ditukar"))</f>
        <v>Tunai</v>
      </c>
      <c r="K1286" s="54" t="n">
        <v>21450600</v>
      </c>
      <c r="L1286" s="51" t="n">
        <v>45930</v>
      </c>
      <c r="M1286" s="52" t="n">
        <f aca="false">F1286-K1286</f>
        <v>0</v>
      </c>
      <c r="N1286" s="39" t="str">
        <f aca="false">IF(M1286&lt;=0,"Lunas",IF(K1286&gt;0,"Sebagian","Belum Bayar"))</f>
        <v>Lunas</v>
      </c>
      <c r="O1286" s="39" t="n">
        <f aca="false">IF(M1286&gt;0,MAX(0,Catatan!$B$3-H1286),0)</f>
        <v>0</v>
      </c>
      <c r="P1286" s="39" t="str">
        <f aca="false">IF(M1286&lt;=0,"Lunas",IF(Catatan!$B$3&lt;=H1286,"Belum Jatuh Tempo",IF(O1286&lt;=30,"1-30 hari",IF(O1286&lt;=60,"31-60 hari",IF(O1286&lt;=90,"61-90 hari","90+ hari")))))</f>
        <v>Lunas</v>
      </c>
      <c r="Q1286" s="50"/>
      <c r="R1286" s="39" t="str">
        <f aca="false">IF(M1286&lt;=0,"",IF(O1286&gt;60,"1-Tinggi",IF(O1286&gt;30,"2-Sedang",IF(O1286&gt;0,"3-Rendah","4-Pantau"))))</f>
        <v/>
      </c>
      <c r="S1286" s="39" t="str">
        <f aca="false">IF(AND(M1286&gt;0,O1286&gt;0),O1286+M1286/1000000000000+ROW()/1000000000000000,"")</f>
        <v/>
      </c>
      <c r="T1286" s="39" t="str">
        <f aca="false">IF(J1286="Belum ditukar",ROW(),"")</f>
        <v/>
      </c>
    </row>
    <row r="1287" customFormat="false" ht="15" hidden="false" customHeight="false" outlineLevel="0" collapsed="false">
      <c r="A1287" s="50" t="s">
        <v>1575</v>
      </c>
      <c r="B1287" s="51" t="n">
        <v>45930</v>
      </c>
      <c r="C1287" s="50" t="s">
        <v>172</v>
      </c>
      <c r="D1287" s="39" t="str">
        <f aca="false">INDEX(Master_Customer!$B$2:$B$126,MATCH(C1287,Master_Customer!$A$2:$A$126,0))</f>
        <v>SURYA GARAGE MITRA</v>
      </c>
      <c r="E1287" s="50" t="s">
        <v>31</v>
      </c>
      <c r="F1287" s="52" t="n">
        <f aca="false">SUMIFS(Data_Penjualan!$G$2:$G$5998,Data_Penjualan!$A$2:$A$5998,A1287)</f>
        <v>4810700</v>
      </c>
      <c r="G1287" s="39" t="n">
        <f aca="false">IF(E1287="KANTOR",0,INDEX(Master_Customer!$C$2:$C$126,MATCH(C1287,Master_Customer!$A$2:$A$126,0)))</f>
        <v>30</v>
      </c>
      <c r="H1287" s="53" t="n">
        <f aca="false">B1287+G1287</f>
        <v>45960</v>
      </c>
      <c r="I1287" s="51" t="n">
        <v>45931</v>
      </c>
      <c r="J1287" s="39" t="str">
        <f aca="false">IF(G1287=0,"Tunai",IF(I1287="","Belum ditukar","Sudah ditukar"))</f>
        <v>Sudah ditukar</v>
      </c>
      <c r="K1287" s="54" t="n">
        <v>4810700</v>
      </c>
      <c r="L1287" s="51" t="n">
        <v>45954</v>
      </c>
      <c r="M1287" s="52" t="n">
        <f aca="false">F1287-K1287</f>
        <v>0</v>
      </c>
      <c r="N1287" s="39" t="str">
        <f aca="false">IF(M1287&lt;=0,"Lunas",IF(K1287&gt;0,"Sebagian","Belum Bayar"))</f>
        <v>Lunas</v>
      </c>
      <c r="O1287" s="39" t="n">
        <f aca="false">IF(M1287&gt;0,MAX(0,Catatan!$B$3-H1287),0)</f>
        <v>0</v>
      </c>
      <c r="P1287" s="39" t="str">
        <f aca="false">IF(M1287&lt;=0,"Lunas",IF(Catatan!$B$3&lt;=H1287,"Belum Jatuh Tempo",IF(O1287&lt;=30,"1-30 hari",IF(O1287&lt;=60,"31-60 hari",IF(O1287&lt;=90,"61-90 hari","90+ hari")))))</f>
        <v>Lunas</v>
      </c>
      <c r="Q1287" s="50"/>
      <c r="R1287" s="39" t="str">
        <f aca="false">IF(M1287&lt;=0,"",IF(O1287&gt;60,"1-Tinggi",IF(O1287&gt;30,"2-Sedang",IF(O1287&gt;0,"3-Rendah","4-Pantau"))))</f>
        <v/>
      </c>
      <c r="S1287" s="39" t="str">
        <f aca="false">IF(AND(M1287&gt;0,O1287&gt;0),O1287+M1287/1000000000000+ROW()/1000000000000000,"")</f>
        <v/>
      </c>
      <c r="T1287" s="39" t="str">
        <f aca="false">IF(J1287="Belum ditukar",ROW(),"")</f>
        <v/>
      </c>
    </row>
    <row r="1288" customFormat="false" ht="15" hidden="false" customHeight="false" outlineLevel="0" collapsed="false">
      <c r="A1288" s="50" t="s">
        <v>1576</v>
      </c>
      <c r="B1288" s="51" t="n">
        <v>45930</v>
      </c>
      <c r="C1288" s="50" t="s">
        <v>166</v>
      </c>
      <c r="D1288" s="39" t="str">
        <f aca="false">INDEX(Master_Customer!$B$2:$B$126,MATCH(C1288,Master_Customer!$A$2:$A$126,0))</f>
        <v>SENTOSA SERVICE</v>
      </c>
      <c r="E1288" s="50" t="s">
        <v>30</v>
      </c>
      <c r="F1288" s="52" t="n">
        <f aca="false">SUMIFS(Data_Penjualan!$G$2:$G$5998,Data_Penjualan!$A$2:$A$5998,A1288)</f>
        <v>17109100</v>
      </c>
      <c r="G1288" s="39" t="n">
        <f aca="false">IF(E1288="KANTOR",0,INDEX(Master_Customer!$C$2:$C$126,MATCH(C1288,Master_Customer!$A$2:$A$126,0)))</f>
        <v>0</v>
      </c>
      <c r="H1288" s="53" t="n">
        <f aca="false">B1288+G1288</f>
        <v>45930</v>
      </c>
      <c r="J1288" s="39" t="str">
        <f aca="false">IF(G1288=0,"Tunai",IF(I1288="","Belum ditukar","Sudah ditukar"))</f>
        <v>Tunai</v>
      </c>
      <c r="K1288" s="54" t="n">
        <v>17109100</v>
      </c>
      <c r="L1288" s="51" t="n">
        <v>45930</v>
      </c>
      <c r="M1288" s="52" t="n">
        <f aca="false">F1288-K1288</f>
        <v>0</v>
      </c>
      <c r="N1288" s="39" t="str">
        <f aca="false">IF(M1288&lt;=0,"Lunas",IF(K1288&gt;0,"Sebagian","Belum Bayar"))</f>
        <v>Lunas</v>
      </c>
      <c r="O1288" s="39" t="n">
        <f aca="false">IF(M1288&gt;0,MAX(0,Catatan!$B$3-H1288),0)</f>
        <v>0</v>
      </c>
      <c r="P1288" s="39" t="str">
        <f aca="false">IF(M1288&lt;=0,"Lunas",IF(Catatan!$B$3&lt;=H1288,"Belum Jatuh Tempo",IF(O1288&lt;=30,"1-30 hari",IF(O1288&lt;=60,"31-60 hari",IF(O1288&lt;=90,"61-90 hari","90+ hari")))))</f>
        <v>Lunas</v>
      </c>
      <c r="Q1288" s="50"/>
      <c r="R1288" s="39" t="str">
        <f aca="false">IF(M1288&lt;=0,"",IF(O1288&gt;60,"1-Tinggi",IF(O1288&gt;30,"2-Sedang",IF(O1288&gt;0,"3-Rendah","4-Pantau"))))</f>
        <v/>
      </c>
      <c r="S1288" s="39" t="str">
        <f aca="false">IF(AND(M1288&gt;0,O1288&gt;0),O1288+M1288/1000000000000+ROW()/1000000000000000,"")</f>
        <v/>
      </c>
      <c r="T1288" s="39" t="str">
        <f aca="false">IF(J1288="Belum ditukar",ROW(),"")</f>
        <v/>
      </c>
    </row>
    <row r="1289" customFormat="false" ht="15" hidden="false" customHeight="false" outlineLevel="0" collapsed="false">
      <c r="A1289" s="50" t="s">
        <v>1577</v>
      </c>
      <c r="B1289" s="51" t="n">
        <v>45931</v>
      </c>
      <c r="C1289" s="50" t="s">
        <v>172</v>
      </c>
      <c r="D1289" s="39" t="str">
        <f aca="false">INDEX(Master_Customer!$B$2:$B$126,MATCH(C1289,Master_Customer!$A$2:$A$126,0))</f>
        <v>SURYA GARAGE MITRA</v>
      </c>
      <c r="E1289" s="50" t="s">
        <v>32</v>
      </c>
      <c r="F1289" s="52" t="n">
        <f aca="false">SUMIFS(Data_Penjualan!$G$2:$G$5998,Data_Penjualan!$A$2:$A$5998,A1289)</f>
        <v>19376500</v>
      </c>
      <c r="G1289" s="39" t="n">
        <f aca="false">IF(E1289="KANTOR",0,INDEX(Master_Customer!$C$2:$C$126,MATCH(C1289,Master_Customer!$A$2:$A$126,0)))</f>
        <v>0</v>
      </c>
      <c r="H1289" s="53" t="n">
        <f aca="false">B1289+G1289</f>
        <v>45931</v>
      </c>
      <c r="J1289" s="39" t="str">
        <f aca="false">IF(G1289=0,"Tunai",IF(I1289="","Belum ditukar","Sudah ditukar"))</f>
        <v>Tunai</v>
      </c>
      <c r="K1289" s="54" t="n">
        <v>19376500</v>
      </c>
      <c r="L1289" s="51" t="n">
        <v>45931</v>
      </c>
      <c r="M1289" s="52" t="n">
        <f aca="false">F1289-K1289</f>
        <v>0</v>
      </c>
      <c r="N1289" s="39" t="str">
        <f aca="false">IF(M1289&lt;=0,"Lunas",IF(K1289&gt;0,"Sebagian","Belum Bayar"))</f>
        <v>Lunas</v>
      </c>
      <c r="O1289" s="39" t="n">
        <f aca="false">IF(M1289&gt;0,MAX(0,Catatan!$B$3-H1289),0)</f>
        <v>0</v>
      </c>
      <c r="P1289" s="39" t="str">
        <f aca="false">IF(M1289&lt;=0,"Lunas",IF(Catatan!$B$3&lt;=H1289,"Belum Jatuh Tempo",IF(O1289&lt;=30,"1-30 hari",IF(O1289&lt;=60,"31-60 hari",IF(O1289&lt;=90,"61-90 hari","90+ hari")))))</f>
        <v>Lunas</v>
      </c>
      <c r="Q1289" s="50"/>
      <c r="R1289" s="39" t="str">
        <f aca="false">IF(M1289&lt;=0,"",IF(O1289&gt;60,"1-Tinggi",IF(O1289&gt;30,"2-Sedang",IF(O1289&gt;0,"3-Rendah","4-Pantau"))))</f>
        <v/>
      </c>
      <c r="S1289" s="39" t="str">
        <f aca="false">IF(AND(M1289&gt;0,O1289&gt;0),O1289+M1289/1000000000000+ROW()/1000000000000000,"")</f>
        <v/>
      </c>
      <c r="T1289" s="39" t="str">
        <f aca="false">IF(J1289="Belum ditukar",ROW(),"")</f>
        <v/>
      </c>
    </row>
    <row r="1290" customFormat="false" ht="15" hidden="false" customHeight="false" outlineLevel="0" collapsed="false">
      <c r="A1290" s="50" t="s">
        <v>1578</v>
      </c>
      <c r="B1290" s="51" t="n">
        <v>45931</v>
      </c>
      <c r="C1290" s="50" t="s">
        <v>289</v>
      </c>
      <c r="D1290" s="39" t="str">
        <f aca="false">INDEX(Master_Customer!$B$2:$B$126,MATCH(C1290,Master_Customer!$A$2:$A$126,0))</f>
        <v>SINAR GARAGE</v>
      </c>
      <c r="E1290" s="50" t="s">
        <v>28</v>
      </c>
      <c r="F1290" s="52" t="n">
        <f aca="false">SUMIFS(Data_Penjualan!$G$2:$G$5998,Data_Penjualan!$A$2:$A$5998,A1290)</f>
        <v>5884900</v>
      </c>
      <c r="G1290" s="39" t="n">
        <f aca="false">IF(E1290="KANTOR",0,INDEX(Master_Customer!$C$2:$C$126,MATCH(C1290,Master_Customer!$A$2:$A$126,0)))</f>
        <v>30</v>
      </c>
      <c r="H1290" s="53" t="n">
        <f aca="false">B1290+G1290</f>
        <v>45961</v>
      </c>
      <c r="I1290" s="51" t="n">
        <v>45933</v>
      </c>
      <c r="J1290" s="39" t="str">
        <f aca="false">IF(G1290=0,"Tunai",IF(I1290="","Belum ditukar","Sudah ditukar"))</f>
        <v>Sudah ditukar</v>
      </c>
      <c r="K1290" s="54" t="n">
        <v>5884900</v>
      </c>
      <c r="L1290" s="51" t="n">
        <v>45961</v>
      </c>
      <c r="M1290" s="52" t="n">
        <f aca="false">F1290-K1290</f>
        <v>0</v>
      </c>
      <c r="N1290" s="39" t="str">
        <f aca="false">IF(M1290&lt;=0,"Lunas",IF(K1290&gt;0,"Sebagian","Belum Bayar"))</f>
        <v>Lunas</v>
      </c>
      <c r="O1290" s="39" t="n">
        <f aca="false">IF(M1290&gt;0,MAX(0,Catatan!$B$3-H1290),0)</f>
        <v>0</v>
      </c>
      <c r="P1290" s="39" t="str">
        <f aca="false">IF(M1290&lt;=0,"Lunas",IF(Catatan!$B$3&lt;=H1290,"Belum Jatuh Tempo",IF(O1290&lt;=30,"1-30 hari",IF(O1290&lt;=60,"31-60 hari",IF(O1290&lt;=90,"61-90 hari","90+ hari")))))</f>
        <v>Lunas</v>
      </c>
      <c r="Q1290" s="50"/>
      <c r="R1290" s="39" t="str">
        <f aca="false">IF(M1290&lt;=0,"",IF(O1290&gt;60,"1-Tinggi",IF(O1290&gt;30,"2-Sedang",IF(O1290&gt;0,"3-Rendah","4-Pantau"))))</f>
        <v/>
      </c>
      <c r="S1290" s="39" t="str">
        <f aca="false">IF(AND(M1290&gt;0,O1290&gt;0),O1290+M1290/1000000000000+ROW()/1000000000000000,"")</f>
        <v/>
      </c>
      <c r="T1290" s="39" t="str">
        <f aca="false">IF(J1290="Belum ditukar",ROW(),"")</f>
        <v/>
      </c>
    </row>
    <row r="1291" customFormat="false" ht="15" hidden="false" customHeight="false" outlineLevel="0" collapsed="false">
      <c r="A1291" s="50" t="s">
        <v>1579</v>
      </c>
      <c r="B1291" s="51" t="n">
        <v>45931</v>
      </c>
      <c r="C1291" s="50" t="s">
        <v>421</v>
      </c>
      <c r="D1291" s="39" t="str">
        <f aca="false">INDEX(Master_Customer!$B$2:$B$126,MATCH(C1291,Master_Customer!$A$2:$A$126,0))</f>
        <v>MITRA BENGKEL</v>
      </c>
      <c r="E1291" s="50" t="s">
        <v>28</v>
      </c>
      <c r="F1291" s="52" t="n">
        <f aca="false">SUMIFS(Data_Penjualan!$G$2:$G$5998,Data_Penjualan!$A$2:$A$5998,A1291)</f>
        <v>7080600</v>
      </c>
      <c r="G1291" s="39" t="n">
        <f aca="false">IF(E1291="KANTOR",0,INDEX(Master_Customer!$C$2:$C$126,MATCH(C1291,Master_Customer!$A$2:$A$126,0)))</f>
        <v>30</v>
      </c>
      <c r="H1291" s="53" t="n">
        <f aca="false">B1291+G1291</f>
        <v>45961</v>
      </c>
      <c r="I1291" s="51" t="n">
        <v>45936</v>
      </c>
      <c r="J1291" s="39" t="str">
        <f aca="false">IF(G1291=0,"Tunai",IF(I1291="","Belum ditukar","Sudah ditukar"))</f>
        <v>Sudah ditukar</v>
      </c>
      <c r="K1291" s="54" t="n">
        <v>0</v>
      </c>
      <c r="M1291" s="52" t="n">
        <f aca="false">F1291-K1291</f>
        <v>7080600</v>
      </c>
      <c r="N1291" s="39" t="str">
        <f aca="false">IF(M1291&lt;=0,"Lunas",IF(K1291&gt;0,"Sebagian","Belum Bayar"))</f>
        <v>Belum Bayar</v>
      </c>
      <c r="O1291" s="39" t="n">
        <f aca="false">IF(M1291&gt;0,MAX(0,Catatan!$B$3-H1291),0)</f>
        <v>61</v>
      </c>
      <c r="P1291" s="39" t="str">
        <f aca="false">IF(M1291&lt;=0,"Lunas",IF(Catatan!$B$3&lt;=H1291,"Belum Jatuh Tempo",IF(O1291&lt;=30,"1-30 hari",IF(O1291&lt;=60,"31-60 hari",IF(O1291&lt;=90,"61-90 hari","90+ hari")))))</f>
        <v>61-90 hari</v>
      </c>
      <c r="Q1291" s="50" t="s">
        <v>422</v>
      </c>
      <c r="R1291" s="39" t="str">
        <f aca="false">IF(M1291&lt;=0,"",IF(O1291&gt;60,"1-Tinggi",IF(O1291&gt;30,"2-Sedang",IF(O1291&gt;0,"3-Rendah","4-Pantau"))))</f>
        <v>1-Tinggi</v>
      </c>
      <c r="S1291" s="39" t="n">
        <f aca="false">IF(AND(M1291&gt;0,O1291&gt;0),O1291+M1291/1000000000000+ROW()/1000000000000000,"")</f>
        <v>61.0000070806013</v>
      </c>
      <c r="T1291" s="39" t="str">
        <f aca="false">IF(J1291="Belum ditukar",ROW(),"")</f>
        <v/>
      </c>
    </row>
    <row r="1292" customFormat="false" ht="15" hidden="false" customHeight="false" outlineLevel="0" collapsed="false">
      <c r="A1292" s="50" t="s">
        <v>1580</v>
      </c>
      <c r="B1292" s="51" t="n">
        <v>45931</v>
      </c>
      <c r="C1292" s="50" t="s">
        <v>367</v>
      </c>
      <c r="D1292" s="39" t="str">
        <f aca="false">INDEX(Master_Customer!$B$2:$B$126,MATCH(C1292,Master_Customer!$A$2:$A$126,0))</f>
        <v>JAYA MOBIL SUMBER</v>
      </c>
      <c r="E1292" s="50" t="s">
        <v>28</v>
      </c>
      <c r="F1292" s="52" t="n">
        <f aca="false">SUMIFS(Data_Penjualan!$G$2:$G$5998,Data_Penjualan!$A$2:$A$5998,A1292)</f>
        <v>16278800</v>
      </c>
      <c r="G1292" s="39" t="n">
        <f aca="false">IF(E1292="KANTOR",0,INDEX(Master_Customer!$C$2:$C$126,MATCH(C1292,Master_Customer!$A$2:$A$126,0)))</f>
        <v>0</v>
      </c>
      <c r="H1292" s="53" t="n">
        <f aca="false">B1292+G1292</f>
        <v>45931</v>
      </c>
      <c r="J1292" s="39" t="str">
        <f aca="false">IF(G1292=0,"Tunai",IF(I1292="","Belum ditukar","Sudah ditukar"))</f>
        <v>Tunai</v>
      </c>
      <c r="K1292" s="54" t="n">
        <v>16278800</v>
      </c>
      <c r="L1292" s="51" t="n">
        <v>45931</v>
      </c>
      <c r="M1292" s="52" t="n">
        <f aca="false">F1292-K1292</f>
        <v>0</v>
      </c>
      <c r="N1292" s="39" t="str">
        <f aca="false">IF(M1292&lt;=0,"Lunas",IF(K1292&gt;0,"Sebagian","Belum Bayar"))</f>
        <v>Lunas</v>
      </c>
      <c r="O1292" s="39" t="n">
        <f aca="false">IF(M1292&gt;0,MAX(0,Catatan!$B$3-H1292),0)</f>
        <v>0</v>
      </c>
      <c r="P1292" s="39" t="str">
        <f aca="false">IF(M1292&lt;=0,"Lunas",IF(Catatan!$B$3&lt;=H1292,"Belum Jatuh Tempo",IF(O1292&lt;=30,"1-30 hari",IF(O1292&lt;=60,"31-60 hari",IF(O1292&lt;=90,"61-90 hari","90+ hari")))))</f>
        <v>Lunas</v>
      </c>
      <c r="Q1292" s="50"/>
      <c r="R1292" s="39" t="str">
        <f aca="false">IF(M1292&lt;=0,"",IF(O1292&gt;60,"1-Tinggi",IF(O1292&gt;30,"2-Sedang",IF(O1292&gt;0,"3-Rendah","4-Pantau"))))</f>
        <v/>
      </c>
      <c r="S1292" s="39" t="str">
        <f aca="false">IF(AND(M1292&gt;0,O1292&gt;0),O1292+M1292/1000000000000+ROW()/1000000000000000,"")</f>
        <v/>
      </c>
      <c r="T1292" s="39" t="str">
        <f aca="false">IF(J1292="Belum ditukar",ROW(),"")</f>
        <v/>
      </c>
    </row>
    <row r="1293" customFormat="false" ht="15" hidden="false" customHeight="false" outlineLevel="0" collapsed="false">
      <c r="A1293" s="50" t="s">
        <v>1581</v>
      </c>
      <c r="B1293" s="51" t="n">
        <v>45931</v>
      </c>
      <c r="C1293" s="50" t="s">
        <v>174</v>
      </c>
      <c r="D1293" s="39" t="str">
        <f aca="false">INDEX(Master_Customer!$B$2:$B$126,MATCH(C1293,Master_Customer!$A$2:$A$126,0))</f>
        <v>SUMBER TEKNIK SURYA</v>
      </c>
      <c r="E1293" s="50" t="s">
        <v>31</v>
      </c>
      <c r="F1293" s="52" t="n">
        <f aca="false">SUMIFS(Data_Penjualan!$G$2:$G$5998,Data_Penjualan!$A$2:$A$5998,A1293)</f>
        <v>1434400</v>
      </c>
      <c r="G1293" s="39" t="n">
        <f aca="false">IF(E1293="KANTOR",0,INDEX(Master_Customer!$C$2:$C$126,MATCH(C1293,Master_Customer!$A$2:$A$126,0)))</f>
        <v>30</v>
      </c>
      <c r="H1293" s="53" t="n">
        <f aca="false">B1293+G1293</f>
        <v>45961</v>
      </c>
      <c r="I1293" s="51" t="n">
        <v>45932</v>
      </c>
      <c r="J1293" s="39" t="str">
        <f aca="false">IF(G1293=0,"Tunai",IF(I1293="","Belum ditukar","Sudah ditukar"))</f>
        <v>Sudah ditukar</v>
      </c>
      <c r="K1293" s="54" t="n">
        <v>1434400</v>
      </c>
      <c r="L1293" s="51" t="n">
        <v>45957</v>
      </c>
      <c r="M1293" s="52" t="n">
        <f aca="false">F1293-K1293</f>
        <v>0</v>
      </c>
      <c r="N1293" s="39" t="str">
        <f aca="false">IF(M1293&lt;=0,"Lunas",IF(K1293&gt;0,"Sebagian","Belum Bayar"))</f>
        <v>Lunas</v>
      </c>
      <c r="O1293" s="39" t="n">
        <f aca="false">IF(M1293&gt;0,MAX(0,Catatan!$B$3-H1293),0)</f>
        <v>0</v>
      </c>
      <c r="P1293" s="39" t="str">
        <f aca="false">IF(M1293&lt;=0,"Lunas",IF(Catatan!$B$3&lt;=H1293,"Belum Jatuh Tempo",IF(O1293&lt;=30,"1-30 hari",IF(O1293&lt;=60,"31-60 hari",IF(O1293&lt;=90,"61-90 hari","90+ hari")))))</f>
        <v>Lunas</v>
      </c>
      <c r="Q1293" s="50"/>
      <c r="R1293" s="39" t="str">
        <f aca="false">IF(M1293&lt;=0,"",IF(O1293&gt;60,"1-Tinggi",IF(O1293&gt;30,"2-Sedang",IF(O1293&gt;0,"3-Rendah","4-Pantau"))))</f>
        <v/>
      </c>
      <c r="S1293" s="39" t="str">
        <f aca="false">IF(AND(M1293&gt;0,O1293&gt;0),O1293+M1293/1000000000000+ROW()/1000000000000000,"")</f>
        <v/>
      </c>
      <c r="T1293" s="39" t="str">
        <f aca="false">IF(J1293="Belum ditukar",ROW(),"")</f>
        <v/>
      </c>
    </row>
    <row r="1294" customFormat="false" ht="15" hidden="false" customHeight="false" outlineLevel="0" collapsed="false">
      <c r="A1294" s="50" t="s">
        <v>1582</v>
      </c>
      <c r="B1294" s="51" t="n">
        <v>45931</v>
      </c>
      <c r="C1294" s="50" t="s">
        <v>205</v>
      </c>
      <c r="D1294" s="39" t="str">
        <f aca="false">INDEX(Master_Customer!$B$2:$B$126,MATCH(C1294,Master_Customer!$A$2:$A$126,0))</f>
        <v>BERKAH OLI</v>
      </c>
      <c r="E1294" s="50" t="s">
        <v>28</v>
      </c>
      <c r="F1294" s="52" t="n">
        <f aca="false">SUMIFS(Data_Penjualan!$G$2:$G$5998,Data_Penjualan!$A$2:$A$5998,A1294)</f>
        <v>9732900</v>
      </c>
      <c r="G1294" s="39" t="n">
        <f aca="false">IF(E1294="KANTOR",0,INDEX(Master_Customer!$C$2:$C$126,MATCH(C1294,Master_Customer!$A$2:$A$126,0)))</f>
        <v>0</v>
      </c>
      <c r="H1294" s="53" t="n">
        <f aca="false">B1294+G1294</f>
        <v>45931</v>
      </c>
      <c r="J1294" s="39" t="str">
        <f aca="false">IF(G1294=0,"Tunai",IF(I1294="","Belum ditukar","Sudah ditukar"))</f>
        <v>Tunai</v>
      </c>
      <c r="K1294" s="54" t="n">
        <v>9732900</v>
      </c>
      <c r="L1294" s="51" t="n">
        <v>45931</v>
      </c>
      <c r="M1294" s="52" t="n">
        <f aca="false">F1294-K1294</f>
        <v>0</v>
      </c>
      <c r="N1294" s="39" t="str">
        <f aca="false">IF(M1294&lt;=0,"Lunas",IF(K1294&gt;0,"Sebagian","Belum Bayar"))</f>
        <v>Lunas</v>
      </c>
      <c r="O1294" s="39" t="n">
        <f aca="false">IF(M1294&gt;0,MAX(0,Catatan!$B$3-H1294),0)</f>
        <v>0</v>
      </c>
      <c r="P1294" s="39" t="str">
        <f aca="false">IF(M1294&lt;=0,"Lunas",IF(Catatan!$B$3&lt;=H1294,"Belum Jatuh Tempo",IF(O1294&lt;=30,"1-30 hari",IF(O1294&lt;=60,"31-60 hari",IF(O1294&lt;=90,"61-90 hari","90+ hari")))))</f>
        <v>Lunas</v>
      </c>
      <c r="Q1294" s="50"/>
      <c r="R1294" s="39" t="str">
        <f aca="false">IF(M1294&lt;=0,"",IF(O1294&gt;60,"1-Tinggi",IF(O1294&gt;30,"2-Sedang",IF(O1294&gt;0,"3-Rendah","4-Pantau"))))</f>
        <v/>
      </c>
      <c r="S1294" s="39" t="str">
        <f aca="false">IF(AND(M1294&gt;0,O1294&gt;0),O1294+M1294/1000000000000+ROW()/1000000000000000,"")</f>
        <v/>
      </c>
      <c r="T1294" s="39" t="str">
        <f aca="false">IF(J1294="Belum ditukar",ROW(),"")</f>
        <v/>
      </c>
    </row>
    <row r="1295" customFormat="false" ht="15" hidden="false" customHeight="false" outlineLevel="0" collapsed="false">
      <c r="A1295" s="50" t="s">
        <v>1583</v>
      </c>
      <c r="B1295" s="51" t="n">
        <v>45931</v>
      </c>
      <c r="C1295" s="50" t="s">
        <v>174</v>
      </c>
      <c r="D1295" s="39" t="str">
        <f aca="false">INDEX(Master_Customer!$B$2:$B$126,MATCH(C1295,Master_Customer!$A$2:$A$126,0))</f>
        <v>SUMBER TEKNIK SURYA</v>
      </c>
      <c r="E1295" s="50" t="s">
        <v>31</v>
      </c>
      <c r="F1295" s="52" t="n">
        <f aca="false">SUMIFS(Data_Penjualan!$G$2:$G$5998,Data_Penjualan!$A$2:$A$5998,A1295)</f>
        <v>11887900</v>
      </c>
      <c r="G1295" s="39" t="n">
        <f aca="false">IF(E1295="KANTOR",0,INDEX(Master_Customer!$C$2:$C$126,MATCH(C1295,Master_Customer!$A$2:$A$126,0)))</f>
        <v>30</v>
      </c>
      <c r="H1295" s="53" t="n">
        <f aca="false">B1295+G1295</f>
        <v>45961</v>
      </c>
      <c r="I1295" s="51" t="n">
        <v>45936</v>
      </c>
      <c r="J1295" s="39" t="str">
        <f aca="false">IF(G1295=0,"Tunai",IF(I1295="","Belum ditukar","Sudah ditukar"))</f>
        <v>Sudah ditukar</v>
      </c>
      <c r="K1295" s="54" t="n">
        <v>11887900</v>
      </c>
      <c r="L1295" s="51" t="n">
        <v>45958</v>
      </c>
      <c r="M1295" s="52" t="n">
        <f aca="false">F1295-K1295</f>
        <v>0</v>
      </c>
      <c r="N1295" s="39" t="str">
        <f aca="false">IF(M1295&lt;=0,"Lunas",IF(K1295&gt;0,"Sebagian","Belum Bayar"))</f>
        <v>Lunas</v>
      </c>
      <c r="O1295" s="39" t="n">
        <f aca="false">IF(M1295&gt;0,MAX(0,Catatan!$B$3-H1295),0)</f>
        <v>0</v>
      </c>
      <c r="P1295" s="39" t="str">
        <f aca="false">IF(M1295&lt;=0,"Lunas",IF(Catatan!$B$3&lt;=H1295,"Belum Jatuh Tempo",IF(O1295&lt;=30,"1-30 hari",IF(O1295&lt;=60,"31-60 hari",IF(O1295&lt;=90,"61-90 hari","90+ hari")))))</f>
        <v>Lunas</v>
      </c>
      <c r="Q1295" s="50"/>
      <c r="R1295" s="39" t="str">
        <f aca="false">IF(M1295&lt;=0,"",IF(O1295&gt;60,"1-Tinggi",IF(O1295&gt;30,"2-Sedang",IF(O1295&gt;0,"3-Rendah","4-Pantau"))))</f>
        <v/>
      </c>
      <c r="S1295" s="39" t="str">
        <f aca="false">IF(AND(M1295&gt;0,O1295&gt;0),O1295+M1295/1000000000000+ROW()/1000000000000000,"")</f>
        <v/>
      </c>
      <c r="T1295" s="39" t="str">
        <f aca="false">IF(J1295="Belum ditukar",ROW(),"")</f>
        <v/>
      </c>
    </row>
    <row r="1296" customFormat="false" ht="15" hidden="false" customHeight="false" outlineLevel="0" collapsed="false">
      <c r="A1296" s="50" t="s">
        <v>1584</v>
      </c>
      <c r="B1296" s="51" t="n">
        <v>45931</v>
      </c>
      <c r="C1296" s="50" t="s">
        <v>174</v>
      </c>
      <c r="D1296" s="39" t="str">
        <f aca="false">INDEX(Master_Customer!$B$2:$B$126,MATCH(C1296,Master_Customer!$A$2:$A$126,0))</f>
        <v>SUMBER TEKNIK SURYA</v>
      </c>
      <c r="E1296" s="50" t="s">
        <v>31</v>
      </c>
      <c r="F1296" s="52" t="n">
        <f aca="false">SUMIFS(Data_Penjualan!$G$2:$G$5998,Data_Penjualan!$A$2:$A$5998,A1296)</f>
        <v>7158600</v>
      </c>
      <c r="G1296" s="39" t="n">
        <f aca="false">IF(E1296="KANTOR",0,INDEX(Master_Customer!$C$2:$C$126,MATCH(C1296,Master_Customer!$A$2:$A$126,0)))</f>
        <v>30</v>
      </c>
      <c r="H1296" s="53" t="n">
        <f aca="false">B1296+G1296</f>
        <v>45961</v>
      </c>
      <c r="I1296" s="51" t="n">
        <v>45934</v>
      </c>
      <c r="J1296" s="39" t="str">
        <f aca="false">IF(G1296=0,"Tunai",IF(I1296="","Belum ditukar","Sudah ditukar"))</f>
        <v>Sudah ditukar</v>
      </c>
      <c r="K1296" s="54" t="n">
        <v>7158600</v>
      </c>
      <c r="L1296" s="51" t="n">
        <v>45956</v>
      </c>
      <c r="M1296" s="52" t="n">
        <f aca="false">F1296-K1296</f>
        <v>0</v>
      </c>
      <c r="N1296" s="39" t="str">
        <f aca="false">IF(M1296&lt;=0,"Lunas",IF(K1296&gt;0,"Sebagian","Belum Bayar"))</f>
        <v>Lunas</v>
      </c>
      <c r="O1296" s="39" t="n">
        <f aca="false">IF(M1296&gt;0,MAX(0,Catatan!$B$3-H1296),0)</f>
        <v>0</v>
      </c>
      <c r="P1296" s="39" t="str">
        <f aca="false">IF(M1296&lt;=0,"Lunas",IF(Catatan!$B$3&lt;=H1296,"Belum Jatuh Tempo",IF(O1296&lt;=30,"1-30 hari",IF(O1296&lt;=60,"31-60 hari",IF(O1296&lt;=90,"61-90 hari","90+ hari")))))</f>
        <v>Lunas</v>
      </c>
      <c r="Q1296" s="50"/>
      <c r="R1296" s="39" t="str">
        <f aca="false">IF(M1296&lt;=0,"",IF(O1296&gt;60,"1-Tinggi",IF(O1296&gt;30,"2-Sedang",IF(O1296&gt;0,"3-Rendah","4-Pantau"))))</f>
        <v/>
      </c>
      <c r="S1296" s="39" t="str">
        <f aca="false">IF(AND(M1296&gt;0,O1296&gt;0),O1296+M1296/1000000000000+ROW()/1000000000000000,"")</f>
        <v/>
      </c>
      <c r="T1296" s="39" t="str">
        <f aca="false">IF(J1296="Belum ditukar",ROW(),"")</f>
        <v/>
      </c>
    </row>
    <row r="1297" customFormat="false" ht="15" hidden="false" customHeight="false" outlineLevel="0" collapsed="false">
      <c r="A1297" s="50" t="s">
        <v>1585</v>
      </c>
      <c r="B1297" s="51" t="n">
        <v>45931</v>
      </c>
      <c r="C1297" s="50" t="s">
        <v>298</v>
      </c>
      <c r="D1297" s="39" t="str">
        <f aca="false">INDEX(Master_Customer!$B$2:$B$126,MATCH(C1297,Master_Customer!$A$2:$A$126,0))</f>
        <v>BERKAH MOBIL MAKMUR</v>
      </c>
      <c r="E1297" s="50" t="s">
        <v>31</v>
      </c>
      <c r="F1297" s="52" t="n">
        <f aca="false">SUMIFS(Data_Penjualan!$G$2:$G$5998,Data_Penjualan!$A$2:$A$5998,A1297)</f>
        <v>10371700</v>
      </c>
      <c r="G1297" s="39" t="n">
        <f aca="false">IF(E1297="KANTOR",0,INDEX(Master_Customer!$C$2:$C$126,MATCH(C1297,Master_Customer!$A$2:$A$126,0)))</f>
        <v>14</v>
      </c>
      <c r="H1297" s="53" t="n">
        <f aca="false">B1297+G1297</f>
        <v>45945</v>
      </c>
      <c r="I1297" s="51" t="n">
        <v>45932</v>
      </c>
      <c r="J1297" s="39" t="str">
        <f aca="false">IF(G1297=0,"Tunai",IF(I1297="","Belum ditukar","Sudah ditukar"))</f>
        <v>Sudah ditukar</v>
      </c>
      <c r="K1297" s="54" t="n">
        <v>10371700</v>
      </c>
      <c r="L1297" s="51" t="n">
        <v>46017</v>
      </c>
      <c r="M1297" s="52" t="n">
        <f aca="false">F1297-K1297</f>
        <v>0</v>
      </c>
      <c r="N1297" s="39" t="str">
        <f aca="false">IF(M1297&lt;=0,"Lunas",IF(K1297&gt;0,"Sebagian","Belum Bayar"))</f>
        <v>Lunas</v>
      </c>
      <c r="O1297" s="39" t="n">
        <f aca="false">IF(M1297&gt;0,MAX(0,Catatan!$B$3-H1297),0)</f>
        <v>0</v>
      </c>
      <c r="P1297" s="39" t="str">
        <f aca="false">IF(M1297&lt;=0,"Lunas",IF(Catatan!$B$3&lt;=H1297,"Belum Jatuh Tempo",IF(O1297&lt;=30,"1-30 hari",IF(O1297&lt;=60,"31-60 hari",IF(O1297&lt;=90,"61-90 hari","90+ hari")))))</f>
        <v>Lunas</v>
      </c>
      <c r="Q1297" s="50"/>
      <c r="R1297" s="39" t="str">
        <f aca="false">IF(M1297&lt;=0,"",IF(O1297&gt;60,"1-Tinggi",IF(O1297&gt;30,"2-Sedang",IF(O1297&gt;0,"3-Rendah","4-Pantau"))))</f>
        <v/>
      </c>
      <c r="S1297" s="39" t="str">
        <f aca="false">IF(AND(M1297&gt;0,O1297&gt;0),O1297+M1297/1000000000000+ROW()/1000000000000000,"")</f>
        <v/>
      </c>
      <c r="T1297" s="39" t="str">
        <f aca="false">IF(J1297="Belum ditukar",ROW(),"")</f>
        <v/>
      </c>
    </row>
    <row r="1298" customFormat="false" ht="15" hidden="false" customHeight="false" outlineLevel="0" collapsed="false">
      <c r="A1298" s="50" t="s">
        <v>1586</v>
      </c>
      <c r="B1298" s="51" t="n">
        <v>45932</v>
      </c>
      <c r="C1298" s="50" t="s">
        <v>278</v>
      </c>
      <c r="D1298" s="39" t="str">
        <f aca="false">INDEX(Master_Customer!$B$2:$B$126,MATCH(C1298,Master_Customer!$A$2:$A$126,0))</f>
        <v>SURYA MOTOR</v>
      </c>
      <c r="E1298" s="50" t="s">
        <v>31</v>
      </c>
      <c r="F1298" s="52" t="n">
        <f aca="false">SUMIFS(Data_Penjualan!$G$2:$G$5998,Data_Penjualan!$A$2:$A$5998,A1298)</f>
        <v>6889200</v>
      </c>
      <c r="G1298" s="39" t="n">
        <f aca="false">IF(E1298="KANTOR",0,INDEX(Master_Customer!$C$2:$C$126,MATCH(C1298,Master_Customer!$A$2:$A$126,0)))</f>
        <v>14</v>
      </c>
      <c r="H1298" s="53" t="n">
        <f aca="false">B1298+G1298</f>
        <v>45946</v>
      </c>
      <c r="I1298" s="51" t="n">
        <v>45937</v>
      </c>
      <c r="J1298" s="39" t="str">
        <f aca="false">IF(G1298=0,"Tunai",IF(I1298="","Belum ditukar","Sudah ditukar"))</f>
        <v>Sudah ditukar</v>
      </c>
      <c r="K1298" s="54" t="n">
        <v>6889200</v>
      </c>
      <c r="L1298" s="51" t="n">
        <v>45951</v>
      </c>
      <c r="M1298" s="52" t="n">
        <f aca="false">F1298-K1298</f>
        <v>0</v>
      </c>
      <c r="N1298" s="39" t="str">
        <f aca="false">IF(M1298&lt;=0,"Lunas",IF(K1298&gt;0,"Sebagian","Belum Bayar"))</f>
        <v>Lunas</v>
      </c>
      <c r="O1298" s="39" t="n">
        <f aca="false">IF(M1298&gt;0,MAX(0,Catatan!$B$3-H1298),0)</f>
        <v>0</v>
      </c>
      <c r="P1298" s="39" t="str">
        <f aca="false">IF(M1298&lt;=0,"Lunas",IF(Catatan!$B$3&lt;=H1298,"Belum Jatuh Tempo",IF(O1298&lt;=30,"1-30 hari",IF(O1298&lt;=60,"31-60 hari",IF(O1298&lt;=90,"61-90 hari","90+ hari")))))</f>
        <v>Lunas</v>
      </c>
      <c r="Q1298" s="50"/>
      <c r="R1298" s="39" t="str">
        <f aca="false">IF(M1298&lt;=0,"",IF(O1298&gt;60,"1-Tinggi",IF(O1298&gt;30,"2-Sedang",IF(O1298&gt;0,"3-Rendah","4-Pantau"))))</f>
        <v/>
      </c>
      <c r="S1298" s="39" t="str">
        <f aca="false">IF(AND(M1298&gt;0,O1298&gt;0),O1298+M1298/1000000000000+ROW()/1000000000000000,"")</f>
        <v/>
      </c>
      <c r="T1298" s="39" t="str">
        <f aca="false">IF(J1298="Belum ditukar",ROW(),"")</f>
        <v/>
      </c>
    </row>
    <row r="1299" customFormat="false" ht="15" hidden="false" customHeight="false" outlineLevel="0" collapsed="false">
      <c r="A1299" s="50" t="s">
        <v>1587</v>
      </c>
      <c r="B1299" s="51" t="n">
        <v>45932</v>
      </c>
      <c r="C1299" s="50" t="s">
        <v>199</v>
      </c>
      <c r="D1299" s="39" t="str">
        <f aca="false">INDEX(Master_Customer!$B$2:$B$126,MATCH(C1299,Master_Customer!$A$2:$A$126,0))</f>
        <v>KARYA SPAREPART</v>
      </c>
      <c r="E1299" s="50" t="s">
        <v>29</v>
      </c>
      <c r="F1299" s="52" t="n">
        <f aca="false">SUMIFS(Data_Penjualan!$G$2:$G$5998,Data_Penjualan!$A$2:$A$5998,A1299)</f>
        <v>7257100</v>
      </c>
      <c r="G1299" s="39" t="n">
        <f aca="false">IF(E1299="KANTOR",0,INDEX(Master_Customer!$C$2:$C$126,MATCH(C1299,Master_Customer!$A$2:$A$126,0)))</f>
        <v>45</v>
      </c>
      <c r="H1299" s="53" t="n">
        <f aca="false">B1299+G1299</f>
        <v>45977</v>
      </c>
      <c r="I1299" s="51" t="n">
        <v>45935</v>
      </c>
      <c r="J1299" s="39" t="str">
        <f aca="false">IF(G1299=0,"Tunai",IF(I1299="","Belum ditukar","Sudah ditukar"))</f>
        <v>Sudah ditukar</v>
      </c>
      <c r="K1299" s="54" t="n">
        <v>7257100</v>
      </c>
      <c r="L1299" s="51" t="n">
        <v>45973</v>
      </c>
      <c r="M1299" s="52" t="n">
        <f aca="false">F1299-K1299</f>
        <v>0</v>
      </c>
      <c r="N1299" s="39" t="str">
        <f aca="false">IF(M1299&lt;=0,"Lunas",IF(K1299&gt;0,"Sebagian","Belum Bayar"))</f>
        <v>Lunas</v>
      </c>
      <c r="O1299" s="39" t="n">
        <f aca="false">IF(M1299&gt;0,MAX(0,Catatan!$B$3-H1299),0)</f>
        <v>0</v>
      </c>
      <c r="P1299" s="39" t="str">
        <f aca="false">IF(M1299&lt;=0,"Lunas",IF(Catatan!$B$3&lt;=H1299,"Belum Jatuh Tempo",IF(O1299&lt;=30,"1-30 hari",IF(O1299&lt;=60,"31-60 hari",IF(O1299&lt;=90,"61-90 hari","90+ hari")))))</f>
        <v>Lunas</v>
      </c>
      <c r="Q1299" s="50"/>
      <c r="R1299" s="39" t="str">
        <f aca="false">IF(M1299&lt;=0,"",IF(O1299&gt;60,"1-Tinggi",IF(O1299&gt;30,"2-Sedang",IF(O1299&gt;0,"3-Rendah","4-Pantau"))))</f>
        <v/>
      </c>
      <c r="S1299" s="39" t="str">
        <f aca="false">IF(AND(M1299&gt;0,O1299&gt;0),O1299+M1299/1000000000000+ROW()/1000000000000000,"")</f>
        <v/>
      </c>
      <c r="T1299" s="39" t="str">
        <f aca="false">IF(J1299="Belum ditukar",ROW(),"")</f>
        <v/>
      </c>
    </row>
    <row r="1300" customFormat="false" ht="15" hidden="false" customHeight="false" outlineLevel="0" collapsed="false">
      <c r="A1300" s="50" t="s">
        <v>1588</v>
      </c>
      <c r="B1300" s="51" t="n">
        <v>45933</v>
      </c>
      <c r="C1300" s="50" t="s">
        <v>211</v>
      </c>
      <c r="D1300" s="39" t="str">
        <f aca="false">INDEX(Master_Customer!$B$2:$B$126,MATCH(C1300,Master_Customer!$A$2:$A$126,0))</f>
        <v>PRIMA MOBIL</v>
      </c>
      <c r="E1300" s="50" t="s">
        <v>30</v>
      </c>
      <c r="F1300" s="52" t="n">
        <f aca="false">SUMIFS(Data_Penjualan!$G$2:$G$5998,Data_Penjualan!$A$2:$A$5998,A1300)</f>
        <v>14796600</v>
      </c>
      <c r="G1300" s="39" t="n">
        <f aca="false">IF(E1300="KANTOR",0,INDEX(Master_Customer!$C$2:$C$126,MATCH(C1300,Master_Customer!$A$2:$A$126,0)))</f>
        <v>0</v>
      </c>
      <c r="H1300" s="53" t="n">
        <f aca="false">B1300+G1300</f>
        <v>45933</v>
      </c>
      <c r="J1300" s="39" t="str">
        <f aca="false">IF(G1300=0,"Tunai",IF(I1300="","Belum ditukar","Sudah ditukar"))</f>
        <v>Tunai</v>
      </c>
      <c r="K1300" s="54" t="n">
        <v>14796600</v>
      </c>
      <c r="L1300" s="51" t="n">
        <v>45934</v>
      </c>
      <c r="M1300" s="52" t="n">
        <f aca="false">F1300-K1300</f>
        <v>0</v>
      </c>
      <c r="N1300" s="39" t="str">
        <f aca="false">IF(M1300&lt;=0,"Lunas",IF(K1300&gt;0,"Sebagian","Belum Bayar"))</f>
        <v>Lunas</v>
      </c>
      <c r="O1300" s="39" t="n">
        <f aca="false">IF(M1300&gt;0,MAX(0,Catatan!$B$3-H1300),0)</f>
        <v>0</v>
      </c>
      <c r="P1300" s="39" t="str">
        <f aca="false">IF(M1300&lt;=0,"Lunas",IF(Catatan!$B$3&lt;=H1300,"Belum Jatuh Tempo",IF(O1300&lt;=30,"1-30 hari",IF(O1300&lt;=60,"31-60 hari",IF(O1300&lt;=90,"61-90 hari","90+ hari")))))</f>
        <v>Lunas</v>
      </c>
      <c r="Q1300" s="50"/>
      <c r="R1300" s="39" t="str">
        <f aca="false">IF(M1300&lt;=0,"",IF(O1300&gt;60,"1-Tinggi",IF(O1300&gt;30,"2-Sedang",IF(O1300&gt;0,"3-Rendah","4-Pantau"))))</f>
        <v/>
      </c>
      <c r="S1300" s="39" t="str">
        <f aca="false">IF(AND(M1300&gt;0,O1300&gt;0),O1300+M1300/1000000000000+ROW()/1000000000000000,"")</f>
        <v/>
      </c>
      <c r="T1300" s="39" t="str">
        <f aca="false">IF(J1300="Belum ditukar",ROW(),"")</f>
        <v/>
      </c>
    </row>
    <row r="1301" customFormat="false" ht="15" hidden="false" customHeight="false" outlineLevel="0" collapsed="false">
      <c r="A1301" s="50" t="s">
        <v>1589</v>
      </c>
      <c r="B1301" s="51" t="n">
        <v>45933</v>
      </c>
      <c r="C1301" s="50" t="s">
        <v>278</v>
      </c>
      <c r="D1301" s="39" t="str">
        <f aca="false">INDEX(Master_Customer!$B$2:$B$126,MATCH(C1301,Master_Customer!$A$2:$A$126,0))</f>
        <v>SURYA MOTOR</v>
      </c>
      <c r="E1301" s="50" t="s">
        <v>32</v>
      </c>
      <c r="F1301" s="52" t="n">
        <f aca="false">SUMIFS(Data_Penjualan!$G$2:$G$5998,Data_Penjualan!$A$2:$A$5998,A1301)</f>
        <v>9590700</v>
      </c>
      <c r="G1301" s="39" t="n">
        <f aca="false">IF(E1301="KANTOR",0,INDEX(Master_Customer!$C$2:$C$126,MATCH(C1301,Master_Customer!$A$2:$A$126,0)))</f>
        <v>0</v>
      </c>
      <c r="H1301" s="53" t="n">
        <f aca="false">B1301+G1301</f>
        <v>45933</v>
      </c>
      <c r="J1301" s="39" t="str">
        <f aca="false">IF(G1301=0,"Tunai",IF(I1301="","Belum ditukar","Sudah ditukar"))</f>
        <v>Tunai</v>
      </c>
      <c r="K1301" s="54" t="n">
        <v>9590700</v>
      </c>
      <c r="L1301" s="51" t="n">
        <v>45933</v>
      </c>
      <c r="M1301" s="52" t="n">
        <f aca="false">F1301-K1301</f>
        <v>0</v>
      </c>
      <c r="N1301" s="39" t="str">
        <f aca="false">IF(M1301&lt;=0,"Lunas",IF(K1301&gt;0,"Sebagian","Belum Bayar"))</f>
        <v>Lunas</v>
      </c>
      <c r="O1301" s="39" t="n">
        <f aca="false">IF(M1301&gt;0,MAX(0,Catatan!$B$3-H1301),0)</f>
        <v>0</v>
      </c>
      <c r="P1301" s="39" t="str">
        <f aca="false">IF(M1301&lt;=0,"Lunas",IF(Catatan!$B$3&lt;=H1301,"Belum Jatuh Tempo",IF(O1301&lt;=30,"1-30 hari",IF(O1301&lt;=60,"31-60 hari",IF(O1301&lt;=90,"61-90 hari","90+ hari")))))</f>
        <v>Lunas</v>
      </c>
      <c r="Q1301" s="50"/>
      <c r="R1301" s="39" t="str">
        <f aca="false">IF(M1301&lt;=0,"",IF(O1301&gt;60,"1-Tinggi",IF(O1301&gt;30,"2-Sedang",IF(O1301&gt;0,"3-Rendah","4-Pantau"))))</f>
        <v/>
      </c>
      <c r="S1301" s="39" t="str">
        <f aca="false">IF(AND(M1301&gt;0,O1301&gt;0),O1301+M1301/1000000000000+ROW()/1000000000000000,"")</f>
        <v/>
      </c>
      <c r="T1301" s="39" t="str">
        <f aca="false">IF(J1301="Belum ditukar",ROW(),"")</f>
        <v/>
      </c>
    </row>
    <row r="1302" customFormat="false" ht="15" hidden="false" customHeight="false" outlineLevel="0" collapsed="false">
      <c r="A1302" s="50" t="s">
        <v>1590</v>
      </c>
      <c r="B1302" s="51" t="n">
        <v>45933</v>
      </c>
      <c r="C1302" s="50" t="s">
        <v>251</v>
      </c>
      <c r="D1302" s="39" t="str">
        <f aca="false">INDEX(Master_Customer!$B$2:$B$126,MATCH(C1302,Master_Customer!$A$2:$A$126,0))</f>
        <v>MAJU SPAREPART</v>
      </c>
      <c r="E1302" s="50" t="s">
        <v>29</v>
      </c>
      <c r="F1302" s="52" t="n">
        <f aca="false">SUMIFS(Data_Penjualan!$G$2:$G$5998,Data_Penjualan!$A$2:$A$5998,A1302)</f>
        <v>5884500</v>
      </c>
      <c r="G1302" s="39" t="n">
        <f aca="false">IF(E1302="KANTOR",0,INDEX(Master_Customer!$C$2:$C$126,MATCH(C1302,Master_Customer!$A$2:$A$126,0)))</f>
        <v>45</v>
      </c>
      <c r="H1302" s="53" t="n">
        <f aca="false">B1302+G1302</f>
        <v>45978</v>
      </c>
      <c r="I1302" s="51" t="n">
        <v>45938</v>
      </c>
      <c r="J1302" s="39" t="str">
        <f aca="false">IF(G1302=0,"Tunai",IF(I1302="","Belum ditukar","Sudah ditukar"))</f>
        <v>Sudah ditukar</v>
      </c>
      <c r="K1302" s="54" t="n">
        <v>5884500</v>
      </c>
      <c r="L1302" s="51" t="n">
        <v>45985</v>
      </c>
      <c r="M1302" s="52" t="n">
        <f aca="false">F1302-K1302</f>
        <v>0</v>
      </c>
      <c r="N1302" s="39" t="str">
        <f aca="false">IF(M1302&lt;=0,"Lunas",IF(K1302&gt;0,"Sebagian","Belum Bayar"))</f>
        <v>Lunas</v>
      </c>
      <c r="O1302" s="39" t="n">
        <f aca="false">IF(M1302&gt;0,MAX(0,Catatan!$B$3-H1302),0)</f>
        <v>0</v>
      </c>
      <c r="P1302" s="39" t="str">
        <f aca="false">IF(M1302&lt;=0,"Lunas",IF(Catatan!$B$3&lt;=H1302,"Belum Jatuh Tempo",IF(O1302&lt;=30,"1-30 hari",IF(O1302&lt;=60,"31-60 hari",IF(O1302&lt;=90,"61-90 hari","90+ hari")))))</f>
        <v>Lunas</v>
      </c>
      <c r="Q1302" s="50"/>
      <c r="R1302" s="39" t="str">
        <f aca="false">IF(M1302&lt;=0,"",IF(O1302&gt;60,"1-Tinggi",IF(O1302&gt;30,"2-Sedang",IF(O1302&gt;0,"3-Rendah","4-Pantau"))))</f>
        <v/>
      </c>
      <c r="S1302" s="39" t="str">
        <f aca="false">IF(AND(M1302&gt;0,O1302&gt;0),O1302+M1302/1000000000000+ROW()/1000000000000000,"")</f>
        <v/>
      </c>
      <c r="T1302" s="39" t="str">
        <f aca="false">IF(J1302="Belum ditukar",ROW(),"")</f>
        <v/>
      </c>
    </row>
    <row r="1303" customFormat="false" ht="15" hidden="false" customHeight="false" outlineLevel="0" collapsed="false">
      <c r="A1303" s="50" t="s">
        <v>1591</v>
      </c>
      <c r="B1303" s="51" t="n">
        <v>45933</v>
      </c>
      <c r="C1303" s="50" t="s">
        <v>376</v>
      </c>
      <c r="D1303" s="39" t="str">
        <f aca="false">INDEX(Master_Customer!$B$2:$B$126,MATCH(C1303,Master_Customer!$A$2:$A$126,0))</f>
        <v>JAYA SPAREPART</v>
      </c>
      <c r="E1303" s="50" t="s">
        <v>28</v>
      </c>
      <c r="F1303" s="52" t="n">
        <f aca="false">SUMIFS(Data_Penjualan!$G$2:$G$5998,Data_Penjualan!$A$2:$A$5998,A1303)</f>
        <v>17489900</v>
      </c>
      <c r="G1303" s="39" t="n">
        <f aca="false">IF(E1303="KANTOR",0,INDEX(Master_Customer!$C$2:$C$126,MATCH(C1303,Master_Customer!$A$2:$A$126,0)))</f>
        <v>30</v>
      </c>
      <c r="H1303" s="53" t="n">
        <f aca="false">B1303+G1303</f>
        <v>45963</v>
      </c>
      <c r="I1303" s="51" t="n">
        <v>45935</v>
      </c>
      <c r="J1303" s="39" t="str">
        <f aca="false">IF(G1303=0,"Tunai",IF(I1303="","Belum ditukar","Sudah ditukar"))</f>
        <v>Sudah ditukar</v>
      </c>
      <c r="K1303" s="54" t="n">
        <v>13281500</v>
      </c>
      <c r="L1303" s="51" t="n">
        <v>45977</v>
      </c>
      <c r="M1303" s="52" t="n">
        <f aca="false">F1303-K1303</f>
        <v>4208400</v>
      </c>
      <c r="N1303" s="39" t="str">
        <f aca="false">IF(M1303&lt;=0,"Lunas",IF(K1303&gt;0,"Sebagian","Belum Bayar"))</f>
        <v>Sebagian</v>
      </c>
      <c r="O1303" s="39" t="n">
        <f aca="false">IF(M1303&gt;0,MAX(0,Catatan!$B$3-H1303),0)</f>
        <v>59</v>
      </c>
      <c r="P1303" s="39" t="str">
        <f aca="false">IF(M1303&lt;=0,"Lunas",IF(Catatan!$B$3&lt;=H1303,"Belum Jatuh Tempo",IF(O1303&lt;=30,"1-30 hari",IF(O1303&lt;=60,"31-60 hari",IF(O1303&lt;=90,"61-90 hari","90+ hari")))))</f>
        <v>31-60 hari</v>
      </c>
      <c r="Q1303" s="50" t="s">
        <v>712</v>
      </c>
      <c r="R1303" s="39" t="str">
        <f aca="false">IF(M1303&lt;=0,"",IF(O1303&gt;60,"1-Tinggi",IF(O1303&gt;30,"2-Sedang",IF(O1303&gt;0,"3-Rendah","4-Pantau"))))</f>
        <v>2-Sedang</v>
      </c>
      <c r="S1303" s="39" t="n">
        <f aca="false">IF(AND(M1303&gt;0,O1303&gt;0),O1303+M1303/1000000000000+ROW()/1000000000000000,"")</f>
        <v>59.0000042084013</v>
      </c>
      <c r="T1303" s="39" t="str">
        <f aca="false">IF(J1303="Belum ditukar",ROW(),"")</f>
        <v/>
      </c>
    </row>
    <row r="1304" customFormat="false" ht="15" hidden="false" customHeight="false" outlineLevel="0" collapsed="false">
      <c r="A1304" s="50" t="s">
        <v>1592</v>
      </c>
      <c r="B1304" s="51" t="n">
        <v>45933</v>
      </c>
      <c r="C1304" s="50" t="s">
        <v>465</v>
      </c>
      <c r="D1304" s="39" t="str">
        <f aca="false">INDEX(Master_Customer!$B$2:$B$126,MATCH(C1304,Master_Customer!$A$2:$A$126,0))</f>
        <v>CAHAYA SERVICE BINTANG</v>
      </c>
      <c r="E1304" s="50" t="s">
        <v>32</v>
      </c>
      <c r="F1304" s="52" t="n">
        <f aca="false">SUMIFS(Data_Penjualan!$G$2:$G$5998,Data_Penjualan!$A$2:$A$5998,A1304)</f>
        <v>20556700</v>
      </c>
      <c r="G1304" s="39" t="n">
        <f aca="false">IF(E1304="KANTOR",0,INDEX(Master_Customer!$C$2:$C$126,MATCH(C1304,Master_Customer!$A$2:$A$126,0)))</f>
        <v>0</v>
      </c>
      <c r="H1304" s="53" t="n">
        <f aca="false">B1304+G1304</f>
        <v>45933</v>
      </c>
      <c r="J1304" s="39" t="str">
        <f aca="false">IF(G1304=0,"Tunai",IF(I1304="","Belum ditukar","Sudah ditukar"))</f>
        <v>Tunai</v>
      </c>
      <c r="K1304" s="54" t="n">
        <v>20556700</v>
      </c>
      <c r="L1304" s="51" t="n">
        <v>45933</v>
      </c>
      <c r="M1304" s="52" t="n">
        <f aca="false">F1304-K1304</f>
        <v>0</v>
      </c>
      <c r="N1304" s="39" t="str">
        <f aca="false">IF(M1304&lt;=0,"Lunas",IF(K1304&gt;0,"Sebagian","Belum Bayar"))</f>
        <v>Lunas</v>
      </c>
      <c r="O1304" s="39" t="n">
        <f aca="false">IF(M1304&gt;0,MAX(0,Catatan!$B$3-H1304),0)</f>
        <v>0</v>
      </c>
      <c r="P1304" s="39" t="str">
        <f aca="false">IF(M1304&lt;=0,"Lunas",IF(Catatan!$B$3&lt;=H1304,"Belum Jatuh Tempo",IF(O1304&lt;=30,"1-30 hari",IF(O1304&lt;=60,"31-60 hari",IF(O1304&lt;=90,"61-90 hari","90+ hari")))))</f>
        <v>Lunas</v>
      </c>
      <c r="Q1304" s="50"/>
      <c r="R1304" s="39" t="str">
        <f aca="false">IF(M1304&lt;=0,"",IF(O1304&gt;60,"1-Tinggi",IF(O1304&gt;30,"2-Sedang",IF(O1304&gt;0,"3-Rendah","4-Pantau"))))</f>
        <v/>
      </c>
      <c r="S1304" s="39" t="str">
        <f aca="false">IF(AND(M1304&gt;0,O1304&gt;0),O1304+M1304/1000000000000+ROW()/1000000000000000,"")</f>
        <v/>
      </c>
      <c r="T1304" s="39" t="str">
        <f aca="false">IF(J1304="Belum ditukar",ROW(),"")</f>
        <v/>
      </c>
    </row>
    <row r="1305" customFormat="false" ht="15" hidden="false" customHeight="false" outlineLevel="0" collapsed="false">
      <c r="A1305" s="50" t="s">
        <v>1593</v>
      </c>
      <c r="B1305" s="51" t="n">
        <v>45933</v>
      </c>
      <c r="C1305" s="50" t="s">
        <v>174</v>
      </c>
      <c r="D1305" s="39" t="str">
        <f aca="false">INDEX(Master_Customer!$B$2:$B$126,MATCH(C1305,Master_Customer!$A$2:$A$126,0))</f>
        <v>SUMBER TEKNIK SURYA</v>
      </c>
      <c r="E1305" s="50" t="s">
        <v>32</v>
      </c>
      <c r="F1305" s="52" t="n">
        <f aca="false">SUMIFS(Data_Penjualan!$G$2:$G$5998,Data_Penjualan!$A$2:$A$5998,A1305)</f>
        <v>13858000</v>
      </c>
      <c r="G1305" s="39" t="n">
        <f aca="false">IF(E1305="KANTOR",0,INDEX(Master_Customer!$C$2:$C$126,MATCH(C1305,Master_Customer!$A$2:$A$126,0)))</f>
        <v>0</v>
      </c>
      <c r="H1305" s="53" t="n">
        <f aca="false">B1305+G1305</f>
        <v>45933</v>
      </c>
      <c r="J1305" s="39" t="str">
        <f aca="false">IF(G1305=0,"Tunai",IF(I1305="","Belum ditukar","Sudah ditukar"))</f>
        <v>Tunai</v>
      </c>
      <c r="K1305" s="54" t="n">
        <v>13858000</v>
      </c>
      <c r="L1305" s="51" t="n">
        <v>45933</v>
      </c>
      <c r="M1305" s="52" t="n">
        <f aca="false">F1305-K1305</f>
        <v>0</v>
      </c>
      <c r="N1305" s="39" t="str">
        <f aca="false">IF(M1305&lt;=0,"Lunas",IF(K1305&gt;0,"Sebagian","Belum Bayar"))</f>
        <v>Lunas</v>
      </c>
      <c r="O1305" s="39" t="n">
        <f aca="false">IF(M1305&gt;0,MAX(0,Catatan!$B$3-H1305),0)</f>
        <v>0</v>
      </c>
      <c r="P1305" s="39" t="str">
        <f aca="false">IF(M1305&lt;=0,"Lunas",IF(Catatan!$B$3&lt;=H1305,"Belum Jatuh Tempo",IF(O1305&lt;=30,"1-30 hari",IF(O1305&lt;=60,"31-60 hari",IF(O1305&lt;=90,"61-90 hari","90+ hari")))))</f>
        <v>Lunas</v>
      </c>
      <c r="Q1305" s="50"/>
      <c r="R1305" s="39" t="str">
        <f aca="false">IF(M1305&lt;=0,"",IF(O1305&gt;60,"1-Tinggi",IF(O1305&gt;30,"2-Sedang",IF(O1305&gt;0,"3-Rendah","4-Pantau"))))</f>
        <v/>
      </c>
      <c r="S1305" s="39" t="str">
        <f aca="false">IF(AND(M1305&gt;0,O1305&gt;0),O1305+M1305/1000000000000+ROW()/1000000000000000,"")</f>
        <v/>
      </c>
      <c r="T1305" s="39" t="str">
        <f aca="false">IF(J1305="Belum ditukar",ROW(),"")</f>
        <v/>
      </c>
    </row>
    <row r="1306" customFormat="false" ht="15" hidden="false" customHeight="false" outlineLevel="0" collapsed="false">
      <c r="A1306" s="50" t="s">
        <v>1594</v>
      </c>
      <c r="B1306" s="51" t="n">
        <v>45933</v>
      </c>
      <c r="C1306" s="50" t="s">
        <v>177</v>
      </c>
      <c r="D1306" s="39" t="str">
        <f aca="false">INDEX(Master_Customer!$B$2:$B$126,MATCH(C1306,Master_Customer!$A$2:$A$126,0))</f>
        <v>PRIMA MOTOR LANCAR</v>
      </c>
      <c r="E1306" s="50" t="s">
        <v>29</v>
      </c>
      <c r="F1306" s="52" t="n">
        <f aca="false">SUMIFS(Data_Penjualan!$G$2:$G$5998,Data_Penjualan!$A$2:$A$5998,A1306)</f>
        <v>3565800</v>
      </c>
      <c r="G1306" s="39" t="n">
        <f aca="false">IF(E1306="KANTOR",0,INDEX(Master_Customer!$C$2:$C$126,MATCH(C1306,Master_Customer!$A$2:$A$126,0)))</f>
        <v>14</v>
      </c>
      <c r="H1306" s="53" t="n">
        <f aca="false">B1306+G1306</f>
        <v>45947</v>
      </c>
      <c r="I1306" s="51" t="n">
        <v>45937</v>
      </c>
      <c r="J1306" s="39" t="str">
        <f aca="false">IF(G1306=0,"Tunai",IF(I1306="","Belum ditukar","Sudah ditukar"))</f>
        <v>Sudah ditukar</v>
      </c>
      <c r="K1306" s="54" t="n">
        <v>3565800</v>
      </c>
      <c r="L1306" s="51" t="n">
        <v>45947</v>
      </c>
      <c r="M1306" s="52" t="n">
        <f aca="false">F1306-K1306</f>
        <v>0</v>
      </c>
      <c r="N1306" s="39" t="str">
        <f aca="false">IF(M1306&lt;=0,"Lunas",IF(K1306&gt;0,"Sebagian","Belum Bayar"))</f>
        <v>Lunas</v>
      </c>
      <c r="O1306" s="39" t="n">
        <f aca="false">IF(M1306&gt;0,MAX(0,Catatan!$B$3-H1306),0)</f>
        <v>0</v>
      </c>
      <c r="P1306" s="39" t="str">
        <f aca="false">IF(M1306&lt;=0,"Lunas",IF(Catatan!$B$3&lt;=H1306,"Belum Jatuh Tempo",IF(O1306&lt;=30,"1-30 hari",IF(O1306&lt;=60,"31-60 hari",IF(O1306&lt;=90,"61-90 hari","90+ hari")))))</f>
        <v>Lunas</v>
      </c>
      <c r="Q1306" s="50"/>
      <c r="R1306" s="39" t="str">
        <f aca="false">IF(M1306&lt;=0,"",IF(O1306&gt;60,"1-Tinggi",IF(O1306&gt;30,"2-Sedang",IF(O1306&gt;0,"3-Rendah","4-Pantau"))))</f>
        <v/>
      </c>
      <c r="S1306" s="39" t="str">
        <f aca="false">IF(AND(M1306&gt;0,O1306&gt;0),O1306+M1306/1000000000000+ROW()/1000000000000000,"")</f>
        <v/>
      </c>
      <c r="T1306" s="39" t="str">
        <f aca="false">IF(J1306="Belum ditukar",ROW(),"")</f>
        <v/>
      </c>
    </row>
    <row r="1307" customFormat="false" ht="15" hidden="false" customHeight="false" outlineLevel="0" collapsed="false">
      <c r="A1307" s="50" t="s">
        <v>145</v>
      </c>
      <c r="B1307" s="51" t="n">
        <v>45933</v>
      </c>
      <c r="C1307" s="50" t="s">
        <v>798</v>
      </c>
      <c r="D1307" s="39" t="str">
        <f aca="false">INDEX(Master_Customer!$B$2:$B$126,MATCH(C1307,Master_Customer!$A$2:$A$126,0))</f>
        <v>HARAPAN LUBRICANT</v>
      </c>
      <c r="E1307" s="50" t="s">
        <v>29</v>
      </c>
      <c r="F1307" s="52" t="n">
        <f aca="false">SUMIFS(Data_Penjualan!$G$2:$G$5998,Data_Penjualan!$A$2:$A$5998,A1307)</f>
        <v>9714500</v>
      </c>
      <c r="G1307" s="39" t="n">
        <f aca="false">IF(E1307="KANTOR",0,INDEX(Master_Customer!$C$2:$C$126,MATCH(C1307,Master_Customer!$A$2:$A$126,0)))</f>
        <v>30</v>
      </c>
      <c r="H1307" s="53" t="n">
        <f aca="false">B1307+G1307</f>
        <v>45963</v>
      </c>
      <c r="I1307" s="51" t="n">
        <v>45937</v>
      </c>
      <c r="J1307" s="39" t="str">
        <f aca="false">IF(G1307=0,"Tunai",IF(I1307="","Belum ditukar","Sudah ditukar"))</f>
        <v>Sudah ditukar</v>
      </c>
      <c r="K1307" s="54" t="n">
        <v>0</v>
      </c>
      <c r="M1307" s="52" t="n">
        <f aca="false">F1307-K1307</f>
        <v>9714500</v>
      </c>
      <c r="N1307" s="39" t="str">
        <f aca="false">IF(M1307&lt;=0,"Lunas",IF(K1307&gt;0,"Sebagian","Belum Bayar"))</f>
        <v>Belum Bayar</v>
      </c>
      <c r="O1307" s="39" t="n">
        <f aca="false">IF(M1307&gt;0,MAX(0,Catatan!$B$3-H1307),0)</f>
        <v>59</v>
      </c>
      <c r="P1307" s="39" t="str">
        <f aca="false">IF(M1307&lt;=0,"Lunas",IF(Catatan!$B$3&lt;=H1307,"Belum Jatuh Tempo",IF(O1307&lt;=30,"1-30 hari",IF(O1307&lt;=60,"31-60 hari",IF(O1307&lt;=90,"61-90 hari","90+ hari")))))</f>
        <v>31-60 hari</v>
      </c>
      <c r="Q1307" s="50" t="s">
        <v>1426</v>
      </c>
      <c r="R1307" s="39" t="str">
        <f aca="false">IF(M1307&lt;=0,"",IF(O1307&gt;60,"1-Tinggi",IF(O1307&gt;30,"2-Sedang",IF(O1307&gt;0,"3-Rendah","4-Pantau"))))</f>
        <v>2-Sedang</v>
      </c>
      <c r="S1307" s="39" t="n">
        <f aca="false">IF(AND(M1307&gt;0,O1307&gt;0),O1307+M1307/1000000000000+ROW()/1000000000000000,"")</f>
        <v>59.0000097145013</v>
      </c>
      <c r="T1307" s="39" t="str">
        <f aca="false">IF(J1307="Belum ditukar",ROW(),"")</f>
        <v/>
      </c>
    </row>
    <row r="1308" customFormat="false" ht="15" hidden="false" customHeight="false" outlineLevel="0" collapsed="false">
      <c r="A1308" s="50" t="s">
        <v>1595</v>
      </c>
      <c r="B1308" s="51" t="n">
        <v>45933</v>
      </c>
      <c r="C1308" s="50" t="s">
        <v>188</v>
      </c>
      <c r="D1308" s="39" t="str">
        <f aca="false">INDEX(Master_Customer!$B$2:$B$126,MATCH(C1308,Master_Customer!$A$2:$A$126,0))</f>
        <v>MAJU GARAGE TIRTA</v>
      </c>
      <c r="E1308" s="50" t="s">
        <v>31</v>
      </c>
      <c r="F1308" s="52" t="n">
        <f aca="false">SUMIFS(Data_Penjualan!$G$2:$G$5998,Data_Penjualan!$A$2:$A$5998,A1308)</f>
        <v>14474000</v>
      </c>
      <c r="G1308" s="39" t="n">
        <f aca="false">IF(E1308="KANTOR",0,INDEX(Master_Customer!$C$2:$C$126,MATCH(C1308,Master_Customer!$A$2:$A$126,0)))</f>
        <v>45</v>
      </c>
      <c r="H1308" s="53" t="n">
        <f aca="false">B1308+G1308</f>
        <v>45978</v>
      </c>
      <c r="I1308" s="51" t="n">
        <v>45935</v>
      </c>
      <c r="J1308" s="39" t="str">
        <f aca="false">IF(G1308=0,"Tunai",IF(I1308="","Belum ditukar","Sudah ditukar"))</f>
        <v>Sudah ditukar</v>
      </c>
      <c r="K1308" s="54" t="n">
        <v>14474000</v>
      </c>
      <c r="L1308" s="51" t="n">
        <v>46014</v>
      </c>
      <c r="M1308" s="52" t="n">
        <f aca="false">F1308-K1308</f>
        <v>0</v>
      </c>
      <c r="N1308" s="39" t="str">
        <f aca="false">IF(M1308&lt;=0,"Lunas",IF(K1308&gt;0,"Sebagian","Belum Bayar"))</f>
        <v>Lunas</v>
      </c>
      <c r="O1308" s="39" t="n">
        <f aca="false">IF(M1308&gt;0,MAX(0,Catatan!$B$3-H1308),0)</f>
        <v>0</v>
      </c>
      <c r="P1308" s="39" t="str">
        <f aca="false">IF(M1308&lt;=0,"Lunas",IF(Catatan!$B$3&lt;=H1308,"Belum Jatuh Tempo",IF(O1308&lt;=30,"1-30 hari",IF(O1308&lt;=60,"31-60 hari",IF(O1308&lt;=90,"61-90 hari","90+ hari")))))</f>
        <v>Lunas</v>
      </c>
      <c r="Q1308" s="50"/>
      <c r="R1308" s="39" t="str">
        <f aca="false">IF(M1308&lt;=0,"",IF(O1308&gt;60,"1-Tinggi",IF(O1308&gt;30,"2-Sedang",IF(O1308&gt;0,"3-Rendah","4-Pantau"))))</f>
        <v/>
      </c>
      <c r="S1308" s="39" t="str">
        <f aca="false">IF(AND(M1308&gt;0,O1308&gt;0),O1308+M1308/1000000000000+ROW()/1000000000000000,"")</f>
        <v/>
      </c>
      <c r="T1308" s="39" t="str">
        <f aca="false">IF(J1308="Belum ditukar",ROW(),"")</f>
        <v/>
      </c>
    </row>
    <row r="1309" customFormat="false" ht="15" hidden="false" customHeight="false" outlineLevel="0" collapsed="false">
      <c r="A1309" s="50" t="s">
        <v>1596</v>
      </c>
      <c r="B1309" s="51" t="n">
        <v>45933</v>
      </c>
      <c r="C1309" s="50" t="s">
        <v>766</v>
      </c>
      <c r="D1309" s="39" t="str">
        <f aca="false">INDEX(Master_Customer!$B$2:$B$126,MATCH(C1309,Master_Customer!$A$2:$A$126,0))</f>
        <v>TIRTA SPAREPART BINTANG</v>
      </c>
      <c r="E1309" s="50" t="s">
        <v>32</v>
      </c>
      <c r="F1309" s="52" t="n">
        <f aca="false">SUMIFS(Data_Penjualan!$G$2:$G$5998,Data_Penjualan!$A$2:$A$5998,A1309)</f>
        <v>4006100</v>
      </c>
      <c r="G1309" s="39" t="n">
        <f aca="false">IF(E1309="KANTOR",0,INDEX(Master_Customer!$C$2:$C$126,MATCH(C1309,Master_Customer!$A$2:$A$126,0)))</f>
        <v>0</v>
      </c>
      <c r="H1309" s="53" t="n">
        <f aca="false">B1309+G1309</f>
        <v>45933</v>
      </c>
      <c r="J1309" s="39" t="str">
        <f aca="false">IF(G1309=0,"Tunai",IF(I1309="","Belum ditukar","Sudah ditukar"))</f>
        <v>Tunai</v>
      </c>
      <c r="K1309" s="54" t="n">
        <v>4006100</v>
      </c>
      <c r="L1309" s="51" t="n">
        <v>45933</v>
      </c>
      <c r="M1309" s="52" t="n">
        <f aca="false">F1309-K1309</f>
        <v>0</v>
      </c>
      <c r="N1309" s="39" t="str">
        <f aca="false">IF(M1309&lt;=0,"Lunas",IF(K1309&gt;0,"Sebagian","Belum Bayar"))</f>
        <v>Lunas</v>
      </c>
      <c r="O1309" s="39" t="n">
        <f aca="false">IF(M1309&gt;0,MAX(0,Catatan!$B$3-H1309),0)</f>
        <v>0</v>
      </c>
      <c r="P1309" s="39" t="str">
        <f aca="false">IF(M1309&lt;=0,"Lunas",IF(Catatan!$B$3&lt;=H1309,"Belum Jatuh Tempo",IF(O1309&lt;=30,"1-30 hari",IF(O1309&lt;=60,"31-60 hari",IF(O1309&lt;=90,"61-90 hari","90+ hari")))))</f>
        <v>Lunas</v>
      </c>
      <c r="Q1309" s="50"/>
      <c r="R1309" s="39" t="str">
        <f aca="false">IF(M1309&lt;=0,"",IF(O1309&gt;60,"1-Tinggi",IF(O1309&gt;30,"2-Sedang",IF(O1309&gt;0,"3-Rendah","4-Pantau"))))</f>
        <v/>
      </c>
      <c r="S1309" s="39" t="str">
        <f aca="false">IF(AND(M1309&gt;0,O1309&gt;0),O1309+M1309/1000000000000+ROW()/1000000000000000,"")</f>
        <v/>
      </c>
      <c r="T1309" s="39" t="str">
        <f aca="false">IF(J1309="Belum ditukar",ROW(),"")</f>
        <v/>
      </c>
    </row>
    <row r="1310" customFormat="false" ht="15" hidden="false" customHeight="false" outlineLevel="0" collapsed="false">
      <c r="A1310" s="50" t="s">
        <v>1597</v>
      </c>
      <c r="B1310" s="51" t="n">
        <v>45934</v>
      </c>
      <c r="C1310" s="50" t="s">
        <v>199</v>
      </c>
      <c r="D1310" s="39" t="str">
        <f aca="false">INDEX(Master_Customer!$B$2:$B$126,MATCH(C1310,Master_Customer!$A$2:$A$126,0))</f>
        <v>KARYA SPAREPART</v>
      </c>
      <c r="E1310" s="50" t="s">
        <v>29</v>
      </c>
      <c r="F1310" s="52" t="n">
        <f aca="false">SUMIFS(Data_Penjualan!$G$2:$G$5998,Data_Penjualan!$A$2:$A$5998,A1310)</f>
        <v>2651600</v>
      </c>
      <c r="G1310" s="39" t="n">
        <f aca="false">IF(E1310="KANTOR",0,INDEX(Master_Customer!$C$2:$C$126,MATCH(C1310,Master_Customer!$A$2:$A$126,0)))</f>
        <v>45</v>
      </c>
      <c r="H1310" s="53" t="n">
        <f aca="false">B1310+G1310</f>
        <v>45979</v>
      </c>
      <c r="I1310" s="51" t="n">
        <v>45936</v>
      </c>
      <c r="J1310" s="39" t="str">
        <f aca="false">IF(G1310=0,"Tunai",IF(I1310="","Belum ditukar","Sudah ditukar"))</f>
        <v>Sudah ditukar</v>
      </c>
      <c r="K1310" s="54" t="n">
        <v>2651600</v>
      </c>
      <c r="L1310" s="51" t="n">
        <v>45972</v>
      </c>
      <c r="M1310" s="52" t="n">
        <f aca="false">F1310-K1310</f>
        <v>0</v>
      </c>
      <c r="N1310" s="39" t="str">
        <f aca="false">IF(M1310&lt;=0,"Lunas",IF(K1310&gt;0,"Sebagian","Belum Bayar"))</f>
        <v>Lunas</v>
      </c>
      <c r="O1310" s="39" t="n">
        <f aca="false">IF(M1310&gt;0,MAX(0,Catatan!$B$3-H1310),0)</f>
        <v>0</v>
      </c>
      <c r="P1310" s="39" t="str">
        <f aca="false">IF(M1310&lt;=0,"Lunas",IF(Catatan!$B$3&lt;=H1310,"Belum Jatuh Tempo",IF(O1310&lt;=30,"1-30 hari",IF(O1310&lt;=60,"31-60 hari",IF(O1310&lt;=90,"61-90 hari","90+ hari")))))</f>
        <v>Lunas</v>
      </c>
      <c r="Q1310" s="50"/>
      <c r="R1310" s="39" t="str">
        <f aca="false">IF(M1310&lt;=0,"",IF(O1310&gt;60,"1-Tinggi",IF(O1310&gt;30,"2-Sedang",IF(O1310&gt;0,"3-Rendah","4-Pantau"))))</f>
        <v/>
      </c>
      <c r="S1310" s="39" t="str">
        <f aca="false">IF(AND(M1310&gt;0,O1310&gt;0),O1310+M1310/1000000000000+ROW()/1000000000000000,"")</f>
        <v/>
      </c>
      <c r="T1310" s="39" t="str">
        <f aca="false">IF(J1310="Belum ditukar",ROW(),"")</f>
        <v/>
      </c>
    </row>
    <row r="1311" customFormat="false" ht="15" hidden="false" customHeight="false" outlineLevel="0" collapsed="false">
      <c r="A1311" s="50" t="s">
        <v>1598</v>
      </c>
      <c r="B1311" s="51" t="n">
        <v>45934</v>
      </c>
      <c r="C1311" s="50" t="s">
        <v>289</v>
      </c>
      <c r="D1311" s="39" t="str">
        <f aca="false">INDEX(Master_Customer!$B$2:$B$126,MATCH(C1311,Master_Customer!$A$2:$A$126,0))</f>
        <v>SINAR GARAGE</v>
      </c>
      <c r="E1311" s="50" t="s">
        <v>28</v>
      </c>
      <c r="F1311" s="52" t="n">
        <f aca="false">SUMIFS(Data_Penjualan!$G$2:$G$5998,Data_Penjualan!$A$2:$A$5998,A1311)</f>
        <v>15422700</v>
      </c>
      <c r="G1311" s="39" t="n">
        <f aca="false">IF(E1311="KANTOR",0,INDEX(Master_Customer!$C$2:$C$126,MATCH(C1311,Master_Customer!$A$2:$A$126,0)))</f>
        <v>30</v>
      </c>
      <c r="H1311" s="53" t="n">
        <f aca="false">B1311+G1311</f>
        <v>45964</v>
      </c>
      <c r="I1311" s="51" t="n">
        <v>45939</v>
      </c>
      <c r="J1311" s="39" t="str">
        <f aca="false">IF(G1311=0,"Tunai",IF(I1311="","Belum ditukar","Sudah ditukar"))</f>
        <v>Sudah ditukar</v>
      </c>
      <c r="K1311" s="54" t="n">
        <v>15422700</v>
      </c>
      <c r="L1311" s="51" t="n">
        <v>45964</v>
      </c>
      <c r="M1311" s="52" t="n">
        <f aca="false">F1311-K1311</f>
        <v>0</v>
      </c>
      <c r="N1311" s="39" t="str">
        <f aca="false">IF(M1311&lt;=0,"Lunas",IF(K1311&gt;0,"Sebagian","Belum Bayar"))</f>
        <v>Lunas</v>
      </c>
      <c r="O1311" s="39" t="n">
        <f aca="false">IF(M1311&gt;0,MAX(0,Catatan!$B$3-H1311),0)</f>
        <v>0</v>
      </c>
      <c r="P1311" s="39" t="str">
        <f aca="false">IF(M1311&lt;=0,"Lunas",IF(Catatan!$B$3&lt;=H1311,"Belum Jatuh Tempo",IF(O1311&lt;=30,"1-30 hari",IF(O1311&lt;=60,"31-60 hari",IF(O1311&lt;=90,"61-90 hari","90+ hari")))))</f>
        <v>Lunas</v>
      </c>
      <c r="Q1311" s="50"/>
      <c r="R1311" s="39" t="str">
        <f aca="false">IF(M1311&lt;=0,"",IF(O1311&gt;60,"1-Tinggi",IF(O1311&gt;30,"2-Sedang",IF(O1311&gt;0,"3-Rendah","4-Pantau"))))</f>
        <v/>
      </c>
      <c r="S1311" s="39" t="str">
        <f aca="false">IF(AND(M1311&gt;0,O1311&gt;0),O1311+M1311/1000000000000+ROW()/1000000000000000,"")</f>
        <v/>
      </c>
      <c r="T1311" s="39" t="str">
        <f aca="false">IF(J1311="Belum ditukar",ROW(),"")</f>
        <v/>
      </c>
    </row>
    <row r="1312" customFormat="false" ht="15" hidden="false" customHeight="false" outlineLevel="0" collapsed="false">
      <c r="A1312" s="50" t="s">
        <v>1599</v>
      </c>
      <c r="B1312" s="51" t="n">
        <v>45934</v>
      </c>
      <c r="C1312" s="50" t="s">
        <v>191</v>
      </c>
      <c r="D1312" s="39" t="str">
        <f aca="false">INDEX(Master_Customer!$B$2:$B$126,MATCH(C1312,Master_Customer!$A$2:$A$126,0))</f>
        <v>SINAR AUTO BERKAH</v>
      </c>
      <c r="E1312" s="50" t="s">
        <v>32</v>
      </c>
      <c r="F1312" s="52" t="n">
        <f aca="false">SUMIFS(Data_Penjualan!$G$2:$G$5998,Data_Penjualan!$A$2:$A$5998,A1312)</f>
        <v>12832100</v>
      </c>
      <c r="G1312" s="39" t="n">
        <f aca="false">IF(E1312="KANTOR",0,INDEX(Master_Customer!$C$2:$C$126,MATCH(C1312,Master_Customer!$A$2:$A$126,0)))</f>
        <v>0</v>
      </c>
      <c r="H1312" s="53" t="n">
        <f aca="false">B1312+G1312</f>
        <v>45934</v>
      </c>
      <c r="J1312" s="39" t="str">
        <f aca="false">IF(G1312=0,"Tunai",IF(I1312="","Belum ditukar","Sudah ditukar"))</f>
        <v>Tunai</v>
      </c>
      <c r="K1312" s="54" t="n">
        <v>12832100</v>
      </c>
      <c r="L1312" s="51" t="n">
        <v>45934</v>
      </c>
      <c r="M1312" s="52" t="n">
        <f aca="false">F1312-K1312</f>
        <v>0</v>
      </c>
      <c r="N1312" s="39" t="str">
        <f aca="false">IF(M1312&lt;=0,"Lunas",IF(K1312&gt;0,"Sebagian","Belum Bayar"))</f>
        <v>Lunas</v>
      </c>
      <c r="O1312" s="39" t="n">
        <f aca="false">IF(M1312&gt;0,MAX(0,Catatan!$B$3-H1312),0)</f>
        <v>0</v>
      </c>
      <c r="P1312" s="39" t="str">
        <f aca="false">IF(M1312&lt;=0,"Lunas",IF(Catatan!$B$3&lt;=H1312,"Belum Jatuh Tempo",IF(O1312&lt;=30,"1-30 hari",IF(O1312&lt;=60,"31-60 hari",IF(O1312&lt;=90,"61-90 hari","90+ hari")))))</f>
        <v>Lunas</v>
      </c>
      <c r="Q1312" s="50"/>
      <c r="R1312" s="39" t="str">
        <f aca="false">IF(M1312&lt;=0,"",IF(O1312&gt;60,"1-Tinggi",IF(O1312&gt;30,"2-Sedang",IF(O1312&gt;0,"3-Rendah","4-Pantau"))))</f>
        <v/>
      </c>
      <c r="S1312" s="39" t="str">
        <f aca="false">IF(AND(M1312&gt;0,O1312&gt;0),O1312+M1312/1000000000000+ROW()/1000000000000000,"")</f>
        <v/>
      </c>
      <c r="T1312" s="39" t="str">
        <f aca="false">IF(J1312="Belum ditukar",ROW(),"")</f>
        <v/>
      </c>
    </row>
    <row r="1313" customFormat="false" ht="15" hidden="false" customHeight="false" outlineLevel="0" collapsed="false">
      <c r="A1313" s="50" t="s">
        <v>1600</v>
      </c>
      <c r="B1313" s="51" t="n">
        <v>45934</v>
      </c>
      <c r="C1313" s="50" t="s">
        <v>174</v>
      </c>
      <c r="D1313" s="39" t="str">
        <f aca="false">INDEX(Master_Customer!$B$2:$B$126,MATCH(C1313,Master_Customer!$A$2:$A$126,0))</f>
        <v>SUMBER TEKNIK SURYA</v>
      </c>
      <c r="E1313" s="50" t="s">
        <v>32</v>
      </c>
      <c r="F1313" s="52" t="n">
        <f aca="false">SUMIFS(Data_Penjualan!$G$2:$G$5998,Data_Penjualan!$A$2:$A$5998,A1313)</f>
        <v>19356600</v>
      </c>
      <c r="G1313" s="39" t="n">
        <f aca="false">IF(E1313="KANTOR",0,INDEX(Master_Customer!$C$2:$C$126,MATCH(C1313,Master_Customer!$A$2:$A$126,0)))</f>
        <v>0</v>
      </c>
      <c r="H1313" s="53" t="n">
        <f aca="false">B1313+G1313</f>
        <v>45934</v>
      </c>
      <c r="J1313" s="39" t="str">
        <f aca="false">IF(G1313=0,"Tunai",IF(I1313="","Belum ditukar","Sudah ditukar"))</f>
        <v>Tunai</v>
      </c>
      <c r="K1313" s="54" t="n">
        <v>19356600</v>
      </c>
      <c r="L1313" s="51" t="n">
        <v>45935</v>
      </c>
      <c r="M1313" s="52" t="n">
        <f aca="false">F1313-K1313</f>
        <v>0</v>
      </c>
      <c r="N1313" s="39" t="str">
        <f aca="false">IF(M1313&lt;=0,"Lunas",IF(K1313&gt;0,"Sebagian","Belum Bayar"))</f>
        <v>Lunas</v>
      </c>
      <c r="O1313" s="39" t="n">
        <f aca="false">IF(M1313&gt;0,MAX(0,Catatan!$B$3-H1313),0)</f>
        <v>0</v>
      </c>
      <c r="P1313" s="39" t="str">
        <f aca="false">IF(M1313&lt;=0,"Lunas",IF(Catatan!$B$3&lt;=H1313,"Belum Jatuh Tempo",IF(O1313&lt;=30,"1-30 hari",IF(O1313&lt;=60,"31-60 hari",IF(O1313&lt;=90,"61-90 hari","90+ hari")))))</f>
        <v>Lunas</v>
      </c>
      <c r="Q1313" s="50"/>
      <c r="R1313" s="39" t="str">
        <f aca="false">IF(M1313&lt;=0,"",IF(O1313&gt;60,"1-Tinggi",IF(O1313&gt;30,"2-Sedang",IF(O1313&gt;0,"3-Rendah","4-Pantau"))))</f>
        <v/>
      </c>
      <c r="S1313" s="39" t="str">
        <f aca="false">IF(AND(M1313&gt;0,O1313&gt;0),O1313+M1313/1000000000000+ROW()/1000000000000000,"")</f>
        <v/>
      </c>
      <c r="T1313" s="39" t="str">
        <f aca="false">IF(J1313="Belum ditukar",ROW(),"")</f>
        <v/>
      </c>
    </row>
    <row r="1314" customFormat="false" ht="15" hidden="false" customHeight="false" outlineLevel="0" collapsed="false">
      <c r="A1314" s="50" t="s">
        <v>1601</v>
      </c>
      <c r="B1314" s="51" t="n">
        <v>45934</v>
      </c>
      <c r="C1314" s="50" t="s">
        <v>967</v>
      </c>
      <c r="D1314" s="39" t="str">
        <f aca="false">INDEX(Master_Customer!$B$2:$B$126,MATCH(C1314,Master_Customer!$A$2:$A$126,0))</f>
        <v>MAKMUR SPAREPART GEMILANG</v>
      </c>
      <c r="E1314" s="50" t="s">
        <v>32</v>
      </c>
      <c r="F1314" s="52" t="n">
        <f aca="false">SUMIFS(Data_Penjualan!$G$2:$G$5998,Data_Penjualan!$A$2:$A$5998,A1314)</f>
        <v>3999800</v>
      </c>
      <c r="G1314" s="39" t="n">
        <f aca="false">IF(E1314="KANTOR",0,INDEX(Master_Customer!$C$2:$C$126,MATCH(C1314,Master_Customer!$A$2:$A$126,0)))</f>
        <v>0</v>
      </c>
      <c r="H1314" s="53" t="n">
        <f aca="false">B1314+G1314</f>
        <v>45934</v>
      </c>
      <c r="J1314" s="39" t="str">
        <f aca="false">IF(G1314=0,"Tunai",IF(I1314="","Belum ditukar","Sudah ditukar"))</f>
        <v>Tunai</v>
      </c>
      <c r="K1314" s="54" t="n">
        <v>3999800</v>
      </c>
      <c r="L1314" s="51" t="n">
        <v>45936</v>
      </c>
      <c r="M1314" s="52" t="n">
        <f aca="false">F1314-K1314</f>
        <v>0</v>
      </c>
      <c r="N1314" s="39" t="str">
        <f aca="false">IF(M1314&lt;=0,"Lunas",IF(K1314&gt;0,"Sebagian","Belum Bayar"))</f>
        <v>Lunas</v>
      </c>
      <c r="O1314" s="39" t="n">
        <f aca="false">IF(M1314&gt;0,MAX(0,Catatan!$B$3-H1314),0)</f>
        <v>0</v>
      </c>
      <c r="P1314" s="39" t="str">
        <f aca="false">IF(M1314&lt;=0,"Lunas",IF(Catatan!$B$3&lt;=H1314,"Belum Jatuh Tempo",IF(O1314&lt;=30,"1-30 hari",IF(O1314&lt;=60,"31-60 hari",IF(O1314&lt;=90,"61-90 hari","90+ hari")))))</f>
        <v>Lunas</v>
      </c>
      <c r="Q1314" s="50"/>
      <c r="R1314" s="39" t="str">
        <f aca="false">IF(M1314&lt;=0,"",IF(O1314&gt;60,"1-Tinggi",IF(O1314&gt;30,"2-Sedang",IF(O1314&gt;0,"3-Rendah","4-Pantau"))))</f>
        <v/>
      </c>
      <c r="S1314" s="39" t="str">
        <f aca="false">IF(AND(M1314&gt;0,O1314&gt;0),O1314+M1314/1000000000000+ROW()/1000000000000000,"")</f>
        <v/>
      </c>
      <c r="T1314" s="39" t="str">
        <f aca="false">IF(J1314="Belum ditukar",ROW(),"")</f>
        <v/>
      </c>
    </row>
    <row r="1315" customFormat="false" ht="15" hidden="false" customHeight="false" outlineLevel="0" collapsed="false">
      <c r="A1315" s="50" t="s">
        <v>1602</v>
      </c>
      <c r="B1315" s="51" t="n">
        <v>45934</v>
      </c>
      <c r="C1315" s="50" t="s">
        <v>479</v>
      </c>
      <c r="D1315" s="39" t="str">
        <f aca="false">INDEX(Master_Customer!$B$2:$B$126,MATCH(C1315,Master_Customer!$A$2:$A$126,0))</f>
        <v>TIRTA TEKNIK TIRTA</v>
      </c>
      <c r="E1315" s="50" t="s">
        <v>30</v>
      </c>
      <c r="F1315" s="52" t="n">
        <f aca="false">SUMIFS(Data_Penjualan!$G$2:$G$5998,Data_Penjualan!$A$2:$A$5998,A1315)</f>
        <v>7935700</v>
      </c>
      <c r="G1315" s="39" t="n">
        <f aca="false">IF(E1315="KANTOR",0,INDEX(Master_Customer!$C$2:$C$126,MATCH(C1315,Master_Customer!$A$2:$A$126,0)))</f>
        <v>30</v>
      </c>
      <c r="H1315" s="53" t="n">
        <f aca="false">B1315+G1315</f>
        <v>45964</v>
      </c>
      <c r="I1315" s="51" t="n">
        <v>45935</v>
      </c>
      <c r="J1315" s="39" t="str">
        <f aca="false">IF(G1315=0,"Tunai",IF(I1315="","Belum ditukar","Sudah ditukar"))</f>
        <v>Sudah ditukar</v>
      </c>
      <c r="K1315" s="54" t="n">
        <v>7935700</v>
      </c>
      <c r="L1315" s="51" t="n">
        <v>45964</v>
      </c>
      <c r="M1315" s="52" t="n">
        <f aca="false">F1315-K1315</f>
        <v>0</v>
      </c>
      <c r="N1315" s="39" t="str">
        <f aca="false">IF(M1315&lt;=0,"Lunas",IF(K1315&gt;0,"Sebagian","Belum Bayar"))</f>
        <v>Lunas</v>
      </c>
      <c r="O1315" s="39" t="n">
        <f aca="false">IF(M1315&gt;0,MAX(0,Catatan!$B$3-H1315),0)</f>
        <v>0</v>
      </c>
      <c r="P1315" s="39" t="str">
        <f aca="false">IF(M1315&lt;=0,"Lunas",IF(Catatan!$B$3&lt;=H1315,"Belum Jatuh Tempo",IF(O1315&lt;=30,"1-30 hari",IF(O1315&lt;=60,"31-60 hari",IF(O1315&lt;=90,"61-90 hari","90+ hari")))))</f>
        <v>Lunas</v>
      </c>
      <c r="Q1315" s="50"/>
      <c r="R1315" s="39" t="str">
        <f aca="false">IF(M1315&lt;=0,"",IF(O1315&gt;60,"1-Tinggi",IF(O1315&gt;30,"2-Sedang",IF(O1315&gt;0,"3-Rendah","4-Pantau"))))</f>
        <v/>
      </c>
      <c r="S1315" s="39" t="str">
        <f aca="false">IF(AND(M1315&gt;0,O1315&gt;0),O1315+M1315/1000000000000+ROW()/1000000000000000,"")</f>
        <v/>
      </c>
      <c r="T1315" s="39" t="str">
        <f aca="false">IF(J1315="Belum ditukar",ROW(),"")</f>
        <v/>
      </c>
    </row>
    <row r="1316" customFormat="false" ht="15" hidden="false" customHeight="false" outlineLevel="0" collapsed="false">
      <c r="A1316" s="50" t="s">
        <v>1603</v>
      </c>
      <c r="B1316" s="51" t="n">
        <v>45934</v>
      </c>
      <c r="C1316" s="50" t="s">
        <v>218</v>
      </c>
      <c r="D1316" s="39" t="str">
        <f aca="false">INDEX(Master_Customer!$B$2:$B$126,MATCH(C1316,Master_Customer!$A$2:$A$126,0))</f>
        <v>SURYA SERVICE LANCAR</v>
      </c>
      <c r="E1316" s="50" t="s">
        <v>28</v>
      </c>
      <c r="F1316" s="52" t="n">
        <f aca="false">SUMIFS(Data_Penjualan!$G$2:$G$5998,Data_Penjualan!$A$2:$A$5998,A1316)</f>
        <v>10537800</v>
      </c>
      <c r="G1316" s="39" t="n">
        <f aca="false">IF(E1316="KANTOR",0,INDEX(Master_Customer!$C$2:$C$126,MATCH(C1316,Master_Customer!$A$2:$A$126,0)))</f>
        <v>0</v>
      </c>
      <c r="H1316" s="53" t="n">
        <f aca="false">B1316+G1316</f>
        <v>45934</v>
      </c>
      <c r="J1316" s="39" t="str">
        <f aca="false">IF(G1316=0,"Tunai",IF(I1316="","Belum ditukar","Sudah ditukar"))</f>
        <v>Tunai</v>
      </c>
      <c r="K1316" s="54" t="n">
        <v>10537800</v>
      </c>
      <c r="L1316" s="51" t="n">
        <v>45935</v>
      </c>
      <c r="M1316" s="52" t="n">
        <f aca="false">F1316-K1316</f>
        <v>0</v>
      </c>
      <c r="N1316" s="39" t="str">
        <f aca="false">IF(M1316&lt;=0,"Lunas",IF(K1316&gt;0,"Sebagian","Belum Bayar"))</f>
        <v>Lunas</v>
      </c>
      <c r="O1316" s="39" t="n">
        <f aca="false">IF(M1316&gt;0,MAX(0,Catatan!$B$3-H1316),0)</f>
        <v>0</v>
      </c>
      <c r="P1316" s="39" t="str">
        <f aca="false">IF(M1316&lt;=0,"Lunas",IF(Catatan!$B$3&lt;=H1316,"Belum Jatuh Tempo",IF(O1316&lt;=30,"1-30 hari",IF(O1316&lt;=60,"31-60 hari",IF(O1316&lt;=90,"61-90 hari","90+ hari")))))</f>
        <v>Lunas</v>
      </c>
      <c r="Q1316" s="50"/>
      <c r="R1316" s="39" t="str">
        <f aca="false">IF(M1316&lt;=0,"",IF(O1316&gt;60,"1-Tinggi",IF(O1316&gt;30,"2-Sedang",IF(O1316&gt;0,"3-Rendah","4-Pantau"))))</f>
        <v/>
      </c>
      <c r="S1316" s="39" t="str">
        <f aca="false">IF(AND(M1316&gt;0,O1316&gt;0),O1316+M1316/1000000000000+ROW()/1000000000000000,"")</f>
        <v/>
      </c>
      <c r="T1316" s="39" t="str">
        <f aca="false">IF(J1316="Belum ditukar",ROW(),"")</f>
        <v/>
      </c>
    </row>
    <row r="1317" customFormat="false" ht="15" hidden="false" customHeight="false" outlineLevel="0" collapsed="false">
      <c r="A1317" s="50" t="s">
        <v>1604</v>
      </c>
      <c r="B1317" s="51" t="n">
        <v>45934</v>
      </c>
      <c r="C1317" s="50" t="s">
        <v>447</v>
      </c>
      <c r="D1317" s="39" t="str">
        <f aca="false">INDEX(Master_Customer!$B$2:$B$126,MATCH(C1317,Master_Customer!$A$2:$A$126,0))</f>
        <v>PRIMA LUBRICANT</v>
      </c>
      <c r="E1317" s="50" t="s">
        <v>32</v>
      </c>
      <c r="F1317" s="52" t="n">
        <f aca="false">SUMIFS(Data_Penjualan!$G$2:$G$5998,Data_Penjualan!$A$2:$A$5998,A1317)</f>
        <v>7327200</v>
      </c>
      <c r="G1317" s="39" t="n">
        <f aca="false">IF(E1317="KANTOR",0,INDEX(Master_Customer!$C$2:$C$126,MATCH(C1317,Master_Customer!$A$2:$A$126,0)))</f>
        <v>0</v>
      </c>
      <c r="H1317" s="53" t="n">
        <f aca="false">B1317+G1317</f>
        <v>45934</v>
      </c>
      <c r="J1317" s="39" t="str">
        <f aca="false">IF(G1317=0,"Tunai",IF(I1317="","Belum ditukar","Sudah ditukar"))</f>
        <v>Tunai</v>
      </c>
      <c r="K1317" s="54" t="n">
        <v>7327200</v>
      </c>
      <c r="L1317" s="51" t="n">
        <v>45935</v>
      </c>
      <c r="M1317" s="52" t="n">
        <f aca="false">F1317-K1317</f>
        <v>0</v>
      </c>
      <c r="N1317" s="39" t="str">
        <f aca="false">IF(M1317&lt;=0,"Lunas",IF(K1317&gt;0,"Sebagian","Belum Bayar"))</f>
        <v>Lunas</v>
      </c>
      <c r="O1317" s="39" t="n">
        <f aca="false">IF(M1317&gt;0,MAX(0,Catatan!$B$3-H1317),0)</f>
        <v>0</v>
      </c>
      <c r="P1317" s="39" t="str">
        <f aca="false">IF(M1317&lt;=0,"Lunas",IF(Catatan!$B$3&lt;=H1317,"Belum Jatuh Tempo",IF(O1317&lt;=30,"1-30 hari",IF(O1317&lt;=60,"31-60 hari",IF(O1317&lt;=90,"61-90 hari","90+ hari")))))</f>
        <v>Lunas</v>
      </c>
      <c r="Q1317" s="50"/>
      <c r="R1317" s="39" t="str">
        <f aca="false">IF(M1317&lt;=0,"",IF(O1317&gt;60,"1-Tinggi",IF(O1317&gt;30,"2-Sedang",IF(O1317&gt;0,"3-Rendah","4-Pantau"))))</f>
        <v/>
      </c>
      <c r="S1317" s="39" t="str">
        <f aca="false">IF(AND(M1317&gt;0,O1317&gt;0),O1317+M1317/1000000000000+ROW()/1000000000000000,"")</f>
        <v/>
      </c>
      <c r="T1317" s="39" t="str">
        <f aca="false">IF(J1317="Belum ditukar",ROW(),"")</f>
        <v/>
      </c>
    </row>
    <row r="1318" customFormat="false" ht="15" hidden="false" customHeight="false" outlineLevel="0" collapsed="false">
      <c r="A1318" s="50" t="s">
        <v>1605</v>
      </c>
      <c r="B1318" s="51" t="n">
        <v>45934</v>
      </c>
      <c r="C1318" s="50" t="s">
        <v>325</v>
      </c>
      <c r="D1318" s="39" t="str">
        <f aca="false">INDEX(Master_Customer!$B$2:$B$126,MATCH(C1318,Master_Customer!$A$2:$A$126,0))</f>
        <v>KARYA TEKNIK TIRTA</v>
      </c>
      <c r="E1318" s="50" t="s">
        <v>32</v>
      </c>
      <c r="F1318" s="52" t="n">
        <f aca="false">SUMIFS(Data_Penjualan!$G$2:$G$5998,Data_Penjualan!$A$2:$A$5998,A1318)</f>
        <v>6752600</v>
      </c>
      <c r="G1318" s="39" t="n">
        <f aca="false">IF(E1318="KANTOR",0,INDEX(Master_Customer!$C$2:$C$126,MATCH(C1318,Master_Customer!$A$2:$A$126,0)))</f>
        <v>0</v>
      </c>
      <c r="H1318" s="53" t="n">
        <f aca="false">B1318+G1318</f>
        <v>45934</v>
      </c>
      <c r="J1318" s="39" t="str">
        <f aca="false">IF(G1318=0,"Tunai",IF(I1318="","Belum ditukar","Sudah ditukar"))</f>
        <v>Tunai</v>
      </c>
      <c r="K1318" s="54" t="n">
        <v>6752600</v>
      </c>
      <c r="L1318" s="51" t="n">
        <v>45934</v>
      </c>
      <c r="M1318" s="52" t="n">
        <f aca="false">F1318-K1318</f>
        <v>0</v>
      </c>
      <c r="N1318" s="39" t="str">
        <f aca="false">IF(M1318&lt;=0,"Lunas",IF(K1318&gt;0,"Sebagian","Belum Bayar"))</f>
        <v>Lunas</v>
      </c>
      <c r="O1318" s="39" t="n">
        <f aca="false">IF(M1318&gt;0,MAX(0,Catatan!$B$3-H1318),0)</f>
        <v>0</v>
      </c>
      <c r="P1318" s="39" t="str">
        <f aca="false">IF(M1318&lt;=0,"Lunas",IF(Catatan!$B$3&lt;=H1318,"Belum Jatuh Tempo",IF(O1318&lt;=30,"1-30 hari",IF(O1318&lt;=60,"31-60 hari",IF(O1318&lt;=90,"61-90 hari","90+ hari")))))</f>
        <v>Lunas</v>
      </c>
      <c r="Q1318" s="50"/>
      <c r="R1318" s="39" t="str">
        <f aca="false">IF(M1318&lt;=0,"",IF(O1318&gt;60,"1-Tinggi",IF(O1318&gt;30,"2-Sedang",IF(O1318&gt;0,"3-Rendah","4-Pantau"))))</f>
        <v/>
      </c>
      <c r="S1318" s="39" t="str">
        <f aca="false">IF(AND(M1318&gt;0,O1318&gt;0),O1318+M1318/1000000000000+ROW()/1000000000000000,"")</f>
        <v/>
      </c>
      <c r="T1318" s="39" t="str">
        <f aca="false">IF(J1318="Belum ditukar",ROW(),"")</f>
        <v/>
      </c>
    </row>
    <row r="1319" customFormat="false" ht="15" hidden="false" customHeight="false" outlineLevel="0" collapsed="false">
      <c r="A1319" s="50" t="s">
        <v>1606</v>
      </c>
      <c r="B1319" s="51" t="n">
        <v>45936</v>
      </c>
      <c r="C1319" s="50" t="s">
        <v>172</v>
      </c>
      <c r="D1319" s="39" t="str">
        <f aca="false">INDEX(Master_Customer!$B$2:$B$126,MATCH(C1319,Master_Customer!$A$2:$A$126,0))</f>
        <v>SURYA GARAGE MITRA</v>
      </c>
      <c r="E1319" s="50" t="s">
        <v>31</v>
      </c>
      <c r="F1319" s="52" t="n">
        <f aca="false">SUMIFS(Data_Penjualan!$G$2:$G$5998,Data_Penjualan!$A$2:$A$5998,A1319)</f>
        <v>4804000</v>
      </c>
      <c r="G1319" s="39" t="n">
        <f aca="false">IF(E1319="KANTOR",0,INDEX(Master_Customer!$C$2:$C$126,MATCH(C1319,Master_Customer!$A$2:$A$126,0)))</f>
        <v>30</v>
      </c>
      <c r="H1319" s="53" t="n">
        <f aca="false">B1319+G1319</f>
        <v>45966</v>
      </c>
      <c r="I1319" s="51" t="n">
        <v>45939</v>
      </c>
      <c r="J1319" s="39" t="str">
        <f aca="false">IF(G1319=0,"Tunai",IF(I1319="","Belum ditukar","Sudah ditukar"))</f>
        <v>Sudah ditukar</v>
      </c>
      <c r="K1319" s="54" t="n">
        <v>4804000</v>
      </c>
      <c r="L1319" s="51" t="n">
        <v>45959</v>
      </c>
      <c r="M1319" s="52" t="n">
        <f aca="false">F1319-K1319</f>
        <v>0</v>
      </c>
      <c r="N1319" s="39" t="str">
        <f aca="false">IF(M1319&lt;=0,"Lunas",IF(K1319&gt;0,"Sebagian","Belum Bayar"))</f>
        <v>Lunas</v>
      </c>
      <c r="O1319" s="39" t="n">
        <f aca="false">IF(M1319&gt;0,MAX(0,Catatan!$B$3-H1319),0)</f>
        <v>0</v>
      </c>
      <c r="P1319" s="39" t="str">
        <f aca="false">IF(M1319&lt;=0,"Lunas",IF(Catatan!$B$3&lt;=H1319,"Belum Jatuh Tempo",IF(O1319&lt;=30,"1-30 hari",IF(O1319&lt;=60,"31-60 hari",IF(O1319&lt;=90,"61-90 hari","90+ hari")))))</f>
        <v>Lunas</v>
      </c>
      <c r="Q1319" s="50"/>
      <c r="R1319" s="39" t="str">
        <f aca="false">IF(M1319&lt;=0,"",IF(O1319&gt;60,"1-Tinggi",IF(O1319&gt;30,"2-Sedang",IF(O1319&gt;0,"3-Rendah","4-Pantau"))))</f>
        <v/>
      </c>
      <c r="S1319" s="39" t="str">
        <f aca="false">IF(AND(M1319&gt;0,O1319&gt;0),O1319+M1319/1000000000000+ROW()/1000000000000000,"")</f>
        <v/>
      </c>
      <c r="T1319" s="39" t="str">
        <f aca="false">IF(J1319="Belum ditukar",ROW(),"")</f>
        <v/>
      </c>
    </row>
    <row r="1320" customFormat="false" ht="15" hidden="false" customHeight="false" outlineLevel="0" collapsed="false">
      <c r="A1320" s="50" t="s">
        <v>1607</v>
      </c>
      <c r="B1320" s="51" t="n">
        <v>45936</v>
      </c>
      <c r="C1320" s="50" t="s">
        <v>228</v>
      </c>
      <c r="D1320" s="39" t="str">
        <f aca="false">INDEX(Master_Customer!$B$2:$B$126,MATCH(C1320,Master_Customer!$A$2:$A$126,0))</f>
        <v>MAKMUR SERVICE JAYA</v>
      </c>
      <c r="E1320" s="50" t="s">
        <v>29</v>
      </c>
      <c r="F1320" s="52" t="n">
        <f aca="false">SUMIFS(Data_Penjualan!$G$2:$G$5998,Data_Penjualan!$A$2:$A$5998,A1320)</f>
        <v>2491700</v>
      </c>
      <c r="G1320" s="39" t="n">
        <f aca="false">IF(E1320="KANTOR",0,INDEX(Master_Customer!$C$2:$C$126,MATCH(C1320,Master_Customer!$A$2:$A$126,0)))</f>
        <v>30</v>
      </c>
      <c r="H1320" s="53" t="n">
        <f aca="false">B1320+G1320</f>
        <v>45966</v>
      </c>
      <c r="I1320" s="51" t="n">
        <v>45937</v>
      </c>
      <c r="J1320" s="39" t="str">
        <f aca="false">IF(G1320=0,"Tunai",IF(I1320="","Belum ditukar","Sudah ditukar"))</f>
        <v>Sudah ditukar</v>
      </c>
      <c r="K1320" s="54" t="n">
        <v>2491700</v>
      </c>
      <c r="L1320" s="51" t="n">
        <v>45990</v>
      </c>
      <c r="M1320" s="52" t="n">
        <f aca="false">F1320-K1320</f>
        <v>0</v>
      </c>
      <c r="N1320" s="39" t="str">
        <f aca="false">IF(M1320&lt;=0,"Lunas",IF(K1320&gt;0,"Sebagian","Belum Bayar"))</f>
        <v>Lunas</v>
      </c>
      <c r="O1320" s="39" t="n">
        <f aca="false">IF(M1320&gt;0,MAX(0,Catatan!$B$3-H1320),0)</f>
        <v>0</v>
      </c>
      <c r="P1320" s="39" t="str">
        <f aca="false">IF(M1320&lt;=0,"Lunas",IF(Catatan!$B$3&lt;=H1320,"Belum Jatuh Tempo",IF(O1320&lt;=30,"1-30 hari",IF(O1320&lt;=60,"31-60 hari",IF(O1320&lt;=90,"61-90 hari","90+ hari")))))</f>
        <v>Lunas</v>
      </c>
      <c r="Q1320" s="50"/>
      <c r="R1320" s="39" t="str">
        <f aca="false">IF(M1320&lt;=0,"",IF(O1320&gt;60,"1-Tinggi",IF(O1320&gt;30,"2-Sedang",IF(O1320&gt;0,"3-Rendah","4-Pantau"))))</f>
        <v/>
      </c>
      <c r="S1320" s="39" t="str">
        <f aca="false">IF(AND(M1320&gt;0,O1320&gt;0),O1320+M1320/1000000000000+ROW()/1000000000000000,"")</f>
        <v/>
      </c>
      <c r="T1320" s="39" t="str">
        <f aca="false">IF(J1320="Belum ditukar",ROW(),"")</f>
        <v/>
      </c>
    </row>
    <row r="1321" customFormat="false" ht="15" hidden="false" customHeight="false" outlineLevel="0" collapsed="false">
      <c r="A1321" s="50" t="s">
        <v>1608</v>
      </c>
      <c r="B1321" s="51" t="n">
        <v>45936</v>
      </c>
      <c r="C1321" s="50" t="s">
        <v>419</v>
      </c>
      <c r="D1321" s="39" t="str">
        <f aca="false">INDEX(Master_Customer!$B$2:$B$126,MATCH(C1321,Master_Customer!$A$2:$A$126,0))</f>
        <v>UTAMA MOTOR</v>
      </c>
      <c r="E1321" s="50" t="s">
        <v>32</v>
      </c>
      <c r="F1321" s="52" t="n">
        <f aca="false">SUMIFS(Data_Penjualan!$G$2:$G$5998,Data_Penjualan!$A$2:$A$5998,A1321)</f>
        <v>1880200</v>
      </c>
      <c r="G1321" s="39" t="n">
        <f aca="false">IF(E1321="KANTOR",0,INDEX(Master_Customer!$C$2:$C$126,MATCH(C1321,Master_Customer!$A$2:$A$126,0)))</f>
        <v>0</v>
      </c>
      <c r="H1321" s="53" t="n">
        <f aca="false">B1321+G1321</f>
        <v>45936</v>
      </c>
      <c r="J1321" s="39" t="str">
        <f aca="false">IF(G1321=0,"Tunai",IF(I1321="","Belum ditukar","Sudah ditukar"))</f>
        <v>Tunai</v>
      </c>
      <c r="K1321" s="54" t="n">
        <v>1880200</v>
      </c>
      <c r="L1321" s="51" t="n">
        <v>45936</v>
      </c>
      <c r="M1321" s="52" t="n">
        <f aca="false">F1321-K1321</f>
        <v>0</v>
      </c>
      <c r="N1321" s="39" t="str">
        <f aca="false">IF(M1321&lt;=0,"Lunas",IF(K1321&gt;0,"Sebagian","Belum Bayar"))</f>
        <v>Lunas</v>
      </c>
      <c r="O1321" s="39" t="n">
        <f aca="false">IF(M1321&gt;0,MAX(0,Catatan!$B$3-H1321),0)</f>
        <v>0</v>
      </c>
      <c r="P1321" s="39" t="str">
        <f aca="false">IF(M1321&lt;=0,"Lunas",IF(Catatan!$B$3&lt;=H1321,"Belum Jatuh Tempo",IF(O1321&lt;=30,"1-30 hari",IF(O1321&lt;=60,"31-60 hari",IF(O1321&lt;=90,"61-90 hari","90+ hari")))))</f>
        <v>Lunas</v>
      </c>
      <c r="Q1321" s="50"/>
      <c r="R1321" s="39" t="str">
        <f aca="false">IF(M1321&lt;=0,"",IF(O1321&gt;60,"1-Tinggi",IF(O1321&gt;30,"2-Sedang",IF(O1321&gt;0,"3-Rendah","4-Pantau"))))</f>
        <v/>
      </c>
      <c r="S1321" s="39" t="str">
        <f aca="false">IF(AND(M1321&gt;0,O1321&gt;0),O1321+M1321/1000000000000+ROW()/1000000000000000,"")</f>
        <v/>
      </c>
      <c r="T1321" s="39" t="str">
        <f aca="false">IF(J1321="Belum ditukar",ROW(),"")</f>
        <v/>
      </c>
    </row>
    <row r="1322" customFormat="false" ht="15" hidden="false" customHeight="false" outlineLevel="0" collapsed="false">
      <c r="A1322" s="50" t="s">
        <v>1609</v>
      </c>
      <c r="B1322" s="51" t="n">
        <v>45936</v>
      </c>
      <c r="C1322" s="50" t="s">
        <v>174</v>
      </c>
      <c r="D1322" s="39" t="str">
        <f aca="false">INDEX(Master_Customer!$B$2:$B$126,MATCH(C1322,Master_Customer!$A$2:$A$126,0))</f>
        <v>SUMBER TEKNIK SURYA</v>
      </c>
      <c r="E1322" s="50" t="s">
        <v>31</v>
      </c>
      <c r="F1322" s="52" t="n">
        <f aca="false">SUMIFS(Data_Penjualan!$G$2:$G$5998,Data_Penjualan!$A$2:$A$5998,A1322)</f>
        <v>14795100</v>
      </c>
      <c r="G1322" s="39" t="n">
        <f aca="false">IF(E1322="KANTOR",0,INDEX(Master_Customer!$C$2:$C$126,MATCH(C1322,Master_Customer!$A$2:$A$126,0)))</f>
        <v>30</v>
      </c>
      <c r="H1322" s="53" t="n">
        <f aca="false">B1322+G1322</f>
        <v>45966</v>
      </c>
      <c r="I1322" s="51" t="n">
        <v>45941</v>
      </c>
      <c r="J1322" s="39" t="str">
        <f aca="false">IF(G1322=0,"Tunai",IF(I1322="","Belum ditukar","Sudah ditukar"))</f>
        <v>Sudah ditukar</v>
      </c>
      <c r="K1322" s="54" t="n">
        <v>14795100</v>
      </c>
      <c r="L1322" s="51" t="n">
        <v>45959</v>
      </c>
      <c r="M1322" s="52" t="n">
        <f aca="false">F1322-K1322</f>
        <v>0</v>
      </c>
      <c r="N1322" s="39" t="str">
        <f aca="false">IF(M1322&lt;=0,"Lunas",IF(K1322&gt;0,"Sebagian","Belum Bayar"))</f>
        <v>Lunas</v>
      </c>
      <c r="O1322" s="39" t="n">
        <f aca="false">IF(M1322&gt;0,MAX(0,Catatan!$B$3-H1322),0)</f>
        <v>0</v>
      </c>
      <c r="P1322" s="39" t="str">
        <f aca="false">IF(M1322&lt;=0,"Lunas",IF(Catatan!$B$3&lt;=H1322,"Belum Jatuh Tempo",IF(O1322&lt;=30,"1-30 hari",IF(O1322&lt;=60,"31-60 hari",IF(O1322&lt;=90,"61-90 hari","90+ hari")))))</f>
        <v>Lunas</v>
      </c>
      <c r="Q1322" s="50"/>
      <c r="R1322" s="39" t="str">
        <f aca="false">IF(M1322&lt;=0,"",IF(O1322&gt;60,"1-Tinggi",IF(O1322&gt;30,"2-Sedang",IF(O1322&gt;0,"3-Rendah","4-Pantau"))))</f>
        <v/>
      </c>
      <c r="S1322" s="39" t="str">
        <f aca="false">IF(AND(M1322&gt;0,O1322&gt;0),O1322+M1322/1000000000000+ROW()/1000000000000000,"")</f>
        <v/>
      </c>
      <c r="T1322" s="39" t="str">
        <f aca="false">IF(J1322="Belum ditukar",ROW(),"")</f>
        <v/>
      </c>
    </row>
    <row r="1323" customFormat="false" ht="15" hidden="false" customHeight="false" outlineLevel="0" collapsed="false">
      <c r="A1323" s="50" t="s">
        <v>1610</v>
      </c>
      <c r="B1323" s="51" t="n">
        <v>45936</v>
      </c>
      <c r="C1323" s="50" t="s">
        <v>166</v>
      </c>
      <c r="D1323" s="39" t="str">
        <f aca="false">INDEX(Master_Customer!$B$2:$B$126,MATCH(C1323,Master_Customer!$A$2:$A$126,0))</f>
        <v>SENTOSA SERVICE</v>
      </c>
      <c r="E1323" s="50" t="s">
        <v>30</v>
      </c>
      <c r="F1323" s="52" t="n">
        <f aca="false">SUMIFS(Data_Penjualan!$G$2:$G$5998,Data_Penjualan!$A$2:$A$5998,A1323)</f>
        <v>2766700</v>
      </c>
      <c r="G1323" s="39" t="n">
        <f aca="false">IF(E1323="KANTOR",0,INDEX(Master_Customer!$C$2:$C$126,MATCH(C1323,Master_Customer!$A$2:$A$126,0)))</f>
        <v>0</v>
      </c>
      <c r="H1323" s="53" t="n">
        <f aca="false">B1323+G1323</f>
        <v>45936</v>
      </c>
      <c r="J1323" s="39" t="str">
        <f aca="false">IF(G1323=0,"Tunai",IF(I1323="","Belum ditukar","Sudah ditukar"))</f>
        <v>Tunai</v>
      </c>
      <c r="K1323" s="54" t="n">
        <v>2766700</v>
      </c>
      <c r="L1323" s="51" t="n">
        <v>45936</v>
      </c>
      <c r="M1323" s="52" t="n">
        <f aca="false">F1323-K1323</f>
        <v>0</v>
      </c>
      <c r="N1323" s="39" t="str">
        <f aca="false">IF(M1323&lt;=0,"Lunas",IF(K1323&gt;0,"Sebagian","Belum Bayar"))</f>
        <v>Lunas</v>
      </c>
      <c r="O1323" s="39" t="n">
        <f aca="false">IF(M1323&gt;0,MAX(0,Catatan!$B$3-H1323),0)</f>
        <v>0</v>
      </c>
      <c r="P1323" s="39" t="str">
        <f aca="false">IF(M1323&lt;=0,"Lunas",IF(Catatan!$B$3&lt;=H1323,"Belum Jatuh Tempo",IF(O1323&lt;=30,"1-30 hari",IF(O1323&lt;=60,"31-60 hari",IF(O1323&lt;=90,"61-90 hari","90+ hari")))))</f>
        <v>Lunas</v>
      </c>
      <c r="Q1323" s="50"/>
      <c r="R1323" s="39" t="str">
        <f aca="false">IF(M1323&lt;=0,"",IF(O1323&gt;60,"1-Tinggi",IF(O1323&gt;30,"2-Sedang",IF(O1323&gt;0,"3-Rendah","4-Pantau"))))</f>
        <v/>
      </c>
      <c r="S1323" s="39" t="str">
        <f aca="false">IF(AND(M1323&gt;0,O1323&gt;0),O1323+M1323/1000000000000+ROW()/1000000000000000,"")</f>
        <v/>
      </c>
      <c r="T1323" s="39" t="str">
        <f aca="false">IF(J1323="Belum ditukar",ROW(),"")</f>
        <v/>
      </c>
    </row>
    <row r="1324" customFormat="false" ht="15" hidden="false" customHeight="false" outlineLevel="0" collapsed="false">
      <c r="A1324" s="50" t="s">
        <v>1611</v>
      </c>
      <c r="B1324" s="51" t="n">
        <v>45937</v>
      </c>
      <c r="C1324" s="50" t="s">
        <v>298</v>
      </c>
      <c r="D1324" s="39" t="str">
        <f aca="false">INDEX(Master_Customer!$B$2:$B$126,MATCH(C1324,Master_Customer!$A$2:$A$126,0))</f>
        <v>BERKAH MOBIL MAKMUR</v>
      </c>
      <c r="E1324" s="50" t="s">
        <v>31</v>
      </c>
      <c r="F1324" s="52" t="n">
        <f aca="false">SUMIFS(Data_Penjualan!$G$2:$G$5998,Data_Penjualan!$A$2:$A$5998,A1324)</f>
        <v>5322100</v>
      </c>
      <c r="G1324" s="39" t="n">
        <f aca="false">IF(E1324="KANTOR",0,INDEX(Master_Customer!$C$2:$C$126,MATCH(C1324,Master_Customer!$A$2:$A$126,0)))</f>
        <v>14</v>
      </c>
      <c r="H1324" s="53" t="n">
        <f aca="false">B1324+G1324</f>
        <v>45951</v>
      </c>
      <c r="I1324" s="51" t="n">
        <v>45939</v>
      </c>
      <c r="J1324" s="39" t="str">
        <f aca="false">IF(G1324=0,"Tunai",IF(I1324="","Belum ditukar","Sudah ditukar"))</f>
        <v>Sudah ditukar</v>
      </c>
      <c r="K1324" s="54" t="n">
        <v>5322100</v>
      </c>
      <c r="L1324" s="51" t="n">
        <v>45973</v>
      </c>
      <c r="M1324" s="52" t="n">
        <f aca="false">F1324-K1324</f>
        <v>0</v>
      </c>
      <c r="N1324" s="39" t="str">
        <f aca="false">IF(M1324&lt;=0,"Lunas",IF(K1324&gt;0,"Sebagian","Belum Bayar"))</f>
        <v>Lunas</v>
      </c>
      <c r="O1324" s="39" t="n">
        <f aca="false">IF(M1324&gt;0,MAX(0,Catatan!$B$3-H1324),0)</f>
        <v>0</v>
      </c>
      <c r="P1324" s="39" t="str">
        <f aca="false">IF(M1324&lt;=0,"Lunas",IF(Catatan!$B$3&lt;=H1324,"Belum Jatuh Tempo",IF(O1324&lt;=30,"1-30 hari",IF(O1324&lt;=60,"31-60 hari",IF(O1324&lt;=90,"61-90 hari","90+ hari")))))</f>
        <v>Lunas</v>
      </c>
      <c r="Q1324" s="50"/>
      <c r="R1324" s="39" t="str">
        <f aca="false">IF(M1324&lt;=0,"",IF(O1324&gt;60,"1-Tinggi",IF(O1324&gt;30,"2-Sedang",IF(O1324&gt;0,"3-Rendah","4-Pantau"))))</f>
        <v/>
      </c>
      <c r="S1324" s="39" t="str">
        <f aca="false">IF(AND(M1324&gt;0,O1324&gt;0),O1324+M1324/1000000000000+ROW()/1000000000000000,"")</f>
        <v/>
      </c>
      <c r="T1324" s="39" t="str">
        <f aca="false">IF(J1324="Belum ditukar",ROW(),"")</f>
        <v/>
      </c>
    </row>
    <row r="1325" customFormat="false" ht="15" hidden="false" customHeight="false" outlineLevel="0" collapsed="false">
      <c r="A1325" s="50" t="s">
        <v>1612</v>
      </c>
      <c r="B1325" s="51" t="n">
        <v>45937</v>
      </c>
      <c r="C1325" s="50" t="s">
        <v>286</v>
      </c>
      <c r="D1325" s="39" t="str">
        <f aca="false">INDEX(Master_Customer!$B$2:$B$126,MATCH(C1325,Master_Customer!$A$2:$A$126,0))</f>
        <v>CAHAYA AUTO</v>
      </c>
      <c r="E1325" s="50" t="s">
        <v>29</v>
      </c>
      <c r="F1325" s="52" t="n">
        <f aca="false">SUMIFS(Data_Penjualan!$G$2:$G$5998,Data_Penjualan!$A$2:$A$5998,A1325)</f>
        <v>10249800</v>
      </c>
      <c r="G1325" s="39" t="n">
        <f aca="false">IF(E1325="KANTOR",0,INDEX(Master_Customer!$C$2:$C$126,MATCH(C1325,Master_Customer!$A$2:$A$126,0)))</f>
        <v>0</v>
      </c>
      <c r="H1325" s="53" t="n">
        <f aca="false">B1325+G1325</f>
        <v>45937</v>
      </c>
      <c r="J1325" s="39" t="str">
        <f aca="false">IF(G1325=0,"Tunai",IF(I1325="","Belum ditukar","Sudah ditukar"))</f>
        <v>Tunai</v>
      </c>
      <c r="K1325" s="54" t="n">
        <v>10249800</v>
      </c>
      <c r="L1325" s="51" t="n">
        <v>45937</v>
      </c>
      <c r="M1325" s="52" t="n">
        <f aca="false">F1325-K1325</f>
        <v>0</v>
      </c>
      <c r="N1325" s="39" t="str">
        <f aca="false">IF(M1325&lt;=0,"Lunas",IF(K1325&gt;0,"Sebagian","Belum Bayar"))</f>
        <v>Lunas</v>
      </c>
      <c r="O1325" s="39" t="n">
        <f aca="false">IF(M1325&gt;0,MAX(0,Catatan!$B$3-H1325),0)</f>
        <v>0</v>
      </c>
      <c r="P1325" s="39" t="str">
        <f aca="false">IF(M1325&lt;=0,"Lunas",IF(Catatan!$B$3&lt;=H1325,"Belum Jatuh Tempo",IF(O1325&lt;=30,"1-30 hari",IF(O1325&lt;=60,"31-60 hari",IF(O1325&lt;=90,"61-90 hari","90+ hari")))))</f>
        <v>Lunas</v>
      </c>
      <c r="Q1325" s="50"/>
      <c r="R1325" s="39" t="str">
        <f aca="false">IF(M1325&lt;=0,"",IF(O1325&gt;60,"1-Tinggi",IF(O1325&gt;30,"2-Sedang",IF(O1325&gt;0,"3-Rendah","4-Pantau"))))</f>
        <v/>
      </c>
      <c r="S1325" s="39" t="str">
        <f aca="false">IF(AND(M1325&gt;0,O1325&gt;0),O1325+M1325/1000000000000+ROW()/1000000000000000,"")</f>
        <v/>
      </c>
      <c r="T1325" s="39" t="str">
        <f aca="false">IF(J1325="Belum ditukar",ROW(),"")</f>
        <v/>
      </c>
    </row>
    <row r="1326" customFormat="false" ht="15" hidden="false" customHeight="false" outlineLevel="0" collapsed="false">
      <c r="A1326" s="50" t="s">
        <v>1613</v>
      </c>
      <c r="B1326" s="51" t="n">
        <v>45937</v>
      </c>
      <c r="C1326" s="50" t="s">
        <v>778</v>
      </c>
      <c r="D1326" s="39" t="str">
        <f aca="false">INDEX(Master_Customer!$B$2:$B$126,MATCH(C1326,Master_Customer!$A$2:$A$126,0))</f>
        <v>BINTANG SERVICE MULIA</v>
      </c>
      <c r="E1326" s="50" t="s">
        <v>32</v>
      </c>
      <c r="F1326" s="52" t="n">
        <f aca="false">SUMIFS(Data_Penjualan!$G$2:$G$5998,Data_Penjualan!$A$2:$A$5998,A1326)</f>
        <v>13764700</v>
      </c>
      <c r="G1326" s="39" t="n">
        <f aca="false">IF(E1326="KANTOR",0,INDEX(Master_Customer!$C$2:$C$126,MATCH(C1326,Master_Customer!$A$2:$A$126,0)))</f>
        <v>0</v>
      </c>
      <c r="H1326" s="53" t="n">
        <f aca="false">B1326+G1326</f>
        <v>45937</v>
      </c>
      <c r="J1326" s="39" t="str">
        <f aca="false">IF(G1326=0,"Tunai",IF(I1326="","Belum ditukar","Sudah ditukar"))</f>
        <v>Tunai</v>
      </c>
      <c r="K1326" s="54" t="n">
        <v>13764700</v>
      </c>
      <c r="L1326" s="51" t="n">
        <v>45937</v>
      </c>
      <c r="M1326" s="52" t="n">
        <f aca="false">F1326-K1326</f>
        <v>0</v>
      </c>
      <c r="N1326" s="39" t="str">
        <f aca="false">IF(M1326&lt;=0,"Lunas",IF(K1326&gt;0,"Sebagian","Belum Bayar"))</f>
        <v>Lunas</v>
      </c>
      <c r="O1326" s="39" t="n">
        <f aca="false">IF(M1326&gt;0,MAX(0,Catatan!$B$3-H1326),0)</f>
        <v>0</v>
      </c>
      <c r="P1326" s="39" t="str">
        <f aca="false">IF(M1326&lt;=0,"Lunas",IF(Catatan!$B$3&lt;=H1326,"Belum Jatuh Tempo",IF(O1326&lt;=30,"1-30 hari",IF(O1326&lt;=60,"31-60 hari",IF(O1326&lt;=90,"61-90 hari","90+ hari")))))</f>
        <v>Lunas</v>
      </c>
      <c r="Q1326" s="50"/>
      <c r="R1326" s="39" t="str">
        <f aca="false">IF(M1326&lt;=0,"",IF(O1326&gt;60,"1-Tinggi",IF(O1326&gt;30,"2-Sedang",IF(O1326&gt;0,"3-Rendah","4-Pantau"))))</f>
        <v/>
      </c>
      <c r="S1326" s="39" t="str">
        <f aca="false">IF(AND(M1326&gt;0,O1326&gt;0),O1326+M1326/1000000000000+ROW()/1000000000000000,"")</f>
        <v/>
      </c>
      <c r="T1326" s="39" t="str">
        <f aca="false">IF(J1326="Belum ditukar",ROW(),"")</f>
        <v/>
      </c>
    </row>
    <row r="1327" customFormat="false" ht="15" hidden="false" customHeight="false" outlineLevel="0" collapsed="false">
      <c r="A1327" s="50" t="s">
        <v>1614</v>
      </c>
      <c r="B1327" s="51" t="n">
        <v>45937</v>
      </c>
      <c r="C1327" s="50" t="s">
        <v>186</v>
      </c>
      <c r="D1327" s="39" t="str">
        <f aca="false">INDEX(Master_Customer!$B$2:$B$126,MATCH(C1327,Master_Customer!$A$2:$A$126,0))</f>
        <v>MULIA SPAREPART</v>
      </c>
      <c r="E1327" s="50" t="s">
        <v>32</v>
      </c>
      <c r="F1327" s="52" t="n">
        <f aca="false">SUMIFS(Data_Penjualan!$G$2:$G$5998,Data_Penjualan!$A$2:$A$5998,A1327)</f>
        <v>3369400</v>
      </c>
      <c r="G1327" s="39" t="n">
        <f aca="false">IF(E1327="KANTOR",0,INDEX(Master_Customer!$C$2:$C$126,MATCH(C1327,Master_Customer!$A$2:$A$126,0)))</f>
        <v>0</v>
      </c>
      <c r="H1327" s="53" t="n">
        <f aca="false">B1327+G1327</f>
        <v>45937</v>
      </c>
      <c r="J1327" s="39" t="str">
        <f aca="false">IF(G1327=0,"Tunai",IF(I1327="","Belum ditukar","Sudah ditukar"))</f>
        <v>Tunai</v>
      </c>
      <c r="K1327" s="54" t="n">
        <v>3369400</v>
      </c>
      <c r="L1327" s="51" t="n">
        <v>45937</v>
      </c>
      <c r="M1327" s="52" t="n">
        <f aca="false">F1327-K1327</f>
        <v>0</v>
      </c>
      <c r="N1327" s="39" t="str">
        <f aca="false">IF(M1327&lt;=0,"Lunas",IF(K1327&gt;0,"Sebagian","Belum Bayar"))</f>
        <v>Lunas</v>
      </c>
      <c r="O1327" s="39" t="n">
        <f aca="false">IF(M1327&gt;0,MAX(0,Catatan!$B$3-H1327),0)</f>
        <v>0</v>
      </c>
      <c r="P1327" s="39" t="str">
        <f aca="false">IF(M1327&lt;=0,"Lunas",IF(Catatan!$B$3&lt;=H1327,"Belum Jatuh Tempo",IF(O1327&lt;=30,"1-30 hari",IF(O1327&lt;=60,"31-60 hari",IF(O1327&lt;=90,"61-90 hari","90+ hari")))))</f>
        <v>Lunas</v>
      </c>
      <c r="Q1327" s="50"/>
      <c r="R1327" s="39" t="str">
        <f aca="false">IF(M1327&lt;=0,"",IF(O1327&gt;60,"1-Tinggi",IF(O1327&gt;30,"2-Sedang",IF(O1327&gt;0,"3-Rendah","4-Pantau"))))</f>
        <v/>
      </c>
      <c r="S1327" s="39" t="str">
        <f aca="false">IF(AND(M1327&gt;0,O1327&gt;0),O1327+M1327/1000000000000+ROW()/1000000000000000,"")</f>
        <v/>
      </c>
      <c r="T1327" s="39" t="str">
        <f aca="false">IF(J1327="Belum ditukar",ROW(),"")</f>
        <v/>
      </c>
    </row>
    <row r="1328" customFormat="false" ht="15" hidden="false" customHeight="false" outlineLevel="0" collapsed="false">
      <c r="A1328" s="50" t="s">
        <v>1615</v>
      </c>
      <c r="B1328" s="51" t="n">
        <v>45937</v>
      </c>
      <c r="C1328" s="50" t="s">
        <v>523</v>
      </c>
      <c r="D1328" s="39" t="str">
        <f aca="false">INDEX(Master_Customer!$B$2:$B$126,MATCH(C1328,Master_Customer!$A$2:$A$126,0))</f>
        <v>PRIMA OLI MAKMUR</v>
      </c>
      <c r="E1328" s="50" t="s">
        <v>30</v>
      </c>
      <c r="F1328" s="52" t="n">
        <f aca="false">SUMIFS(Data_Penjualan!$G$2:$G$5998,Data_Penjualan!$A$2:$A$5998,A1328)</f>
        <v>4760100</v>
      </c>
      <c r="G1328" s="39" t="n">
        <f aca="false">IF(E1328="KANTOR",0,INDEX(Master_Customer!$C$2:$C$126,MATCH(C1328,Master_Customer!$A$2:$A$126,0)))</f>
        <v>45</v>
      </c>
      <c r="H1328" s="53" t="n">
        <f aca="false">B1328+G1328</f>
        <v>45982</v>
      </c>
      <c r="I1328" s="51" t="n">
        <v>45938</v>
      </c>
      <c r="J1328" s="39" t="str">
        <f aca="false">IF(G1328=0,"Tunai",IF(I1328="","Belum ditukar","Sudah ditukar"))</f>
        <v>Sudah ditukar</v>
      </c>
      <c r="K1328" s="54" t="n">
        <v>2372100</v>
      </c>
      <c r="L1328" s="51" t="n">
        <v>45990</v>
      </c>
      <c r="M1328" s="52" t="n">
        <f aca="false">F1328-K1328</f>
        <v>2388000</v>
      </c>
      <c r="N1328" s="39" t="str">
        <f aca="false">IF(M1328&lt;=0,"Lunas",IF(K1328&gt;0,"Sebagian","Belum Bayar"))</f>
        <v>Sebagian</v>
      </c>
      <c r="O1328" s="39" t="n">
        <f aca="false">IF(M1328&gt;0,MAX(0,Catatan!$B$3-H1328),0)</f>
        <v>40</v>
      </c>
      <c r="P1328" s="39" t="str">
        <f aca="false">IF(M1328&lt;=0,"Lunas",IF(Catatan!$B$3&lt;=H1328,"Belum Jatuh Tempo",IF(O1328&lt;=30,"1-30 hari",IF(O1328&lt;=60,"31-60 hari",IF(O1328&lt;=90,"61-90 hari","90+ hari")))))</f>
        <v>31-60 hari</v>
      </c>
      <c r="Q1328" s="50" t="s">
        <v>712</v>
      </c>
      <c r="R1328" s="39" t="str">
        <f aca="false">IF(M1328&lt;=0,"",IF(O1328&gt;60,"1-Tinggi",IF(O1328&gt;30,"2-Sedang",IF(O1328&gt;0,"3-Rendah","4-Pantau"))))</f>
        <v>2-Sedang</v>
      </c>
      <c r="S1328" s="39" t="n">
        <f aca="false">IF(AND(M1328&gt;0,O1328&gt;0),O1328+M1328/1000000000000+ROW()/1000000000000000,"")</f>
        <v>40.0000023880013</v>
      </c>
      <c r="T1328" s="39" t="str">
        <f aca="false">IF(J1328="Belum ditukar",ROW(),"")</f>
        <v/>
      </c>
    </row>
    <row r="1329" customFormat="false" ht="15" hidden="false" customHeight="false" outlineLevel="0" collapsed="false">
      <c r="A1329" s="50" t="s">
        <v>1616</v>
      </c>
      <c r="B1329" s="51" t="n">
        <v>45937</v>
      </c>
      <c r="C1329" s="50" t="s">
        <v>382</v>
      </c>
      <c r="D1329" s="39" t="str">
        <f aca="false">INDEX(Master_Customer!$B$2:$B$126,MATCH(C1329,Master_Customer!$A$2:$A$126,0))</f>
        <v>BERKAH SPAREPART</v>
      </c>
      <c r="E1329" s="50" t="s">
        <v>29</v>
      </c>
      <c r="F1329" s="52" t="n">
        <f aca="false">SUMIFS(Data_Penjualan!$G$2:$G$5998,Data_Penjualan!$A$2:$A$5998,A1329)</f>
        <v>13355400</v>
      </c>
      <c r="G1329" s="39" t="n">
        <f aca="false">IF(E1329="KANTOR",0,INDEX(Master_Customer!$C$2:$C$126,MATCH(C1329,Master_Customer!$A$2:$A$126,0)))</f>
        <v>30</v>
      </c>
      <c r="H1329" s="53" t="n">
        <f aca="false">B1329+G1329</f>
        <v>45967</v>
      </c>
      <c r="I1329" s="51" t="n">
        <v>45940</v>
      </c>
      <c r="J1329" s="39" t="str">
        <f aca="false">IF(G1329=0,"Tunai",IF(I1329="","Belum ditukar","Sudah ditukar"))</f>
        <v>Sudah ditukar</v>
      </c>
      <c r="K1329" s="54" t="n">
        <v>0</v>
      </c>
      <c r="M1329" s="52" t="n">
        <f aca="false">F1329-K1329</f>
        <v>13355400</v>
      </c>
      <c r="N1329" s="39" t="str">
        <f aca="false">IF(M1329&lt;=0,"Lunas",IF(K1329&gt;0,"Sebagian","Belum Bayar"))</f>
        <v>Belum Bayar</v>
      </c>
      <c r="O1329" s="39" t="n">
        <f aca="false">IF(M1329&gt;0,MAX(0,Catatan!$B$3-H1329),0)</f>
        <v>55</v>
      </c>
      <c r="P1329" s="39" t="str">
        <f aca="false">IF(M1329&lt;=0,"Lunas",IF(Catatan!$B$3&lt;=H1329,"Belum Jatuh Tempo",IF(O1329&lt;=30,"1-30 hari",IF(O1329&lt;=60,"31-60 hari",IF(O1329&lt;=90,"61-90 hari","90+ hari")))))</f>
        <v>31-60 hari</v>
      </c>
      <c r="Q1329" s="50" t="s">
        <v>1426</v>
      </c>
      <c r="R1329" s="39" t="str">
        <f aca="false">IF(M1329&lt;=0,"",IF(O1329&gt;60,"1-Tinggi",IF(O1329&gt;30,"2-Sedang",IF(O1329&gt;0,"3-Rendah","4-Pantau"))))</f>
        <v>2-Sedang</v>
      </c>
      <c r="S1329" s="39" t="n">
        <f aca="false">IF(AND(M1329&gt;0,O1329&gt;0),O1329+M1329/1000000000000+ROW()/1000000000000000,"")</f>
        <v>55.0000133554013</v>
      </c>
      <c r="T1329" s="39" t="str">
        <f aca="false">IF(J1329="Belum ditukar",ROW(),"")</f>
        <v/>
      </c>
    </row>
    <row r="1330" customFormat="false" ht="15" hidden="false" customHeight="false" outlineLevel="0" collapsed="false">
      <c r="A1330" s="50" t="s">
        <v>1617</v>
      </c>
      <c r="B1330" s="51" t="n">
        <v>45938</v>
      </c>
      <c r="C1330" s="50" t="s">
        <v>329</v>
      </c>
      <c r="D1330" s="39" t="str">
        <f aca="false">INDEX(Master_Customer!$B$2:$B$126,MATCH(C1330,Master_Customer!$A$2:$A$126,0))</f>
        <v>MAKMUR OLI</v>
      </c>
      <c r="E1330" s="50" t="s">
        <v>28</v>
      </c>
      <c r="F1330" s="52" t="n">
        <f aca="false">SUMIFS(Data_Penjualan!$G$2:$G$5998,Data_Penjualan!$A$2:$A$5998,A1330)</f>
        <v>5545600</v>
      </c>
      <c r="G1330" s="39" t="n">
        <f aca="false">IF(E1330="KANTOR",0,INDEX(Master_Customer!$C$2:$C$126,MATCH(C1330,Master_Customer!$A$2:$A$126,0)))</f>
        <v>45</v>
      </c>
      <c r="H1330" s="53" t="n">
        <f aca="false">B1330+G1330</f>
        <v>45983</v>
      </c>
      <c r="I1330" s="51" t="n">
        <v>45939</v>
      </c>
      <c r="J1330" s="39" t="str">
        <f aca="false">IF(G1330=0,"Tunai",IF(I1330="","Belum ditukar","Sudah ditukar"))</f>
        <v>Sudah ditukar</v>
      </c>
      <c r="K1330" s="54" t="n">
        <v>5545600</v>
      </c>
      <c r="L1330" s="51" t="n">
        <v>46010</v>
      </c>
      <c r="M1330" s="52" t="n">
        <f aca="false">F1330-K1330</f>
        <v>0</v>
      </c>
      <c r="N1330" s="39" t="str">
        <f aca="false">IF(M1330&lt;=0,"Lunas",IF(K1330&gt;0,"Sebagian","Belum Bayar"))</f>
        <v>Lunas</v>
      </c>
      <c r="O1330" s="39" t="n">
        <f aca="false">IF(M1330&gt;0,MAX(0,Catatan!$B$3-H1330),0)</f>
        <v>0</v>
      </c>
      <c r="P1330" s="39" t="str">
        <f aca="false">IF(M1330&lt;=0,"Lunas",IF(Catatan!$B$3&lt;=H1330,"Belum Jatuh Tempo",IF(O1330&lt;=30,"1-30 hari",IF(O1330&lt;=60,"31-60 hari",IF(O1330&lt;=90,"61-90 hari","90+ hari")))))</f>
        <v>Lunas</v>
      </c>
      <c r="Q1330" s="50"/>
      <c r="R1330" s="39" t="str">
        <f aca="false">IF(M1330&lt;=0,"",IF(O1330&gt;60,"1-Tinggi",IF(O1330&gt;30,"2-Sedang",IF(O1330&gt;0,"3-Rendah","4-Pantau"))))</f>
        <v/>
      </c>
      <c r="S1330" s="39" t="str">
        <f aca="false">IF(AND(M1330&gt;0,O1330&gt;0),O1330+M1330/1000000000000+ROW()/1000000000000000,"")</f>
        <v/>
      </c>
      <c r="T1330" s="39" t="str">
        <f aca="false">IF(J1330="Belum ditukar",ROW(),"")</f>
        <v/>
      </c>
    </row>
    <row r="1331" customFormat="false" ht="15" hidden="false" customHeight="false" outlineLevel="0" collapsed="false">
      <c r="A1331" s="50" t="s">
        <v>1618</v>
      </c>
      <c r="B1331" s="51" t="n">
        <v>45938</v>
      </c>
      <c r="C1331" s="50" t="s">
        <v>211</v>
      </c>
      <c r="D1331" s="39" t="str">
        <f aca="false">INDEX(Master_Customer!$B$2:$B$126,MATCH(C1331,Master_Customer!$A$2:$A$126,0))</f>
        <v>PRIMA MOBIL</v>
      </c>
      <c r="E1331" s="50" t="s">
        <v>32</v>
      </c>
      <c r="F1331" s="52" t="n">
        <f aca="false">SUMIFS(Data_Penjualan!$G$2:$G$5998,Data_Penjualan!$A$2:$A$5998,A1331)</f>
        <v>6271100</v>
      </c>
      <c r="G1331" s="39" t="n">
        <f aca="false">IF(E1331="KANTOR",0,INDEX(Master_Customer!$C$2:$C$126,MATCH(C1331,Master_Customer!$A$2:$A$126,0)))</f>
        <v>0</v>
      </c>
      <c r="H1331" s="53" t="n">
        <f aca="false">B1331+G1331</f>
        <v>45938</v>
      </c>
      <c r="J1331" s="39" t="str">
        <f aca="false">IF(G1331=0,"Tunai",IF(I1331="","Belum ditukar","Sudah ditukar"))</f>
        <v>Tunai</v>
      </c>
      <c r="K1331" s="54" t="n">
        <v>6271100</v>
      </c>
      <c r="L1331" s="51" t="n">
        <v>45938</v>
      </c>
      <c r="M1331" s="52" t="n">
        <f aca="false">F1331-K1331</f>
        <v>0</v>
      </c>
      <c r="N1331" s="39" t="str">
        <f aca="false">IF(M1331&lt;=0,"Lunas",IF(K1331&gt;0,"Sebagian","Belum Bayar"))</f>
        <v>Lunas</v>
      </c>
      <c r="O1331" s="39" t="n">
        <f aca="false">IF(M1331&gt;0,MAX(0,Catatan!$B$3-H1331),0)</f>
        <v>0</v>
      </c>
      <c r="P1331" s="39" t="str">
        <f aca="false">IF(M1331&lt;=0,"Lunas",IF(Catatan!$B$3&lt;=H1331,"Belum Jatuh Tempo",IF(O1331&lt;=30,"1-30 hari",IF(O1331&lt;=60,"31-60 hari",IF(O1331&lt;=90,"61-90 hari","90+ hari")))))</f>
        <v>Lunas</v>
      </c>
      <c r="Q1331" s="50"/>
      <c r="R1331" s="39" t="str">
        <f aca="false">IF(M1331&lt;=0,"",IF(O1331&gt;60,"1-Tinggi",IF(O1331&gt;30,"2-Sedang",IF(O1331&gt;0,"3-Rendah","4-Pantau"))))</f>
        <v/>
      </c>
      <c r="S1331" s="39" t="str">
        <f aca="false">IF(AND(M1331&gt;0,O1331&gt;0),O1331+M1331/1000000000000+ROW()/1000000000000000,"")</f>
        <v/>
      </c>
      <c r="T1331" s="39" t="str">
        <f aca="false">IF(J1331="Belum ditukar",ROW(),"")</f>
        <v/>
      </c>
    </row>
    <row r="1332" customFormat="false" ht="15" hidden="false" customHeight="false" outlineLevel="0" collapsed="false">
      <c r="A1332" s="50" t="s">
        <v>1619</v>
      </c>
      <c r="B1332" s="51" t="n">
        <v>45938</v>
      </c>
      <c r="C1332" s="50" t="s">
        <v>261</v>
      </c>
      <c r="D1332" s="39" t="str">
        <f aca="false">INDEX(Master_Customer!$B$2:$B$126,MATCH(C1332,Master_Customer!$A$2:$A$126,0))</f>
        <v>SUMBER MOTOR UTAMA</v>
      </c>
      <c r="E1332" s="50" t="s">
        <v>32</v>
      </c>
      <c r="F1332" s="52" t="n">
        <f aca="false">SUMIFS(Data_Penjualan!$G$2:$G$5998,Data_Penjualan!$A$2:$A$5998,A1332)</f>
        <v>12921700</v>
      </c>
      <c r="G1332" s="39" t="n">
        <f aca="false">IF(E1332="KANTOR",0,INDEX(Master_Customer!$C$2:$C$126,MATCH(C1332,Master_Customer!$A$2:$A$126,0)))</f>
        <v>0</v>
      </c>
      <c r="H1332" s="53" t="n">
        <f aca="false">B1332+G1332</f>
        <v>45938</v>
      </c>
      <c r="J1332" s="39" t="str">
        <f aca="false">IF(G1332=0,"Tunai",IF(I1332="","Belum ditukar","Sudah ditukar"))</f>
        <v>Tunai</v>
      </c>
      <c r="K1332" s="54" t="n">
        <v>12921700</v>
      </c>
      <c r="L1332" s="51" t="n">
        <v>45938</v>
      </c>
      <c r="M1332" s="52" t="n">
        <f aca="false">F1332-K1332</f>
        <v>0</v>
      </c>
      <c r="N1332" s="39" t="str">
        <f aca="false">IF(M1332&lt;=0,"Lunas",IF(K1332&gt;0,"Sebagian","Belum Bayar"))</f>
        <v>Lunas</v>
      </c>
      <c r="O1332" s="39" t="n">
        <f aca="false">IF(M1332&gt;0,MAX(0,Catatan!$B$3-H1332),0)</f>
        <v>0</v>
      </c>
      <c r="P1332" s="39" t="str">
        <f aca="false">IF(M1332&lt;=0,"Lunas",IF(Catatan!$B$3&lt;=H1332,"Belum Jatuh Tempo",IF(O1332&lt;=30,"1-30 hari",IF(O1332&lt;=60,"31-60 hari",IF(O1332&lt;=90,"61-90 hari","90+ hari")))))</f>
        <v>Lunas</v>
      </c>
      <c r="Q1332" s="50"/>
      <c r="R1332" s="39" t="str">
        <f aca="false">IF(M1332&lt;=0,"",IF(O1332&gt;60,"1-Tinggi",IF(O1332&gt;30,"2-Sedang",IF(O1332&gt;0,"3-Rendah","4-Pantau"))))</f>
        <v/>
      </c>
      <c r="S1332" s="39" t="str">
        <f aca="false">IF(AND(M1332&gt;0,O1332&gt;0),O1332+M1332/1000000000000+ROW()/1000000000000000,"")</f>
        <v/>
      </c>
      <c r="T1332" s="39" t="str">
        <f aca="false">IF(J1332="Belum ditukar",ROW(),"")</f>
        <v/>
      </c>
    </row>
    <row r="1333" customFormat="false" ht="15" hidden="false" customHeight="false" outlineLevel="0" collapsed="false">
      <c r="A1333" s="50" t="s">
        <v>1620</v>
      </c>
      <c r="B1333" s="51" t="n">
        <v>45938</v>
      </c>
      <c r="C1333" s="50" t="s">
        <v>284</v>
      </c>
      <c r="D1333" s="39" t="str">
        <f aca="false">INDEX(Master_Customer!$B$2:$B$126,MATCH(C1333,Master_Customer!$A$2:$A$126,0))</f>
        <v>CAHAYA SPAREPART</v>
      </c>
      <c r="E1333" s="50" t="s">
        <v>32</v>
      </c>
      <c r="F1333" s="52" t="n">
        <f aca="false">SUMIFS(Data_Penjualan!$G$2:$G$5998,Data_Penjualan!$A$2:$A$5998,A1333)</f>
        <v>8926300</v>
      </c>
      <c r="G1333" s="39" t="n">
        <f aca="false">IF(E1333="KANTOR",0,INDEX(Master_Customer!$C$2:$C$126,MATCH(C1333,Master_Customer!$A$2:$A$126,0)))</f>
        <v>0</v>
      </c>
      <c r="H1333" s="53" t="n">
        <f aca="false">B1333+G1333</f>
        <v>45938</v>
      </c>
      <c r="J1333" s="39" t="str">
        <f aca="false">IF(G1333=0,"Tunai",IF(I1333="","Belum ditukar","Sudah ditukar"))</f>
        <v>Tunai</v>
      </c>
      <c r="K1333" s="54" t="n">
        <v>8926300</v>
      </c>
      <c r="L1333" s="51" t="n">
        <v>45938</v>
      </c>
      <c r="M1333" s="52" t="n">
        <f aca="false">F1333-K1333</f>
        <v>0</v>
      </c>
      <c r="N1333" s="39" t="str">
        <f aca="false">IF(M1333&lt;=0,"Lunas",IF(K1333&gt;0,"Sebagian","Belum Bayar"))</f>
        <v>Lunas</v>
      </c>
      <c r="O1333" s="39" t="n">
        <f aca="false">IF(M1333&gt;0,MAX(0,Catatan!$B$3-H1333),0)</f>
        <v>0</v>
      </c>
      <c r="P1333" s="39" t="str">
        <f aca="false">IF(M1333&lt;=0,"Lunas",IF(Catatan!$B$3&lt;=H1333,"Belum Jatuh Tempo",IF(O1333&lt;=30,"1-30 hari",IF(O1333&lt;=60,"31-60 hari",IF(O1333&lt;=90,"61-90 hari","90+ hari")))))</f>
        <v>Lunas</v>
      </c>
      <c r="Q1333" s="50"/>
      <c r="R1333" s="39" t="str">
        <f aca="false">IF(M1333&lt;=0,"",IF(O1333&gt;60,"1-Tinggi",IF(O1333&gt;30,"2-Sedang",IF(O1333&gt;0,"3-Rendah","4-Pantau"))))</f>
        <v/>
      </c>
      <c r="S1333" s="39" t="str">
        <f aca="false">IF(AND(M1333&gt;0,O1333&gt;0),O1333+M1333/1000000000000+ROW()/1000000000000000,"")</f>
        <v/>
      </c>
      <c r="T1333" s="39" t="str">
        <f aca="false">IF(J1333="Belum ditukar",ROW(),"")</f>
        <v/>
      </c>
    </row>
    <row r="1334" customFormat="false" ht="15" hidden="false" customHeight="false" outlineLevel="0" collapsed="false">
      <c r="A1334" s="50" t="s">
        <v>1621</v>
      </c>
      <c r="B1334" s="51" t="n">
        <v>45938</v>
      </c>
      <c r="C1334" s="50" t="s">
        <v>174</v>
      </c>
      <c r="D1334" s="39" t="str">
        <f aca="false">INDEX(Master_Customer!$B$2:$B$126,MATCH(C1334,Master_Customer!$A$2:$A$126,0))</f>
        <v>SUMBER TEKNIK SURYA</v>
      </c>
      <c r="E1334" s="50" t="s">
        <v>31</v>
      </c>
      <c r="F1334" s="52" t="n">
        <f aca="false">SUMIFS(Data_Penjualan!$G$2:$G$5998,Data_Penjualan!$A$2:$A$5998,A1334)</f>
        <v>1470600</v>
      </c>
      <c r="G1334" s="39" t="n">
        <f aca="false">IF(E1334="KANTOR",0,INDEX(Master_Customer!$C$2:$C$126,MATCH(C1334,Master_Customer!$A$2:$A$126,0)))</f>
        <v>30</v>
      </c>
      <c r="H1334" s="53" t="n">
        <f aca="false">B1334+G1334</f>
        <v>45968</v>
      </c>
      <c r="I1334" s="51" t="n">
        <v>45939</v>
      </c>
      <c r="J1334" s="39" t="str">
        <f aca="false">IF(G1334=0,"Tunai",IF(I1334="","Belum ditukar","Sudah ditukar"))</f>
        <v>Sudah ditukar</v>
      </c>
      <c r="K1334" s="54" t="n">
        <v>1470600</v>
      </c>
      <c r="L1334" s="51" t="n">
        <v>45964</v>
      </c>
      <c r="M1334" s="52" t="n">
        <f aca="false">F1334-K1334</f>
        <v>0</v>
      </c>
      <c r="N1334" s="39" t="str">
        <f aca="false">IF(M1334&lt;=0,"Lunas",IF(K1334&gt;0,"Sebagian","Belum Bayar"))</f>
        <v>Lunas</v>
      </c>
      <c r="O1334" s="39" t="n">
        <f aca="false">IF(M1334&gt;0,MAX(0,Catatan!$B$3-H1334),0)</f>
        <v>0</v>
      </c>
      <c r="P1334" s="39" t="str">
        <f aca="false">IF(M1334&lt;=0,"Lunas",IF(Catatan!$B$3&lt;=H1334,"Belum Jatuh Tempo",IF(O1334&lt;=30,"1-30 hari",IF(O1334&lt;=60,"31-60 hari",IF(O1334&lt;=90,"61-90 hari","90+ hari")))))</f>
        <v>Lunas</v>
      </c>
      <c r="Q1334" s="50"/>
      <c r="R1334" s="39" t="str">
        <f aca="false">IF(M1334&lt;=0,"",IF(O1334&gt;60,"1-Tinggi",IF(O1334&gt;30,"2-Sedang",IF(O1334&gt;0,"3-Rendah","4-Pantau"))))</f>
        <v/>
      </c>
      <c r="S1334" s="39" t="str">
        <f aca="false">IF(AND(M1334&gt;0,O1334&gt;0),O1334+M1334/1000000000000+ROW()/1000000000000000,"")</f>
        <v/>
      </c>
      <c r="T1334" s="39" t="str">
        <f aca="false">IF(J1334="Belum ditukar",ROW(),"")</f>
        <v/>
      </c>
    </row>
    <row r="1335" customFormat="false" ht="15" hidden="false" customHeight="false" outlineLevel="0" collapsed="false">
      <c r="A1335" s="50" t="s">
        <v>1622</v>
      </c>
      <c r="B1335" s="51" t="n">
        <v>45939</v>
      </c>
      <c r="C1335" s="50" t="s">
        <v>203</v>
      </c>
      <c r="D1335" s="39" t="str">
        <f aca="false">INDEX(Master_Customer!$B$2:$B$126,MATCH(C1335,Master_Customer!$A$2:$A$126,0))</f>
        <v>BINTANG TEKNIK</v>
      </c>
      <c r="E1335" s="50" t="s">
        <v>32</v>
      </c>
      <c r="F1335" s="52" t="n">
        <f aca="false">SUMIFS(Data_Penjualan!$G$2:$G$5998,Data_Penjualan!$A$2:$A$5998,A1335)</f>
        <v>3232200</v>
      </c>
      <c r="G1335" s="39" t="n">
        <f aca="false">IF(E1335="KANTOR",0,INDEX(Master_Customer!$C$2:$C$126,MATCH(C1335,Master_Customer!$A$2:$A$126,0)))</f>
        <v>0</v>
      </c>
      <c r="H1335" s="53" t="n">
        <f aca="false">B1335+G1335</f>
        <v>45939</v>
      </c>
      <c r="J1335" s="39" t="str">
        <f aca="false">IF(G1335=0,"Tunai",IF(I1335="","Belum ditukar","Sudah ditukar"))</f>
        <v>Tunai</v>
      </c>
      <c r="K1335" s="54" t="n">
        <v>3232200</v>
      </c>
      <c r="L1335" s="51" t="n">
        <v>45940</v>
      </c>
      <c r="M1335" s="52" t="n">
        <f aca="false">F1335-K1335</f>
        <v>0</v>
      </c>
      <c r="N1335" s="39" t="str">
        <f aca="false">IF(M1335&lt;=0,"Lunas",IF(K1335&gt;0,"Sebagian","Belum Bayar"))</f>
        <v>Lunas</v>
      </c>
      <c r="O1335" s="39" t="n">
        <f aca="false">IF(M1335&gt;0,MAX(0,Catatan!$B$3-H1335),0)</f>
        <v>0</v>
      </c>
      <c r="P1335" s="39" t="str">
        <f aca="false">IF(M1335&lt;=0,"Lunas",IF(Catatan!$B$3&lt;=H1335,"Belum Jatuh Tempo",IF(O1335&lt;=30,"1-30 hari",IF(O1335&lt;=60,"31-60 hari",IF(O1335&lt;=90,"61-90 hari","90+ hari")))))</f>
        <v>Lunas</v>
      </c>
      <c r="Q1335" s="50"/>
      <c r="R1335" s="39" t="str">
        <f aca="false">IF(M1335&lt;=0,"",IF(O1335&gt;60,"1-Tinggi",IF(O1335&gt;30,"2-Sedang",IF(O1335&gt;0,"3-Rendah","4-Pantau"))))</f>
        <v/>
      </c>
      <c r="S1335" s="39" t="str">
        <f aca="false">IF(AND(M1335&gt;0,O1335&gt;0),O1335+M1335/1000000000000+ROW()/1000000000000000,"")</f>
        <v/>
      </c>
      <c r="T1335" s="39" t="str">
        <f aca="false">IF(J1335="Belum ditukar",ROW(),"")</f>
        <v/>
      </c>
    </row>
    <row r="1336" customFormat="false" ht="15" hidden="false" customHeight="false" outlineLevel="0" collapsed="false">
      <c r="A1336" s="50" t="s">
        <v>1623</v>
      </c>
      <c r="B1336" s="51" t="n">
        <v>45939</v>
      </c>
      <c r="C1336" s="50" t="s">
        <v>463</v>
      </c>
      <c r="D1336" s="39" t="str">
        <f aca="false">INDEX(Master_Customer!$B$2:$B$126,MATCH(C1336,Master_Customer!$A$2:$A$126,0))</f>
        <v>UTAMA TEKNIK ABADI</v>
      </c>
      <c r="E1336" s="50" t="s">
        <v>30</v>
      </c>
      <c r="F1336" s="52" t="n">
        <f aca="false">SUMIFS(Data_Penjualan!$G$2:$G$5998,Data_Penjualan!$A$2:$A$5998,A1336)</f>
        <v>4768600</v>
      </c>
      <c r="G1336" s="39" t="n">
        <f aca="false">IF(E1336="KANTOR",0,INDEX(Master_Customer!$C$2:$C$126,MATCH(C1336,Master_Customer!$A$2:$A$126,0)))</f>
        <v>30</v>
      </c>
      <c r="H1336" s="53" t="n">
        <f aca="false">B1336+G1336</f>
        <v>45969</v>
      </c>
      <c r="I1336" s="51" t="n">
        <v>45944</v>
      </c>
      <c r="J1336" s="39" t="str">
        <f aca="false">IF(G1336=0,"Tunai",IF(I1336="","Belum ditukar","Sudah ditukar"))</f>
        <v>Sudah ditukar</v>
      </c>
      <c r="K1336" s="54" t="n">
        <v>4768600</v>
      </c>
      <c r="L1336" s="51" t="n">
        <v>45962</v>
      </c>
      <c r="M1336" s="52" t="n">
        <f aca="false">F1336-K1336</f>
        <v>0</v>
      </c>
      <c r="N1336" s="39" t="str">
        <f aca="false">IF(M1336&lt;=0,"Lunas",IF(K1336&gt;0,"Sebagian","Belum Bayar"))</f>
        <v>Lunas</v>
      </c>
      <c r="O1336" s="39" t="n">
        <f aca="false">IF(M1336&gt;0,MAX(0,Catatan!$B$3-H1336),0)</f>
        <v>0</v>
      </c>
      <c r="P1336" s="39" t="str">
        <f aca="false">IF(M1336&lt;=0,"Lunas",IF(Catatan!$B$3&lt;=H1336,"Belum Jatuh Tempo",IF(O1336&lt;=30,"1-30 hari",IF(O1336&lt;=60,"31-60 hari",IF(O1336&lt;=90,"61-90 hari","90+ hari")))))</f>
        <v>Lunas</v>
      </c>
      <c r="Q1336" s="50"/>
      <c r="R1336" s="39" t="str">
        <f aca="false">IF(M1336&lt;=0,"",IF(O1336&gt;60,"1-Tinggi",IF(O1336&gt;30,"2-Sedang",IF(O1336&gt;0,"3-Rendah","4-Pantau"))))</f>
        <v/>
      </c>
      <c r="S1336" s="39" t="str">
        <f aca="false">IF(AND(M1336&gt;0,O1336&gt;0),O1336+M1336/1000000000000+ROW()/1000000000000000,"")</f>
        <v/>
      </c>
      <c r="T1336" s="39" t="str">
        <f aca="false">IF(J1336="Belum ditukar",ROW(),"")</f>
        <v/>
      </c>
    </row>
    <row r="1337" customFormat="false" ht="15" hidden="false" customHeight="false" outlineLevel="0" collapsed="false">
      <c r="A1337" s="50" t="s">
        <v>1624</v>
      </c>
      <c r="B1337" s="51" t="n">
        <v>45939</v>
      </c>
      <c r="C1337" s="50" t="s">
        <v>666</v>
      </c>
      <c r="D1337" s="39" t="str">
        <f aca="false">INDEX(Master_Customer!$B$2:$B$126,MATCH(C1337,Master_Customer!$A$2:$A$126,0))</f>
        <v>SUMBER MOTOR</v>
      </c>
      <c r="E1337" s="50" t="s">
        <v>30</v>
      </c>
      <c r="F1337" s="52" t="n">
        <f aca="false">SUMIFS(Data_Penjualan!$G$2:$G$5998,Data_Penjualan!$A$2:$A$5998,A1337)</f>
        <v>13516800</v>
      </c>
      <c r="G1337" s="39" t="n">
        <f aca="false">IF(E1337="KANTOR",0,INDEX(Master_Customer!$C$2:$C$126,MATCH(C1337,Master_Customer!$A$2:$A$126,0)))</f>
        <v>30</v>
      </c>
      <c r="H1337" s="53" t="n">
        <f aca="false">B1337+G1337</f>
        <v>45969</v>
      </c>
      <c r="I1337" s="51" t="n">
        <v>45941</v>
      </c>
      <c r="J1337" s="39" t="str">
        <f aca="false">IF(G1337=0,"Tunai",IF(I1337="","Belum ditukar","Sudah ditukar"))</f>
        <v>Sudah ditukar</v>
      </c>
      <c r="K1337" s="54" t="n">
        <v>13516800</v>
      </c>
      <c r="L1337" s="51" t="n">
        <v>45966</v>
      </c>
      <c r="M1337" s="52" t="n">
        <f aca="false">F1337-K1337</f>
        <v>0</v>
      </c>
      <c r="N1337" s="39" t="str">
        <f aca="false">IF(M1337&lt;=0,"Lunas",IF(K1337&gt;0,"Sebagian","Belum Bayar"))</f>
        <v>Lunas</v>
      </c>
      <c r="O1337" s="39" t="n">
        <f aca="false">IF(M1337&gt;0,MAX(0,Catatan!$B$3-H1337),0)</f>
        <v>0</v>
      </c>
      <c r="P1337" s="39" t="str">
        <f aca="false">IF(M1337&lt;=0,"Lunas",IF(Catatan!$B$3&lt;=H1337,"Belum Jatuh Tempo",IF(O1337&lt;=30,"1-30 hari",IF(O1337&lt;=60,"31-60 hari",IF(O1337&lt;=90,"61-90 hari","90+ hari")))))</f>
        <v>Lunas</v>
      </c>
      <c r="Q1337" s="50"/>
      <c r="R1337" s="39" t="str">
        <f aca="false">IF(M1337&lt;=0,"",IF(O1337&gt;60,"1-Tinggi",IF(O1337&gt;30,"2-Sedang",IF(O1337&gt;0,"3-Rendah","4-Pantau"))))</f>
        <v/>
      </c>
      <c r="S1337" s="39" t="str">
        <f aca="false">IF(AND(M1337&gt;0,O1337&gt;0),O1337+M1337/1000000000000+ROW()/1000000000000000,"")</f>
        <v/>
      </c>
      <c r="T1337" s="39" t="str">
        <f aca="false">IF(J1337="Belum ditukar",ROW(),"")</f>
        <v/>
      </c>
    </row>
    <row r="1338" customFormat="false" ht="15" hidden="false" customHeight="false" outlineLevel="0" collapsed="false">
      <c r="A1338" s="50" t="s">
        <v>1625</v>
      </c>
      <c r="B1338" s="51" t="n">
        <v>45939</v>
      </c>
      <c r="C1338" s="50" t="s">
        <v>540</v>
      </c>
      <c r="D1338" s="39" t="str">
        <f aca="false">INDEX(Master_Customer!$B$2:$B$126,MATCH(C1338,Master_Customer!$A$2:$A$126,0))</f>
        <v>SURYA MOBIL</v>
      </c>
      <c r="E1338" s="50" t="s">
        <v>31</v>
      </c>
      <c r="F1338" s="52" t="n">
        <f aca="false">SUMIFS(Data_Penjualan!$G$2:$G$5998,Data_Penjualan!$A$2:$A$5998,A1338)</f>
        <v>10310900</v>
      </c>
      <c r="G1338" s="39" t="n">
        <f aca="false">IF(E1338="KANTOR",0,INDEX(Master_Customer!$C$2:$C$126,MATCH(C1338,Master_Customer!$A$2:$A$126,0)))</f>
        <v>30</v>
      </c>
      <c r="H1338" s="53" t="n">
        <f aca="false">B1338+G1338</f>
        <v>45969</v>
      </c>
      <c r="I1338" s="51" t="n">
        <v>45941</v>
      </c>
      <c r="J1338" s="39" t="str">
        <f aca="false">IF(G1338=0,"Tunai",IF(I1338="","Belum ditukar","Sudah ditukar"))</f>
        <v>Sudah ditukar</v>
      </c>
      <c r="K1338" s="54" t="n">
        <v>10310900</v>
      </c>
      <c r="L1338" s="51" t="n">
        <v>45996</v>
      </c>
      <c r="M1338" s="52" t="n">
        <f aca="false">F1338-K1338</f>
        <v>0</v>
      </c>
      <c r="N1338" s="39" t="str">
        <f aca="false">IF(M1338&lt;=0,"Lunas",IF(K1338&gt;0,"Sebagian","Belum Bayar"))</f>
        <v>Lunas</v>
      </c>
      <c r="O1338" s="39" t="n">
        <f aca="false">IF(M1338&gt;0,MAX(0,Catatan!$B$3-H1338),0)</f>
        <v>0</v>
      </c>
      <c r="P1338" s="39" t="str">
        <f aca="false">IF(M1338&lt;=0,"Lunas",IF(Catatan!$B$3&lt;=H1338,"Belum Jatuh Tempo",IF(O1338&lt;=30,"1-30 hari",IF(O1338&lt;=60,"31-60 hari",IF(O1338&lt;=90,"61-90 hari","90+ hari")))))</f>
        <v>Lunas</v>
      </c>
      <c r="Q1338" s="50"/>
      <c r="R1338" s="39" t="str">
        <f aca="false">IF(M1338&lt;=0,"",IF(O1338&gt;60,"1-Tinggi",IF(O1338&gt;30,"2-Sedang",IF(O1338&gt;0,"3-Rendah","4-Pantau"))))</f>
        <v/>
      </c>
      <c r="S1338" s="39" t="str">
        <f aca="false">IF(AND(M1338&gt;0,O1338&gt;0),O1338+M1338/1000000000000+ROW()/1000000000000000,"")</f>
        <v/>
      </c>
      <c r="T1338" s="39" t="str">
        <f aca="false">IF(J1338="Belum ditukar",ROW(),"")</f>
        <v/>
      </c>
    </row>
    <row r="1339" customFormat="false" ht="15" hidden="false" customHeight="false" outlineLevel="0" collapsed="false">
      <c r="A1339" s="50" t="s">
        <v>1626</v>
      </c>
      <c r="B1339" s="51" t="n">
        <v>45940</v>
      </c>
      <c r="C1339" s="50" t="s">
        <v>249</v>
      </c>
      <c r="D1339" s="39" t="str">
        <f aca="false">INDEX(Master_Customer!$B$2:$B$126,MATCH(C1339,Master_Customer!$A$2:$A$126,0))</f>
        <v>SENTOSA MOTOR</v>
      </c>
      <c r="E1339" s="50" t="s">
        <v>31</v>
      </c>
      <c r="F1339" s="52" t="n">
        <f aca="false">SUMIFS(Data_Penjualan!$G$2:$G$5998,Data_Penjualan!$A$2:$A$5998,A1339)</f>
        <v>5161400</v>
      </c>
      <c r="G1339" s="39" t="n">
        <f aca="false">IF(E1339="KANTOR",0,INDEX(Master_Customer!$C$2:$C$126,MATCH(C1339,Master_Customer!$A$2:$A$126,0)))</f>
        <v>45</v>
      </c>
      <c r="H1339" s="53" t="n">
        <f aca="false">B1339+G1339</f>
        <v>45985</v>
      </c>
      <c r="I1339" s="51" t="n">
        <v>45944</v>
      </c>
      <c r="J1339" s="39" t="str">
        <f aca="false">IF(G1339=0,"Tunai",IF(I1339="","Belum ditukar","Sudah ditukar"))</f>
        <v>Sudah ditukar</v>
      </c>
      <c r="K1339" s="54" t="n">
        <v>5161400</v>
      </c>
      <c r="L1339" s="51" t="n">
        <v>46003</v>
      </c>
      <c r="M1339" s="52" t="n">
        <f aca="false">F1339-K1339</f>
        <v>0</v>
      </c>
      <c r="N1339" s="39" t="str">
        <f aca="false">IF(M1339&lt;=0,"Lunas",IF(K1339&gt;0,"Sebagian","Belum Bayar"))</f>
        <v>Lunas</v>
      </c>
      <c r="O1339" s="39" t="n">
        <f aca="false">IF(M1339&gt;0,MAX(0,Catatan!$B$3-H1339),0)</f>
        <v>0</v>
      </c>
      <c r="P1339" s="39" t="str">
        <f aca="false">IF(M1339&lt;=0,"Lunas",IF(Catatan!$B$3&lt;=H1339,"Belum Jatuh Tempo",IF(O1339&lt;=30,"1-30 hari",IF(O1339&lt;=60,"31-60 hari",IF(O1339&lt;=90,"61-90 hari","90+ hari")))))</f>
        <v>Lunas</v>
      </c>
      <c r="Q1339" s="50"/>
      <c r="R1339" s="39" t="str">
        <f aca="false">IF(M1339&lt;=0,"",IF(O1339&gt;60,"1-Tinggi",IF(O1339&gt;30,"2-Sedang",IF(O1339&gt;0,"3-Rendah","4-Pantau"))))</f>
        <v/>
      </c>
      <c r="S1339" s="39" t="str">
        <f aca="false">IF(AND(M1339&gt;0,O1339&gt;0),O1339+M1339/1000000000000+ROW()/1000000000000000,"")</f>
        <v/>
      </c>
      <c r="T1339" s="39" t="str">
        <f aca="false">IF(J1339="Belum ditukar",ROW(),"")</f>
        <v/>
      </c>
    </row>
    <row r="1340" customFormat="false" ht="15" hidden="false" customHeight="false" outlineLevel="0" collapsed="false">
      <c r="A1340" s="50" t="s">
        <v>1627</v>
      </c>
      <c r="B1340" s="51" t="n">
        <v>45940</v>
      </c>
      <c r="C1340" s="50" t="s">
        <v>766</v>
      </c>
      <c r="D1340" s="39" t="str">
        <f aca="false">INDEX(Master_Customer!$B$2:$B$126,MATCH(C1340,Master_Customer!$A$2:$A$126,0))</f>
        <v>TIRTA SPAREPART BINTANG</v>
      </c>
      <c r="E1340" s="50" t="s">
        <v>29</v>
      </c>
      <c r="F1340" s="52" t="n">
        <f aca="false">SUMIFS(Data_Penjualan!$G$2:$G$5998,Data_Penjualan!$A$2:$A$5998,A1340)</f>
        <v>12186300</v>
      </c>
      <c r="G1340" s="39" t="n">
        <f aca="false">IF(E1340="KANTOR",0,INDEX(Master_Customer!$C$2:$C$126,MATCH(C1340,Master_Customer!$A$2:$A$126,0)))</f>
        <v>30</v>
      </c>
      <c r="H1340" s="53" t="n">
        <f aca="false">B1340+G1340</f>
        <v>45970</v>
      </c>
      <c r="I1340" s="51" t="n">
        <v>45943</v>
      </c>
      <c r="J1340" s="39" t="str">
        <f aca="false">IF(G1340=0,"Tunai",IF(I1340="","Belum ditukar","Sudah ditukar"))</f>
        <v>Sudah ditukar</v>
      </c>
      <c r="K1340" s="54" t="n">
        <v>12186300</v>
      </c>
      <c r="L1340" s="51" t="n">
        <v>45973</v>
      </c>
      <c r="M1340" s="52" t="n">
        <f aca="false">F1340-K1340</f>
        <v>0</v>
      </c>
      <c r="N1340" s="39" t="str">
        <f aca="false">IF(M1340&lt;=0,"Lunas",IF(K1340&gt;0,"Sebagian","Belum Bayar"))</f>
        <v>Lunas</v>
      </c>
      <c r="O1340" s="39" t="n">
        <f aca="false">IF(M1340&gt;0,MAX(0,Catatan!$B$3-H1340),0)</f>
        <v>0</v>
      </c>
      <c r="P1340" s="39" t="str">
        <f aca="false">IF(M1340&lt;=0,"Lunas",IF(Catatan!$B$3&lt;=H1340,"Belum Jatuh Tempo",IF(O1340&lt;=30,"1-30 hari",IF(O1340&lt;=60,"31-60 hari",IF(O1340&lt;=90,"61-90 hari","90+ hari")))))</f>
        <v>Lunas</v>
      </c>
      <c r="Q1340" s="50"/>
      <c r="R1340" s="39" t="str">
        <f aca="false">IF(M1340&lt;=0,"",IF(O1340&gt;60,"1-Tinggi",IF(O1340&gt;30,"2-Sedang",IF(O1340&gt;0,"3-Rendah","4-Pantau"))))</f>
        <v/>
      </c>
      <c r="S1340" s="39" t="str">
        <f aca="false">IF(AND(M1340&gt;0,O1340&gt;0),O1340+M1340/1000000000000+ROW()/1000000000000000,"")</f>
        <v/>
      </c>
      <c r="T1340" s="39" t="str">
        <f aca="false">IF(J1340="Belum ditukar",ROW(),"")</f>
        <v/>
      </c>
    </row>
    <row r="1341" customFormat="false" ht="15" hidden="false" customHeight="false" outlineLevel="0" collapsed="false">
      <c r="A1341" s="50" t="s">
        <v>1628</v>
      </c>
      <c r="B1341" s="51" t="n">
        <v>45940</v>
      </c>
      <c r="C1341" s="50" t="s">
        <v>230</v>
      </c>
      <c r="D1341" s="39" t="str">
        <f aca="false">INDEX(Master_Customer!$B$2:$B$126,MATCH(C1341,Master_Customer!$A$2:$A$126,0))</f>
        <v>BINTANG MOBIL JAYA</v>
      </c>
      <c r="E1341" s="50" t="s">
        <v>28</v>
      </c>
      <c r="F1341" s="52" t="n">
        <f aca="false">SUMIFS(Data_Penjualan!$G$2:$G$5998,Data_Penjualan!$A$2:$A$5998,A1341)</f>
        <v>8388100</v>
      </c>
      <c r="G1341" s="39" t="n">
        <f aca="false">IF(E1341="KANTOR",0,INDEX(Master_Customer!$C$2:$C$126,MATCH(C1341,Master_Customer!$A$2:$A$126,0)))</f>
        <v>45</v>
      </c>
      <c r="H1341" s="53" t="n">
        <f aca="false">B1341+G1341</f>
        <v>45985</v>
      </c>
      <c r="I1341" s="51" t="n">
        <v>45943</v>
      </c>
      <c r="J1341" s="39" t="str">
        <f aca="false">IF(G1341=0,"Tunai",IF(I1341="","Belum ditukar","Sudah ditukar"))</f>
        <v>Sudah ditukar</v>
      </c>
      <c r="K1341" s="54" t="n">
        <v>8388100</v>
      </c>
      <c r="L1341" s="51" t="n">
        <v>45990</v>
      </c>
      <c r="M1341" s="52" t="n">
        <f aca="false">F1341-K1341</f>
        <v>0</v>
      </c>
      <c r="N1341" s="39" t="str">
        <f aca="false">IF(M1341&lt;=0,"Lunas",IF(K1341&gt;0,"Sebagian","Belum Bayar"))</f>
        <v>Lunas</v>
      </c>
      <c r="O1341" s="39" t="n">
        <f aca="false">IF(M1341&gt;0,MAX(0,Catatan!$B$3-H1341),0)</f>
        <v>0</v>
      </c>
      <c r="P1341" s="39" t="str">
        <f aca="false">IF(M1341&lt;=0,"Lunas",IF(Catatan!$B$3&lt;=H1341,"Belum Jatuh Tempo",IF(O1341&lt;=30,"1-30 hari",IF(O1341&lt;=60,"31-60 hari",IF(O1341&lt;=90,"61-90 hari","90+ hari")))))</f>
        <v>Lunas</v>
      </c>
      <c r="Q1341" s="50"/>
      <c r="R1341" s="39" t="str">
        <f aca="false">IF(M1341&lt;=0,"",IF(O1341&gt;60,"1-Tinggi",IF(O1341&gt;30,"2-Sedang",IF(O1341&gt;0,"3-Rendah","4-Pantau"))))</f>
        <v/>
      </c>
      <c r="S1341" s="39" t="str">
        <f aca="false">IF(AND(M1341&gt;0,O1341&gt;0),O1341+M1341/1000000000000+ROW()/1000000000000000,"")</f>
        <v/>
      </c>
      <c r="T1341" s="39" t="str">
        <f aca="false">IF(J1341="Belum ditukar",ROW(),"")</f>
        <v/>
      </c>
    </row>
    <row r="1342" customFormat="false" ht="15" hidden="false" customHeight="false" outlineLevel="0" collapsed="false">
      <c r="A1342" s="50" t="s">
        <v>1629</v>
      </c>
      <c r="B1342" s="51" t="n">
        <v>45940</v>
      </c>
      <c r="C1342" s="50" t="s">
        <v>419</v>
      </c>
      <c r="D1342" s="39" t="str">
        <f aca="false">INDEX(Master_Customer!$B$2:$B$126,MATCH(C1342,Master_Customer!$A$2:$A$126,0))</f>
        <v>UTAMA MOTOR</v>
      </c>
      <c r="E1342" s="50" t="s">
        <v>30</v>
      </c>
      <c r="F1342" s="52" t="n">
        <f aca="false">SUMIFS(Data_Penjualan!$G$2:$G$5998,Data_Penjualan!$A$2:$A$5998,A1342)</f>
        <v>25192800</v>
      </c>
      <c r="G1342" s="39" t="n">
        <f aca="false">IF(E1342="KANTOR",0,INDEX(Master_Customer!$C$2:$C$126,MATCH(C1342,Master_Customer!$A$2:$A$126,0)))</f>
        <v>14</v>
      </c>
      <c r="H1342" s="53" t="n">
        <f aca="false">B1342+G1342</f>
        <v>45954</v>
      </c>
      <c r="I1342" s="51" t="n">
        <v>45943</v>
      </c>
      <c r="J1342" s="39" t="str">
        <f aca="false">IF(G1342=0,"Tunai",IF(I1342="","Belum ditukar","Sudah ditukar"))</f>
        <v>Sudah ditukar</v>
      </c>
      <c r="K1342" s="54" t="n">
        <v>25192800</v>
      </c>
      <c r="L1342" s="51" t="n">
        <v>45948</v>
      </c>
      <c r="M1342" s="52" t="n">
        <f aca="false">F1342-K1342</f>
        <v>0</v>
      </c>
      <c r="N1342" s="39" t="str">
        <f aca="false">IF(M1342&lt;=0,"Lunas",IF(K1342&gt;0,"Sebagian","Belum Bayar"))</f>
        <v>Lunas</v>
      </c>
      <c r="O1342" s="39" t="n">
        <f aca="false">IF(M1342&gt;0,MAX(0,Catatan!$B$3-H1342),0)</f>
        <v>0</v>
      </c>
      <c r="P1342" s="39" t="str">
        <f aca="false">IF(M1342&lt;=0,"Lunas",IF(Catatan!$B$3&lt;=H1342,"Belum Jatuh Tempo",IF(O1342&lt;=30,"1-30 hari",IF(O1342&lt;=60,"31-60 hari",IF(O1342&lt;=90,"61-90 hari","90+ hari")))))</f>
        <v>Lunas</v>
      </c>
      <c r="Q1342" s="50"/>
      <c r="R1342" s="39" t="str">
        <f aca="false">IF(M1342&lt;=0,"",IF(O1342&gt;60,"1-Tinggi",IF(O1342&gt;30,"2-Sedang",IF(O1342&gt;0,"3-Rendah","4-Pantau"))))</f>
        <v/>
      </c>
      <c r="S1342" s="39" t="str">
        <f aca="false">IF(AND(M1342&gt;0,O1342&gt;0),O1342+M1342/1000000000000+ROW()/1000000000000000,"")</f>
        <v/>
      </c>
      <c r="T1342" s="39" t="str">
        <f aca="false">IF(J1342="Belum ditukar",ROW(),"")</f>
        <v/>
      </c>
    </row>
    <row r="1343" customFormat="false" ht="15" hidden="false" customHeight="false" outlineLevel="0" collapsed="false">
      <c r="A1343" s="50" t="s">
        <v>1630</v>
      </c>
      <c r="B1343" s="51" t="n">
        <v>45940</v>
      </c>
      <c r="C1343" s="50" t="s">
        <v>566</v>
      </c>
      <c r="D1343" s="39" t="str">
        <f aca="false">INDEX(Master_Customer!$B$2:$B$126,MATCH(C1343,Master_Customer!$A$2:$A$126,0))</f>
        <v>UTAMA OLI SUMBER</v>
      </c>
      <c r="E1343" s="50" t="s">
        <v>28</v>
      </c>
      <c r="F1343" s="52" t="n">
        <f aca="false">SUMIFS(Data_Penjualan!$G$2:$G$5998,Data_Penjualan!$A$2:$A$5998,A1343)</f>
        <v>8575900</v>
      </c>
      <c r="G1343" s="39" t="n">
        <f aca="false">IF(E1343="KANTOR",0,INDEX(Master_Customer!$C$2:$C$126,MATCH(C1343,Master_Customer!$A$2:$A$126,0)))</f>
        <v>14</v>
      </c>
      <c r="H1343" s="53" t="n">
        <f aca="false">B1343+G1343</f>
        <v>45954</v>
      </c>
      <c r="I1343" s="51" t="n">
        <v>45943</v>
      </c>
      <c r="J1343" s="39" t="str">
        <f aca="false">IF(G1343=0,"Tunai",IF(I1343="","Belum ditukar","Sudah ditukar"))</f>
        <v>Sudah ditukar</v>
      </c>
      <c r="K1343" s="54" t="n">
        <v>8575900</v>
      </c>
      <c r="L1343" s="51" t="n">
        <v>45961</v>
      </c>
      <c r="M1343" s="52" t="n">
        <f aca="false">F1343-K1343</f>
        <v>0</v>
      </c>
      <c r="N1343" s="39" t="str">
        <f aca="false">IF(M1343&lt;=0,"Lunas",IF(K1343&gt;0,"Sebagian","Belum Bayar"))</f>
        <v>Lunas</v>
      </c>
      <c r="O1343" s="39" t="n">
        <f aca="false">IF(M1343&gt;0,MAX(0,Catatan!$B$3-H1343),0)</f>
        <v>0</v>
      </c>
      <c r="P1343" s="39" t="str">
        <f aca="false">IF(M1343&lt;=0,"Lunas",IF(Catatan!$B$3&lt;=H1343,"Belum Jatuh Tempo",IF(O1343&lt;=30,"1-30 hari",IF(O1343&lt;=60,"31-60 hari",IF(O1343&lt;=90,"61-90 hari","90+ hari")))))</f>
        <v>Lunas</v>
      </c>
      <c r="Q1343" s="50"/>
      <c r="R1343" s="39" t="str">
        <f aca="false">IF(M1343&lt;=0,"",IF(O1343&gt;60,"1-Tinggi",IF(O1343&gt;30,"2-Sedang",IF(O1343&gt;0,"3-Rendah","4-Pantau"))))</f>
        <v/>
      </c>
      <c r="S1343" s="39" t="str">
        <f aca="false">IF(AND(M1343&gt;0,O1343&gt;0),O1343+M1343/1000000000000+ROW()/1000000000000000,"")</f>
        <v/>
      </c>
      <c r="T1343" s="39" t="str">
        <f aca="false">IF(J1343="Belum ditukar",ROW(),"")</f>
        <v/>
      </c>
    </row>
    <row r="1344" customFormat="false" ht="15" hidden="false" customHeight="false" outlineLevel="0" collapsed="false">
      <c r="A1344" s="50" t="s">
        <v>1631</v>
      </c>
      <c r="B1344" s="51" t="n">
        <v>45941</v>
      </c>
      <c r="C1344" s="50" t="s">
        <v>430</v>
      </c>
      <c r="D1344" s="39" t="str">
        <f aca="false">INDEX(Master_Customer!$B$2:$B$126,MATCH(C1344,Master_Customer!$A$2:$A$126,0))</f>
        <v>TIRTA MOBIL</v>
      </c>
      <c r="E1344" s="50" t="s">
        <v>28</v>
      </c>
      <c r="F1344" s="52" t="n">
        <f aca="false">SUMIFS(Data_Penjualan!$G$2:$G$5998,Data_Penjualan!$A$2:$A$5998,A1344)</f>
        <v>10878800</v>
      </c>
      <c r="G1344" s="39" t="n">
        <f aca="false">IF(E1344="KANTOR",0,INDEX(Master_Customer!$C$2:$C$126,MATCH(C1344,Master_Customer!$A$2:$A$126,0)))</f>
        <v>30</v>
      </c>
      <c r="H1344" s="53" t="n">
        <f aca="false">B1344+G1344</f>
        <v>45971</v>
      </c>
      <c r="I1344" s="51" t="n">
        <v>45942</v>
      </c>
      <c r="J1344" s="39" t="str">
        <f aca="false">IF(G1344=0,"Tunai",IF(I1344="","Belum ditukar","Sudah ditukar"))</f>
        <v>Sudah ditukar</v>
      </c>
      <c r="K1344" s="54" t="n">
        <v>10878800</v>
      </c>
      <c r="L1344" s="51" t="n">
        <v>45964</v>
      </c>
      <c r="M1344" s="52" t="n">
        <f aca="false">F1344-K1344</f>
        <v>0</v>
      </c>
      <c r="N1344" s="39" t="str">
        <f aca="false">IF(M1344&lt;=0,"Lunas",IF(K1344&gt;0,"Sebagian","Belum Bayar"))</f>
        <v>Lunas</v>
      </c>
      <c r="O1344" s="39" t="n">
        <f aca="false">IF(M1344&gt;0,MAX(0,Catatan!$B$3-H1344),0)</f>
        <v>0</v>
      </c>
      <c r="P1344" s="39" t="str">
        <f aca="false">IF(M1344&lt;=0,"Lunas",IF(Catatan!$B$3&lt;=H1344,"Belum Jatuh Tempo",IF(O1344&lt;=30,"1-30 hari",IF(O1344&lt;=60,"31-60 hari",IF(O1344&lt;=90,"61-90 hari","90+ hari")))))</f>
        <v>Lunas</v>
      </c>
      <c r="Q1344" s="50"/>
      <c r="R1344" s="39" t="str">
        <f aca="false">IF(M1344&lt;=0,"",IF(O1344&gt;60,"1-Tinggi",IF(O1344&gt;30,"2-Sedang",IF(O1344&gt;0,"3-Rendah","4-Pantau"))))</f>
        <v/>
      </c>
      <c r="S1344" s="39" t="str">
        <f aca="false">IF(AND(M1344&gt;0,O1344&gt;0),O1344+M1344/1000000000000+ROW()/1000000000000000,"")</f>
        <v/>
      </c>
      <c r="T1344" s="39" t="str">
        <f aca="false">IF(J1344="Belum ditukar",ROW(),"")</f>
        <v/>
      </c>
    </row>
    <row r="1345" customFormat="false" ht="15" hidden="false" customHeight="false" outlineLevel="0" collapsed="false">
      <c r="A1345" s="50" t="s">
        <v>1632</v>
      </c>
      <c r="B1345" s="51" t="n">
        <v>45941</v>
      </c>
      <c r="C1345" s="50" t="s">
        <v>174</v>
      </c>
      <c r="D1345" s="39" t="str">
        <f aca="false">INDEX(Master_Customer!$B$2:$B$126,MATCH(C1345,Master_Customer!$A$2:$A$126,0))</f>
        <v>SUMBER TEKNIK SURYA</v>
      </c>
      <c r="E1345" s="50" t="s">
        <v>31</v>
      </c>
      <c r="F1345" s="52" t="n">
        <f aca="false">SUMIFS(Data_Penjualan!$G$2:$G$5998,Data_Penjualan!$A$2:$A$5998,A1345)</f>
        <v>11623000</v>
      </c>
      <c r="G1345" s="39" t="n">
        <f aca="false">IF(E1345="KANTOR",0,INDEX(Master_Customer!$C$2:$C$126,MATCH(C1345,Master_Customer!$A$2:$A$126,0)))</f>
        <v>30</v>
      </c>
      <c r="H1345" s="53" t="n">
        <f aca="false">B1345+G1345</f>
        <v>45971</v>
      </c>
      <c r="I1345" s="51" t="n">
        <v>45943</v>
      </c>
      <c r="J1345" s="39" t="str">
        <f aca="false">IF(G1345=0,"Tunai",IF(I1345="","Belum ditukar","Sudah ditukar"))</f>
        <v>Sudah ditukar</v>
      </c>
      <c r="K1345" s="54" t="n">
        <v>11623000</v>
      </c>
      <c r="L1345" s="51" t="n">
        <v>45970</v>
      </c>
      <c r="M1345" s="52" t="n">
        <f aca="false">F1345-K1345</f>
        <v>0</v>
      </c>
      <c r="N1345" s="39" t="str">
        <f aca="false">IF(M1345&lt;=0,"Lunas",IF(K1345&gt;0,"Sebagian","Belum Bayar"))</f>
        <v>Lunas</v>
      </c>
      <c r="O1345" s="39" t="n">
        <f aca="false">IF(M1345&gt;0,MAX(0,Catatan!$B$3-H1345),0)</f>
        <v>0</v>
      </c>
      <c r="P1345" s="39" t="str">
        <f aca="false">IF(M1345&lt;=0,"Lunas",IF(Catatan!$B$3&lt;=H1345,"Belum Jatuh Tempo",IF(O1345&lt;=30,"1-30 hari",IF(O1345&lt;=60,"31-60 hari",IF(O1345&lt;=90,"61-90 hari","90+ hari")))))</f>
        <v>Lunas</v>
      </c>
      <c r="Q1345" s="50"/>
      <c r="R1345" s="39" t="str">
        <f aca="false">IF(M1345&lt;=0,"",IF(O1345&gt;60,"1-Tinggi",IF(O1345&gt;30,"2-Sedang",IF(O1345&gt;0,"3-Rendah","4-Pantau"))))</f>
        <v/>
      </c>
      <c r="S1345" s="39" t="str">
        <f aca="false">IF(AND(M1345&gt;0,O1345&gt;0),O1345+M1345/1000000000000+ROW()/1000000000000000,"")</f>
        <v/>
      </c>
      <c r="T1345" s="39" t="str">
        <f aca="false">IF(J1345="Belum ditukar",ROW(),"")</f>
        <v/>
      </c>
    </row>
    <row r="1346" customFormat="false" ht="15" hidden="false" customHeight="false" outlineLevel="0" collapsed="false">
      <c r="A1346" s="50" t="s">
        <v>1633</v>
      </c>
      <c r="B1346" s="51" t="n">
        <v>45941</v>
      </c>
      <c r="C1346" s="50" t="s">
        <v>166</v>
      </c>
      <c r="D1346" s="39" t="str">
        <f aca="false">INDEX(Master_Customer!$B$2:$B$126,MATCH(C1346,Master_Customer!$A$2:$A$126,0))</f>
        <v>SENTOSA SERVICE</v>
      </c>
      <c r="E1346" s="50" t="s">
        <v>32</v>
      </c>
      <c r="F1346" s="52" t="n">
        <f aca="false">SUMIFS(Data_Penjualan!$G$2:$G$5998,Data_Penjualan!$A$2:$A$5998,A1346)</f>
        <v>10093600</v>
      </c>
      <c r="G1346" s="39" t="n">
        <f aca="false">IF(E1346="KANTOR",0,INDEX(Master_Customer!$C$2:$C$126,MATCH(C1346,Master_Customer!$A$2:$A$126,0)))</f>
        <v>0</v>
      </c>
      <c r="H1346" s="53" t="n">
        <f aca="false">B1346+G1346</f>
        <v>45941</v>
      </c>
      <c r="J1346" s="39" t="str">
        <f aca="false">IF(G1346=0,"Tunai",IF(I1346="","Belum ditukar","Sudah ditukar"))</f>
        <v>Tunai</v>
      </c>
      <c r="K1346" s="54" t="n">
        <v>10093600</v>
      </c>
      <c r="L1346" s="51" t="n">
        <v>45942</v>
      </c>
      <c r="M1346" s="52" t="n">
        <f aca="false">F1346-K1346</f>
        <v>0</v>
      </c>
      <c r="N1346" s="39" t="str">
        <f aca="false">IF(M1346&lt;=0,"Lunas",IF(K1346&gt;0,"Sebagian","Belum Bayar"))</f>
        <v>Lunas</v>
      </c>
      <c r="O1346" s="39" t="n">
        <f aca="false">IF(M1346&gt;0,MAX(0,Catatan!$B$3-H1346),0)</f>
        <v>0</v>
      </c>
      <c r="P1346" s="39" t="str">
        <f aca="false">IF(M1346&lt;=0,"Lunas",IF(Catatan!$B$3&lt;=H1346,"Belum Jatuh Tempo",IF(O1346&lt;=30,"1-30 hari",IF(O1346&lt;=60,"31-60 hari",IF(O1346&lt;=90,"61-90 hari","90+ hari")))))</f>
        <v>Lunas</v>
      </c>
      <c r="Q1346" s="50"/>
      <c r="R1346" s="39" t="str">
        <f aca="false">IF(M1346&lt;=0,"",IF(O1346&gt;60,"1-Tinggi",IF(O1346&gt;30,"2-Sedang",IF(O1346&gt;0,"3-Rendah","4-Pantau"))))</f>
        <v/>
      </c>
      <c r="S1346" s="39" t="str">
        <f aca="false">IF(AND(M1346&gt;0,O1346&gt;0),O1346+M1346/1000000000000+ROW()/1000000000000000,"")</f>
        <v/>
      </c>
      <c r="T1346" s="39" t="str">
        <f aca="false">IF(J1346="Belum ditukar",ROW(),"")</f>
        <v/>
      </c>
    </row>
    <row r="1347" customFormat="false" ht="15" hidden="false" customHeight="false" outlineLevel="0" collapsed="false">
      <c r="A1347" s="50" t="s">
        <v>1634</v>
      </c>
      <c r="B1347" s="51" t="n">
        <v>45941</v>
      </c>
      <c r="C1347" s="50" t="s">
        <v>479</v>
      </c>
      <c r="D1347" s="39" t="str">
        <f aca="false">INDEX(Master_Customer!$B$2:$B$126,MATCH(C1347,Master_Customer!$A$2:$A$126,0))</f>
        <v>TIRTA TEKNIK TIRTA</v>
      </c>
      <c r="E1347" s="50" t="s">
        <v>32</v>
      </c>
      <c r="F1347" s="52" t="n">
        <f aca="false">SUMIFS(Data_Penjualan!$G$2:$G$5998,Data_Penjualan!$A$2:$A$5998,A1347)</f>
        <v>18313400</v>
      </c>
      <c r="G1347" s="39" t="n">
        <f aca="false">IF(E1347="KANTOR",0,INDEX(Master_Customer!$C$2:$C$126,MATCH(C1347,Master_Customer!$A$2:$A$126,0)))</f>
        <v>0</v>
      </c>
      <c r="H1347" s="53" t="n">
        <f aca="false">B1347+G1347</f>
        <v>45941</v>
      </c>
      <c r="J1347" s="39" t="str">
        <f aca="false">IF(G1347=0,"Tunai",IF(I1347="","Belum ditukar","Sudah ditukar"))</f>
        <v>Tunai</v>
      </c>
      <c r="K1347" s="54" t="n">
        <v>18313400</v>
      </c>
      <c r="L1347" s="51" t="n">
        <v>45942</v>
      </c>
      <c r="M1347" s="52" t="n">
        <f aca="false">F1347-K1347</f>
        <v>0</v>
      </c>
      <c r="N1347" s="39" t="str">
        <f aca="false">IF(M1347&lt;=0,"Lunas",IF(K1347&gt;0,"Sebagian","Belum Bayar"))</f>
        <v>Lunas</v>
      </c>
      <c r="O1347" s="39" t="n">
        <f aca="false">IF(M1347&gt;0,MAX(0,Catatan!$B$3-H1347),0)</f>
        <v>0</v>
      </c>
      <c r="P1347" s="39" t="str">
        <f aca="false">IF(M1347&lt;=0,"Lunas",IF(Catatan!$B$3&lt;=H1347,"Belum Jatuh Tempo",IF(O1347&lt;=30,"1-30 hari",IF(O1347&lt;=60,"31-60 hari",IF(O1347&lt;=90,"61-90 hari","90+ hari")))))</f>
        <v>Lunas</v>
      </c>
      <c r="Q1347" s="50"/>
      <c r="R1347" s="39" t="str">
        <f aca="false">IF(M1347&lt;=0,"",IF(O1347&gt;60,"1-Tinggi",IF(O1347&gt;30,"2-Sedang",IF(O1347&gt;0,"3-Rendah","4-Pantau"))))</f>
        <v/>
      </c>
      <c r="S1347" s="39" t="str">
        <f aca="false">IF(AND(M1347&gt;0,O1347&gt;0),O1347+M1347/1000000000000+ROW()/1000000000000000,"")</f>
        <v/>
      </c>
      <c r="T1347" s="39" t="str">
        <f aca="false">IF(J1347="Belum ditukar",ROW(),"")</f>
        <v/>
      </c>
    </row>
    <row r="1348" customFormat="false" ht="15" hidden="false" customHeight="false" outlineLevel="0" collapsed="false">
      <c r="A1348" s="50" t="s">
        <v>1635</v>
      </c>
      <c r="B1348" s="51" t="n">
        <v>45941</v>
      </c>
      <c r="C1348" s="50" t="s">
        <v>221</v>
      </c>
      <c r="D1348" s="39" t="str">
        <f aca="false">INDEX(Master_Customer!$B$2:$B$126,MATCH(C1348,Master_Customer!$A$2:$A$126,0))</f>
        <v>ABADI AUTO SURYA</v>
      </c>
      <c r="E1348" s="50" t="s">
        <v>32</v>
      </c>
      <c r="F1348" s="52" t="n">
        <f aca="false">SUMIFS(Data_Penjualan!$G$2:$G$5998,Data_Penjualan!$A$2:$A$5998,A1348)</f>
        <v>2419300</v>
      </c>
      <c r="G1348" s="39" t="n">
        <f aca="false">IF(E1348="KANTOR",0,INDEX(Master_Customer!$C$2:$C$126,MATCH(C1348,Master_Customer!$A$2:$A$126,0)))</f>
        <v>0</v>
      </c>
      <c r="H1348" s="53" t="n">
        <f aca="false">B1348+G1348</f>
        <v>45941</v>
      </c>
      <c r="J1348" s="39" t="str">
        <f aca="false">IF(G1348=0,"Tunai",IF(I1348="","Belum ditukar","Sudah ditukar"))</f>
        <v>Tunai</v>
      </c>
      <c r="K1348" s="54" t="n">
        <v>2419300</v>
      </c>
      <c r="L1348" s="51" t="n">
        <v>45941</v>
      </c>
      <c r="M1348" s="52" t="n">
        <f aca="false">F1348-K1348</f>
        <v>0</v>
      </c>
      <c r="N1348" s="39" t="str">
        <f aca="false">IF(M1348&lt;=0,"Lunas",IF(K1348&gt;0,"Sebagian","Belum Bayar"))</f>
        <v>Lunas</v>
      </c>
      <c r="O1348" s="39" t="n">
        <f aca="false">IF(M1348&gt;0,MAX(0,Catatan!$B$3-H1348),0)</f>
        <v>0</v>
      </c>
      <c r="P1348" s="39" t="str">
        <f aca="false">IF(M1348&lt;=0,"Lunas",IF(Catatan!$B$3&lt;=H1348,"Belum Jatuh Tempo",IF(O1348&lt;=30,"1-30 hari",IF(O1348&lt;=60,"31-60 hari",IF(O1348&lt;=90,"61-90 hari","90+ hari")))))</f>
        <v>Lunas</v>
      </c>
      <c r="Q1348" s="50"/>
      <c r="R1348" s="39" t="str">
        <f aca="false">IF(M1348&lt;=0,"",IF(O1348&gt;60,"1-Tinggi",IF(O1348&gt;30,"2-Sedang",IF(O1348&gt;0,"3-Rendah","4-Pantau"))))</f>
        <v/>
      </c>
      <c r="S1348" s="39" t="str">
        <f aca="false">IF(AND(M1348&gt;0,O1348&gt;0),O1348+M1348/1000000000000+ROW()/1000000000000000,"")</f>
        <v/>
      </c>
      <c r="T1348" s="39" t="str">
        <f aca="false">IF(J1348="Belum ditukar",ROW(),"")</f>
        <v/>
      </c>
    </row>
    <row r="1349" customFormat="false" ht="15" hidden="false" customHeight="false" outlineLevel="0" collapsed="false">
      <c r="A1349" s="50" t="s">
        <v>1636</v>
      </c>
      <c r="B1349" s="51" t="n">
        <v>45941</v>
      </c>
      <c r="C1349" s="50" t="s">
        <v>174</v>
      </c>
      <c r="D1349" s="39" t="str">
        <f aca="false">INDEX(Master_Customer!$B$2:$B$126,MATCH(C1349,Master_Customer!$A$2:$A$126,0))</f>
        <v>SUMBER TEKNIK SURYA</v>
      </c>
      <c r="E1349" s="50" t="s">
        <v>31</v>
      </c>
      <c r="F1349" s="52" t="n">
        <f aca="false">SUMIFS(Data_Penjualan!$G$2:$G$5998,Data_Penjualan!$A$2:$A$5998,A1349)</f>
        <v>3916000</v>
      </c>
      <c r="G1349" s="39" t="n">
        <f aca="false">IF(E1349="KANTOR",0,INDEX(Master_Customer!$C$2:$C$126,MATCH(C1349,Master_Customer!$A$2:$A$126,0)))</f>
        <v>30</v>
      </c>
      <c r="H1349" s="53" t="n">
        <f aca="false">B1349+G1349</f>
        <v>45971</v>
      </c>
      <c r="I1349" s="51" t="n">
        <v>45942</v>
      </c>
      <c r="J1349" s="39" t="str">
        <f aca="false">IF(G1349=0,"Tunai",IF(I1349="","Belum ditukar","Sudah ditukar"))</f>
        <v>Sudah ditukar</v>
      </c>
      <c r="K1349" s="54" t="n">
        <v>3916000</v>
      </c>
      <c r="L1349" s="51" t="n">
        <v>45968</v>
      </c>
      <c r="M1349" s="52" t="n">
        <f aca="false">F1349-K1349</f>
        <v>0</v>
      </c>
      <c r="N1349" s="39" t="str">
        <f aca="false">IF(M1349&lt;=0,"Lunas",IF(K1349&gt;0,"Sebagian","Belum Bayar"))</f>
        <v>Lunas</v>
      </c>
      <c r="O1349" s="39" t="n">
        <f aca="false">IF(M1349&gt;0,MAX(0,Catatan!$B$3-H1349),0)</f>
        <v>0</v>
      </c>
      <c r="P1349" s="39" t="str">
        <f aca="false">IF(M1349&lt;=0,"Lunas",IF(Catatan!$B$3&lt;=H1349,"Belum Jatuh Tempo",IF(O1349&lt;=30,"1-30 hari",IF(O1349&lt;=60,"31-60 hari",IF(O1349&lt;=90,"61-90 hari","90+ hari")))))</f>
        <v>Lunas</v>
      </c>
      <c r="Q1349" s="50"/>
      <c r="R1349" s="39" t="str">
        <f aca="false">IF(M1349&lt;=0,"",IF(O1349&gt;60,"1-Tinggi",IF(O1349&gt;30,"2-Sedang",IF(O1349&gt;0,"3-Rendah","4-Pantau"))))</f>
        <v/>
      </c>
      <c r="S1349" s="39" t="str">
        <f aca="false">IF(AND(M1349&gt;0,O1349&gt;0),O1349+M1349/1000000000000+ROW()/1000000000000000,"")</f>
        <v/>
      </c>
      <c r="T1349" s="39" t="str">
        <f aca="false">IF(J1349="Belum ditukar",ROW(),"")</f>
        <v/>
      </c>
    </row>
    <row r="1350" customFormat="false" ht="15" hidden="false" customHeight="false" outlineLevel="0" collapsed="false">
      <c r="A1350" s="50" t="s">
        <v>1637</v>
      </c>
      <c r="B1350" s="51" t="n">
        <v>45941</v>
      </c>
      <c r="C1350" s="50" t="s">
        <v>197</v>
      </c>
      <c r="D1350" s="39" t="str">
        <f aca="false">INDEX(Master_Customer!$B$2:$B$126,MATCH(C1350,Master_Customer!$A$2:$A$126,0))</f>
        <v>UTAMA LUBRICANT HARAPAN</v>
      </c>
      <c r="E1350" s="50" t="s">
        <v>32</v>
      </c>
      <c r="F1350" s="52" t="n">
        <f aca="false">SUMIFS(Data_Penjualan!$G$2:$G$5998,Data_Penjualan!$A$2:$A$5998,A1350)</f>
        <v>14116000</v>
      </c>
      <c r="G1350" s="39" t="n">
        <f aca="false">IF(E1350="KANTOR",0,INDEX(Master_Customer!$C$2:$C$126,MATCH(C1350,Master_Customer!$A$2:$A$126,0)))</f>
        <v>0</v>
      </c>
      <c r="H1350" s="53" t="n">
        <f aca="false">B1350+G1350</f>
        <v>45941</v>
      </c>
      <c r="J1350" s="39" t="str">
        <f aca="false">IF(G1350=0,"Tunai",IF(I1350="","Belum ditukar","Sudah ditukar"))</f>
        <v>Tunai</v>
      </c>
      <c r="K1350" s="54" t="n">
        <v>14116000</v>
      </c>
      <c r="L1350" s="51" t="n">
        <v>45941</v>
      </c>
      <c r="M1350" s="52" t="n">
        <f aca="false">F1350-K1350</f>
        <v>0</v>
      </c>
      <c r="N1350" s="39" t="str">
        <f aca="false">IF(M1350&lt;=0,"Lunas",IF(K1350&gt;0,"Sebagian","Belum Bayar"))</f>
        <v>Lunas</v>
      </c>
      <c r="O1350" s="39" t="n">
        <f aca="false">IF(M1350&gt;0,MAX(0,Catatan!$B$3-H1350),0)</f>
        <v>0</v>
      </c>
      <c r="P1350" s="39" t="str">
        <f aca="false">IF(M1350&lt;=0,"Lunas",IF(Catatan!$B$3&lt;=H1350,"Belum Jatuh Tempo",IF(O1350&lt;=30,"1-30 hari",IF(O1350&lt;=60,"31-60 hari",IF(O1350&lt;=90,"61-90 hari","90+ hari")))))</f>
        <v>Lunas</v>
      </c>
      <c r="Q1350" s="50"/>
      <c r="R1350" s="39" t="str">
        <f aca="false">IF(M1350&lt;=0,"",IF(O1350&gt;60,"1-Tinggi",IF(O1350&gt;30,"2-Sedang",IF(O1350&gt;0,"3-Rendah","4-Pantau"))))</f>
        <v/>
      </c>
      <c r="S1350" s="39" t="str">
        <f aca="false">IF(AND(M1350&gt;0,O1350&gt;0),O1350+M1350/1000000000000+ROW()/1000000000000000,"")</f>
        <v/>
      </c>
      <c r="T1350" s="39" t="str">
        <f aca="false">IF(J1350="Belum ditukar",ROW(),"")</f>
        <v/>
      </c>
    </row>
    <row r="1351" customFormat="false" ht="15" hidden="false" customHeight="false" outlineLevel="0" collapsed="false">
      <c r="A1351" s="50" t="s">
        <v>1638</v>
      </c>
      <c r="B1351" s="51" t="n">
        <v>45941</v>
      </c>
      <c r="C1351" s="50" t="s">
        <v>174</v>
      </c>
      <c r="D1351" s="39" t="str">
        <f aca="false">INDEX(Master_Customer!$B$2:$B$126,MATCH(C1351,Master_Customer!$A$2:$A$126,0))</f>
        <v>SUMBER TEKNIK SURYA</v>
      </c>
      <c r="E1351" s="50" t="s">
        <v>31</v>
      </c>
      <c r="F1351" s="52" t="n">
        <f aca="false">SUMIFS(Data_Penjualan!$G$2:$G$5998,Data_Penjualan!$A$2:$A$5998,A1351)</f>
        <v>14864500</v>
      </c>
      <c r="G1351" s="39" t="n">
        <f aca="false">IF(E1351="KANTOR",0,INDEX(Master_Customer!$C$2:$C$126,MATCH(C1351,Master_Customer!$A$2:$A$126,0)))</f>
        <v>30</v>
      </c>
      <c r="H1351" s="53" t="n">
        <f aca="false">B1351+G1351</f>
        <v>45971</v>
      </c>
      <c r="I1351" s="51" t="n">
        <v>45945</v>
      </c>
      <c r="J1351" s="39" t="str">
        <f aca="false">IF(G1351=0,"Tunai",IF(I1351="","Belum ditukar","Sudah ditukar"))</f>
        <v>Sudah ditukar</v>
      </c>
      <c r="K1351" s="54" t="n">
        <v>14864500</v>
      </c>
      <c r="L1351" s="51" t="n">
        <v>45978</v>
      </c>
      <c r="M1351" s="52" t="n">
        <f aca="false">F1351-K1351</f>
        <v>0</v>
      </c>
      <c r="N1351" s="39" t="str">
        <f aca="false">IF(M1351&lt;=0,"Lunas",IF(K1351&gt;0,"Sebagian","Belum Bayar"))</f>
        <v>Lunas</v>
      </c>
      <c r="O1351" s="39" t="n">
        <f aca="false">IF(M1351&gt;0,MAX(0,Catatan!$B$3-H1351),0)</f>
        <v>0</v>
      </c>
      <c r="P1351" s="39" t="str">
        <f aca="false">IF(M1351&lt;=0,"Lunas",IF(Catatan!$B$3&lt;=H1351,"Belum Jatuh Tempo",IF(O1351&lt;=30,"1-30 hari",IF(O1351&lt;=60,"31-60 hari",IF(O1351&lt;=90,"61-90 hari","90+ hari")))))</f>
        <v>Lunas</v>
      </c>
      <c r="Q1351" s="50"/>
      <c r="R1351" s="39" t="str">
        <f aca="false">IF(M1351&lt;=0,"",IF(O1351&gt;60,"1-Tinggi",IF(O1351&gt;30,"2-Sedang",IF(O1351&gt;0,"3-Rendah","4-Pantau"))))</f>
        <v/>
      </c>
      <c r="S1351" s="39" t="str">
        <f aca="false">IF(AND(M1351&gt;0,O1351&gt;0),O1351+M1351/1000000000000+ROW()/1000000000000000,"")</f>
        <v/>
      </c>
      <c r="T1351" s="39" t="str">
        <f aca="false">IF(J1351="Belum ditukar",ROW(),"")</f>
        <v/>
      </c>
    </row>
    <row r="1352" customFormat="false" ht="15" hidden="false" customHeight="false" outlineLevel="0" collapsed="false">
      <c r="A1352" s="50" t="s">
        <v>1639</v>
      </c>
      <c r="B1352" s="51" t="n">
        <v>45941</v>
      </c>
      <c r="C1352" s="50" t="s">
        <v>271</v>
      </c>
      <c r="D1352" s="39" t="str">
        <f aca="false">INDEX(Master_Customer!$B$2:$B$126,MATCH(C1352,Master_Customer!$A$2:$A$126,0))</f>
        <v>CAHAYA MOTOR</v>
      </c>
      <c r="E1352" s="50" t="s">
        <v>28</v>
      </c>
      <c r="F1352" s="52" t="n">
        <f aca="false">SUMIFS(Data_Penjualan!$G$2:$G$5998,Data_Penjualan!$A$2:$A$5998,A1352)</f>
        <v>14005800</v>
      </c>
      <c r="G1352" s="39" t="n">
        <f aca="false">IF(E1352="KANTOR",0,INDEX(Master_Customer!$C$2:$C$126,MATCH(C1352,Master_Customer!$A$2:$A$126,0)))</f>
        <v>14</v>
      </c>
      <c r="H1352" s="53" t="n">
        <f aca="false">B1352+G1352</f>
        <v>45955</v>
      </c>
      <c r="I1352" s="51" t="n">
        <v>45945</v>
      </c>
      <c r="J1352" s="39" t="str">
        <f aca="false">IF(G1352=0,"Tunai",IF(I1352="","Belum ditukar","Sudah ditukar"))</f>
        <v>Sudah ditukar</v>
      </c>
      <c r="K1352" s="54" t="n">
        <v>14005800</v>
      </c>
      <c r="L1352" s="51" t="n">
        <v>45954</v>
      </c>
      <c r="M1352" s="52" t="n">
        <f aca="false">F1352-K1352</f>
        <v>0</v>
      </c>
      <c r="N1352" s="39" t="str">
        <f aca="false">IF(M1352&lt;=0,"Lunas",IF(K1352&gt;0,"Sebagian","Belum Bayar"))</f>
        <v>Lunas</v>
      </c>
      <c r="O1352" s="39" t="n">
        <f aca="false">IF(M1352&gt;0,MAX(0,Catatan!$B$3-H1352),0)</f>
        <v>0</v>
      </c>
      <c r="P1352" s="39" t="str">
        <f aca="false">IF(M1352&lt;=0,"Lunas",IF(Catatan!$B$3&lt;=H1352,"Belum Jatuh Tempo",IF(O1352&lt;=30,"1-30 hari",IF(O1352&lt;=60,"31-60 hari",IF(O1352&lt;=90,"61-90 hari","90+ hari")))))</f>
        <v>Lunas</v>
      </c>
      <c r="Q1352" s="50"/>
      <c r="R1352" s="39" t="str">
        <f aca="false">IF(M1352&lt;=0,"",IF(O1352&gt;60,"1-Tinggi",IF(O1352&gt;30,"2-Sedang",IF(O1352&gt;0,"3-Rendah","4-Pantau"))))</f>
        <v/>
      </c>
      <c r="S1352" s="39" t="str">
        <f aca="false">IF(AND(M1352&gt;0,O1352&gt;0),O1352+M1352/1000000000000+ROW()/1000000000000000,"")</f>
        <v/>
      </c>
      <c r="T1352" s="39" t="str">
        <f aca="false">IF(J1352="Belum ditukar",ROW(),"")</f>
        <v/>
      </c>
    </row>
    <row r="1353" customFormat="false" ht="15" hidden="false" customHeight="false" outlineLevel="0" collapsed="false">
      <c r="A1353" s="50" t="s">
        <v>1640</v>
      </c>
      <c r="B1353" s="51" t="n">
        <v>45941</v>
      </c>
      <c r="C1353" s="50" t="s">
        <v>256</v>
      </c>
      <c r="D1353" s="39" t="str">
        <f aca="false">INDEX(Master_Customer!$B$2:$B$126,MATCH(C1353,Master_Customer!$A$2:$A$126,0))</f>
        <v>HARAPAN SPAREPART</v>
      </c>
      <c r="E1353" s="50" t="s">
        <v>31</v>
      </c>
      <c r="F1353" s="52" t="n">
        <f aca="false">SUMIFS(Data_Penjualan!$G$2:$G$5998,Data_Penjualan!$A$2:$A$5998,A1353)</f>
        <v>5453500</v>
      </c>
      <c r="G1353" s="39" t="n">
        <f aca="false">IF(E1353="KANTOR",0,INDEX(Master_Customer!$C$2:$C$126,MATCH(C1353,Master_Customer!$A$2:$A$126,0)))</f>
        <v>45</v>
      </c>
      <c r="H1353" s="53" t="n">
        <f aca="false">B1353+G1353</f>
        <v>45986</v>
      </c>
      <c r="I1353" s="51" t="n">
        <v>45945</v>
      </c>
      <c r="J1353" s="39" t="str">
        <f aca="false">IF(G1353=0,"Tunai",IF(I1353="","Belum ditukar","Sudah ditukar"))</f>
        <v>Sudah ditukar</v>
      </c>
      <c r="K1353" s="54" t="n">
        <v>5453500</v>
      </c>
      <c r="L1353" s="51" t="n">
        <v>45980</v>
      </c>
      <c r="M1353" s="52" t="n">
        <f aca="false">F1353-K1353</f>
        <v>0</v>
      </c>
      <c r="N1353" s="39" t="str">
        <f aca="false">IF(M1353&lt;=0,"Lunas",IF(K1353&gt;0,"Sebagian","Belum Bayar"))</f>
        <v>Lunas</v>
      </c>
      <c r="O1353" s="39" t="n">
        <f aca="false">IF(M1353&gt;0,MAX(0,Catatan!$B$3-H1353),0)</f>
        <v>0</v>
      </c>
      <c r="P1353" s="39" t="str">
        <f aca="false">IF(M1353&lt;=0,"Lunas",IF(Catatan!$B$3&lt;=H1353,"Belum Jatuh Tempo",IF(O1353&lt;=30,"1-30 hari",IF(O1353&lt;=60,"31-60 hari",IF(O1353&lt;=90,"61-90 hari","90+ hari")))))</f>
        <v>Lunas</v>
      </c>
      <c r="Q1353" s="50"/>
      <c r="R1353" s="39" t="str">
        <f aca="false">IF(M1353&lt;=0,"",IF(O1353&gt;60,"1-Tinggi",IF(O1353&gt;30,"2-Sedang",IF(O1353&gt;0,"3-Rendah","4-Pantau"))))</f>
        <v/>
      </c>
      <c r="S1353" s="39" t="str">
        <f aca="false">IF(AND(M1353&gt;0,O1353&gt;0),O1353+M1353/1000000000000+ROW()/1000000000000000,"")</f>
        <v/>
      </c>
      <c r="T1353" s="39" t="str">
        <f aca="false">IF(J1353="Belum ditukar",ROW(),"")</f>
        <v/>
      </c>
    </row>
    <row r="1354" customFormat="false" ht="15" hidden="false" customHeight="false" outlineLevel="0" collapsed="false">
      <c r="A1354" s="50" t="s">
        <v>1641</v>
      </c>
      <c r="B1354" s="51" t="n">
        <v>45941</v>
      </c>
      <c r="C1354" s="50" t="s">
        <v>296</v>
      </c>
      <c r="D1354" s="39" t="str">
        <f aca="false">INDEX(Master_Customer!$B$2:$B$126,MATCH(C1354,Master_Customer!$A$2:$A$126,0))</f>
        <v>KARYA LUBRICANT MAJU</v>
      </c>
      <c r="E1354" s="50" t="s">
        <v>29</v>
      </c>
      <c r="F1354" s="52" t="n">
        <f aca="false">SUMIFS(Data_Penjualan!$G$2:$G$5998,Data_Penjualan!$A$2:$A$5998,A1354)</f>
        <v>9382400</v>
      </c>
      <c r="G1354" s="39" t="n">
        <f aca="false">IF(E1354="KANTOR",0,INDEX(Master_Customer!$C$2:$C$126,MATCH(C1354,Master_Customer!$A$2:$A$126,0)))</f>
        <v>14</v>
      </c>
      <c r="H1354" s="53" t="n">
        <f aca="false">B1354+G1354</f>
        <v>45955</v>
      </c>
      <c r="I1354" s="51" t="n">
        <v>45946</v>
      </c>
      <c r="J1354" s="39" t="str">
        <f aca="false">IF(G1354=0,"Tunai",IF(I1354="","Belum ditukar","Sudah ditukar"))</f>
        <v>Sudah ditukar</v>
      </c>
      <c r="K1354" s="54" t="n">
        <v>9382400</v>
      </c>
      <c r="L1354" s="51" t="n">
        <v>45952</v>
      </c>
      <c r="M1354" s="52" t="n">
        <f aca="false">F1354-K1354</f>
        <v>0</v>
      </c>
      <c r="N1354" s="39" t="str">
        <f aca="false">IF(M1354&lt;=0,"Lunas",IF(K1354&gt;0,"Sebagian","Belum Bayar"))</f>
        <v>Lunas</v>
      </c>
      <c r="O1354" s="39" t="n">
        <f aca="false">IF(M1354&gt;0,MAX(0,Catatan!$B$3-H1354),0)</f>
        <v>0</v>
      </c>
      <c r="P1354" s="39" t="str">
        <f aca="false">IF(M1354&lt;=0,"Lunas",IF(Catatan!$B$3&lt;=H1354,"Belum Jatuh Tempo",IF(O1354&lt;=30,"1-30 hari",IF(O1354&lt;=60,"31-60 hari",IF(O1354&lt;=90,"61-90 hari","90+ hari")))))</f>
        <v>Lunas</v>
      </c>
      <c r="Q1354" s="50"/>
      <c r="R1354" s="39" t="str">
        <f aca="false">IF(M1354&lt;=0,"",IF(O1354&gt;60,"1-Tinggi",IF(O1354&gt;30,"2-Sedang",IF(O1354&gt;0,"3-Rendah","4-Pantau"))))</f>
        <v/>
      </c>
      <c r="S1354" s="39" t="str">
        <f aca="false">IF(AND(M1354&gt;0,O1354&gt;0),O1354+M1354/1000000000000+ROW()/1000000000000000,"")</f>
        <v/>
      </c>
      <c r="T1354" s="39" t="str">
        <f aca="false">IF(J1354="Belum ditukar",ROW(),"")</f>
        <v/>
      </c>
    </row>
    <row r="1355" customFormat="false" ht="15" hidden="false" customHeight="false" outlineLevel="0" collapsed="false">
      <c r="A1355" s="50" t="s">
        <v>1642</v>
      </c>
      <c r="B1355" s="51" t="n">
        <v>45941</v>
      </c>
      <c r="C1355" s="50" t="s">
        <v>271</v>
      </c>
      <c r="D1355" s="39" t="str">
        <f aca="false">INDEX(Master_Customer!$B$2:$B$126,MATCH(C1355,Master_Customer!$A$2:$A$126,0))</f>
        <v>CAHAYA MOTOR</v>
      </c>
      <c r="E1355" s="50" t="s">
        <v>28</v>
      </c>
      <c r="F1355" s="52" t="n">
        <f aca="false">SUMIFS(Data_Penjualan!$G$2:$G$5998,Data_Penjualan!$A$2:$A$5998,A1355)</f>
        <v>9207100</v>
      </c>
      <c r="G1355" s="39" t="n">
        <f aca="false">IF(E1355="KANTOR",0,INDEX(Master_Customer!$C$2:$C$126,MATCH(C1355,Master_Customer!$A$2:$A$126,0)))</f>
        <v>14</v>
      </c>
      <c r="H1355" s="53" t="n">
        <f aca="false">B1355+G1355</f>
        <v>45955</v>
      </c>
      <c r="I1355" s="51" t="n">
        <v>45942</v>
      </c>
      <c r="J1355" s="39" t="str">
        <f aca="false">IF(G1355=0,"Tunai",IF(I1355="","Belum ditukar","Sudah ditukar"))</f>
        <v>Sudah ditukar</v>
      </c>
      <c r="K1355" s="54" t="n">
        <v>9207100</v>
      </c>
      <c r="L1355" s="51" t="n">
        <v>45956</v>
      </c>
      <c r="M1355" s="52" t="n">
        <f aca="false">F1355-K1355</f>
        <v>0</v>
      </c>
      <c r="N1355" s="39" t="str">
        <f aca="false">IF(M1355&lt;=0,"Lunas",IF(K1355&gt;0,"Sebagian","Belum Bayar"))</f>
        <v>Lunas</v>
      </c>
      <c r="O1355" s="39" t="n">
        <f aca="false">IF(M1355&gt;0,MAX(0,Catatan!$B$3-H1355),0)</f>
        <v>0</v>
      </c>
      <c r="P1355" s="39" t="str">
        <f aca="false">IF(M1355&lt;=0,"Lunas",IF(Catatan!$B$3&lt;=H1355,"Belum Jatuh Tempo",IF(O1355&lt;=30,"1-30 hari",IF(O1355&lt;=60,"31-60 hari",IF(O1355&lt;=90,"61-90 hari","90+ hari")))))</f>
        <v>Lunas</v>
      </c>
      <c r="Q1355" s="50"/>
      <c r="R1355" s="39" t="str">
        <f aca="false">IF(M1355&lt;=0,"",IF(O1355&gt;60,"1-Tinggi",IF(O1355&gt;30,"2-Sedang",IF(O1355&gt;0,"3-Rendah","4-Pantau"))))</f>
        <v/>
      </c>
      <c r="S1355" s="39" t="str">
        <f aca="false">IF(AND(M1355&gt;0,O1355&gt;0),O1355+M1355/1000000000000+ROW()/1000000000000000,"")</f>
        <v/>
      </c>
      <c r="T1355" s="39" t="str">
        <f aca="false">IF(J1355="Belum ditukar",ROW(),"")</f>
        <v/>
      </c>
    </row>
    <row r="1356" customFormat="false" ht="15" hidden="false" customHeight="false" outlineLevel="0" collapsed="false">
      <c r="A1356" s="50" t="s">
        <v>1643</v>
      </c>
      <c r="B1356" s="51" t="n">
        <v>45943</v>
      </c>
      <c r="C1356" s="50" t="s">
        <v>234</v>
      </c>
      <c r="D1356" s="39" t="str">
        <f aca="false">INDEX(Master_Customer!$B$2:$B$126,MATCH(C1356,Master_Customer!$A$2:$A$126,0))</f>
        <v>CAHAYA OLI</v>
      </c>
      <c r="E1356" s="50" t="s">
        <v>28</v>
      </c>
      <c r="F1356" s="52" t="n">
        <f aca="false">SUMIFS(Data_Penjualan!$G$2:$G$5998,Data_Penjualan!$A$2:$A$5998,A1356)</f>
        <v>23833400</v>
      </c>
      <c r="G1356" s="39" t="n">
        <f aca="false">IF(E1356="KANTOR",0,INDEX(Master_Customer!$C$2:$C$126,MATCH(C1356,Master_Customer!$A$2:$A$126,0)))</f>
        <v>30</v>
      </c>
      <c r="H1356" s="53" t="n">
        <f aca="false">B1356+G1356</f>
        <v>45973</v>
      </c>
      <c r="I1356" s="51" t="n">
        <v>45948</v>
      </c>
      <c r="J1356" s="39" t="str">
        <f aca="false">IF(G1356=0,"Tunai",IF(I1356="","Belum ditukar","Sudah ditukar"))</f>
        <v>Sudah ditukar</v>
      </c>
      <c r="K1356" s="54" t="n">
        <v>23833400</v>
      </c>
      <c r="L1356" s="51" t="n">
        <v>45969</v>
      </c>
      <c r="M1356" s="52" t="n">
        <f aca="false">F1356-K1356</f>
        <v>0</v>
      </c>
      <c r="N1356" s="39" t="str">
        <f aca="false">IF(M1356&lt;=0,"Lunas",IF(K1356&gt;0,"Sebagian","Belum Bayar"))</f>
        <v>Lunas</v>
      </c>
      <c r="O1356" s="39" t="n">
        <f aca="false">IF(M1356&gt;0,MAX(0,Catatan!$B$3-H1356),0)</f>
        <v>0</v>
      </c>
      <c r="P1356" s="39" t="str">
        <f aca="false">IF(M1356&lt;=0,"Lunas",IF(Catatan!$B$3&lt;=H1356,"Belum Jatuh Tempo",IF(O1356&lt;=30,"1-30 hari",IF(O1356&lt;=60,"31-60 hari",IF(O1356&lt;=90,"61-90 hari","90+ hari")))))</f>
        <v>Lunas</v>
      </c>
      <c r="Q1356" s="50"/>
      <c r="R1356" s="39" t="str">
        <f aca="false">IF(M1356&lt;=0,"",IF(O1356&gt;60,"1-Tinggi",IF(O1356&gt;30,"2-Sedang",IF(O1356&gt;0,"3-Rendah","4-Pantau"))))</f>
        <v/>
      </c>
      <c r="S1356" s="39" t="str">
        <f aca="false">IF(AND(M1356&gt;0,O1356&gt;0),O1356+M1356/1000000000000+ROW()/1000000000000000,"")</f>
        <v/>
      </c>
      <c r="T1356" s="39" t="str">
        <f aca="false">IF(J1356="Belum ditukar",ROW(),"")</f>
        <v/>
      </c>
    </row>
    <row r="1357" customFormat="false" ht="15" hidden="false" customHeight="false" outlineLevel="0" collapsed="false">
      <c r="A1357" s="50" t="s">
        <v>1644</v>
      </c>
      <c r="B1357" s="51" t="n">
        <v>45943</v>
      </c>
      <c r="C1357" s="50" t="s">
        <v>234</v>
      </c>
      <c r="D1357" s="39" t="str">
        <f aca="false">INDEX(Master_Customer!$B$2:$B$126,MATCH(C1357,Master_Customer!$A$2:$A$126,0))</f>
        <v>CAHAYA OLI</v>
      </c>
      <c r="E1357" s="50" t="s">
        <v>28</v>
      </c>
      <c r="F1357" s="52" t="n">
        <f aca="false">SUMIFS(Data_Penjualan!$G$2:$G$5998,Data_Penjualan!$A$2:$A$5998,A1357)</f>
        <v>7626900</v>
      </c>
      <c r="G1357" s="39" t="n">
        <f aca="false">IF(E1357="KANTOR",0,INDEX(Master_Customer!$C$2:$C$126,MATCH(C1357,Master_Customer!$A$2:$A$126,0)))</f>
        <v>30</v>
      </c>
      <c r="H1357" s="53" t="n">
        <f aca="false">B1357+G1357</f>
        <v>45973</v>
      </c>
      <c r="I1357" s="51" t="n">
        <v>45948</v>
      </c>
      <c r="J1357" s="39" t="str">
        <f aca="false">IF(G1357=0,"Tunai",IF(I1357="","Belum ditukar","Sudah ditukar"))</f>
        <v>Sudah ditukar</v>
      </c>
      <c r="K1357" s="54" t="n">
        <v>7626900</v>
      </c>
      <c r="L1357" s="51" t="n">
        <v>45973</v>
      </c>
      <c r="M1357" s="52" t="n">
        <f aca="false">F1357-K1357</f>
        <v>0</v>
      </c>
      <c r="N1357" s="39" t="str">
        <f aca="false">IF(M1357&lt;=0,"Lunas",IF(K1357&gt;0,"Sebagian","Belum Bayar"))</f>
        <v>Lunas</v>
      </c>
      <c r="O1357" s="39" t="n">
        <f aca="false">IF(M1357&gt;0,MAX(0,Catatan!$B$3-H1357),0)</f>
        <v>0</v>
      </c>
      <c r="P1357" s="39" t="str">
        <f aca="false">IF(M1357&lt;=0,"Lunas",IF(Catatan!$B$3&lt;=H1357,"Belum Jatuh Tempo",IF(O1357&lt;=30,"1-30 hari",IF(O1357&lt;=60,"31-60 hari",IF(O1357&lt;=90,"61-90 hari","90+ hari")))))</f>
        <v>Lunas</v>
      </c>
      <c r="Q1357" s="50"/>
      <c r="R1357" s="39" t="str">
        <f aca="false">IF(M1357&lt;=0,"",IF(O1357&gt;60,"1-Tinggi",IF(O1357&gt;30,"2-Sedang",IF(O1357&gt;0,"3-Rendah","4-Pantau"))))</f>
        <v/>
      </c>
      <c r="S1357" s="39" t="str">
        <f aca="false">IF(AND(M1357&gt;0,O1357&gt;0),O1357+M1357/1000000000000+ROW()/1000000000000000,"")</f>
        <v/>
      </c>
      <c r="T1357" s="39" t="str">
        <f aca="false">IF(J1357="Belum ditukar",ROW(),"")</f>
        <v/>
      </c>
    </row>
    <row r="1358" customFormat="false" ht="15" hidden="false" customHeight="false" outlineLevel="0" collapsed="false">
      <c r="A1358" s="50" t="s">
        <v>1645</v>
      </c>
      <c r="B1358" s="51" t="n">
        <v>45943</v>
      </c>
      <c r="C1358" s="50" t="s">
        <v>693</v>
      </c>
      <c r="D1358" s="39" t="str">
        <f aca="false">INDEX(Master_Customer!$B$2:$B$126,MATCH(C1358,Master_Customer!$A$2:$A$126,0))</f>
        <v>SUMBER OLI GEMILANG</v>
      </c>
      <c r="E1358" s="50" t="s">
        <v>30</v>
      </c>
      <c r="F1358" s="52" t="n">
        <f aca="false">SUMIFS(Data_Penjualan!$G$2:$G$5998,Data_Penjualan!$A$2:$A$5998,A1358)</f>
        <v>12670900</v>
      </c>
      <c r="G1358" s="39" t="n">
        <f aca="false">IF(E1358="KANTOR",0,INDEX(Master_Customer!$C$2:$C$126,MATCH(C1358,Master_Customer!$A$2:$A$126,0)))</f>
        <v>30</v>
      </c>
      <c r="H1358" s="53" t="n">
        <f aca="false">B1358+G1358</f>
        <v>45973</v>
      </c>
      <c r="I1358" s="51" t="n">
        <v>45947</v>
      </c>
      <c r="J1358" s="39" t="str">
        <f aca="false">IF(G1358=0,"Tunai",IF(I1358="","Belum ditukar","Sudah ditukar"))</f>
        <v>Sudah ditukar</v>
      </c>
      <c r="K1358" s="54" t="n">
        <v>12670900</v>
      </c>
      <c r="L1358" s="51" t="n">
        <v>45980</v>
      </c>
      <c r="M1358" s="52" t="n">
        <f aca="false">F1358-K1358</f>
        <v>0</v>
      </c>
      <c r="N1358" s="39" t="str">
        <f aca="false">IF(M1358&lt;=0,"Lunas",IF(K1358&gt;0,"Sebagian","Belum Bayar"))</f>
        <v>Lunas</v>
      </c>
      <c r="O1358" s="39" t="n">
        <f aca="false">IF(M1358&gt;0,MAX(0,Catatan!$B$3-H1358),0)</f>
        <v>0</v>
      </c>
      <c r="P1358" s="39" t="str">
        <f aca="false">IF(M1358&lt;=0,"Lunas",IF(Catatan!$B$3&lt;=H1358,"Belum Jatuh Tempo",IF(O1358&lt;=30,"1-30 hari",IF(O1358&lt;=60,"31-60 hari",IF(O1358&lt;=90,"61-90 hari","90+ hari")))))</f>
        <v>Lunas</v>
      </c>
      <c r="Q1358" s="50"/>
      <c r="R1358" s="39" t="str">
        <f aca="false">IF(M1358&lt;=0,"",IF(O1358&gt;60,"1-Tinggi",IF(O1358&gt;30,"2-Sedang",IF(O1358&gt;0,"3-Rendah","4-Pantau"))))</f>
        <v/>
      </c>
      <c r="S1358" s="39" t="str">
        <f aca="false">IF(AND(M1358&gt;0,O1358&gt;0),O1358+M1358/1000000000000+ROW()/1000000000000000,"")</f>
        <v/>
      </c>
      <c r="T1358" s="39" t="str">
        <f aca="false">IF(J1358="Belum ditukar",ROW(),"")</f>
        <v/>
      </c>
    </row>
    <row r="1359" customFormat="false" ht="15" hidden="false" customHeight="false" outlineLevel="0" collapsed="false">
      <c r="A1359" s="50" t="s">
        <v>1646</v>
      </c>
      <c r="B1359" s="51" t="n">
        <v>45943</v>
      </c>
      <c r="C1359" s="50" t="s">
        <v>410</v>
      </c>
      <c r="D1359" s="39" t="str">
        <f aca="false">INDEX(Master_Customer!$B$2:$B$126,MATCH(C1359,Master_Customer!$A$2:$A$126,0))</f>
        <v>BINTANG SERVICE</v>
      </c>
      <c r="E1359" s="50" t="s">
        <v>28</v>
      </c>
      <c r="F1359" s="52" t="n">
        <f aca="false">SUMIFS(Data_Penjualan!$G$2:$G$5998,Data_Penjualan!$A$2:$A$5998,A1359)</f>
        <v>2947100</v>
      </c>
      <c r="G1359" s="39" t="n">
        <f aca="false">IF(E1359="KANTOR",0,INDEX(Master_Customer!$C$2:$C$126,MATCH(C1359,Master_Customer!$A$2:$A$126,0)))</f>
        <v>14</v>
      </c>
      <c r="H1359" s="53" t="n">
        <f aca="false">B1359+G1359</f>
        <v>45957</v>
      </c>
      <c r="I1359" s="51" t="n">
        <v>45945</v>
      </c>
      <c r="J1359" s="39" t="str">
        <f aca="false">IF(G1359=0,"Tunai",IF(I1359="","Belum ditukar","Sudah ditukar"))</f>
        <v>Sudah ditukar</v>
      </c>
      <c r="K1359" s="54" t="n">
        <v>2947100</v>
      </c>
      <c r="L1359" s="51" t="n">
        <v>45958</v>
      </c>
      <c r="M1359" s="52" t="n">
        <f aca="false">F1359-K1359</f>
        <v>0</v>
      </c>
      <c r="N1359" s="39" t="str">
        <f aca="false">IF(M1359&lt;=0,"Lunas",IF(K1359&gt;0,"Sebagian","Belum Bayar"))</f>
        <v>Lunas</v>
      </c>
      <c r="O1359" s="39" t="n">
        <f aca="false">IF(M1359&gt;0,MAX(0,Catatan!$B$3-H1359),0)</f>
        <v>0</v>
      </c>
      <c r="P1359" s="39" t="str">
        <f aca="false">IF(M1359&lt;=0,"Lunas",IF(Catatan!$B$3&lt;=H1359,"Belum Jatuh Tempo",IF(O1359&lt;=30,"1-30 hari",IF(O1359&lt;=60,"31-60 hari",IF(O1359&lt;=90,"61-90 hari","90+ hari")))))</f>
        <v>Lunas</v>
      </c>
      <c r="Q1359" s="50"/>
      <c r="R1359" s="39" t="str">
        <f aca="false">IF(M1359&lt;=0,"",IF(O1359&gt;60,"1-Tinggi",IF(O1359&gt;30,"2-Sedang",IF(O1359&gt;0,"3-Rendah","4-Pantau"))))</f>
        <v/>
      </c>
      <c r="S1359" s="39" t="str">
        <f aca="false">IF(AND(M1359&gt;0,O1359&gt;0),O1359+M1359/1000000000000+ROW()/1000000000000000,"")</f>
        <v/>
      </c>
      <c r="T1359" s="39" t="str">
        <f aca="false">IF(J1359="Belum ditukar",ROW(),"")</f>
        <v/>
      </c>
    </row>
    <row r="1360" customFormat="false" ht="15" hidden="false" customHeight="false" outlineLevel="0" collapsed="false">
      <c r="A1360" s="50" t="s">
        <v>1647</v>
      </c>
      <c r="B1360" s="51" t="n">
        <v>45943</v>
      </c>
      <c r="C1360" s="50" t="s">
        <v>232</v>
      </c>
      <c r="D1360" s="39" t="str">
        <f aca="false">INDEX(Master_Customer!$B$2:$B$126,MATCH(C1360,Master_Customer!$A$2:$A$126,0))</f>
        <v>ABADI LUBRICANT KARYA</v>
      </c>
      <c r="E1360" s="50" t="s">
        <v>32</v>
      </c>
      <c r="F1360" s="52" t="n">
        <f aca="false">SUMIFS(Data_Penjualan!$G$2:$G$5998,Data_Penjualan!$A$2:$A$5998,A1360)</f>
        <v>18347700</v>
      </c>
      <c r="G1360" s="39" t="n">
        <f aca="false">IF(E1360="KANTOR",0,INDEX(Master_Customer!$C$2:$C$126,MATCH(C1360,Master_Customer!$A$2:$A$126,0)))</f>
        <v>0</v>
      </c>
      <c r="H1360" s="53" t="n">
        <f aca="false">B1360+G1360</f>
        <v>45943</v>
      </c>
      <c r="J1360" s="39" t="str">
        <f aca="false">IF(G1360=0,"Tunai",IF(I1360="","Belum ditukar","Sudah ditukar"))</f>
        <v>Tunai</v>
      </c>
      <c r="K1360" s="54" t="n">
        <v>18347700</v>
      </c>
      <c r="L1360" s="51" t="n">
        <v>45943</v>
      </c>
      <c r="M1360" s="52" t="n">
        <f aca="false">F1360-K1360</f>
        <v>0</v>
      </c>
      <c r="N1360" s="39" t="str">
        <f aca="false">IF(M1360&lt;=0,"Lunas",IF(K1360&gt;0,"Sebagian","Belum Bayar"))</f>
        <v>Lunas</v>
      </c>
      <c r="O1360" s="39" t="n">
        <f aca="false">IF(M1360&gt;0,MAX(0,Catatan!$B$3-H1360),0)</f>
        <v>0</v>
      </c>
      <c r="P1360" s="39" t="str">
        <f aca="false">IF(M1360&lt;=0,"Lunas",IF(Catatan!$B$3&lt;=H1360,"Belum Jatuh Tempo",IF(O1360&lt;=30,"1-30 hari",IF(O1360&lt;=60,"31-60 hari",IF(O1360&lt;=90,"61-90 hari","90+ hari")))))</f>
        <v>Lunas</v>
      </c>
      <c r="Q1360" s="50"/>
      <c r="R1360" s="39" t="str">
        <f aca="false">IF(M1360&lt;=0,"",IF(O1360&gt;60,"1-Tinggi",IF(O1360&gt;30,"2-Sedang",IF(O1360&gt;0,"3-Rendah","4-Pantau"))))</f>
        <v/>
      </c>
      <c r="S1360" s="39" t="str">
        <f aca="false">IF(AND(M1360&gt;0,O1360&gt;0),O1360+M1360/1000000000000+ROW()/1000000000000000,"")</f>
        <v/>
      </c>
      <c r="T1360" s="39" t="str">
        <f aca="false">IF(J1360="Belum ditukar",ROW(),"")</f>
        <v/>
      </c>
    </row>
    <row r="1361" customFormat="false" ht="15" hidden="false" customHeight="false" outlineLevel="0" collapsed="false">
      <c r="A1361" s="50" t="s">
        <v>1648</v>
      </c>
      <c r="B1361" s="51" t="n">
        <v>45943</v>
      </c>
      <c r="C1361" s="50" t="s">
        <v>241</v>
      </c>
      <c r="D1361" s="39" t="str">
        <f aca="false">INDEX(Master_Customer!$B$2:$B$126,MATCH(C1361,Master_Customer!$A$2:$A$126,0))</f>
        <v>GEMILANG GARAGE TIRTA</v>
      </c>
      <c r="E1361" s="50" t="s">
        <v>29</v>
      </c>
      <c r="F1361" s="52" t="n">
        <f aca="false">SUMIFS(Data_Penjualan!$G$2:$G$5998,Data_Penjualan!$A$2:$A$5998,A1361)</f>
        <v>11856300</v>
      </c>
      <c r="G1361" s="39" t="n">
        <f aca="false">IF(E1361="KANTOR",0,INDEX(Master_Customer!$C$2:$C$126,MATCH(C1361,Master_Customer!$A$2:$A$126,0)))</f>
        <v>14</v>
      </c>
      <c r="H1361" s="53" t="n">
        <f aca="false">B1361+G1361</f>
        <v>45957</v>
      </c>
      <c r="I1361" s="51" t="n">
        <v>45944</v>
      </c>
      <c r="J1361" s="39" t="str">
        <f aca="false">IF(G1361=0,"Tunai",IF(I1361="","Belum ditukar","Sudah ditukar"))</f>
        <v>Sudah ditukar</v>
      </c>
      <c r="K1361" s="54" t="n">
        <v>11856300</v>
      </c>
      <c r="L1361" s="51" t="n">
        <v>45954</v>
      </c>
      <c r="M1361" s="52" t="n">
        <f aca="false">F1361-K1361</f>
        <v>0</v>
      </c>
      <c r="N1361" s="39" t="str">
        <f aca="false">IF(M1361&lt;=0,"Lunas",IF(K1361&gt;0,"Sebagian","Belum Bayar"))</f>
        <v>Lunas</v>
      </c>
      <c r="O1361" s="39" t="n">
        <f aca="false">IF(M1361&gt;0,MAX(0,Catatan!$B$3-H1361),0)</f>
        <v>0</v>
      </c>
      <c r="P1361" s="39" t="str">
        <f aca="false">IF(M1361&lt;=0,"Lunas",IF(Catatan!$B$3&lt;=H1361,"Belum Jatuh Tempo",IF(O1361&lt;=30,"1-30 hari",IF(O1361&lt;=60,"31-60 hari",IF(O1361&lt;=90,"61-90 hari","90+ hari")))))</f>
        <v>Lunas</v>
      </c>
      <c r="Q1361" s="50"/>
      <c r="R1361" s="39" t="str">
        <f aca="false">IF(M1361&lt;=0,"",IF(O1361&gt;60,"1-Tinggi",IF(O1361&gt;30,"2-Sedang",IF(O1361&gt;0,"3-Rendah","4-Pantau"))))</f>
        <v/>
      </c>
      <c r="S1361" s="39" t="str">
        <f aca="false">IF(AND(M1361&gt;0,O1361&gt;0),O1361+M1361/1000000000000+ROW()/1000000000000000,"")</f>
        <v/>
      </c>
      <c r="T1361" s="39" t="str">
        <f aca="false">IF(J1361="Belum ditukar",ROW(),"")</f>
        <v/>
      </c>
    </row>
    <row r="1362" customFormat="false" ht="15" hidden="false" customHeight="false" outlineLevel="0" collapsed="false">
      <c r="A1362" s="50" t="s">
        <v>1649</v>
      </c>
      <c r="B1362" s="51" t="n">
        <v>45943</v>
      </c>
      <c r="C1362" s="50" t="s">
        <v>199</v>
      </c>
      <c r="D1362" s="39" t="str">
        <f aca="false">INDEX(Master_Customer!$B$2:$B$126,MATCH(C1362,Master_Customer!$A$2:$A$126,0))</f>
        <v>KARYA SPAREPART</v>
      </c>
      <c r="E1362" s="50" t="s">
        <v>29</v>
      </c>
      <c r="F1362" s="52" t="n">
        <f aca="false">SUMIFS(Data_Penjualan!$G$2:$G$5998,Data_Penjualan!$A$2:$A$5998,A1362)</f>
        <v>2833500</v>
      </c>
      <c r="G1362" s="39" t="n">
        <f aca="false">IF(E1362="KANTOR",0,INDEX(Master_Customer!$C$2:$C$126,MATCH(C1362,Master_Customer!$A$2:$A$126,0)))</f>
        <v>45</v>
      </c>
      <c r="H1362" s="53" t="n">
        <f aca="false">B1362+G1362</f>
        <v>45988</v>
      </c>
      <c r="I1362" s="51" t="n">
        <v>45945</v>
      </c>
      <c r="J1362" s="39" t="str">
        <f aca="false">IF(G1362=0,"Tunai",IF(I1362="","Belum ditukar","Sudah ditukar"))</f>
        <v>Sudah ditukar</v>
      </c>
      <c r="K1362" s="54" t="n">
        <v>2833500</v>
      </c>
      <c r="L1362" s="51" t="n">
        <v>45985</v>
      </c>
      <c r="M1362" s="52" t="n">
        <f aca="false">F1362-K1362</f>
        <v>0</v>
      </c>
      <c r="N1362" s="39" t="str">
        <f aca="false">IF(M1362&lt;=0,"Lunas",IF(K1362&gt;0,"Sebagian","Belum Bayar"))</f>
        <v>Lunas</v>
      </c>
      <c r="O1362" s="39" t="n">
        <f aca="false">IF(M1362&gt;0,MAX(0,Catatan!$B$3-H1362),0)</f>
        <v>0</v>
      </c>
      <c r="P1362" s="39" t="str">
        <f aca="false">IF(M1362&lt;=0,"Lunas",IF(Catatan!$B$3&lt;=H1362,"Belum Jatuh Tempo",IF(O1362&lt;=30,"1-30 hari",IF(O1362&lt;=60,"31-60 hari",IF(O1362&lt;=90,"61-90 hari","90+ hari")))))</f>
        <v>Lunas</v>
      </c>
      <c r="Q1362" s="50"/>
      <c r="R1362" s="39" t="str">
        <f aca="false">IF(M1362&lt;=0,"",IF(O1362&gt;60,"1-Tinggi",IF(O1362&gt;30,"2-Sedang",IF(O1362&gt;0,"3-Rendah","4-Pantau"))))</f>
        <v/>
      </c>
      <c r="S1362" s="39" t="str">
        <f aca="false">IF(AND(M1362&gt;0,O1362&gt;0),O1362+M1362/1000000000000+ROW()/1000000000000000,"")</f>
        <v/>
      </c>
      <c r="T1362" s="39" t="str">
        <f aca="false">IF(J1362="Belum ditukar",ROW(),"")</f>
        <v/>
      </c>
    </row>
    <row r="1363" customFormat="false" ht="15" hidden="false" customHeight="false" outlineLevel="0" collapsed="false">
      <c r="A1363" s="50" t="s">
        <v>1650</v>
      </c>
      <c r="B1363" s="51" t="n">
        <v>45944</v>
      </c>
      <c r="C1363" s="50" t="s">
        <v>211</v>
      </c>
      <c r="D1363" s="39" t="str">
        <f aca="false">INDEX(Master_Customer!$B$2:$B$126,MATCH(C1363,Master_Customer!$A$2:$A$126,0))</f>
        <v>PRIMA MOBIL</v>
      </c>
      <c r="E1363" s="50" t="s">
        <v>32</v>
      </c>
      <c r="F1363" s="52" t="n">
        <f aca="false">SUMIFS(Data_Penjualan!$G$2:$G$5998,Data_Penjualan!$A$2:$A$5998,A1363)</f>
        <v>819600</v>
      </c>
      <c r="G1363" s="39" t="n">
        <f aca="false">IF(E1363="KANTOR",0,INDEX(Master_Customer!$C$2:$C$126,MATCH(C1363,Master_Customer!$A$2:$A$126,0)))</f>
        <v>0</v>
      </c>
      <c r="H1363" s="53" t="n">
        <f aca="false">B1363+G1363</f>
        <v>45944</v>
      </c>
      <c r="J1363" s="39" t="str">
        <f aca="false">IF(G1363=0,"Tunai",IF(I1363="","Belum ditukar","Sudah ditukar"))</f>
        <v>Tunai</v>
      </c>
      <c r="K1363" s="54" t="n">
        <v>819600</v>
      </c>
      <c r="L1363" s="51" t="n">
        <v>45944</v>
      </c>
      <c r="M1363" s="52" t="n">
        <f aca="false">F1363-K1363</f>
        <v>0</v>
      </c>
      <c r="N1363" s="39" t="str">
        <f aca="false">IF(M1363&lt;=0,"Lunas",IF(K1363&gt;0,"Sebagian","Belum Bayar"))</f>
        <v>Lunas</v>
      </c>
      <c r="O1363" s="39" t="n">
        <f aca="false">IF(M1363&gt;0,MAX(0,Catatan!$B$3-H1363),0)</f>
        <v>0</v>
      </c>
      <c r="P1363" s="39" t="str">
        <f aca="false">IF(M1363&lt;=0,"Lunas",IF(Catatan!$B$3&lt;=H1363,"Belum Jatuh Tempo",IF(O1363&lt;=30,"1-30 hari",IF(O1363&lt;=60,"31-60 hari",IF(O1363&lt;=90,"61-90 hari","90+ hari")))))</f>
        <v>Lunas</v>
      </c>
      <c r="Q1363" s="50"/>
      <c r="R1363" s="39" t="str">
        <f aca="false">IF(M1363&lt;=0,"",IF(O1363&gt;60,"1-Tinggi",IF(O1363&gt;30,"2-Sedang",IF(O1363&gt;0,"3-Rendah","4-Pantau"))))</f>
        <v/>
      </c>
      <c r="S1363" s="39" t="str">
        <f aca="false">IF(AND(M1363&gt;0,O1363&gt;0),O1363+M1363/1000000000000+ROW()/1000000000000000,"")</f>
        <v/>
      </c>
      <c r="T1363" s="39" t="str">
        <f aca="false">IF(J1363="Belum ditukar",ROW(),"")</f>
        <v/>
      </c>
    </row>
    <row r="1364" customFormat="false" ht="15" hidden="false" customHeight="false" outlineLevel="0" collapsed="false">
      <c r="A1364" s="50" t="s">
        <v>1651</v>
      </c>
      <c r="B1364" s="51" t="n">
        <v>45944</v>
      </c>
      <c r="C1364" s="50" t="s">
        <v>179</v>
      </c>
      <c r="D1364" s="39" t="str">
        <f aca="false">INDEX(Master_Customer!$B$2:$B$126,MATCH(C1364,Master_Customer!$A$2:$A$126,0))</f>
        <v>BINTANG TEKNIK SURYA</v>
      </c>
      <c r="E1364" s="50" t="s">
        <v>29</v>
      </c>
      <c r="F1364" s="52" t="n">
        <f aca="false">SUMIFS(Data_Penjualan!$G$2:$G$5998,Data_Penjualan!$A$2:$A$5998,A1364)</f>
        <v>15918500</v>
      </c>
      <c r="G1364" s="39" t="n">
        <f aca="false">IF(E1364="KANTOR",0,INDEX(Master_Customer!$C$2:$C$126,MATCH(C1364,Master_Customer!$A$2:$A$126,0)))</f>
        <v>45</v>
      </c>
      <c r="H1364" s="53" t="n">
        <f aca="false">B1364+G1364</f>
        <v>45989</v>
      </c>
      <c r="I1364" s="51" t="n">
        <v>45947</v>
      </c>
      <c r="J1364" s="39" t="str">
        <f aca="false">IF(G1364=0,"Tunai",IF(I1364="","Belum ditukar","Sudah ditukar"))</f>
        <v>Sudah ditukar</v>
      </c>
      <c r="K1364" s="54" t="n">
        <v>15918500</v>
      </c>
      <c r="L1364" s="51" t="n">
        <v>45987</v>
      </c>
      <c r="M1364" s="52" t="n">
        <f aca="false">F1364-K1364</f>
        <v>0</v>
      </c>
      <c r="N1364" s="39" t="str">
        <f aca="false">IF(M1364&lt;=0,"Lunas",IF(K1364&gt;0,"Sebagian","Belum Bayar"))</f>
        <v>Lunas</v>
      </c>
      <c r="O1364" s="39" t="n">
        <f aca="false">IF(M1364&gt;0,MAX(0,Catatan!$B$3-H1364),0)</f>
        <v>0</v>
      </c>
      <c r="P1364" s="39" t="str">
        <f aca="false">IF(M1364&lt;=0,"Lunas",IF(Catatan!$B$3&lt;=H1364,"Belum Jatuh Tempo",IF(O1364&lt;=30,"1-30 hari",IF(O1364&lt;=60,"31-60 hari",IF(O1364&lt;=90,"61-90 hari","90+ hari")))))</f>
        <v>Lunas</v>
      </c>
      <c r="Q1364" s="50"/>
      <c r="R1364" s="39" t="str">
        <f aca="false">IF(M1364&lt;=0,"",IF(O1364&gt;60,"1-Tinggi",IF(O1364&gt;30,"2-Sedang",IF(O1364&gt;0,"3-Rendah","4-Pantau"))))</f>
        <v/>
      </c>
      <c r="S1364" s="39" t="str">
        <f aca="false">IF(AND(M1364&gt;0,O1364&gt;0),O1364+M1364/1000000000000+ROW()/1000000000000000,"")</f>
        <v/>
      </c>
      <c r="T1364" s="39" t="str">
        <f aca="false">IF(J1364="Belum ditukar",ROW(),"")</f>
        <v/>
      </c>
    </row>
    <row r="1365" customFormat="false" ht="15" hidden="false" customHeight="false" outlineLevel="0" collapsed="false">
      <c r="A1365" s="50" t="s">
        <v>1652</v>
      </c>
      <c r="B1365" s="51" t="n">
        <v>45944</v>
      </c>
      <c r="C1365" s="50" t="s">
        <v>174</v>
      </c>
      <c r="D1365" s="39" t="str">
        <f aca="false">INDEX(Master_Customer!$B$2:$B$126,MATCH(C1365,Master_Customer!$A$2:$A$126,0))</f>
        <v>SUMBER TEKNIK SURYA</v>
      </c>
      <c r="E1365" s="50" t="s">
        <v>31</v>
      </c>
      <c r="F1365" s="52" t="n">
        <f aca="false">SUMIFS(Data_Penjualan!$G$2:$G$5998,Data_Penjualan!$A$2:$A$5998,A1365)</f>
        <v>5779100</v>
      </c>
      <c r="G1365" s="39" t="n">
        <f aca="false">IF(E1365="KANTOR",0,INDEX(Master_Customer!$C$2:$C$126,MATCH(C1365,Master_Customer!$A$2:$A$126,0)))</f>
        <v>30</v>
      </c>
      <c r="H1365" s="53" t="n">
        <f aca="false">B1365+G1365</f>
        <v>45974</v>
      </c>
      <c r="I1365" s="51" t="n">
        <v>45947</v>
      </c>
      <c r="J1365" s="39" t="str">
        <f aca="false">IF(G1365=0,"Tunai",IF(I1365="","Belum ditukar","Sudah ditukar"))</f>
        <v>Sudah ditukar</v>
      </c>
      <c r="K1365" s="54" t="n">
        <v>5779100</v>
      </c>
      <c r="L1365" s="51" t="n">
        <v>45969</v>
      </c>
      <c r="M1365" s="52" t="n">
        <f aca="false">F1365-K1365</f>
        <v>0</v>
      </c>
      <c r="N1365" s="39" t="str">
        <f aca="false">IF(M1365&lt;=0,"Lunas",IF(K1365&gt;0,"Sebagian","Belum Bayar"))</f>
        <v>Lunas</v>
      </c>
      <c r="O1365" s="39" t="n">
        <f aca="false">IF(M1365&gt;0,MAX(0,Catatan!$B$3-H1365),0)</f>
        <v>0</v>
      </c>
      <c r="P1365" s="39" t="str">
        <f aca="false">IF(M1365&lt;=0,"Lunas",IF(Catatan!$B$3&lt;=H1365,"Belum Jatuh Tempo",IF(O1365&lt;=30,"1-30 hari",IF(O1365&lt;=60,"31-60 hari",IF(O1365&lt;=90,"61-90 hari","90+ hari")))))</f>
        <v>Lunas</v>
      </c>
      <c r="Q1365" s="50"/>
      <c r="R1365" s="39" t="str">
        <f aca="false">IF(M1365&lt;=0,"",IF(O1365&gt;60,"1-Tinggi",IF(O1365&gt;30,"2-Sedang",IF(O1365&gt;0,"3-Rendah","4-Pantau"))))</f>
        <v/>
      </c>
      <c r="S1365" s="39" t="str">
        <f aca="false">IF(AND(M1365&gt;0,O1365&gt;0),O1365+M1365/1000000000000+ROW()/1000000000000000,"")</f>
        <v/>
      </c>
      <c r="T1365" s="39" t="str">
        <f aca="false">IF(J1365="Belum ditukar",ROW(),"")</f>
        <v/>
      </c>
    </row>
    <row r="1366" customFormat="false" ht="15" hidden="false" customHeight="false" outlineLevel="0" collapsed="false">
      <c r="A1366" s="50" t="s">
        <v>1653</v>
      </c>
      <c r="B1366" s="51" t="n">
        <v>45944</v>
      </c>
      <c r="C1366" s="50" t="s">
        <v>174</v>
      </c>
      <c r="D1366" s="39" t="str">
        <f aca="false">INDEX(Master_Customer!$B$2:$B$126,MATCH(C1366,Master_Customer!$A$2:$A$126,0))</f>
        <v>SUMBER TEKNIK SURYA</v>
      </c>
      <c r="E1366" s="50" t="s">
        <v>31</v>
      </c>
      <c r="F1366" s="52" t="n">
        <f aca="false">SUMIFS(Data_Penjualan!$G$2:$G$5998,Data_Penjualan!$A$2:$A$5998,A1366)</f>
        <v>35176500</v>
      </c>
      <c r="G1366" s="39" t="n">
        <f aca="false">IF(E1366="KANTOR",0,INDEX(Master_Customer!$C$2:$C$126,MATCH(C1366,Master_Customer!$A$2:$A$126,0)))</f>
        <v>30</v>
      </c>
      <c r="H1366" s="53" t="n">
        <f aca="false">B1366+G1366</f>
        <v>45974</v>
      </c>
      <c r="I1366" s="51" t="n">
        <v>45949</v>
      </c>
      <c r="J1366" s="39" t="str">
        <f aca="false">IF(G1366=0,"Tunai",IF(I1366="","Belum ditukar","Sudah ditukar"))</f>
        <v>Sudah ditukar</v>
      </c>
      <c r="K1366" s="54" t="n">
        <v>35176500</v>
      </c>
      <c r="L1366" s="51" t="n">
        <v>45974</v>
      </c>
      <c r="M1366" s="52" t="n">
        <f aca="false">F1366-K1366</f>
        <v>0</v>
      </c>
      <c r="N1366" s="39" t="str">
        <f aca="false">IF(M1366&lt;=0,"Lunas",IF(K1366&gt;0,"Sebagian","Belum Bayar"))</f>
        <v>Lunas</v>
      </c>
      <c r="O1366" s="39" t="n">
        <f aca="false">IF(M1366&gt;0,MAX(0,Catatan!$B$3-H1366),0)</f>
        <v>0</v>
      </c>
      <c r="P1366" s="39" t="str">
        <f aca="false">IF(M1366&lt;=0,"Lunas",IF(Catatan!$B$3&lt;=H1366,"Belum Jatuh Tempo",IF(O1366&lt;=30,"1-30 hari",IF(O1366&lt;=60,"31-60 hari",IF(O1366&lt;=90,"61-90 hari","90+ hari")))))</f>
        <v>Lunas</v>
      </c>
      <c r="Q1366" s="50"/>
      <c r="R1366" s="39" t="str">
        <f aca="false">IF(M1366&lt;=0,"",IF(O1366&gt;60,"1-Tinggi",IF(O1366&gt;30,"2-Sedang",IF(O1366&gt;0,"3-Rendah","4-Pantau"))))</f>
        <v/>
      </c>
      <c r="S1366" s="39" t="str">
        <f aca="false">IF(AND(M1366&gt;0,O1366&gt;0),O1366+M1366/1000000000000+ROW()/1000000000000000,"")</f>
        <v/>
      </c>
      <c r="T1366" s="39" t="str">
        <f aca="false">IF(J1366="Belum ditukar",ROW(),"")</f>
        <v/>
      </c>
    </row>
    <row r="1367" customFormat="false" ht="15" hidden="false" customHeight="false" outlineLevel="0" collapsed="false">
      <c r="A1367" s="50" t="s">
        <v>1654</v>
      </c>
      <c r="B1367" s="51" t="n">
        <v>45944</v>
      </c>
      <c r="C1367" s="50" t="s">
        <v>289</v>
      </c>
      <c r="D1367" s="39" t="str">
        <f aca="false">INDEX(Master_Customer!$B$2:$B$126,MATCH(C1367,Master_Customer!$A$2:$A$126,0))</f>
        <v>SINAR GARAGE</v>
      </c>
      <c r="E1367" s="50" t="s">
        <v>28</v>
      </c>
      <c r="F1367" s="52" t="n">
        <f aca="false">SUMIFS(Data_Penjualan!$G$2:$G$5998,Data_Penjualan!$A$2:$A$5998,A1367)</f>
        <v>803400</v>
      </c>
      <c r="G1367" s="39" t="n">
        <f aca="false">IF(E1367="KANTOR",0,INDEX(Master_Customer!$C$2:$C$126,MATCH(C1367,Master_Customer!$A$2:$A$126,0)))</f>
        <v>30</v>
      </c>
      <c r="H1367" s="53" t="n">
        <f aca="false">B1367+G1367</f>
        <v>45974</v>
      </c>
      <c r="I1367" s="51" t="n">
        <v>45949</v>
      </c>
      <c r="J1367" s="39" t="str">
        <f aca="false">IF(G1367=0,"Tunai",IF(I1367="","Belum ditukar","Sudah ditukar"))</f>
        <v>Sudah ditukar</v>
      </c>
      <c r="K1367" s="54" t="n">
        <v>803400</v>
      </c>
      <c r="L1367" s="51" t="n">
        <v>45977</v>
      </c>
      <c r="M1367" s="52" t="n">
        <f aca="false">F1367-K1367</f>
        <v>0</v>
      </c>
      <c r="N1367" s="39" t="str">
        <f aca="false">IF(M1367&lt;=0,"Lunas",IF(K1367&gt;0,"Sebagian","Belum Bayar"))</f>
        <v>Lunas</v>
      </c>
      <c r="O1367" s="39" t="n">
        <f aca="false">IF(M1367&gt;0,MAX(0,Catatan!$B$3-H1367),0)</f>
        <v>0</v>
      </c>
      <c r="P1367" s="39" t="str">
        <f aca="false">IF(M1367&lt;=0,"Lunas",IF(Catatan!$B$3&lt;=H1367,"Belum Jatuh Tempo",IF(O1367&lt;=30,"1-30 hari",IF(O1367&lt;=60,"31-60 hari",IF(O1367&lt;=90,"61-90 hari","90+ hari")))))</f>
        <v>Lunas</v>
      </c>
      <c r="Q1367" s="50"/>
      <c r="R1367" s="39" t="str">
        <f aca="false">IF(M1367&lt;=0,"",IF(O1367&gt;60,"1-Tinggi",IF(O1367&gt;30,"2-Sedang",IF(O1367&gt;0,"3-Rendah","4-Pantau"))))</f>
        <v/>
      </c>
      <c r="S1367" s="39" t="str">
        <f aca="false">IF(AND(M1367&gt;0,O1367&gt;0),O1367+M1367/1000000000000+ROW()/1000000000000000,"")</f>
        <v/>
      </c>
      <c r="T1367" s="39" t="str">
        <f aca="false">IF(J1367="Belum ditukar",ROW(),"")</f>
        <v/>
      </c>
    </row>
    <row r="1368" customFormat="false" ht="15" hidden="false" customHeight="false" outlineLevel="0" collapsed="false">
      <c r="A1368" s="50" t="s">
        <v>1655</v>
      </c>
      <c r="B1368" s="51" t="n">
        <v>45944</v>
      </c>
      <c r="C1368" s="50" t="s">
        <v>174</v>
      </c>
      <c r="D1368" s="39" t="str">
        <f aca="false">INDEX(Master_Customer!$B$2:$B$126,MATCH(C1368,Master_Customer!$A$2:$A$126,0))</f>
        <v>SUMBER TEKNIK SURYA</v>
      </c>
      <c r="E1368" s="50" t="s">
        <v>31</v>
      </c>
      <c r="F1368" s="52" t="n">
        <f aca="false">SUMIFS(Data_Penjualan!$G$2:$G$5998,Data_Penjualan!$A$2:$A$5998,A1368)</f>
        <v>22174500</v>
      </c>
      <c r="G1368" s="39" t="n">
        <f aca="false">IF(E1368="KANTOR",0,INDEX(Master_Customer!$C$2:$C$126,MATCH(C1368,Master_Customer!$A$2:$A$126,0)))</f>
        <v>30</v>
      </c>
      <c r="H1368" s="53" t="n">
        <f aca="false">B1368+G1368</f>
        <v>45974</v>
      </c>
      <c r="I1368" s="51" t="n">
        <v>45946</v>
      </c>
      <c r="J1368" s="39" t="str">
        <f aca="false">IF(G1368=0,"Tunai",IF(I1368="","Belum ditukar","Sudah ditukar"))</f>
        <v>Sudah ditukar</v>
      </c>
      <c r="K1368" s="54" t="n">
        <v>22174500</v>
      </c>
      <c r="L1368" s="51" t="n">
        <v>45968</v>
      </c>
      <c r="M1368" s="52" t="n">
        <f aca="false">F1368-K1368</f>
        <v>0</v>
      </c>
      <c r="N1368" s="39" t="str">
        <f aca="false">IF(M1368&lt;=0,"Lunas",IF(K1368&gt;0,"Sebagian","Belum Bayar"))</f>
        <v>Lunas</v>
      </c>
      <c r="O1368" s="39" t="n">
        <f aca="false">IF(M1368&gt;0,MAX(0,Catatan!$B$3-H1368),0)</f>
        <v>0</v>
      </c>
      <c r="P1368" s="39" t="str">
        <f aca="false">IF(M1368&lt;=0,"Lunas",IF(Catatan!$B$3&lt;=H1368,"Belum Jatuh Tempo",IF(O1368&lt;=30,"1-30 hari",IF(O1368&lt;=60,"31-60 hari",IF(O1368&lt;=90,"61-90 hari","90+ hari")))))</f>
        <v>Lunas</v>
      </c>
      <c r="Q1368" s="50"/>
      <c r="R1368" s="39" t="str">
        <f aca="false">IF(M1368&lt;=0,"",IF(O1368&gt;60,"1-Tinggi",IF(O1368&gt;30,"2-Sedang",IF(O1368&gt;0,"3-Rendah","4-Pantau"))))</f>
        <v/>
      </c>
      <c r="S1368" s="39" t="str">
        <f aca="false">IF(AND(M1368&gt;0,O1368&gt;0),O1368+M1368/1000000000000+ROW()/1000000000000000,"")</f>
        <v/>
      </c>
      <c r="T1368" s="39" t="str">
        <f aca="false">IF(J1368="Belum ditukar",ROW(),"")</f>
        <v/>
      </c>
    </row>
    <row r="1369" customFormat="false" ht="15" hidden="false" customHeight="false" outlineLevel="0" collapsed="false">
      <c r="A1369" s="50" t="s">
        <v>1656</v>
      </c>
      <c r="B1369" s="51" t="n">
        <v>45945</v>
      </c>
      <c r="C1369" s="50" t="s">
        <v>203</v>
      </c>
      <c r="D1369" s="39" t="str">
        <f aca="false">INDEX(Master_Customer!$B$2:$B$126,MATCH(C1369,Master_Customer!$A$2:$A$126,0))</f>
        <v>BINTANG TEKNIK</v>
      </c>
      <c r="E1369" s="50" t="s">
        <v>32</v>
      </c>
      <c r="F1369" s="52" t="n">
        <f aca="false">SUMIFS(Data_Penjualan!$G$2:$G$5998,Data_Penjualan!$A$2:$A$5998,A1369)</f>
        <v>15252600</v>
      </c>
      <c r="G1369" s="39" t="n">
        <f aca="false">IF(E1369="KANTOR",0,INDEX(Master_Customer!$C$2:$C$126,MATCH(C1369,Master_Customer!$A$2:$A$126,0)))</f>
        <v>0</v>
      </c>
      <c r="H1369" s="53" t="n">
        <f aca="false">B1369+G1369</f>
        <v>45945</v>
      </c>
      <c r="J1369" s="39" t="str">
        <f aca="false">IF(G1369=0,"Tunai",IF(I1369="","Belum ditukar","Sudah ditukar"))</f>
        <v>Tunai</v>
      </c>
      <c r="K1369" s="54" t="n">
        <v>15252600</v>
      </c>
      <c r="L1369" s="51" t="n">
        <v>45945</v>
      </c>
      <c r="M1369" s="52" t="n">
        <f aca="false">F1369-K1369</f>
        <v>0</v>
      </c>
      <c r="N1369" s="39" t="str">
        <f aca="false">IF(M1369&lt;=0,"Lunas",IF(K1369&gt;0,"Sebagian","Belum Bayar"))</f>
        <v>Lunas</v>
      </c>
      <c r="O1369" s="39" t="n">
        <f aca="false">IF(M1369&gt;0,MAX(0,Catatan!$B$3-H1369),0)</f>
        <v>0</v>
      </c>
      <c r="P1369" s="39" t="str">
        <f aca="false">IF(M1369&lt;=0,"Lunas",IF(Catatan!$B$3&lt;=H1369,"Belum Jatuh Tempo",IF(O1369&lt;=30,"1-30 hari",IF(O1369&lt;=60,"31-60 hari",IF(O1369&lt;=90,"61-90 hari","90+ hari")))))</f>
        <v>Lunas</v>
      </c>
      <c r="Q1369" s="50"/>
      <c r="R1369" s="39" t="str">
        <f aca="false">IF(M1369&lt;=0,"",IF(O1369&gt;60,"1-Tinggi",IF(O1369&gt;30,"2-Sedang",IF(O1369&gt;0,"3-Rendah","4-Pantau"))))</f>
        <v/>
      </c>
      <c r="S1369" s="39" t="str">
        <f aca="false">IF(AND(M1369&gt;0,O1369&gt;0),O1369+M1369/1000000000000+ROW()/1000000000000000,"")</f>
        <v/>
      </c>
      <c r="T1369" s="39" t="str">
        <f aca="false">IF(J1369="Belum ditukar",ROW(),"")</f>
        <v/>
      </c>
    </row>
    <row r="1370" customFormat="false" ht="15" hidden="false" customHeight="false" outlineLevel="0" collapsed="false">
      <c r="A1370" s="50" t="s">
        <v>1657</v>
      </c>
      <c r="B1370" s="51" t="n">
        <v>45945</v>
      </c>
      <c r="C1370" s="50" t="s">
        <v>166</v>
      </c>
      <c r="D1370" s="39" t="str">
        <f aca="false">INDEX(Master_Customer!$B$2:$B$126,MATCH(C1370,Master_Customer!$A$2:$A$126,0))</f>
        <v>SENTOSA SERVICE</v>
      </c>
      <c r="E1370" s="50" t="s">
        <v>30</v>
      </c>
      <c r="F1370" s="52" t="n">
        <f aca="false">SUMIFS(Data_Penjualan!$G$2:$G$5998,Data_Penjualan!$A$2:$A$5998,A1370)</f>
        <v>4968600</v>
      </c>
      <c r="G1370" s="39" t="n">
        <f aca="false">IF(E1370="KANTOR",0,INDEX(Master_Customer!$C$2:$C$126,MATCH(C1370,Master_Customer!$A$2:$A$126,0)))</f>
        <v>0</v>
      </c>
      <c r="H1370" s="53" t="n">
        <f aca="false">B1370+G1370</f>
        <v>45945</v>
      </c>
      <c r="J1370" s="39" t="str">
        <f aca="false">IF(G1370=0,"Tunai",IF(I1370="","Belum ditukar","Sudah ditukar"))</f>
        <v>Tunai</v>
      </c>
      <c r="K1370" s="54" t="n">
        <v>4968600</v>
      </c>
      <c r="L1370" s="51" t="n">
        <v>45945</v>
      </c>
      <c r="M1370" s="52" t="n">
        <f aca="false">F1370-K1370</f>
        <v>0</v>
      </c>
      <c r="N1370" s="39" t="str">
        <f aca="false">IF(M1370&lt;=0,"Lunas",IF(K1370&gt;0,"Sebagian","Belum Bayar"))</f>
        <v>Lunas</v>
      </c>
      <c r="O1370" s="39" t="n">
        <f aca="false">IF(M1370&gt;0,MAX(0,Catatan!$B$3-H1370),0)</f>
        <v>0</v>
      </c>
      <c r="P1370" s="39" t="str">
        <f aca="false">IF(M1370&lt;=0,"Lunas",IF(Catatan!$B$3&lt;=H1370,"Belum Jatuh Tempo",IF(O1370&lt;=30,"1-30 hari",IF(O1370&lt;=60,"31-60 hari",IF(O1370&lt;=90,"61-90 hari","90+ hari")))))</f>
        <v>Lunas</v>
      </c>
      <c r="Q1370" s="50"/>
      <c r="R1370" s="39" t="str">
        <f aca="false">IF(M1370&lt;=0,"",IF(O1370&gt;60,"1-Tinggi",IF(O1370&gt;30,"2-Sedang",IF(O1370&gt;0,"3-Rendah","4-Pantau"))))</f>
        <v/>
      </c>
      <c r="S1370" s="39" t="str">
        <f aca="false">IF(AND(M1370&gt;0,O1370&gt;0),O1370+M1370/1000000000000+ROW()/1000000000000000,"")</f>
        <v/>
      </c>
      <c r="T1370" s="39" t="str">
        <f aca="false">IF(J1370="Belum ditukar",ROW(),"")</f>
        <v/>
      </c>
    </row>
    <row r="1371" customFormat="false" ht="15" hidden="false" customHeight="false" outlineLevel="0" collapsed="false">
      <c r="A1371" s="50" t="s">
        <v>1658</v>
      </c>
      <c r="B1371" s="51" t="n">
        <v>45945</v>
      </c>
      <c r="C1371" s="50" t="s">
        <v>315</v>
      </c>
      <c r="D1371" s="39" t="str">
        <f aca="false">INDEX(Master_Customer!$B$2:$B$126,MATCH(C1371,Master_Customer!$A$2:$A$126,0))</f>
        <v>CAHAYA SERVICE</v>
      </c>
      <c r="E1371" s="50" t="s">
        <v>31</v>
      </c>
      <c r="F1371" s="52" t="n">
        <f aca="false">SUMIFS(Data_Penjualan!$G$2:$G$5998,Data_Penjualan!$A$2:$A$5998,A1371)</f>
        <v>6298000</v>
      </c>
      <c r="G1371" s="39" t="n">
        <f aca="false">IF(E1371="KANTOR",0,INDEX(Master_Customer!$C$2:$C$126,MATCH(C1371,Master_Customer!$A$2:$A$126,0)))</f>
        <v>30</v>
      </c>
      <c r="H1371" s="53" t="n">
        <f aca="false">B1371+G1371</f>
        <v>45975</v>
      </c>
      <c r="I1371" s="51" t="n">
        <v>45950</v>
      </c>
      <c r="J1371" s="39" t="str">
        <f aca="false">IF(G1371=0,"Tunai",IF(I1371="","Belum ditukar","Sudah ditukar"))</f>
        <v>Sudah ditukar</v>
      </c>
      <c r="K1371" s="54" t="n">
        <v>6298000</v>
      </c>
      <c r="L1371" s="51" t="n">
        <v>45974</v>
      </c>
      <c r="M1371" s="52" t="n">
        <f aca="false">F1371-K1371</f>
        <v>0</v>
      </c>
      <c r="N1371" s="39" t="str">
        <f aca="false">IF(M1371&lt;=0,"Lunas",IF(K1371&gt;0,"Sebagian","Belum Bayar"))</f>
        <v>Lunas</v>
      </c>
      <c r="O1371" s="39" t="n">
        <f aca="false">IF(M1371&gt;0,MAX(0,Catatan!$B$3-H1371),0)</f>
        <v>0</v>
      </c>
      <c r="P1371" s="39" t="str">
        <f aca="false">IF(M1371&lt;=0,"Lunas",IF(Catatan!$B$3&lt;=H1371,"Belum Jatuh Tempo",IF(O1371&lt;=30,"1-30 hari",IF(O1371&lt;=60,"31-60 hari",IF(O1371&lt;=90,"61-90 hari","90+ hari")))))</f>
        <v>Lunas</v>
      </c>
      <c r="Q1371" s="50"/>
      <c r="R1371" s="39" t="str">
        <f aca="false">IF(M1371&lt;=0,"",IF(O1371&gt;60,"1-Tinggi",IF(O1371&gt;30,"2-Sedang",IF(O1371&gt;0,"3-Rendah","4-Pantau"))))</f>
        <v/>
      </c>
      <c r="S1371" s="39" t="str">
        <f aca="false">IF(AND(M1371&gt;0,O1371&gt;0),O1371+M1371/1000000000000+ROW()/1000000000000000,"")</f>
        <v/>
      </c>
      <c r="T1371" s="39" t="str">
        <f aca="false">IF(J1371="Belum ditukar",ROW(),"")</f>
        <v/>
      </c>
    </row>
    <row r="1372" customFormat="false" ht="15" hidden="false" customHeight="false" outlineLevel="0" collapsed="false">
      <c r="A1372" s="50" t="s">
        <v>1659</v>
      </c>
      <c r="B1372" s="51" t="n">
        <v>45945</v>
      </c>
      <c r="C1372" s="50" t="s">
        <v>174</v>
      </c>
      <c r="D1372" s="39" t="str">
        <f aca="false">INDEX(Master_Customer!$B$2:$B$126,MATCH(C1372,Master_Customer!$A$2:$A$126,0))</f>
        <v>SUMBER TEKNIK SURYA</v>
      </c>
      <c r="E1372" s="50" t="s">
        <v>31</v>
      </c>
      <c r="F1372" s="52" t="n">
        <f aca="false">SUMIFS(Data_Penjualan!$G$2:$G$5998,Data_Penjualan!$A$2:$A$5998,A1372)</f>
        <v>14954200</v>
      </c>
      <c r="G1372" s="39" t="n">
        <f aca="false">IF(E1372="KANTOR",0,INDEX(Master_Customer!$C$2:$C$126,MATCH(C1372,Master_Customer!$A$2:$A$126,0)))</f>
        <v>30</v>
      </c>
      <c r="H1372" s="53" t="n">
        <f aca="false">B1372+G1372</f>
        <v>45975</v>
      </c>
      <c r="I1372" s="51" t="n">
        <v>45948</v>
      </c>
      <c r="J1372" s="39" t="str">
        <f aca="false">IF(G1372=0,"Tunai",IF(I1372="","Belum ditukar","Sudah ditukar"))</f>
        <v>Sudah ditukar</v>
      </c>
      <c r="K1372" s="54" t="n">
        <v>14954200</v>
      </c>
      <c r="L1372" s="51" t="n">
        <v>45971</v>
      </c>
      <c r="M1372" s="52" t="n">
        <f aca="false">F1372-K1372</f>
        <v>0</v>
      </c>
      <c r="N1372" s="39" t="str">
        <f aca="false">IF(M1372&lt;=0,"Lunas",IF(K1372&gt;0,"Sebagian","Belum Bayar"))</f>
        <v>Lunas</v>
      </c>
      <c r="O1372" s="39" t="n">
        <f aca="false">IF(M1372&gt;0,MAX(0,Catatan!$B$3-H1372),0)</f>
        <v>0</v>
      </c>
      <c r="P1372" s="39" t="str">
        <f aca="false">IF(M1372&lt;=0,"Lunas",IF(Catatan!$B$3&lt;=H1372,"Belum Jatuh Tempo",IF(O1372&lt;=30,"1-30 hari",IF(O1372&lt;=60,"31-60 hari",IF(O1372&lt;=90,"61-90 hari","90+ hari")))))</f>
        <v>Lunas</v>
      </c>
      <c r="Q1372" s="50"/>
      <c r="R1372" s="39" t="str">
        <f aca="false">IF(M1372&lt;=0,"",IF(O1372&gt;60,"1-Tinggi",IF(O1372&gt;30,"2-Sedang",IF(O1372&gt;0,"3-Rendah","4-Pantau"))))</f>
        <v/>
      </c>
      <c r="S1372" s="39" t="str">
        <f aca="false">IF(AND(M1372&gt;0,O1372&gt;0),O1372+M1372/1000000000000+ROW()/1000000000000000,"")</f>
        <v/>
      </c>
      <c r="T1372" s="39" t="str">
        <f aca="false">IF(J1372="Belum ditukar",ROW(),"")</f>
        <v/>
      </c>
    </row>
    <row r="1373" customFormat="false" ht="15" hidden="false" customHeight="false" outlineLevel="0" collapsed="false">
      <c r="A1373" s="50" t="s">
        <v>1660</v>
      </c>
      <c r="B1373" s="51" t="n">
        <v>45945</v>
      </c>
      <c r="C1373" s="50" t="s">
        <v>566</v>
      </c>
      <c r="D1373" s="39" t="str">
        <f aca="false">INDEX(Master_Customer!$B$2:$B$126,MATCH(C1373,Master_Customer!$A$2:$A$126,0))</f>
        <v>UTAMA OLI SUMBER</v>
      </c>
      <c r="E1373" s="50" t="s">
        <v>28</v>
      </c>
      <c r="F1373" s="52" t="n">
        <f aca="false">SUMIFS(Data_Penjualan!$G$2:$G$5998,Data_Penjualan!$A$2:$A$5998,A1373)</f>
        <v>17893700</v>
      </c>
      <c r="G1373" s="39" t="n">
        <f aca="false">IF(E1373="KANTOR",0,INDEX(Master_Customer!$C$2:$C$126,MATCH(C1373,Master_Customer!$A$2:$A$126,0)))</f>
        <v>14</v>
      </c>
      <c r="H1373" s="53" t="n">
        <f aca="false">B1373+G1373</f>
        <v>45959</v>
      </c>
      <c r="I1373" s="51" t="n">
        <v>45948</v>
      </c>
      <c r="J1373" s="39" t="str">
        <f aca="false">IF(G1373=0,"Tunai",IF(I1373="","Belum ditukar","Sudah ditukar"))</f>
        <v>Sudah ditukar</v>
      </c>
      <c r="K1373" s="54" t="n">
        <v>17893700</v>
      </c>
      <c r="L1373" s="51" t="n">
        <v>45967</v>
      </c>
      <c r="M1373" s="52" t="n">
        <f aca="false">F1373-K1373</f>
        <v>0</v>
      </c>
      <c r="N1373" s="39" t="str">
        <f aca="false">IF(M1373&lt;=0,"Lunas",IF(K1373&gt;0,"Sebagian","Belum Bayar"))</f>
        <v>Lunas</v>
      </c>
      <c r="O1373" s="39" t="n">
        <f aca="false">IF(M1373&gt;0,MAX(0,Catatan!$B$3-H1373),0)</f>
        <v>0</v>
      </c>
      <c r="P1373" s="39" t="str">
        <f aca="false">IF(M1373&lt;=0,"Lunas",IF(Catatan!$B$3&lt;=H1373,"Belum Jatuh Tempo",IF(O1373&lt;=30,"1-30 hari",IF(O1373&lt;=60,"31-60 hari",IF(O1373&lt;=90,"61-90 hari","90+ hari")))))</f>
        <v>Lunas</v>
      </c>
      <c r="Q1373" s="50"/>
      <c r="R1373" s="39" t="str">
        <f aca="false">IF(M1373&lt;=0,"",IF(O1373&gt;60,"1-Tinggi",IF(O1373&gt;30,"2-Sedang",IF(O1373&gt;0,"3-Rendah","4-Pantau"))))</f>
        <v/>
      </c>
      <c r="S1373" s="39" t="str">
        <f aca="false">IF(AND(M1373&gt;0,O1373&gt;0),O1373+M1373/1000000000000+ROW()/1000000000000000,"")</f>
        <v/>
      </c>
      <c r="T1373" s="39" t="str">
        <f aca="false">IF(J1373="Belum ditukar",ROW(),"")</f>
        <v/>
      </c>
    </row>
    <row r="1374" customFormat="false" ht="15" hidden="false" customHeight="false" outlineLevel="0" collapsed="false">
      <c r="A1374" s="50" t="s">
        <v>1661</v>
      </c>
      <c r="B1374" s="51" t="n">
        <v>45945</v>
      </c>
      <c r="C1374" s="50" t="s">
        <v>271</v>
      </c>
      <c r="D1374" s="39" t="str">
        <f aca="false">INDEX(Master_Customer!$B$2:$B$126,MATCH(C1374,Master_Customer!$A$2:$A$126,0))</f>
        <v>CAHAYA MOTOR</v>
      </c>
      <c r="E1374" s="50" t="s">
        <v>32</v>
      </c>
      <c r="F1374" s="52" t="n">
        <f aca="false">SUMIFS(Data_Penjualan!$G$2:$G$5998,Data_Penjualan!$A$2:$A$5998,A1374)</f>
        <v>9301100</v>
      </c>
      <c r="G1374" s="39" t="n">
        <f aca="false">IF(E1374="KANTOR",0,INDEX(Master_Customer!$C$2:$C$126,MATCH(C1374,Master_Customer!$A$2:$A$126,0)))</f>
        <v>0</v>
      </c>
      <c r="H1374" s="53" t="n">
        <f aca="false">B1374+G1374</f>
        <v>45945</v>
      </c>
      <c r="J1374" s="39" t="str">
        <f aca="false">IF(G1374=0,"Tunai",IF(I1374="","Belum ditukar","Sudah ditukar"))</f>
        <v>Tunai</v>
      </c>
      <c r="K1374" s="54" t="n">
        <v>9301100</v>
      </c>
      <c r="L1374" s="51" t="n">
        <v>45945</v>
      </c>
      <c r="M1374" s="52" t="n">
        <f aca="false">F1374-K1374</f>
        <v>0</v>
      </c>
      <c r="N1374" s="39" t="str">
        <f aca="false">IF(M1374&lt;=0,"Lunas",IF(K1374&gt;0,"Sebagian","Belum Bayar"))</f>
        <v>Lunas</v>
      </c>
      <c r="O1374" s="39" t="n">
        <f aca="false">IF(M1374&gt;0,MAX(0,Catatan!$B$3-H1374),0)</f>
        <v>0</v>
      </c>
      <c r="P1374" s="39" t="str">
        <f aca="false">IF(M1374&lt;=0,"Lunas",IF(Catatan!$B$3&lt;=H1374,"Belum Jatuh Tempo",IF(O1374&lt;=30,"1-30 hari",IF(O1374&lt;=60,"31-60 hari",IF(O1374&lt;=90,"61-90 hari","90+ hari")))))</f>
        <v>Lunas</v>
      </c>
      <c r="Q1374" s="50"/>
      <c r="R1374" s="39" t="str">
        <f aca="false">IF(M1374&lt;=0,"",IF(O1374&gt;60,"1-Tinggi",IF(O1374&gt;30,"2-Sedang",IF(O1374&gt;0,"3-Rendah","4-Pantau"))))</f>
        <v/>
      </c>
      <c r="S1374" s="39" t="str">
        <f aca="false">IF(AND(M1374&gt;0,O1374&gt;0),O1374+M1374/1000000000000+ROW()/1000000000000000,"")</f>
        <v/>
      </c>
      <c r="T1374" s="39" t="str">
        <f aca="false">IF(J1374="Belum ditukar",ROW(),"")</f>
        <v/>
      </c>
    </row>
    <row r="1375" customFormat="false" ht="15" hidden="false" customHeight="false" outlineLevel="0" collapsed="false">
      <c r="A1375" s="50" t="s">
        <v>1662</v>
      </c>
      <c r="B1375" s="51" t="n">
        <v>45945</v>
      </c>
      <c r="C1375" s="50" t="s">
        <v>349</v>
      </c>
      <c r="D1375" s="39" t="str">
        <f aca="false">INDEX(Master_Customer!$B$2:$B$126,MATCH(C1375,Master_Customer!$A$2:$A$126,0))</f>
        <v>MITRA GARAGE MULIA</v>
      </c>
      <c r="E1375" s="50" t="s">
        <v>28</v>
      </c>
      <c r="F1375" s="52" t="n">
        <f aca="false">SUMIFS(Data_Penjualan!$G$2:$G$5998,Data_Penjualan!$A$2:$A$5998,A1375)</f>
        <v>11978600</v>
      </c>
      <c r="G1375" s="39" t="n">
        <f aca="false">IF(E1375="KANTOR",0,INDEX(Master_Customer!$C$2:$C$126,MATCH(C1375,Master_Customer!$A$2:$A$126,0)))</f>
        <v>14</v>
      </c>
      <c r="H1375" s="53" t="n">
        <f aca="false">B1375+G1375</f>
        <v>45959</v>
      </c>
      <c r="I1375" s="51" t="n">
        <v>45949</v>
      </c>
      <c r="J1375" s="39" t="str">
        <f aca="false">IF(G1375=0,"Tunai",IF(I1375="","Belum ditukar","Sudah ditukar"))</f>
        <v>Sudah ditukar</v>
      </c>
      <c r="K1375" s="54" t="n">
        <v>0</v>
      </c>
      <c r="M1375" s="52" t="n">
        <f aca="false">F1375-K1375</f>
        <v>11978600</v>
      </c>
      <c r="N1375" s="39" t="str">
        <f aca="false">IF(M1375&lt;=0,"Lunas",IF(K1375&gt;0,"Sebagian","Belum Bayar"))</f>
        <v>Belum Bayar</v>
      </c>
      <c r="O1375" s="39" t="n">
        <f aca="false">IF(M1375&gt;0,MAX(0,Catatan!$B$3-H1375),0)</f>
        <v>63</v>
      </c>
      <c r="P1375" s="39" t="str">
        <f aca="false">IF(M1375&lt;=0,"Lunas",IF(Catatan!$B$3&lt;=H1375,"Belum Jatuh Tempo",IF(O1375&lt;=30,"1-30 hari",IF(O1375&lt;=60,"31-60 hari",IF(O1375&lt;=90,"61-90 hari","90+ hari")))))</f>
        <v>61-90 hari</v>
      </c>
      <c r="Q1375" s="50" t="s">
        <v>1426</v>
      </c>
      <c r="R1375" s="39" t="str">
        <f aca="false">IF(M1375&lt;=0,"",IF(O1375&gt;60,"1-Tinggi",IF(O1375&gt;30,"2-Sedang",IF(O1375&gt;0,"3-Rendah","4-Pantau"))))</f>
        <v>1-Tinggi</v>
      </c>
      <c r="S1375" s="39" t="n">
        <f aca="false">IF(AND(M1375&gt;0,O1375&gt;0),O1375+M1375/1000000000000+ROW()/1000000000000000,"")</f>
        <v>63.0000119786014</v>
      </c>
      <c r="T1375" s="39" t="str">
        <f aca="false">IF(J1375="Belum ditukar",ROW(),"")</f>
        <v/>
      </c>
    </row>
    <row r="1376" customFormat="false" ht="15" hidden="false" customHeight="false" outlineLevel="0" collapsed="false">
      <c r="A1376" s="50" t="s">
        <v>1663</v>
      </c>
      <c r="B1376" s="51" t="n">
        <v>45946</v>
      </c>
      <c r="C1376" s="50" t="s">
        <v>491</v>
      </c>
      <c r="D1376" s="39" t="str">
        <f aca="false">INDEX(Master_Customer!$B$2:$B$126,MATCH(C1376,Master_Customer!$A$2:$A$126,0))</f>
        <v>SINAR SERVICE</v>
      </c>
      <c r="E1376" s="50" t="s">
        <v>31</v>
      </c>
      <c r="F1376" s="52" t="n">
        <f aca="false">SUMIFS(Data_Penjualan!$G$2:$G$5998,Data_Penjualan!$A$2:$A$5998,A1376)</f>
        <v>414600</v>
      </c>
      <c r="G1376" s="39" t="n">
        <f aca="false">IF(E1376="KANTOR",0,INDEX(Master_Customer!$C$2:$C$126,MATCH(C1376,Master_Customer!$A$2:$A$126,0)))</f>
        <v>0</v>
      </c>
      <c r="H1376" s="53" t="n">
        <f aca="false">B1376+G1376</f>
        <v>45946</v>
      </c>
      <c r="J1376" s="39" t="str">
        <f aca="false">IF(G1376=0,"Tunai",IF(I1376="","Belum ditukar","Sudah ditukar"))</f>
        <v>Tunai</v>
      </c>
      <c r="K1376" s="54" t="n">
        <v>414600</v>
      </c>
      <c r="L1376" s="51" t="n">
        <v>45946</v>
      </c>
      <c r="M1376" s="52" t="n">
        <f aca="false">F1376-K1376</f>
        <v>0</v>
      </c>
      <c r="N1376" s="39" t="str">
        <f aca="false">IF(M1376&lt;=0,"Lunas",IF(K1376&gt;0,"Sebagian","Belum Bayar"))</f>
        <v>Lunas</v>
      </c>
      <c r="O1376" s="39" t="n">
        <f aca="false">IF(M1376&gt;0,MAX(0,Catatan!$B$3-H1376),0)</f>
        <v>0</v>
      </c>
      <c r="P1376" s="39" t="str">
        <f aca="false">IF(M1376&lt;=0,"Lunas",IF(Catatan!$B$3&lt;=H1376,"Belum Jatuh Tempo",IF(O1376&lt;=30,"1-30 hari",IF(O1376&lt;=60,"31-60 hari",IF(O1376&lt;=90,"61-90 hari","90+ hari")))))</f>
        <v>Lunas</v>
      </c>
      <c r="Q1376" s="50"/>
      <c r="R1376" s="39" t="str">
        <f aca="false">IF(M1376&lt;=0,"",IF(O1376&gt;60,"1-Tinggi",IF(O1376&gt;30,"2-Sedang",IF(O1376&gt;0,"3-Rendah","4-Pantau"))))</f>
        <v/>
      </c>
      <c r="S1376" s="39" t="str">
        <f aca="false">IF(AND(M1376&gt;0,O1376&gt;0),O1376+M1376/1000000000000+ROW()/1000000000000000,"")</f>
        <v/>
      </c>
      <c r="T1376" s="39" t="str">
        <f aca="false">IF(J1376="Belum ditukar",ROW(),"")</f>
        <v/>
      </c>
    </row>
    <row r="1377" customFormat="false" ht="15" hidden="false" customHeight="false" outlineLevel="0" collapsed="false">
      <c r="A1377" s="50" t="s">
        <v>1664</v>
      </c>
      <c r="B1377" s="51" t="n">
        <v>45946</v>
      </c>
      <c r="C1377" s="50" t="s">
        <v>566</v>
      </c>
      <c r="D1377" s="39" t="str">
        <f aca="false">INDEX(Master_Customer!$B$2:$B$126,MATCH(C1377,Master_Customer!$A$2:$A$126,0))</f>
        <v>UTAMA OLI SUMBER</v>
      </c>
      <c r="E1377" s="50" t="s">
        <v>28</v>
      </c>
      <c r="F1377" s="52" t="n">
        <f aca="false">SUMIFS(Data_Penjualan!$G$2:$G$5998,Data_Penjualan!$A$2:$A$5998,A1377)</f>
        <v>27699600</v>
      </c>
      <c r="G1377" s="39" t="n">
        <f aca="false">IF(E1377="KANTOR",0,INDEX(Master_Customer!$C$2:$C$126,MATCH(C1377,Master_Customer!$A$2:$A$126,0)))</f>
        <v>14</v>
      </c>
      <c r="H1377" s="53" t="n">
        <f aca="false">B1377+G1377</f>
        <v>45960</v>
      </c>
      <c r="I1377" s="51" t="n">
        <v>45949</v>
      </c>
      <c r="J1377" s="39" t="str">
        <f aca="false">IF(G1377=0,"Tunai",IF(I1377="","Belum ditukar","Sudah ditukar"))</f>
        <v>Sudah ditukar</v>
      </c>
      <c r="K1377" s="54" t="n">
        <v>27699600</v>
      </c>
      <c r="L1377" s="51" t="n">
        <v>45970</v>
      </c>
      <c r="M1377" s="52" t="n">
        <f aca="false">F1377-K1377</f>
        <v>0</v>
      </c>
      <c r="N1377" s="39" t="str">
        <f aca="false">IF(M1377&lt;=0,"Lunas",IF(K1377&gt;0,"Sebagian","Belum Bayar"))</f>
        <v>Lunas</v>
      </c>
      <c r="O1377" s="39" t="n">
        <f aca="false">IF(M1377&gt;0,MAX(0,Catatan!$B$3-H1377),0)</f>
        <v>0</v>
      </c>
      <c r="P1377" s="39" t="str">
        <f aca="false">IF(M1377&lt;=0,"Lunas",IF(Catatan!$B$3&lt;=H1377,"Belum Jatuh Tempo",IF(O1377&lt;=30,"1-30 hari",IF(O1377&lt;=60,"31-60 hari",IF(O1377&lt;=90,"61-90 hari","90+ hari")))))</f>
        <v>Lunas</v>
      </c>
      <c r="Q1377" s="50"/>
      <c r="R1377" s="39" t="str">
        <f aca="false">IF(M1377&lt;=0,"",IF(O1377&gt;60,"1-Tinggi",IF(O1377&gt;30,"2-Sedang",IF(O1377&gt;0,"3-Rendah","4-Pantau"))))</f>
        <v/>
      </c>
      <c r="S1377" s="39" t="str">
        <f aca="false">IF(AND(M1377&gt;0,O1377&gt;0),O1377+M1377/1000000000000+ROW()/1000000000000000,"")</f>
        <v/>
      </c>
      <c r="T1377" s="39" t="str">
        <f aca="false">IF(J1377="Belum ditukar",ROW(),"")</f>
        <v/>
      </c>
    </row>
    <row r="1378" customFormat="false" ht="15" hidden="false" customHeight="false" outlineLevel="0" collapsed="false">
      <c r="A1378" s="50" t="s">
        <v>1665</v>
      </c>
      <c r="B1378" s="51" t="n">
        <v>45946</v>
      </c>
      <c r="C1378" s="50" t="s">
        <v>197</v>
      </c>
      <c r="D1378" s="39" t="str">
        <f aca="false">INDEX(Master_Customer!$B$2:$B$126,MATCH(C1378,Master_Customer!$A$2:$A$126,0))</f>
        <v>UTAMA LUBRICANT HARAPAN</v>
      </c>
      <c r="E1378" s="50" t="s">
        <v>30</v>
      </c>
      <c r="F1378" s="52" t="n">
        <f aca="false">SUMIFS(Data_Penjualan!$G$2:$G$5998,Data_Penjualan!$A$2:$A$5998,A1378)</f>
        <v>11873400</v>
      </c>
      <c r="G1378" s="39" t="n">
        <f aca="false">IF(E1378="KANTOR",0,INDEX(Master_Customer!$C$2:$C$126,MATCH(C1378,Master_Customer!$A$2:$A$126,0)))</f>
        <v>30</v>
      </c>
      <c r="H1378" s="53" t="n">
        <f aca="false">B1378+G1378</f>
        <v>45976</v>
      </c>
      <c r="I1378" s="51" t="n">
        <v>45947</v>
      </c>
      <c r="J1378" s="39" t="str">
        <f aca="false">IF(G1378=0,"Tunai",IF(I1378="","Belum ditukar","Sudah ditukar"))</f>
        <v>Sudah ditukar</v>
      </c>
      <c r="K1378" s="54" t="n">
        <v>11873400</v>
      </c>
      <c r="L1378" s="51" t="n">
        <v>45975</v>
      </c>
      <c r="M1378" s="52" t="n">
        <f aca="false">F1378-K1378</f>
        <v>0</v>
      </c>
      <c r="N1378" s="39" t="str">
        <f aca="false">IF(M1378&lt;=0,"Lunas",IF(K1378&gt;0,"Sebagian","Belum Bayar"))</f>
        <v>Lunas</v>
      </c>
      <c r="O1378" s="39" t="n">
        <f aca="false">IF(M1378&gt;0,MAX(0,Catatan!$B$3-H1378),0)</f>
        <v>0</v>
      </c>
      <c r="P1378" s="39" t="str">
        <f aca="false">IF(M1378&lt;=0,"Lunas",IF(Catatan!$B$3&lt;=H1378,"Belum Jatuh Tempo",IF(O1378&lt;=30,"1-30 hari",IF(O1378&lt;=60,"31-60 hari",IF(O1378&lt;=90,"61-90 hari","90+ hari")))))</f>
        <v>Lunas</v>
      </c>
      <c r="Q1378" s="50"/>
      <c r="R1378" s="39" t="str">
        <f aca="false">IF(M1378&lt;=0,"",IF(O1378&gt;60,"1-Tinggi",IF(O1378&gt;30,"2-Sedang",IF(O1378&gt;0,"3-Rendah","4-Pantau"))))</f>
        <v/>
      </c>
      <c r="S1378" s="39" t="str">
        <f aca="false">IF(AND(M1378&gt;0,O1378&gt;0),O1378+M1378/1000000000000+ROW()/1000000000000000,"")</f>
        <v/>
      </c>
      <c r="T1378" s="39" t="str">
        <f aca="false">IF(J1378="Belum ditukar",ROW(),"")</f>
        <v/>
      </c>
    </row>
    <row r="1379" customFormat="false" ht="15" hidden="false" customHeight="false" outlineLevel="0" collapsed="false">
      <c r="A1379" s="50" t="s">
        <v>1666</v>
      </c>
      <c r="B1379" s="51" t="n">
        <v>45946</v>
      </c>
      <c r="C1379" s="50" t="s">
        <v>174</v>
      </c>
      <c r="D1379" s="39" t="str">
        <f aca="false">INDEX(Master_Customer!$B$2:$B$126,MATCH(C1379,Master_Customer!$A$2:$A$126,0))</f>
        <v>SUMBER TEKNIK SURYA</v>
      </c>
      <c r="E1379" s="50" t="s">
        <v>31</v>
      </c>
      <c r="F1379" s="52" t="n">
        <f aca="false">SUMIFS(Data_Penjualan!$G$2:$G$5998,Data_Penjualan!$A$2:$A$5998,A1379)</f>
        <v>6868100</v>
      </c>
      <c r="G1379" s="39" t="n">
        <f aca="false">IF(E1379="KANTOR",0,INDEX(Master_Customer!$C$2:$C$126,MATCH(C1379,Master_Customer!$A$2:$A$126,0)))</f>
        <v>30</v>
      </c>
      <c r="H1379" s="53" t="n">
        <f aca="false">B1379+G1379</f>
        <v>45976</v>
      </c>
      <c r="I1379" s="51" t="n">
        <v>45948</v>
      </c>
      <c r="J1379" s="39" t="str">
        <f aca="false">IF(G1379=0,"Tunai",IF(I1379="","Belum ditukar","Sudah ditukar"))</f>
        <v>Sudah ditukar</v>
      </c>
      <c r="K1379" s="54" t="n">
        <v>6868100</v>
      </c>
      <c r="L1379" s="51" t="n">
        <v>45980</v>
      </c>
      <c r="M1379" s="52" t="n">
        <f aca="false">F1379-K1379</f>
        <v>0</v>
      </c>
      <c r="N1379" s="39" t="str">
        <f aca="false">IF(M1379&lt;=0,"Lunas",IF(K1379&gt;0,"Sebagian","Belum Bayar"))</f>
        <v>Lunas</v>
      </c>
      <c r="O1379" s="39" t="n">
        <f aca="false">IF(M1379&gt;0,MAX(0,Catatan!$B$3-H1379),0)</f>
        <v>0</v>
      </c>
      <c r="P1379" s="39" t="str">
        <f aca="false">IF(M1379&lt;=0,"Lunas",IF(Catatan!$B$3&lt;=H1379,"Belum Jatuh Tempo",IF(O1379&lt;=30,"1-30 hari",IF(O1379&lt;=60,"31-60 hari",IF(O1379&lt;=90,"61-90 hari","90+ hari")))))</f>
        <v>Lunas</v>
      </c>
      <c r="Q1379" s="50"/>
      <c r="R1379" s="39" t="str">
        <f aca="false">IF(M1379&lt;=0,"",IF(O1379&gt;60,"1-Tinggi",IF(O1379&gt;30,"2-Sedang",IF(O1379&gt;0,"3-Rendah","4-Pantau"))))</f>
        <v/>
      </c>
      <c r="S1379" s="39" t="str">
        <f aca="false">IF(AND(M1379&gt;0,O1379&gt;0),O1379+M1379/1000000000000+ROW()/1000000000000000,"")</f>
        <v/>
      </c>
      <c r="T1379" s="39" t="str">
        <f aca="false">IF(J1379="Belum ditukar",ROW(),"")</f>
        <v/>
      </c>
    </row>
    <row r="1380" customFormat="false" ht="15" hidden="false" customHeight="false" outlineLevel="0" collapsed="false">
      <c r="A1380" s="50" t="s">
        <v>1667</v>
      </c>
      <c r="B1380" s="51" t="n">
        <v>45946</v>
      </c>
      <c r="C1380" s="50" t="s">
        <v>1147</v>
      </c>
      <c r="D1380" s="39" t="str">
        <f aca="false">INDEX(Master_Customer!$B$2:$B$126,MATCH(C1380,Master_Customer!$A$2:$A$126,0))</f>
        <v>BINTANG GARAGE UTAMA</v>
      </c>
      <c r="E1380" s="50" t="s">
        <v>32</v>
      </c>
      <c r="F1380" s="52" t="n">
        <f aca="false">SUMIFS(Data_Penjualan!$G$2:$G$5998,Data_Penjualan!$A$2:$A$5998,A1380)</f>
        <v>3725300</v>
      </c>
      <c r="G1380" s="39" t="n">
        <f aca="false">IF(E1380="KANTOR",0,INDEX(Master_Customer!$C$2:$C$126,MATCH(C1380,Master_Customer!$A$2:$A$126,0)))</f>
        <v>0</v>
      </c>
      <c r="H1380" s="53" t="n">
        <f aca="false">B1380+G1380</f>
        <v>45946</v>
      </c>
      <c r="J1380" s="39" t="str">
        <f aca="false">IF(G1380=0,"Tunai",IF(I1380="","Belum ditukar","Sudah ditukar"))</f>
        <v>Tunai</v>
      </c>
      <c r="K1380" s="54" t="n">
        <v>3725300</v>
      </c>
      <c r="L1380" s="51" t="n">
        <v>45946</v>
      </c>
      <c r="M1380" s="52" t="n">
        <f aca="false">F1380-K1380</f>
        <v>0</v>
      </c>
      <c r="N1380" s="39" t="str">
        <f aca="false">IF(M1380&lt;=0,"Lunas",IF(K1380&gt;0,"Sebagian","Belum Bayar"))</f>
        <v>Lunas</v>
      </c>
      <c r="O1380" s="39" t="n">
        <f aca="false">IF(M1380&gt;0,MAX(0,Catatan!$B$3-H1380),0)</f>
        <v>0</v>
      </c>
      <c r="P1380" s="39" t="str">
        <f aca="false">IF(M1380&lt;=0,"Lunas",IF(Catatan!$B$3&lt;=H1380,"Belum Jatuh Tempo",IF(O1380&lt;=30,"1-30 hari",IF(O1380&lt;=60,"31-60 hari",IF(O1380&lt;=90,"61-90 hari","90+ hari")))))</f>
        <v>Lunas</v>
      </c>
      <c r="Q1380" s="50"/>
      <c r="R1380" s="39" t="str">
        <f aca="false">IF(M1380&lt;=0,"",IF(O1380&gt;60,"1-Tinggi",IF(O1380&gt;30,"2-Sedang",IF(O1380&gt;0,"3-Rendah","4-Pantau"))))</f>
        <v/>
      </c>
      <c r="S1380" s="39" t="str">
        <f aca="false">IF(AND(M1380&gt;0,O1380&gt;0),O1380+M1380/1000000000000+ROW()/1000000000000000,"")</f>
        <v/>
      </c>
      <c r="T1380" s="39" t="str">
        <f aca="false">IF(J1380="Belum ditukar",ROW(),"")</f>
        <v/>
      </c>
    </row>
    <row r="1381" customFormat="false" ht="15" hidden="false" customHeight="false" outlineLevel="0" collapsed="false">
      <c r="A1381" s="50" t="s">
        <v>1668</v>
      </c>
      <c r="B1381" s="51" t="n">
        <v>45946</v>
      </c>
      <c r="C1381" s="50" t="s">
        <v>289</v>
      </c>
      <c r="D1381" s="39" t="str">
        <f aca="false">INDEX(Master_Customer!$B$2:$B$126,MATCH(C1381,Master_Customer!$A$2:$A$126,0))</f>
        <v>SINAR GARAGE</v>
      </c>
      <c r="E1381" s="50" t="s">
        <v>28</v>
      </c>
      <c r="F1381" s="52" t="n">
        <f aca="false">SUMIFS(Data_Penjualan!$G$2:$G$5998,Data_Penjualan!$A$2:$A$5998,A1381)</f>
        <v>11269400</v>
      </c>
      <c r="G1381" s="39" t="n">
        <f aca="false">IF(E1381="KANTOR",0,INDEX(Master_Customer!$C$2:$C$126,MATCH(C1381,Master_Customer!$A$2:$A$126,0)))</f>
        <v>30</v>
      </c>
      <c r="H1381" s="53" t="n">
        <f aca="false">B1381+G1381</f>
        <v>45976</v>
      </c>
      <c r="I1381" s="51" t="n">
        <v>45949</v>
      </c>
      <c r="J1381" s="39" t="str">
        <f aca="false">IF(G1381=0,"Tunai",IF(I1381="","Belum ditukar","Sudah ditukar"))</f>
        <v>Sudah ditukar</v>
      </c>
      <c r="K1381" s="54" t="n">
        <v>11269400</v>
      </c>
      <c r="L1381" s="51" t="n">
        <v>45972</v>
      </c>
      <c r="M1381" s="52" t="n">
        <f aca="false">F1381-K1381</f>
        <v>0</v>
      </c>
      <c r="N1381" s="39" t="str">
        <f aca="false">IF(M1381&lt;=0,"Lunas",IF(K1381&gt;0,"Sebagian","Belum Bayar"))</f>
        <v>Lunas</v>
      </c>
      <c r="O1381" s="39" t="n">
        <f aca="false">IF(M1381&gt;0,MAX(0,Catatan!$B$3-H1381),0)</f>
        <v>0</v>
      </c>
      <c r="P1381" s="39" t="str">
        <f aca="false">IF(M1381&lt;=0,"Lunas",IF(Catatan!$B$3&lt;=H1381,"Belum Jatuh Tempo",IF(O1381&lt;=30,"1-30 hari",IF(O1381&lt;=60,"31-60 hari",IF(O1381&lt;=90,"61-90 hari","90+ hari")))))</f>
        <v>Lunas</v>
      </c>
      <c r="Q1381" s="50"/>
      <c r="R1381" s="39" t="str">
        <f aca="false">IF(M1381&lt;=0,"",IF(O1381&gt;60,"1-Tinggi",IF(O1381&gt;30,"2-Sedang",IF(O1381&gt;0,"3-Rendah","4-Pantau"))))</f>
        <v/>
      </c>
      <c r="S1381" s="39" t="str">
        <f aca="false">IF(AND(M1381&gt;0,O1381&gt;0),O1381+M1381/1000000000000+ROW()/1000000000000000,"")</f>
        <v/>
      </c>
      <c r="T1381" s="39" t="str">
        <f aca="false">IF(J1381="Belum ditukar",ROW(),"")</f>
        <v/>
      </c>
    </row>
    <row r="1382" customFormat="false" ht="15" hidden="false" customHeight="false" outlineLevel="0" collapsed="false">
      <c r="A1382" s="50" t="s">
        <v>1669</v>
      </c>
      <c r="B1382" s="51" t="n">
        <v>45946</v>
      </c>
      <c r="C1382" s="50" t="s">
        <v>232</v>
      </c>
      <c r="D1382" s="39" t="str">
        <f aca="false">INDEX(Master_Customer!$B$2:$B$126,MATCH(C1382,Master_Customer!$A$2:$A$126,0))</f>
        <v>ABADI LUBRICANT KARYA</v>
      </c>
      <c r="E1382" s="50" t="s">
        <v>29</v>
      </c>
      <c r="F1382" s="52" t="n">
        <f aca="false">SUMIFS(Data_Penjualan!$G$2:$G$5998,Data_Penjualan!$A$2:$A$5998,A1382)</f>
        <v>12298700</v>
      </c>
      <c r="G1382" s="39" t="n">
        <f aca="false">IF(E1382="KANTOR",0,INDEX(Master_Customer!$C$2:$C$126,MATCH(C1382,Master_Customer!$A$2:$A$126,0)))</f>
        <v>14</v>
      </c>
      <c r="H1382" s="53" t="n">
        <f aca="false">B1382+G1382</f>
        <v>45960</v>
      </c>
      <c r="I1382" s="51" t="n">
        <v>45951</v>
      </c>
      <c r="J1382" s="39" t="str">
        <f aca="false">IF(G1382=0,"Tunai",IF(I1382="","Belum ditukar","Sudah ditukar"))</f>
        <v>Sudah ditukar</v>
      </c>
      <c r="K1382" s="54" t="n">
        <v>12298700</v>
      </c>
      <c r="L1382" s="51" t="n">
        <v>45957</v>
      </c>
      <c r="M1382" s="52" t="n">
        <f aca="false">F1382-K1382</f>
        <v>0</v>
      </c>
      <c r="N1382" s="39" t="str">
        <f aca="false">IF(M1382&lt;=0,"Lunas",IF(K1382&gt;0,"Sebagian","Belum Bayar"))</f>
        <v>Lunas</v>
      </c>
      <c r="O1382" s="39" t="n">
        <f aca="false">IF(M1382&gt;0,MAX(0,Catatan!$B$3-H1382),0)</f>
        <v>0</v>
      </c>
      <c r="P1382" s="39" t="str">
        <f aca="false">IF(M1382&lt;=0,"Lunas",IF(Catatan!$B$3&lt;=H1382,"Belum Jatuh Tempo",IF(O1382&lt;=30,"1-30 hari",IF(O1382&lt;=60,"31-60 hari",IF(O1382&lt;=90,"61-90 hari","90+ hari")))))</f>
        <v>Lunas</v>
      </c>
      <c r="Q1382" s="50"/>
      <c r="R1382" s="39" t="str">
        <f aca="false">IF(M1382&lt;=0,"",IF(O1382&gt;60,"1-Tinggi",IF(O1382&gt;30,"2-Sedang",IF(O1382&gt;0,"3-Rendah","4-Pantau"))))</f>
        <v/>
      </c>
      <c r="S1382" s="39" t="str">
        <f aca="false">IF(AND(M1382&gt;0,O1382&gt;0),O1382+M1382/1000000000000+ROW()/1000000000000000,"")</f>
        <v/>
      </c>
      <c r="T1382" s="39" t="str">
        <f aca="false">IF(J1382="Belum ditukar",ROW(),"")</f>
        <v/>
      </c>
    </row>
    <row r="1383" customFormat="false" ht="15" hidden="false" customHeight="false" outlineLevel="0" collapsed="false">
      <c r="A1383" s="50" t="s">
        <v>1670</v>
      </c>
      <c r="B1383" s="51" t="n">
        <v>45946</v>
      </c>
      <c r="C1383" s="50" t="s">
        <v>174</v>
      </c>
      <c r="D1383" s="39" t="str">
        <f aca="false">INDEX(Master_Customer!$B$2:$B$126,MATCH(C1383,Master_Customer!$A$2:$A$126,0))</f>
        <v>SUMBER TEKNIK SURYA</v>
      </c>
      <c r="E1383" s="50" t="s">
        <v>32</v>
      </c>
      <c r="F1383" s="52" t="n">
        <f aca="false">SUMIFS(Data_Penjualan!$G$2:$G$5998,Data_Penjualan!$A$2:$A$5998,A1383)</f>
        <v>6204900</v>
      </c>
      <c r="G1383" s="39" t="n">
        <f aca="false">IF(E1383="KANTOR",0,INDEX(Master_Customer!$C$2:$C$126,MATCH(C1383,Master_Customer!$A$2:$A$126,0)))</f>
        <v>0</v>
      </c>
      <c r="H1383" s="53" t="n">
        <f aca="false">B1383+G1383</f>
        <v>45946</v>
      </c>
      <c r="J1383" s="39" t="str">
        <f aca="false">IF(G1383=0,"Tunai",IF(I1383="","Belum ditukar","Sudah ditukar"))</f>
        <v>Tunai</v>
      </c>
      <c r="K1383" s="54" t="n">
        <v>6204900</v>
      </c>
      <c r="L1383" s="51" t="n">
        <v>45946</v>
      </c>
      <c r="M1383" s="52" t="n">
        <f aca="false">F1383-K1383</f>
        <v>0</v>
      </c>
      <c r="N1383" s="39" t="str">
        <f aca="false">IF(M1383&lt;=0,"Lunas",IF(K1383&gt;0,"Sebagian","Belum Bayar"))</f>
        <v>Lunas</v>
      </c>
      <c r="O1383" s="39" t="n">
        <f aca="false">IF(M1383&gt;0,MAX(0,Catatan!$B$3-H1383),0)</f>
        <v>0</v>
      </c>
      <c r="P1383" s="39" t="str">
        <f aca="false">IF(M1383&lt;=0,"Lunas",IF(Catatan!$B$3&lt;=H1383,"Belum Jatuh Tempo",IF(O1383&lt;=30,"1-30 hari",IF(O1383&lt;=60,"31-60 hari",IF(O1383&lt;=90,"61-90 hari","90+ hari")))))</f>
        <v>Lunas</v>
      </c>
      <c r="Q1383" s="50"/>
      <c r="R1383" s="39" t="str">
        <f aca="false">IF(M1383&lt;=0,"",IF(O1383&gt;60,"1-Tinggi",IF(O1383&gt;30,"2-Sedang",IF(O1383&gt;0,"3-Rendah","4-Pantau"))))</f>
        <v/>
      </c>
      <c r="S1383" s="39" t="str">
        <f aca="false">IF(AND(M1383&gt;0,O1383&gt;0),O1383+M1383/1000000000000+ROW()/1000000000000000,"")</f>
        <v/>
      </c>
      <c r="T1383" s="39" t="str">
        <f aca="false">IF(J1383="Belum ditukar",ROW(),"")</f>
        <v/>
      </c>
    </row>
    <row r="1384" customFormat="false" ht="15" hidden="false" customHeight="false" outlineLevel="0" collapsed="false">
      <c r="A1384" s="50" t="s">
        <v>1671</v>
      </c>
      <c r="B1384" s="51" t="n">
        <v>45946</v>
      </c>
      <c r="C1384" s="50" t="s">
        <v>419</v>
      </c>
      <c r="D1384" s="39" t="str">
        <f aca="false">INDEX(Master_Customer!$B$2:$B$126,MATCH(C1384,Master_Customer!$A$2:$A$126,0))</f>
        <v>UTAMA MOTOR</v>
      </c>
      <c r="E1384" s="50" t="s">
        <v>30</v>
      </c>
      <c r="F1384" s="52" t="n">
        <f aca="false">SUMIFS(Data_Penjualan!$G$2:$G$5998,Data_Penjualan!$A$2:$A$5998,A1384)</f>
        <v>14121200</v>
      </c>
      <c r="G1384" s="39" t="n">
        <f aca="false">IF(E1384="KANTOR",0,INDEX(Master_Customer!$C$2:$C$126,MATCH(C1384,Master_Customer!$A$2:$A$126,0)))</f>
        <v>14</v>
      </c>
      <c r="H1384" s="53" t="n">
        <f aca="false">B1384+G1384</f>
        <v>45960</v>
      </c>
      <c r="I1384" s="51" t="n">
        <v>45950</v>
      </c>
      <c r="J1384" s="39" t="str">
        <f aca="false">IF(G1384=0,"Tunai",IF(I1384="","Belum ditukar","Sudah ditukar"))</f>
        <v>Sudah ditukar</v>
      </c>
      <c r="K1384" s="54" t="n">
        <v>14121200</v>
      </c>
      <c r="L1384" s="51" t="n">
        <v>45957</v>
      </c>
      <c r="M1384" s="52" t="n">
        <f aca="false">F1384-K1384</f>
        <v>0</v>
      </c>
      <c r="N1384" s="39" t="str">
        <f aca="false">IF(M1384&lt;=0,"Lunas",IF(K1384&gt;0,"Sebagian","Belum Bayar"))</f>
        <v>Lunas</v>
      </c>
      <c r="O1384" s="39" t="n">
        <f aca="false">IF(M1384&gt;0,MAX(0,Catatan!$B$3-H1384),0)</f>
        <v>0</v>
      </c>
      <c r="P1384" s="39" t="str">
        <f aca="false">IF(M1384&lt;=0,"Lunas",IF(Catatan!$B$3&lt;=H1384,"Belum Jatuh Tempo",IF(O1384&lt;=30,"1-30 hari",IF(O1384&lt;=60,"31-60 hari",IF(O1384&lt;=90,"61-90 hari","90+ hari")))))</f>
        <v>Lunas</v>
      </c>
      <c r="Q1384" s="50"/>
      <c r="R1384" s="39" t="str">
        <f aca="false">IF(M1384&lt;=0,"",IF(O1384&gt;60,"1-Tinggi",IF(O1384&gt;30,"2-Sedang",IF(O1384&gt;0,"3-Rendah","4-Pantau"))))</f>
        <v/>
      </c>
      <c r="S1384" s="39" t="str">
        <f aca="false">IF(AND(M1384&gt;0,O1384&gt;0),O1384+M1384/1000000000000+ROW()/1000000000000000,"")</f>
        <v/>
      </c>
      <c r="T1384" s="39" t="str">
        <f aca="false">IF(J1384="Belum ditukar",ROW(),"")</f>
        <v/>
      </c>
    </row>
    <row r="1385" customFormat="false" ht="15" hidden="false" customHeight="false" outlineLevel="0" collapsed="false">
      <c r="A1385" s="50" t="s">
        <v>1672</v>
      </c>
      <c r="B1385" s="51" t="n">
        <v>45946</v>
      </c>
      <c r="C1385" s="50" t="s">
        <v>174</v>
      </c>
      <c r="D1385" s="39" t="str">
        <f aca="false">INDEX(Master_Customer!$B$2:$B$126,MATCH(C1385,Master_Customer!$A$2:$A$126,0))</f>
        <v>SUMBER TEKNIK SURYA</v>
      </c>
      <c r="E1385" s="50" t="s">
        <v>31</v>
      </c>
      <c r="F1385" s="52" t="n">
        <f aca="false">SUMIFS(Data_Penjualan!$G$2:$G$5998,Data_Penjualan!$A$2:$A$5998,A1385)</f>
        <v>6237700</v>
      </c>
      <c r="G1385" s="39" t="n">
        <f aca="false">IF(E1385="KANTOR",0,INDEX(Master_Customer!$C$2:$C$126,MATCH(C1385,Master_Customer!$A$2:$A$126,0)))</f>
        <v>30</v>
      </c>
      <c r="H1385" s="53" t="n">
        <f aca="false">B1385+G1385</f>
        <v>45976</v>
      </c>
      <c r="I1385" s="51" t="n">
        <v>45948</v>
      </c>
      <c r="J1385" s="39" t="str">
        <f aca="false">IF(G1385=0,"Tunai",IF(I1385="","Belum ditukar","Sudah ditukar"))</f>
        <v>Sudah ditukar</v>
      </c>
      <c r="K1385" s="54" t="n">
        <v>6237700</v>
      </c>
      <c r="L1385" s="51" t="n">
        <v>45978</v>
      </c>
      <c r="M1385" s="52" t="n">
        <f aca="false">F1385-K1385</f>
        <v>0</v>
      </c>
      <c r="N1385" s="39" t="str">
        <f aca="false">IF(M1385&lt;=0,"Lunas",IF(K1385&gt;0,"Sebagian","Belum Bayar"))</f>
        <v>Lunas</v>
      </c>
      <c r="O1385" s="39" t="n">
        <f aca="false">IF(M1385&gt;0,MAX(0,Catatan!$B$3-H1385),0)</f>
        <v>0</v>
      </c>
      <c r="P1385" s="39" t="str">
        <f aca="false">IF(M1385&lt;=0,"Lunas",IF(Catatan!$B$3&lt;=H1385,"Belum Jatuh Tempo",IF(O1385&lt;=30,"1-30 hari",IF(O1385&lt;=60,"31-60 hari",IF(O1385&lt;=90,"61-90 hari","90+ hari")))))</f>
        <v>Lunas</v>
      </c>
      <c r="Q1385" s="50"/>
      <c r="R1385" s="39" t="str">
        <f aca="false">IF(M1385&lt;=0,"",IF(O1385&gt;60,"1-Tinggi",IF(O1385&gt;30,"2-Sedang",IF(O1385&gt;0,"3-Rendah","4-Pantau"))))</f>
        <v/>
      </c>
      <c r="S1385" s="39" t="str">
        <f aca="false">IF(AND(M1385&gt;0,O1385&gt;0),O1385+M1385/1000000000000+ROW()/1000000000000000,"")</f>
        <v/>
      </c>
      <c r="T1385" s="39" t="str">
        <f aca="false">IF(J1385="Belum ditukar",ROW(),"")</f>
        <v/>
      </c>
    </row>
    <row r="1386" customFormat="false" ht="15" hidden="false" customHeight="false" outlineLevel="0" collapsed="false">
      <c r="A1386" s="50" t="s">
        <v>1673</v>
      </c>
      <c r="B1386" s="51" t="n">
        <v>45947</v>
      </c>
      <c r="C1386" s="50" t="s">
        <v>177</v>
      </c>
      <c r="D1386" s="39" t="str">
        <f aca="false">INDEX(Master_Customer!$B$2:$B$126,MATCH(C1386,Master_Customer!$A$2:$A$126,0))</f>
        <v>PRIMA MOTOR LANCAR</v>
      </c>
      <c r="E1386" s="50" t="s">
        <v>29</v>
      </c>
      <c r="F1386" s="52" t="n">
        <f aca="false">SUMIFS(Data_Penjualan!$G$2:$G$5998,Data_Penjualan!$A$2:$A$5998,A1386)</f>
        <v>11601000</v>
      </c>
      <c r="G1386" s="39" t="n">
        <f aca="false">IF(E1386="KANTOR",0,INDEX(Master_Customer!$C$2:$C$126,MATCH(C1386,Master_Customer!$A$2:$A$126,0)))</f>
        <v>14</v>
      </c>
      <c r="H1386" s="53" t="n">
        <f aca="false">B1386+G1386</f>
        <v>45961</v>
      </c>
      <c r="I1386" s="51" t="n">
        <v>45952</v>
      </c>
      <c r="J1386" s="39" t="str">
        <f aca="false">IF(G1386=0,"Tunai",IF(I1386="","Belum ditukar","Sudah ditukar"))</f>
        <v>Sudah ditukar</v>
      </c>
      <c r="K1386" s="54" t="n">
        <v>11601000</v>
      </c>
      <c r="L1386" s="51" t="n">
        <v>45957</v>
      </c>
      <c r="M1386" s="52" t="n">
        <f aca="false">F1386-K1386</f>
        <v>0</v>
      </c>
      <c r="N1386" s="39" t="str">
        <f aca="false">IF(M1386&lt;=0,"Lunas",IF(K1386&gt;0,"Sebagian","Belum Bayar"))</f>
        <v>Lunas</v>
      </c>
      <c r="O1386" s="39" t="n">
        <f aca="false">IF(M1386&gt;0,MAX(0,Catatan!$B$3-H1386),0)</f>
        <v>0</v>
      </c>
      <c r="P1386" s="39" t="str">
        <f aca="false">IF(M1386&lt;=0,"Lunas",IF(Catatan!$B$3&lt;=H1386,"Belum Jatuh Tempo",IF(O1386&lt;=30,"1-30 hari",IF(O1386&lt;=60,"31-60 hari",IF(O1386&lt;=90,"61-90 hari","90+ hari")))))</f>
        <v>Lunas</v>
      </c>
      <c r="Q1386" s="50"/>
      <c r="R1386" s="39" t="str">
        <f aca="false">IF(M1386&lt;=0,"",IF(O1386&gt;60,"1-Tinggi",IF(O1386&gt;30,"2-Sedang",IF(O1386&gt;0,"3-Rendah","4-Pantau"))))</f>
        <v/>
      </c>
      <c r="S1386" s="39" t="str">
        <f aca="false">IF(AND(M1386&gt;0,O1386&gt;0),O1386+M1386/1000000000000+ROW()/1000000000000000,"")</f>
        <v/>
      </c>
      <c r="T1386" s="39" t="str">
        <f aca="false">IF(J1386="Belum ditukar",ROW(),"")</f>
        <v/>
      </c>
    </row>
    <row r="1387" customFormat="false" ht="15" hidden="false" customHeight="false" outlineLevel="0" collapsed="false">
      <c r="A1387" s="50" t="s">
        <v>1674</v>
      </c>
      <c r="B1387" s="51" t="n">
        <v>45947</v>
      </c>
      <c r="C1387" s="50" t="s">
        <v>562</v>
      </c>
      <c r="D1387" s="39" t="str">
        <f aca="false">INDEX(Master_Customer!$B$2:$B$126,MATCH(C1387,Master_Customer!$A$2:$A$126,0))</f>
        <v>BERKAH SERVICE SENTOSA</v>
      </c>
      <c r="E1387" s="50" t="s">
        <v>28</v>
      </c>
      <c r="F1387" s="52" t="n">
        <f aca="false">SUMIFS(Data_Penjualan!$G$2:$G$5998,Data_Penjualan!$A$2:$A$5998,A1387)</f>
        <v>1835800</v>
      </c>
      <c r="G1387" s="39" t="n">
        <f aca="false">IF(E1387="KANTOR",0,INDEX(Master_Customer!$C$2:$C$126,MATCH(C1387,Master_Customer!$A$2:$A$126,0)))</f>
        <v>14</v>
      </c>
      <c r="H1387" s="53" t="n">
        <f aca="false">B1387+G1387</f>
        <v>45961</v>
      </c>
      <c r="I1387" s="51" t="n">
        <v>45952</v>
      </c>
      <c r="J1387" s="39" t="str">
        <f aca="false">IF(G1387=0,"Tunai",IF(I1387="","Belum ditukar","Sudah ditukar"))</f>
        <v>Sudah ditukar</v>
      </c>
      <c r="K1387" s="54" t="n">
        <v>1835800</v>
      </c>
      <c r="L1387" s="51" t="n">
        <v>45965</v>
      </c>
      <c r="M1387" s="52" t="n">
        <f aca="false">F1387-K1387</f>
        <v>0</v>
      </c>
      <c r="N1387" s="39" t="str">
        <f aca="false">IF(M1387&lt;=0,"Lunas",IF(K1387&gt;0,"Sebagian","Belum Bayar"))</f>
        <v>Lunas</v>
      </c>
      <c r="O1387" s="39" t="n">
        <f aca="false">IF(M1387&gt;0,MAX(0,Catatan!$B$3-H1387),0)</f>
        <v>0</v>
      </c>
      <c r="P1387" s="39" t="str">
        <f aca="false">IF(M1387&lt;=0,"Lunas",IF(Catatan!$B$3&lt;=H1387,"Belum Jatuh Tempo",IF(O1387&lt;=30,"1-30 hari",IF(O1387&lt;=60,"31-60 hari",IF(O1387&lt;=90,"61-90 hari","90+ hari")))))</f>
        <v>Lunas</v>
      </c>
      <c r="Q1387" s="50"/>
      <c r="R1387" s="39" t="str">
        <f aca="false">IF(M1387&lt;=0,"",IF(O1387&gt;60,"1-Tinggi",IF(O1387&gt;30,"2-Sedang",IF(O1387&gt;0,"3-Rendah","4-Pantau"))))</f>
        <v/>
      </c>
      <c r="S1387" s="39" t="str">
        <f aca="false">IF(AND(M1387&gt;0,O1387&gt;0),O1387+M1387/1000000000000+ROW()/1000000000000000,"")</f>
        <v/>
      </c>
      <c r="T1387" s="39" t="str">
        <f aca="false">IF(J1387="Belum ditukar",ROW(),"")</f>
        <v/>
      </c>
    </row>
    <row r="1388" customFormat="false" ht="15" hidden="false" customHeight="false" outlineLevel="0" collapsed="false">
      <c r="A1388" s="50" t="s">
        <v>1675</v>
      </c>
      <c r="B1388" s="51" t="n">
        <v>45947</v>
      </c>
      <c r="C1388" s="50" t="s">
        <v>286</v>
      </c>
      <c r="D1388" s="39" t="str">
        <f aca="false">INDEX(Master_Customer!$B$2:$B$126,MATCH(C1388,Master_Customer!$A$2:$A$126,0))</f>
        <v>CAHAYA AUTO</v>
      </c>
      <c r="E1388" s="50" t="s">
        <v>29</v>
      </c>
      <c r="F1388" s="52" t="n">
        <f aca="false">SUMIFS(Data_Penjualan!$G$2:$G$5998,Data_Penjualan!$A$2:$A$5998,A1388)</f>
        <v>3352800</v>
      </c>
      <c r="G1388" s="39" t="n">
        <f aca="false">IF(E1388="KANTOR",0,INDEX(Master_Customer!$C$2:$C$126,MATCH(C1388,Master_Customer!$A$2:$A$126,0)))</f>
        <v>0</v>
      </c>
      <c r="H1388" s="53" t="n">
        <f aca="false">B1388+G1388</f>
        <v>45947</v>
      </c>
      <c r="J1388" s="39" t="str">
        <f aca="false">IF(G1388=0,"Tunai",IF(I1388="","Belum ditukar","Sudah ditukar"))</f>
        <v>Tunai</v>
      </c>
      <c r="K1388" s="54" t="n">
        <v>3352800</v>
      </c>
      <c r="L1388" s="51" t="n">
        <v>45947</v>
      </c>
      <c r="M1388" s="52" t="n">
        <f aca="false">F1388-K1388</f>
        <v>0</v>
      </c>
      <c r="N1388" s="39" t="str">
        <f aca="false">IF(M1388&lt;=0,"Lunas",IF(K1388&gt;0,"Sebagian","Belum Bayar"))</f>
        <v>Lunas</v>
      </c>
      <c r="O1388" s="39" t="n">
        <f aca="false">IF(M1388&gt;0,MAX(0,Catatan!$B$3-H1388),0)</f>
        <v>0</v>
      </c>
      <c r="P1388" s="39" t="str">
        <f aca="false">IF(M1388&lt;=0,"Lunas",IF(Catatan!$B$3&lt;=H1388,"Belum Jatuh Tempo",IF(O1388&lt;=30,"1-30 hari",IF(O1388&lt;=60,"31-60 hari",IF(O1388&lt;=90,"61-90 hari","90+ hari")))))</f>
        <v>Lunas</v>
      </c>
      <c r="Q1388" s="50"/>
      <c r="R1388" s="39" t="str">
        <f aca="false">IF(M1388&lt;=0,"",IF(O1388&gt;60,"1-Tinggi",IF(O1388&gt;30,"2-Sedang",IF(O1388&gt;0,"3-Rendah","4-Pantau"))))</f>
        <v/>
      </c>
      <c r="S1388" s="39" t="str">
        <f aca="false">IF(AND(M1388&gt;0,O1388&gt;0),O1388+M1388/1000000000000+ROW()/1000000000000000,"")</f>
        <v/>
      </c>
      <c r="T1388" s="39" t="str">
        <f aca="false">IF(J1388="Belum ditukar",ROW(),"")</f>
        <v/>
      </c>
    </row>
    <row r="1389" customFormat="false" ht="15" hidden="false" customHeight="false" outlineLevel="0" collapsed="false">
      <c r="A1389" s="50" t="s">
        <v>1676</v>
      </c>
      <c r="B1389" s="51" t="n">
        <v>45948</v>
      </c>
      <c r="C1389" s="50" t="s">
        <v>293</v>
      </c>
      <c r="D1389" s="39" t="str">
        <f aca="false">INDEX(Master_Customer!$B$2:$B$126,MATCH(C1389,Master_Customer!$A$2:$A$126,0))</f>
        <v>SINAR LUBRICANT</v>
      </c>
      <c r="E1389" s="50" t="s">
        <v>31</v>
      </c>
      <c r="F1389" s="52" t="n">
        <f aca="false">SUMIFS(Data_Penjualan!$G$2:$G$5998,Data_Penjualan!$A$2:$A$5998,A1389)</f>
        <v>10857900</v>
      </c>
      <c r="G1389" s="39" t="n">
        <f aca="false">IF(E1389="KANTOR",0,INDEX(Master_Customer!$C$2:$C$126,MATCH(C1389,Master_Customer!$A$2:$A$126,0)))</f>
        <v>30</v>
      </c>
      <c r="H1389" s="53" t="n">
        <f aca="false">B1389+G1389</f>
        <v>45978</v>
      </c>
      <c r="I1389" s="51" t="n">
        <v>45952</v>
      </c>
      <c r="J1389" s="39" t="str">
        <f aca="false">IF(G1389=0,"Tunai",IF(I1389="","Belum ditukar","Sudah ditukar"))</f>
        <v>Sudah ditukar</v>
      </c>
      <c r="K1389" s="54" t="n">
        <v>10857900</v>
      </c>
      <c r="L1389" s="51" t="n">
        <v>46001</v>
      </c>
      <c r="M1389" s="52" t="n">
        <f aca="false">F1389-K1389</f>
        <v>0</v>
      </c>
      <c r="N1389" s="39" t="str">
        <f aca="false">IF(M1389&lt;=0,"Lunas",IF(K1389&gt;0,"Sebagian","Belum Bayar"))</f>
        <v>Lunas</v>
      </c>
      <c r="O1389" s="39" t="n">
        <f aca="false">IF(M1389&gt;0,MAX(0,Catatan!$B$3-H1389),0)</f>
        <v>0</v>
      </c>
      <c r="P1389" s="39" t="str">
        <f aca="false">IF(M1389&lt;=0,"Lunas",IF(Catatan!$B$3&lt;=H1389,"Belum Jatuh Tempo",IF(O1389&lt;=30,"1-30 hari",IF(O1389&lt;=60,"31-60 hari",IF(O1389&lt;=90,"61-90 hari","90+ hari")))))</f>
        <v>Lunas</v>
      </c>
      <c r="Q1389" s="50"/>
      <c r="R1389" s="39" t="str">
        <f aca="false">IF(M1389&lt;=0,"",IF(O1389&gt;60,"1-Tinggi",IF(O1389&gt;30,"2-Sedang",IF(O1389&gt;0,"3-Rendah","4-Pantau"))))</f>
        <v/>
      </c>
      <c r="S1389" s="39" t="str">
        <f aca="false">IF(AND(M1389&gt;0,O1389&gt;0),O1389+M1389/1000000000000+ROW()/1000000000000000,"")</f>
        <v/>
      </c>
      <c r="T1389" s="39" t="str">
        <f aca="false">IF(J1389="Belum ditukar",ROW(),"")</f>
        <v/>
      </c>
    </row>
    <row r="1390" customFormat="false" ht="15" hidden="false" customHeight="false" outlineLevel="0" collapsed="false">
      <c r="A1390" s="50" t="s">
        <v>1677</v>
      </c>
      <c r="B1390" s="51" t="n">
        <v>45948</v>
      </c>
      <c r="C1390" s="50" t="s">
        <v>566</v>
      </c>
      <c r="D1390" s="39" t="str">
        <f aca="false">INDEX(Master_Customer!$B$2:$B$126,MATCH(C1390,Master_Customer!$A$2:$A$126,0))</f>
        <v>UTAMA OLI SUMBER</v>
      </c>
      <c r="E1390" s="50" t="s">
        <v>28</v>
      </c>
      <c r="F1390" s="52" t="n">
        <f aca="false">SUMIFS(Data_Penjualan!$G$2:$G$5998,Data_Penjualan!$A$2:$A$5998,A1390)</f>
        <v>3736200</v>
      </c>
      <c r="G1390" s="39" t="n">
        <f aca="false">IF(E1390="KANTOR",0,INDEX(Master_Customer!$C$2:$C$126,MATCH(C1390,Master_Customer!$A$2:$A$126,0)))</f>
        <v>14</v>
      </c>
      <c r="H1390" s="53" t="n">
        <f aca="false">B1390+G1390</f>
        <v>45962</v>
      </c>
      <c r="I1390" s="51" t="n">
        <v>45953</v>
      </c>
      <c r="J1390" s="39" t="str">
        <f aca="false">IF(G1390=0,"Tunai",IF(I1390="","Belum ditukar","Sudah ditukar"))</f>
        <v>Sudah ditukar</v>
      </c>
      <c r="K1390" s="54" t="n">
        <v>3736200</v>
      </c>
      <c r="L1390" s="51" t="n">
        <v>45967</v>
      </c>
      <c r="M1390" s="52" t="n">
        <f aca="false">F1390-K1390</f>
        <v>0</v>
      </c>
      <c r="N1390" s="39" t="str">
        <f aca="false">IF(M1390&lt;=0,"Lunas",IF(K1390&gt;0,"Sebagian","Belum Bayar"))</f>
        <v>Lunas</v>
      </c>
      <c r="O1390" s="39" t="n">
        <f aca="false">IF(M1390&gt;0,MAX(0,Catatan!$B$3-H1390),0)</f>
        <v>0</v>
      </c>
      <c r="P1390" s="39" t="str">
        <f aca="false">IF(M1390&lt;=0,"Lunas",IF(Catatan!$B$3&lt;=H1390,"Belum Jatuh Tempo",IF(O1390&lt;=30,"1-30 hari",IF(O1390&lt;=60,"31-60 hari",IF(O1390&lt;=90,"61-90 hari","90+ hari")))))</f>
        <v>Lunas</v>
      </c>
      <c r="Q1390" s="50"/>
      <c r="R1390" s="39" t="str">
        <f aca="false">IF(M1390&lt;=0,"",IF(O1390&gt;60,"1-Tinggi",IF(O1390&gt;30,"2-Sedang",IF(O1390&gt;0,"3-Rendah","4-Pantau"))))</f>
        <v/>
      </c>
      <c r="S1390" s="39" t="str">
        <f aca="false">IF(AND(M1390&gt;0,O1390&gt;0),O1390+M1390/1000000000000+ROW()/1000000000000000,"")</f>
        <v/>
      </c>
      <c r="T1390" s="39" t="str">
        <f aca="false">IF(J1390="Belum ditukar",ROW(),"")</f>
        <v/>
      </c>
    </row>
    <row r="1391" customFormat="false" ht="15" hidden="false" customHeight="false" outlineLevel="0" collapsed="false">
      <c r="A1391" s="50" t="s">
        <v>1678</v>
      </c>
      <c r="B1391" s="51" t="n">
        <v>45948</v>
      </c>
      <c r="C1391" s="50" t="s">
        <v>430</v>
      </c>
      <c r="D1391" s="39" t="str">
        <f aca="false">INDEX(Master_Customer!$B$2:$B$126,MATCH(C1391,Master_Customer!$A$2:$A$126,0))</f>
        <v>TIRTA MOBIL</v>
      </c>
      <c r="E1391" s="50" t="s">
        <v>28</v>
      </c>
      <c r="F1391" s="52" t="n">
        <f aca="false">SUMIFS(Data_Penjualan!$G$2:$G$5998,Data_Penjualan!$A$2:$A$5998,A1391)</f>
        <v>10520200</v>
      </c>
      <c r="G1391" s="39" t="n">
        <f aca="false">IF(E1391="KANTOR",0,INDEX(Master_Customer!$C$2:$C$126,MATCH(C1391,Master_Customer!$A$2:$A$126,0)))</f>
        <v>30</v>
      </c>
      <c r="H1391" s="53" t="n">
        <f aca="false">B1391+G1391</f>
        <v>45978</v>
      </c>
      <c r="I1391" s="51" t="n">
        <v>45951</v>
      </c>
      <c r="J1391" s="39" t="str">
        <f aca="false">IF(G1391=0,"Tunai",IF(I1391="","Belum ditukar","Sudah ditukar"))</f>
        <v>Sudah ditukar</v>
      </c>
      <c r="K1391" s="54" t="n">
        <v>10520200</v>
      </c>
      <c r="L1391" s="51" t="n">
        <v>45982</v>
      </c>
      <c r="M1391" s="52" t="n">
        <f aca="false">F1391-K1391</f>
        <v>0</v>
      </c>
      <c r="N1391" s="39" t="str">
        <f aca="false">IF(M1391&lt;=0,"Lunas",IF(K1391&gt;0,"Sebagian","Belum Bayar"))</f>
        <v>Lunas</v>
      </c>
      <c r="O1391" s="39" t="n">
        <f aca="false">IF(M1391&gt;0,MAX(0,Catatan!$B$3-H1391),0)</f>
        <v>0</v>
      </c>
      <c r="P1391" s="39" t="str">
        <f aca="false">IF(M1391&lt;=0,"Lunas",IF(Catatan!$B$3&lt;=H1391,"Belum Jatuh Tempo",IF(O1391&lt;=30,"1-30 hari",IF(O1391&lt;=60,"31-60 hari",IF(O1391&lt;=90,"61-90 hari","90+ hari")))))</f>
        <v>Lunas</v>
      </c>
      <c r="Q1391" s="50"/>
      <c r="R1391" s="39" t="str">
        <f aca="false">IF(M1391&lt;=0,"",IF(O1391&gt;60,"1-Tinggi",IF(O1391&gt;30,"2-Sedang",IF(O1391&gt;0,"3-Rendah","4-Pantau"))))</f>
        <v/>
      </c>
      <c r="S1391" s="39" t="str">
        <f aca="false">IF(AND(M1391&gt;0,O1391&gt;0),O1391+M1391/1000000000000+ROW()/1000000000000000,"")</f>
        <v/>
      </c>
      <c r="T1391" s="39" t="str">
        <f aca="false">IF(J1391="Belum ditukar",ROW(),"")</f>
        <v/>
      </c>
    </row>
    <row r="1392" customFormat="false" ht="15" hidden="false" customHeight="false" outlineLevel="0" collapsed="false">
      <c r="A1392" s="50" t="s">
        <v>1679</v>
      </c>
      <c r="B1392" s="51" t="n">
        <v>45948</v>
      </c>
      <c r="C1392" s="50" t="s">
        <v>174</v>
      </c>
      <c r="D1392" s="39" t="str">
        <f aca="false">INDEX(Master_Customer!$B$2:$B$126,MATCH(C1392,Master_Customer!$A$2:$A$126,0))</f>
        <v>SUMBER TEKNIK SURYA</v>
      </c>
      <c r="E1392" s="50" t="s">
        <v>31</v>
      </c>
      <c r="F1392" s="52" t="n">
        <f aca="false">SUMIFS(Data_Penjualan!$G$2:$G$5998,Data_Penjualan!$A$2:$A$5998,A1392)</f>
        <v>1848400</v>
      </c>
      <c r="G1392" s="39" t="n">
        <f aca="false">IF(E1392="KANTOR",0,INDEX(Master_Customer!$C$2:$C$126,MATCH(C1392,Master_Customer!$A$2:$A$126,0)))</f>
        <v>30</v>
      </c>
      <c r="H1392" s="53" t="n">
        <f aca="false">B1392+G1392</f>
        <v>45978</v>
      </c>
      <c r="I1392" s="51" t="n">
        <v>45953</v>
      </c>
      <c r="J1392" s="39" t="str">
        <f aca="false">IF(G1392=0,"Tunai",IF(I1392="","Belum ditukar","Sudah ditukar"))</f>
        <v>Sudah ditukar</v>
      </c>
      <c r="K1392" s="54" t="n">
        <v>1848400</v>
      </c>
      <c r="L1392" s="51" t="n">
        <v>45974</v>
      </c>
      <c r="M1392" s="52" t="n">
        <f aca="false">F1392-K1392</f>
        <v>0</v>
      </c>
      <c r="N1392" s="39" t="str">
        <f aca="false">IF(M1392&lt;=0,"Lunas",IF(K1392&gt;0,"Sebagian","Belum Bayar"))</f>
        <v>Lunas</v>
      </c>
      <c r="O1392" s="39" t="n">
        <f aca="false">IF(M1392&gt;0,MAX(0,Catatan!$B$3-H1392),0)</f>
        <v>0</v>
      </c>
      <c r="P1392" s="39" t="str">
        <f aca="false">IF(M1392&lt;=0,"Lunas",IF(Catatan!$B$3&lt;=H1392,"Belum Jatuh Tempo",IF(O1392&lt;=30,"1-30 hari",IF(O1392&lt;=60,"31-60 hari",IF(O1392&lt;=90,"61-90 hari","90+ hari")))))</f>
        <v>Lunas</v>
      </c>
      <c r="Q1392" s="50"/>
      <c r="R1392" s="39" t="str">
        <f aca="false">IF(M1392&lt;=0,"",IF(O1392&gt;60,"1-Tinggi",IF(O1392&gt;30,"2-Sedang",IF(O1392&gt;0,"3-Rendah","4-Pantau"))))</f>
        <v/>
      </c>
      <c r="S1392" s="39" t="str">
        <f aca="false">IF(AND(M1392&gt;0,O1392&gt;0),O1392+M1392/1000000000000+ROW()/1000000000000000,"")</f>
        <v/>
      </c>
      <c r="T1392" s="39" t="str">
        <f aca="false">IF(J1392="Belum ditukar",ROW(),"")</f>
        <v/>
      </c>
    </row>
    <row r="1393" customFormat="false" ht="15" hidden="false" customHeight="false" outlineLevel="0" collapsed="false">
      <c r="A1393" s="50" t="s">
        <v>1680</v>
      </c>
      <c r="B1393" s="51" t="n">
        <v>45948</v>
      </c>
      <c r="C1393" s="50" t="s">
        <v>358</v>
      </c>
      <c r="D1393" s="39" t="str">
        <f aca="false">INDEX(Master_Customer!$B$2:$B$126,MATCH(C1393,Master_Customer!$A$2:$A$126,0))</f>
        <v>HARAPAN TEKNIK</v>
      </c>
      <c r="E1393" s="50" t="s">
        <v>31</v>
      </c>
      <c r="F1393" s="52" t="n">
        <f aca="false">SUMIFS(Data_Penjualan!$G$2:$G$5998,Data_Penjualan!$A$2:$A$5998,A1393)</f>
        <v>6055500</v>
      </c>
      <c r="G1393" s="39" t="n">
        <f aca="false">IF(E1393="KANTOR",0,INDEX(Master_Customer!$C$2:$C$126,MATCH(C1393,Master_Customer!$A$2:$A$126,0)))</f>
        <v>0</v>
      </c>
      <c r="H1393" s="53" t="n">
        <f aca="false">B1393+G1393</f>
        <v>45948</v>
      </c>
      <c r="J1393" s="39" t="str">
        <f aca="false">IF(G1393=0,"Tunai",IF(I1393="","Belum ditukar","Sudah ditukar"))</f>
        <v>Tunai</v>
      </c>
      <c r="K1393" s="54" t="n">
        <v>6055500</v>
      </c>
      <c r="L1393" s="51" t="n">
        <v>45948</v>
      </c>
      <c r="M1393" s="52" t="n">
        <f aca="false">F1393-K1393</f>
        <v>0</v>
      </c>
      <c r="N1393" s="39" t="str">
        <f aca="false">IF(M1393&lt;=0,"Lunas",IF(K1393&gt;0,"Sebagian","Belum Bayar"))</f>
        <v>Lunas</v>
      </c>
      <c r="O1393" s="39" t="n">
        <f aca="false">IF(M1393&gt;0,MAX(0,Catatan!$B$3-H1393),0)</f>
        <v>0</v>
      </c>
      <c r="P1393" s="39" t="str">
        <f aca="false">IF(M1393&lt;=0,"Lunas",IF(Catatan!$B$3&lt;=H1393,"Belum Jatuh Tempo",IF(O1393&lt;=30,"1-30 hari",IF(O1393&lt;=60,"31-60 hari",IF(O1393&lt;=90,"61-90 hari","90+ hari")))))</f>
        <v>Lunas</v>
      </c>
      <c r="Q1393" s="50"/>
      <c r="R1393" s="39" t="str">
        <f aca="false">IF(M1393&lt;=0,"",IF(O1393&gt;60,"1-Tinggi",IF(O1393&gt;30,"2-Sedang",IF(O1393&gt;0,"3-Rendah","4-Pantau"))))</f>
        <v/>
      </c>
      <c r="S1393" s="39" t="str">
        <f aca="false">IF(AND(M1393&gt;0,O1393&gt;0),O1393+M1393/1000000000000+ROW()/1000000000000000,"")</f>
        <v/>
      </c>
      <c r="T1393" s="39" t="str">
        <f aca="false">IF(J1393="Belum ditukar",ROW(),"")</f>
        <v/>
      </c>
    </row>
    <row r="1394" customFormat="false" ht="15" hidden="false" customHeight="false" outlineLevel="0" collapsed="false">
      <c r="A1394" s="50" t="s">
        <v>1681</v>
      </c>
      <c r="B1394" s="51" t="n">
        <v>45948</v>
      </c>
      <c r="C1394" s="50" t="s">
        <v>243</v>
      </c>
      <c r="D1394" s="39" t="str">
        <f aca="false">INDEX(Master_Customer!$B$2:$B$126,MATCH(C1394,Master_Customer!$A$2:$A$126,0))</f>
        <v>SENTOSA LUBRICANT MULIA</v>
      </c>
      <c r="E1394" s="50" t="s">
        <v>32</v>
      </c>
      <c r="F1394" s="52" t="n">
        <f aca="false">SUMIFS(Data_Penjualan!$G$2:$G$5998,Data_Penjualan!$A$2:$A$5998,A1394)</f>
        <v>9860600</v>
      </c>
      <c r="G1394" s="39" t="n">
        <f aca="false">IF(E1394="KANTOR",0,INDEX(Master_Customer!$C$2:$C$126,MATCH(C1394,Master_Customer!$A$2:$A$126,0)))</f>
        <v>0</v>
      </c>
      <c r="H1394" s="53" t="n">
        <f aca="false">B1394+G1394</f>
        <v>45948</v>
      </c>
      <c r="J1394" s="39" t="str">
        <f aca="false">IF(G1394=0,"Tunai",IF(I1394="","Belum ditukar","Sudah ditukar"))</f>
        <v>Tunai</v>
      </c>
      <c r="K1394" s="54" t="n">
        <v>9860600</v>
      </c>
      <c r="L1394" s="51" t="n">
        <v>45948</v>
      </c>
      <c r="M1394" s="52" t="n">
        <f aca="false">F1394-K1394</f>
        <v>0</v>
      </c>
      <c r="N1394" s="39" t="str">
        <f aca="false">IF(M1394&lt;=0,"Lunas",IF(K1394&gt;0,"Sebagian","Belum Bayar"))</f>
        <v>Lunas</v>
      </c>
      <c r="O1394" s="39" t="n">
        <f aca="false">IF(M1394&gt;0,MAX(0,Catatan!$B$3-H1394),0)</f>
        <v>0</v>
      </c>
      <c r="P1394" s="39" t="str">
        <f aca="false">IF(M1394&lt;=0,"Lunas",IF(Catatan!$B$3&lt;=H1394,"Belum Jatuh Tempo",IF(O1394&lt;=30,"1-30 hari",IF(O1394&lt;=60,"31-60 hari",IF(O1394&lt;=90,"61-90 hari","90+ hari")))))</f>
        <v>Lunas</v>
      </c>
      <c r="Q1394" s="50"/>
      <c r="R1394" s="39" t="str">
        <f aca="false">IF(M1394&lt;=0,"",IF(O1394&gt;60,"1-Tinggi",IF(O1394&gt;30,"2-Sedang",IF(O1394&gt;0,"3-Rendah","4-Pantau"))))</f>
        <v/>
      </c>
      <c r="S1394" s="39" t="str">
        <f aca="false">IF(AND(M1394&gt;0,O1394&gt;0),O1394+M1394/1000000000000+ROW()/1000000000000000,"")</f>
        <v/>
      </c>
      <c r="T1394" s="39" t="str">
        <f aca="false">IF(J1394="Belum ditukar",ROW(),"")</f>
        <v/>
      </c>
    </row>
    <row r="1395" customFormat="false" ht="15" hidden="false" customHeight="false" outlineLevel="0" collapsed="false">
      <c r="A1395" s="50" t="s">
        <v>1682</v>
      </c>
      <c r="B1395" s="51" t="n">
        <v>45950</v>
      </c>
      <c r="C1395" s="50" t="s">
        <v>271</v>
      </c>
      <c r="D1395" s="39" t="str">
        <f aca="false">INDEX(Master_Customer!$B$2:$B$126,MATCH(C1395,Master_Customer!$A$2:$A$126,0))</f>
        <v>CAHAYA MOTOR</v>
      </c>
      <c r="E1395" s="50" t="s">
        <v>28</v>
      </c>
      <c r="F1395" s="52" t="n">
        <f aca="false">SUMIFS(Data_Penjualan!$G$2:$G$5998,Data_Penjualan!$A$2:$A$5998,A1395)</f>
        <v>10923400</v>
      </c>
      <c r="G1395" s="39" t="n">
        <f aca="false">IF(E1395="KANTOR",0,INDEX(Master_Customer!$C$2:$C$126,MATCH(C1395,Master_Customer!$A$2:$A$126,0)))</f>
        <v>14</v>
      </c>
      <c r="H1395" s="53" t="n">
        <f aca="false">B1395+G1395</f>
        <v>45964</v>
      </c>
      <c r="I1395" s="51" t="n">
        <v>45954</v>
      </c>
      <c r="J1395" s="39" t="str">
        <f aca="false">IF(G1395=0,"Tunai",IF(I1395="","Belum ditukar","Sudah ditukar"))</f>
        <v>Sudah ditukar</v>
      </c>
      <c r="K1395" s="54" t="n">
        <v>10923400</v>
      </c>
      <c r="L1395" s="51" t="n">
        <v>45961</v>
      </c>
      <c r="M1395" s="52" t="n">
        <f aca="false">F1395-K1395</f>
        <v>0</v>
      </c>
      <c r="N1395" s="39" t="str">
        <f aca="false">IF(M1395&lt;=0,"Lunas",IF(K1395&gt;0,"Sebagian","Belum Bayar"))</f>
        <v>Lunas</v>
      </c>
      <c r="O1395" s="39" t="n">
        <f aca="false">IF(M1395&gt;0,MAX(0,Catatan!$B$3-H1395),0)</f>
        <v>0</v>
      </c>
      <c r="P1395" s="39" t="str">
        <f aca="false">IF(M1395&lt;=0,"Lunas",IF(Catatan!$B$3&lt;=H1395,"Belum Jatuh Tempo",IF(O1395&lt;=30,"1-30 hari",IF(O1395&lt;=60,"31-60 hari",IF(O1395&lt;=90,"61-90 hari","90+ hari")))))</f>
        <v>Lunas</v>
      </c>
      <c r="Q1395" s="50"/>
      <c r="R1395" s="39" t="str">
        <f aca="false">IF(M1395&lt;=0,"",IF(O1395&gt;60,"1-Tinggi",IF(O1395&gt;30,"2-Sedang",IF(O1395&gt;0,"3-Rendah","4-Pantau"))))</f>
        <v/>
      </c>
      <c r="S1395" s="39" t="str">
        <f aca="false">IF(AND(M1395&gt;0,O1395&gt;0),O1395+M1395/1000000000000+ROW()/1000000000000000,"")</f>
        <v/>
      </c>
      <c r="T1395" s="39" t="str">
        <f aca="false">IF(J1395="Belum ditukar",ROW(),"")</f>
        <v/>
      </c>
    </row>
    <row r="1396" customFormat="false" ht="15" hidden="false" customHeight="false" outlineLevel="0" collapsed="false">
      <c r="A1396" s="50" t="s">
        <v>1683</v>
      </c>
      <c r="B1396" s="51" t="n">
        <v>45950</v>
      </c>
      <c r="C1396" s="50" t="s">
        <v>174</v>
      </c>
      <c r="D1396" s="39" t="str">
        <f aca="false">INDEX(Master_Customer!$B$2:$B$126,MATCH(C1396,Master_Customer!$A$2:$A$126,0))</f>
        <v>SUMBER TEKNIK SURYA</v>
      </c>
      <c r="E1396" s="50" t="s">
        <v>32</v>
      </c>
      <c r="F1396" s="52" t="n">
        <f aca="false">SUMIFS(Data_Penjualan!$G$2:$G$5998,Data_Penjualan!$A$2:$A$5998,A1396)</f>
        <v>9703000</v>
      </c>
      <c r="G1396" s="39" t="n">
        <f aca="false">IF(E1396="KANTOR",0,INDEX(Master_Customer!$C$2:$C$126,MATCH(C1396,Master_Customer!$A$2:$A$126,0)))</f>
        <v>0</v>
      </c>
      <c r="H1396" s="53" t="n">
        <f aca="false">B1396+G1396</f>
        <v>45950</v>
      </c>
      <c r="J1396" s="39" t="str">
        <f aca="false">IF(G1396=0,"Tunai",IF(I1396="","Belum ditukar","Sudah ditukar"))</f>
        <v>Tunai</v>
      </c>
      <c r="K1396" s="54" t="n">
        <v>9703000</v>
      </c>
      <c r="L1396" s="51" t="n">
        <v>45950</v>
      </c>
      <c r="M1396" s="52" t="n">
        <f aca="false">F1396-K1396</f>
        <v>0</v>
      </c>
      <c r="N1396" s="39" t="str">
        <f aca="false">IF(M1396&lt;=0,"Lunas",IF(K1396&gt;0,"Sebagian","Belum Bayar"))</f>
        <v>Lunas</v>
      </c>
      <c r="O1396" s="39" t="n">
        <f aca="false">IF(M1396&gt;0,MAX(0,Catatan!$B$3-H1396),0)</f>
        <v>0</v>
      </c>
      <c r="P1396" s="39" t="str">
        <f aca="false">IF(M1396&lt;=0,"Lunas",IF(Catatan!$B$3&lt;=H1396,"Belum Jatuh Tempo",IF(O1396&lt;=30,"1-30 hari",IF(O1396&lt;=60,"31-60 hari",IF(O1396&lt;=90,"61-90 hari","90+ hari")))))</f>
        <v>Lunas</v>
      </c>
      <c r="Q1396" s="50"/>
      <c r="R1396" s="39" t="str">
        <f aca="false">IF(M1396&lt;=0,"",IF(O1396&gt;60,"1-Tinggi",IF(O1396&gt;30,"2-Sedang",IF(O1396&gt;0,"3-Rendah","4-Pantau"))))</f>
        <v/>
      </c>
      <c r="S1396" s="39" t="str">
        <f aca="false">IF(AND(M1396&gt;0,O1396&gt;0),O1396+M1396/1000000000000+ROW()/1000000000000000,"")</f>
        <v/>
      </c>
      <c r="T1396" s="39" t="str">
        <f aca="false">IF(J1396="Belum ditukar",ROW(),"")</f>
        <v/>
      </c>
    </row>
    <row r="1397" customFormat="false" ht="15" hidden="false" customHeight="false" outlineLevel="0" collapsed="false">
      <c r="A1397" s="50" t="s">
        <v>1684</v>
      </c>
      <c r="B1397" s="51" t="n">
        <v>45951</v>
      </c>
      <c r="C1397" s="50" t="s">
        <v>216</v>
      </c>
      <c r="D1397" s="39" t="str">
        <f aca="false">INDEX(Master_Customer!$B$2:$B$126,MATCH(C1397,Master_Customer!$A$2:$A$126,0))</f>
        <v>SINAR MOTOR UTAMA</v>
      </c>
      <c r="E1397" s="50" t="s">
        <v>32</v>
      </c>
      <c r="F1397" s="52" t="n">
        <f aca="false">SUMIFS(Data_Penjualan!$G$2:$G$5998,Data_Penjualan!$A$2:$A$5998,A1397)</f>
        <v>5042900</v>
      </c>
      <c r="G1397" s="39" t="n">
        <f aca="false">IF(E1397="KANTOR",0,INDEX(Master_Customer!$C$2:$C$126,MATCH(C1397,Master_Customer!$A$2:$A$126,0)))</f>
        <v>0</v>
      </c>
      <c r="H1397" s="53" t="n">
        <f aca="false">B1397+G1397</f>
        <v>45951</v>
      </c>
      <c r="J1397" s="39" t="str">
        <f aca="false">IF(G1397=0,"Tunai",IF(I1397="","Belum ditukar","Sudah ditukar"))</f>
        <v>Tunai</v>
      </c>
      <c r="K1397" s="54" t="n">
        <v>5042900</v>
      </c>
      <c r="L1397" s="51" t="n">
        <v>45951</v>
      </c>
      <c r="M1397" s="52" t="n">
        <f aca="false">F1397-K1397</f>
        <v>0</v>
      </c>
      <c r="N1397" s="39" t="str">
        <f aca="false">IF(M1397&lt;=0,"Lunas",IF(K1397&gt;0,"Sebagian","Belum Bayar"))</f>
        <v>Lunas</v>
      </c>
      <c r="O1397" s="39" t="n">
        <f aca="false">IF(M1397&gt;0,MAX(0,Catatan!$B$3-H1397),0)</f>
        <v>0</v>
      </c>
      <c r="P1397" s="39" t="str">
        <f aca="false">IF(M1397&lt;=0,"Lunas",IF(Catatan!$B$3&lt;=H1397,"Belum Jatuh Tempo",IF(O1397&lt;=30,"1-30 hari",IF(O1397&lt;=60,"31-60 hari",IF(O1397&lt;=90,"61-90 hari","90+ hari")))))</f>
        <v>Lunas</v>
      </c>
      <c r="Q1397" s="50"/>
      <c r="R1397" s="39" t="str">
        <f aca="false">IF(M1397&lt;=0,"",IF(O1397&gt;60,"1-Tinggi",IF(O1397&gt;30,"2-Sedang",IF(O1397&gt;0,"3-Rendah","4-Pantau"))))</f>
        <v/>
      </c>
      <c r="S1397" s="39" t="str">
        <f aca="false">IF(AND(M1397&gt;0,O1397&gt;0),O1397+M1397/1000000000000+ROW()/1000000000000000,"")</f>
        <v/>
      </c>
      <c r="T1397" s="39" t="str">
        <f aca="false">IF(J1397="Belum ditukar",ROW(),"")</f>
        <v/>
      </c>
    </row>
    <row r="1398" customFormat="false" ht="15" hidden="false" customHeight="false" outlineLevel="0" collapsed="false">
      <c r="A1398" s="50" t="s">
        <v>1685</v>
      </c>
      <c r="B1398" s="51" t="n">
        <v>45951</v>
      </c>
      <c r="C1398" s="50" t="s">
        <v>349</v>
      </c>
      <c r="D1398" s="39" t="str">
        <f aca="false">INDEX(Master_Customer!$B$2:$B$126,MATCH(C1398,Master_Customer!$A$2:$A$126,0))</f>
        <v>MITRA GARAGE MULIA</v>
      </c>
      <c r="E1398" s="50" t="s">
        <v>28</v>
      </c>
      <c r="F1398" s="52" t="n">
        <f aca="false">SUMIFS(Data_Penjualan!$G$2:$G$5998,Data_Penjualan!$A$2:$A$5998,A1398)</f>
        <v>2476000</v>
      </c>
      <c r="G1398" s="39" t="n">
        <f aca="false">IF(E1398="KANTOR",0,INDEX(Master_Customer!$C$2:$C$126,MATCH(C1398,Master_Customer!$A$2:$A$126,0)))</f>
        <v>14</v>
      </c>
      <c r="H1398" s="53" t="n">
        <f aca="false">B1398+G1398</f>
        <v>45965</v>
      </c>
      <c r="I1398" s="51" t="n">
        <v>45953</v>
      </c>
      <c r="J1398" s="39" t="str">
        <f aca="false">IF(G1398=0,"Tunai",IF(I1398="","Belum ditukar","Sudah ditukar"))</f>
        <v>Sudah ditukar</v>
      </c>
      <c r="K1398" s="54" t="n">
        <v>1277000</v>
      </c>
      <c r="L1398" s="51" t="n">
        <v>46005</v>
      </c>
      <c r="M1398" s="52" t="n">
        <f aca="false">F1398-K1398</f>
        <v>1199000</v>
      </c>
      <c r="N1398" s="39" t="str">
        <f aca="false">IF(M1398&lt;=0,"Lunas",IF(K1398&gt;0,"Sebagian","Belum Bayar"))</f>
        <v>Sebagian</v>
      </c>
      <c r="O1398" s="39" t="n">
        <f aca="false">IF(M1398&gt;0,MAX(0,Catatan!$B$3-H1398),0)</f>
        <v>57</v>
      </c>
      <c r="P1398" s="39" t="str">
        <f aca="false">IF(M1398&lt;=0,"Lunas",IF(Catatan!$B$3&lt;=H1398,"Belum Jatuh Tempo",IF(O1398&lt;=30,"1-30 hari",IF(O1398&lt;=60,"31-60 hari",IF(O1398&lt;=90,"61-90 hari","90+ hari")))))</f>
        <v>31-60 hari</v>
      </c>
      <c r="Q1398" s="50" t="s">
        <v>338</v>
      </c>
      <c r="R1398" s="39" t="str">
        <f aca="false">IF(M1398&lt;=0,"",IF(O1398&gt;60,"1-Tinggi",IF(O1398&gt;30,"2-Sedang",IF(O1398&gt;0,"3-Rendah","4-Pantau"))))</f>
        <v>2-Sedang</v>
      </c>
      <c r="S1398" s="39" t="n">
        <f aca="false">IF(AND(M1398&gt;0,O1398&gt;0),O1398+M1398/1000000000000+ROW()/1000000000000000,"")</f>
        <v>57.0000011990014</v>
      </c>
      <c r="T1398" s="39" t="str">
        <f aca="false">IF(J1398="Belum ditukar",ROW(),"")</f>
        <v/>
      </c>
    </row>
    <row r="1399" customFormat="false" ht="15" hidden="false" customHeight="false" outlineLevel="0" collapsed="false">
      <c r="A1399" s="50" t="s">
        <v>1686</v>
      </c>
      <c r="B1399" s="51" t="n">
        <v>45951</v>
      </c>
      <c r="C1399" s="50" t="s">
        <v>256</v>
      </c>
      <c r="D1399" s="39" t="str">
        <f aca="false">INDEX(Master_Customer!$B$2:$B$126,MATCH(C1399,Master_Customer!$A$2:$A$126,0))</f>
        <v>HARAPAN SPAREPART</v>
      </c>
      <c r="E1399" s="50" t="s">
        <v>32</v>
      </c>
      <c r="F1399" s="52" t="n">
        <f aca="false">SUMIFS(Data_Penjualan!$G$2:$G$5998,Data_Penjualan!$A$2:$A$5998,A1399)</f>
        <v>7709700</v>
      </c>
      <c r="G1399" s="39" t="n">
        <f aca="false">IF(E1399="KANTOR",0,INDEX(Master_Customer!$C$2:$C$126,MATCH(C1399,Master_Customer!$A$2:$A$126,0)))</f>
        <v>0</v>
      </c>
      <c r="H1399" s="53" t="n">
        <f aca="false">B1399+G1399</f>
        <v>45951</v>
      </c>
      <c r="J1399" s="39" t="str">
        <f aca="false">IF(G1399=0,"Tunai",IF(I1399="","Belum ditukar","Sudah ditukar"))</f>
        <v>Tunai</v>
      </c>
      <c r="K1399" s="54" t="n">
        <v>7709700</v>
      </c>
      <c r="L1399" s="51" t="n">
        <v>45951</v>
      </c>
      <c r="M1399" s="52" t="n">
        <f aca="false">F1399-K1399</f>
        <v>0</v>
      </c>
      <c r="N1399" s="39" t="str">
        <f aca="false">IF(M1399&lt;=0,"Lunas",IF(K1399&gt;0,"Sebagian","Belum Bayar"))</f>
        <v>Lunas</v>
      </c>
      <c r="O1399" s="39" t="n">
        <f aca="false">IF(M1399&gt;0,MAX(0,Catatan!$B$3-H1399),0)</f>
        <v>0</v>
      </c>
      <c r="P1399" s="39" t="str">
        <f aca="false">IF(M1399&lt;=0,"Lunas",IF(Catatan!$B$3&lt;=H1399,"Belum Jatuh Tempo",IF(O1399&lt;=30,"1-30 hari",IF(O1399&lt;=60,"31-60 hari",IF(O1399&lt;=90,"61-90 hari","90+ hari")))))</f>
        <v>Lunas</v>
      </c>
      <c r="Q1399" s="50"/>
      <c r="R1399" s="39" t="str">
        <f aca="false">IF(M1399&lt;=0,"",IF(O1399&gt;60,"1-Tinggi",IF(O1399&gt;30,"2-Sedang",IF(O1399&gt;0,"3-Rendah","4-Pantau"))))</f>
        <v/>
      </c>
      <c r="S1399" s="39" t="str">
        <f aca="false">IF(AND(M1399&gt;0,O1399&gt;0),O1399+M1399/1000000000000+ROW()/1000000000000000,"")</f>
        <v/>
      </c>
      <c r="T1399" s="39" t="str">
        <f aca="false">IF(J1399="Belum ditukar",ROW(),"")</f>
        <v/>
      </c>
    </row>
    <row r="1400" customFormat="false" ht="15" hidden="false" customHeight="false" outlineLevel="0" collapsed="false">
      <c r="A1400" s="50" t="s">
        <v>1687</v>
      </c>
      <c r="B1400" s="51" t="n">
        <v>45951</v>
      </c>
      <c r="C1400" s="50" t="s">
        <v>174</v>
      </c>
      <c r="D1400" s="39" t="str">
        <f aca="false">INDEX(Master_Customer!$B$2:$B$126,MATCH(C1400,Master_Customer!$A$2:$A$126,0))</f>
        <v>SUMBER TEKNIK SURYA</v>
      </c>
      <c r="E1400" s="50" t="s">
        <v>31</v>
      </c>
      <c r="F1400" s="52" t="n">
        <f aca="false">SUMIFS(Data_Penjualan!$G$2:$G$5998,Data_Penjualan!$A$2:$A$5998,A1400)</f>
        <v>13123500</v>
      </c>
      <c r="G1400" s="39" t="n">
        <f aca="false">IF(E1400="KANTOR",0,INDEX(Master_Customer!$C$2:$C$126,MATCH(C1400,Master_Customer!$A$2:$A$126,0)))</f>
        <v>30</v>
      </c>
      <c r="H1400" s="53" t="n">
        <f aca="false">B1400+G1400</f>
        <v>45981</v>
      </c>
      <c r="I1400" s="51" t="n">
        <v>45954</v>
      </c>
      <c r="J1400" s="39" t="str">
        <f aca="false">IF(G1400=0,"Tunai",IF(I1400="","Belum ditukar","Sudah ditukar"))</f>
        <v>Sudah ditukar</v>
      </c>
      <c r="K1400" s="54" t="n">
        <v>13123500</v>
      </c>
      <c r="L1400" s="51" t="n">
        <v>45978</v>
      </c>
      <c r="M1400" s="52" t="n">
        <f aca="false">F1400-K1400</f>
        <v>0</v>
      </c>
      <c r="N1400" s="39" t="str">
        <f aca="false">IF(M1400&lt;=0,"Lunas",IF(K1400&gt;0,"Sebagian","Belum Bayar"))</f>
        <v>Lunas</v>
      </c>
      <c r="O1400" s="39" t="n">
        <f aca="false">IF(M1400&gt;0,MAX(0,Catatan!$B$3-H1400),0)</f>
        <v>0</v>
      </c>
      <c r="P1400" s="39" t="str">
        <f aca="false">IF(M1400&lt;=0,"Lunas",IF(Catatan!$B$3&lt;=H1400,"Belum Jatuh Tempo",IF(O1400&lt;=30,"1-30 hari",IF(O1400&lt;=60,"31-60 hari",IF(O1400&lt;=90,"61-90 hari","90+ hari")))))</f>
        <v>Lunas</v>
      </c>
      <c r="Q1400" s="50"/>
      <c r="R1400" s="39" t="str">
        <f aca="false">IF(M1400&lt;=0,"",IF(O1400&gt;60,"1-Tinggi",IF(O1400&gt;30,"2-Sedang",IF(O1400&gt;0,"3-Rendah","4-Pantau"))))</f>
        <v/>
      </c>
      <c r="S1400" s="39" t="str">
        <f aca="false">IF(AND(M1400&gt;0,O1400&gt;0),O1400+M1400/1000000000000+ROW()/1000000000000000,"")</f>
        <v/>
      </c>
      <c r="T1400" s="39" t="str">
        <f aca="false">IF(J1400="Belum ditukar",ROW(),"")</f>
        <v/>
      </c>
    </row>
    <row r="1401" customFormat="false" ht="15" hidden="false" customHeight="false" outlineLevel="0" collapsed="false">
      <c r="A1401" s="50" t="s">
        <v>1688</v>
      </c>
      <c r="B1401" s="51" t="n">
        <v>45951</v>
      </c>
      <c r="C1401" s="50" t="s">
        <v>174</v>
      </c>
      <c r="D1401" s="39" t="str">
        <f aca="false">INDEX(Master_Customer!$B$2:$B$126,MATCH(C1401,Master_Customer!$A$2:$A$126,0))</f>
        <v>SUMBER TEKNIK SURYA</v>
      </c>
      <c r="E1401" s="50" t="s">
        <v>32</v>
      </c>
      <c r="F1401" s="52" t="n">
        <f aca="false">SUMIFS(Data_Penjualan!$G$2:$G$5998,Data_Penjualan!$A$2:$A$5998,A1401)</f>
        <v>2109300</v>
      </c>
      <c r="G1401" s="39" t="n">
        <f aca="false">IF(E1401="KANTOR",0,INDEX(Master_Customer!$C$2:$C$126,MATCH(C1401,Master_Customer!$A$2:$A$126,0)))</f>
        <v>0</v>
      </c>
      <c r="H1401" s="53" t="n">
        <f aca="false">B1401+G1401</f>
        <v>45951</v>
      </c>
      <c r="J1401" s="39" t="str">
        <f aca="false">IF(G1401=0,"Tunai",IF(I1401="","Belum ditukar","Sudah ditukar"))</f>
        <v>Tunai</v>
      </c>
      <c r="K1401" s="54" t="n">
        <v>2109300</v>
      </c>
      <c r="L1401" s="51" t="n">
        <v>45951</v>
      </c>
      <c r="M1401" s="52" t="n">
        <f aca="false">F1401-K1401</f>
        <v>0</v>
      </c>
      <c r="N1401" s="39" t="str">
        <f aca="false">IF(M1401&lt;=0,"Lunas",IF(K1401&gt;0,"Sebagian","Belum Bayar"))</f>
        <v>Lunas</v>
      </c>
      <c r="O1401" s="39" t="n">
        <f aca="false">IF(M1401&gt;0,MAX(0,Catatan!$B$3-H1401),0)</f>
        <v>0</v>
      </c>
      <c r="P1401" s="39" t="str">
        <f aca="false">IF(M1401&lt;=0,"Lunas",IF(Catatan!$B$3&lt;=H1401,"Belum Jatuh Tempo",IF(O1401&lt;=30,"1-30 hari",IF(O1401&lt;=60,"31-60 hari",IF(O1401&lt;=90,"61-90 hari","90+ hari")))))</f>
        <v>Lunas</v>
      </c>
      <c r="Q1401" s="50"/>
      <c r="R1401" s="39" t="str">
        <f aca="false">IF(M1401&lt;=0,"",IF(O1401&gt;60,"1-Tinggi",IF(O1401&gt;30,"2-Sedang",IF(O1401&gt;0,"3-Rendah","4-Pantau"))))</f>
        <v/>
      </c>
      <c r="S1401" s="39" t="str">
        <f aca="false">IF(AND(M1401&gt;0,O1401&gt;0),O1401+M1401/1000000000000+ROW()/1000000000000000,"")</f>
        <v/>
      </c>
      <c r="T1401" s="39" t="str">
        <f aca="false">IF(J1401="Belum ditukar",ROW(),"")</f>
        <v/>
      </c>
    </row>
    <row r="1402" customFormat="false" ht="15" hidden="false" customHeight="false" outlineLevel="0" collapsed="false">
      <c r="A1402" s="50" t="s">
        <v>1689</v>
      </c>
      <c r="B1402" s="51" t="n">
        <v>45951</v>
      </c>
      <c r="C1402" s="50" t="s">
        <v>186</v>
      </c>
      <c r="D1402" s="39" t="str">
        <f aca="false">INDEX(Master_Customer!$B$2:$B$126,MATCH(C1402,Master_Customer!$A$2:$A$126,0))</f>
        <v>MULIA SPAREPART</v>
      </c>
      <c r="E1402" s="50" t="s">
        <v>31</v>
      </c>
      <c r="F1402" s="52" t="n">
        <f aca="false">SUMIFS(Data_Penjualan!$G$2:$G$5998,Data_Penjualan!$A$2:$A$5998,A1402)</f>
        <v>8364800</v>
      </c>
      <c r="G1402" s="39" t="n">
        <f aca="false">IF(E1402="KANTOR",0,INDEX(Master_Customer!$C$2:$C$126,MATCH(C1402,Master_Customer!$A$2:$A$126,0)))</f>
        <v>30</v>
      </c>
      <c r="H1402" s="53" t="n">
        <f aca="false">B1402+G1402</f>
        <v>45981</v>
      </c>
      <c r="I1402" s="51" t="n">
        <v>45956</v>
      </c>
      <c r="J1402" s="39" t="str">
        <f aca="false">IF(G1402=0,"Tunai",IF(I1402="","Belum ditukar","Sudah ditukar"))</f>
        <v>Sudah ditukar</v>
      </c>
      <c r="K1402" s="54" t="n">
        <v>8364800</v>
      </c>
      <c r="L1402" s="51" t="n">
        <v>45984</v>
      </c>
      <c r="M1402" s="52" t="n">
        <f aca="false">F1402-K1402</f>
        <v>0</v>
      </c>
      <c r="N1402" s="39" t="str">
        <f aca="false">IF(M1402&lt;=0,"Lunas",IF(K1402&gt;0,"Sebagian","Belum Bayar"))</f>
        <v>Lunas</v>
      </c>
      <c r="O1402" s="39" t="n">
        <f aca="false">IF(M1402&gt;0,MAX(0,Catatan!$B$3-H1402),0)</f>
        <v>0</v>
      </c>
      <c r="P1402" s="39" t="str">
        <f aca="false">IF(M1402&lt;=0,"Lunas",IF(Catatan!$B$3&lt;=H1402,"Belum Jatuh Tempo",IF(O1402&lt;=30,"1-30 hari",IF(O1402&lt;=60,"31-60 hari",IF(O1402&lt;=90,"61-90 hari","90+ hari")))))</f>
        <v>Lunas</v>
      </c>
      <c r="Q1402" s="50"/>
      <c r="R1402" s="39" t="str">
        <f aca="false">IF(M1402&lt;=0,"",IF(O1402&gt;60,"1-Tinggi",IF(O1402&gt;30,"2-Sedang",IF(O1402&gt;0,"3-Rendah","4-Pantau"))))</f>
        <v/>
      </c>
      <c r="S1402" s="39" t="str">
        <f aca="false">IF(AND(M1402&gt;0,O1402&gt;0),O1402+M1402/1000000000000+ROW()/1000000000000000,"")</f>
        <v/>
      </c>
      <c r="T1402" s="39" t="str">
        <f aca="false">IF(J1402="Belum ditukar",ROW(),"")</f>
        <v/>
      </c>
    </row>
    <row r="1403" customFormat="false" ht="15" hidden="false" customHeight="false" outlineLevel="0" collapsed="false">
      <c r="A1403" s="50" t="s">
        <v>1690</v>
      </c>
      <c r="B1403" s="51" t="n">
        <v>45951</v>
      </c>
      <c r="C1403" s="50" t="s">
        <v>286</v>
      </c>
      <c r="D1403" s="39" t="str">
        <f aca="false">INDEX(Master_Customer!$B$2:$B$126,MATCH(C1403,Master_Customer!$A$2:$A$126,0))</f>
        <v>CAHAYA AUTO</v>
      </c>
      <c r="E1403" s="50" t="s">
        <v>32</v>
      </c>
      <c r="F1403" s="52" t="n">
        <f aca="false">SUMIFS(Data_Penjualan!$G$2:$G$5998,Data_Penjualan!$A$2:$A$5998,A1403)</f>
        <v>5457100</v>
      </c>
      <c r="G1403" s="39" t="n">
        <f aca="false">IF(E1403="KANTOR",0,INDEX(Master_Customer!$C$2:$C$126,MATCH(C1403,Master_Customer!$A$2:$A$126,0)))</f>
        <v>0</v>
      </c>
      <c r="H1403" s="53" t="n">
        <f aca="false">B1403+G1403</f>
        <v>45951</v>
      </c>
      <c r="J1403" s="39" t="str">
        <f aca="false">IF(G1403=0,"Tunai",IF(I1403="","Belum ditukar","Sudah ditukar"))</f>
        <v>Tunai</v>
      </c>
      <c r="K1403" s="54" t="n">
        <v>5457100</v>
      </c>
      <c r="L1403" s="51" t="n">
        <v>45951</v>
      </c>
      <c r="M1403" s="52" t="n">
        <f aca="false">F1403-K1403</f>
        <v>0</v>
      </c>
      <c r="N1403" s="39" t="str">
        <f aca="false">IF(M1403&lt;=0,"Lunas",IF(K1403&gt;0,"Sebagian","Belum Bayar"))</f>
        <v>Lunas</v>
      </c>
      <c r="O1403" s="39" t="n">
        <f aca="false">IF(M1403&gt;0,MAX(0,Catatan!$B$3-H1403),0)</f>
        <v>0</v>
      </c>
      <c r="P1403" s="39" t="str">
        <f aca="false">IF(M1403&lt;=0,"Lunas",IF(Catatan!$B$3&lt;=H1403,"Belum Jatuh Tempo",IF(O1403&lt;=30,"1-30 hari",IF(O1403&lt;=60,"31-60 hari",IF(O1403&lt;=90,"61-90 hari","90+ hari")))))</f>
        <v>Lunas</v>
      </c>
      <c r="Q1403" s="50"/>
      <c r="R1403" s="39" t="str">
        <f aca="false">IF(M1403&lt;=0,"",IF(O1403&gt;60,"1-Tinggi",IF(O1403&gt;30,"2-Sedang",IF(O1403&gt;0,"3-Rendah","4-Pantau"))))</f>
        <v/>
      </c>
      <c r="S1403" s="39" t="str">
        <f aca="false">IF(AND(M1403&gt;0,O1403&gt;0),O1403+M1403/1000000000000+ROW()/1000000000000000,"")</f>
        <v/>
      </c>
      <c r="T1403" s="39" t="str">
        <f aca="false">IF(J1403="Belum ditukar",ROW(),"")</f>
        <v/>
      </c>
    </row>
    <row r="1404" customFormat="false" ht="15" hidden="false" customHeight="false" outlineLevel="0" collapsed="false">
      <c r="A1404" s="50" t="s">
        <v>1691</v>
      </c>
      <c r="B1404" s="51" t="n">
        <v>45952</v>
      </c>
      <c r="C1404" s="50" t="s">
        <v>213</v>
      </c>
      <c r="D1404" s="39" t="str">
        <f aca="false">INDEX(Master_Customer!$B$2:$B$126,MATCH(C1404,Master_Customer!$A$2:$A$126,0))</f>
        <v>ABADI AUTO MAKMUR</v>
      </c>
      <c r="E1404" s="50" t="s">
        <v>32</v>
      </c>
      <c r="F1404" s="52" t="n">
        <f aca="false">SUMIFS(Data_Penjualan!$G$2:$G$5998,Data_Penjualan!$A$2:$A$5998,A1404)</f>
        <v>21759700</v>
      </c>
      <c r="G1404" s="39" t="n">
        <f aca="false">IF(E1404="KANTOR",0,INDEX(Master_Customer!$C$2:$C$126,MATCH(C1404,Master_Customer!$A$2:$A$126,0)))</f>
        <v>0</v>
      </c>
      <c r="H1404" s="53" t="n">
        <f aca="false">B1404+G1404</f>
        <v>45952</v>
      </c>
      <c r="J1404" s="39" t="str">
        <f aca="false">IF(G1404=0,"Tunai",IF(I1404="","Belum ditukar","Sudah ditukar"))</f>
        <v>Tunai</v>
      </c>
      <c r="K1404" s="54" t="n">
        <v>21759700</v>
      </c>
      <c r="L1404" s="51" t="n">
        <v>45954</v>
      </c>
      <c r="M1404" s="52" t="n">
        <f aca="false">F1404-K1404</f>
        <v>0</v>
      </c>
      <c r="N1404" s="39" t="str">
        <f aca="false">IF(M1404&lt;=0,"Lunas",IF(K1404&gt;0,"Sebagian","Belum Bayar"))</f>
        <v>Lunas</v>
      </c>
      <c r="O1404" s="39" t="n">
        <f aca="false">IF(M1404&gt;0,MAX(0,Catatan!$B$3-H1404),0)</f>
        <v>0</v>
      </c>
      <c r="P1404" s="39" t="str">
        <f aca="false">IF(M1404&lt;=0,"Lunas",IF(Catatan!$B$3&lt;=H1404,"Belum Jatuh Tempo",IF(O1404&lt;=30,"1-30 hari",IF(O1404&lt;=60,"31-60 hari",IF(O1404&lt;=90,"61-90 hari","90+ hari")))))</f>
        <v>Lunas</v>
      </c>
      <c r="Q1404" s="50"/>
      <c r="R1404" s="39" t="str">
        <f aca="false">IF(M1404&lt;=0,"",IF(O1404&gt;60,"1-Tinggi",IF(O1404&gt;30,"2-Sedang",IF(O1404&gt;0,"3-Rendah","4-Pantau"))))</f>
        <v/>
      </c>
      <c r="S1404" s="39" t="str">
        <f aca="false">IF(AND(M1404&gt;0,O1404&gt;0),O1404+M1404/1000000000000+ROW()/1000000000000000,"")</f>
        <v/>
      </c>
      <c r="T1404" s="39" t="str">
        <f aca="false">IF(J1404="Belum ditukar",ROW(),"")</f>
        <v/>
      </c>
    </row>
    <row r="1405" customFormat="false" ht="15" hidden="false" customHeight="false" outlineLevel="0" collapsed="false">
      <c r="A1405" s="50" t="s">
        <v>1692</v>
      </c>
      <c r="B1405" s="51" t="n">
        <v>45952</v>
      </c>
      <c r="C1405" s="50" t="s">
        <v>376</v>
      </c>
      <c r="D1405" s="39" t="str">
        <f aca="false">INDEX(Master_Customer!$B$2:$B$126,MATCH(C1405,Master_Customer!$A$2:$A$126,0))</f>
        <v>JAYA SPAREPART</v>
      </c>
      <c r="E1405" s="50" t="s">
        <v>28</v>
      </c>
      <c r="F1405" s="52" t="n">
        <f aca="false">SUMIFS(Data_Penjualan!$G$2:$G$5998,Data_Penjualan!$A$2:$A$5998,A1405)</f>
        <v>13239900</v>
      </c>
      <c r="G1405" s="39" t="n">
        <f aca="false">IF(E1405="KANTOR",0,INDEX(Master_Customer!$C$2:$C$126,MATCH(C1405,Master_Customer!$A$2:$A$126,0)))</f>
        <v>30</v>
      </c>
      <c r="H1405" s="53" t="n">
        <f aca="false">B1405+G1405</f>
        <v>45982</v>
      </c>
      <c r="I1405" s="51" t="n">
        <v>45955</v>
      </c>
      <c r="J1405" s="39" t="str">
        <f aca="false">IF(G1405=0,"Tunai",IF(I1405="","Belum ditukar","Sudah ditukar"))</f>
        <v>Sudah ditukar</v>
      </c>
      <c r="K1405" s="54" t="n">
        <v>13239900</v>
      </c>
      <c r="L1405" s="51" t="n">
        <v>45984</v>
      </c>
      <c r="M1405" s="52" t="n">
        <f aca="false">F1405-K1405</f>
        <v>0</v>
      </c>
      <c r="N1405" s="39" t="str">
        <f aca="false">IF(M1405&lt;=0,"Lunas",IF(K1405&gt;0,"Sebagian","Belum Bayar"))</f>
        <v>Lunas</v>
      </c>
      <c r="O1405" s="39" t="n">
        <f aca="false">IF(M1405&gt;0,MAX(0,Catatan!$B$3-H1405),0)</f>
        <v>0</v>
      </c>
      <c r="P1405" s="39" t="str">
        <f aca="false">IF(M1405&lt;=0,"Lunas",IF(Catatan!$B$3&lt;=H1405,"Belum Jatuh Tempo",IF(O1405&lt;=30,"1-30 hari",IF(O1405&lt;=60,"31-60 hari",IF(O1405&lt;=90,"61-90 hari","90+ hari")))))</f>
        <v>Lunas</v>
      </c>
      <c r="Q1405" s="50"/>
      <c r="R1405" s="39" t="str">
        <f aca="false">IF(M1405&lt;=0,"",IF(O1405&gt;60,"1-Tinggi",IF(O1405&gt;30,"2-Sedang",IF(O1405&gt;0,"3-Rendah","4-Pantau"))))</f>
        <v/>
      </c>
      <c r="S1405" s="39" t="str">
        <f aca="false">IF(AND(M1405&gt;0,O1405&gt;0),O1405+M1405/1000000000000+ROW()/1000000000000000,"")</f>
        <v/>
      </c>
      <c r="T1405" s="39" t="str">
        <f aca="false">IF(J1405="Belum ditukar",ROW(),"")</f>
        <v/>
      </c>
    </row>
    <row r="1406" customFormat="false" ht="15" hidden="false" customHeight="false" outlineLevel="0" collapsed="false">
      <c r="A1406" s="50" t="s">
        <v>1693</v>
      </c>
      <c r="B1406" s="51" t="n">
        <v>45952</v>
      </c>
      <c r="C1406" s="50" t="s">
        <v>540</v>
      </c>
      <c r="D1406" s="39" t="str">
        <f aca="false">INDEX(Master_Customer!$B$2:$B$126,MATCH(C1406,Master_Customer!$A$2:$A$126,0))</f>
        <v>SURYA MOBIL</v>
      </c>
      <c r="E1406" s="50" t="s">
        <v>31</v>
      </c>
      <c r="F1406" s="52" t="n">
        <f aca="false">SUMIFS(Data_Penjualan!$G$2:$G$5998,Data_Penjualan!$A$2:$A$5998,A1406)</f>
        <v>5945700</v>
      </c>
      <c r="G1406" s="39" t="n">
        <f aca="false">IF(E1406="KANTOR",0,INDEX(Master_Customer!$C$2:$C$126,MATCH(C1406,Master_Customer!$A$2:$A$126,0)))</f>
        <v>30</v>
      </c>
      <c r="H1406" s="53" t="n">
        <f aca="false">B1406+G1406</f>
        <v>45982</v>
      </c>
      <c r="I1406" s="51" t="n">
        <v>45955</v>
      </c>
      <c r="J1406" s="39" t="str">
        <f aca="false">IF(G1406=0,"Tunai",IF(I1406="","Belum ditukar","Sudah ditukar"))</f>
        <v>Sudah ditukar</v>
      </c>
      <c r="K1406" s="54" t="n">
        <v>5945700</v>
      </c>
      <c r="L1406" s="51" t="n">
        <v>46005</v>
      </c>
      <c r="M1406" s="52" t="n">
        <f aca="false">F1406-K1406</f>
        <v>0</v>
      </c>
      <c r="N1406" s="39" t="str">
        <f aca="false">IF(M1406&lt;=0,"Lunas",IF(K1406&gt;0,"Sebagian","Belum Bayar"))</f>
        <v>Lunas</v>
      </c>
      <c r="O1406" s="39" t="n">
        <f aca="false">IF(M1406&gt;0,MAX(0,Catatan!$B$3-H1406),0)</f>
        <v>0</v>
      </c>
      <c r="P1406" s="39" t="str">
        <f aca="false">IF(M1406&lt;=0,"Lunas",IF(Catatan!$B$3&lt;=H1406,"Belum Jatuh Tempo",IF(O1406&lt;=30,"1-30 hari",IF(O1406&lt;=60,"31-60 hari",IF(O1406&lt;=90,"61-90 hari","90+ hari")))))</f>
        <v>Lunas</v>
      </c>
      <c r="Q1406" s="50"/>
      <c r="R1406" s="39" t="str">
        <f aca="false">IF(M1406&lt;=0,"",IF(O1406&gt;60,"1-Tinggi",IF(O1406&gt;30,"2-Sedang",IF(O1406&gt;0,"3-Rendah","4-Pantau"))))</f>
        <v/>
      </c>
      <c r="S1406" s="39" t="str">
        <f aca="false">IF(AND(M1406&gt;0,O1406&gt;0),O1406+M1406/1000000000000+ROW()/1000000000000000,"")</f>
        <v/>
      </c>
      <c r="T1406" s="39" t="str">
        <f aca="false">IF(J1406="Belum ditukar",ROW(),"")</f>
        <v/>
      </c>
    </row>
    <row r="1407" customFormat="false" ht="15" hidden="false" customHeight="false" outlineLevel="0" collapsed="false">
      <c r="A1407" s="50" t="s">
        <v>146</v>
      </c>
      <c r="B1407" s="51" t="n">
        <v>45952</v>
      </c>
      <c r="C1407" s="50" t="s">
        <v>228</v>
      </c>
      <c r="D1407" s="39" t="str">
        <f aca="false">INDEX(Master_Customer!$B$2:$B$126,MATCH(C1407,Master_Customer!$A$2:$A$126,0))</f>
        <v>MAKMUR SERVICE JAYA</v>
      </c>
      <c r="E1407" s="50" t="s">
        <v>29</v>
      </c>
      <c r="F1407" s="52" t="n">
        <f aca="false">SUMIFS(Data_Penjualan!$G$2:$G$5998,Data_Penjualan!$A$2:$A$5998,A1407)</f>
        <v>12934100</v>
      </c>
      <c r="G1407" s="39" t="n">
        <f aca="false">IF(E1407="KANTOR",0,INDEX(Master_Customer!$C$2:$C$126,MATCH(C1407,Master_Customer!$A$2:$A$126,0)))</f>
        <v>30</v>
      </c>
      <c r="H1407" s="53" t="n">
        <f aca="false">B1407+G1407</f>
        <v>45982</v>
      </c>
      <c r="I1407" s="51" t="n">
        <v>45953</v>
      </c>
      <c r="J1407" s="39" t="str">
        <f aca="false">IF(G1407=0,"Tunai",IF(I1407="","Belum ditukar","Sudah ditukar"))</f>
        <v>Sudah ditukar</v>
      </c>
      <c r="K1407" s="54" t="n">
        <v>0</v>
      </c>
      <c r="M1407" s="52" t="n">
        <f aca="false">F1407-K1407</f>
        <v>12934100</v>
      </c>
      <c r="N1407" s="39" t="str">
        <f aca="false">IF(M1407&lt;=0,"Lunas",IF(K1407&gt;0,"Sebagian","Belum Bayar"))</f>
        <v>Belum Bayar</v>
      </c>
      <c r="O1407" s="39" t="n">
        <f aca="false">IF(M1407&gt;0,MAX(0,Catatan!$B$3-H1407),0)</f>
        <v>40</v>
      </c>
      <c r="P1407" s="39" t="str">
        <f aca="false">IF(M1407&lt;=0,"Lunas",IF(Catatan!$B$3&lt;=H1407,"Belum Jatuh Tempo",IF(O1407&lt;=30,"1-30 hari",IF(O1407&lt;=60,"31-60 hari",IF(O1407&lt;=90,"61-90 hari","90+ hari")))))</f>
        <v>31-60 hari</v>
      </c>
      <c r="Q1407" s="50" t="s">
        <v>338</v>
      </c>
      <c r="R1407" s="39" t="str">
        <f aca="false">IF(M1407&lt;=0,"",IF(O1407&gt;60,"1-Tinggi",IF(O1407&gt;30,"2-Sedang",IF(O1407&gt;0,"3-Rendah","4-Pantau"))))</f>
        <v>2-Sedang</v>
      </c>
      <c r="S1407" s="39" t="n">
        <f aca="false">IF(AND(M1407&gt;0,O1407&gt;0),O1407+M1407/1000000000000+ROW()/1000000000000000,"")</f>
        <v>40.0000129341014</v>
      </c>
      <c r="T1407" s="39" t="str">
        <f aca="false">IF(J1407="Belum ditukar",ROW(),"")</f>
        <v/>
      </c>
    </row>
    <row r="1408" customFormat="false" ht="15" hidden="false" customHeight="false" outlineLevel="0" collapsed="false">
      <c r="A1408" s="50" t="s">
        <v>1694</v>
      </c>
      <c r="B1408" s="51" t="n">
        <v>45952</v>
      </c>
      <c r="C1408" s="50" t="s">
        <v>218</v>
      </c>
      <c r="D1408" s="39" t="str">
        <f aca="false">INDEX(Master_Customer!$B$2:$B$126,MATCH(C1408,Master_Customer!$A$2:$A$126,0))</f>
        <v>SURYA SERVICE LANCAR</v>
      </c>
      <c r="E1408" s="50" t="s">
        <v>32</v>
      </c>
      <c r="F1408" s="52" t="n">
        <f aca="false">SUMIFS(Data_Penjualan!$G$2:$G$5998,Data_Penjualan!$A$2:$A$5998,A1408)</f>
        <v>17391200</v>
      </c>
      <c r="G1408" s="39" t="n">
        <f aca="false">IF(E1408="KANTOR",0,INDEX(Master_Customer!$C$2:$C$126,MATCH(C1408,Master_Customer!$A$2:$A$126,0)))</f>
        <v>0</v>
      </c>
      <c r="H1408" s="53" t="n">
        <f aca="false">B1408+G1408</f>
        <v>45952</v>
      </c>
      <c r="J1408" s="39" t="str">
        <f aca="false">IF(G1408=0,"Tunai",IF(I1408="","Belum ditukar","Sudah ditukar"))</f>
        <v>Tunai</v>
      </c>
      <c r="K1408" s="54" t="n">
        <v>17391200</v>
      </c>
      <c r="L1408" s="51" t="n">
        <v>45953</v>
      </c>
      <c r="M1408" s="52" t="n">
        <f aca="false">F1408-K1408</f>
        <v>0</v>
      </c>
      <c r="N1408" s="39" t="str">
        <f aca="false">IF(M1408&lt;=0,"Lunas",IF(K1408&gt;0,"Sebagian","Belum Bayar"))</f>
        <v>Lunas</v>
      </c>
      <c r="O1408" s="39" t="n">
        <f aca="false">IF(M1408&gt;0,MAX(0,Catatan!$B$3-H1408),0)</f>
        <v>0</v>
      </c>
      <c r="P1408" s="39" t="str">
        <f aca="false">IF(M1408&lt;=0,"Lunas",IF(Catatan!$B$3&lt;=H1408,"Belum Jatuh Tempo",IF(O1408&lt;=30,"1-30 hari",IF(O1408&lt;=60,"31-60 hari",IF(O1408&lt;=90,"61-90 hari","90+ hari")))))</f>
        <v>Lunas</v>
      </c>
      <c r="Q1408" s="50"/>
      <c r="R1408" s="39" t="str">
        <f aca="false">IF(M1408&lt;=0,"",IF(O1408&gt;60,"1-Tinggi",IF(O1408&gt;30,"2-Sedang",IF(O1408&gt;0,"3-Rendah","4-Pantau"))))</f>
        <v/>
      </c>
      <c r="S1408" s="39" t="str">
        <f aca="false">IF(AND(M1408&gt;0,O1408&gt;0),O1408+M1408/1000000000000+ROW()/1000000000000000,"")</f>
        <v/>
      </c>
      <c r="T1408" s="39" t="str">
        <f aca="false">IF(J1408="Belum ditukar",ROW(),"")</f>
        <v/>
      </c>
    </row>
    <row r="1409" customFormat="false" ht="15" hidden="false" customHeight="false" outlineLevel="0" collapsed="false">
      <c r="A1409" s="50" t="s">
        <v>1695</v>
      </c>
      <c r="B1409" s="51" t="n">
        <v>45953</v>
      </c>
      <c r="C1409" s="50" t="s">
        <v>467</v>
      </c>
      <c r="D1409" s="39" t="str">
        <f aca="false">INDEX(Master_Customer!$B$2:$B$126,MATCH(C1409,Master_Customer!$A$2:$A$126,0))</f>
        <v>LANCAR GARAGE UTAMA</v>
      </c>
      <c r="E1409" s="50" t="s">
        <v>31</v>
      </c>
      <c r="F1409" s="52" t="n">
        <f aca="false">SUMIFS(Data_Penjualan!$G$2:$G$5998,Data_Penjualan!$A$2:$A$5998,A1409)</f>
        <v>1978900</v>
      </c>
      <c r="G1409" s="39" t="n">
        <f aca="false">IF(E1409="KANTOR",0,INDEX(Master_Customer!$C$2:$C$126,MATCH(C1409,Master_Customer!$A$2:$A$126,0)))</f>
        <v>14</v>
      </c>
      <c r="H1409" s="53" t="n">
        <f aca="false">B1409+G1409</f>
        <v>45967</v>
      </c>
      <c r="I1409" s="51" t="n">
        <v>45954</v>
      </c>
      <c r="J1409" s="39" t="str">
        <f aca="false">IF(G1409=0,"Tunai",IF(I1409="","Belum ditukar","Sudah ditukar"))</f>
        <v>Sudah ditukar</v>
      </c>
      <c r="K1409" s="54" t="n">
        <v>1978900</v>
      </c>
      <c r="L1409" s="51" t="n">
        <v>46011</v>
      </c>
      <c r="M1409" s="52" t="n">
        <f aca="false">F1409-K1409</f>
        <v>0</v>
      </c>
      <c r="N1409" s="39" t="str">
        <f aca="false">IF(M1409&lt;=0,"Lunas",IF(K1409&gt;0,"Sebagian","Belum Bayar"))</f>
        <v>Lunas</v>
      </c>
      <c r="O1409" s="39" t="n">
        <f aca="false">IF(M1409&gt;0,MAX(0,Catatan!$B$3-H1409),0)</f>
        <v>0</v>
      </c>
      <c r="P1409" s="39" t="str">
        <f aca="false">IF(M1409&lt;=0,"Lunas",IF(Catatan!$B$3&lt;=H1409,"Belum Jatuh Tempo",IF(O1409&lt;=30,"1-30 hari",IF(O1409&lt;=60,"31-60 hari",IF(O1409&lt;=90,"61-90 hari","90+ hari")))))</f>
        <v>Lunas</v>
      </c>
      <c r="Q1409" s="50"/>
      <c r="R1409" s="39" t="str">
        <f aca="false">IF(M1409&lt;=0,"",IF(O1409&gt;60,"1-Tinggi",IF(O1409&gt;30,"2-Sedang",IF(O1409&gt;0,"3-Rendah","4-Pantau"))))</f>
        <v/>
      </c>
      <c r="S1409" s="39" t="str">
        <f aca="false">IF(AND(M1409&gt;0,O1409&gt;0),O1409+M1409/1000000000000+ROW()/1000000000000000,"")</f>
        <v/>
      </c>
      <c r="T1409" s="39" t="str">
        <f aca="false">IF(J1409="Belum ditukar",ROW(),"")</f>
        <v/>
      </c>
    </row>
    <row r="1410" customFormat="false" ht="15" hidden="false" customHeight="false" outlineLevel="0" collapsed="false">
      <c r="A1410" s="50" t="s">
        <v>1696</v>
      </c>
      <c r="B1410" s="51" t="n">
        <v>45953</v>
      </c>
      <c r="C1410" s="50" t="s">
        <v>1048</v>
      </c>
      <c r="D1410" s="39" t="str">
        <f aca="false">INDEX(Master_Customer!$B$2:$B$126,MATCH(C1410,Master_Customer!$A$2:$A$126,0))</f>
        <v>ABADI LUBRICANT</v>
      </c>
      <c r="E1410" s="50" t="s">
        <v>28</v>
      </c>
      <c r="F1410" s="52" t="n">
        <f aca="false">SUMIFS(Data_Penjualan!$G$2:$G$5998,Data_Penjualan!$A$2:$A$5998,A1410)</f>
        <v>18629000</v>
      </c>
      <c r="G1410" s="39" t="n">
        <f aca="false">IF(E1410="KANTOR",0,INDEX(Master_Customer!$C$2:$C$126,MATCH(C1410,Master_Customer!$A$2:$A$126,0)))</f>
        <v>30</v>
      </c>
      <c r="H1410" s="53" t="n">
        <f aca="false">B1410+G1410</f>
        <v>45983</v>
      </c>
      <c r="I1410" s="51" t="n">
        <v>45954</v>
      </c>
      <c r="J1410" s="39" t="str">
        <f aca="false">IF(G1410=0,"Tunai",IF(I1410="","Belum ditukar","Sudah ditukar"))</f>
        <v>Sudah ditukar</v>
      </c>
      <c r="K1410" s="54" t="n">
        <v>18629000</v>
      </c>
      <c r="L1410" s="51" t="n">
        <v>45994</v>
      </c>
      <c r="M1410" s="52" t="n">
        <f aca="false">F1410-K1410</f>
        <v>0</v>
      </c>
      <c r="N1410" s="39" t="str">
        <f aca="false">IF(M1410&lt;=0,"Lunas",IF(K1410&gt;0,"Sebagian","Belum Bayar"))</f>
        <v>Lunas</v>
      </c>
      <c r="O1410" s="39" t="n">
        <f aca="false">IF(M1410&gt;0,MAX(0,Catatan!$B$3-H1410),0)</f>
        <v>0</v>
      </c>
      <c r="P1410" s="39" t="str">
        <f aca="false">IF(M1410&lt;=0,"Lunas",IF(Catatan!$B$3&lt;=H1410,"Belum Jatuh Tempo",IF(O1410&lt;=30,"1-30 hari",IF(O1410&lt;=60,"31-60 hari",IF(O1410&lt;=90,"61-90 hari","90+ hari")))))</f>
        <v>Lunas</v>
      </c>
      <c r="Q1410" s="50"/>
      <c r="R1410" s="39" t="str">
        <f aca="false">IF(M1410&lt;=0,"",IF(O1410&gt;60,"1-Tinggi",IF(O1410&gt;30,"2-Sedang",IF(O1410&gt;0,"3-Rendah","4-Pantau"))))</f>
        <v/>
      </c>
      <c r="S1410" s="39" t="str">
        <f aca="false">IF(AND(M1410&gt;0,O1410&gt;0),O1410+M1410/1000000000000+ROW()/1000000000000000,"")</f>
        <v/>
      </c>
      <c r="T1410" s="39" t="str">
        <f aca="false">IF(J1410="Belum ditukar",ROW(),"")</f>
        <v/>
      </c>
    </row>
    <row r="1411" customFormat="false" ht="15" hidden="false" customHeight="false" outlineLevel="0" collapsed="false">
      <c r="A1411" s="50" t="s">
        <v>1697</v>
      </c>
      <c r="B1411" s="51" t="n">
        <v>45953</v>
      </c>
      <c r="C1411" s="50" t="s">
        <v>1200</v>
      </c>
      <c r="D1411" s="39" t="str">
        <f aca="false">INDEX(Master_Customer!$B$2:$B$126,MATCH(C1411,Master_Customer!$A$2:$A$126,0))</f>
        <v>MITRA SPAREPART CAHAYA</v>
      </c>
      <c r="E1411" s="50" t="s">
        <v>30</v>
      </c>
      <c r="F1411" s="52" t="n">
        <f aca="false">SUMIFS(Data_Penjualan!$G$2:$G$5998,Data_Penjualan!$A$2:$A$5998,A1411)</f>
        <v>3537300</v>
      </c>
      <c r="G1411" s="39" t="n">
        <f aca="false">IF(E1411="KANTOR",0,INDEX(Master_Customer!$C$2:$C$126,MATCH(C1411,Master_Customer!$A$2:$A$126,0)))</f>
        <v>14</v>
      </c>
      <c r="H1411" s="53" t="n">
        <f aca="false">B1411+G1411</f>
        <v>45967</v>
      </c>
      <c r="I1411" s="51" t="n">
        <v>45954</v>
      </c>
      <c r="J1411" s="39" t="str">
        <f aca="false">IF(G1411=0,"Tunai",IF(I1411="","Belum ditukar","Sudah ditukar"))</f>
        <v>Sudah ditukar</v>
      </c>
      <c r="K1411" s="54" t="n">
        <v>3537300</v>
      </c>
      <c r="L1411" s="51" t="n">
        <v>45983</v>
      </c>
      <c r="M1411" s="52" t="n">
        <f aca="false">F1411-K1411</f>
        <v>0</v>
      </c>
      <c r="N1411" s="39" t="str">
        <f aca="false">IF(M1411&lt;=0,"Lunas",IF(K1411&gt;0,"Sebagian","Belum Bayar"))</f>
        <v>Lunas</v>
      </c>
      <c r="O1411" s="39" t="n">
        <f aca="false">IF(M1411&gt;0,MAX(0,Catatan!$B$3-H1411),0)</f>
        <v>0</v>
      </c>
      <c r="P1411" s="39" t="str">
        <f aca="false">IF(M1411&lt;=0,"Lunas",IF(Catatan!$B$3&lt;=H1411,"Belum Jatuh Tempo",IF(O1411&lt;=30,"1-30 hari",IF(O1411&lt;=60,"31-60 hari",IF(O1411&lt;=90,"61-90 hari","90+ hari")))))</f>
        <v>Lunas</v>
      </c>
      <c r="Q1411" s="50"/>
      <c r="R1411" s="39" t="str">
        <f aca="false">IF(M1411&lt;=0,"",IF(O1411&gt;60,"1-Tinggi",IF(O1411&gt;30,"2-Sedang",IF(O1411&gt;0,"3-Rendah","4-Pantau"))))</f>
        <v/>
      </c>
      <c r="S1411" s="39" t="str">
        <f aca="false">IF(AND(M1411&gt;0,O1411&gt;0),O1411+M1411/1000000000000+ROW()/1000000000000000,"")</f>
        <v/>
      </c>
      <c r="T1411" s="39" t="str">
        <f aca="false">IF(J1411="Belum ditukar",ROW(),"")</f>
        <v/>
      </c>
    </row>
    <row r="1412" customFormat="false" ht="15" hidden="false" customHeight="false" outlineLevel="0" collapsed="false">
      <c r="A1412" s="50" t="s">
        <v>1698</v>
      </c>
      <c r="B1412" s="51" t="n">
        <v>45953</v>
      </c>
      <c r="C1412" s="50" t="s">
        <v>188</v>
      </c>
      <c r="D1412" s="39" t="str">
        <f aca="false">INDEX(Master_Customer!$B$2:$B$126,MATCH(C1412,Master_Customer!$A$2:$A$126,0))</f>
        <v>MAJU GARAGE TIRTA</v>
      </c>
      <c r="E1412" s="50" t="s">
        <v>31</v>
      </c>
      <c r="F1412" s="52" t="n">
        <f aca="false">SUMIFS(Data_Penjualan!$G$2:$G$5998,Data_Penjualan!$A$2:$A$5998,A1412)</f>
        <v>11371100</v>
      </c>
      <c r="G1412" s="39" t="n">
        <f aca="false">IF(E1412="KANTOR",0,INDEX(Master_Customer!$C$2:$C$126,MATCH(C1412,Master_Customer!$A$2:$A$126,0)))</f>
        <v>45</v>
      </c>
      <c r="H1412" s="53" t="n">
        <f aca="false">B1412+G1412</f>
        <v>45998</v>
      </c>
      <c r="I1412" s="51" t="n">
        <v>45954</v>
      </c>
      <c r="J1412" s="39" t="str">
        <f aca="false">IF(G1412=0,"Tunai",IF(I1412="","Belum ditukar","Sudah ditukar"))</f>
        <v>Sudah ditukar</v>
      </c>
      <c r="K1412" s="54" t="n">
        <v>11371100</v>
      </c>
      <c r="L1412" s="51" t="n">
        <v>46002</v>
      </c>
      <c r="M1412" s="52" t="n">
        <f aca="false">F1412-K1412</f>
        <v>0</v>
      </c>
      <c r="N1412" s="39" t="str">
        <f aca="false">IF(M1412&lt;=0,"Lunas",IF(K1412&gt;0,"Sebagian","Belum Bayar"))</f>
        <v>Lunas</v>
      </c>
      <c r="O1412" s="39" t="n">
        <f aca="false">IF(M1412&gt;0,MAX(0,Catatan!$B$3-H1412),0)</f>
        <v>0</v>
      </c>
      <c r="P1412" s="39" t="str">
        <f aca="false">IF(M1412&lt;=0,"Lunas",IF(Catatan!$B$3&lt;=H1412,"Belum Jatuh Tempo",IF(O1412&lt;=30,"1-30 hari",IF(O1412&lt;=60,"31-60 hari",IF(O1412&lt;=90,"61-90 hari","90+ hari")))))</f>
        <v>Lunas</v>
      </c>
      <c r="Q1412" s="50"/>
      <c r="R1412" s="39" t="str">
        <f aca="false">IF(M1412&lt;=0,"",IF(O1412&gt;60,"1-Tinggi",IF(O1412&gt;30,"2-Sedang",IF(O1412&gt;0,"3-Rendah","4-Pantau"))))</f>
        <v/>
      </c>
      <c r="S1412" s="39" t="str">
        <f aca="false">IF(AND(M1412&gt;0,O1412&gt;0),O1412+M1412/1000000000000+ROW()/1000000000000000,"")</f>
        <v/>
      </c>
      <c r="T1412" s="39" t="str">
        <f aca="false">IF(J1412="Belum ditukar",ROW(),"")</f>
        <v/>
      </c>
    </row>
    <row r="1413" customFormat="false" ht="15" hidden="false" customHeight="false" outlineLevel="0" collapsed="false">
      <c r="A1413" s="50" t="s">
        <v>1699</v>
      </c>
      <c r="B1413" s="51" t="n">
        <v>45953</v>
      </c>
      <c r="C1413" s="50" t="s">
        <v>491</v>
      </c>
      <c r="D1413" s="39" t="str">
        <f aca="false">INDEX(Master_Customer!$B$2:$B$126,MATCH(C1413,Master_Customer!$A$2:$A$126,0))</f>
        <v>SINAR SERVICE</v>
      </c>
      <c r="E1413" s="50" t="s">
        <v>31</v>
      </c>
      <c r="F1413" s="52" t="n">
        <f aca="false">SUMIFS(Data_Penjualan!$G$2:$G$5998,Data_Penjualan!$A$2:$A$5998,A1413)</f>
        <v>12798900</v>
      </c>
      <c r="G1413" s="39" t="n">
        <f aca="false">IF(E1413="KANTOR",0,INDEX(Master_Customer!$C$2:$C$126,MATCH(C1413,Master_Customer!$A$2:$A$126,0)))</f>
        <v>0</v>
      </c>
      <c r="H1413" s="53" t="n">
        <f aca="false">B1413+G1413</f>
        <v>45953</v>
      </c>
      <c r="J1413" s="39" t="str">
        <f aca="false">IF(G1413=0,"Tunai",IF(I1413="","Belum ditukar","Sudah ditukar"))</f>
        <v>Tunai</v>
      </c>
      <c r="K1413" s="54" t="n">
        <v>12798900</v>
      </c>
      <c r="L1413" s="51" t="n">
        <v>45953</v>
      </c>
      <c r="M1413" s="52" t="n">
        <f aca="false">F1413-K1413</f>
        <v>0</v>
      </c>
      <c r="N1413" s="39" t="str">
        <f aca="false">IF(M1413&lt;=0,"Lunas",IF(K1413&gt;0,"Sebagian","Belum Bayar"))</f>
        <v>Lunas</v>
      </c>
      <c r="O1413" s="39" t="n">
        <f aca="false">IF(M1413&gt;0,MAX(0,Catatan!$B$3-H1413),0)</f>
        <v>0</v>
      </c>
      <c r="P1413" s="39" t="str">
        <f aca="false">IF(M1413&lt;=0,"Lunas",IF(Catatan!$B$3&lt;=H1413,"Belum Jatuh Tempo",IF(O1413&lt;=30,"1-30 hari",IF(O1413&lt;=60,"31-60 hari",IF(O1413&lt;=90,"61-90 hari","90+ hari")))))</f>
        <v>Lunas</v>
      </c>
      <c r="Q1413" s="50"/>
      <c r="R1413" s="39" t="str">
        <f aca="false">IF(M1413&lt;=0,"",IF(O1413&gt;60,"1-Tinggi",IF(O1413&gt;30,"2-Sedang",IF(O1413&gt;0,"3-Rendah","4-Pantau"))))</f>
        <v/>
      </c>
      <c r="S1413" s="39" t="str">
        <f aca="false">IF(AND(M1413&gt;0,O1413&gt;0),O1413+M1413/1000000000000+ROW()/1000000000000000,"")</f>
        <v/>
      </c>
      <c r="T1413" s="39" t="str">
        <f aca="false">IF(J1413="Belum ditukar",ROW(),"")</f>
        <v/>
      </c>
    </row>
    <row r="1414" customFormat="false" ht="15" hidden="false" customHeight="false" outlineLevel="0" collapsed="false">
      <c r="A1414" s="50" t="s">
        <v>1700</v>
      </c>
      <c r="B1414" s="51" t="n">
        <v>45953</v>
      </c>
      <c r="C1414" s="50" t="s">
        <v>1048</v>
      </c>
      <c r="D1414" s="39" t="str">
        <f aca="false">INDEX(Master_Customer!$B$2:$B$126,MATCH(C1414,Master_Customer!$A$2:$A$126,0))</f>
        <v>ABADI LUBRICANT</v>
      </c>
      <c r="E1414" s="50" t="s">
        <v>28</v>
      </c>
      <c r="F1414" s="52" t="n">
        <f aca="false">SUMIFS(Data_Penjualan!$G$2:$G$5998,Data_Penjualan!$A$2:$A$5998,A1414)</f>
        <v>5137600</v>
      </c>
      <c r="G1414" s="39" t="n">
        <f aca="false">IF(E1414="KANTOR",0,INDEX(Master_Customer!$C$2:$C$126,MATCH(C1414,Master_Customer!$A$2:$A$126,0)))</f>
        <v>30</v>
      </c>
      <c r="H1414" s="53" t="n">
        <f aca="false">B1414+G1414</f>
        <v>45983</v>
      </c>
      <c r="I1414" s="51" t="n">
        <v>45957</v>
      </c>
      <c r="J1414" s="39" t="str">
        <f aca="false">IF(G1414=0,"Tunai",IF(I1414="","Belum ditukar","Sudah ditukar"))</f>
        <v>Sudah ditukar</v>
      </c>
      <c r="K1414" s="54" t="n">
        <v>5137600</v>
      </c>
      <c r="L1414" s="51" t="n">
        <v>45983</v>
      </c>
      <c r="M1414" s="52" t="n">
        <f aca="false">F1414-K1414</f>
        <v>0</v>
      </c>
      <c r="N1414" s="39" t="str">
        <f aca="false">IF(M1414&lt;=0,"Lunas",IF(K1414&gt;0,"Sebagian","Belum Bayar"))</f>
        <v>Lunas</v>
      </c>
      <c r="O1414" s="39" t="n">
        <f aca="false">IF(M1414&gt;0,MAX(0,Catatan!$B$3-H1414),0)</f>
        <v>0</v>
      </c>
      <c r="P1414" s="39" t="str">
        <f aca="false">IF(M1414&lt;=0,"Lunas",IF(Catatan!$B$3&lt;=H1414,"Belum Jatuh Tempo",IF(O1414&lt;=30,"1-30 hari",IF(O1414&lt;=60,"31-60 hari",IF(O1414&lt;=90,"61-90 hari","90+ hari")))))</f>
        <v>Lunas</v>
      </c>
      <c r="Q1414" s="50"/>
      <c r="R1414" s="39" t="str">
        <f aca="false">IF(M1414&lt;=0,"",IF(O1414&gt;60,"1-Tinggi",IF(O1414&gt;30,"2-Sedang",IF(O1414&gt;0,"3-Rendah","4-Pantau"))))</f>
        <v/>
      </c>
      <c r="S1414" s="39" t="str">
        <f aca="false">IF(AND(M1414&gt;0,O1414&gt;0),O1414+M1414/1000000000000+ROW()/1000000000000000,"")</f>
        <v/>
      </c>
      <c r="T1414" s="39" t="str">
        <f aca="false">IF(J1414="Belum ditukar",ROW(),"")</f>
        <v/>
      </c>
    </row>
    <row r="1415" customFormat="false" ht="15" hidden="false" customHeight="false" outlineLevel="0" collapsed="false">
      <c r="A1415" s="50" t="s">
        <v>1701</v>
      </c>
      <c r="B1415" s="51" t="n">
        <v>45953</v>
      </c>
      <c r="C1415" s="50" t="s">
        <v>278</v>
      </c>
      <c r="D1415" s="39" t="str">
        <f aca="false">INDEX(Master_Customer!$B$2:$B$126,MATCH(C1415,Master_Customer!$A$2:$A$126,0))</f>
        <v>SURYA MOTOR</v>
      </c>
      <c r="E1415" s="50" t="s">
        <v>32</v>
      </c>
      <c r="F1415" s="52" t="n">
        <f aca="false">SUMIFS(Data_Penjualan!$G$2:$G$5998,Data_Penjualan!$A$2:$A$5998,A1415)</f>
        <v>10664600</v>
      </c>
      <c r="G1415" s="39" t="n">
        <f aca="false">IF(E1415="KANTOR",0,INDEX(Master_Customer!$C$2:$C$126,MATCH(C1415,Master_Customer!$A$2:$A$126,0)))</f>
        <v>0</v>
      </c>
      <c r="H1415" s="53" t="n">
        <f aca="false">B1415+G1415</f>
        <v>45953</v>
      </c>
      <c r="J1415" s="39" t="str">
        <f aca="false">IF(G1415=0,"Tunai",IF(I1415="","Belum ditukar","Sudah ditukar"))</f>
        <v>Tunai</v>
      </c>
      <c r="K1415" s="54" t="n">
        <v>10664600</v>
      </c>
      <c r="L1415" s="51" t="n">
        <v>45954</v>
      </c>
      <c r="M1415" s="52" t="n">
        <f aca="false">F1415-K1415</f>
        <v>0</v>
      </c>
      <c r="N1415" s="39" t="str">
        <f aca="false">IF(M1415&lt;=0,"Lunas",IF(K1415&gt;0,"Sebagian","Belum Bayar"))</f>
        <v>Lunas</v>
      </c>
      <c r="O1415" s="39" t="n">
        <f aca="false">IF(M1415&gt;0,MAX(0,Catatan!$B$3-H1415),0)</f>
        <v>0</v>
      </c>
      <c r="P1415" s="39" t="str">
        <f aca="false">IF(M1415&lt;=0,"Lunas",IF(Catatan!$B$3&lt;=H1415,"Belum Jatuh Tempo",IF(O1415&lt;=30,"1-30 hari",IF(O1415&lt;=60,"31-60 hari",IF(O1415&lt;=90,"61-90 hari","90+ hari")))))</f>
        <v>Lunas</v>
      </c>
      <c r="Q1415" s="50"/>
      <c r="R1415" s="39" t="str">
        <f aca="false">IF(M1415&lt;=0,"",IF(O1415&gt;60,"1-Tinggi",IF(O1415&gt;30,"2-Sedang",IF(O1415&gt;0,"3-Rendah","4-Pantau"))))</f>
        <v/>
      </c>
      <c r="S1415" s="39" t="str">
        <f aca="false">IF(AND(M1415&gt;0,O1415&gt;0),O1415+M1415/1000000000000+ROW()/1000000000000000,"")</f>
        <v/>
      </c>
      <c r="T1415" s="39" t="str">
        <f aca="false">IF(J1415="Belum ditukar",ROW(),"")</f>
        <v/>
      </c>
    </row>
    <row r="1416" customFormat="false" ht="15" hidden="false" customHeight="false" outlineLevel="0" collapsed="false">
      <c r="A1416" s="50" t="s">
        <v>1702</v>
      </c>
      <c r="B1416" s="51" t="n">
        <v>45953</v>
      </c>
      <c r="C1416" s="50" t="s">
        <v>166</v>
      </c>
      <c r="D1416" s="39" t="str">
        <f aca="false">INDEX(Master_Customer!$B$2:$B$126,MATCH(C1416,Master_Customer!$A$2:$A$126,0))</f>
        <v>SENTOSA SERVICE</v>
      </c>
      <c r="E1416" s="50" t="s">
        <v>30</v>
      </c>
      <c r="F1416" s="52" t="n">
        <f aca="false">SUMIFS(Data_Penjualan!$G$2:$G$5998,Data_Penjualan!$A$2:$A$5998,A1416)</f>
        <v>7989800</v>
      </c>
      <c r="G1416" s="39" t="n">
        <f aca="false">IF(E1416="KANTOR",0,INDEX(Master_Customer!$C$2:$C$126,MATCH(C1416,Master_Customer!$A$2:$A$126,0)))</f>
        <v>0</v>
      </c>
      <c r="H1416" s="53" t="n">
        <f aca="false">B1416+G1416</f>
        <v>45953</v>
      </c>
      <c r="J1416" s="39" t="str">
        <f aca="false">IF(G1416=0,"Tunai",IF(I1416="","Belum ditukar","Sudah ditukar"))</f>
        <v>Tunai</v>
      </c>
      <c r="K1416" s="54" t="n">
        <v>7989800</v>
      </c>
      <c r="L1416" s="51" t="n">
        <v>45953</v>
      </c>
      <c r="M1416" s="52" t="n">
        <f aca="false">F1416-K1416</f>
        <v>0</v>
      </c>
      <c r="N1416" s="39" t="str">
        <f aca="false">IF(M1416&lt;=0,"Lunas",IF(K1416&gt;0,"Sebagian","Belum Bayar"))</f>
        <v>Lunas</v>
      </c>
      <c r="O1416" s="39" t="n">
        <f aca="false">IF(M1416&gt;0,MAX(0,Catatan!$B$3-H1416),0)</f>
        <v>0</v>
      </c>
      <c r="P1416" s="39" t="str">
        <f aca="false">IF(M1416&lt;=0,"Lunas",IF(Catatan!$B$3&lt;=H1416,"Belum Jatuh Tempo",IF(O1416&lt;=30,"1-30 hari",IF(O1416&lt;=60,"31-60 hari",IF(O1416&lt;=90,"61-90 hari","90+ hari")))))</f>
        <v>Lunas</v>
      </c>
      <c r="Q1416" s="50"/>
      <c r="R1416" s="39" t="str">
        <f aca="false">IF(M1416&lt;=0,"",IF(O1416&gt;60,"1-Tinggi",IF(O1416&gt;30,"2-Sedang",IF(O1416&gt;0,"3-Rendah","4-Pantau"))))</f>
        <v/>
      </c>
      <c r="S1416" s="39" t="str">
        <f aca="false">IF(AND(M1416&gt;0,O1416&gt;0),O1416+M1416/1000000000000+ROW()/1000000000000000,"")</f>
        <v/>
      </c>
      <c r="T1416" s="39" t="str">
        <f aca="false">IF(J1416="Belum ditukar",ROW(),"")</f>
        <v/>
      </c>
    </row>
    <row r="1417" customFormat="false" ht="15" hidden="false" customHeight="false" outlineLevel="0" collapsed="false">
      <c r="A1417" s="50" t="s">
        <v>1703</v>
      </c>
      <c r="B1417" s="51" t="n">
        <v>45954</v>
      </c>
      <c r="C1417" s="50" t="s">
        <v>199</v>
      </c>
      <c r="D1417" s="39" t="str">
        <f aca="false">INDEX(Master_Customer!$B$2:$B$126,MATCH(C1417,Master_Customer!$A$2:$A$126,0))</f>
        <v>KARYA SPAREPART</v>
      </c>
      <c r="E1417" s="50" t="s">
        <v>29</v>
      </c>
      <c r="F1417" s="52" t="n">
        <f aca="false">SUMIFS(Data_Penjualan!$G$2:$G$5998,Data_Penjualan!$A$2:$A$5998,A1417)</f>
        <v>11167200</v>
      </c>
      <c r="G1417" s="39" t="n">
        <f aca="false">IF(E1417="KANTOR",0,INDEX(Master_Customer!$C$2:$C$126,MATCH(C1417,Master_Customer!$A$2:$A$126,0)))</f>
        <v>45</v>
      </c>
      <c r="H1417" s="53" t="n">
        <f aca="false">B1417+G1417</f>
        <v>45999</v>
      </c>
      <c r="I1417" s="51" t="n">
        <v>45955</v>
      </c>
      <c r="J1417" s="39" t="str">
        <f aca="false">IF(G1417=0,"Tunai",IF(I1417="","Belum ditukar","Sudah ditukar"))</f>
        <v>Sudah ditukar</v>
      </c>
      <c r="K1417" s="54" t="n">
        <v>11167200</v>
      </c>
      <c r="L1417" s="51" t="n">
        <v>45993</v>
      </c>
      <c r="M1417" s="52" t="n">
        <f aca="false">F1417-K1417</f>
        <v>0</v>
      </c>
      <c r="N1417" s="39" t="str">
        <f aca="false">IF(M1417&lt;=0,"Lunas",IF(K1417&gt;0,"Sebagian","Belum Bayar"))</f>
        <v>Lunas</v>
      </c>
      <c r="O1417" s="39" t="n">
        <f aca="false">IF(M1417&gt;0,MAX(0,Catatan!$B$3-H1417),0)</f>
        <v>0</v>
      </c>
      <c r="P1417" s="39" t="str">
        <f aca="false">IF(M1417&lt;=0,"Lunas",IF(Catatan!$B$3&lt;=H1417,"Belum Jatuh Tempo",IF(O1417&lt;=30,"1-30 hari",IF(O1417&lt;=60,"31-60 hari",IF(O1417&lt;=90,"61-90 hari","90+ hari")))))</f>
        <v>Lunas</v>
      </c>
      <c r="Q1417" s="50"/>
      <c r="R1417" s="39" t="str">
        <f aca="false">IF(M1417&lt;=0,"",IF(O1417&gt;60,"1-Tinggi",IF(O1417&gt;30,"2-Sedang",IF(O1417&gt;0,"3-Rendah","4-Pantau"))))</f>
        <v/>
      </c>
      <c r="S1417" s="39" t="str">
        <f aca="false">IF(AND(M1417&gt;0,O1417&gt;0),O1417+M1417/1000000000000+ROW()/1000000000000000,"")</f>
        <v/>
      </c>
      <c r="T1417" s="39" t="str">
        <f aca="false">IF(J1417="Belum ditukar",ROW(),"")</f>
        <v/>
      </c>
    </row>
    <row r="1418" customFormat="false" ht="15" hidden="false" customHeight="false" outlineLevel="0" collapsed="false">
      <c r="A1418" s="50" t="s">
        <v>1704</v>
      </c>
      <c r="B1418" s="51" t="n">
        <v>45954</v>
      </c>
      <c r="C1418" s="50" t="s">
        <v>469</v>
      </c>
      <c r="D1418" s="39" t="str">
        <f aca="false">INDEX(Master_Customer!$B$2:$B$126,MATCH(C1418,Master_Customer!$A$2:$A$126,0))</f>
        <v>MULIA AUTO CAHAYA</v>
      </c>
      <c r="E1418" s="50" t="s">
        <v>31</v>
      </c>
      <c r="F1418" s="52" t="n">
        <f aca="false">SUMIFS(Data_Penjualan!$G$2:$G$5998,Data_Penjualan!$A$2:$A$5998,A1418)</f>
        <v>2179800</v>
      </c>
      <c r="G1418" s="39" t="n">
        <f aca="false">IF(E1418="KANTOR",0,INDEX(Master_Customer!$C$2:$C$126,MATCH(C1418,Master_Customer!$A$2:$A$126,0)))</f>
        <v>45</v>
      </c>
      <c r="H1418" s="53" t="n">
        <f aca="false">B1418+G1418</f>
        <v>45999</v>
      </c>
      <c r="I1418" s="51" t="n">
        <v>45958</v>
      </c>
      <c r="J1418" s="39" t="str">
        <f aca="false">IF(G1418=0,"Tunai",IF(I1418="","Belum ditukar","Sudah ditukar"))</f>
        <v>Sudah ditukar</v>
      </c>
      <c r="K1418" s="54" t="n">
        <v>1358400</v>
      </c>
      <c r="L1418" s="51" t="n">
        <v>46020</v>
      </c>
      <c r="M1418" s="52" t="n">
        <f aca="false">F1418-K1418</f>
        <v>821400</v>
      </c>
      <c r="N1418" s="39" t="str">
        <f aca="false">IF(M1418&lt;=0,"Lunas",IF(K1418&gt;0,"Sebagian","Belum Bayar"))</f>
        <v>Sebagian</v>
      </c>
      <c r="O1418" s="39" t="n">
        <f aca="false">IF(M1418&gt;0,MAX(0,Catatan!$B$3-H1418),0)</f>
        <v>23</v>
      </c>
      <c r="P1418" s="39" t="str">
        <f aca="false">IF(M1418&lt;=0,"Lunas",IF(Catatan!$B$3&lt;=H1418,"Belum Jatuh Tempo",IF(O1418&lt;=30,"1-30 hari",IF(O1418&lt;=60,"31-60 hari",IF(O1418&lt;=90,"61-90 hari","90+ hari")))))</f>
        <v>1-30 hari</v>
      </c>
      <c r="Q1418" s="50" t="s">
        <v>1705</v>
      </c>
      <c r="R1418" s="39" t="str">
        <f aca="false">IF(M1418&lt;=0,"",IF(O1418&gt;60,"1-Tinggi",IF(O1418&gt;30,"2-Sedang",IF(O1418&gt;0,"3-Rendah","4-Pantau"))))</f>
        <v>3-Rendah</v>
      </c>
      <c r="S1418" s="39" t="n">
        <f aca="false">IF(AND(M1418&gt;0,O1418&gt;0),O1418+M1418/1000000000000+ROW()/1000000000000000,"")</f>
        <v>23.0000008214014</v>
      </c>
      <c r="T1418" s="39" t="str">
        <f aca="false">IF(J1418="Belum ditukar",ROW(),"")</f>
        <v/>
      </c>
    </row>
    <row r="1419" customFormat="false" ht="15" hidden="false" customHeight="false" outlineLevel="0" collapsed="false">
      <c r="A1419" s="50" t="s">
        <v>1706</v>
      </c>
      <c r="B1419" s="51" t="n">
        <v>45954</v>
      </c>
      <c r="C1419" s="50" t="s">
        <v>228</v>
      </c>
      <c r="D1419" s="39" t="str">
        <f aca="false">INDEX(Master_Customer!$B$2:$B$126,MATCH(C1419,Master_Customer!$A$2:$A$126,0))</f>
        <v>MAKMUR SERVICE JAYA</v>
      </c>
      <c r="E1419" s="50" t="s">
        <v>29</v>
      </c>
      <c r="F1419" s="52" t="n">
        <f aca="false">SUMIFS(Data_Penjualan!$G$2:$G$5998,Data_Penjualan!$A$2:$A$5998,A1419)</f>
        <v>20663700</v>
      </c>
      <c r="G1419" s="39" t="n">
        <f aca="false">IF(E1419="KANTOR",0,INDEX(Master_Customer!$C$2:$C$126,MATCH(C1419,Master_Customer!$A$2:$A$126,0)))</f>
        <v>30</v>
      </c>
      <c r="H1419" s="53" t="n">
        <f aca="false">B1419+G1419</f>
        <v>45984</v>
      </c>
      <c r="I1419" s="51" t="n">
        <v>45957</v>
      </c>
      <c r="J1419" s="39" t="str">
        <f aca="false">IF(G1419=0,"Tunai",IF(I1419="","Belum ditukar","Sudah ditukar"))</f>
        <v>Sudah ditukar</v>
      </c>
      <c r="K1419" s="54" t="n">
        <v>20663700</v>
      </c>
      <c r="L1419" s="51" t="n">
        <v>46006</v>
      </c>
      <c r="M1419" s="52" t="n">
        <f aca="false">F1419-K1419</f>
        <v>0</v>
      </c>
      <c r="N1419" s="39" t="str">
        <f aca="false">IF(M1419&lt;=0,"Lunas",IF(K1419&gt;0,"Sebagian","Belum Bayar"))</f>
        <v>Lunas</v>
      </c>
      <c r="O1419" s="39" t="n">
        <f aca="false">IF(M1419&gt;0,MAX(0,Catatan!$B$3-H1419),0)</f>
        <v>0</v>
      </c>
      <c r="P1419" s="39" t="str">
        <f aca="false">IF(M1419&lt;=0,"Lunas",IF(Catatan!$B$3&lt;=H1419,"Belum Jatuh Tempo",IF(O1419&lt;=30,"1-30 hari",IF(O1419&lt;=60,"31-60 hari",IF(O1419&lt;=90,"61-90 hari","90+ hari")))))</f>
        <v>Lunas</v>
      </c>
      <c r="Q1419" s="50"/>
      <c r="R1419" s="39" t="str">
        <f aca="false">IF(M1419&lt;=0,"",IF(O1419&gt;60,"1-Tinggi",IF(O1419&gt;30,"2-Sedang",IF(O1419&gt;0,"3-Rendah","4-Pantau"))))</f>
        <v/>
      </c>
      <c r="S1419" s="39" t="str">
        <f aca="false">IF(AND(M1419&gt;0,O1419&gt;0),O1419+M1419/1000000000000+ROW()/1000000000000000,"")</f>
        <v/>
      </c>
      <c r="T1419" s="39" t="str">
        <f aca="false">IF(J1419="Belum ditukar",ROW(),"")</f>
        <v/>
      </c>
    </row>
    <row r="1420" customFormat="false" ht="15" hidden="false" customHeight="false" outlineLevel="0" collapsed="false">
      <c r="A1420" s="50" t="s">
        <v>1707</v>
      </c>
      <c r="B1420" s="51" t="n">
        <v>45954</v>
      </c>
      <c r="C1420" s="50" t="s">
        <v>191</v>
      </c>
      <c r="D1420" s="39" t="str">
        <f aca="false">INDEX(Master_Customer!$B$2:$B$126,MATCH(C1420,Master_Customer!$A$2:$A$126,0))</f>
        <v>SINAR AUTO BERKAH</v>
      </c>
      <c r="E1420" s="50" t="s">
        <v>30</v>
      </c>
      <c r="F1420" s="52" t="n">
        <f aca="false">SUMIFS(Data_Penjualan!$G$2:$G$5998,Data_Penjualan!$A$2:$A$5998,A1420)</f>
        <v>13821600</v>
      </c>
      <c r="G1420" s="39" t="n">
        <f aca="false">IF(E1420="KANTOR",0,INDEX(Master_Customer!$C$2:$C$126,MATCH(C1420,Master_Customer!$A$2:$A$126,0)))</f>
        <v>30</v>
      </c>
      <c r="H1420" s="53" t="n">
        <f aca="false">B1420+G1420</f>
        <v>45984</v>
      </c>
      <c r="I1420" s="51" t="n">
        <v>45956</v>
      </c>
      <c r="J1420" s="39" t="str">
        <f aca="false">IF(G1420=0,"Tunai",IF(I1420="","Belum ditukar","Sudah ditukar"))</f>
        <v>Sudah ditukar</v>
      </c>
      <c r="K1420" s="54" t="n">
        <v>0</v>
      </c>
      <c r="M1420" s="52" t="n">
        <f aca="false">F1420-K1420</f>
        <v>13821600</v>
      </c>
      <c r="N1420" s="39" t="str">
        <f aca="false">IF(M1420&lt;=0,"Lunas",IF(K1420&gt;0,"Sebagian","Belum Bayar"))</f>
        <v>Belum Bayar</v>
      </c>
      <c r="O1420" s="39" t="n">
        <f aca="false">IF(M1420&gt;0,MAX(0,Catatan!$B$3-H1420),0)</f>
        <v>38</v>
      </c>
      <c r="P1420" s="39" t="str">
        <f aca="false">IF(M1420&lt;=0,"Lunas",IF(Catatan!$B$3&lt;=H1420,"Belum Jatuh Tempo",IF(O1420&lt;=30,"1-30 hari",IF(O1420&lt;=60,"31-60 hari",IF(O1420&lt;=90,"61-90 hari","90+ hari")))))</f>
        <v>31-60 hari</v>
      </c>
      <c r="Q1420" s="50" t="s">
        <v>1705</v>
      </c>
      <c r="R1420" s="39" t="str">
        <f aca="false">IF(M1420&lt;=0,"",IF(O1420&gt;60,"1-Tinggi",IF(O1420&gt;30,"2-Sedang",IF(O1420&gt;0,"3-Rendah","4-Pantau"))))</f>
        <v>2-Sedang</v>
      </c>
      <c r="S1420" s="39" t="n">
        <f aca="false">IF(AND(M1420&gt;0,O1420&gt;0),O1420+M1420/1000000000000+ROW()/1000000000000000,"")</f>
        <v>38.0000138216014</v>
      </c>
      <c r="T1420" s="39" t="str">
        <f aca="false">IF(J1420="Belum ditukar",ROW(),"")</f>
        <v/>
      </c>
    </row>
    <row r="1421" customFormat="false" ht="15" hidden="false" customHeight="false" outlineLevel="0" collapsed="false">
      <c r="A1421" s="50" t="s">
        <v>1708</v>
      </c>
      <c r="B1421" s="51" t="n">
        <v>45954</v>
      </c>
      <c r="C1421" s="50" t="s">
        <v>358</v>
      </c>
      <c r="D1421" s="39" t="str">
        <f aca="false">INDEX(Master_Customer!$B$2:$B$126,MATCH(C1421,Master_Customer!$A$2:$A$126,0))</f>
        <v>HARAPAN TEKNIK</v>
      </c>
      <c r="E1421" s="50" t="s">
        <v>31</v>
      </c>
      <c r="F1421" s="52" t="n">
        <f aca="false">SUMIFS(Data_Penjualan!$G$2:$G$5998,Data_Penjualan!$A$2:$A$5998,A1421)</f>
        <v>2471400</v>
      </c>
      <c r="G1421" s="39" t="n">
        <f aca="false">IF(E1421="KANTOR",0,INDEX(Master_Customer!$C$2:$C$126,MATCH(C1421,Master_Customer!$A$2:$A$126,0)))</f>
        <v>0</v>
      </c>
      <c r="H1421" s="53" t="n">
        <f aca="false">B1421+G1421</f>
        <v>45954</v>
      </c>
      <c r="J1421" s="39" t="str">
        <f aca="false">IF(G1421=0,"Tunai",IF(I1421="","Belum ditukar","Sudah ditukar"))</f>
        <v>Tunai</v>
      </c>
      <c r="K1421" s="54" t="n">
        <v>2471400</v>
      </c>
      <c r="L1421" s="51" t="n">
        <v>45954</v>
      </c>
      <c r="M1421" s="52" t="n">
        <f aca="false">F1421-K1421</f>
        <v>0</v>
      </c>
      <c r="N1421" s="39" t="str">
        <f aca="false">IF(M1421&lt;=0,"Lunas",IF(K1421&gt;0,"Sebagian","Belum Bayar"))</f>
        <v>Lunas</v>
      </c>
      <c r="O1421" s="39" t="n">
        <f aca="false">IF(M1421&gt;0,MAX(0,Catatan!$B$3-H1421),0)</f>
        <v>0</v>
      </c>
      <c r="P1421" s="39" t="str">
        <f aca="false">IF(M1421&lt;=0,"Lunas",IF(Catatan!$B$3&lt;=H1421,"Belum Jatuh Tempo",IF(O1421&lt;=30,"1-30 hari",IF(O1421&lt;=60,"31-60 hari",IF(O1421&lt;=90,"61-90 hari","90+ hari")))))</f>
        <v>Lunas</v>
      </c>
      <c r="Q1421" s="50"/>
      <c r="R1421" s="39" t="str">
        <f aca="false">IF(M1421&lt;=0,"",IF(O1421&gt;60,"1-Tinggi",IF(O1421&gt;30,"2-Sedang",IF(O1421&gt;0,"3-Rendah","4-Pantau"))))</f>
        <v/>
      </c>
      <c r="S1421" s="39" t="str">
        <f aca="false">IF(AND(M1421&gt;0,O1421&gt;0),O1421+M1421/1000000000000+ROW()/1000000000000000,"")</f>
        <v/>
      </c>
      <c r="T1421" s="39" t="str">
        <f aca="false">IF(J1421="Belum ditukar",ROW(),"")</f>
        <v/>
      </c>
    </row>
    <row r="1422" customFormat="false" ht="15" hidden="false" customHeight="false" outlineLevel="0" collapsed="false">
      <c r="A1422" s="50" t="s">
        <v>1709</v>
      </c>
      <c r="B1422" s="51" t="n">
        <v>45954</v>
      </c>
      <c r="C1422" s="50" t="s">
        <v>289</v>
      </c>
      <c r="D1422" s="39" t="str">
        <f aca="false">INDEX(Master_Customer!$B$2:$B$126,MATCH(C1422,Master_Customer!$A$2:$A$126,0))</f>
        <v>SINAR GARAGE</v>
      </c>
      <c r="E1422" s="50" t="s">
        <v>28</v>
      </c>
      <c r="F1422" s="52" t="n">
        <f aca="false">SUMIFS(Data_Penjualan!$G$2:$G$5998,Data_Penjualan!$A$2:$A$5998,A1422)</f>
        <v>7781800</v>
      </c>
      <c r="G1422" s="39" t="n">
        <f aca="false">IF(E1422="KANTOR",0,INDEX(Master_Customer!$C$2:$C$126,MATCH(C1422,Master_Customer!$A$2:$A$126,0)))</f>
        <v>30</v>
      </c>
      <c r="H1422" s="53" t="n">
        <f aca="false">B1422+G1422</f>
        <v>45984</v>
      </c>
      <c r="I1422" s="51" t="n">
        <v>45956</v>
      </c>
      <c r="J1422" s="39" t="str">
        <f aca="false">IF(G1422=0,"Tunai",IF(I1422="","Belum ditukar","Sudah ditukar"))</f>
        <v>Sudah ditukar</v>
      </c>
      <c r="K1422" s="54" t="n">
        <v>7781800</v>
      </c>
      <c r="L1422" s="51" t="n">
        <v>45984</v>
      </c>
      <c r="M1422" s="52" t="n">
        <f aca="false">F1422-K1422</f>
        <v>0</v>
      </c>
      <c r="N1422" s="39" t="str">
        <f aca="false">IF(M1422&lt;=0,"Lunas",IF(K1422&gt;0,"Sebagian","Belum Bayar"))</f>
        <v>Lunas</v>
      </c>
      <c r="O1422" s="39" t="n">
        <f aca="false">IF(M1422&gt;0,MAX(0,Catatan!$B$3-H1422),0)</f>
        <v>0</v>
      </c>
      <c r="P1422" s="39" t="str">
        <f aca="false">IF(M1422&lt;=0,"Lunas",IF(Catatan!$B$3&lt;=H1422,"Belum Jatuh Tempo",IF(O1422&lt;=30,"1-30 hari",IF(O1422&lt;=60,"31-60 hari",IF(O1422&lt;=90,"61-90 hari","90+ hari")))))</f>
        <v>Lunas</v>
      </c>
      <c r="Q1422" s="50"/>
      <c r="R1422" s="39" t="str">
        <f aca="false">IF(M1422&lt;=0,"",IF(O1422&gt;60,"1-Tinggi",IF(O1422&gt;30,"2-Sedang",IF(O1422&gt;0,"3-Rendah","4-Pantau"))))</f>
        <v/>
      </c>
      <c r="S1422" s="39" t="str">
        <f aca="false">IF(AND(M1422&gt;0,O1422&gt;0),O1422+M1422/1000000000000+ROW()/1000000000000000,"")</f>
        <v/>
      </c>
      <c r="T1422" s="39" t="str">
        <f aca="false">IF(J1422="Belum ditukar",ROW(),"")</f>
        <v/>
      </c>
    </row>
    <row r="1423" customFormat="false" ht="15" hidden="false" customHeight="false" outlineLevel="0" collapsed="false">
      <c r="A1423" s="50" t="s">
        <v>1710</v>
      </c>
      <c r="B1423" s="51" t="n">
        <v>45954</v>
      </c>
      <c r="C1423" s="50" t="s">
        <v>475</v>
      </c>
      <c r="D1423" s="39" t="str">
        <f aca="false">INDEX(Master_Customer!$B$2:$B$126,MATCH(C1423,Master_Customer!$A$2:$A$126,0))</f>
        <v>CAHAYA BENGKEL</v>
      </c>
      <c r="E1423" s="50" t="s">
        <v>30</v>
      </c>
      <c r="F1423" s="52" t="n">
        <f aca="false">SUMIFS(Data_Penjualan!$G$2:$G$5998,Data_Penjualan!$A$2:$A$5998,A1423)</f>
        <v>20186400</v>
      </c>
      <c r="G1423" s="39" t="n">
        <f aca="false">IF(E1423="KANTOR",0,INDEX(Master_Customer!$C$2:$C$126,MATCH(C1423,Master_Customer!$A$2:$A$126,0)))</f>
        <v>30</v>
      </c>
      <c r="H1423" s="53" t="n">
        <f aca="false">B1423+G1423</f>
        <v>45984</v>
      </c>
      <c r="I1423" s="51" t="n">
        <v>45956</v>
      </c>
      <c r="J1423" s="39" t="str">
        <f aca="false">IF(G1423=0,"Tunai",IF(I1423="","Belum ditukar","Sudah ditukar"))</f>
        <v>Sudah ditukar</v>
      </c>
      <c r="K1423" s="54" t="n">
        <v>20186400</v>
      </c>
      <c r="L1423" s="51" t="n">
        <v>45982</v>
      </c>
      <c r="M1423" s="52" t="n">
        <f aca="false">F1423-K1423</f>
        <v>0</v>
      </c>
      <c r="N1423" s="39" t="str">
        <f aca="false">IF(M1423&lt;=0,"Lunas",IF(K1423&gt;0,"Sebagian","Belum Bayar"))</f>
        <v>Lunas</v>
      </c>
      <c r="O1423" s="39" t="n">
        <f aca="false">IF(M1423&gt;0,MAX(0,Catatan!$B$3-H1423),0)</f>
        <v>0</v>
      </c>
      <c r="P1423" s="39" t="str">
        <f aca="false">IF(M1423&lt;=0,"Lunas",IF(Catatan!$B$3&lt;=H1423,"Belum Jatuh Tempo",IF(O1423&lt;=30,"1-30 hari",IF(O1423&lt;=60,"31-60 hari",IF(O1423&lt;=90,"61-90 hari","90+ hari")))))</f>
        <v>Lunas</v>
      </c>
      <c r="Q1423" s="50"/>
      <c r="R1423" s="39" t="str">
        <f aca="false">IF(M1423&lt;=0,"",IF(O1423&gt;60,"1-Tinggi",IF(O1423&gt;30,"2-Sedang",IF(O1423&gt;0,"3-Rendah","4-Pantau"))))</f>
        <v/>
      </c>
      <c r="S1423" s="39" t="str">
        <f aca="false">IF(AND(M1423&gt;0,O1423&gt;0),O1423+M1423/1000000000000+ROW()/1000000000000000,"")</f>
        <v/>
      </c>
      <c r="T1423" s="39" t="str">
        <f aca="false">IF(J1423="Belum ditukar",ROW(),"")</f>
        <v/>
      </c>
    </row>
    <row r="1424" customFormat="false" ht="15" hidden="false" customHeight="false" outlineLevel="0" collapsed="false">
      <c r="A1424" s="50" t="s">
        <v>1711</v>
      </c>
      <c r="B1424" s="51" t="n">
        <v>45955</v>
      </c>
      <c r="C1424" s="50" t="s">
        <v>239</v>
      </c>
      <c r="D1424" s="39" t="str">
        <f aca="false">INDEX(Master_Customer!$B$2:$B$126,MATCH(C1424,Master_Customer!$A$2:$A$126,0))</f>
        <v>MAJU SPAREPART UTAMA</v>
      </c>
      <c r="E1424" s="50" t="s">
        <v>32</v>
      </c>
      <c r="F1424" s="52" t="n">
        <f aca="false">SUMIFS(Data_Penjualan!$G$2:$G$5998,Data_Penjualan!$A$2:$A$5998,A1424)</f>
        <v>14854300</v>
      </c>
      <c r="G1424" s="39" t="n">
        <f aca="false">IF(E1424="KANTOR",0,INDEX(Master_Customer!$C$2:$C$126,MATCH(C1424,Master_Customer!$A$2:$A$126,0)))</f>
        <v>0</v>
      </c>
      <c r="H1424" s="53" t="n">
        <f aca="false">B1424+G1424</f>
        <v>45955</v>
      </c>
      <c r="J1424" s="39" t="str">
        <f aca="false">IF(G1424=0,"Tunai",IF(I1424="","Belum ditukar","Sudah ditukar"))</f>
        <v>Tunai</v>
      </c>
      <c r="K1424" s="54" t="n">
        <v>14854300</v>
      </c>
      <c r="L1424" s="51" t="n">
        <v>45955</v>
      </c>
      <c r="M1424" s="52" t="n">
        <f aca="false">F1424-K1424</f>
        <v>0</v>
      </c>
      <c r="N1424" s="39" t="str">
        <f aca="false">IF(M1424&lt;=0,"Lunas",IF(K1424&gt;0,"Sebagian","Belum Bayar"))</f>
        <v>Lunas</v>
      </c>
      <c r="O1424" s="39" t="n">
        <f aca="false">IF(M1424&gt;0,MAX(0,Catatan!$B$3-H1424),0)</f>
        <v>0</v>
      </c>
      <c r="P1424" s="39" t="str">
        <f aca="false">IF(M1424&lt;=0,"Lunas",IF(Catatan!$B$3&lt;=H1424,"Belum Jatuh Tempo",IF(O1424&lt;=30,"1-30 hari",IF(O1424&lt;=60,"31-60 hari",IF(O1424&lt;=90,"61-90 hari","90+ hari")))))</f>
        <v>Lunas</v>
      </c>
      <c r="Q1424" s="50"/>
      <c r="R1424" s="39" t="str">
        <f aca="false">IF(M1424&lt;=0,"",IF(O1424&gt;60,"1-Tinggi",IF(O1424&gt;30,"2-Sedang",IF(O1424&gt;0,"3-Rendah","4-Pantau"))))</f>
        <v/>
      </c>
      <c r="S1424" s="39" t="str">
        <f aca="false">IF(AND(M1424&gt;0,O1424&gt;0),O1424+M1424/1000000000000+ROW()/1000000000000000,"")</f>
        <v/>
      </c>
      <c r="T1424" s="39" t="str">
        <f aca="false">IF(J1424="Belum ditukar",ROW(),"")</f>
        <v/>
      </c>
    </row>
    <row r="1425" customFormat="false" ht="15" hidden="false" customHeight="false" outlineLevel="0" collapsed="false">
      <c r="A1425" s="50" t="s">
        <v>1712</v>
      </c>
      <c r="B1425" s="51" t="n">
        <v>45955</v>
      </c>
      <c r="C1425" s="50" t="s">
        <v>369</v>
      </c>
      <c r="D1425" s="39" t="str">
        <f aca="false">INDEX(Master_Customer!$B$2:$B$126,MATCH(C1425,Master_Customer!$A$2:$A$126,0))</f>
        <v>UTAMA TEKNIK</v>
      </c>
      <c r="E1425" s="50" t="s">
        <v>31</v>
      </c>
      <c r="F1425" s="52" t="n">
        <f aca="false">SUMIFS(Data_Penjualan!$G$2:$G$5998,Data_Penjualan!$A$2:$A$5998,A1425)</f>
        <v>7859800</v>
      </c>
      <c r="G1425" s="39" t="n">
        <f aca="false">IF(E1425="KANTOR",0,INDEX(Master_Customer!$C$2:$C$126,MATCH(C1425,Master_Customer!$A$2:$A$126,0)))</f>
        <v>30</v>
      </c>
      <c r="H1425" s="53" t="n">
        <f aca="false">B1425+G1425</f>
        <v>45985</v>
      </c>
      <c r="I1425" s="51" t="n">
        <v>45958</v>
      </c>
      <c r="J1425" s="39" t="str">
        <f aca="false">IF(G1425=0,"Tunai",IF(I1425="","Belum ditukar","Sudah ditukar"))</f>
        <v>Sudah ditukar</v>
      </c>
      <c r="K1425" s="54" t="n">
        <v>7859800</v>
      </c>
      <c r="L1425" s="51" t="n">
        <v>46008</v>
      </c>
      <c r="M1425" s="52" t="n">
        <f aca="false">F1425-K1425</f>
        <v>0</v>
      </c>
      <c r="N1425" s="39" t="str">
        <f aca="false">IF(M1425&lt;=0,"Lunas",IF(K1425&gt;0,"Sebagian","Belum Bayar"))</f>
        <v>Lunas</v>
      </c>
      <c r="O1425" s="39" t="n">
        <f aca="false">IF(M1425&gt;0,MAX(0,Catatan!$B$3-H1425),0)</f>
        <v>0</v>
      </c>
      <c r="P1425" s="39" t="str">
        <f aca="false">IF(M1425&lt;=0,"Lunas",IF(Catatan!$B$3&lt;=H1425,"Belum Jatuh Tempo",IF(O1425&lt;=30,"1-30 hari",IF(O1425&lt;=60,"31-60 hari",IF(O1425&lt;=90,"61-90 hari","90+ hari")))))</f>
        <v>Lunas</v>
      </c>
      <c r="Q1425" s="50"/>
      <c r="R1425" s="39" t="str">
        <f aca="false">IF(M1425&lt;=0,"",IF(O1425&gt;60,"1-Tinggi",IF(O1425&gt;30,"2-Sedang",IF(O1425&gt;0,"3-Rendah","4-Pantau"))))</f>
        <v/>
      </c>
      <c r="S1425" s="39" t="str">
        <f aca="false">IF(AND(M1425&gt;0,O1425&gt;0),O1425+M1425/1000000000000+ROW()/1000000000000000,"")</f>
        <v/>
      </c>
      <c r="T1425" s="39" t="str">
        <f aca="false">IF(J1425="Belum ditukar",ROW(),"")</f>
        <v/>
      </c>
    </row>
    <row r="1426" customFormat="false" ht="15" hidden="false" customHeight="false" outlineLevel="0" collapsed="false">
      <c r="A1426" s="50" t="s">
        <v>1713</v>
      </c>
      <c r="B1426" s="51" t="n">
        <v>45955</v>
      </c>
      <c r="C1426" s="50" t="s">
        <v>174</v>
      </c>
      <c r="D1426" s="39" t="str">
        <f aca="false">INDEX(Master_Customer!$B$2:$B$126,MATCH(C1426,Master_Customer!$A$2:$A$126,0))</f>
        <v>SUMBER TEKNIK SURYA</v>
      </c>
      <c r="E1426" s="50" t="s">
        <v>32</v>
      </c>
      <c r="F1426" s="52" t="n">
        <f aca="false">SUMIFS(Data_Penjualan!$G$2:$G$5998,Data_Penjualan!$A$2:$A$5998,A1426)</f>
        <v>4312500</v>
      </c>
      <c r="G1426" s="39" t="n">
        <f aca="false">IF(E1426="KANTOR",0,INDEX(Master_Customer!$C$2:$C$126,MATCH(C1426,Master_Customer!$A$2:$A$126,0)))</f>
        <v>0</v>
      </c>
      <c r="H1426" s="53" t="n">
        <f aca="false">B1426+G1426</f>
        <v>45955</v>
      </c>
      <c r="J1426" s="39" t="str">
        <f aca="false">IF(G1426=0,"Tunai",IF(I1426="","Belum ditukar","Sudah ditukar"))</f>
        <v>Tunai</v>
      </c>
      <c r="K1426" s="54" t="n">
        <v>4312500</v>
      </c>
      <c r="L1426" s="51" t="n">
        <v>45955</v>
      </c>
      <c r="M1426" s="52" t="n">
        <f aca="false">F1426-K1426</f>
        <v>0</v>
      </c>
      <c r="N1426" s="39" t="str">
        <f aca="false">IF(M1426&lt;=0,"Lunas",IF(K1426&gt;0,"Sebagian","Belum Bayar"))</f>
        <v>Lunas</v>
      </c>
      <c r="O1426" s="39" t="n">
        <f aca="false">IF(M1426&gt;0,MAX(0,Catatan!$B$3-H1426),0)</f>
        <v>0</v>
      </c>
      <c r="P1426" s="39" t="str">
        <f aca="false">IF(M1426&lt;=0,"Lunas",IF(Catatan!$B$3&lt;=H1426,"Belum Jatuh Tempo",IF(O1426&lt;=30,"1-30 hari",IF(O1426&lt;=60,"31-60 hari",IF(O1426&lt;=90,"61-90 hari","90+ hari")))))</f>
        <v>Lunas</v>
      </c>
      <c r="Q1426" s="50"/>
      <c r="R1426" s="39" t="str">
        <f aca="false">IF(M1426&lt;=0,"",IF(O1426&gt;60,"1-Tinggi",IF(O1426&gt;30,"2-Sedang",IF(O1426&gt;0,"3-Rendah","4-Pantau"))))</f>
        <v/>
      </c>
      <c r="S1426" s="39" t="str">
        <f aca="false">IF(AND(M1426&gt;0,O1426&gt;0),O1426+M1426/1000000000000+ROW()/1000000000000000,"")</f>
        <v/>
      </c>
      <c r="T1426" s="39" t="str">
        <f aca="false">IF(J1426="Belum ditukar",ROW(),"")</f>
        <v/>
      </c>
    </row>
    <row r="1427" customFormat="false" ht="15" hidden="false" customHeight="false" outlineLevel="0" collapsed="false">
      <c r="A1427" s="50" t="s">
        <v>1714</v>
      </c>
      <c r="B1427" s="51" t="n">
        <v>45957</v>
      </c>
      <c r="C1427" s="50" t="s">
        <v>168</v>
      </c>
      <c r="D1427" s="39" t="str">
        <f aca="false">INDEX(Master_Customer!$B$2:$B$126,MATCH(C1427,Master_Customer!$A$2:$A$126,0))</f>
        <v>JAYA LUBRICANT</v>
      </c>
      <c r="E1427" s="50" t="s">
        <v>29</v>
      </c>
      <c r="F1427" s="52" t="n">
        <f aca="false">SUMIFS(Data_Penjualan!$G$2:$G$5998,Data_Penjualan!$A$2:$A$5998,A1427)</f>
        <v>3866900</v>
      </c>
      <c r="G1427" s="39" t="n">
        <f aca="false">IF(E1427="KANTOR",0,INDEX(Master_Customer!$C$2:$C$126,MATCH(C1427,Master_Customer!$A$2:$A$126,0)))</f>
        <v>0</v>
      </c>
      <c r="H1427" s="53" t="n">
        <f aca="false">B1427+G1427</f>
        <v>45957</v>
      </c>
      <c r="J1427" s="39" t="str">
        <f aca="false">IF(G1427=0,"Tunai",IF(I1427="","Belum ditukar","Sudah ditukar"))</f>
        <v>Tunai</v>
      </c>
      <c r="K1427" s="54" t="n">
        <v>3866900</v>
      </c>
      <c r="L1427" s="51" t="n">
        <v>45959</v>
      </c>
      <c r="M1427" s="52" t="n">
        <f aca="false">F1427-K1427</f>
        <v>0</v>
      </c>
      <c r="N1427" s="39" t="str">
        <f aca="false">IF(M1427&lt;=0,"Lunas",IF(K1427&gt;0,"Sebagian","Belum Bayar"))</f>
        <v>Lunas</v>
      </c>
      <c r="O1427" s="39" t="n">
        <f aca="false">IF(M1427&gt;0,MAX(0,Catatan!$B$3-H1427),0)</f>
        <v>0</v>
      </c>
      <c r="P1427" s="39" t="str">
        <f aca="false">IF(M1427&lt;=0,"Lunas",IF(Catatan!$B$3&lt;=H1427,"Belum Jatuh Tempo",IF(O1427&lt;=30,"1-30 hari",IF(O1427&lt;=60,"31-60 hari",IF(O1427&lt;=90,"61-90 hari","90+ hari")))))</f>
        <v>Lunas</v>
      </c>
      <c r="Q1427" s="50"/>
      <c r="R1427" s="39" t="str">
        <f aca="false">IF(M1427&lt;=0,"",IF(O1427&gt;60,"1-Tinggi",IF(O1427&gt;30,"2-Sedang",IF(O1427&gt;0,"3-Rendah","4-Pantau"))))</f>
        <v/>
      </c>
      <c r="S1427" s="39" t="str">
        <f aca="false">IF(AND(M1427&gt;0,O1427&gt;0),O1427+M1427/1000000000000+ROW()/1000000000000000,"")</f>
        <v/>
      </c>
      <c r="T1427" s="39" t="str">
        <f aca="false">IF(J1427="Belum ditukar",ROW(),"")</f>
        <v/>
      </c>
    </row>
    <row r="1428" customFormat="false" ht="15" hidden="false" customHeight="false" outlineLevel="0" collapsed="false">
      <c r="A1428" s="50" t="s">
        <v>1715</v>
      </c>
      <c r="B1428" s="51" t="n">
        <v>45957</v>
      </c>
      <c r="C1428" s="50" t="s">
        <v>199</v>
      </c>
      <c r="D1428" s="39" t="str">
        <f aca="false">INDEX(Master_Customer!$B$2:$B$126,MATCH(C1428,Master_Customer!$A$2:$A$126,0))</f>
        <v>KARYA SPAREPART</v>
      </c>
      <c r="E1428" s="50" t="s">
        <v>29</v>
      </c>
      <c r="F1428" s="52" t="n">
        <f aca="false">SUMIFS(Data_Penjualan!$G$2:$G$5998,Data_Penjualan!$A$2:$A$5998,A1428)</f>
        <v>15060600</v>
      </c>
      <c r="G1428" s="39" t="n">
        <f aca="false">IF(E1428="KANTOR",0,INDEX(Master_Customer!$C$2:$C$126,MATCH(C1428,Master_Customer!$A$2:$A$126,0)))</f>
        <v>45</v>
      </c>
      <c r="H1428" s="53" t="n">
        <f aca="false">B1428+G1428</f>
        <v>46002</v>
      </c>
      <c r="I1428" s="51" t="n">
        <v>45962</v>
      </c>
      <c r="J1428" s="39" t="str">
        <f aca="false">IF(G1428=0,"Tunai",IF(I1428="","Belum ditukar","Sudah ditukar"))</f>
        <v>Sudah ditukar</v>
      </c>
      <c r="K1428" s="54" t="n">
        <v>15060600</v>
      </c>
      <c r="L1428" s="51" t="n">
        <v>45998</v>
      </c>
      <c r="M1428" s="52" t="n">
        <f aca="false">F1428-K1428</f>
        <v>0</v>
      </c>
      <c r="N1428" s="39" t="str">
        <f aca="false">IF(M1428&lt;=0,"Lunas",IF(K1428&gt;0,"Sebagian","Belum Bayar"))</f>
        <v>Lunas</v>
      </c>
      <c r="O1428" s="39" t="n">
        <f aca="false">IF(M1428&gt;0,MAX(0,Catatan!$B$3-H1428),0)</f>
        <v>0</v>
      </c>
      <c r="P1428" s="39" t="str">
        <f aca="false">IF(M1428&lt;=0,"Lunas",IF(Catatan!$B$3&lt;=H1428,"Belum Jatuh Tempo",IF(O1428&lt;=30,"1-30 hari",IF(O1428&lt;=60,"31-60 hari",IF(O1428&lt;=90,"61-90 hari","90+ hari")))))</f>
        <v>Lunas</v>
      </c>
      <c r="Q1428" s="50"/>
      <c r="R1428" s="39" t="str">
        <f aca="false">IF(M1428&lt;=0,"",IF(O1428&gt;60,"1-Tinggi",IF(O1428&gt;30,"2-Sedang",IF(O1428&gt;0,"3-Rendah","4-Pantau"))))</f>
        <v/>
      </c>
      <c r="S1428" s="39" t="str">
        <f aca="false">IF(AND(M1428&gt;0,O1428&gt;0),O1428+M1428/1000000000000+ROW()/1000000000000000,"")</f>
        <v/>
      </c>
      <c r="T1428" s="39" t="str">
        <f aca="false">IF(J1428="Belum ditukar",ROW(),"")</f>
        <v/>
      </c>
    </row>
    <row r="1429" customFormat="false" ht="15" hidden="false" customHeight="false" outlineLevel="0" collapsed="false">
      <c r="A1429" s="50" t="s">
        <v>1716</v>
      </c>
      <c r="B1429" s="51" t="n">
        <v>45957</v>
      </c>
      <c r="C1429" s="50" t="s">
        <v>247</v>
      </c>
      <c r="D1429" s="39" t="str">
        <f aca="false">INDEX(Master_Customer!$B$2:$B$126,MATCH(C1429,Master_Customer!$A$2:$A$126,0))</f>
        <v>BINTANG LUBRICANT SURYA</v>
      </c>
      <c r="E1429" s="50" t="s">
        <v>32</v>
      </c>
      <c r="F1429" s="52" t="n">
        <f aca="false">SUMIFS(Data_Penjualan!$G$2:$G$5998,Data_Penjualan!$A$2:$A$5998,A1429)</f>
        <v>2132100</v>
      </c>
      <c r="G1429" s="39" t="n">
        <f aca="false">IF(E1429="KANTOR",0,INDEX(Master_Customer!$C$2:$C$126,MATCH(C1429,Master_Customer!$A$2:$A$126,0)))</f>
        <v>0</v>
      </c>
      <c r="H1429" s="53" t="n">
        <f aca="false">B1429+G1429</f>
        <v>45957</v>
      </c>
      <c r="J1429" s="39" t="str">
        <f aca="false">IF(G1429=0,"Tunai",IF(I1429="","Belum ditukar","Sudah ditukar"))</f>
        <v>Tunai</v>
      </c>
      <c r="K1429" s="54" t="n">
        <v>2132100</v>
      </c>
      <c r="L1429" s="51" t="n">
        <v>45957</v>
      </c>
      <c r="M1429" s="52" t="n">
        <f aca="false">F1429-K1429</f>
        <v>0</v>
      </c>
      <c r="N1429" s="39" t="str">
        <f aca="false">IF(M1429&lt;=0,"Lunas",IF(K1429&gt;0,"Sebagian","Belum Bayar"))</f>
        <v>Lunas</v>
      </c>
      <c r="O1429" s="39" t="n">
        <f aca="false">IF(M1429&gt;0,MAX(0,Catatan!$B$3-H1429),0)</f>
        <v>0</v>
      </c>
      <c r="P1429" s="39" t="str">
        <f aca="false">IF(M1429&lt;=0,"Lunas",IF(Catatan!$B$3&lt;=H1429,"Belum Jatuh Tempo",IF(O1429&lt;=30,"1-30 hari",IF(O1429&lt;=60,"31-60 hari",IF(O1429&lt;=90,"61-90 hari","90+ hari")))))</f>
        <v>Lunas</v>
      </c>
      <c r="Q1429" s="50"/>
      <c r="R1429" s="39" t="str">
        <f aca="false">IF(M1429&lt;=0,"",IF(O1429&gt;60,"1-Tinggi",IF(O1429&gt;30,"2-Sedang",IF(O1429&gt;0,"3-Rendah","4-Pantau"))))</f>
        <v/>
      </c>
      <c r="S1429" s="39" t="str">
        <f aca="false">IF(AND(M1429&gt;0,O1429&gt;0),O1429+M1429/1000000000000+ROW()/1000000000000000,"")</f>
        <v/>
      </c>
      <c r="T1429" s="39" t="str">
        <f aca="false">IF(J1429="Belum ditukar",ROW(),"")</f>
        <v/>
      </c>
    </row>
    <row r="1430" customFormat="false" ht="15" hidden="false" customHeight="false" outlineLevel="0" collapsed="false">
      <c r="A1430" s="50" t="s">
        <v>1717</v>
      </c>
      <c r="B1430" s="51" t="n">
        <v>45958</v>
      </c>
      <c r="C1430" s="50" t="s">
        <v>320</v>
      </c>
      <c r="D1430" s="39" t="str">
        <f aca="false">INDEX(Master_Customer!$B$2:$B$126,MATCH(C1430,Master_Customer!$A$2:$A$126,0))</f>
        <v>BINTANG OLI</v>
      </c>
      <c r="E1430" s="50" t="s">
        <v>31</v>
      </c>
      <c r="F1430" s="52" t="n">
        <f aca="false">SUMIFS(Data_Penjualan!$G$2:$G$5998,Data_Penjualan!$A$2:$A$5998,A1430)</f>
        <v>23858100</v>
      </c>
      <c r="G1430" s="39" t="n">
        <f aca="false">IF(E1430="KANTOR",0,INDEX(Master_Customer!$C$2:$C$126,MATCH(C1430,Master_Customer!$A$2:$A$126,0)))</f>
        <v>14</v>
      </c>
      <c r="H1430" s="53" t="n">
        <f aca="false">B1430+G1430</f>
        <v>45972</v>
      </c>
      <c r="I1430" s="51" t="n">
        <v>45961</v>
      </c>
      <c r="J1430" s="39" t="str">
        <f aca="false">IF(G1430=0,"Tunai",IF(I1430="","Belum ditukar","Sudah ditukar"))</f>
        <v>Sudah ditukar</v>
      </c>
      <c r="K1430" s="54" t="n">
        <v>23858100</v>
      </c>
      <c r="L1430" s="51" t="n">
        <v>46020</v>
      </c>
      <c r="M1430" s="52" t="n">
        <f aca="false">F1430-K1430</f>
        <v>0</v>
      </c>
      <c r="N1430" s="39" t="str">
        <f aca="false">IF(M1430&lt;=0,"Lunas",IF(K1430&gt;0,"Sebagian","Belum Bayar"))</f>
        <v>Lunas</v>
      </c>
      <c r="O1430" s="39" t="n">
        <f aca="false">IF(M1430&gt;0,MAX(0,Catatan!$B$3-H1430),0)</f>
        <v>0</v>
      </c>
      <c r="P1430" s="39" t="str">
        <f aca="false">IF(M1430&lt;=0,"Lunas",IF(Catatan!$B$3&lt;=H1430,"Belum Jatuh Tempo",IF(O1430&lt;=30,"1-30 hari",IF(O1430&lt;=60,"31-60 hari",IF(O1430&lt;=90,"61-90 hari","90+ hari")))))</f>
        <v>Lunas</v>
      </c>
      <c r="Q1430" s="50"/>
      <c r="R1430" s="39" t="str">
        <f aca="false">IF(M1430&lt;=0,"",IF(O1430&gt;60,"1-Tinggi",IF(O1430&gt;30,"2-Sedang",IF(O1430&gt;0,"3-Rendah","4-Pantau"))))</f>
        <v/>
      </c>
      <c r="S1430" s="39" t="str">
        <f aca="false">IF(AND(M1430&gt;0,O1430&gt;0),O1430+M1430/1000000000000+ROW()/1000000000000000,"")</f>
        <v/>
      </c>
      <c r="T1430" s="39" t="str">
        <f aca="false">IF(J1430="Belum ditukar",ROW(),"")</f>
        <v/>
      </c>
    </row>
    <row r="1431" customFormat="false" ht="15" hidden="false" customHeight="false" outlineLevel="0" collapsed="false">
      <c r="A1431" s="50" t="s">
        <v>1718</v>
      </c>
      <c r="B1431" s="51" t="n">
        <v>45958</v>
      </c>
      <c r="C1431" s="50" t="s">
        <v>737</v>
      </c>
      <c r="D1431" s="39" t="str">
        <f aca="false">INDEX(Master_Customer!$B$2:$B$126,MATCH(C1431,Master_Customer!$A$2:$A$126,0))</f>
        <v>MAJU GARAGE</v>
      </c>
      <c r="E1431" s="50" t="s">
        <v>29</v>
      </c>
      <c r="F1431" s="52" t="n">
        <f aca="false">SUMIFS(Data_Penjualan!$G$2:$G$5998,Data_Penjualan!$A$2:$A$5998,A1431)</f>
        <v>9473100</v>
      </c>
      <c r="G1431" s="39" t="n">
        <f aca="false">IF(E1431="KANTOR",0,INDEX(Master_Customer!$C$2:$C$126,MATCH(C1431,Master_Customer!$A$2:$A$126,0)))</f>
        <v>45</v>
      </c>
      <c r="H1431" s="53" t="n">
        <f aca="false">B1431+G1431</f>
        <v>46003</v>
      </c>
      <c r="I1431" s="51" t="n">
        <v>45963</v>
      </c>
      <c r="J1431" s="39" t="str">
        <f aca="false">IF(G1431=0,"Tunai",IF(I1431="","Belum ditukar","Sudah ditukar"))</f>
        <v>Sudah ditukar</v>
      </c>
      <c r="K1431" s="54" t="n">
        <v>9473100</v>
      </c>
      <c r="L1431" s="51" t="n">
        <v>46001</v>
      </c>
      <c r="M1431" s="52" t="n">
        <f aca="false">F1431-K1431</f>
        <v>0</v>
      </c>
      <c r="N1431" s="39" t="str">
        <f aca="false">IF(M1431&lt;=0,"Lunas",IF(K1431&gt;0,"Sebagian","Belum Bayar"))</f>
        <v>Lunas</v>
      </c>
      <c r="O1431" s="39" t="n">
        <f aca="false">IF(M1431&gt;0,MAX(0,Catatan!$B$3-H1431),0)</f>
        <v>0</v>
      </c>
      <c r="P1431" s="39" t="str">
        <f aca="false">IF(M1431&lt;=0,"Lunas",IF(Catatan!$B$3&lt;=H1431,"Belum Jatuh Tempo",IF(O1431&lt;=30,"1-30 hari",IF(O1431&lt;=60,"31-60 hari",IF(O1431&lt;=90,"61-90 hari","90+ hari")))))</f>
        <v>Lunas</v>
      </c>
      <c r="Q1431" s="50"/>
      <c r="R1431" s="39" t="str">
        <f aca="false">IF(M1431&lt;=0,"",IF(O1431&gt;60,"1-Tinggi",IF(O1431&gt;30,"2-Sedang",IF(O1431&gt;0,"3-Rendah","4-Pantau"))))</f>
        <v/>
      </c>
      <c r="S1431" s="39" t="str">
        <f aca="false">IF(AND(M1431&gt;0,O1431&gt;0),O1431+M1431/1000000000000+ROW()/1000000000000000,"")</f>
        <v/>
      </c>
      <c r="T1431" s="39" t="str">
        <f aca="false">IF(J1431="Belum ditukar",ROW(),"")</f>
        <v/>
      </c>
    </row>
    <row r="1432" customFormat="false" ht="15" hidden="false" customHeight="false" outlineLevel="0" collapsed="false">
      <c r="A1432" s="50" t="s">
        <v>1719</v>
      </c>
      <c r="B1432" s="51" t="n">
        <v>45958</v>
      </c>
      <c r="C1432" s="50" t="s">
        <v>174</v>
      </c>
      <c r="D1432" s="39" t="str">
        <f aca="false">INDEX(Master_Customer!$B$2:$B$126,MATCH(C1432,Master_Customer!$A$2:$A$126,0))</f>
        <v>SUMBER TEKNIK SURYA</v>
      </c>
      <c r="E1432" s="50" t="s">
        <v>31</v>
      </c>
      <c r="F1432" s="52" t="n">
        <f aca="false">SUMIFS(Data_Penjualan!$G$2:$G$5998,Data_Penjualan!$A$2:$A$5998,A1432)</f>
        <v>15381000</v>
      </c>
      <c r="G1432" s="39" t="n">
        <f aca="false">IF(E1432="KANTOR",0,INDEX(Master_Customer!$C$2:$C$126,MATCH(C1432,Master_Customer!$A$2:$A$126,0)))</f>
        <v>30</v>
      </c>
      <c r="H1432" s="53" t="n">
        <f aca="false">B1432+G1432</f>
        <v>45988</v>
      </c>
      <c r="I1432" s="51" t="n">
        <v>45963</v>
      </c>
      <c r="J1432" s="39" t="str">
        <f aca="false">IF(G1432=0,"Tunai",IF(I1432="","Belum ditukar","Sudah ditukar"))</f>
        <v>Sudah ditukar</v>
      </c>
      <c r="K1432" s="54" t="n">
        <v>15381000</v>
      </c>
      <c r="L1432" s="51" t="n">
        <v>45989</v>
      </c>
      <c r="M1432" s="52" t="n">
        <f aca="false">F1432-K1432</f>
        <v>0</v>
      </c>
      <c r="N1432" s="39" t="str">
        <f aca="false">IF(M1432&lt;=0,"Lunas",IF(K1432&gt;0,"Sebagian","Belum Bayar"))</f>
        <v>Lunas</v>
      </c>
      <c r="O1432" s="39" t="n">
        <f aca="false">IF(M1432&gt;0,MAX(0,Catatan!$B$3-H1432),0)</f>
        <v>0</v>
      </c>
      <c r="P1432" s="39" t="str">
        <f aca="false">IF(M1432&lt;=0,"Lunas",IF(Catatan!$B$3&lt;=H1432,"Belum Jatuh Tempo",IF(O1432&lt;=30,"1-30 hari",IF(O1432&lt;=60,"31-60 hari",IF(O1432&lt;=90,"61-90 hari","90+ hari")))))</f>
        <v>Lunas</v>
      </c>
      <c r="Q1432" s="50"/>
      <c r="R1432" s="39" t="str">
        <f aca="false">IF(M1432&lt;=0,"",IF(O1432&gt;60,"1-Tinggi",IF(O1432&gt;30,"2-Sedang",IF(O1432&gt;0,"3-Rendah","4-Pantau"))))</f>
        <v/>
      </c>
      <c r="S1432" s="39" t="str">
        <f aca="false">IF(AND(M1432&gt;0,O1432&gt;0),O1432+M1432/1000000000000+ROW()/1000000000000000,"")</f>
        <v/>
      </c>
      <c r="T1432" s="39" t="str">
        <f aca="false">IF(J1432="Belum ditukar",ROW(),"")</f>
        <v/>
      </c>
    </row>
    <row r="1433" customFormat="false" ht="15" hidden="false" customHeight="false" outlineLevel="0" collapsed="false">
      <c r="A1433" s="50" t="s">
        <v>1720</v>
      </c>
      <c r="B1433" s="51" t="n">
        <v>45959</v>
      </c>
      <c r="C1433" s="50" t="s">
        <v>298</v>
      </c>
      <c r="D1433" s="39" t="str">
        <f aca="false">INDEX(Master_Customer!$B$2:$B$126,MATCH(C1433,Master_Customer!$A$2:$A$126,0))</f>
        <v>BERKAH MOBIL MAKMUR</v>
      </c>
      <c r="E1433" s="50" t="s">
        <v>31</v>
      </c>
      <c r="F1433" s="52" t="n">
        <f aca="false">SUMIFS(Data_Penjualan!$G$2:$G$5998,Data_Penjualan!$A$2:$A$5998,A1433)</f>
        <v>7535900</v>
      </c>
      <c r="G1433" s="39" t="n">
        <f aca="false">IF(E1433="KANTOR",0,INDEX(Master_Customer!$C$2:$C$126,MATCH(C1433,Master_Customer!$A$2:$A$126,0)))</f>
        <v>14</v>
      </c>
      <c r="H1433" s="53" t="n">
        <f aca="false">B1433+G1433</f>
        <v>45973</v>
      </c>
      <c r="I1433" s="51" t="n">
        <v>45963</v>
      </c>
      <c r="J1433" s="39" t="str">
        <f aca="false">IF(G1433=0,"Tunai",IF(I1433="","Belum ditukar","Sudah ditukar"))</f>
        <v>Sudah ditukar</v>
      </c>
      <c r="K1433" s="54" t="n">
        <v>7535900</v>
      </c>
      <c r="L1433" s="51" t="n">
        <v>45987</v>
      </c>
      <c r="M1433" s="52" t="n">
        <f aca="false">F1433-K1433</f>
        <v>0</v>
      </c>
      <c r="N1433" s="39" t="str">
        <f aca="false">IF(M1433&lt;=0,"Lunas",IF(K1433&gt;0,"Sebagian","Belum Bayar"))</f>
        <v>Lunas</v>
      </c>
      <c r="O1433" s="39" t="n">
        <f aca="false">IF(M1433&gt;0,MAX(0,Catatan!$B$3-H1433),0)</f>
        <v>0</v>
      </c>
      <c r="P1433" s="39" t="str">
        <f aca="false">IF(M1433&lt;=0,"Lunas",IF(Catatan!$B$3&lt;=H1433,"Belum Jatuh Tempo",IF(O1433&lt;=30,"1-30 hari",IF(O1433&lt;=60,"31-60 hari",IF(O1433&lt;=90,"61-90 hari","90+ hari")))))</f>
        <v>Lunas</v>
      </c>
      <c r="Q1433" s="50"/>
      <c r="R1433" s="39" t="str">
        <f aca="false">IF(M1433&lt;=0,"",IF(O1433&gt;60,"1-Tinggi",IF(O1433&gt;30,"2-Sedang",IF(O1433&gt;0,"3-Rendah","4-Pantau"))))</f>
        <v/>
      </c>
      <c r="S1433" s="39" t="str">
        <f aca="false">IF(AND(M1433&gt;0,O1433&gt;0),O1433+M1433/1000000000000+ROW()/1000000000000000,"")</f>
        <v/>
      </c>
      <c r="T1433" s="39" t="str">
        <f aca="false">IF(J1433="Belum ditukar",ROW(),"")</f>
        <v/>
      </c>
    </row>
    <row r="1434" customFormat="false" ht="15" hidden="false" customHeight="false" outlineLevel="0" collapsed="false">
      <c r="A1434" s="50" t="s">
        <v>1721</v>
      </c>
      <c r="B1434" s="51" t="n">
        <v>45959</v>
      </c>
      <c r="C1434" s="50" t="s">
        <v>574</v>
      </c>
      <c r="D1434" s="39" t="str">
        <f aca="false">INDEX(Master_Customer!$B$2:$B$126,MATCH(C1434,Master_Customer!$A$2:$A$126,0))</f>
        <v>ABADI SERVICE ABADI</v>
      </c>
      <c r="E1434" s="50" t="s">
        <v>29</v>
      </c>
      <c r="F1434" s="52" t="n">
        <f aca="false">SUMIFS(Data_Penjualan!$G$2:$G$5998,Data_Penjualan!$A$2:$A$5998,A1434)</f>
        <v>11440300</v>
      </c>
      <c r="G1434" s="39" t="n">
        <f aca="false">IF(E1434="KANTOR",0,INDEX(Master_Customer!$C$2:$C$126,MATCH(C1434,Master_Customer!$A$2:$A$126,0)))</f>
        <v>30</v>
      </c>
      <c r="H1434" s="53" t="n">
        <f aca="false">B1434+G1434</f>
        <v>45989</v>
      </c>
      <c r="I1434" s="51" t="n">
        <v>45964</v>
      </c>
      <c r="J1434" s="39" t="str">
        <f aca="false">IF(G1434=0,"Tunai",IF(I1434="","Belum ditukar","Sudah ditukar"))</f>
        <v>Sudah ditukar</v>
      </c>
      <c r="K1434" s="54" t="n">
        <v>11440300</v>
      </c>
      <c r="L1434" s="51" t="n">
        <v>45983</v>
      </c>
      <c r="M1434" s="52" t="n">
        <f aca="false">F1434-K1434</f>
        <v>0</v>
      </c>
      <c r="N1434" s="39" t="str">
        <f aca="false">IF(M1434&lt;=0,"Lunas",IF(K1434&gt;0,"Sebagian","Belum Bayar"))</f>
        <v>Lunas</v>
      </c>
      <c r="O1434" s="39" t="n">
        <f aca="false">IF(M1434&gt;0,MAX(0,Catatan!$B$3-H1434),0)</f>
        <v>0</v>
      </c>
      <c r="P1434" s="39" t="str">
        <f aca="false">IF(M1434&lt;=0,"Lunas",IF(Catatan!$B$3&lt;=H1434,"Belum Jatuh Tempo",IF(O1434&lt;=30,"1-30 hari",IF(O1434&lt;=60,"31-60 hari",IF(O1434&lt;=90,"61-90 hari","90+ hari")))))</f>
        <v>Lunas</v>
      </c>
      <c r="Q1434" s="50"/>
      <c r="R1434" s="39" t="str">
        <f aca="false">IF(M1434&lt;=0,"",IF(O1434&gt;60,"1-Tinggi",IF(O1434&gt;30,"2-Sedang",IF(O1434&gt;0,"3-Rendah","4-Pantau"))))</f>
        <v/>
      </c>
      <c r="S1434" s="39" t="str">
        <f aca="false">IF(AND(M1434&gt;0,O1434&gt;0),O1434+M1434/1000000000000+ROW()/1000000000000000,"")</f>
        <v/>
      </c>
      <c r="T1434" s="39" t="str">
        <f aca="false">IF(J1434="Belum ditukar",ROW(),"")</f>
        <v/>
      </c>
    </row>
    <row r="1435" customFormat="false" ht="15" hidden="false" customHeight="false" outlineLevel="0" collapsed="false">
      <c r="A1435" s="50" t="s">
        <v>1722</v>
      </c>
      <c r="B1435" s="51" t="n">
        <v>45959</v>
      </c>
      <c r="C1435" s="50" t="s">
        <v>205</v>
      </c>
      <c r="D1435" s="39" t="str">
        <f aca="false">INDEX(Master_Customer!$B$2:$B$126,MATCH(C1435,Master_Customer!$A$2:$A$126,0))</f>
        <v>BERKAH OLI</v>
      </c>
      <c r="E1435" s="50" t="s">
        <v>28</v>
      </c>
      <c r="F1435" s="52" t="n">
        <f aca="false">SUMIFS(Data_Penjualan!$G$2:$G$5998,Data_Penjualan!$A$2:$A$5998,A1435)</f>
        <v>23701700</v>
      </c>
      <c r="G1435" s="39" t="n">
        <f aca="false">IF(E1435="KANTOR",0,INDEX(Master_Customer!$C$2:$C$126,MATCH(C1435,Master_Customer!$A$2:$A$126,0)))</f>
        <v>0</v>
      </c>
      <c r="H1435" s="53" t="n">
        <f aca="false">B1435+G1435</f>
        <v>45959</v>
      </c>
      <c r="J1435" s="39" t="str">
        <f aca="false">IF(G1435=0,"Tunai",IF(I1435="","Belum ditukar","Sudah ditukar"))</f>
        <v>Tunai</v>
      </c>
      <c r="K1435" s="54" t="n">
        <v>23701700</v>
      </c>
      <c r="L1435" s="51" t="n">
        <v>45959</v>
      </c>
      <c r="M1435" s="52" t="n">
        <f aca="false">F1435-K1435</f>
        <v>0</v>
      </c>
      <c r="N1435" s="39" t="str">
        <f aca="false">IF(M1435&lt;=0,"Lunas",IF(K1435&gt;0,"Sebagian","Belum Bayar"))</f>
        <v>Lunas</v>
      </c>
      <c r="O1435" s="39" t="n">
        <f aca="false">IF(M1435&gt;0,MAX(0,Catatan!$B$3-H1435),0)</f>
        <v>0</v>
      </c>
      <c r="P1435" s="39" t="str">
        <f aca="false">IF(M1435&lt;=0,"Lunas",IF(Catatan!$B$3&lt;=H1435,"Belum Jatuh Tempo",IF(O1435&lt;=30,"1-30 hari",IF(O1435&lt;=60,"31-60 hari",IF(O1435&lt;=90,"61-90 hari","90+ hari")))))</f>
        <v>Lunas</v>
      </c>
      <c r="Q1435" s="50"/>
      <c r="R1435" s="39" t="str">
        <f aca="false">IF(M1435&lt;=0,"",IF(O1435&gt;60,"1-Tinggi",IF(O1435&gt;30,"2-Sedang",IF(O1435&gt;0,"3-Rendah","4-Pantau"))))</f>
        <v/>
      </c>
      <c r="S1435" s="39" t="str">
        <f aca="false">IF(AND(M1435&gt;0,O1435&gt;0),O1435+M1435/1000000000000+ROW()/1000000000000000,"")</f>
        <v/>
      </c>
      <c r="T1435" s="39" t="str">
        <f aca="false">IF(J1435="Belum ditukar",ROW(),"")</f>
        <v/>
      </c>
    </row>
    <row r="1436" customFormat="false" ht="15" hidden="false" customHeight="false" outlineLevel="0" collapsed="false">
      <c r="A1436" s="50" t="s">
        <v>1723</v>
      </c>
      <c r="B1436" s="51" t="n">
        <v>45959</v>
      </c>
      <c r="C1436" s="50" t="s">
        <v>225</v>
      </c>
      <c r="D1436" s="39" t="str">
        <f aca="false">INDEX(Master_Customer!$B$2:$B$126,MATCH(C1436,Master_Customer!$A$2:$A$126,0))</f>
        <v>KARYA LUBRICANT ABADI</v>
      </c>
      <c r="E1436" s="50" t="s">
        <v>30</v>
      </c>
      <c r="F1436" s="52" t="n">
        <f aca="false">SUMIFS(Data_Penjualan!$G$2:$G$5998,Data_Penjualan!$A$2:$A$5998,A1436)</f>
        <v>15569300</v>
      </c>
      <c r="G1436" s="39" t="n">
        <f aca="false">IF(E1436="KANTOR",0,INDEX(Master_Customer!$C$2:$C$126,MATCH(C1436,Master_Customer!$A$2:$A$126,0)))</f>
        <v>0</v>
      </c>
      <c r="H1436" s="53" t="n">
        <f aca="false">B1436+G1436</f>
        <v>45959</v>
      </c>
      <c r="J1436" s="39" t="str">
        <f aca="false">IF(G1436=0,"Tunai",IF(I1436="","Belum ditukar","Sudah ditukar"))</f>
        <v>Tunai</v>
      </c>
      <c r="K1436" s="54" t="n">
        <v>15569300</v>
      </c>
      <c r="L1436" s="51" t="n">
        <v>45959</v>
      </c>
      <c r="M1436" s="52" t="n">
        <f aca="false">F1436-K1436</f>
        <v>0</v>
      </c>
      <c r="N1436" s="39" t="str">
        <f aca="false">IF(M1436&lt;=0,"Lunas",IF(K1436&gt;0,"Sebagian","Belum Bayar"))</f>
        <v>Lunas</v>
      </c>
      <c r="O1436" s="39" t="n">
        <f aca="false">IF(M1436&gt;0,MAX(0,Catatan!$B$3-H1436),0)</f>
        <v>0</v>
      </c>
      <c r="P1436" s="39" t="str">
        <f aca="false">IF(M1436&lt;=0,"Lunas",IF(Catatan!$B$3&lt;=H1436,"Belum Jatuh Tempo",IF(O1436&lt;=30,"1-30 hari",IF(O1436&lt;=60,"31-60 hari",IF(O1436&lt;=90,"61-90 hari","90+ hari")))))</f>
        <v>Lunas</v>
      </c>
      <c r="Q1436" s="50"/>
      <c r="R1436" s="39" t="str">
        <f aca="false">IF(M1436&lt;=0,"",IF(O1436&gt;60,"1-Tinggi",IF(O1436&gt;30,"2-Sedang",IF(O1436&gt;0,"3-Rendah","4-Pantau"))))</f>
        <v/>
      </c>
      <c r="S1436" s="39" t="str">
        <f aca="false">IF(AND(M1436&gt;0,O1436&gt;0),O1436+M1436/1000000000000+ROW()/1000000000000000,"")</f>
        <v/>
      </c>
      <c r="T1436" s="39" t="str">
        <f aca="false">IF(J1436="Belum ditukar",ROW(),"")</f>
        <v/>
      </c>
    </row>
    <row r="1437" customFormat="false" ht="15" hidden="false" customHeight="false" outlineLevel="0" collapsed="false">
      <c r="A1437" s="50" t="s">
        <v>1724</v>
      </c>
      <c r="B1437" s="51" t="n">
        <v>45959</v>
      </c>
      <c r="C1437" s="50" t="s">
        <v>199</v>
      </c>
      <c r="D1437" s="39" t="str">
        <f aca="false">INDEX(Master_Customer!$B$2:$B$126,MATCH(C1437,Master_Customer!$A$2:$A$126,0))</f>
        <v>KARYA SPAREPART</v>
      </c>
      <c r="E1437" s="50" t="s">
        <v>29</v>
      </c>
      <c r="F1437" s="52" t="n">
        <f aca="false">SUMIFS(Data_Penjualan!$G$2:$G$5998,Data_Penjualan!$A$2:$A$5998,A1437)</f>
        <v>10106200</v>
      </c>
      <c r="G1437" s="39" t="n">
        <f aca="false">IF(E1437="KANTOR",0,INDEX(Master_Customer!$C$2:$C$126,MATCH(C1437,Master_Customer!$A$2:$A$126,0)))</f>
        <v>45</v>
      </c>
      <c r="H1437" s="53" t="n">
        <f aca="false">B1437+G1437</f>
        <v>46004</v>
      </c>
      <c r="I1437" s="51" t="n">
        <v>45962</v>
      </c>
      <c r="J1437" s="39" t="str">
        <f aca="false">IF(G1437=0,"Tunai",IF(I1437="","Belum ditukar","Sudah ditukar"))</f>
        <v>Sudah ditukar</v>
      </c>
      <c r="K1437" s="54" t="n">
        <v>10106200</v>
      </c>
      <c r="L1437" s="51" t="n">
        <v>46004</v>
      </c>
      <c r="M1437" s="52" t="n">
        <f aca="false">F1437-K1437</f>
        <v>0</v>
      </c>
      <c r="N1437" s="39" t="str">
        <f aca="false">IF(M1437&lt;=0,"Lunas",IF(K1437&gt;0,"Sebagian","Belum Bayar"))</f>
        <v>Lunas</v>
      </c>
      <c r="O1437" s="39" t="n">
        <f aca="false">IF(M1437&gt;0,MAX(0,Catatan!$B$3-H1437),0)</f>
        <v>0</v>
      </c>
      <c r="P1437" s="39" t="str">
        <f aca="false">IF(M1437&lt;=0,"Lunas",IF(Catatan!$B$3&lt;=H1437,"Belum Jatuh Tempo",IF(O1437&lt;=30,"1-30 hari",IF(O1437&lt;=60,"31-60 hari",IF(O1437&lt;=90,"61-90 hari","90+ hari")))))</f>
        <v>Lunas</v>
      </c>
      <c r="Q1437" s="50"/>
      <c r="R1437" s="39" t="str">
        <f aca="false">IF(M1437&lt;=0,"",IF(O1437&gt;60,"1-Tinggi",IF(O1437&gt;30,"2-Sedang",IF(O1437&gt;0,"3-Rendah","4-Pantau"))))</f>
        <v/>
      </c>
      <c r="S1437" s="39" t="str">
        <f aca="false">IF(AND(M1437&gt;0,O1437&gt;0),O1437+M1437/1000000000000+ROW()/1000000000000000,"")</f>
        <v/>
      </c>
      <c r="T1437" s="39" t="str">
        <f aca="false">IF(J1437="Belum ditukar",ROW(),"")</f>
        <v/>
      </c>
    </row>
    <row r="1438" customFormat="false" ht="15" hidden="false" customHeight="false" outlineLevel="0" collapsed="false">
      <c r="A1438" s="50" t="s">
        <v>1725</v>
      </c>
      <c r="B1438" s="51" t="n">
        <v>45959</v>
      </c>
      <c r="C1438" s="50" t="s">
        <v>199</v>
      </c>
      <c r="D1438" s="39" t="str">
        <f aca="false">INDEX(Master_Customer!$B$2:$B$126,MATCH(C1438,Master_Customer!$A$2:$A$126,0))</f>
        <v>KARYA SPAREPART</v>
      </c>
      <c r="E1438" s="50" t="s">
        <v>32</v>
      </c>
      <c r="F1438" s="52" t="n">
        <f aca="false">SUMIFS(Data_Penjualan!$G$2:$G$5998,Data_Penjualan!$A$2:$A$5998,A1438)</f>
        <v>9635500</v>
      </c>
      <c r="G1438" s="39" t="n">
        <f aca="false">IF(E1438="KANTOR",0,INDEX(Master_Customer!$C$2:$C$126,MATCH(C1438,Master_Customer!$A$2:$A$126,0)))</f>
        <v>0</v>
      </c>
      <c r="H1438" s="53" t="n">
        <f aca="false">B1438+G1438</f>
        <v>45959</v>
      </c>
      <c r="J1438" s="39" t="str">
        <f aca="false">IF(G1438=0,"Tunai",IF(I1438="","Belum ditukar","Sudah ditukar"))</f>
        <v>Tunai</v>
      </c>
      <c r="K1438" s="54" t="n">
        <v>9635500</v>
      </c>
      <c r="L1438" s="51" t="n">
        <v>45961</v>
      </c>
      <c r="M1438" s="52" t="n">
        <f aca="false">F1438-K1438</f>
        <v>0</v>
      </c>
      <c r="N1438" s="39" t="str">
        <f aca="false">IF(M1438&lt;=0,"Lunas",IF(K1438&gt;0,"Sebagian","Belum Bayar"))</f>
        <v>Lunas</v>
      </c>
      <c r="O1438" s="39" t="n">
        <f aca="false">IF(M1438&gt;0,MAX(0,Catatan!$B$3-H1438),0)</f>
        <v>0</v>
      </c>
      <c r="P1438" s="39" t="str">
        <f aca="false">IF(M1438&lt;=0,"Lunas",IF(Catatan!$B$3&lt;=H1438,"Belum Jatuh Tempo",IF(O1438&lt;=30,"1-30 hari",IF(O1438&lt;=60,"31-60 hari",IF(O1438&lt;=90,"61-90 hari","90+ hari")))))</f>
        <v>Lunas</v>
      </c>
      <c r="Q1438" s="50"/>
      <c r="R1438" s="39" t="str">
        <f aca="false">IF(M1438&lt;=0,"",IF(O1438&gt;60,"1-Tinggi",IF(O1438&gt;30,"2-Sedang",IF(O1438&gt;0,"3-Rendah","4-Pantau"))))</f>
        <v/>
      </c>
      <c r="S1438" s="39" t="str">
        <f aca="false">IF(AND(M1438&gt;0,O1438&gt;0),O1438+M1438/1000000000000+ROW()/1000000000000000,"")</f>
        <v/>
      </c>
      <c r="T1438" s="39" t="str">
        <f aca="false">IF(J1438="Belum ditukar",ROW(),"")</f>
        <v/>
      </c>
    </row>
    <row r="1439" customFormat="false" ht="15" hidden="false" customHeight="false" outlineLevel="0" collapsed="false">
      <c r="A1439" s="50" t="s">
        <v>1726</v>
      </c>
      <c r="B1439" s="51" t="n">
        <v>45959</v>
      </c>
      <c r="C1439" s="50" t="s">
        <v>174</v>
      </c>
      <c r="D1439" s="39" t="str">
        <f aca="false">INDEX(Master_Customer!$B$2:$B$126,MATCH(C1439,Master_Customer!$A$2:$A$126,0))</f>
        <v>SUMBER TEKNIK SURYA</v>
      </c>
      <c r="E1439" s="50" t="s">
        <v>31</v>
      </c>
      <c r="F1439" s="52" t="n">
        <f aca="false">SUMIFS(Data_Penjualan!$G$2:$G$5998,Data_Penjualan!$A$2:$A$5998,A1439)</f>
        <v>10352900</v>
      </c>
      <c r="G1439" s="39" t="n">
        <f aca="false">IF(E1439="KANTOR",0,INDEX(Master_Customer!$C$2:$C$126,MATCH(C1439,Master_Customer!$A$2:$A$126,0)))</f>
        <v>30</v>
      </c>
      <c r="H1439" s="53" t="n">
        <f aca="false">B1439+G1439</f>
        <v>45989</v>
      </c>
      <c r="I1439" s="51" t="n">
        <v>45964</v>
      </c>
      <c r="J1439" s="39" t="str">
        <f aca="false">IF(G1439=0,"Tunai",IF(I1439="","Belum ditukar","Sudah ditukar"))</f>
        <v>Sudah ditukar</v>
      </c>
      <c r="K1439" s="54" t="n">
        <v>10352900</v>
      </c>
      <c r="L1439" s="51" t="n">
        <v>45984</v>
      </c>
      <c r="M1439" s="52" t="n">
        <f aca="false">F1439-K1439</f>
        <v>0</v>
      </c>
      <c r="N1439" s="39" t="str">
        <f aca="false">IF(M1439&lt;=0,"Lunas",IF(K1439&gt;0,"Sebagian","Belum Bayar"))</f>
        <v>Lunas</v>
      </c>
      <c r="O1439" s="39" t="n">
        <f aca="false">IF(M1439&gt;0,MAX(0,Catatan!$B$3-H1439),0)</f>
        <v>0</v>
      </c>
      <c r="P1439" s="39" t="str">
        <f aca="false">IF(M1439&lt;=0,"Lunas",IF(Catatan!$B$3&lt;=H1439,"Belum Jatuh Tempo",IF(O1439&lt;=30,"1-30 hari",IF(O1439&lt;=60,"31-60 hari",IF(O1439&lt;=90,"61-90 hari","90+ hari")))))</f>
        <v>Lunas</v>
      </c>
      <c r="Q1439" s="50"/>
      <c r="R1439" s="39" t="str">
        <f aca="false">IF(M1439&lt;=0,"",IF(O1439&gt;60,"1-Tinggi",IF(O1439&gt;30,"2-Sedang",IF(O1439&gt;0,"3-Rendah","4-Pantau"))))</f>
        <v/>
      </c>
      <c r="S1439" s="39" t="str">
        <f aca="false">IF(AND(M1439&gt;0,O1439&gt;0),O1439+M1439/1000000000000+ROW()/1000000000000000,"")</f>
        <v/>
      </c>
      <c r="T1439" s="39" t="str">
        <f aca="false">IF(J1439="Belum ditukar",ROW(),"")</f>
        <v/>
      </c>
    </row>
    <row r="1440" customFormat="false" ht="15" hidden="false" customHeight="false" outlineLevel="0" collapsed="false">
      <c r="A1440" s="50" t="s">
        <v>1727</v>
      </c>
      <c r="B1440" s="51" t="n">
        <v>45960</v>
      </c>
      <c r="C1440" s="50" t="s">
        <v>298</v>
      </c>
      <c r="D1440" s="39" t="str">
        <f aca="false">INDEX(Master_Customer!$B$2:$B$126,MATCH(C1440,Master_Customer!$A$2:$A$126,0))</f>
        <v>BERKAH MOBIL MAKMUR</v>
      </c>
      <c r="E1440" s="50" t="s">
        <v>31</v>
      </c>
      <c r="F1440" s="52" t="n">
        <f aca="false">SUMIFS(Data_Penjualan!$G$2:$G$5998,Data_Penjualan!$A$2:$A$5998,A1440)</f>
        <v>39133000</v>
      </c>
      <c r="G1440" s="39" t="n">
        <f aca="false">IF(E1440="KANTOR",0,INDEX(Master_Customer!$C$2:$C$126,MATCH(C1440,Master_Customer!$A$2:$A$126,0)))</f>
        <v>14</v>
      </c>
      <c r="H1440" s="53" t="n">
        <f aca="false">B1440+G1440</f>
        <v>45974</v>
      </c>
      <c r="I1440" s="51" t="n">
        <v>45961</v>
      </c>
      <c r="J1440" s="39" t="str">
        <f aca="false">IF(G1440=0,"Tunai",IF(I1440="","Belum ditukar","Sudah ditukar"))</f>
        <v>Sudah ditukar</v>
      </c>
      <c r="K1440" s="54" t="n">
        <v>39133000</v>
      </c>
      <c r="L1440" s="51" t="n">
        <v>46009</v>
      </c>
      <c r="M1440" s="52" t="n">
        <f aca="false">F1440-K1440</f>
        <v>0</v>
      </c>
      <c r="N1440" s="39" t="str">
        <f aca="false">IF(M1440&lt;=0,"Lunas",IF(K1440&gt;0,"Sebagian","Belum Bayar"))</f>
        <v>Lunas</v>
      </c>
      <c r="O1440" s="39" t="n">
        <f aca="false">IF(M1440&gt;0,MAX(0,Catatan!$B$3-H1440),0)</f>
        <v>0</v>
      </c>
      <c r="P1440" s="39" t="str">
        <f aca="false">IF(M1440&lt;=0,"Lunas",IF(Catatan!$B$3&lt;=H1440,"Belum Jatuh Tempo",IF(O1440&lt;=30,"1-30 hari",IF(O1440&lt;=60,"31-60 hari",IF(O1440&lt;=90,"61-90 hari","90+ hari")))))</f>
        <v>Lunas</v>
      </c>
      <c r="Q1440" s="50"/>
      <c r="R1440" s="39" t="str">
        <f aca="false">IF(M1440&lt;=0,"",IF(O1440&gt;60,"1-Tinggi",IF(O1440&gt;30,"2-Sedang",IF(O1440&gt;0,"3-Rendah","4-Pantau"))))</f>
        <v/>
      </c>
      <c r="S1440" s="39" t="str">
        <f aca="false">IF(AND(M1440&gt;0,O1440&gt;0),O1440+M1440/1000000000000+ROW()/1000000000000000,"")</f>
        <v/>
      </c>
      <c r="T1440" s="39" t="str">
        <f aca="false">IF(J1440="Belum ditukar",ROW(),"")</f>
        <v/>
      </c>
    </row>
    <row r="1441" customFormat="false" ht="15" hidden="false" customHeight="false" outlineLevel="0" collapsed="false">
      <c r="A1441" s="50" t="s">
        <v>1728</v>
      </c>
      <c r="B1441" s="51" t="n">
        <v>45960</v>
      </c>
      <c r="C1441" s="50" t="s">
        <v>195</v>
      </c>
      <c r="D1441" s="39" t="str">
        <f aca="false">INDEX(Master_Customer!$B$2:$B$126,MATCH(C1441,Master_Customer!$A$2:$A$126,0))</f>
        <v>KARYA LUBRICANT BINTANG</v>
      </c>
      <c r="E1441" s="50" t="s">
        <v>30</v>
      </c>
      <c r="F1441" s="52" t="n">
        <f aca="false">SUMIFS(Data_Penjualan!$G$2:$G$5998,Data_Penjualan!$A$2:$A$5998,A1441)</f>
        <v>14717200</v>
      </c>
      <c r="G1441" s="39" t="n">
        <f aca="false">IF(E1441="KANTOR",0,INDEX(Master_Customer!$C$2:$C$126,MATCH(C1441,Master_Customer!$A$2:$A$126,0)))</f>
        <v>14</v>
      </c>
      <c r="H1441" s="53" t="n">
        <f aca="false">B1441+G1441</f>
        <v>45974</v>
      </c>
      <c r="I1441" s="51" t="n">
        <v>45962</v>
      </c>
      <c r="J1441" s="39" t="str">
        <f aca="false">IF(G1441=0,"Tunai",IF(I1441="","Belum ditukar","Sudah ditukar"))</f>
        <v>Sudah ditukar</v>
      </c>
      <c r="K1441" s="54" t="n">
        <v>14717200</v>
      </c>
      <c r="L1441" s="51" t="n">
        <v>45974</v>
      </c>
      <c r="M1441" s="52" t="n">
        <f aca="false">F1441-K1441</f>
        <v>0</v>
      </c>
      <c r="N1441" s="39" t="str">
        <f aca="false">IF(M1441&lt;=0,"Lunas",IF(K1441&gt;0,"Sebagian","Belum Bayar"))</f>
        <v>Lunas</v>
      </c>
      <c r="O1441" s="39" t="n">
        <f aca="false">IF(M1441&gt;0,MAX(0,Catatan!$B$3-H1441),0)</f>
        <v>0</v>
      </c>
      <c r="P1441" s="39" t="str">
        <f aca="false">IF(M1441&lt;=0,"Lunas",IF(Catatan!$B$3&lt;=H1441,"Belum Jatuh Tempo",IF(O1441&lt;=30,"1-30 hari",IF(O1441&lt;=60,"31-60 hari",IF(O1441&lt;=90,"61-90 hari","90+ hari")))))</f>
        <v>Lunas</v>
      </c>
      <c r="Q1441" s="50"/>
      <c r="R1441" s="39" t="str">
        <f aca="false">IF(M1441&lt;=0,"",IF(O1441&gt;60,"1-Tinggi",IF(O1441&gt;30,"2-Sedang",IF(O1441&gt;0,"3-Rendah","4-Pantau"))))</f>
        <v/>
      </c>
      <c r="S1441" s="39" t="str">
        <f aca="false">IF(AND(M1441&gt;0,O1441&gt;0),O1441+M1441/1000000000000+ROW()/1000000000000000,"")</f>
        <v/>
      </c>
      <c r="T1441" s="39" t="str">
        <f aca="false">IF(J1441="Belum ditukar",ROW(),"")</f>
        <v/>
      </c>
    </row>
    <row r="1442" customFormat="false" ht="15" hidden="false" customHeight="false" outlineLevel="0" collapsed="false">
      <c r="A1442" s="50" t="s">
        <v>1729</v>
      </c>
      <c r="B1442" s="51" t="n">
        <v>45960</v>
      </c>
      <c r="C1442" s="50" t="s">
        <v>358</v>
      </c>
      <c r="D1442" s="39" t="str">
        <f aca="false">INDEX(Master_Customer!$B$2:$B$126,MATCH(C1442,Master_Customer!$A$2:$A$126,0))</f>
        <v>HARAPAN TEKNIK</v>
      </c>
      <c r="E1442" s="50" t="s">
        <v>32</v>
      </c>
      <c r="F1442" s="52" t="n">
        <f aca="false">SUMIFS(Data_Penjualan!$G$2:$G$5998,Data_Penjualan!$A$2:$A$5998,A1442)</f>
        <v>7030000</v>
      </c>
      <c r="G1442" s="39" t="n">
        <f aca="false">IF(E1442="KANTOR",0,INDEX(Master_Customer!$C$2:$C$126,MATCH(C1442,Master_Customer!$A$2:$A$126,0)))</f>
        <v>0</v>
      </c>
      <c r="H1442" s="53" t="n">
        <f aca="false">B1442+G1442</f>
        <v>45960</v>
      </c>
      <c r="J1442" s="39" t="str">
        <f aca="false">IF(G1442=0,"Tunai",IF(I1442="","Belum ditukar","Sudah ditukar"))</f>
        <v>Tunai</v>
      </c>
      <c r="K1442" s="54" t="n">
        <v>7030000</v>
      </c>
      <c r="L1442" s="51" t="n">
        <v>45960</v>
      </c>
      <c r="M1442" s="52" t="n">
        <f aca="false">F1442-K1442</f>
        <v>0</v>
      </c>
      <c r="N1442" s="39" t="str">
        <f aca="false">IF(M1442&lt;=0,"Lunas",IF(K1442&gt;0,"Sebagian","Belum Bayar"))</f>
        <v>Lunas</v>
      </c>
      <c r="O1442" s="39" t="n">
        <f aca="false">IF(M1442&gt;0,MAX(0,Catatan!$B$3-H1442),0)</f>
        <v>0</v>
      </c>
      <c r="P1442" s="39" t="str">
        <f aca="false">IF(M1442&lt;=0,"Lunas",IF(Catatan!$B$3&lt;=H1442,"Belum Jatuh Tempo",IF(O1442&lt;=30,"1-30 hari",IF(O1442&lt;=60,"31-60 hari",IF(O1442&lt;=90,"61-90 hari","90+ hari")))))</f>
        <v>Lunas</v>
      </c>
      <c r="Q1442" s="50"/>
      <c r="R1442" s="39" t="str">
        <f aca="false">IF(M1442&lt;=0,"",IF(O1442&gt;60,"1-Tinggi",IF(O1442&gt;30,"2-Sedang",IF(O1442&gt;0,"3-Rendah","4-Pantau"))))</f>
        <v/>
      </c>
      <c r="S1442" s="39" t="str">
        <f aca="false">IF(AND(M1442&gt;0,O1442&gt;0),O1442+M1442/1000000000000+ROW()/1000000000000000,"")</f>
        <v/>
      </c>
      <c r="T1442" s="39" t="str">
        <f aca="false">IF(J1442="Belum ditukar",ROW(),"")</f>
        <v/>
      </c>
    </row>
    <row r="1443" customFormat="false" ht="15" hidden="false" customHeight="false" outlineLevel="0" collapsed="false">
      <c r="A1443" s="50" t="s">
        <v>1730</v>
      </c>
      <c r="B1443" s="51" t="n">
        <v>45960</v>
      </c>
      <c r="C1443" s="50" t="s">
        <v>166</v>
      </c>
      <c r="D1443" s="39" t="str">
        <f aca="false">INDEX(Master_Customer!$B$2:$B$126,MATCH(C1443,Master_Customer!$A$2:$A$126,0))</f>
        <v>SENTOSA SERVICE</v>
      </c>
      <c r="E1443" s="50" t="s">
        <v>30</v>
      </c>
      <c r="F1443" s="52" t="n">
        <f aca="false">SUMIFS(Data_Penjualan!$G$2:$G$5998,Data_Penjualan!$A$2:$A$5998,A1443)</f>
        <v>10645100</v>
      </c>
      <c r="G1443" s="39" t="n">
        <f aca="false">IF(E1443="KANTOR",0,INDEX(Master_Customer!$C$2:$C$126,MATCH(C1443,Master_Customer!$A$2:$A$126,0)))</f>
        <v>0</v>
      </c>
      <c r="H1443" s="53" t="n">
        <f aca="false">B1443+G1443</f>
        <v>45960</v>
      </c>
      <c r="J1443" s="39" t="str">
        <f aca="false">IF(G1443=0,"Tunai",IF(I1443="","Belum ditukar","Sudah ditukar"))</f>
        <v>Tunai</v>
      </c>
      <c r="K1443" s="54" t="n">
        <v>10645100</v>
      </c>
      <c r="L1443" s="51" t="n">
        <v>45960</v>
      </c>
      <c r="M1443" s="52" t="n">
        <f aca="false">F1443-K1443</f>
        <v>0</v>
      </c>
      <c r="N1443" s="39" t="str">
        <f aca="false">IF(M1443&lt;=0,"Lunas",IF(K1443&gt;0,"Sebagian","Belum Bayar"))</f>
        <v>Lunas</v>
      </c>
      <c r="O1443" s="39" t="n">
        <f aca="false">IF(M1443&gt;0,MAX(0,Catatan!$B$3-H1443),0)</f>
        <v>0</v>
      </c>
      <c r="P1443" s="39" t="str">
        <f aca="false">IF(M1443&lt;=0,"Lunas",IF(Catatan!$B$3&lt;=H1443,"Belum Jatuh Tempo",IF(O1443&lt;=30,"1-30 hari",IF(O1443&lt;=60,"31-60 hari",IF(O1443&lt;=90,"61-90 hari","90+ hari")))))</f>
        <v>Lunas</v>
      </c>
      <c r="Q1443" s="50"/>
      <c r="R1443" s="39" t="str">
        <f aca="false">IF(M1443&lt;=0,"",IF(O1443&gt;60,"1-Tinggi",IF(O1443&gt;30,"2-Sedang",IF(O1443&gt;0,"3-Rendah","4-Pantau"))))</f>
        <v/>
      </c>
      <c r="S1443" s="39" t="str">
        <f aca="false">IF(AND(M1443&gt;0,O1443&gt;0),O1443+M1443/1000000000000+ROW()/1000000000000000,"")</f>
        <v/>
      </c>
      <c r="T1443" s="39" t="str">
        <f aca="false">IF(J1443="Belum ditukar",ROW(),"")</f>
        <v/>
      </c>
    </row>
    <row r="1444" customFormat="false" ht="15" hidden="false" customHeight="false" outlineLevel="0" collapsed="false">
      <c r="A1444" s="50" t="s">
        <v>1731</v>
      </c>
      <c r="B1444" s="51" t="n">
        <v>45960</v>
      </c>
      <c r="C1444" s="50" t="s">
        <v>289</v>
      </c>
      <c r="D1444" s="39" t="str">
        <f aca="false">INDEX(Master_Customer!$B$2:$B$126,MATCH(C1444,Master_Customer!$A$2:$A$126,0))</f>
        <v>SINAR GARAGE</v>
      </c>
      <c r="E1444" s="50" t="s">
        <v>28</v>
      </c>
      <c r="F1444" s="52" t="n">
        <f aca="false">SUMIFS(Data_Penjualan!$G$2:$G$5998,Data_Penjualan!$A$2:$A$5998,A1444)</f>
        <v>8262500</v>
      </c>
      <c r="G1444" s="39" t="n">
        <f aca="false">IF(E1444="KANTOR",0,INDEX(Master_Customer!$C$2:$C$126,MATCH(C1444,Master_Customer!$A$2:$A$126,0)))</f>
        <v>30</v>
      </c>
      <c r="H1444" s="53" t="n">
        <f aca="false">B1444+G1444</f>
        <v>45990</v>
      </c>
      <c r="I1444" s="51" t="n">
        <v>45963</v>
      </c>
      <c r="J1444" s="39" t="str">
        <f aca="false">IF(G1444=0,"Tunai",IF(I1444="","Belum ditukar","Sudah ditukar"))</f>
        <v>Sudah ditukar</v>
      </c>
      <c r="K1444" s="54" t="n">
        <v>8262500</v>
      </c>
      <c r="L1444" s="51" t="n">
        <v>45995</v>
      </c>
      <c r="M1444" s="52" t="n">
        <f aca="false">F1444-K1444</f>
        <v>0</v>
      </c>
      <c r="N1444" s="39" t="str">
        <f aca="false">IF(M1444&lt;=0,"Lunas",IF(K1444&gt;0,"Sebagian","Belum Bayar"))</f>
        <v>Lunas</v>
      </c>
      <c r="O1444" s="39" t="n">
        <f aca="false">IF(M1444&gt;0,MAX(0,Catatan!$B$3-H1444),0)</f>
        <v>0</v>
      </c>
      <c r="P1444" s="39" t="str">
        <f aca="false">IF(M1444&lt;=0,"Lunas",IF(Catatan!$B$3&lt;=H1444,"Belum Jatuh Tempo",IF(O1444&lt;=30,"1-30 hari",IF(O1444&lt;=60,"31-60 hari",IF(O1444&lt;=90,"61-90 hari","90+ hari")))))</f>
        <v>Lunas</v>
      </c>
      <c r="Q1444" s="50"/>
      <c r="R1444" s="39" t="str">
        <f aca="false">IF(M1444&lt;=0,"",IF(O1444&gt;60,"1-Tinggi",IF(O1444&gt;30,"2-Sedang",IF(O1444&gt;0,"3-Rendah","4-Pantau"))))</f>
        <v/>
      </c>
      <c r="S1444" s="39" t="str">
        <f aca="false">IF(AND(M1444&gt;0,O1444&gt;0),O1444+M1444/1000000000000+ROW()/1000000000000000,"")</f>
        <v/>
      </c>
      <c r="T1444" s="39" t="str">
        <f aca="false">IF(J1444="Belum ditukar",ROW(),"")</f>
        <v/>
      </c>
    </row>
    <row r="1445" customFormat="false" ht="15" hidden="false" customHeight="false" outlineLevel="0" collapsed="false">
      <c r="A1445" s="50" t="s">
        <v>1732</v>
      </c>
      <c r="B1445" s="51" t="n">
        <v>45960</v>
      </c>
      <c r="C1445" s="50" t="s">
        <v>463</v>
      </c>
      <c r="D1445" s="39" t="str">
        <f aca="false">INDEX(Master_Customer!$B$2:$B$126,MATCH(C1445,Master_Customer!$A$2:$A$126,0))</f>
        <v>UTAMA TEKNIK ABADI</v>
      </c>
      <c r="E1445" s="50" t="s">
        <v>30</v>
      </c>
      <c r="F1445" s="52" t="n">
        <f aca="false">SUMIFS(Data_Penjualan!$G$2:$G$5998,Data_Penjualan!$A$2:$A$5998,A1445)</f>
        <v>25277000</v>
      </c>
      <c r="G1445" s="39" t="n">
        <f aca="false">IF(E1445="KANTOR",0,INDEX(Master_Customer!$C$2:$C$126,MATCH(C1445,Master_Customer!$A$2:$A$126,0)))</f>
        <v>30</v>
      </c>
      <c r="H1445" s="53" t="n">
        <f aca="false">B1445+G1445</f>
        <v>45990</v>
      </c>
      <c r="I1445" s="51" t="n">
        <v>45965</v>
      </c>
      <c r="J1445" s="39" t="str">
        <f aca="false">IF(G1445=0,"Tunai",IF(I1445="","Belum ditukar","Sudah ditukar"))</f>
        <v>Sudah ditukar</v>
      </c>
      <c r="K1445" s="54" t="n">
        <v>25277000</v>
      </c>
      <c r="L1445" s="51" t="n">
        <v>45989</v>
      </c>
      <c r="M1445" s="52" t="n">
        <f aca="false">F1445-K1445</f>
        <v>0</v>
      </c>
      <c r="N1445" s="39" t="str">
        <f aca="false">IF(M1445&lt;=0,"Lunas",IF(K1445&gt;0,"Sebagian","Belum Bayar"))</f>
        <v>Lunas</v>
      </c>
      <c r="O1445" s="39" t="n">
        <f aca="false">IF(M1445&gt;0,MAX(0,Catatan!$B$3-H1445),0)</f>
        <v>0</v>
      </c>
      <c r="P1445" s="39" t="str">
        <f aca="false">IF(M1445&lt;=0,"Lunas",IF(Catatan!$B$3&lt;=H1445,"Belum Jatuh Tempo",IF(O1445&lt;=30,"1-30 hari",IF(O1445&lt;=60,"31-60 hari",IF(O1445&lt;=90,"61-90 hari","90+ hari")))))</f>
        <v>Lunas</v>
      </c>
      <c r="Q1445" s="50"/>
      <c r="R1445" s="39" t="str">
        <f aca="false">IF(M1445&lt;=0,"",IF(O1445&gt;60,"1-Tinggi",IF(O1445&gt;30,"2-Sedang",IF(O1445&gt;0,"3-Rendah","4-Pantau"))))</f>
        <v/>
      </c>
      <c r="S1445" s="39" t="str">
        <f aca="false">IF(AND(M1445&gt;0,O1445&gt;0),O1445+M1445/1000000000000+ROW()/1000000000000000,"")</f>
        <v/>
      </c>
      <c r="T1445" s="39" t="str">
        <f aca="false">IF(J1445="Belum ditukar",ROW(),"")</f>
        <v/>
      </c>
    </row>
    <row r="1446" customFormat="false" ht="15" hidden="false" customHeight="false" outlineLevel="0" collapsed="false">
      <c r="A1446" s="50" t="s">
        <v>1733</v>
      </c>
      <c r="B1446" s="51" t="n">
        <v>45960</v>
      </c>
      <c r="C1446" s="50" t="s">
        <v>243</v>
      </c>
      <c r="D1446" s="39" t="str">
        <f aca="false">INDEX(Master_Customer!$B$2:$B$126,MATCH(C1446,Master_Customer!$A$2:$A$126,0))</f>
        <v>SENTOSA LUBRICANT MULIA</v>
      </c>
      <c r="E1446" s="50" t="s">
        <v>32</v>
      </c>
      <c r="F1446" s="52" t="n">
        <f aca="false">SUMIFS(Data_Penjualan!$G$2:$G$5998,Data_Penjualan!$A$2:$A$5998,A1446)</f>
        <v>11596900</v>
      </c>
      <c r="G1446" s="39" t="n">
        <f aca="false">IF(E1446="KANTOR",0,INDEX(Master_Customer!$C$2:$C$126,MATCH(C1446,Master_Customer!$A$2:$A$126,0)))</f>
        <v>0</v>
      </c>
      <c r="H1446" s="53" t="n">
        <f aca="false">B1446+G1446</f>
        <v>45960</v>
      </c>
      <c r="J1446" s="39" t="str">
        <f aca="false">IF(G1446=0,"Tunai",IF(I1446="","Belum ditukar","Sudah ditukar"))</f>
        <v>Tunai</v>
      </c>
      <c r="K1446" s="54" t="n">
        <v>11596900</v>
      </c>
      <c r="L1446" s="51" t="n">
        <v>45960</v>
      </c>
      <c r="M1446" s="52" t="n">
        <f aca="false">F1446-K1446</f>
        <v>0</v>
      </c>
      <c r="N1446" s="39" t="str">
        <f aca="false">IF(M1446&lt;=0,"Lunas",IF(K1446&gt;0,"Sebagian","Belum Bayar"))</f>
        <v>Lunas</v>
      </c>
      <c r="O1446" s="39" t="n">
        <f aca="false">IF(M1446&gt;0,MAX(0,Catatan!$B$3-H1446),0)</f>
        <v>0</v>
      </c>
      <c r="P1446" s="39" t="str">
        <f aca="false">IF(M1446&lt;=0,"Lunas",IF(Catatan!$B$3&lt;=H1446,"Belum Jatuh Tempo",IF(O1446&lt;=30,"1-30 hari",IF(O1446&lt;=60,"31-60 hari",IF(O1446&lt;=90,"61-90 hari","90+ hari")))))</f>
        <v>Lunas</v>
      </c>
      <c r="Q1446" s="50"/>
      <c r="R1446" s="39" t="str">
        <f aca="false">IF(M1446&lt;=0,"",IF(O1446&gt;60,"1-Tinggi",IF(O1446&gt;30,"2-Sedang",IF(O1446&gt;0,"3-Rendah","4-Pantau"))))</f>
        <v/>
      </c>
      <c r="S1446" s="39" t="str">
        <f aca="false">IF(AND(M1446&gt;0,O1446&gt;0),O1446+M1446/1000000000000+ROW()/1000000000000000,"")</f>
        <v/>
      </c>
      <c r="T1446" s="39" t="str">
        <f aca="false">IF(J1446="Belum ditukar",ROW(),"")</f>
        <v/>
      </c>
    </row>
    <row r="1447" customFormat="false" ht="15" hidden="false" customHeight="false" outlineLevel="0" collapsed="false">
      <c r="A1447" s="50" t="s">
        <v>1734</v>
      </c>
      <c r="B1447" s="51" t="n">
        <v>45961</v>
      </c>
      <c r="C1447" s="50" t="s">
        <v>174</v>
      </c>
      <c r="D1447" s="39" t="str">
        <f aca="false">INDEX(Master_Customer!$B$2:$B$126,MATCH(C1447,Master_Customer!$A$2:$A$126,0))</f>
        <v>SUMBER TEKNIK SURYA</v>
      </c>
      <c r="E1447" s="50" t="s">
        <v>31</v>
      </c>
      <c r="F1447" s="52" t="n">
        <f aca="false">SUMIFS(Data_Penjualan!$G$2:$G$5998,Data_Penjualan!$A$2:$A$5998,A1447)</f>
        <v>3284000</v>
      </c>
      <c r="G1447" s="39" t="n">
        <f aca="false">IF(E1447="KANTOR",0,INDEX(Master_Customer!$C$2:$C$126,MATCH(C1447,Master_Customer!$A$2:$A$126,0)))</f>
        <v>30</v>
      </c>
      <c r="H1447" s="53" t="n">
        <f aca="false">B1447+G1447</f>
        <v>45991</v>
      </c>
      <c r="I1447" s="51" t="n">
        <v>45966</v>
      </c>
      <c r="J1447" s="39" t="str">
        <f aca="false">IF(G1447=0,"Tunai",IF(I1447="","Belum ditukar","Sudah ditukar"))</f>
        <v>Sudah ditukar</v>
      </c>
      <c r="K1447" s="54" t="n">
        <v>3284000</v>
      </c>
      <c r="L1447" s="51" t="n">
        <v>45994</v>
      </c>
      <c r="M1447" s="52" t="n">
        <f aca="false">F1447-K1447</f>
        <v>0</v>
      </c>
      <c r="N1447" s="39" t="str">
        <f aca="false">IF(M1447&lt;=0,"Lunas",IF(K1447&gt;0,"Sebagian","Belum Bayar"))</f>
        <v>Lunas</v>
      </c>
      <c r="O1447" s="39" t="n">
        <f aca="false">IF(M1447&gt;0,MAX(0,Catatan!$B$3-H1447),0)</f>
        <v>0</v>
      </c>
      <c r="P1447" s="39" t="str">
        <f aca="false">IF(M1447&lt;=0,"Lunas",IF(Catatan!$B$3&lt;=H1447,"Belum Jatuh Tempo",IF(O1447&lt;=30,"1-30 hari",IF(O1447&lt;=60,"31-60 hari",IF(O1447&lt;=90,"61-90 hari","90+ hari")))))</f>
        <v>Lunas</v>
      </c>
      <c r="Q1447" s="50"/>
      <c r="R1447" s="39" t="str">
        <f aca="false">IF(M1447&lt;=0,"",IF(O1447&gt;60,"1-Tinggi",IF(O1447&gt;30,"2-Sedang",IF(O1447&gt;0,"3-Rendah","4-Pantau"))))</f>
        <v/>
      </c>
      <c r="S1447" s="39" t="str">
        <f aca="false">IF(AND(M1447&gt;0,O1447&gt;0),O1447+M1447/1000000000000+ROW()/1000000000000000,"")</f>
        <v/>
      </c>
      <c r="T1447" s="39" t="str">
        <f aca="false">IF(J1447="Belum ditukar",ROW(),"")</f>
        <v/>
      </c>
    </row>
    <row r="1448" customFormat="false" ht="15" hidden="false" customHeight="false" outlineLevel="0" collapsed="false">
      <c r="A1448" s="50" t="s">
        <v>1735</v>
      </c>
      <c r="B1448" s="51" t="n">
        <v>45962</v>
      </c>
      <c r="C1448" s="50" t="s">
        <v>1099</v>
      </c>
      <c r="D1448" s="39" t="str">
        <f aca="false">INDEX(Master_Customer!$B$2:$B$126,MATCH(C1448,Master_Customer!$A$2:$A$126,0))</f>
        <v>SENTOSA SPAREPART</v>
      </c>
      <c r="E1448" s="50" t="s">
        <v>30</v>
      </c>
      <c r="F1448" s="52" t="n">
        <f aca="false">SUMIFS(Data_Penjualan!$G$2:$G$5998,Data_Penjualan!$A$2:$A$5998,A1448)</f>
        <v>13742000</v>
      </c>
      <c r="G1448" s="39" t="n">
        <f aca="false">IF(E1448="KANTOR",0,INDEX(Master_Customer!$C$2:$C$126,MATCH(C1448,Master_Customer!$A$2:$A$126,0)))</f>
        <v>30</v>
      </c>
      <c r="H1448" s="53" t="n">
        <f aca="false">B1448+G1448</f>
        <v>45992</v>
      </c>
      <c r="I1448" s="51" t="n">
        <v>45965</v>
      </c>
      <c r="J1448" s="39" t="str">
        <f aca="false">IF(G1448=0,"Tunai",IF(I1448="","Belum ditukar","Sudah ditukar"))</f>
        <v>Sudah ditukar</v>
      </c>
      <c r="K1448" s="54" t="n">
        <v>0</v>
      </c>
      <c r="M1448" s="52" t="n">
        <f aca="false">F1448-K1448</f>
        <v>13742000</v>
      </c>
      <c r="N1448" s="39" t="str">
        <f aca="false">IF(M1448&lt;=0,"Lunas",IF(K1448&gt;0,"Sebagian","Belum Bayar"))</f>
        <v>Belum Bayar</v>
      </c>
      <c r="O1448" s="39" t="n">
        <f aca="false">IF(M1448&gt;0,MAX(0,Catatan!$B$3-H1448),0)</f>
        <v>30</v>
      </c>
      <c r="P1448" s="39" t="str">
        <f aca="false">IF(M1448&lt;=0,"Lunas",IF(Catatan!$B$3&lt;=H1448,"Belum Jatuh Tempo",IF(O1448&lt;=30,"1-30 hari",IF(O1448&lt;=60,"31-60 hari",IF(O1448&lt;=90,"61-90 hari","90+ hari")))))</f>
        <v>1-30 hari</v>
      </c>
      <c r="Q1448" s="50" t="s">
        <v>1426</v>
      </c>
      <c r="R1448" s="39" t="str">
        <f aca="false">IF(M1448&lt;=0,"",IF(O1448&gt;60,"1-Tinggi",IF(O1448&gt;30,"2-Sedang",IF(O1448&gt;0,"3-Rendah","4-Pantau"))))</f>
        <v>3-Rendah</v>
      </c>
      <c r="S1448" s="39" t="n">
        <f aca="false">IF(AND(M1448&gt;0,O1448&gt;0),O1448+M1448/1000000000000+ROW()/1000000000000000,"")</f>
        <v>30.0000137420015</v>
      </c>
      <c r="T1448" s="39" t="str">
        <f aca="false">IF(J1448="Belum ditukar",ROW(),"")</f>
        <v/>
      </c>
    </row>
    <row r="1449" customFormat="false" ht="15" hidden="false" customHeight="false" outlineLevel="0" collapsed="false">
      <c r="A1449" s="50" t="s">
        <v>1736</v>
      </c>
      <c r="B1449" s="51" t="n">
        <v>45962</v>
      </c>
      <c r="C1449" s="50" t="s">
        <v>211</v>
      </c>
      <c r="D1449" s="39" t="str">
        <f aca="false">INDEX(Master_Customer!$B$2:$B$126,MATCH(C1449,Master_Customer!$A$2:$A$126,0))</f>
        <v>PRIMA MOBIL</v>
      </c>
      <c r="E1449" s="50" t="s">
        <v>30</v>
      </c>
      <c r="F1449" s="52" t="n">
        <f aca="false">SUMIFS(Data_Penjualan!$G$2:$G$5998,Data_Penjualan!$A$2:$A$5998,A1449)</f>
        <v>12498400</v>
      </c>
      <c r="G1449" s="39" t="n">
        <f aca="false">IF(E1449="KANTOR",0,INDEX(Master_Customer!$C$2:$C$126,MATCH(C1449,Master_Customer!$A$2:$A$126,0)))</f>
        <v>0</v>
      </c>
      <c r="H1449" s="53" t="n">
        <f aca="false">B1449+G1449</f>
        <v>45962</v>
      </c>
      <c r="J1449" s="39" t="str">
        <f aca="false">IF(G1449=0,"Tunai",IF(I1449="","Belum ditukar","Sudah ditukar"))</f>
        <v>Tunai</v>
      </c>
      <c r="K1449" s="54" t="n">
        <v>12498400</v>
      </c>
      <c r="L1449" s="51" t="n">
        <v>45963</v>
      </c>
      <c r="M1449" s="52" t="n">
        <f aca="false">F1449-K1449</f>
        <v>0</v>
      </c>
      <c r="N1449" s="39" t="str">
        <f aca="false">IF(M1449&lt;=0,"Lunas",IF(K1449&gt;0,"Sebagian","Belum Bayar"))</f>
        <v>Lunas</v>
      </c>
      <c r="O1449" s="39" t="n">
        <f aca="false">IF(M1449&gt;0,MAX(0,Catatan!$B$3-H1449),0)</f>
        <v>0</v>
      </c>
      <c r="P1449" s="39" t="str">
        <f aca="false">IF(M1449&lt;=0,"Lunas",IF(Catatan!$B$3&lt;=H1449,"Belum Jatuh Tempo",IF(O1449&lt;=30,"1-30 hari",IF(O1449&lt;=60,"31-60 hari",IF(O1449&lt;=90,"61-90 hari","90+ hari")))))</f>
        <v>Lunas</v>
      </c>
      <c r="Q1449" s="50"/>
      <c r="R1449" s="39" t="str">
        <f aca="false">IF(M1449&lt;=0,"",IF(O1449&gt;60,"1-Tinggi",IF(O1449&gt;30,"2-Sedang",IF(O1449&gt;0,"3-Rendah","4-Pantau"))))</f>
        <v/>
      </c>
      <c r="S1449" s="39" t="str">
        <f aca="false">IF(AND(M1449&gt;0,O1449&gt;0),O1449+M1449/1000000000000+ROW()/1000000000000000,"")</f>
        <v/>
      </c>
      <c r="T1449" s="39" t="str">
        <f aca="false">IF(J1449="Belum ditukar",ROW(),"")</f>
        <v/>
      </c>
    </row>
    <row r="1450" customFormat="false" ht="15" hidden="false" customHeight="false" outlineLevel="0" collapsed="false">
      <c r="A1450" s="50" t="s">
        <v>1737</v>
      </c>
      <c r="B1450" s="51" t="n">
        <v>45962</v>
      </c>
      <c r="C1450" s="50" t="s">
        <v>1738</v>
      </c>
      <c r="D1450" s="39" t="str">
        <f aca="false">INDEX(Master_Customer!$B$2:$B$126,MATCH(C1450,Master_Customer!$A$2:$A$126,0))</f>
        <v>HARAPAN OLI</v>
      </c>
      <c r="E1450" s="50" t="s">
        <v>32</v>
      </c>
      <c r="F1450" s="52" t="n">
        <f aca="false">SUMIFS(Data_Penjualan!$G$2:$G$5998,Data_Penjualan!$A$2:$A$5998,A1450)</f>
        <v>20710100</v>
      </c>
      <c r="G1450" s="39" t="n">
        <f aca="false">IF(E1450="KANTOR",0,INDEX(Master_Customer!$C$2:$C$126,MATCH(C1450,Master_Customer!$A$2:$A$126,0)))</f>
        <v>0</v>
      </c>
      <c r="H1450" s="53" t="n">
        <f aca="false">B1450+G1450</f>
        <v>45962</v>
      </c>
      <c r="J1450" s="39" t="str">
        <f aca="false">IF(G1450=0,"Tunai",IF(I1450="","Belum ditukar","Sudah ditukar"))</f>
        <v>Tunai</v>
      </c>
      <c r="K1450" s="54" t="n">
        <v>20710100</v>
      </c>
      <c r="L1450" s="51" t="n">
        <v>45962</v>
      </c>
      <c r="M1450" s="52" t="n">
        <f aca="false">F1450-K1450</f>
        <v>0</v>
      </c>
      <c r="N1450" s="39" t="str">
        <f aca="false">IF(M1450&lt;=0,"Lunas",IF(K1450&gt;0,"Sebagian","Belum Bayar"))</f>
        <v>Lunas</v>
      </c>
      <c r="O1450" s="39" t="n">
        <f aca="false">IF(M1450&gt;0,MAX(0,Catatan!$B$3-H1450),0)</f>
        <v>0</v>
      </c>
      <c r="P1450" s="39" t="str">
        <f aca="false">IF(M1450&lt;=0,"Lunas",IF(Catatan!$B$3&lt;=H1450,"Belum Jatuh Tempo",IF(O1450&lt;=30,"1-30 hari",IF(O1450&lt;=60,"31-60 hari",IF(O1450&lt;=90,"61-90 hari","90+ hari")))))</f>
        <v>Lunas</v>
      </c>
      <c r="Q1450" s="50"/>
      <c r="R1450" s="39" t="str">
        <f aca="false">IF(M1450&lt;=0,"",IF(O1450&gt;60,"1-Tinggi",IF(O1450&gt;30,"2-Sedang",IF(O1450&gt;0,"3-Rendah","4-Pantau"))))</f>
        <v/>
      </c>
      <c r="S1450" s="39" t="str">
        <f aca="false">IF(AND(M1450&gt;0,O1450&gt;0),O1450+M1450/1000000000000+ROW()/1000000000000000,"")</f>
        <v/>
      </c>
      <c r="T1450" s="39" t="str">
        <f aca="false">IF(J1450="Belum ditukar",ROW(),"")</f>
        <v/>
      </c>
    </row>
    <row r="1451" customFormat="false" ht="15" hidden="false" customHeight="false" outlineLevel="0" collapsed="false">
      <c r="A1451" s="50" t="s">
        <v>1739</v>
      </c>
      <c r="B1451" s="51" t="n">
        <v>45962</v>
      </c>
      <c r="C1451" s="50" t="s">
        <v>234</v>
      </c>
      <c r="D1451" s="39" t="str">
        <f aca="false">INDEX(Master_Customer!$B$2:$B$126,MATCH(C1451,Master_Customer!$A$2:$A$126,0))</f>
        <v>CAHAYA OLI</v>
      </c>
      <c r="E1451" s="50" t="s">
        <v>28</v>
      </c>
      <c r="F1451" s="52" t="n">
        <f aca="false">SUMIFS(Data_Penjualan!$G$2:$G$5998,Data_Penjualan!$A$2:$A$5998,A1451)</f>
        <v>16364800</v>
      </c>
      <c r="G1451" s="39" t="n">
        <f aca="false">IF(E1451="KANTOR",0,INDEX(Master_Customer!$C$2:$C$126,MATCH(C1451,Master_Customer!$A$2:$A$126,0)))</f>
        <v>30</v>
      </c>
      <c r="H1451" s="53" t="n">
        <f aca="false">B1451+G1451</f>
        <v>45992</v>
      </c>
      <c r="I1451" s="51" t="n">
        <v>45963</v>
      </c>
      <c r="J1451" s="39" t="str">
        <f aca="false">IF(G1451=0,"Tunai",IF(I1451="","Belum ditukar","Sudah ditukar"))</f>
        <v>Sudah ditukar</v>
      </c>
      <c r="K1451" s="54" t="n">
        <v>7694100</v>
      </c>
      <c r="L1451" s="51" t="n">
        <v>45988</v>
      </c>
      <c r="M1451" s="52" t="n">
        <f aca="false">F1451-K1451</f>
        <v>8670700</v>
      </c>
      <c r="N1451" s="39" t="str">
        <f aca="false">IF(M1451&lt;=0,"Lunas",IF(K1451&gt;0,"Sebagian","Belum Bayar"))</f>
        <v>Sebagian</v>
      </c>
      <c r="O1451" s="39" t="n">
        <f aca="false">IF(M1451&gt;0,MAX(0,Catatan!$B$3-H1451),0)</f>
        <v>30</v>
      </c>
      <c r="P1451" s="39" t="str">
        <f aca="false">IF(M1451&lt;=0,"Lunas",IF(Catatan!$B$3&lt;=H1451,"Belum Jatuh Tempo",IF(O1451&lt;=30,"1-30 hari",IF(O1451&lt;=60,"31-60 hari",IF(O1451&lt;=90,"61-90 hari","90+ hari")))))</f>
        <v>1-30 hari</v>
      </c>
      <c r="Q1451" s="50" t="s">
        <v>712</v>
      </c>
      <c r="R1451" s="39" t="str">
        <f aca="false">IF(M1451&lt;=0,"",IF(O1451&gt;60,"1-Tinggi",IF(O1451&gt;30,"2-Sedang",IF(O1451&gt;0,"3-Rendah","4-Pantau"))))</f>
        <v>3-Rendah</v>
      </c>
      <c r="S1451" s="39" t="n">
        <f aca="false">IF(AND(M1451&gt;0,O1451&gt;0),O1451+M1451/1000000000000+ROW()/1000000000000000,"")</f>
        <v>30.0000086707015</v>
      </c>
      <c r="T1451" s="39" t="str">
        <f aca="false">IF(J1451="Belum ditukar",ROW(),"")</f>
        <v/>
      </c>
    </row>
    <row r="1452" customFormat="false" ht="15" hidden="false" customHeight="false" outlineLevel="0" collapsed="false">
      <c r="A1452" s="50" t="s">
        <v>1740</v>
      </c>
      <c r="B1452" s="51" t="n">
        <v>45962</v>
      </c>
      <c r="C1452" s="50" t="s">
        <v>1487</v>
      </c>
      <c r="D1452" s="39" t="str">
        <f aca="false">INDEX(Master_Customer!$B$2:$B$126,MATCH(C1452,Master_Customer!$A$2:$A$126,0))</f>
        <v>PRIMA SERVICE</v>
      </c>
      <c r="E1452" s="50" t="s">
        <v>30</v>
      </c>
      <c r="F1452" s="52" t="n">
        <f aca="false">SUMIFS(Data_Penjualan!$G$2:$G$5998,Data_Penjualan!$A$2:$A$5998,A1452)</f>
        <v>7584800</v>
      </c>
      <c r="G1452" s="39" t="n">
        <f aca="false">IF(E1452="KANTOR",0,INDEX(Master_Customer!$C$2:$C$126,MATCH(C1452,Master_Customer!$A$2:$A$126,0)))</f>
        <v>0</v>
      </c>
      <c r="H1452" s="53" t="n">
        <f aca="false">B1452+G1452</f>
        <v>45962</v>
      </c>
      <c r="J1452" s="39" t="str">
        <f aca="false">IF(G1452=0,"Tunai",IF(I1452="","Belum ditukar","Sudah ditukar"))</f>
        <v>Tunai</v>
      </c>
      <c r="K1452" s="54" t="n">
        <v>7584800</v>
      </c>
      <c r="L1452" s="51" t="n">
        <v>45962</v>
      </c>
      <c r="M1452" s="52" t="n">
        <f aca="false">F1452-K1452</f>
        <v>0</v>
      </c>
      <c r="N1452" s="39" t="str">
        <f aca="false">IF(M1452&lt;=0,"Lunas",IF(K1452&gt;0,"Sebagian","Belum Bayar"))</f>
        <v>Lunas</v>
      </c>
      <c r="O1452" s="39" t="n">
        <f aca="false">IF(M1452&gt;0,MAX(0,Catatan!$B$3-H1452),0)</f>
        <v>0</v>
      </c>
      <c r="P1452" s="39" t="str">
        <f aca="false">IF(M1452&lt;=0,"Lunas",IF(Catatan!$B$3&lt;=H1452,"Belum Jatuh Tempo",IF(O1452&lt;=30,"1-30 hari",IF(O1452&lt;=60,"31-60 hari",IF(O1452&lt;=90,"61-90 hari","90+ hari")))))</f>
        <v>Lunas</v>
      </c>
      <c r="Q1452" s="50"/>
      <c r="R1452" s="39" t="str">
        <f aca="false">IF(M1452&lt;=0,"",IF(O1452&gt;60,"1-Tinggi",IF(O1452&gt;30,"2-Sedang",IF(O1452&gt;0,"3-Rendah","4-Pantau"))))</f>
        <v/>
      </c>
      <c r="S1452" s="39" t="str">
        <f aca="false">IF(AND(M1452&gt;0,O1452&gt;0),O1452+M1452/1000000000000+ROW()/1000000000000000,"")</f>
        <v/>
      </c>
      <c r="T1452" s="39" t="str">
        <f aca="false">IF(J1452="Belum ditukar",ROW(),"")</f>
        <v/>
      </c>
    </row>
    <row r="1453" customFormat="false" ht="15" hidden="false" customHeight="false" outlineLevel="0" collapsed="false">
      <c r="A1453" s="50" t="s">
        <v>1741</v>
      </c>
      <c r="B1453" s="51" t="n">
        <v>45962</v>
      </c>
      <c r="C1453" s="50" t="s">
        <v>193</v>
      </c>
      <c r="D1453" s="39" t="str">
        <f aca="false">INDEX(Master_Customer!$B$2:$B$126,MATCH(C1453,Master_Customer!$A$2:$A$126,0))</f>
        <v>BINTANG BENGKEL</v>
      </c>
      <c r="E1453" s="50" t="s">
        <v>31</v>
      </c>
      <c r="F1453" s="52" t="n">
        <f aca="false">SUMIFS(Data_Penjualan!$G$2:$G$5998,Data_Penjualan!$A$2:$A$5998,A1453)</f>
        <v>17308700</v>
      </c>
      <c r="G1453" s="39" t="n">
        <f aca="false">IF(E1453="KANTOR",0,INDEX(Master_Customer!$C$2:$C$126,MATCH(C1453,Master_Customer!$A$2:$A$126,0)))</f>
        <v>14</v>
      </c>
      <c r="H1453" s="53" t="n">
        <f aca="false">B1453+G1453</f>
        <v>45976</v>
      </c>
      <c r="I1453" s="51" t="n">
        <v>45964</v>
      </c>
      <c r="J1453" s="39" t="str">
        <f aca="false">IF(G1453=0,"Tunai",IF(I1453="","Belum ditukar","Sudah ditukar"))</f>
        <v>Sudah ditukar</v>
      </c>
      <c r="K1453" s="54" t="n">
        <v>17308700</v>
      </c>
      <c r="L1453" s="51" t="n">
        <v>46000</v>
      </c>
      <c r="M1453" s="52" t="n">
        <f aca="false">F1453-K1453</f>
        <v>0</v>
      </c>
      <c r="N1453" s="39" t="str">
        <f aca="false">IF(M1453&lt;=0,"Lunas",IF(K1453&gt;0,"Sebagian","Belum Bayar"))</f>
        <v>Lunas</v>
      </c>
      <c r="O1453" s="39" t="n">
        <f aca="false">IF(M1453&gt;0,MAX(0,Catatan!$B$3-H1453),0)</f>
        <v>0</v>
      </c>
      <c r="P1453" s="39" t="str">
        <f aca="false">IF(M1453&lt;=0,"Lunas",IF(Catatan!$B$3&lt;=H1453,"Belum Jatuh Tempo",IF(O1453&lt;=30,"1-30 hari",IF(O1453&lt;=60,"31-60 hari",IF(O1453&lt;=90,"61-90 hari","90+ hari")))))</f>
        <v>Lunas</v>
      </c>
      <c r="Q1453" s="50"/>
      <c r="R1453" s="39" t="str">
        <f aca="false">IF(M1453&lt;=0,"",IF(O1453&gt;60,"1-Tinggi",IF(O1453&gt;30,"2-Sedang",IF(O1453&gt;0,"3-Rendah","4-Pantau"))))</f>
        <v/>
      </c>
      <c r="S1453" s="39" t="str">
        <f aca="false">IF(AND(M1453&gt;0,O1453&gt;0),O1453+M1453/1000000000000+ROW()/1000000000000000,"")</f>
        <v/>
      </c>
      <c r="T1453" s="39" t="str">
        <f aca="false">IF(J1453="Belum ditukar",ROW(),"")</f>
        <v/>
      </c>
    </row>
    <row r="1454" customFormat="false" ht="15" hidden="false" customHeight="false" outlineLevel="0" collapsed="false">
      <c r="A1454" s="50" t="s">
        <v>1742</v>
      </c>
      <c r="B1454" s="51" t="n">
        <v>45964</v>
      </c>
      <c r="C1454" s="50" t="s">
        <v>179</v>
      </c>
      <c r="D1454" s="39" t="str">
        <f aca="false">INDEX(Master_Customer!$B$2:$B$126,MATCH(C1454,Master_Customer!$A$2:$A$126,0))</f>
        <v>BINTANG TEKNIK SURYA</v>
      </c>
      <c r="E1454" s="50" t="s">
        <v>29</v>
      </c>
      <c r="F1454" s="52" t="n">
        <f aca="false">SUMIFS(Data_Penjualan!$G$2:$G$5998,Data_Penjualan!$A$2:$A$5998,A1454)</f>
        <v>13777200</v>
      </c>
      <c r="G1454" s="39" t="n">
        <f aca="false">IF(E1454="KANTOR",0,INDEX(Master_Customer!$C$2:$C$126,MATCH(C1454,Master_Customer!$A$2:$A$126,0)))</f>
        <v>45</v>
      </c>
      <c r="H1454" s="53" t="n">
        <f aca="false">B1454+G1454</f>
        <v>46009</v>
      </c>
      <c r="I1454" s="51" t="n">
        <v>45967</v>
      </c>
      <c r="J1454" s="39" t="str">
        <f aca="false">IF(G1454=0,"Tunai",IF(I1454="","Belum ditukar","Sudah ditukar"))</f>
        <v>Sudah ditukar</v>
      </c>
      <c r="K1454" s="54" t="n">
        <v>13777200</v>
      </c>
      <c r="L1454" s="51" t="n">
        <v>46014</v>
      </c>
      <c r="M1454" s="52" t="n">
        <f aca="false">F1454-K1454</f>
        <v>0</v>
      </c>
      <c r="N1454" s="39" t="str">
        <f aca="false">IF(M1454&lt;=0,"Lunas",IF(K1454&gt;0,"Sebagian","Belum Bayar"))</f>
        <v>Lunas</v>
      </c>
      <c r="O1454" s="39" t="n">
        <f aca="false">IF(M1454&gt;0,MAX(0,Catatan!$B$3-H1454),0)</f>
        <v>0</v>
      </c>
      <c r="P1454" s="39" t="str">
        <f aca="false">IF(M1454&lt;=0,"Lunas",IF(Catatan!$B$3&lt;=H1454,"Belum Jatuh Tempo",IF(O1454&lt;=30,"1-30 hari",IF(O1454&lt;=60,"31-60 hari",IF(O1454&lt;=90,"61-90 hari","90+ hari")))))</f>
        <v>Lunas</v>
      </c>
      <c r="Q1454" s="50"/>
      <c r="R1454" s="39" t="str">
        <f aca="false">IF(M1454&lt;=0,"",IF(O1454&gt;60,"1-Tinggi",IF(O1454&gt;30,"2-Sedang",IF(O1454&gt;0,"3-Rendah","4-Pantau"))))</f>
        <v/>
      </c>
      <c r="S1454" s="39" t="str">
        <f aca="false">IF(AND(M1454&gt;0,O1454&gt;0),O1454+M1454/1000000000000+ROW()/1000000000000000,"")</f>
        <v/>
      </c>
      <c r="T1454" s="39" t="str">
        <f aca="false">IF(J1454="Belum ditukar",ROW(),"")</f>
        <v/>
      </c>
    </row>
    <row r="1455" customFormat="false" ht="15" hidden="false" customHeight="false" outlineLevel="0" collapsed="false">
      <c r="A1455" s="50" t="s">
        <v>1743</v>
      </c>
      <c r="B1455" s="51" t="n">
        <v>45964</v>
      </c>
      <c r="C1455" s="50" t="s">
        <v>666</v>
      </c>
      <c r="D1455" s="39" t="str">
        <f aca="false">INDEX(Master_Customer!$B$2:$B$126,MATCH(C1455,Master_Customer!$A$2:$A$126,0))</f>
        <v>SUMBER MOTOR</v>
      </c>
      <c r="E1455" s="50" t="s">
        <v>30</v>
      </c>
      <c r="F1455" s="52" t="n">
        <f aca="false">SUMIFS(Data_Penjualan!$G$2:$G$5998,Data_Penjualan!$A$2:$A$5998,A1455)</f>
        <v>3677800</v>
      </c>
      <c r="G1455" s="39" t="n">
        <f aca="false">IF(E1455="KANTOR",0,INDEX(Master_Customer!$C$2:$C$126,MATCH(C1455,Master_Customer!$A$2:$A$126,0)))</f>
        <v>30</v>
      </c>
      <c r="H1455" s="53" t="n">
        <f aca="false">B1455+G1455</f>
        <v>45994</v>
      </c>
      <c r="I1455" s="51" t="n">
        <v>45966</v>
      </c>
      <c r="J1455" s="39" t="str">
        <f aca="false">IF(G1455=0,"Tunai",IF(I1455="","Belum ditukar","Sudah ditukar"))</f>
        <v>Sudah ditukar</v>
      </c>
      <c r="K1455" s="54" t="n">
        <v>3677800</v>
      </c>
      <c r="L1455" s="51" t="n">
        <v>45993</v>
      </c>
      <c r="M1455" s="52" t="n">
        <f aca="false">F1455-K1455</f>
        <v>0</v>
      </c>
      <c r="N1455" s="39" t="str">
        <f aca="false">IF(M1455&lt;=0,"Lunas",IF(K1455&gt;0,"Sebagian","Belum Bayar"))</f>
        <v>Lunas</v>
      </c>
      <c r="O1455" s="39" t="n">
        <f aca="false">IF(M1455&gt;0,MAX(0,Catatan!$B$3-H1455),0)</f>
        <v>0</v>
      </c>
      <c r="P1455" s="39" t="str">
        <f aca="false">IF(M1455&lt;=0,"Lunas",IF(Catatan!$B$3&lt;=H1455,"Belum Jatuh Tempo",IF(O1455&lt;=30,"1-30 hari",IF(O1455&lt;=60,"31-60 hari",IF(O1455&lt;=90,"61-90 hari","90+ hari")))))</f>
        <v>Lunas</v>
      </c>
      <c r="Q1455" s="50"/>
      <c r="R1455" s="39" t="str">
        <f aca="false">IF(M1455&lt;=0,"",IF(O1455&gt;60,"1-Tinggi",IF(O1455&gt;30,"2-Sedang",IF(O1455&gt;0,"3-Rendah","4-Pantau"))))</f>
        <v/>
      </c>
      <c r="S1455" s="39" t="str">
        <f aca="false">IF(AND(M1455&gt;0,O1455&gt;0),O1455+M1455/1000000000000+ROW()/1000000000000000,"")</f>
        <v/>
      </c>
      <c r="T1455" s="39" t="str">
        <f aca="false">IF(J1455="Belum ditukar",ROW(),"")</f>
        <v/>
      </c>
    </row>
    <row r="1456" customFormat="false" ht="15" hidden="false" customHeight="false" outlineLevel="0" collapsed="false">
      <c r="A1456" s="50" t="s">
        <v>1744</v>
      </c>
      <c r="B1456" s="51" t="n">
        <v>45965</v>
      </c>
      <c r="C1456" s="50" t="s">
        <v>174</v>
      </c>
      <c r="D1456" s="39" t="str">
        <f aca="false">INDEX(Master_Customer!$B$2:$B$126,MATCH(C1456,Master_Customer!$A$2:$A$126,0))</f>
        <v>SUMBER TEKNIK SURYA</v>
      </c>
      <c r="E1456" s="50" t="s">
        <v>32</v>
      </c>
      <c r="F1456" s="52" t="n">
        <f aca="false">SUMIFS(Data_Penjualan!$G$2:$G$5998,Data_Penjualan!$A$2:$A$5998,A1456)</f>
        <v>25676100</v>
      </c>
      <c r="G1456" s="39" t="n">
        <f aca="false">IF(E1456="KANTOR",0,INDEX(Master_Customer!$C$2:$C$126,MATCH(C1456,Master_Customer!$A$2:$A$126,0)))</f>
        <v>0</v>
      </c>
      <c r="H1456" s="53" t="n">
        <f aca="false">B1456+G1456</f>
        <v>45965</v>
      </c>
      <c r="J1456" s="39" t="str">
        <f aca="false">IF(G1456=0,"Tunai",IF(I1456="","Belum ditukar","Sudah ditukar"))</f>
        <v>Tunai</v>
      </c>
      <c r="K1456" s="54" t="n">
        <v>25676100</v>
      </c>
      <c r="L1456" s="51" t="n">
        <v>45966</v>
      </c>
      <c r="M1456" s="52" t="n">
        <f aca="false">F1456-K1456</f>
        <v>0</v>
      </c>
      <c r="N1456" s="39" t="str">
        <f aca="false">IF(M1456&lt;=0,"Lunas",IF(K1456&gt;0,"Sebagian","Belum Bayar"))</f>
        <v>Lunas</v>
      </c>
      <c r="O1456" s="39" t="n">
        <f aca="false">IF(M1456&gt;0,MAX(0,Catatan!$B$3-H1456),0)</f>
        <v>0</v>
      </c>
      <c r="P1456" s="39" t="str">
        <f aca="false">IF(M1456&lt;=0,"Lunas",IF(Catatan!$B$3&lt;=H1456,"Belum Jatuh Tempo",IF(O1456&lt;=30,"1-30 hari",IF(O1456&lt;=60,"31-60 hari",IF(O1456&lt;=90,"61-90 hari","90+ hari")))))</f>
        <v>Lunas</v>
      </c>
      <c r="Q1456" s="50"/>
      <c r="R1456" s="39" t="str">
        <f aca="false">IF(M1456&lt;=0,"",IF(O1456&gt;60,"1-Tinggi",IF(O1456&gt;30,"2-Sedang",IF(O1456&gt;0,"3-Rendah","4-Pantau"))))</f>
        <v/>
      </c>
      <c r="S1456" s="39" t="str">
        <f aca="false">IF(AND(M1456&gt;0,O1456&gt;0),O1456+M1456/1000000000000+ROW()/1000000000000000,"")</f>
        <v/>
      </c>
      <c r="T1456" s="39" t="str">
        <f aca="false">IF(J1456="Belum ditukar",ROW(),"")</f>
        <v/>
      </c>
    </row>
    <row r="1457" customFormat="false" ht="15" hidden="false" customHeight="false" outlineLevel="0" collapsed="false">
      <c r="A1457" s="50" t="s">
        <v>1745</v>
      </c>
      <c r="B1457" s="51" t="n">
        <v>45965</v>
      </c>
      <c r="C1457" s="50" t="s">
        <v>228</v>
      </c>
      <c r="D1457" s="39" t="str">
        <f aca="false">INDEX(Master_Customer!$B$2:$B$126,MATCH(C1457,Master_Customer!$A$2:$A$126,0))</f>
        <v>MAKMUR SERVICE JAYA</v>
      </c>
      <c r="E1457" s="50" t="s">
        <v>29</v>
      </c>
      <c r="F1457" s="52" t="n">
        <f aca="false">SUMIFS(Data_Penjualan!$G$2:$G$5998,Data_Penjualan!$A$2:$A$5998,A1457)</f>
        <v>1858900</v>
      </c>
      <c r="G1457" s="39" t="n">
        <f aca="false">IF(E1457="KANTOR",0,INDEX(Master_Customer!$C$2:$C$126,MATCH(C1457,Master_Customer!$A$2:$A$126,0)))</f>
        <v>30</v>
      </c>
      <c r="H1457" s="53" t="n">
        <f aca="false">B1457+G1457</f>
        <v>45995</v>
      </c>
      <c r="I1457" s="51" t="n">
        <v>45969</v>
      </c>
      <c r="J1457" s="39" t="str">
        <f aca="false">IF(G1457=0,"Tunai",IF(I1457="","Belum ditukar","Sudah ditukar"))</f>
        <v>Sudah ditukar</v>
      </c>
      <c r="K1457" s="54" t="n">
        <v>0</v>
      </c>
      <c r="M1457" s="52" t="n">
        <f aca="false">F1457-K1457</f>
        <v>1858900</v>
      </c>
      <c r="N1457" s="39" t="str">
        <f aca="false">IF(M1457&lt;=0,"Lunas",IF(K1457&gt;0,"Sebagian","Belum Bayar"))</f>
        <v>Belum Bayar</v>
      </c>
      <c r="O1457" s="39" t="n">
        <f aca="false">IF(M1457&gt;0,MAX(0,Catatan!$B$3-H1457),0)</f>
        <v>27</v>
      </c>
      <c r="P1457" s="39" t="str">
        <f aca="false">IF(M1457&lt;=0,"Lunas",IF(Catatan!$B$3&lt;=H1457,"Belum Jatuh Tempo",IF(O1457&lt;=30,"1-30 hari",IF(O1457&lt;=60,"31-60 hari",IF(O1457&lt;=90,"61-90 hari","90+ hari")))))</f>
        <v>1-30 hari</v>
      </c>
      <c r="Q1457" s="50" t="s">
        <v>1705</v>
      </c>
      <c r="R1457" s="39" t="str">
        <f aca="false">IF(M1457&lt;=0,"",IF(O1457&gt;60,"1-Tinggi",IF(O1457&gt;30,"2-Sedang",IF(O1457&gt;0,"3-Rendah","4-Pantau"))))</f>
        <v>3-Rendah</v>
      </c>
      <c r="S1457" s="39" t="n">
        <f aca="false">IF(AND(M1457&gt;0,O1457&gt;0),O1457+M1457/1000000000000+ROW()/1000000000000000,"")</f>
        <v>27.0000018589015</v>
      </c>
      <c r="T1457" s="39" t="str">
        <f aca="false">IF(J1457="Belum ditukar",ROW(),"")</f>
        <v/>
      </c>
    </row>
    <row r="1458" customFormat="false" ht="15" hidden="false" customHeight="false" outlineLevel="0" collapsed="false">
      <c r="A1458" s="50" t="s">
        <v>1746</v>
      </c>
      <c r="B1458" s="51" t="n">
        <v>45965</v>
      </c>
      <c r="C1458" s="50" t="s">
        <v>205</v>
      </c>
      <c r="D1458" s="39" t="str">
        <f aca="false">INDEX(Master_Customer!$B$2:$B$126,MATCH(C1458,Master_Customer!$A$2:$A$126,0))</f>
        <v>BERKAH OLI</v>
      </c>
      <c r="E1458" s="50" t="s">
        <v>28</v>
      </c>
      <c r="F1458" s="52" t="n">
        <f aca="false">SUMIFS(Data_Penjualan!$G$2:$G$5998,Data_Penjualan!$A$2:$A$5998,A1458)</f>
        <v>9911900</v>
      </c>
      <c r="G1458" s="39" t="n">
        <f aca="false">IF(E1458="KANTOR",0,INDEX(Master_Customer!$C$2:$C$126,MATCH(C1458,Master_Customer!$A$2:$A$126,0)))</f>
        <v>0</v>
      </c>
      <c r="H1458" s="53" t="n">
        <f aca="false">B1458+G1458</f>
        <v>45965</v>
      </c>
      <c r="J1458" s="39" t="str">
        <f aca="false">IF(G1458=0,"Tunai",IF(I1458="","Belum ditukar","Sudah ditukar"))</f>
        <v>Tunai</v>
      </c>
      <c r="K1458" s="54" t="n">
        <v>9911900</v>
      </c>
      <c r="L1458" s="51" t="n">
        <v>45965</v>
      </c>
      <c r="M1458" s="52" t="n">
        <f aca="false">F1458-K1458</f>
        <v>0</v>
      </c>
      <c r="N1458" s="39" t="str">
        <f aca="false">IF(M1458&lt;=0,"Lunas",IF(K1458&gt;0,"Sebagian","Belum Bayar"))</f>
        <v>Lunas</v>
      </c>
      <c r="O1458" s="39" t="n">
        <f aca="false">IF(M1458&gt;0,MAX(0,Catatan!$B$3-H1458),0)</f>
        <v>0</v>
      </c>
      <c r="P1458" s="39" t="str">
        <f aca="false">IF(M1458&lt;=0,"Lunas",IF(Catatan!$B$3&lt;=H1458,"Belum Jatuh Tempo",IF(O1458&lt;=30,"1-30 hari",IF(O1458&lt;=60,"31-60 hari",IF(O1458&lt;=90,"61-90 hari","90+ hari")))))</f>
        <v>Lunas</v>
      </c>
      <c r="Q1458" s="50"/>
      <c r="R1458" s="39" t="str">
        <f aca="false">IF(M1458&lt;=0,"",IF(O1458&gt;60,"1-Tinggi",IF(O1458&gt;30,"2-Sedang",IF(O1458&gt;0,"3-Rendah","4-Pantau"))))</f>
        <v/>
      </c>
      <c r="S1458" s="39" t="str">
        <f aca="false">IF(AND(M1458&gt;0,O1458&gt;0),O1458+M1458/1000000000000+ROW()/1000000000000000,"")</f>
        <v/>
      </c>
      <c r="T1458" s="39" t="str">
        <f aca="false">IF(J1458="Belum ditukar",ROW(),"")</f>
        <v/>
      </c>
    </row>
    <row r="1459" customFormat="false" ht="15" hidden="false" customHeight="false" outlineLevel="0" collapsed="false">
      <c r="A1459" s="50" t="s">
        <v>1747</v>
      </c>
      <c r="B1459" s="51" t="n">
        <v>45965</v>
      </c>
      <c r="C1459" s="50" t="s">
        <v>382</v>
      </c>
      <c r="D1459" s="39" t="str">
        <f aca="false">INDEX(Master_Customer!$B$2:$B$126,MATCH(C1459,Master_Customer!$A$2:$A$126,0))</f>
        <v>BERKAH SPAREPART</v>
      </c>
      <c r="E1459" s="50" t="s">
        <v>29</v>
      </c>
      <c r="F1459" s="52" t="n">
        <f aca="false">SUMIFS(Data_Penjualan!$G$2:$G$5998,Data_Penjualan!$A$2:$A$5998,A1459)</f>
        <v>13000900</v>
      </c>
      <c r="G1459" s="39" t="n">
        <f aca="false">IF(E1459="KANTOR",0,INDEX(Master_Customer!$C$2:$C$126,MATCH(C1459,Master_Customer!$A$2:$A$126,0)))</f>
        <v>30</v>
      </c>
      <c r="H1459" s="53" t="n">
        <f aca="false">B1459+G1459</f>
        <v>45995</v>
      </c>
      <c r="I1459" s="51" t="n">
        <v>45966</v>
      </c>
      <c r="J1459" s="39" t="str">
        <f aca="false">IF(G1459=0,"Tunai",IF(I1459="","Belum ditukar","Sudah ditukar"))</f>
        <v>Sudah ditukar</v>
      </c>
      <c r="K1459" s="54" t="n">
        <v>6816100</v>
      </c>
      <c r="L1459" s="51" t="n">
        <v>46019</v>
      </c>
      <c r="M1459" s="52" t="n">
        <f aca="false">F1459-K1459</f>
        <v>6184800</v>
      </c>
      <c r="N1459" s="39" t="str">
        <f aca="false">IF(M1459&lt;=0,"Lunas",IF(K1459&gt;0,"Sebagian","Belum Bayar"))</f>
        <v>Sebagian</v>
      </c>
      <c r="O1459" s="39" t="n">
        <f aca="false">IF(M1459&gt;0,MAX(0,Catatan!$B$3-H1459),0)</f>
        <v>27</v>
      </c>
      <c r="P1459" s="39" t="str">
        <f aca="false">IF(M1459&lt;=0,"Lunas",IF(Catatan!$B$3&lt;=H1459,"Belum Jatuh Tempo",IF(O1459&lt;=30,"1-30 hari",IF(O1459&lt;=60,"31-60 hari",IF(O1459&lt;=90,"61-90 hari","90+ hari")))))</f>
        <v>1-30 hari</v>
      </c>
      <c r="Q1459" s="50" t="s">
        <v>1705</v>
      </c>
      <c r="R1459" s="39" t="str">
        <f aca="false">IF(M1459&lt;=0,"",IF(O1459&gt;60,"1-Tinggi",IF(O1459&gt;30,"2-Sedang",IF(O1459&gt;0,"3-Rendah","4-Pantau"))))</f>
        <v>3-Rendah</v>
      </c>
      <c r="S1459" s="39" t="n">
        <f aca="false">IF(AND(M1459&gt;0,O1459&gt;0),O1459+M1459/1000000000000+ROW()/1000000000000000,"")</f>
        <v>27.0000061848015</v>
      </c>
      <c r="T1459" s="39" t="str">
        <f aca="false">IF(J1459="Belum ditukar",ROW(),"")</f>
        <v/>
      </c>
    </row>
    <row r="1460" customFormat="false" ht="15" hidden="false" customHeight="false" outlineLevel="0" collapsed="false">
      <c r="A1460" s="50" t="s">
        <v>1748</v>
      </c>
      <c r="B1460" s="51" t="n">
        <v>45965</v>
      </c>
      <c r="C1460" s="50" t="s">
        <v>249</v>
      </c>
      <c r="D1460" s="39" t="str">
        <f aca="false">INDEX(Master_Customer!$B$2:$B$126,MATCH(C1460,Master_Customer!$A$2:$A$126,0))</f>
        <v>SENTOSA MOTOR</v>
      </c>
      <c r="E1460" s="50" t="s">
        <v>31</v>
      </c>
      <c r="F1460" s="52" t="n">
        <f aca="false">SUMIFS(Data_Penjualan!$G$2:$G$5998,Data_Penjualan!$A$2:$A$5998,A1460)</f>
        <v>7708900</v>
      </c>
      <c r="G1460" s="39" t="n">
        <f aca="false">IF(E1460="KANTOR",0,INDEX(Master_Customer!$C$2:$C$126,MATCH(C1460,Master_Customer!$A$2:$A$126,0)))</f>
        <v>45</v>
      </c>
      <c r="H1460" s="53" t="n">
        <f aca="false">B1460+G1460</f>
        <v>46010</v>
      </c>
      <c r="I1460" s="51" t="n">
        <v>45970</v>
      </c>
      <c r="J1460" s="39" t="str">
        <f aca="false">IF(G1460=0,"Tunai",IF(I1460="","Belum ditukar","Sudah ditukar"))</f>
        <v>Sudah ditukar</v>
      </c>
      <c r="K1460" s="54" t="n">
        <v>7708900</v>
      </c>
      <c r="L1460" s="51" t="n">
        <v>46010</v>
      </c>
      <c r="M1460" s="52" t="n">
        <f aca="false">F1460-K1460</f>
        <v>0</v>
      </c>
      <c r="N1460" s="39" t="str">
        <f aca="false">IF(M1460&lt;=0,"Lunas",IF(K1460&gt;0,"Sebagian","Belum Bayar"))</f>
        <v>Lunas</v>
      </c>
      <c r="O1460" s="39" t="n">
        <f aca="false">IF(M1460&gt;0,MAX(0,Catatan!$B$3-H1460),0)</f>
        <v>0</v>
      </c>
      <c r="P1460" s="39" t="str">
        <f aca="false">IF(M1460&lt;=0,"Lunas",IF(Catatan!$B$3&lt;=H1460,"Belum Jatuh Tempo",IF(O1460&lt;=30,"1-30 hari",IF(O1460&lt;=60,"31-60 hari",IF(O1460&lt;=90,"61-90 hari","90+ hari")))))</f>
        <v>Lunas</v>
      </c>
      <c r="Q1460" s="50"/>
      <c r="R1460" s="39" t="str">
        <f aca="false">IF(M1460&lt;=0,"",IF(O1460&gt;60,"1-Tinggi",IF(O1460&gt;30,"2-Sedang",IF(O1460&gt;0,"3-Rendah","4-Pantau"))))</f>
        <v/>
      </c>
      <c r="S1460" s="39" t="str">
        <f aca="false">IF(AND(M1460&gt;0,O1460&gt;0),O1460+M1460/1000000000000+ROW()/1000000000000000,"")</f>
        <v/>
      </c>
      <c r="T1460" s="39" t="str">
        <f aca="false">IF(J1460="Belum ditukar",ROW(),"")</f>
        <v/>
      </c>
    </row>
    <row r="1461" customFormat="false" ht="15" hidden="false" customHeight="false" outlineLevel="0" collapsed="false">
      <c r="A1461" s="50" t="s">
        <v>1749</v>
      </c>
      <c r="B1461" s="51" t="n">
        <v>45965</v>
      </c>
      <c r="C1461" s="50" t="s">
        <v>205</v>
      </c>
      <c r="D1461" s="39" t="str">
        <f aca="false">INDEX(Master_Customer!$B$2:$B$126,MATCH(C1461,Master_Customer!$A$2:$A$126,0))</f>
        <v>BERKAH OLI</v>
      </c>
      <c r="E1461" s="50" t="s">
        <v>32</v>
      </c>
      <c r="F1461" s="52" t="n">
        <f aca="false">SUMIFS(Data_Penjualan!$G$2:$G$5998,Data_Penjualan!$A$2:$A$5998,A1461)</f>
        <v>11892900</v>
      </c>
      <c r="G1461" s="39" t="n">
        <f aca="false">IF(E1461="KANTOR",0,INDEX(Master_Customer!$C$2:$C$126,MATCH(C1461,Master_Customer!$A$2:$A$126,0)))</f>
        <v>0</v>
      </c>
      <c r="H1461" s="53" t="n">
        <f aca="false">B1461+G1461</f>
        <v>45965</v>
      </c>
      <c r="J1461" s="39" t="str">
        <f aca="false">IF(G1461=0,"Tunai",IF(I1461="","Belum ditukar","Sudah ditukar"))</f>
        <v>Tunai</v>
      </c>
      <c r="K1461" s="54" t="n">
        <v>11892900</v>
      </c>
      <c r="L1461" s="51" t="n">
        <v>45965</v>
      </c>
      <c r="M1461" s="52" t="n">
        <f aca="false">F1461-K1461</f>
        <v>0</v>
      </c>
      <c r="N1461" s="39" t="str">
        <f aca="false">IF(M1461&lt;=0,"Lunas",IF(K1461&gt;0,"Sebagian","Belum Bayar"))</f>
        <v>Lunas</v>
      </c>
      <c r="O1461" s="39" t="n">
        <f aca="false">IF(M1461&gt;0,MAX(0,Catatan!$B$3-H1461),0)</f>
        <v>0</v>
      </c>
      <c r="P1461" s="39" t="str">
        <f aca="false">IF(M1461&lt;=0,"Lunas",IF(Catatan!$B$3&lt;=H1461,"Belum Jatuh Tempo",IF(O1461&lt;=30,"1-30 hari",IF(O1461&lt;=60,"31-60 hari",IF(O1461&lt;=90,"61-90 hari","90+ hari")))))</f>
        <v>Lunas</v>
      </c>
      <c r="Q1461" s="50"/>
      <c r="R1461" s="39" t="str">
        <f aca="false">IF(M1461&lt;=0,"",IF(O1461&gt;60,"1-Tinggi",IF(O1461&gt;30,"2-Sedang",IF(O1461&gt;0,"3-Rendah","4-Pantau"))))</f>
        <v/>
      </c>
      <c r="S1461" s="39" t="str">
        <f aca="false">IF(AND(M1461&gt;0,O1461&gt;0),O1461+M1461/1000000000000+ROW()/1000000000000000,"")</f>
        <v/>
      </c>
      <c r="T1461" s="39" t="str">
        <f aca="false">IF(J1461="Belum ditukar",ROW(),"")</f>
        <v/>
      </c>
    </row>
    <row r="1462" customFormat="false" ht="15" hidden="false" customHeight="false" outlineLevel="0" collapsed="false">
      <c r="A1462" s="50" t="s">
        <v>1750</v>
      </c>
      <c r="B1462" s="51" t="n">
        <v>45965</v>
      </c>
      <c r="C1462" s="50" t="s">
        <v>289</v>
      </c>
      <c r="D1462" s="39" t="str">
        <f aca="false">INDEX(Master_Customer!$B$2:$B$126,MATCH(C1462,Master_Customer!$A$2:$A$126,0))</f>
        <v>SINAR GARAGE</v>
      </c>
      <c r="E1462" s="50" t="s">
        <v>28</v>
      </c>
      <c r="F1462" s="52" t="n">
        <f aca="false">SUMIFS(Data_Penjualan!$G$2:$G$5998,Data_Penjualan!$A$2:$A$5998,A1462)</f>
        <v>9420600</v>
      </c>
      <c r="G1462" s="39" t="n">
        <f aca="false">IF(E1462="KANTOR",0,INDEX(Master_Customer!$C$2:$C$126,MATCH(C1462,Master_Customer!$A$2:$A$126,0)))</f>
        <v>30</v>
      </c>
      <c r="H1462" s="53" t="n">
        <f aca="false">B1462+G1462</f>
        <v>45995</v>
      </c>
      <c r="I1462" s="51" t="n">
        <v>45969</v>
      </c>
      <c r="J1462" s="39" t="str">
        <f aca="false">IF(G1462=0,"Tunai",IF(I1462="","Belum ditukar","Sudah ditukar"))</f>
        <v>Sudah ditukar</v>
      </c>
      <c r="K1462" s="54" t="n">
        <v>9420600</v>
      </c>
      <c r="L1462" s="51" t="n">
        <v>45994</v>
      </c>
      <c r="M1462" s="52" t="n">
        <f aca="false">F1462-K1462</f>
        <v>0</v>
      </c>
      <c r="N1462" s="39" t="str">
        <f aca="false">IF(M1462&lt;=0,"Lunas",IF(K1462&gt;0,"Sebagian","Belum Bayar"))</f>
        <v>Lunas</v>
      </c>
      <c r="O1462" s="39" t="n">
        <f aca="false">IF(M1462&gt;0,MAX(0,Catatan!$B$3-H1462),0)</f>
        <v>0</v>
      </c>
      <c r="P1462" s="39" t="str">
        <f aca="false">IF(M1462&lt;=0,"Lunas",IF(Catatan!$B$3&lt;=H1462,"Belum Jatuh Tempo",IF(O1462&lt;=30,"1-30 hari",IF(O1462&lt;=60,"31-60 hari",IF(O1462&lt;=90,"61-90 hari","90+ hari")))))</f>
        <v>Lunas</v>
      </c>
      <c r="Q1462" s="50"/>
      <c r="R1462" s="39" t="str">
        <f aca="false">IF(M1462&lt;=0,"",IF(O1462&gt;60,"1-Tinggi",IF(O1462&gt;30,"2-Sedang",IF(O1462&gt;0,"3-Rendah","4-Pantau"))))</f>
        <v/>
      </c>
      <c r="S1462" s="39" t="str">
        <f aca="false">IF(AND(M1462&gt;0,O1462&gt;0),O1462+M1462/1000000000000+ROW()/1000000000000000,"")</f>
        <v/>
      </c>
      <c r="T1462" s="39" t="str">
        <f aca="false">IF(J1462="Belum ditukar",ROW(),"")</f>
        <v/>
      </c>
    </row>
    <row r="1463" customFormat="false" ht="15" hidden="false" customHeight="false" outlineLevel="0" collapsed="false">
      <c r="A1463" s="50" t="s">
        <v>1751</v>
      </c>
      <c r="B1463" s="51" t="n">
        <v>45965</v>
      </c>
      <c r="C1463" s="50" t="s">
        <v>308</v>
      </c>
      <c r="D1463" s="39" t="str">
        <f aca="false">INDEX(Master_Customer!$B$2:$B$126,MATCH(C1463,Master_Customer!$A$2:$A$126,0))</f>
        <v>CAHAYA MOBIL</v>
      </c>
      <c r="E1463" s="50" t="s">
        <v>31</v>
      </c>
      <c r="F1463" s="52" t="n">
        <f aca="false">SUMIFS(Data_Penjualan!$G$2:$G$5998,Data_Penjualan!$A$2:$A$5998,A1463)</f>
        <v>8999400</v>
      </c>
      <c r="G1463" s="39" t="n">
        <f aca="false">IF(E1463="KANTOR",0,INDEX(Master_Customer!$C$2:$C$126,MATCH(C1463,Master_Customer!$A$2:$A$126,0)))</f>
        <v>14</v>
      </c>
      <c r="H1463" s="53" t="n">
        <f aca="false">B1463+G1463</f>
        <v>45979</v>
      </c>
      <c r="I1463" s="51" t="n">
        <v>45966</v>
      </c>
      <c r="J1463" s="39" t="str">
        <f aca="false">IF(G1463=0,"Tunai",IF(I1463="","Belum ditukar","Sudah ditukar"))</f>
        <v>Sudah ditukar</v>
      </c>
      <c r="K1463" s="54" t="n">
        <v>8999400</v>
      </c>
      <c r="L1463" s="51" t="n">
        <v>45975</v>
      </c>
      <c r="M1463" s="52" t="n">
        <f aca="false">F1463-K1463</f>
        <v>0</v>
      </c>
      <c r="N1463" s="39" t="str">
        <f aca="false">IF(M1463&lt;=0,"Lunas",IF(K1463&gt;0,"Sebagian","Belum Bayar"))</f>
        <v>Lunas</v>
      </c>
      <c r="O1463" s="39" t="n">
        <f aca="false">IF(M1463&gt;0,MAX(0,Catatan!$B$3-H1463),0)</f>
        <v>0</v>
      </c>
      <c r="P1463" s="39" t="str">
        <f aca="false">IF(M1463&lt;=0,"Lunas",IF(Catatan!$B$3&lt;=H1463,"Belum Jatuh Tempo",IF(O1463&lt;=30,"1-30 hari",IF(O1463&lt;=60,"31-60 hari",IF(O1463&lt;=90,"61-90 hari","90+ hari")))))</f>
        <v>Lunas</v>
      </c>
      <c r="Q1463" s="50"/>
      <c r="R1463" s="39" t="str">
        <f aca="false">IF(M1463&lt;=0,"",IF(O1463&gt;60,"1-Tinggi",IF(O1463&gt;30,"2-Sedang",IF(O1463&gt;0,"3-Rendah","4-Pantau"))))</f>
        <v/>
      </c>
      <c r="S1463" s="39" t="str">
        <f aca="false">IF(AND(M1463&gt;0,O1463&gt;0),O1463+M1463/1000000000000+ROW()/1000000000000000,"")</f>
        <v/>
      </c>
      <c r="T1463" s="39" t="str">
        <f aca="false">IF(J1463="Belum ditukar",ROW(),"")</f>
        <v/>
      </c>
    </row>
    <row r="1464" customFormat="false" ht="15" hidden="false" customHeight="false" outlineLevel="0" collapsed="false">
      <c r="A1464" s="50" t="s">
        <v>1752</v>
      </c>
      <c r="B1464" s="51" t="n">
        <v>45965</v>
      </c>
      <c r="C1464" s="50" t="s">
        <v>298</v>
      </c>
      <c r="D1464" s="39" t="str">
        <f aca="false">INDEX(Master_Customer!$B$2:$B$126,MATCH(C1464,Master_Customer!$A$2:$A$126,0))</f>
        <v>BERKAH MOBIL MAKMUR</v>
      </c>
      <c r="E1464" s="50" t="s">
        <v>31</v>
      </c>
      <c r="F1464" s="52" t="n">
        <f aca="false">SUMIFS(Data_Penjualan!$G$2:$G$5998,Data_Penjualan!$A$2:$A$5998,A1464)</f>
        <v>5462600</v>
      </c>
      <c r="G1464" s="39" t="n">
        <f aca="false">IF(E1464="KANTOR",0,INDEX(Master_Customer!$C$2:$C$126,MATCH(C1464,Master_Customer!$A$2:$A$126,0)))</f>
        <v>14</v>
      </c>
      <c r="H1464" s="53" t="n">
        <f aca="false">B1464+G1464</f>
        <v>45979</v>
      </c>
      <c r="I1464" s="51" t="n">
        <v>45967</v>
      </c>
      <c r="J1464" s="39" t="str">
        <f aca="false">IF(G1464=0,"Tunai",IF(I1464="","Belum ditukar","Sudah ditukar"))</f>
        <v>Sudah ditukar</v>
      </c>
      <c r="K1464" s="54" t="n">
        <v>5462600</v>
      </c>
      <c r="L1464" s="51" t="n">
        <v>46013</v>
      </c>
      <c r="M1464" s="52" t="n">
        <f aca="false">F1464-K1464</f>
        <v>0</v>
      </c>
      <c r="N1464" s="39" t="str">
        <f aca="false">IF(M1464&lt;=0,"Lunas",IF(K1464&gt;0,"Sebagian","Belum Bayar"))</f>
        <v>Lunas</v>
      </c>
      <c r="O1464" s="39" t="n">
        <f aca="false">IF(M1464&gt;0,MAX(0,Catatan!$B$3-H1464),0)</f>
        <v>0</v>
      </c>
      <c r="P1464" s="39" t="str">
        <f aca="false">IF(M1464&lt;=0,"Lunas",IF(Catatan!$B$3&lt;=H1464,"Belum Jatuh Tempo",IF(O1464&lt;=30,"1-30 hari",IF(O1464&lt;=60,"31-60 hari",IF(O1464&lt;=90,"61-90 hari","90+ hari")))))</f>
        <v>Lunas</v>
      </c>
      <c r="Q1464" s="50"/>
      <c r="R1464" s="39" t="str">
        <f aca="false">IF(M1464&lt;=0,"",IF(O1464&gt;60,"1-Tinggi",IF(O1464&gt;30,"2-Sedang",IF(O1464&gt;0,"3-Rendah","4-Pantau"))))</f>
        <v/>
      </c>
      <c r="S1464" s="39" t="str">
        <f aca="false">IF(AND(M1464&gt;0,O1464&gt;0),O1464+M1464/1000000000000+ROW()/1000000000000000,"")</f>
        <v/>
      </c>
      <c r="T1464" s="39" t="str">
        <f aca="false">IF(J1464="Belum ditukar",ROW(),"")</f>
        <v/>
      </c>
    </row>
    <row r="1465" customFormat="false" ht="15" hidden="false" customHeight="false" outlineLevel="0" collapsed="false">
      <c r="A1465" s="50" t="s">
        <v>1753</v>
      </c>
      <c r="B1465" s="51" t="n">
        <v>45965</v>
      </c>
      <c r="C1465" s="50" t="s">
        <v>228</v>
      </c>
      <c r="D1465" s="39" t="str">
        <f aca="false">INDEX(Master_Customer!$B$2:$B$126,MATCH(C1465,Master_Customer!$A$2:$A$126,0))</f>
        <v>MAKMUR SERVICE JAYA</v>
      </c>
      <c r="E1465" s="50" t="s">
        <v>29</v>
      </c>
      <c r="F1465" s="52" t="n">
        <f aca="false">SUMIFS(Data_Penjualan!$G$2:$G$5998,Data_Penjualan!$A$2:$A$5998,A1465)</f>
        <v>3903800</v>
      </c>
      <c r="G1465" s="39" t="n">
        <f aca="false">IF(E1465="KANTOR",0,INDEX(Master_Customer!$C$2:$C$126,MATCH(C1465,Master_Customer!$A$2:$A$126,0)))</f>
        <v>30</v>
      </c>
      <c r="H1465" s="53" t="n">
        <f aca="false">B1465+G1465</f>
        <v>45995</v>
      </c>
      <c r="I1465" s="51" t="n">
        <v>45970</v>
      </c>
      <c r="J1465" s="39" t="str">
        <f aca="false">IF(G1465=0,"Tunai",IF(I1465="","Belum ditukar","Sudah ditukar"))</f>
        <v>Sudah ditukar</v>
      </c>
      <c r="K1465" s="54" t="n">
        <v>3903800</v>
      </c>
      <c r="L1465" s="51" t="n">
        <v>46013</v>
      </c>
      <c r="M1465" s="52" t="n">
        <f aca="false">F1465-K1465</f>
        <v>0</v>
      </c>
      <c r="N1465" s="39" t="str">
        <f aca="false">IF(M1465&lt;=0,"Lunas",IF(K1465&gt;0,"Sebagian","Belum Bayar"))</f>
        <v>Lunas</v>
      </c>
      <c r="O1465" s="39" t="n">
        <f aca="false">IF(M1465&gt;0,MAX(0,Catatan!$B$3-H1465),0)</f>
        <v>0</v>
      </c>
      <c r="P1465" s="39" t="str">
        <f aca="false">IF(M1465&lt;=0,"Lunas",IF(Catatan!$B$3&lt;=H1465,"Belum Jatuh Tempo",IF(O1465&lt;=30,"1-30 hari",IF(O1465&lt;=60,"31-60 hari",IF(O1465&lt;=90,"61-90 hari","90+ hari")))))</f>
        <v>Lunas</v>
      </c>
      <c r="Q1465" s="50"/>
      <c r="R1465" s="39" t="str">
        <f aca="false">IF(M1465&lt;=0,"",IF(O1465&gt;60,"1-Tinggi",IF(O1465&gt;30,"2-Sedang",IF(O1465&gt;0,"3-Rendah","4-Pantau"))))</f>
        <v/>
      </c>
      <c r="S1465" s="39" t="str">
        <f aca="false">IF(AND(M1465&gt;0,O1465&gt;0),O1465+M1465/1000000000000+ROW()/1000000000000000,"")</f>
        <v/>
      </c>
      <c r="T1465" s="39" t="str">
        <f aca="false">IF(J1465="Belum ditukar",ROW(),"")</f>
        <v/>
      </c>
    </row>
    <row r="1466" customFormat="false" ht="15" hidden="false" customHeight="false" outlineLevel="0" collapsed="false">
      <c r="A1466" s="50" t="s">
        <v>1754</v>
      </c>
      <c r="B1466" s="51" t="n">
        <v>45965</v>
      </c>
      <c r="C1466" s="50" t="s">
        <v>234</v>
      </c>
      <c r="D1466" s="39" t="str">
        <f aca="false">INDEX(Master_Customer!$B$2:$B$126,MATCH(C1466,Master_Customer!$A$2:$A$126,0))</f>
        <v>CAHAYA OLI</v>
      </c>
      <c r="E1466" s="50" t="s">
        <v>28</v>
      </c>
      <c r="F1466" s="52" t="n">
        <f aca="false">SUMIFS(Data_Penjualan!$G$2:$G$5998,Data_Penjualan!$A$2:$A$5998,A1466)</f>
        <v>10301100</v>
      </c>
      <c r="G1466" s="39" t="n">
        <f aca="false">IF(E1466="KANTOR",0,INDEX(Master_Customer!$C$2:$C$126,MATCH(C1466,Master_Customer!$A$2:$A$126,0)))</f>
        <v>30</v>
      </c>
      <c r="H1466" s="53" t="n">
        <f aca="false">B1466+G1466</f>
        <v>45995</v>
      </c>
      <c r="I1466" s="51" t="n">
        <v>45970</v>
      </c>
      <c r="J1466" s="39" t="str">
        <f aca="false">IF(G1466=0,"Tunai",IF(I1466="","Belum ditukar","Sudah ditukar"))</f>
        <v>Sudah ditukar</v>
      </c>
      <c r="K1466" s="54" t="n">
        <v>10301100</v>
      </c>
      <c r="L1466" s="51" t="n">
        <v>46001</v>
      </c>
      <c r="M1466" s="52" t="n">
        <f aca="false">F1466-K1466</f>
        <v>0</v>
      </c>
      <c r="N1466" s="39" t="str">
        <f aca="false">IF(M1466&lt;=0,"Lunas",IF(K1466&gt;0,"Sebagian","Belum Bayar"))</f>
        <v>Lunas</v>
      </c>
      <c r="O1466" s="39" t="n">
        <f aca="false">IF(M1466&gt;0,MAX(0,Catatan!$B$3-H1466),0)</f>
        <v>0</v>
      </c>
      <c r="P1466" s="39" t="str">
        <f aca="false">IF(M1466&lt;=0,"Lunas",IF(Catatan!$B$3&lt;=H1466,"Belum Jatuh Tempo",IF(O1466&lt;=30,"1-30 hari",IF(O1466&lt;=60,"31-60 hari",IF(O1466&lt;=90,"61-90 hari","90+ hari")))))</f>
        <v>Lunas</v>
      </c>
      <c r="Q1466" s="50"/>
      <c r="R1466" s="39" t="str">
        <f aca="false">IF(M1466&lt;=0,"",IF(O1466&gt;60,"1-Tinggi",IF(O1466&gt;30,"2-Sedang",IF(O1466&gt;0,"3-Rendah","4-Pantau"))))</f>
        <v/>
      </c>
      <c r="S1466" s="39" t="str">
        <f aca="false">IF(AND(M1466&gt;0,O1466&gt;0),O1466+M1466/1000000000000+ROW()/1000000000000000,"")</f>
        <v/>
      </c>
      <c r="T1466" s="39" t="str">
        <f aca="false">IF(J1466="Belum ditukar",ROW(),"")</f>
        <v/>
      </c>
    </row>
    <row r="1467" customFormat="false" ht="15" hidden="false" customHeight="false" outlineLevel="0" collapsed="false">
      <c r="A1467" s="50" t="s">
        <v>1755</v>
      </c>
      <c r="B1467" s="51" t="n">
        <v>45965</v>
      </c>
      <c r="C1467" s="50" t="s">
        <v>640</v>
      </c>
      <c r="D1467" s="39" t="str">
        <f aca="false">INDEX(Master_Customer!$B$2:$B$126,MATCH(C1467,Master_Customer!$A$2:$A$126,0))</f>
        <v>MULIA AUTO</v>
      </c>
      <c r="E1467" s="50" t="s">
        <v>30</v>
      </c>
      <c r="F1467" s="52" t="n">
        <f aca="false">SUMIFS(Data_Penjualan!$G$2:$G$5998,Data_Penjualan!$A$2:$A$5998,A1467)</f>
        <v>17944200</v>
      </c>
      <c r="G1467" s="39" t="n">
        <f aca="false">IF(E1467="KANTOR",0,INDEX(Master_Customer!$C$2:$C$126,MATCH(C1467,Master_Customer!$A$2:$A$126,0)))</f>
        <v>30</v>
      </c>
      <c r="H1467" s="53" t="n">
        <f aca="false">B1467+G1467</f>
        <v>45995</v>
      </c>
      <c r="I1467" s="51" t="n">
        <v>45969</v>
      </c>
      <c r="J1467" s="39" t="str">
        <f aca="false">IF(G1467=0,"Tunai",IF(I1467="","Belum ditukar","Sudah ditukar"))</f>
        <v>Sudah ditukar</v>
      </c>
      <c r="K1467" s="54" t="n">
        <v>17944200</v>
      </c>
      <c r="L1467" s="51" t="n">
        <v>45989</v>
      </c>
      <c r="M1467" s="52" t="n">
        <f aca="false">F1467-K1467</f>
        <v>0</v>
      </c>
      <c r="N1467" s="39" t="str">
        <f aca="false">IF(M1467&lt;=0,"Lunas",IF(K1467&gt;0,"Sebagian","Belum Bayar"))</f>
        <v>Lunas</v>
      </c>
      <c r="O1467" s="39" t="n">
        <f aca="false">IF(M1467&gt;0,MAX(0,Catatan!$B$3-H1467),0)</f>
        <v>0</v>
      </c>
      <c r="P1467" s="39" t="str">
        <f aca="false">IF(M1467&lt;=0,"Lunas",IF(Catatan!$B$3&lt;=H1467,"Belum Jatuh Tempo",IF(O1467&lt;=30,"1-30 hari",IF(O1467&lt;=60,"31-60 hari",IF(O1467&lt;=90,"61-90 hari","90+ hari")))))</f>
        <v>Lunas</v>
      </c>
      <c r="Q1467" s="50"/>
      <c r="R1467" s="39" t="str">
        <f aca="false">IF(M1467&lt;=0,"",IF(O1467&gt;60,"1-Tinggi",IF(O1467&gt;30,"2-Sedang",IF(O1467&gt;0,"3-Rendah","4-Pantau"))))</f>
        <v/>
      </c>
      <c r="S1467" s="39" t="str">
        <f aca="false">IF(AND(M1467&gt;0,O1467&gt;0),O1467+M1467/1000000000000+ROW()/1000000000000000,"")</f>
        <v/>
      </c>
      <c r="T1467" s="39" t="str">
        <f aca="false">IF(J1467="Belum ditukar",ROW(),"")</f>
        <v/>
      </c>
    </row>
    <row r="1468" customFormat="false" ht="15" hidden="false" customHeight="false" outlineLevel="0" collapsed="false">
      <c r="A1468" s="50" t="s">
        <v>1756</v>
      </c>
      <c r="B1468" s="51" t="n">
        <v>45966</v>
      </c>
      <c r="C1468" s="50" t="s">
        <v>205</v>
      </c>
      <c r="D1468" s="39" t="str">
        <f aca="false">INDEX(Master_Customer!$B$2:$B$126,MATCH(C1468,Master_Customer!$A$2:$A$126,0))</f>
        <v>BERKAH OLI</v>
      </c>
      <c r="E1468" s="50" t="s">
        <v>28</v>
      </c>
      <c r="F1468" s="52" t="n">
        <f aca="false">SUMIFS(Data_Penjualan!$G$2:$G$5998,Data_Penjualan!$A$2:$A$5998,A1468)</f>
        <v>7544200</v>
      </c>
      <c r="G1468" s="39" t="n">
        <f aca="false">IF(E1468="KANTOR",0,INDEX(Master_Customer!$C$2:$C$126,MATCH(C1468,Master_Customer!$A$2:$A$126,0)))</f>
        <v>0</v>
      </c>
      <c r="H1468" s="53" t="n">
        <f aca="false">B1468+G1468</f>
        <v>45966</v>
      </c>
      <c r="J1468" s="39" t="str">
        <f aca="false">IF(G1468=0,"Tunai",IF(I1468="","Belum ditukar","Sudah ditukar"))</f>
        <v>Tunai</v>
      </c>
      <c r="K1468" s="54" t="n">
        <v>7544200</v>
      </c>
      <c r="L1468" s="51" t="n">
        <v>45966</v>
      </c>
      <c r="M1468" s="52" t="n">
        <f aca="false">F1468-K1468</f>
        <v>0</v>
      </c>
      <c r="N1468" s="39" t="str">
        <f aca="false">IF(M1468&lt;=0,"Lunas",IF(K1468&gt;0,"Sebagian","Belum Bayar"))</f>
        <v>Lunas</v>
      </c>
      <c r="O1468" s="39" t="n">
        <f aca="false">IF(M1468&gt;0,MAX(0,Catatan!$B$3-H1468),0)</f>
        <v>0</v>
      </c>
      <c r="P1468" s="39" t="str">
        <f aca="false">IF(M1468&lt;=0,"Lunas",IF(Catatan!$B$3&lt;=H1468,"Belum Jatuh Tempo",IF(O1468&lt;=30,"1-30 hari",IF(O1468&lt;=60,"31-60 hari",IF(O1468&lt;=90,"61-90 hari","90+ hari")))))</f>
        <v>Lunas</v>
      </c>
      <c r="Q1468" s="50"/>
      <c r="R1468" s="39" t="str">
        <f aca="false">IF(M1468&lt;=0,"",IF(O1468&gt;60,"1-Tinggi",IF(O1468&gt;30,"2-Sedang",IF(O1468&gt;0,"3-Rendah","4-Pantau"))))</f>
        <v/>
      </c>
      <c r="S1468" s="39" t="str">
        <f aca="false">IF(AND(M1468&gt;0,O1468&gt;0),O1468+M1468/1000000000000+ROW()/1000000000000000,"")</f>
        <v/>
      </c>
      <c r="T1468" s="39" t="str">
        <f aca="false">IF(J1468="Belum ditukar",ROW(),"")</f>
        <v/>
      </c>
    </row>
    <row r="1469" customFormat="false" ht="15" hidden="false" customHeight="false" outlineLevel="0" collapsed="false">
      <c r="A1469" s="50" t="s">
        <v>1757</v>
      </c>
      <c r="B1469" s="51" t="n">
        <v>45966</v>
      </c>
      <c r="C1469" s="50" t="s">
        <v>199</v>
      </c>
      <c r="D1469" s="39" t="str">
        <f aca="false">INDEX(Master_Customer!$B$2:$B$126,MATCH(C1469,Master_Customer!$A$2:$A$126,0))</f>
        <v>KARYA SPAREPART</v>
      </c>
      <c r="E1469" s="50" t="s">
        <v>29</v>
      </c>
      <c r="F1469" s="52" t="n">
        <f aca="false">SUMIFS(Data_Penjualan!$G$2:$G$5998,Data_Penjualan!$A$2:$A$5998,A1469)</f>
        <v>5786800</v>
      </c>
      <c r="G1469" s="39" t="n">
        <f aca="false">IF(E1469="KANTOR",0,INDEX(Master_Customer!$C$2:$C$126,MATCH(C1469,Master_Customer!$A$2:$A$126,0)))</f>
        <v>45</v>
      </c>
      <c r="H1469" s="53" t="n">
        <f aca="false">B1469+G1469</f>
        <v>46011</v>
      </c>
      <c r="I1469" s="51" t="n">
        <v>45968</v>
      </c>
      <c r="J1469" s="39" t="str">
        <f aca="false">IF(G1469=0,"Tunai",IF(I1469="","Belum ditukar","Sudah ditukar"))</f>
        <v>Sudah ditukar</v>
      </c>
      <c r="K1469" s="54" t="n">
        <v>5786800</v>
      </c>
      <c r="L1469" s="51" t="n">
        <v>46010</v>
      </c>
      <c r="M1469" s="52" t="n">
        <f aca="false">F1469-K1469</f>
        <v>0</v>
      </c>
      <c r="N1469" s="39" t="str">
        <f aca="false">IF(M1469&lt;=0,"Lunas",IF(K1469&gt;0,"Sebagian","Belum Bayar"))</f>
        <v>Lunas</v>
      </c>
      <c r="O1469" s="39" t="n">
        <f aca="false">IF(M1469&gt;0,MAX(0,Catatan!$B$3-H1469),0)</f>
        <v>0</v>
      </c>
      <c r="P1469" s="39" t="str">
        <f aca="false">IF(M1469&lt;=0,"Lunas",IF(Catatan!$B$3&lt;=H1469,"Belum Jatuh Tempo",IF(O1469&lt;=30,"1-30 hari",IF(O1469&lt;=60,"31-60 hari",IF(O1469&lt;=90,"61-90 hari","90+ hari")))))</f>
        <v>Lunas</v>
      </c>
      <c r="Q1469" s="50"/>
      <c r="R1469" s="39" t="str">
        <f aca="false">IF(M1469&lt;=0,"",IF(O1469&gt;60,"1-Tinggi",IF(O1469&gt;30,"2-Sedang",IF(O1469&gt;0,"3-Rendah","4-Pantau"))))</f>
        <v/>
      </c>
      <c r="S1469" s="39" t="str">
        <f aca="false">IF(AND(M1469&gt;0,O1469&gt;0),O1469+M1469/1000000000000+ROW()/1000000000000000,"")</f>
        <v/>
      </c>
      <c r="T1469" s="39" t="str">
        <f aca="false">IF(J1469="Belum ditukar",ROW(),"")</f>
        <v/>
      </c>
    </row>
    <row r="1470" customFormat="false" ht="15" hidden="false" customHeight="false" outlineLevel="0" collapsed="false">
      <c r="A1470" s="50" t="s">
        <v>1758</v>
      </c>
      <c r="B1470" s="51" t="n">
        <v>45966</v>
      </c>
      <c r="C1470" s="50" t="s">
        <v>491</v>
      </c>
      <c r="D1470" s="39" t="str">
        <f aca="false">INDEX(Master_Customer!$B$2:$B$126,MATCH(C1470,Master_Customer!$A$2:$A$126,0))</f>
        <v>SINAR SERVICE</v>
      </c>
      <c r="E1470" s="50" t="s">
        <v>31</v>
      </c>
      <c r="F1470" s="52" t="n">
        <f aca="false">SUMIFS(Data_Penjualan!$G$2:$G$5998,Data_Penjualan!$A$2:$A$5998,A1470)</f>
        <v>18556800</v>
      </c>
      <c r="G1470" s="39" t="n">
        <f aca="false">IF(E1470="KANTOR",0,INDEX(Master_Customer!$C$2:$C$126,MATCH(C1470,Master_Customer!$A$2:$A$126,0)))</f>
        <v>0</v>
      </c>
      <c r="H1470" s="53" t="n">
        <f aca="false">B1470+G1470</f>
        <v>45966</v>
      </c>
      <c r="J1470" s="39" t="str">
        <f aca="false">IF(G1470=0,"Tunai",IF(I1470="","Belum ditukar","Sudah ditukar"))</f>
        <v>Tunai</v>
      </c>
      <c r="K1470" s="54" t="n">
        <v>18556800</v>
      </c>
      <c r="L1470" s="51" t="n">
        <v>45966</v>
      </c>
      <c r="M1470" s="52" t="n">
        <f aca="false">F1470-K1470</f>
        <v>0</v>
      </c>
      <c r="N1470" s="39" t="str">
        <f aca="false">IF(M1470&lt;=0,"Lunas",IF(K1470&gt;0,"Sebagian","Belum Bayar"))</f>
        <v>Lunas</v>
      </c>
      <c r="O1470" s="39" t="n">
        <f aca="false">IF(M1470&gt;0,MAX(0,Catatan!$B$3-H1470),0)</f>
        <v>0</v>
      </c>
      <c r="P1470" s="39" t="str">
        <f aca="false">IF(M1470&lt;=0,"Lunas",IF(Catatan!$B$3&lt;=H1470,"Belum Jatuh Tempo",IF(O1470&lt;=30,"1-30 hari",IF(O1470&lt;=60,"31-60 hari",IF(O1470&lt;=90,"61-90 hari","90+ hari")))))</f>
        <v>Lunas</v>
      </c>
      <c r="Q1470" s="50"/>
      <c r="R1470" s="39" t="str">
        <f aca="false">IF(M1470&lt;=0,"",IF(O1470&gt;60,"1-Tinggi",IF(O1470&gt;30,"2-Sedang",IF(O1470&gt;0,"3-Rendah","4-Pantau"))))</f>
        <v/>
      </c>
      <c r="S1470" s="39" t="str">
        <f aca="false">IF(AND(M1470&gt;0,O1470&gt;0),O1470+M1470/1000000000000+ROW()/1000000000000000,"")</f>
        <v/>
      </c>
      <c r="T1470" s="39" t="str">
        <f aca="false">IF(J1470="Belum ditukar",ROW(),"")</f>
        <v/>
      </c>
    </row>
    <row r="1471" customFormat="false" ht="15" hidden="false" customHeight="false" outlineLevel="0" collapsed="false">
      <c r="A1471" s="50" t="s">
        <v>1759</v>
      </c>
      <c r="B1471" s="51" t="n">
        <v>45967</v>
      </c>
      <c r="C1471" s="50" t="s">
        <v>269</v>
      </c>
      <c r="D1471" s="39" t="str">
        <f aca="false">INDEX(Master_Customer!$B$2:$B$126,MATCH(C1471,Master_Customer!$A$2:$A$126,0))</f>
        <v>KARYA BENGKEL</v>
      </c>
      <c r="E1471" s="50" t="s">
        <v>28</v>
      </c>
      <c r="F1471" s="52" t="n">
        <f aca="false">SUMIFS(Data_Penjualan!$G$2:$G$5998,Data_Penjualan!$A$2:$A$5998,A1471)</f>
        <v>18077200</v>
      </c>
      <c r="G1471" s="39" t="n">
        <f aca="false">IF(E1471="KANTOR",0,INDEX(Master_Customer!$C$2:$C$126,MATCH(C1471,Master_Customer!$A$2:$A$126,0)))</f>
        <v>14</v>
      </c>
      <c r="H1471" s="53" t="n">
        <f aca="false">B1471+G1471</f>
        <v>45981</v>
      </c>
      <c r="I1471" s="51" t="n">
        <v>45970</v>
      </c>
      <c r="J1471" s="39" t="str">
        <f aca="false">IF(G1471=0,"Tunai",IF(I1471="","Belum ditukar","Sudah ditukar"))</f>
        <v>Sudah ditukar</v>
      </c>
      <c r="K1471" s="54" t="n">
        <v>18077200</v>
      </c>
      <c r="L1471" s="51" t="n">
        <v>45993</v>
      </c>
      <c r="M1471" s="52" t="n">
        <f aca="false">F1471-K1471</f>
        <v>0</v>
      </c>
      <c r="N1471" s="39" t="str">
        <f aca="false">IF(M1471&lt;=0,"Lunas",IF(K1471&gt;0,"Sebagian","Belum Bayar"))</f>
        <v>Lunas</v>
      </c>
      <c r="O1471" s="39" t="n">
        <f aca="false">IF(M1471&gt;0,MAX(0,Catatan!$B$3-H1471),0)</f>
        <v>0</v>
      </c>
      <c r="P1471" s="39" t="str">
        <f aca="false">IF(M1471&lt;=0,"Lunas",IF(Catatan!$B$3&lt;=H1471,"Belum Jatuh Tempo",IF(O1471&lt;=30,"1-30 hari",IF(O1471&lt;=60,"31-60 hari",IF(O1471&lt;=90,"61-90 hari","90+ hari")))))</f>
        <v>Lunas</v>
      </c>
      <c r="Q1471" s="50"/>
      <c r="R1471" s="39" t="str">
        <f aca="false">IF(M1471&lt;=0,"",IF(O1471&gt;60,"1-Tinggi",IF(O1471&gt;30,"2-Sedang",IF(O1471&gt;0,"3-Rendah","4-Pantau"))))</f>
        <v/>
      </c>
      <c r="S1471" s="39" t="str">
        <f aca="false">IF(AND(M1471&gt;0,O1471&gt;0),O1471+M1471/1000000000000+ROW()/1000000000000000,"")</f>
        <v/>
      </c>
      <c r="T1471" s="39" t="str">
        <f aca="false">IF(J1471="Belum ditukar",ROW(),"")</f>
        <v/>
      </c>
    </row>
    <row r="1472" customFormat="false" ht="15" hidden="false" customHeight="false" outlineLevel="0" collapsed="false">
      <c r="A1472" s="50" t="s">
        <v>1760</v>
      </c>
      <c r="B1472" s="51" t="n">
        <v>45967</v>
      </c>
      <c r="C1472" s="50" t="s">
        <v>566</v>
      </c>
      <c r="D1472" s="39" t="str">
        <f aca="false">INDEX(Master_Customer!$B$2:$B$126,MATCH(C1472,Master_Customer!$A$2:$A$126,0))</f>
        <v>UTAMA OLI SUMBER</v>
      </c>
      <c r="E1472" s="50" t="s">
        <v>32</v>
      </c>
      <c r="F1472" s="52" t="n">
        <f aca="false">SUMIFS(Data_Penjualan!$G$2:$G$5998,Data_Penjualan!$A$2:$A$5998,A1472)</f>
        <v>6065200</v>
      </c>
      <c r="G1472" s="39" t="n">
        <f aca="false">IF(E1472="KANTOR",0,INDEX(Master_Customer!$C$2:$C$126,MATCH(C1472,Master_Customer!$A$2:$A$126,0)))</f>
        <v>0</v>
      </c>
      <c r="H1472" s="53" t="n">
        <f aca="false">B1472+G1472</f>
        <v>45967</v>
      </c>
      <c r="J1472" s="39" t="str">
        <f aca="false">IF(G1472=0,"Tunai",IF(I1472="","Belum ditukar","Sudah ditukar"))</f>
        <v>Tunai</v>
      </c>
      <c r="K1472" s="54" t="n">
        <v>6065200</v>
      </c>
      <c r="L1472" s="51" t="n">
        <v>45967</v>
      </c>
      <c r="M1472" s="52" t="n">
        <f aca="false">F1472-K1472</f>
        <v>0</v>
      </c>
      <c r="N1472" s="39" t="str">
        <f aca="false">IF(M1472&lt;=0,"Lunas",IF(K1472&gt;0,"Sebagian","Belum Bayar"))</f>
        <v>Lunas</v>
      </c>
      <c r="O1472" s="39" t="n">
        <f aca="false">IF(M1472&gt;0,MAX(0,Catatan!$B$3-H1472),0)</f>
        <v>0</v>
      </c>
      <c r="P1472" s="39" t="str">
        <f aca="false">IF(M1472&lt;=0,"Lunas",IF(Catatan!$B$3&lt;=H1472,"Belum Jatuh Tempo",IF(O1472&lt;=30,"1-30 hari",IF(O1472&lt;=60,"31-60 hari",IF(O1472&lt;=90,"61-90 hari","90+ hari")))))</f>
        <v>Lunas</v>
      </c>
      <c r="Q1472" s="50"/>
      <c r="R1472" s="39" t="str">
        <f aca="false">IF(M1472&lt;=0,"",IF(O1472&gt;60,"1-Tinggi",IF(O1472&gt;30,"2-Sedang",IF(O1472&gt;0,"3-Rendah","4-Pantau"))))</f>
        <v/>
      </c>
      <c r="S1472" s="39" t="str">
        <f aca="false">IF(AND(M1472&gt;0,O1472&gt;0),O1472+M1472/1000000000000+ROW()/1000000000000000,"")</f>
        <v/>
      </c>
      <c r="T1472" s="39" t="str">
        <f aca="false">IF(J1472="Belum ditukar",ROW(),"")</f>
        <v/>
      </c>
    </row>
    <row r="1473" customFormat="false" ht="15" hidden="false" customHeight="false" outlineLevel="0" collapsed="false">
      <c r="A1473" s="50" t="s">
        <v>1761</v>
      </c>
      <c r="B1473" s="51" t="n">
        <v>45967</v>
      </c>
      <c r="C1473" s="50" t="s">
        <v>166</v>
      </c>
      <c r="D1473" s="39" t="str">
        <f aca="false">INDEX(Master_Customer!$B$2:$B$126,MATCH(C1473,Master_Customer!$A$2:$A$126,0))</f>
        <v>SENTOSA SERVICE</v>
      </c>
      <c r="E1473" s="50" t="s">
        <v>30</v>
      </c>
      <c r="F1473" s="52" t="n">
        <f aca="false">SUMIFS(Data_Penjualan!$G$2:$G$5998,Data_Penjualan!$A$2:$A$5998,A1473)</f>
        <v>2553000</v>
      </c>
      <c r="G1473" s="39" t="n">
        <f aca="false">IF(E1473="KANTOR",0,INDEX(Master_Customer!$C$2:$C$126,MATCH(C1473,Master_Customer!$A$2:$A$126,0)))</f>
        <v>0</v>
      </c>
      <c r="H1473" s="53" t="n">
        <f aca="false">B1473+G1473</f>
        <v>45967</v>
      </c>
      <c r="J1473" s="39" t="str">
        <f aca="false">IF(G1473=0,"Tunai",IF(I1473="","Belum ditukar","Sudah ditukar"))</f>
        <v>Tunai</v>
      </c>
      <c r="K1473" s="54" t="n">
        <v>2553000</v>
      </c>
      <c r="L1473" s="51" t="n">
        <v>45967</v>
      </c>
      <c r="M1473" s="52" t="n">
        <f aca="false">F1473-K1473</f>
        <v>0</v>
      </c>
      <c r="N1473" s="39" t="str">
        <f aca="false">IF(M1473&lt;=0,"Lunas",IF(K1473&gt;0,"Sebagian","Belum Bayar"))</f>
        <v>Lunas</v>
      </c>
      <c r="O1473" s="39" t="n">
        <f aca="false">IF(M1473&gt;0,MAX(0,Catatan!$B$3-H1473),0)</f>
        <v>0</v>
      </c>
      <c r="P1473" s="39" t="str">
        <f aca="false">IF(M1473&lt;=0,"Lunas",IF(Catatan!$B$3&lt;=H1473,"Belum Jatuh Tempo",IF(O1473&lt;=30,"1-30 hari",IF(O1473&lt;=60,"31-60 hari",IF(O1473&lt;=90,"61-90 hari","90+ hari")))))</f>
        <v>Lunas</v>
      </c>
      <c r="Q1473" s="50"/>
      <c r="R1473" s="39" t="str">
        <f aca="false">IF(M1473&lt;=0,"",IF(O1473&gt;60,"1-Tinggi",IF(O1473&gt;30,"2-Sedang",IF(O1473&gt;0,"3-Rendah","4-Pantau"))))</f>
        <v/>
      </c>
      <c r="S1473" s="39" t="str">
        <f aca="false">IF(AND(M1473&gt;0,O1473&gt;0),O1473+M1473/1000000000000+ROW()/1000000000000000,"")</f>
        <v/>
      </c>
      <c r="T1473" s="39" t="str">
        <f aca="false">IF(J1473="Belum ditukar",ROW(),"")</f>
        <v/>
      </c>
    </row>
    <row r="1474" customFormat="false" ht="15" hidden="false" customHeight="false" outlineLevel="0" collapsed="false">
      <c r="A1474" s="50" t="s">
        <v>1762</v>
      </c>
      <c r="B1474" s="51" t="n">
        <v>45967</v>
      </c>
      <c r="C1474" s="50" t="s">
        <v>469</v>
      </c>
      <c r="D1474" s="39" t="str">
        <f aca="false">INDEX(Master_Customer!$B$2:$B$126,MATCH(C1474,Master_Customer!$A$2:$A$126,0))</f>
        <v>MULIA AUTO CAHAYA</v>
      </c>
      <c r="E1474" s="50" t="s">
        <v>31</v>
      </c>
      <c r="F1474" s="52" t="n">
        <f aca="false">SUMIFS(Data_Penjualan!$G$2:$G$5998,Data_Penjualan!$A$2:$A$5998,A1474)</f>
        <v>11158600</v>
      </c>
      <c r="G1474" s="39" t="n">
        <f aca="false">IF(E1474="KANTOR",0,INDEX(Master_Customer!$C$2:$C$126,MATCH(C1474,Master_Customer!$A$2:$A$126,0)))</f>
        <v>45</v>
      </c>
      <c r="H1474" s="53" t="n">
        <f aca="false">B1474+G1474</f>
        <v>46012</v>
      </c>
      <c r="I1474" s="51" t="n">
        <v>45971</v>
      </c>
      <c r="J1474" s="39" t="str">
        <f aca="false">IF(G1474=0,"Tunai",IF(I1474="","Belum ditukar","Sudah ditukar"))</f>
        <v>Sudah ditukar</v>
      </c>
      <c r="K1474" s="54" t="n">
        <v>0</v>
      </c>
      <c r="M1474" s="52" t="n">
        <f aca="false">F1474-K1474</f>
        <v>11158600</v>
      </c>
      <c r="N1474" s="39" t="str">
        <f aca="false">IF(M1474&lt;=0,"Lunas",IF(K1474&gt;0,"Sebagian","Belum Bayar"))</f>
        <v>Belum Bayar</v>
      </c>
      <c r="O1474" s="39" t="n">
        <f aca="false">IF(M1474&gt;0,MAX(0,Catatan!$B$3-H1474),0)</f>
        <v>10</v>
      </c>
      <c r="P1474" s="39" t="str">
        <f aca="false">IF(M1474&lt;=0,"Lunas",IF(Catatan!$B$3&lt;=H1474,"Belum Jatuh Tempo",IF(O1474&lt;=30,"1-30 hari",IF(O1474&lt;=60,"31-60 hari",IF(O1474&lt;=90,"61-90 hari","90+ hari")))))</f>
        <v>1-30 hari</v>
      </c>
      <c r="Q1474" s="50" t="s">
        <v>1426</v>
      </c>
      <c r="R1474" s="39" t="str">
        <f aca="false">IF(M1474&lt;=0,"",IF(O1474&gt;60,"1-Tinggi",IF(O1474&gt;30,"2-Sedang",IF(O1474&gt;0,"3-Rendah","4-Pantau"))))</f>
        <v>3-Rendah</v>
      </c>
      <c r="S1474" s="39" t="n">
        <f aca="false">IF(AND(M1474&gt;0,O1474&gt;0),O1474+M1474/1000000000000+ROW()/1000000000000000,"")</f>
        <v>10.0000111586015</v>
      </c>
      <c r="T1474" s="39" t="str">
        <f aca="false">IF(J1474="Belum ditukar",ROW(),"")</f>
        <v/>
      </c>
    </row>
    <row r="1475" customFormat="false" ht="15" hidden="false" customHeight="false" outlineLevel="0" collapsed="false">
      <c r="A1475" s="50" t="s">
        <v>1763</v>
      </c>
      <c r="B1475" s="51" t="n">
        <v>45967</v>
      </c>
      <c r="C1475" s="50" t="s">
        <v>369</v>
      </c>
      <c r="D1475" s="39" t="str">
        <f aca="false">INDEX(Master_Customer!$B$2:$B$126,MATCH(C1475,Master_Customer!$A$2:$A$126,0))</f>
        <v>UTAMA TEKNIK</v>
      </c>
      <c r="E1475" s="50" t="s">
        <v>31</v>
      </c>
      <c r="F1475" s="52" t="n">
        <f aca="false">SUMIFS(Data_Penjualan!$G$2:$G$5998,Data_Penjualan!$A$2:$A$5998,A1475)</f>
        <v>11821500</v>
      </c>
      <c r="G1475" s="39" t="n">
        <f aca="false">IF(E1475="KANTOR",0,INDEX(Master_Customer!$C$2:$C$126,MATCH(C1475,Master_Customer!$A$2:$A$126,0)))</f>
        <v>30</v>
      </c>
      <c r="H1475" s="53" t="n">
        <f aca="false">B1475+G1475</f>
        <v>45997</v>
      </c>
      <c r="I1475" s="51" t="n">
        <v>45972</v>
      </c>
      <c r="J1475" s="39" t="str">
        <f aca="false">IF(G1475=0,"Tunai",IF(I1475="","Belum ditukar","Sudah ditukar"))</f>
        <v>Sudah ditukar</v>
      </c>
      <c r="K1475" s="54" t="n">
        <v>11821500</v>
      </c>
      <c r="L1475" s="51" t="n">
        <v>46003</v>
      </c>
      <c r="M1475" s="52" t="n">
        <f aca="false">F1475-K1475</f>
        <v>0</v>
      </c>
      <c r="N1475" s="39" t="str">
        <f aca="false">IF(M1475&lt;=0,"Lunas",IF(K1475&gt;0,"Sebagian","Belum Bayar"))</f>
        <v>Lunas</v>
      </c>
      <c r="O1475" s="39" t="n">
        <f aca="false">IF(M1475&gt;0,MAX(0,Catatan!$B$3-H1475),0)</f>
        <v>0</v>
      </c>
      <c r="P1475" s="39" t="str">
        <f aca="false">IF(M1475&lt;=0,"Lunas",IF(Catatan!$B$3&lt;=H1475,"Belum Jatuh Tempo",IF(O1475&lt;=30,"1-30 hari",IF(O1475&lt;=60,"31-60 hari",IF(O1475&lt;=90,"61-90 hari","90+ hari")))))</f>
        <v>Lunas</v>
      </c>
      <c r="Q1475" s="50"/>
      <c r="R1475" s="39" t="str">
        <f aca="false">IF(M1475&lt;=0,"",IF(O1475&gt;60,"1-Tinggi",IF(O1475&gt;30,"2-Sedang",IF(O1475&gt;0,"3-Rendah","4-Pantau"))))</f>
        <v/>
      </c>
      <c r="S1475" s="39" t="str">
        <f aca="false">IF(AND(M1475&gt;0,O1475&gt;0),O1475+M1475/1000000000000+ROW()/1000000000000000,"")</f>
        <v/>
      </c>
      <c r="T1475" s="39" t="str">
        <f aca="false">IF(J1475="Belum ditukar",ROW(),"")</f>
        <v/>
      </c>
    </row>
    <row r="1476" customFormat="false" ht="15" hidden="false" customHeight="false" outlineLevel="0" collapsed="false">
      <c r="A1476" s="50" t="s">
        <v>1764</v>
      </c>
      <c r="B1476" s="51" t="n">
        <v>45967</v>
      </c>
      <c r="C1476" s="50" t="s">
        <v>216</v>
      </c>
      <c r="D1476" s="39" t="str">
        <f aca="false">INDEX(Master_Customer!$B$2:$B$126,MATCH(C1476,Master_Customer!$A$2:$A$126,0))</f>
        <v>SINAR MOTOR UTAMA</v>
      </c>
      <c r="E1476" s="50" t="s">
        <v>30</v>
      </c>
      <c r="F1476" s="52" t="n">
        <f aca="false">SUMIFS(Data_Penjualan!$G$2:$G$5998,Data_Penjualan!$A$2:$A$5998,A1476)</f>
        <v>2429200</v>
      </c>
      <c r="G1476" s="39" t="n">
        <f aca="false">IF(E1476="KANTOR",0,INDEX(Master_Customer!$C$2:$C$126,MATCH(C1476,Master_Customer!$A$2:$A$126,0)))</f>
        <v>0</v>
      </c>
      <c r="H1476" s="53" t="n">
        <f aca="false">B1476+G1476</f>
        <v>45967</v>
      </c>
      <c r="J1476" s="39" t="str">
        <f aca="false">IF(G1476=0,"Tunai",IF(I1476="","Belum ditukar","Sudah ditukar"))</f>
        <v>Tunai</v>
      </c>
      <c r="K1476" s="54" t="n">
        <v>2429200</v>
      </c>
      <c r="L1476" s="51" t="n">
        <v>45968</v>
      </c>
      <c r="M1476" s="52" t="n">
        <f aca="false">F1476-K1476</f>
        <v>0</v>
      </c>
      <c r="N1476" s="39" t="str">
        <f aca="false">IF(M1476&lt;=0,"Lunas",IF(K1476&gt;0,"Sebagian","Belum Bayar"))</f>
        <v>Lunas</v>
      </c>
      <c r="O1476" s="39" t="n">
        <f aca="false">IF(M1476&gt;0,MAX(0,Catatan!$B$3-H1476),0)</f>
        <v>0</v>
      </c>
      <c r="P1476" s="39" t="str">
        <f aca="false">IF(M1476&lt;=0,"Lunas",IF(Catatan!$B$3&lt;=H1476,"Belum Jatuh Tempo",IF(O1476&lt;=30,"1-30 hari",IF(O1476&lt;=60,"31-60 hari",IF(O1476&lt;=90,"61-90 hari","90+ hari")))))</f>
        <v>Lunas</v>
      </c>
      <c r="Q1476" s="50"/>
      <c r="R1476" s="39" t="str">
        <f aca="false">IF(M1476&lt;=0,"",IF(O1476&gt;60,"1-Tinggi",IF(O1476&gt;30,"2-Sedang",IF(O1476&gt;0,"3-Rendah","4-Pantau"))))</f>
        <v/>
      </c>
      <c r="S1476" s="39" t="str">
        <f aca="false">IF(AND(M1476&gt;0,O1476&gt;0),O1476+M1476/1000000000000+ROW()/1000000000000000,"")</f>
        <v/>
      </c>
      <c r="T1476" s="39" t="str">
        <f aca="false">IF(J1476="Belum ditukar",ROW(),"")</f>
        <v/>
      </c>
    </row>
    <row r="1477" customFormat="false" ht="15" hidden="false" customHeight="false" outlineLevel="0" collapsed="false">
      <c r="A1477" s="50" t="s">
        <v>1765</v>
      </c>
      <c r="B1477" s="51" t="n">
        <v>45967</v>
      </c>
      <c r="C1477" s="50" t="s">
        <v>382</v>
      </c>
      <c r="D1477" s="39" t="str">
        <f aca="false">INDEX(Master_Customer!$B$2:$B$126,MATCH(C1477,Master_Customer!$A$2:$A$126,0))</f>
        <v>BERKAH SPAREPART</v>
      </c>
      <c r="E1477" s="50" t="s">
        <v>32</v>
      </c>
      <c r="F1477" s="52" t="n">
        <f aca="false">SUMIFS(Data_Penjualan!$G$2:$G$5998,Data_Penjualan!$A$2:$A$5998,A1477)</f>
        <v>8254500</v>
      </c>
      <c r="G1477" s="39" t="n">
        <f aca="false">IF(E1477="KANTOR",0,INDEX(Master_Customer!$C$2:$C$126,MATCH(C1477,Master_Customer!$A$2:$A$126,0)))</f>
        <v>0</v>
      </c>
      <c r="H1477" s="53" t="n">
        <f aca="false">B1477+G1477</f>
        <v>45967</v>
      </c>
      <c r="J1477" s="39" t="str">
        <f aca="false">IF(G1477=0,"Tunai",IF(I1477="","Belum ditukar","Sudah ditukar"))</f>
        <v>Tunai</v>
      </c>
      <c r="K1477" s="54" t="n">
        <v>8254500</v>
      </c>
      <c r="L1477" s="51" t="n">
        <v>45967</v>
      </c>
      <c r="M1477" s="52" t="n">
        <f aca="false">F1477-K1477</f>
        <v>0</v>
      </c>
      <c r="N1477" s="39" t="str">
        <f aca="false">IF(M1477&lt;=0,"Lunas",IF(K1477&gt;0,"Sebagian","Belum Bayar"))</f>
        <v>Lunas</v>
      </c>
      <c r="O1477" s="39" t="n">
        <f aca="false">IF(M1477&gt;0,MAX(0,Catatan!$B$3-H1477),0)</f>
        <v>0</v>
      </c>
      <c r="P1477" s="39" t="str">
        <f aca="false">IF(M1477&lt;=0,"Lunas",IF(Catatan!$B$3&lt;=H1477,"Belum Jatuh Tempo",IF(O1477&lt;=30,"1-30 hari",IF(O1477&lt;=60,"31-60 hari",IF(O1477&lt;=90,"61-90 hari","90+ hari")))))</f>
        <v>Lunas</v>
      </c>
      <c r="Q1477" s="50"/>
      <c r="R1477" s="39" t="str">
        <f aca="false">IF(M1477&lt;=0,"",IF(O1477&gt;60,"1-Tinggi",IF(O1477&gt;30,"2-Sedang",IF(O1477&gt;0,"3-Rendah","4-Pantau"))))</f>
        <v/>
      </c>
      <c r="S1477" s="39" t="str">
        <f aca="false">IF(AND(M1477&gt;0,O1477&gt;0),O1477+M1477/1000000000000+ROW()/1000000000000000,"")</f>
        <v/>
      </c>
      <c r="T1477" s="39" t="str">
        <f aca="false">IF(J1477="Belum ditukar",ROW(),"")</f>
        <v/>
      </c>
    </row>
    <row r="1478" customFormat="false" ht="15" hidden="false" customHeight="false" outlineLevel="0" collapsed="false">
      <c r="A1478" s="50" t="s">
        <v>1766</v>
      </c>
      <c r="B1478" s="51" t="n">
        <v>45967</v>
      </c>
      <c r="C1478" s="50" t="s">
        <v>416</v>
      </c>
      <c r="D1478" s="39" t="str">
        <f aca="false">INDEX(Master_Customer!$B$2:$B$126,MATCH(C1478,Master_Customer!$A$2:$A$126,0))</f>
        <v>KARYA SERVICE</v>
      </c>
      <c r="E1478" s="50" t="s">
        <v>30</v>
      </c>
      <c r="F1478" s="52" t="n">
        <f aca="false">SUMIFS(Data_Penjualan!$G$2:$G$5998,Data_Penjualan!$A$2:$A$5998,A1478)</f>
        <v>8661000</v>
      </c>
      <c r="G1478" s="39" t="n">
        <f aca="false">IF(E1478="KANTOR",0,INDEX(Master_Customer!$C$2:$C$126,MATCH(C1478,Master_Customer!$A$2:$A$126,0)))</f>
        <v>0</v>
      </c>
      <c r="H1478" s="53" t="n">
        <f aca="false">B1478+G1478</f>
        <v>45967</v>
      </c>
      <c r="J1478" s="39" t="str">
        <f aca="false">IF(G1478=0,"Tunai",IF(I1478="","Belum ditukar","Sudah ditukar"))</f>
        <v>Tunai</v>
      </c>
      <c r="K1478" s="54" t="n">
        <v>8661000</v>
      </c>
      <c r="L1478" s="51" t="n">
        <v>45967</v>
      </c>
      <c r="M1478" s="52" t="n">
        <f aca="false">F1478-K1478</f>
        <v>0</v>
      </c>
      <c r="N1478" s="39" t="str">
        <f aca="false">IF(M1478&lt;=0,"Lunas",IF(K1478&gt;0,"Sebagian","Belum Bayar"))</f>
        <v>Lunas</v>
      </c>
      <c r="O1478" s="39" t="n">
        <f aca="false">IF(M1478&gt;0,MAX(0,Catatan!$B$3-H1478),0)</f>
        <v>0</v>
      </c>
      <c r="P1478" s="39" t="str">
        <f aca="false">IF(M1478&lt;=0,"Lunas",IF(Catatan!$B$3&lt;=H1478,"Belum Jatuh Tempo",IF(O1478&lt;=30,"1-30 hari",IF(O1478&lt;=60,"31-60 hari",IF(O1478&lt;=90,"61-90 hari","90+ hari")))))</f>
        <v>Lunas</v>
      </c>
      <c r="Q1478" s="50"/>
      <c r="R1478" s="39" t="str">
        <f aca="false">IF(M1478&lt;=0,"",IF(O1478&gt;60,"1-Tinggi",IF(O1478&gt;30,"2-Sedang",IF(O1478&gt;0,"3-Rendah","4-Pantau"))))</f>
        <v/>
      </c>
      <c r="S1478" s="39" t="str">
        <f aca="false">IF(AND(M1478&gt;0,O1478&gt;0),O1478+M1478/1000000000000+ROW()/1000000000000000,"")</f>
        <v/>
      </c>
      <c r="T1478" s="39" t="str">
        <f aca="false">IF(J1478="Belum ditukar",ROW(),"")</f>
        <v/>
      </c>
    </row>
    <row r="1479" customFormat="false" ht="15" hidden="false" customHeight="false" outlineLevel="0" collapsed="false">
      <c r="A1479" s="50" t="s">
        <v>1767</v>
      </c>
      <c r="B1479" s="51" t="n">
        <v>45968</v>
      </c>
      <c r="C1479" s="50" t="s">
        <v>289</v>
      </c>
      <c r="D1479" s="39" t="str">
        <f aca="false">INDEX(Master_Customer!$B$2:$B$126,MATCH(C1479,Master_Customer!$A$2:$A$126,0))</f>
        <v>SINAR GARAGE</v>
      </c>
      <c r="E1479" s="50" t="s">
        <v>28</v>
      </c>
      <c r="F1479" s="52" t="n">
        <f aca="false">SUMIFS(Data_Penjualan!$G$2:$G$5998,Data_Penjualan!$A$2:$A$5998,A1479)</f>
        <v>7946400</v>
      </c>
      <c r="G1479" s="39" t="n">
        <f aca="false">IF(E1479="KANTOR",0,INDEX(Master_Customer!$C$2:$C$126,MATCH(C1479,Master_Customer!$A$2:$A$126,0)))</f>
        <v>30</v>
      </c>
      <c r="H1479" s="53" t="n">
        <f aca="false">B1479+G1479</f>
        <v>45998</v>
      </c>
      <c r="I1479" s="51" t="n">
        <v>45972</v>
      </c>
      <c r="J1479" s="39" t="str">
        <f aca="false">IF(G1479=0,"Tunai",IF(I1479="","Belum ditukar","Sudah ditukar"))</f>
        <v>Sudah ditukar</v>
      </c>
      <c r="K1479" s="54" t="n">
        <v>7946400</v>
      </c>
      <c r="L1479" s="51" t="n">
        <v>46006</v>
      </c>
      <c r="M1479" s="52" t="n">
        <f aca="false">F1479-K1479</f>
        <v>0</v>
      </c>
      <c r="N1479" s="39" t="str">
        <f aca="false">IF(M1479&lt;=0,"Lunas",IF(K1479&gt;0,"Sebagian","Belum Bayar"))</f>
        <v>Lunas</v>
      </c>
      <c r="O1479" s="39" t="n">
        <f aca="false">IF(M1479&gt;0,MAX(0,Catatan!$B$3-H1479),0)</f>
        <v>0</v>
      </c>
      <c r="P1479" s="39" t="str">
        <f aca="false">IF(M1479&lt;=0,"Lunas",IF(Catatan!$B$3&lt;=H1479,"Belum Jatuh Tempo",IF(O1479&lt;=30,"1-30 hari",IF(O1479&lt;=60,"31-60 hari",IF(O1479&lt;=90,"61-90 hari","90+ hari")))))</f>
        <v>Lunas</v>
      </c>
      <c r="Q1479" s="50"/>
      <c r="R1479" s="39" t="str">
        <f aca="false">IF(M1479&lt;=0,"",IF(O1479&gt;60,"1-Tinggi",IF(O1479&gt;30,"2-Sedang",IF(O1479&gt;0,"3-Rendah","4-Pantau"))))</f>
        <v/>
      </c>
      <c r="S1479" s="39" t="str">
        <f aca="false">IF(AND(M1479&gt;0,O1479&gt;0),O1479+M1479/1000000000000+ROW()/1000000000000000,"")</f>
        <v/>
      </c>
      <c r="T1479" s="39" t="str">
        <f aca="false">IF(J1479="Belum ditukar",ROW(),"")</f>
        <v/>
      </c>
    </row>
    <row r="1480" customFormat="false" ht="15" hidden="false" customHeight="false" outlineLevel="0" collapsed="false">
      <c r="A1480" s="50" t="s">
        <v>1768</v>
      </c>
      <c r="B1480" s="51" t="n">
        <v>45968</v>
      </c>
      <c r="C1480" s="50" t="s">
        <v>168</v>
      </c>
      <c r="D1480" s="39" t="str">
        <f aca="false">INDEX(Master_Customer!$B$2:$B$126,MATCH(C1480,Master_Customer!$A$2:$A$126,0))</f>
        <v>JAYA LUBRICANT</v>
      </c>
      <c r="E1480" s="50" t="s">
        <v>29</v>
      </c>
      <c r="F1480" s="52" t="n">
        <f aca="false">SUMIFS(Data_Penjualan!$G$2:$G$5998,Data_Penjualan!$A$2:$A$5998,A1480)</f>
        <v>17515600</v>
      </c>
      <c r="G1480" s="39" t="n">
        <f aca="false">IF(E1480="KANTOR",0,INDEX(Master_Customer!$C$2:$C$126,MATCH(C1480,Master_Customer!$A$2:$A$126,0)))</f>
        <v>0</v>
      </c>
      <c r="H1480" s="53" t="n">
        <f aca="false">B1480+G1480</f>
        <v>45968</v>
      </c>
      <c r="J1480" s="39" t="str">
        <f aca="false">IF(G1480=0,"Tunai",IF(I1480="","Belum ditukar","Sudah ditukar"))</f>
        <v>Tunai</v>
      </c>
      <c r="K1480" s="54" t="n">
        <v>17515600</v>
      </c>
      <c r="L1480" s="51" t="n">
        <v>45968</v>
      </c>
      <c r="M1480" s="52" t="n">
        <f aca="false">F1480-K1480</f>
        <v>0</v>
      </c>
      <c r="N1480" s="39" t="str">
        <f aca="false">IF(M1480&lt;=0,"Lunas",IF(K1480&gt;0,"Sebagian","Belum Bayar"))</f>
        <v>Lunas</v>
      </c>
      <c r="O1480" s="39" t="n">
        <f aca="false">IF(M1480&gt;0,MAX(0,Catatan!$B$3-H1480),0)</f>
        <v>0</v>
      </c>
      <c r="P1480" s="39" t="str">
        <f aca="false">IF(M1480&lt;=0,"Lunas",IF(Catatan!$B$3&lt;=H1480,"Belum Jatuh Tempo",IF(O1480&lt;=30,"1-30 hari",IF(O1480&lt;=60,"31-60 hari",IF(O1480&lt;=90,"61-90 hari","90+ hari")))))</f>
        <v>Lunas</v>
      </c>
      <c r="Q1480" s="50"/>
      <c r="R1480" s="39" t="str">
        <f aca="false">IF(M1480&lt;=0,"",IF(O1480&gt;60,"1-Tinggi",IF(O1480&gt;30,"2-Sedang",IF(O1480&gt;0,"3-Rendah","4-Pantau"))))</f>
        <v/>
      </c>
      <c r="S1480" s="39" t="str">
        <f aca="false">IF(AND(M1480&gt;0,O1480&gt;0),O1480+M1480/1000000000000+ROW()/1000000000000000,"")</f>
        <v/>
      </c>
      <c r="T1480" s="39" t="str">
        <f aca="false">IF(J1480="Belum ditukar",ROW(),"")</f>
        <v/>
      </c>
    </row>
    <row r="1481" customFormat="false" ht="15" hidden="false" customHeight="false" outlineLevel="0" collapsed="false">
      <c r="A1481" s="50" t="s">
        <v>1769</v>
      </c>
      <c r="B1481" s="51" t="n">
        <v>45969</v>
      </c>
      <c r="C1481" s="50" t="s">
        <v>177</v>
      </c>
      <c r="D1481" s="39" t="str">
        <f aca="false">INDEX(Master_Customer!$B$2:$B$126,MATCH(C1481,Master_Customer!$A$2:$A$126,0))</f>
        <v>PRIMA MOTOR LANCAR</v>
      </c>
      <c r="E1481" s="50" t="s">
        <v>32</v>
      </c>
      <c r="F1481" s="52" t="n">
        <f aca="false">SUMIFS(Data_Penjualan!$G$2:$G$5998,Data_Penjualan!$A$2:$A$5998,A1481)</f>
        <v>23543800</v>
      </c>
      <c r="G1481" s="39" t="n">
        <f aca="false">IF(E1481="KANTOR",0,INDEX(Master_Customer!$C$2:$C$126,MATCH(C1481,Master_Customer!$A$2:$A$126,0)))</f>
        <v>0</v>
      </c>
      <c r="H1481" s="53" t="n">
        <f aca="false">B1481+G1481</f>
        <v>45969</v>
      </c>
      <c r="J1481" s="39" t="str">
        <f aca="false">IF(G1481=0,"Tunai",IF(I1481="","Belum ditukar","Sudah ditukar"))</f>
        <v>Tunai</v>
      </c>
      <c r="K1481" s="54" t="n">
        <v>23543800</v>
      </c>
      <c r="L1481" s="51" t="n">
        <v>45969</v>
      </c>
      <c r="M1481" s="52" t="n">
        <f aca="false">F1481-K1481</f>
        <v>0</v>
      </c>
      <c r="N1481" s="39" t="str">
        <f aca="false">IF(M1481&lt;=0,"Lunas",IF(K1481&gt;0,"Sebagian","Belum Bayar"))</f>
        <v>Lunas</v>
      </c>
      <c r="O1481" s="39" t="n">
        <f aca="false">IF(M1481&gt;0,MAX(0,Catatan!$B$3-H1481),0)</f>
        <v>0</v>
      </c>
      <c r="P1481" s="39" t="str">
        <f aca="false">IF(M1481&lt;=0,"Lunas",IF(Catatan!$B$3&lt;=H1481,"Belum Jatuh Tempo",IF(O1481&lt;=30,"1-30 hari",IF(O1481&lt;=60,"31-60 hari",IF(O1481&lt;=90,"61-90 hari","90+ hari")))))</f>
        <v>Lunas</v>
      </c>
      <c r="Q1481" s="50"/>
      <c r="R1481" s="39" t="str">
        <f aca="false">IF(M1481&lt;=0,"",IF(O1481&gt;60,"1-Tinggi",IF(O1481&gt;30,"2-Sedang",IF(O1481&gt;0,"3-Rendah","4-Pantau"))))</f>
        <v/>
      </c>
      <c r="S1481" s="39" t="str">
        <f aca="false">IF(AND(M1481&gt;0,O1481&gt;0),O1481+M1481/1000000000000+ROW()/1000000000000000,"")</f>
        <v/>
      </c>
      <c r="T1481" s="39" t="str">
        <f aca="false">IF(J1481="Belum ditukar",ROW(),"")</f>
        <v/>
      </c>
    </row>
    <row r="1482" customFormat="false" ht="15" hidden="false" customHeight="false" outlineLevel="0" collapsed="false">
      <c r="A1482" s="50" t="s">
        <v>1770</v>
      </c>
      <c r="B1482" s="51" t="n">
        <v>45969</v>
      </c>
      <c r="C1482" s="50" t="s">
        <v>188</v>
      </c>
      <c r="D1482" s="39" t="str">
        <f aca="false">INDEX(Master_Customer!$B$2:$B$126,MATCH(C1482,Master_Customer!$A$2:$A$126,0))</f>
        <v>MAJU GARAGE TIRTA</v>
      </c>
      <c r="E1482" s="50" t="s">
        <v>31</v>
      </c>
      <c r="F1482" s="52" t="n">
        <f aca="false">SUMIFS(Data_Penjualan!$G$2:$G$5998,Data_Penjualan!$A$2:$A$5998,A1482)</f>
        <v>14837300</v>
      </c>
      <c r="G1482" s="39" t="n">
        <f aca="false">IF(E1482="KANTOR",0,INDEX(Master_Customer!$C$2:$C$126,MATCH(C1482,Master_Customer!$A$2:$A$126,0)))</f>
        <v>45</v>
      </c>
      <c r="H1482" s="53" t="n">
        <f aca="false">B1482+G1482</f>
        <v>46014</v>
      </c>
      <c r="I1482" s="51" t="n">
        <v>45971</v>
      </c>
      <c r="J1482" s="39" t="str">
        <f aca="false">IF(G1482=0,"Tunai",IF(I1482="","Belum ditukar","Sudah ditukar"))</f>
        <v>Sudah ditukar</v>
      </c>
      <c r="K1482" s="54" t="n">
        <v>14837300</v>
      </c>
      <c r="L1482" s="51" t="n">
        <v>46022</v>
      </c>
      <c r="M1482" s="52" t="n">
        <f aca="false">F1482-K1482</f>
        <v>0</v>
      </c>
      <c r="N1482" s="39" t="str">
        <f aca="false">IF(M1482&lt;=0,"Lunas",IF(K1482&gt;0,"Sebagian","Belum Bayar"))</f>
        <v>Lunas</v>
      </c>
      <c r="O1482" s="39" t="n">
        <f aca="false">IF(M1482&gt;0,MAX(0,Catatan!$B$3-H1482),0)</f>
        <v>0</v>
      </c>
      <c r="P1482" s="39" t="str">
        <f aca="false">IF(M1482&lt;=0,"Lunas",IF(Catatan!$B$3&lt;=H1482,"Belum Jatuh Tempo",IF(O1482&lt;=30,"1-30 hari",IF(O1482&lt;=60,"31-60 hari",IF(O1482&lt;=90,"61-90 hari","90+ hari")))))</f>
        <v>Lunas</v>
      </c>
      <c r="Q1482" s="50"/>
      <c r="R1482" s="39" t="str">
        <f aca="false">IF(M1482&lt;=0,"",IF(O1482&gt;60,"1-Tinggi",IF(O1482&gt;30,"2-Sedang",IF(O1482&gt;0,"3-Rendah","4-Pantau"))))</f>
        <v/>
      </c>
      <c r="S1482" s="39" t="str">
        <f aca="false">IF(AND(M1482&gt;0,O1482&gt;0),O1482+M1482/1000000000000+ROW()/1000000000000000,"")</f>
        <v/>
      </c>
      <c r="T1482" s="39" t="str">
        <f aca="false">IF(J1482="Belum ditukar",ROW(),"")</f>
        <v/>
      </c>
    </row>
    <row r="1483" customFormat="false" ht="15" hidden="false" customHeight="false" outlineLevel="0" collapsed="false">
      <c r="A1483" s="50" t="s">
        <v>1771</v>
      </c>
      <c r="B1483" s="51" t="n">
        <v>45969</v>
      </c>
      <c r="C1483" s="50" t="s">
        <v>962</v>
      </c>
      <c r="D1483" s="39" t="str">
        <f aca="false">INDEX(Master_Customer!$B$2:$B$126,MATCH(C1483,Master_Customer!$A$2:$A$126,0))</f>
        <v>ABADI OLI</v>
      </c>
      <c r="E1483" s="50" t="s">
        <v>28</v>
      </c>
      <c r="F1483" s="52" t="n">
        <f aca="false">SUMIFS(Data_Penjualan!$G$2:$G$5998,Data_Penjualan!$A$2:$A$5998,A1483)</f>
        <v>14104500</v>
      </c>
      <c r="G1483" s="39" t="n">
        <f aca="false">IF(E1483="KANTOR",0,INDEX(Master_Customer!$C$2:$C$126,MATCH(C1483,Master_Customer!$A$2:$A$126,0)))</f>
        <v>14</v>
      </c>
      <c r="H1483" s="53" t="n">
        <f aca="false">B1483+G1483</f>
        <v>45983</v>
      </c>
      <c r="I1483" s="51" t="n">
        <v>45973</v>
      </c>
      <c r="J1483" s="39" t="str">
        <f aca="false">IF(G1483=0,"Tunai",IF(I1483="","Belum ditukar","Sudah ditukar"))</f>
        <v>Sudah ditukar</v>
      </c>
      <c r="K1483" s="54" t="n">
        <v>14104500</v>
      </c>
      <c r="L1483" s="51" t="n">
        <v>45978</v>
      </c>
      <c r="M1483" s="52" t="n">
        <f aca="false">F1483-K1483</f>
        <v>0</v>
      </c>
      <c r="N1483" s="39" t="str">
        <f aca="false">IF(M1483&lt;=0,"Lunas",IF(K1483&gt;0,"Sebagian","Belum Bayar"))</f>
        <v>Lunas</v>
      </c>
      <c r="O1483" s="39" t="n">
        <f aca="false">IF(M1483&gt;0,MAX(0,Catatan!$B$3-H1483),0)</f>
        <v>0</v>
      </c>
      <c r="P1483" s="39" t="str">
        <f aca="false">IF(M1483&lt;=0,"Lunas",IF(Catatan!$B$3&lt;=H1483,"Belum Jatuh Tempo",IF(O1483&lt;=30,"1-30 hari",IF(O1483&lt;=60,"31-60 hari",IF(O1483&lt;=90,"61-90 hari","90+ hari")))))</f>
        <v>Lunas</v>
      </c>
      <c r="Q1483" s="50"/>
      <c r="R1483" s="39" t="str">
        <f aca="false">IF(M1483&lt;=0,"",IF(O1483&gt;60,"1-Tinggi",IF(O1483&gt;30,"2-Sedang",IF(O1483&gt;0,"3-Rendah","4-Pantau"))))</f>
        <v/>
      </c>
      <c r="S1483" s="39" t="str">
        <f aca="false">IF(AND(M1483&gt;0,O1483&gt;0),O1483+M1483/1000000000000+ROW()/1000000000000000,"")</f>
        <v/>
      </c>
      <c r="T1483" s="39" t="str">
        <f aca="false">IF(J1483="Belum ditukar",ROW(),"")</f>
        <v/>
      </c>
    </row>
    <row r="1484" customFormat="false" ht="15" hidden="false" customHeight="false" outlineLevel="0" collapsed="false">
      <c r="A1484" s="50" t="s">
        <v>155</v>
      </c>
      <c r="B1484" s="51" t="n">
        <v>45969</v>
      </c>
      <c r="C1484" s="50" t="s">
        <v>179</v>
      </c>
      <c r="D1484" s="39" t="str">
        <f aca="false">INDEX(Master_Customer!$B$2:$B$126,MATCH(C1484,Master_Customer!$A$2:$A$126,0))</f>
        <v>BINTANG TEKNIK SURYA</v>
      </c>
      <c r="E1484" s="50" t="s">
        <v>29</v>
      </c>
      <c r="F1484" s="52" t="n">
        <f aca="false">SUMIFS(Data_Penjualan!$G$2:$G$5998,Data_Penjualan!$A$2:$A$5998,A1484)</f>
        <v>3630200</v>
      </c>
      <c r="G1484" s="39" t="n">
        <f aca="false">IF(E1484="KANTOR",0,INDEX(Master_Customer!$C$2:$C$126,MATCH(C1484,Master_Customer!$A$2:$A$126,0)))</f>
        <v>45</v>
      </c>
      <c r="H1484" s="53" t="n">
        <f aca="false">B1484+G1484</f>
        <v>46014</v>
      </c>
      <c r="I1484" s="51" t="n">
        <v>45971</v>
      </c>
      <c r="J1484" s="39" t="str">
        <f aca="false">IF(G1484=0,"Tunai",IF(I1484="","Belum ditukar","Sudah ditukar"))</f>
        <v>Sudah ditukar</v>
      </c>
      <c r="K1484" s="54" t="n">
        <v>2901100</v>
      </c>
      <c r="L1484" s="51" t="n">
        <v>46016</v>
      </c>
      <c r="M1484" s="52" t="n">
        <f aca="false">F1484-K1484</f>
        <v>729100</v>
      </c>
      <c r="N1484" s="39" t="str">
        <f aca="false">IF(M1484&lt;=0,"Lunas",IF(K1484&gt;0,"Sebagian","Belum Bayar"))</f>
        <v>Sebagian</v>
      </c>
      <c r="O1484" s="39" t="n">
        <f aca="false">IF(M1484&gt;0,MAX(0,Catatan!$B$3-H1484),0)</f>
        <v>8</v>
      </c>
      <c r="P1484" s="39" t="str">
        <f aca="false">IF(M1484&lt;=0,"Lunas",IF(Catatan!$B$3&lt;=H1484,"Belum Jatuh Tempo",IF(O1484&lt;=30,"1-30 hari",IF(O1484&lt;=60,"31-60 hari",IF(O1484&lt;=90,"61-90 hari","90+ hari")))))</f>
        <v>1-30 hari</v>
      </c>
      <c r="Q1484" s="50" t="s">
        <v>334</v>
      </c>
      <c r="R1484" s="39" t="str">
        <f aca="false">IF(M1484&lt;=0,"",IF(O1484&gt;60,"1-Tinggi",IF(O1484&gt;30,"2-Sedang",IF(O1484&gt;0,"3-Rendah","4-Pantau"))))</f>
        <v>3-Rendah</v>
      </c>
      <c r="S1484" s="39" t="n">
        <f aca="false">IF(AND(M1484&gt;0,O1484&gt;0),O1484+M1484/1000000000000+ROW()/1000000000000000,"")</f>
        <v>8.00000072910148</v>
      </c>
      <c r="T1484" s="39" t="str">
        <f aca="false">IF(J1484="Belum ditukar",ROW(),"")</f>
        <v/>
      </c>
    </row>
    <row r="1485" customFormat="false" ht="15" hidden="false" customHeight="false" outlineLevel="0" collapsed="false">
      <c r="A1485" s="50" t="s">
        <v>1772</v>
      </c>
      <c r="B1485" s="51" t="n">
        <v>45969</v>
      </c>
      <c r="C1485" s="50" t="s">
        <v>168</v>
      </c>
      <c r="D1485" s="39" t="str">
        <f aca="false">INDEX(Master_Customer!$B$2:$B$126,MATCH(C1485,Master_Customer!$A$2:$A$126,0))</f>
        <v>JAYA LUBRICANT</v>
      </c>
      <c r="E1485" s="50" t="s">
        <v>29</v>
      </c>
      <c r="F1485" s="52" t="n">
        <f aca="false">SUMIFS(Data_Penjualan!$G$2:$G$5998,Data_Penjualan!$A$2:$A$5998,A1485)</f>
        <v>2855600</v>
      </c>
      <c r="G1485" s="39" t="n">
        <f aca="false">IF(E1485="KANTOR",0,INDEX(Master_Customer!$C$2:$C$126,MATCH(C1485,Master_Customer!$A$2:$A$126,0)))</f>
        <v>0</v>
      </c>
      <c r="H1485" s="53" t="n">
        <f aca="false">B1485+G1485</f>
        <v>45969</v>
      </c>
      <c r="J1485" s="39" t="str">
        <f aca="false">IF(G1485=0,"Tunai",IF(I1485="","Belum ditukar","Sudah ditukar"))</f>
        <v>Tunai</v>
      </c>
      <c r="K1485" s="54" t="n">
        <v>2855600</v>
      </c>
      <c r="L1485" s="51" t="n">
        <v>45969</v>
      </c>
      <c r="M1485" s="52" t="n">
        <f aca="false">F1485-K1485</f>
        <v>0</v>
      </c>
      <c r="N1485" s="39" t="str">
        <f aca="false">IF(M1485&lt;=0,"Lunas",IF(K1485&gt;0,"Sebagian","Belum Bayar"))</f>
        <v>Lunas</v>
      </c>
      <c r="O1485" s="39" t="n">
        <f aca="false">IF(M1485&gt;0,MAX(0,Catatan!$B$3-H1485),0)</f>
        <v>0</v>
      </c>
      <c r="P1485" s="39" t="str">
        <f aca="false">IF(M1485&lt;=0,"Lunas",IF(Catatan!$B$3&lt;=H1485,"Belum Jatuh Tempo",IF(O1485&lt;=30,"1-30 hari",IF(O1485&lt;=60,"31-60 hari",IF(O1485&lt;=90,"61-90 hari","90+ hari")))))</f>
        <v>Lunas</v>
      </c>
      <c r="Q1485" s="50"/>
      <c r="R1485" s="39" t="str">
        <f aca="false">IF(M1485&lt;=0,"",IF(O1485&gt;60,"1-Tinggi",IF(O1485&gt;30,"2-Sedang",IF(O1485&gt;0,"3-Rendah","4-Pantau"))))</f>
        <v/>
      </c>
      <c r="S1485" s="39" t="str">
        <f aca="false">IF(AND(M1485&gt;0,O1485&gt;0),O1485+M1485/1000000000000+ROW()/1000000000000000,"")</f>
        <v/>
      </c>
      <c r="T1485" s="39" t="str">
        <f aca="false">IF(J1485="Belum ditukar",ROW(),"")</f>
        <v/>
      </c>
    </row>
    <row r="1486" customFormat="false" ht="15" hidden="false" customHeight="false" outlineLevel="0" collapsed="false">
      <c r="A1486" s="50" t="s">
        <v>1773</v>
      </c>
      <c r="B1486" s="51" t="n">
        <v>45971</v>
      </c>
      <c r="C1486" s="50" t="s">
        <v>195</v>
      </c>
      <c r="D1486" s="39" t="str">
        <f aca="false">INDEX(Master_Customer!$B$2:$B$126,MATCH(C1486,Master_Customer!$A$2:$A$126,0))</f>
        <v>KARYA LUBRICANT BINTANG</v>
      </c>
      <c r="E1486" s="50" t="s">
        <v>30</v>
      </c>
      <c r="F1486" s="52" t="n">
        <f aca="false">SUMIFS(Data_Penjualan!$G$2:$G$5998,Data_Penjualan!$A$2:$A$5998,A1486)</f>
        <v>2356900</v>
      </c>
      <c r="G1486" s="39" t="n">
        <f aca="false">IF(E1486="KANTOR",0,INDEX(Master_Customer!$C$2:$C$126,MATCH(C1486,Master_Customer!$A$2:$A$126,0)))</f>
        <v>14</v>
      </c>
      <c r="H1486" s="53" t="n">
        <f aca="false">B1486+G1486</f>
        <v>45985</v>
      </c>
      <c r="I1486" s="51" t="n">
        <v>45973</v>
      </c>
      <c r="J1486" s="39" t="str">
        <f aca="false">IF(G1486=0,"Tunai",IF(I1486="","Belum ditukar","Sudah ditukar"))</f>
        <v>Sudah ditukar</v>
      </c>
      <c r="K1486" s="54" t="n">
        <v>2356900</v>
      </c>
      <c r="L1486" s="51" t="n">
        <v>45989</v>
      </c>
      <c r="M1486" s="52" t="n">
        <f aca="false">F1486-K1486</f>
        <v>0</v>
      </c>
      <c r="N1486" s="39" t="str">
        <f aca="false">IF(M1486&lt;=0,"Lunas",IF(K1486&gt;0,"Sebagian","Belum Bayar"))</f>
        <v>Lunas</v>
      </c>
      <c r="O1486" s="39" t="n">
        <f aca="false">IF(M1486&gt;0,MAX(0,Catatan!$B$3-H1486),0)</f>
        <v>0</v>
      </c>
      <c r="P1486" s="39" t="str">
        <f aca="false">IF(M1486&lt;=0,"Lunas",IF(Catatan!$B$3&lt;=H1486,"Belum Jatuh Tempo",IF(O1486&lt;=30,"1-30 hari",IF(O1486&lt;=60,"31-60 hari",IF(O1486&lt;=90,"61-90 hari","90+ hari")))))</f>
        <v>Lunas</v>
      </c>
      <c r="Q1486" s="50"/>
      <c r="R1486" s="39" t="str">
        <f aca="false">IF(M1486&lt;=0,"",IF(O1486&gt;60,"1-Tinggi",IF(O1486&gt;30,"2-Sedang",IF(O1486&gt;0,"3-Rendah","4-Pantau"))))</f>
        <v/>
      </c>
      <c r="S1486" s="39" t="str">
        <f aca="false">IF(AND(M1486&gt;0,O1486&gt;0),O1486+M1486/1000000000000+ROW()/1000000000000000,"")</f>
        <v/>
      </c>
      <c r="T1486" s="39" t="str">
        <f aca="false">IF(J1486="Belum ditukar",ROW(),"")</f>
        <v/>
      </c>
    </row>
    <row r="1487" customFormat="false" ht="15" hidden="false" customHeight="false" outlineLevel="0" collapsed="false">
      <c r="A1487" s="50" t="s">
        <v>1774</v>
      </c>
      <c r="B1487" s="51" t="n">
        <v>45971</v>
      </c>
      <c r="C1487" s="50" t="s">
        <v>693</v>
      </c>
      <c r="D1487" s="39" t="str">
        <f aca="false">INDEX(Master_Customer!$B$2:$B$126,MATCH(C1487,Master_Customer!$A$2:$A$126,0))</f>
        <v>SUMBER OLI GEMILANG</v>
      </c>
      <c r="E1487" s="50" t="s">
        <v>30</v>
      </c>
      <c r="F1487" s="52" t="n">
        <f aca="false">SUMIFS(Data_Penjualan!$G$2:$G$5998,Data_Penjualan!$A$2:$A$5998,A1487)</f>
        <v>9088100</v>
      </c>
      <c r="G1487" s="39" t="n">
        <f aca="false">IF(E1487="KANTOR",0,INDEX(Master_Customer!$C$2:$C$126,MATCH(C1487,Master_Customer!$A$2:$A$126,0)))</f>
        <v>30</v>
      </c>
      <c r="H1487" s="53" t="n">
        <f aca="false">B1487+G1487</f>
        <v>46001</v>
      </c>
      <c r="I1487" s="51" t="n">
        <v>45974</v>
      </c>
      <c r="J1487" s="39" t="str">
        <f aca="false">IF(G1487=0,"Tunai",IF(I1487="","Belum ditukar","Sudah ditukar"))</f>
        <v>Sudah ditukar</v>
      </c>
      <c r="K1487" s="54" t="n">
        <v>0</v>
      </c>
      <c r="M1487" s="52" t="n">
        <f aca="false">F1487-K1487</f>
        <v>9088100</v>
      </c>
      <c r="N1487" s="39" t="str">
        <f aca="false">IF(M1487&lt;=0,"Lunas",IF(K1487&gt;0,"Sebagian","Belum Bayar"))</f>
        <v>Belum Bayar</v>
      </c>
      <c r="O1487" s="39" t="n">
        <f aca="false">IF(M1487&gt;0,MAX(0,Catatan!$B$3-H1487),0)</f>
        <v>21</v>
      </c>
      <c r="P1487" s="39" t="str">
        <f aca="false">IF(M1487&lt;=0,"Lunas",IF(Catatan!$B$3&lt;=H1487,"Belum Jatuh Tempo",IF(O1487&lt;=30,"1-30 hari",IF(O1487&lt;=60,"31-60 hari",IF(O1487&lt;=90,"61-90 hari","90+ hari")))))</f>
        <v>1-30 hari</v>
      </c>
      <c r="Q1487" s="50" t="s">
        <v>712</v>
      </c>
      <c r="R1487" s="39" t="str">
        <f aca="false">IF(M1487&lt;=0,"",IF(O1487&gt;60,"1-Tinggi",IF(O1487&gt;30,"2-Sedang",IF(O1487&gt;0,"3-Rendah","4-Pantau"))))</f>
        <v>3-Rendah</v>
      </c>
      <c r="S1487" s="39" t="n">
        <f aca="false">IF(AND(M1487&gt;0,O1487&gt;0),O1487+M1487/1000000000000+ROW()/1000000000000000,"")</f>
        <v>21.0000090881015</v>
      </c>
      <c r="T1487" s="39" t="str">
        <f aca="false">IF(J1487="Belum ditukar",ROW(),"")</f>
        <v/>
      </c>
    </row>
    <row r="1488" customFormat="false" ht="15" hidden="false" customHeight="false" outlineLevel="0" collapsed="false">
      <c r="A1488" s="50" t="s">
        <v>1775</v>
      </c>
      <c r="B1488" s="51" t="n">
        <v>45971</v>
      </c>
      <c r="C1488" s="50" t="s">
        <v>174</v>
      </c>
      <c r="D1488" s="39" t="str">
        <f aca="false">INDEX(Master_Customer!$B$2:$B$126,MATCH(C1488,Master_Customer!$A$2:$A$126,0))</f>
        <v>SUMBER TEKNIK SURYA</v>
      </c>
      <c r="E1488" s="50" t="s">
        <v>32</v>
      </c>
      <c r="F1488" s="52" t="n">
        <f aca="false">SUMIFS(Data_Penjualan!$G$2:$G$5998,Data_Penjualan!$A$2:$A$5998,A1488)</f>
        <v>11407200</v>
      </c>
      <c r="G1488" s="39" t="n">
        <f aca="false">IF(E1488="KANTOR",0,INDEX(Master_Customer!$C$2:$C$126,MATCH(C1488,Master_Customer!$A$2:$A$126,0)))</f>
        <v>0</v>
      </c>
      <c r="H1488" s="53" t="n">
        <f aca="false">B1488+G1488</f>
        <v>45971</v>
      </c>
      <c r="J1488" s="39" t="str">
        <f aca="false">IF(G1488=0,"Tunai",IF(I1488="","Belum ditukar","Sudah ditukar"))</f>
        <v>Tunai</v>
      </c>
      <c r="K1488" s="54" t="n">
        <v>11407200</v>
      </c>
      <c r="L1488" s="51" t="n">
        <v>45971</v>
      </c>
      <c r="M1488" s="52" t="n">
        <f aca="false">F1488-K1488</f>
        <v>0</v>
      </c>
      <c r="N1488" s="39" t="str">
        <f aca="false">IF(M1488&lt;=0,"Lunas",IF(K1488&gt;0,"Sebagian","Belum Bayar"))</f>
        <v>Lunas</v>
      </c>
      <c r="O1488" s="39" t="n">
        <f aca="false">IF(M1488&gt;0,MAX(0,Catatan!$B$3-H1488),0)</f>
        <v>0</v>
      </c>
      <c r="P1488" s="39" t="str">
        <f aca="false">IF(M1488&lt;=0,"Lunas",IF(Catatan!$B$3&lt;=H1488,"Belum Jatuh Tempo",IF(O1488&lt;=30,"1-30 hari",IF(O1488&lt;=60,"31-60 hari",IF(O1488&lt;=90,"61-90 hari","90+ hari")))))</f>
        <v>Lunas</v>
      </c>
      <c r="Q1488" s="50"/>
      <c r="R1488" s="39" t="str">
        <f aca="false">IF(M1488&lt;=0,"",IF(O1488&gt;60,"1-Tinggi",IF(O1488&gt;30,"2-Sedang",IF(O1488&gt;0,"3-Rendah","4-Pantau"))))</f>
        <v/>
      </c>
      <c r="S1488" s="39" t="str">
        <f aca="false">IF(AND(M1488&gt;0,O1488&gt;0),O1488+M1488/1000000000000+ROW()/1000000000000000,"")</f>
        <v/>
      </c>
      <c r="T1488" s="39" t="str">
        <f aca="false">IF(J1488="Belum ditukar",ROW(),"")</f>
        <v/>
      </c>
    </row>
    <row r="1489" customFormat="false" ht="15" hidden="false" customHeight="false" outlineLevel="0" collapsed="false">
      <c r="A1489" s="50" t="s">
        <v>1776</v>
      </c>
      <c r="B1489" s="51" t="n">
        <v>45971</v>
      </c>
      <c r="C1489" s="50" t="s">
        <v>216</v>
      </c>
      <c r="D1489" s="39" t="str">
        <f aca="false">INDEX(Master_Customer!$B$2:$B$126,MATCH(C1489,Master_Customer!$A$2:$A$126,0))</f>
        <v>SINAR MOTOR UTAMA</v>
      </c>
      <c r="E1489" s="50" t="s">
        <v>30</v>
      </c>
      <c r="F1489" s="52" t="n">
        <f aca="false">SUMIFS(Data_Penjualan!$G$2:$G$5998,Data_Penjualan!$A$2:$A$5998,A1489)</f>
        <v>1973900</v>
      </c>
      <c r="G1489" s="39" t="n">
        <f aca="false">IF(E1489="KANTOR",0,INDEX(Master_Customer!$C$2:$C$126,MATCH(C1489,Master_Customer!$A$2:$A$126,0)))</f>
        <v>0</v>
      </c>
      <c r="H1489" s="53" t="n">
        <f aca="false">B1489+G1489</f>
        <v>45971</v>
      </c>
      <c r="J1489" s="39" t="str">
        <f aca="false">IF(G1489=0,"Tunai",IF(I1489="","Belum ditukar","Sudah ditukar"))</f>
        <v>Tunai</v>
      </c>
      <c r="K1489" s="54" t="n">
        <v>1973900</v>
      </c>
      <c r="L1489" s="51" t="n">
        <v>45972</v>
      </c>
      <c r="M1489" s="52" t="n">
        <f aca="false">F1489-K1489</f>
        <v>0</v>
      </c>
      <c r="N1489" s="39" t="str">
        <f aca="false">IF(M1489&lt;=0,"Lunas",IF(K1489&gt;0,"Sebagian","Belum Bayar"))</f>
        <v>Lunas</v>
      </c>
      <c r="O1489" s="39" t="n">
        <f aca="false">IF(M1489&gt;0,MAX(0,Catatan!$B$3-H1489),0)</f>
        <v>0</v>
      </c>
      <c r="P1489" s="39" t="str">
        <f aca="false">IF(M1489&lt;=0,"Lunas",IF(Catatan!$B$3&lt;=H1489,"Belum Jatuh Tempo",IF(O1489&lt;=30,"1-30 hari",IF(O1489&lt;=60,"31-60 hari",IF(O1489&lt;=90,"61-90 hari","90+ hari")))))</f>
        <v>Lunas</v>
      </c>
      <c r="Q1489" s="50"/>
      <c r="R1489" s="39" t="str">
        <f aca="false">IF(M1489&lt;=0,"",IF(O1489&gt;60,"1-Tinggi",IF(O1489&gt;30,"2-Sedang",IF(O1489&gt;0,"3-Rendah","4-Pantau"))))</f>
        <v/>
      </c>
      <c r="S1489" s="39" t="str">
        <f aca="false">IF(AND(M1489&gt;0,O1489&gt;0),O1489+M1489/1000000000000+ROW()/1000000000000000,"")</f>
        <v/>
      </c>
      <c r="T1489" s="39" t="str">
        <f aca="false">IF(J1489="Belum ditukar",ROW(),"")</f>
        <v/>
      </c>
    </row>
    <row r="1490" customFormat="false" ht="15" hidden="false" customHeight="false" outlineLevel="0" collapsed="false">
      <c r="A1490" s="50" t="s">
        <v>1777</v>
      </c>
      <c r="B1490" s="51" t="n">
        <v>45971</v>
      </c>
      <c r="C1490" s="50" t="s">
        <v>234</v>
      </c>
      <c r="D1490" s="39" t="str">
        <f aca="false">INDEX(Master_Customer!$B$2:$B$126,MATCH(C1490,Master_Customer!$A$2:$A$126,0))</f>
        <v>CAHAYA OLI</v>
      </c>
      <c r="E1490" s="50" t="s">
        <v>28</v>
      </c>
      <c r="F1490" s="52" t="n">
        <f aca="false">SUMIFS(Data_Penjualan!$G$2:$G$5998,Data_Penjualan!$A$2:$A$5998,A1490)</f>
        <v>16398600</v>
      </c>
      <c r="G1490" s="39" t="n">
        <f aca="false">IF(E1490="KANTOR",0,INDEX(Master_Customer!$C$2:$C$126,MATCH(C1490,Master_Customer!$A$2:$A$126,0)))</f>
        <v>30</v>
      </c>
      <c r="H1490" s="53" t="n">
        <f aca="false">B1490+G1490</f>
        <v>46001</v>
      </c>
      <c r="I1490" s="51" t="n">
        <v>45975</v>
      </c>
      <c r="J1490" s="39" t="str">
        <f aca="false">IF(G1490=0,"Tunai",IF(I1490="","Belum ditukar","Sudah ditukar"))</f>
        <v>Sudah ditukar</v>
      </c>
      <c r="K1490" s="54" t="n">
        <v>16398600</v>
      </c>
      <c r="L1490" s="51" t="n">
        <v>45992</v>
      </c>
      <c r="M1490" s="52" t="n">
        <f aca="false">F1490-K1490</f>
        <v>0</v>
      </c>
      <c r="N1490" s="39" t="str">
        <f aca="false">IF(M1490&lt;=0,"Lunas",IF(K1490&gt;0,"Sebagian","Belum Bayar"))</f>
        <v>Lunas</v>
      </c>
      <c r="O1490" s="39" t="n">
        <f aca="false">IF(M1490&gt;0,MAX(0,Catatan!$B$3-H1490),0)</f>
        <v>0</v>
      </c>
      <c r="P1490" s="39" t="str">
        <f aca="false">IF(M1490&lt;=0,"Lunas",IF(Catatan!$B$3&lt;=H1490,"Belum Jatuh Tempo",IF(O1490&lt;=30,"1-30 hari",IF(O1490&lt;=60,"31-60 hari",IF(O1490&lt;=90,"61-90 hari","90+ hari")))))</f>
        <v>Lunas</v>
      </c>
      <c r="Q1490" s="50"/>
      <c r="R1490" s="39" t="str">
        <f aca="false">IF(M1490&lt;=0,"",IF(O1490&gt;60,"1-Tinggi",IF(O1490&gt;30,"2-Sedang",IF(O1490&gt;0,"3-Rendah","4-Pantau"))))</f>
        <v/>
      </c>
      <c r="S1490" s="39" t="str">
        <f aca="false">IF(AND(M1490&gt;0,O1490&gt;0),O1490+M1490/1000000000000+ROW()/1000000000000000,"")</f>
        <v/>
      </c>
      <c r="T1490" s="39" t="str">
        <f aca="false">IF(J1490="Belum ditukar",ROW(),"")</f>
        <v/>
      </c>
    </row>
    <row r="1491" customFormat="false" ht="15" hidden="false" customHeight="false" outlineLevel="0" collapsed="false">
      <c r="A1491" s="50" t="s">
        <v>1778</v>
      </c>
      <c r="B1491" s="51" t="n">
        <v>45971</v>
      </c>
      <c r="C1491" s="50" t="s">
        <v>177</v>
      </c>
      <c r="D1491" s="39" t="str">
        <f aca="false">INDEX(Master_Customer!$B$2:$B$126,MATCH(C1491,Master_Customer!$A$2:$A$126,0))</f>
        <v>PRIMA MOTOR LANCAR</v>
      </c>
      <c r="E1491" s="50" t="s">
        <v>29</v>
      </c>
      <c r="F1491" s="52" t="n">
        <f aca="false">SUMIFS(Data_Penjualan!$G$2:$G$5998,Data_Penjualan!$A$2:$A$5998,A1491)</f>
        <v>16564800</v>
      </c>
      <c r="G1491" s="39" t="n">
        <f aca="false">IF(E1491="KANTOR",0,INDEX(Master_Customer!$C$2:$C$126,MATCH(C1491,Master_Customer!$A$2:$A$126,0)))</f>
        <v>14</v>
      </c>
      <c r="H1491" s="53" t="n">
        <f aca="false">B1491+G1491</f>
        <v>45985</v>
      </c>
      <c r="I1491" s="51" t="n">
        <v>45975</v>
      </c>
      <c r="J1491" s="39" t="str">
        <f aca="false">IF(G1491=0,"Tunai",IF(I1491="","Belum ditukar","Sudah ditukar"))</f>
        <v>Sudah ditukar</v>
      </c>
      <c r="K1491" s="54" t="n">
        <v>16564800</v>
      </c>
      <c r="L1491" s="51" t="n">
        <v>45986</v>
      </c>
      <c r="M1491" s="52" t="n">
        <f aca="false">F1491-K1491</f>
        <v>0</v>
      </c>
      <c r="N1491" s="39" t="str">
        <f aca="false">IF(M1491&lt;=0,"Lunas",IF(K1491&gt;0,"Sebagian","Belum Bayar"))</f>
        <v>Lunas</v>
      </c>
      <c r="O1491" s="39" t="n">
        <f aca="false">IF(M1491&gt;0,MAX(0,Catatan!$B$3-H1491),0)</f>
        <v>0</v>
      </c>
      <c r="P1491" s="39" t="str">
        <f aca="false">IF(M1491&lt;=0,"Lunas",IF(Catatan!$B$3&lt;=H1491,"Belum Jatuh Tempo",IF(O1491&lt;=30,"1-30 hari",IF(O1491&lt;=60,"31-60 hari",IF(O1491&lt;=90,"61-90 hari","90+ hari")))))</f>
        <v>Lunas</v>
      </c>
      <c r="Q1491" s="50"/>
      <c r="R1491" s="39" t="str">
        <f aca="false">IF(M1491&lt;=0,"",IF(O1491&gt;60,"1-Tinggi",IF(O1491&gt;30,"2-Sedang",IF(O1491&gt;0,"3-Rendah","4-Pantau"))))</f>
        <v/>
      </c>
      <c r="S1491" s="39" t="str">
        <f aca="false">IF(AND(M1491&gt;0,O1491&gt;0),O1491+M1491/1000000000000+ROW()/1000000000000000,"")</f>
        <v/>
      </c>
      <c r="T1491" s="39" t="str">
        <f aca="false">IF(J1491="Belum ditukar",ROW(),"")</f>
        <v/>
      </c>
    </row>
    <row r="1492" customFormat="false" ht="15" hidden="false" customHeight="false" outlineLevel="0" collapsed="false">
      <c r="A1492" s="50" t="s">
        <v>1779</v>
      </c>
      <c r="B1492" s="51" t="n">
        <v>45972</v>
      </c>
      <c r="C1492" s="50" t="s">
        <v>195</v>
      </c>
      <c r="D1492" s="39" t="str">
        <f aca="false">INDEX(Master_Customer!$B$2:$B$126,MATCH(C1492,Master_Customer!$A$2:$A$126,0))</f>
        <v>KARYA LUBRICANT BINTANG</v>
      </c>
      <c r="E1492" s="50" t="s">
        <v>32</v>
      </c>
      <c r="F1492" s="52" t="n">
        <f aca="false">SUMIFS(Data_Penjualan!$G$2:$G$5998,Data_Penjualan!$A$2:$A$5998,A1492)</f>
        <v>899200</v>
      </c>
      <c r="G1492" s="39" t="n">
        <f aca="false">IF(E1492="KANTOR",0,INDEX(Master_Customer!$C$2:$C$126,MATCH(C1492,Master_Customer!$A$2:$A$126,0)))</f>
        <v>0</v>
      </c>
      <c r="H1492" s="53" t="n">
        <f aca="false">B1492+G1492</f>
        <v>45972</v>
      </c>
      <c r="J1492" s="39" t="str">
        <f aca="false">IF(G1492=0,"Tunai",IF(I1492="","Belum ditukar","Sudah ditukar"))</f>
        <v>Tunai</v>
      </c>
      <c r="K1492" s="54" t="n">
        <v>899200</v>
      </c>
      <c r="L1492" s="51" t="n">
        <v>45972</v>
      </c>
      <c r="M1492" s="52" t="n">
        <f aca="false">F1492-K1492</f>
        <v>0</v>
      </c>
      <c r="N1492" s="39" t="str">
        <f aca="false">IF(M1492&lt;=0,"Lunas",IF(K1492&gt;0,"Sebagian","Belum Bayar"))</f>
        <v>Lunas</v>
      </c>
      <c r="O1492" s="39" t="n">
        <f aca="false">IF(M1492&gt;0,MAX(0,Catatan!$B$3-H1492),0)</f>
        <v>0</v>
      </c>
      <c r="P1492" s="39" t="str">
        <f aca="false">IF(M1492&lt;=0,"Lunas",IF(Catatan!$B$3&lt;=H1492,"Belum Jatuh Tempo",IF(O1492&lt;=30,"1-30 hari",IF(O1492&lt;=60,"31-60 hari",IF(O1492&lt;=90,"61-90 hari","90+ hari")))))</f>
        <v>Lunas</v>
      </c>
      <c r="Q1492" s="50"/>
      <c r="R1492" s="39" t="str">
        <f aca="false">IF(M1492&lt;=0,"",IF(O1492&gt;60,"1-Tinggi",IF(O1492&gt;30,"2-Sedang",IF(O1492&gt;0,"3-Rendah","4-Pantau"))))</f>
        <v/>
      </c>
      <c r="S1492" s="39" t="str">
        <f aca="false">IF(AND(M1492&gt;0,O1492&gt;0),O1492+M1492/1000000000000+ROW()/1000000000000000,"")</f>
        <v/>
      </c>
      <c r="T1492" s="39" t="str">
        <f aca="false">IF(J1492="Belum ditukar",ROW(),"")</f>
        <v/>
      </c>
    </row>
    <row r="1493" customFormat="false" ht="15" hidden="false" customHeight="false" outlineLevel="0" collapsed="false">
      <c r="A1493" s="50" t="s">
        <v>1780</v>
      </c>
      <c r="B1493" s="51" t="n">
        <v>45972</v>
      </c>
      <c r="C1493" s="50" t="s">
        <v>491</v>
      </c>
      <c r="D1493" s="39" t="str">
        <f aca="false">INDEX(Master_Customer!$B$2:$B$126,MATCH(C1493,Master_Customer!$A$2:$A$126,0))</f>
        <v>SINAR SERVICE</v>
      </c>
      <c r="E1493" s="50" t="s">
        <v>31</v>
      </c>
      <c r="F1493" s="52" t="n">
        <f aca="false">SUMIFS(Data_Penjualan!$G$2:$G$5998,Data_Penjualan!$A$2:$A$5998,A1493)</f>
        <v>8041900</v>
      </c>
      <c r="G1493" s="39" t="n">
        <f aca="false">IF(E1493="KANTOR",0,INDEX(Master_Customer!$C$2:$C$126,MATCH(C1493,Master_Customer!$A$2:$A$126,0)))</f>
        <v>0</v>
      </c>
      <c r="H1493" s="53" t="n">
        <f aca="false">B1493+G1493</f>
        <v>45972</v>
      </c>
      <c r="J1493" s="39" t="str">
        <f aca="false">IF(G1493=0,"Tunai",IF(I1493="","Belum ditukar","Sudah ditukar"))</f>
        <v>Tunai</v>
      </c>
      <c r="K1493" s="54" t="n">
        <v>8041900</v>
      </c>
      <c r="L1493" s="51" t="n">
        <v>45972</v>
      </c>
      <c r="M1493" s="52" t="n">
        <f aca="false">F1493-K1493</f>
        <v>0</v>
      </c>
      <c r="N1493" s="39" t="str">
        <f aca="false">IF(M1493&lt;=0,"Lunas",IF(K1493&gt;0,"Sebagian","Belum Bayar"))</f>
        <v>Lunas</v>
      </c>
      <c r="O1493" s="39" t="n">
        <f aca="false">IF(M1493&gt;0,MAX(0,Catatan!$B$3-H1493),0)</f>
        <v>0</v>
      </c>
      <c r="P1493" s="39" t="str">
        <f aca="false">IF(M1493&lt;=0,"Lunas",IF(Catatan!$B$3&lt;=H1493,"Belum Jatuh Tempo",IF(O1493&lt;=30,"1-30 hari",IF(O1493&lt;=60,"31-60 hari",IF(O1493&lt;=90,"61-90 hari","90+ hari")))))</f>
        <v>Lunas</v>
      </c>
      <c r="Q1493" s="50"/>
      <c r="R1493" s="39" t="str">
        <f aca="false">IF(M1493&lt;=0,"",IF(O1493&gt;60,"1-Tinggi",IF(O1493&gt;30,"2-Sedang",IF(O1493&gt;0,"3-Rendah","4-Pantau"))))</f>
        <v/>
      </c>
      <c r="S1493" s="39" t="str">
        <f aca="false">IF(AND(M1493&gt;0,O1493&gt;0),O1493+M1493/1000000000000+ROW()/1000000000000000,"")</f>
        <v/>
      </c>
      <c r="T1493" s="39" t="str">
        <f aca="false">IF(J1493="Belum ditukar",ROW(),"")</f>
        <v/>
      </c>
    </row>
    <row r="1494" customFormat="false" ht="15" hidden="false" customHeight="false" outlineLevel="0" collapsed="false">
      <c r="A1494" s="50" t="s">
        <v>1781</v>
      </c>
      <c r="B1494" s="51" t="n">
        <v>45972</v>
      </c>
      <c r="C1494" s="50" t="s">
        <v>237</v>
      </c>
      <c r="D1494" s="39" t="str">
        <f aca="false">INDEX(Master_Customer!$B$2:$B$126,MATCH(C1494,Master_Customer!$A$2:$A$126,0))</f>
        <v>SINAR SPAREPART</v>
      </c>
      <c r="E1494" s="50" t="s">
        <v>32</v>
      </c>
      <c r="F1494" s="52" t="n">
        <f aca="false">SUMIFS(Data_Penjualan!$G$2:$G$5998,Data_Penjualan!$A$2:$A$5998,A1494)</f>
        <v>8370100</v>
      </c>
      <c r="G1494" s="39" t="n">
        <f aca="false">IF(E1494="KANTOR",0,INDEX(Master_Customer!$C$2:$C$126,MATCH(C1494,Master_Customer!$A$2:$A$126,0)))</f>
        <v>0</v>
      </c>
      <c r="H1494" s="53" t="n">
        <f aca="false">B1494+G1494</f>
        <v>45972</v>
      </c>
      <c r="J1494" s="39" t="str">
        <f aca="false">IF(G1494=0,"Tunai",IF(I1494="","Belum ditukar","Sudah ditukar"))</f>
        <v>Tunai</v>
      </c>
      <c r="K1494" s="54" t="n">
        <v>8370100</v>
      </c>
      <c r="L1494" s="51" t="n">
        <v>45972</v>
      </c>
      <c r="M1494" s="52" t="n">
        <f aca="false">F1494-K1494</f>
        <v>0</v>
      </c>
      <c r="N1494" s="39" t="str">
        <f aca="false">IF(M1494&lt;=0,"Lunas",IF(K1494&gt;0,"Sebagian","Belum Bayar"))</f>
        <v>Lunas</v>
      </c>
      <c r="O1494" s="39" t="n">
        <f aca="false">IF(M1494&gt;0,MAX(0,Catatan!$B$3-H1494),0)</f>
        <v>0</v>
      </c>
      <c r="P1494" s="39" t="str">
        <f aca="false">IF(M1494&lt;=0,"Lunas",IF(Catatan!$B$3&lt;=H1494,"Belum Jatuh Tempo",IF(O1494&lt;=30,"1-30 hari",IF(O1494&lt;=60,"31-60 hari",IF(O1494&lt;=90,"61-90 hari","90+ hari")))))</f>
        <v>Lunas</v>
      </c>
      <c r="Q1494" s="50"/>
      <c r="R1494" s="39" t="str">
        <f aca="false">IF(M1494&lt;=0,"",IF(O1494&gt;60,"1-Tinggi",IF(O1494&gt;30,"2-Sedang",IF(O1494&gt;0,"3-Rendah","4-Pantau"))))</f>
        <v/>
      </c>
      <c r="S1494" s="39" t="str">
        <f aca="false">IF(AND(M1494&gt;0,O1494&gt;0),O1494+M1494/1000000000000+ROW()/1000000000000000,"")</f>
        <v/>
      </c>
      <c r="T1494" s="39" t="str">
        <f aca="false">IF(J1494="Belum ditukar",ROW(),"")</f>
        <v/>
      </c>
    </row>
    <row r="1495" customFormat="false" ht="15" hidden="false" customHeight="false" outlineLevel="0" collapsed="false">
      <c r="A1495" s="50" t="s">
        <v>1782</v>
      </c>
      <c r="B1495" s="51" t="n">
        <v>45972</v>
      </c>
      <c r="C1495" s="50" t="s">
        <v>205</v>
      </c>
      <c r="D1495" s="39" t="str">
        <f aca="false">INDEX(Master_Customer!$B$2:$B$126,MATCH(C1495,Master_Customer!$A$2:$A$126,0))</f>
        <v>BERKAH OLI</v>
      </c>
      <c r="E1495" s="50" t="s">
        <v>28</v>
      </c>
      <c r="F1495" s="52" t="n">
        <f aca="false">SUMIFS(Data_Penjualan!$G$2:$G$5998,Data_Penjualan!$A$2:$A$5998,A1495)</f>
        <v>10506700</v>
      </c>
      <c r="G1495" s="39" t="n">
        <f aca="false">IF(E1495="KANTOR",0,INDEX(Master_Customer!$C$2:$C$126,MATCH(C1495,Master_Customer!$A$2:$A$126,0)))</f>
        <v>0</v>
      </c>
      <c r="H1495" s="53" t="n">
        <f aca="false">B1495+G1495</f>
        <v>45972</v>
      </c>
      <c r="J1495" s="39" t="str">
        <f aca="false">IF(G1495=0,"Tunai",IF(I1495="","Belum ditukar","Sudah ditukar"))</f>
        <v>Tunai</v>
      </c>
      <c r="K1495" s="54" t="n">
        <v>10506700</v>
      </c>
      <c r="L1495" s="51" t="n">
        <v>45974</v>
      </c>
      <c r="M1495" s="52" t="n">
        <f aca="false">F1495-K1495</f>
        <v>0</v>
      </c>
      <c r="N1495" s="39" t="str">
        <f aca="false">IF(M1495&lt;=0,"Lunas",IF(K1495&gt;0,"Sebagian","Belum Bayar"))</f>
        <v>Lunas</v>
      </c>
      <c r="O1495" s="39" t="n">
        <f aca="false">IF(M1495&gt;0,MAX(0,Catatan!$B$3-H1495),0)</f>
        <v>0</v>
      </c>
      <c r="P1495" s="39" t="str">
        <f aca="false">IF(M1495&lt;=0,"Lunas",IF(Catatan!$B$3&lt;=H1495,"Belum Jatuh Tempo",IF(O1495&lt;=30,"1-30 hari",IF(O1495&lt;=60,"31-60 hari",IF(O1495&lt;=90,"61-90 hari","90+ hari")))))</f>
        <v>Lunas</v>
      </c>
      <c r="Q1495" s="50"/>
      <c r="R1495" s="39" t="str">
        <f aca="false">IF(M1495&lt;=0,"",IF(O1495&gt;60,"1-Tinggi",IF(O1495&gt;30,"2-Sedang",IF(O1495&gt;0,"3-Rendah","4-Pantau"))))</f>
        <v/>
      </c>
      <c r="S1495" s="39" t="str">
        <f aca="false">IF(AND(M1495&gt;0,O1495&gt;0),O1495+M1495/1000000000000+ROW()/1000000000000000,"")</f>
        <v/>
      </c>
      <c r="T1495" s="39" t="str">
        <f aca="false">IF(J1495="Belum ditukar",ROW(),"")</f>
        <v/>
      </c>
    </row>
    <row r="1496" customFormat="false" ht="15" hidden="false" customHeight="false" outlineLevel="0" collapsed="false">
      <c r="A1496" s="50" t="s">
        <v>1783</v>
      </c>
      <c r="B1496" s="51" t="n">
        <v>45972</v>
      </c>
      <c r="C1496" s="50" t="s">
        <v>247</v>
      </c>
      <c r="D1496" s="39" t="str">
        <f aca="false">INDEX(Master_Customer!$B$2:$B$126,MATCH(C1496,Master_Customer!$A$2:$A$126,0))</f>
        <v>BINTANG LUBRICANT SURYA</v>
      </c>
      <c r="E1496" s="50" t="s">
        <v>28</v>
      </c>
      <c r="F1496" s="52" t="n">
        <f aca="false">SUMIFS(Data_Penjualan!$G$2:$G$5998,Data_Penjualan!$A$2:$A$5998,A1496)</f>
        <v>6377000</v>
      </c>
      <c r="G1496" s="39" t="n">
        <f aca="false">IF(E1496="KANTOR",0,INDEX(Master_Customer!$C$2:$C$126,MATCH(C1496,Master_Customer!$A$2:$A$126,0)))</f>
        <v>30</v>
      </c>
      <c r="H1496" s="53" t="n">
        <f aca="false">B1496+G1496</f>
        <v>46002</v>
      </c>
      <c r="I1496" s="51" t="n">
        <v>45975</v>
      </c>
      <c r="J1496" s="39" t="str">
        <f aca="false">IF(G1496=0,"Tunai",IF(I1496="","Belum ditukar","Sudah ditukar"))</f>
        <v>Sudah ditukar</v>
      </c>
      <c r="K1496" s="54" t="n">
        <v>6377000</v>
      </c>
      <c r="L1496" s="51" t="n">
        <v>46001</v>
      </c>
      <c r="M1496" s="52" t="n">
        <f aca="false">F1496-K1496</f>
        <v>0</v>
      </c>
      <c r="N1496" s="39" t="str">
        <f aca="false">IF(M1496&lt;=0,"Lunas",IF(K1496&gt;0,"Sebagian","Belum Bayar"))</f>
        <v>Lunas</v>
      </c>
      <c r="O1496" s="39" t="n">
        <f aca="false">IF(M1496&gt;0,MAX(0,Catatan!$B$3-H1496),0)</f>
        <v>0</v>
      </c>
      <c r="P1496" s="39" t="str">
        <f aca="false">IF(M1496&lt;=0,"Lunas",IF(Catatan!$B$3&lt;=H1496,"Belum Jatuh Tempo",IF(O1496&lt;=30,"1-30 hari",IF(O1496&lt;=60,"31-60 hari",IF(O1496&lt;=90,"61-90 hari","90+ hari")))))</f>
        <v>Lunas</v>
      </c>
      <c r="Q1496" s="50"/>
      <c r="R1496" s="39" t="str">
        <f aca="false">IF(M1496&lt;=0,"",IF(O1496&gt;60,"1-Tinggi",IF(O1496&gt;30,"2-Sedang",IF(O1496&gt;0,"3-Rendah","4-Pantau"))))</f>
        <v/>
      </c>
      <c r="S1496" s="39" t="str">
        <f aca="false">IF(AND(M1496&gt;0,O1496&gt;0),O1496+M1496/1000000000000+ROW()/1000000000000000,"")</f>
        <v/>
      </c>
      <c r="T1496" s="39" t="str">
        <f aca="false">IF(J1496="Belum ditukar",ROW(),"")</f>
        <v/>
      </c>
    </row>
    <row r="1497" customFormat="false" ht="15" hidden="false" customHeight="false" outlineLevel="0" collapsed="false">
      <c r="A1497" s="50" t="s">
        <v>1784</v>
      </c>
      <c r="B1497" s="51" t="n">
        <v>45973</v>
      </c>
      <c r="C1497" s="50" t="s">
        <v>475</v>
      </c>
      <c r="D1497" s="39" t="str">
        <f aca="false">INDEX(Master_Customer!$B$2:$B$126,MATCH(C1497,Master_Customer!$A$2:$A$126,0))</f>
        <v>CAHAYA BENGKEL</v>
      </c>
      <c r="E1497" s="50" t="s">
        <v>30</v>
      </c>
      <c r="F1497" s="52" t="n">
        <f aca="false">SUMIFS(Data_Penjualan!$G$2:$G$5998,Data_Penjualan!$A$2:$A$5998,A1497)</f>
        <v>14290400</v>
      </c>
      <c r="G1497" s="39" t="n">
        <f aca="false">IF(E1497="KANTOR",0,INDEX(Master_Customer!$C$2:$C$126,MATCH(C1497,Master_Customer!$A$2:$A$126,0)))</f>
        <v>30</v>
      </c>
      <c r="H1497" s="53" t="n">
        <f aca="false">B1497+G1497</f>
        <v>46003</v>
      </c>
      <c r="I1497" s="51" t="n">
        <v>45978</v>
      </c>
      <c r="J1497" s="39" t="str">
        <f aca="false">IF(G1497=0,"Tunai",IF(I1497="","Belum ditukar","Sudah ditukar"))</f>
        <v>Sudah ditukar</v>
      </c>
      <c r="K1497" s="54" t="n">
        <v>14290400</v>
      </c>
      <c r="L1497" s="51" t="n">
        <v>46014</v>
      </c>
      <c r="M1497" s="52" t="n">
        <f aca="false">F1497-K1497</f>
        <v>0</v>
      </c>
      <c r="N1497" s="39" t="str">
        <f aca="false">IF(M1497&lt;=0,"Lunas",IF(K1497&gt;0,"Sebagian","Belum Bayar"))</f>
        <v>Lunas</v>
      </c>
      <c r="O1497" s="39" t="n">
        <f aca="false">IF(M1497&gt;0,MAX(0,Catatan!$B$3-H1497),0)</f>
        <v>0</v>
      </c>
      <c r="P1497" s="39" t="str">
        <f aca="false">IF(M1497&lt;=0,"Lunas",IF(Catatan!$B$3&lt;=H1497,"Belum Jatuh Tempo",IF(O1497&lt;=30,"1-30 hari",IF(O1497&lt;=60,"31-60 hari",IF(O1497&lt;=90,"61-90 hari","90+ hari")))))</f>
        <v>Lunas</v>
      </c>
      <c r="Q1497" s="50"/>
      <c r="R1497" s="39" t="str">
        <f aca="false">IF(M1497&lt;=0,"",IF(O1497&gt;60,"1-Tinggi",IF(O1497&gt;30,"2-Sedang",IF(O1497&gt;0,"3-Rendah","4-Pantau"))))</f>
        <v/>
      </c>
      <c r="S1497" s="39" t="str">
        <f aca="false">IF(AND(M1497&gt;0,O1497&gt;0),O1497+M1497/1000000000000+ROW()/1000000000000000,"")</f>
        <v/>
      </c>
      <c r="T1497" s="39" t="str">
        <f aca="false">IF(J1497="Belum ditukar",ROW(),"")</f>
        <v/>
      </c>
    </row>
    <row r="1498" customFormat="false" ht="15" hidden="false" customHeight="false" outlineLevel="0" collapsed="false">
      <c r="A1498" s="50" t="s">
        <v>1785</v>
      </c>
      <c r="B1498" s="51" t="n">
        <v>45973</v>
      </c>
      <c r="C1498" s="50" t="s">
        <v>177</v>
      </c>
      <c r="D1498" s="39" t="str">
        <f aca="false">INDEX(Master_Customer!$B$2:$B$126,MATCH(C1498,Master_Customer!$A$2:$A$126,0))</f>
        <v>PRIMA MOTOR LANCAR</v>
      </c>
      <c r="E1498" s="50" t="s">
        <v>32</v>
      </c>
      <c r="F1498" s="52" t="n">
        <f aca="false">SUMIFS(Data_Penjualan!$G$2:$G$5998,Data_Penjualan!$A$2:$A$5998,A1498)</f>
        <v>2255800</v>
      </c>
      <c r="G1498" s="39" t="n">
        <f aca="false">IF(E1498="KANTOR",0,INDEX(Master_Customer!$C$2:$C$126,MATCH(C1498,Master_Customer!$A$2:$A$126,0)))</f>
        <v>0</v>
      </c>
      <c r="H1498" s="53" t="n">
        <f aca="false">B1498+G1498</f>
        <v>45973</v>
      </c>
      <c r="J1498" s="39" t="str">
        <f aca="false">IF(G1498=0,"Tunai",IF(I1498="","Belum ditukar","Sudah ditukar"))</f>
        <v>Tunai</v>
      </c>
      <c r="K1498" s="54" t="n">
        <v>2255800</v>
      </c>
      <c r="L1498" s="51" t="n">
        <v>45973</v>
      </c>
      <c r="M1498" s="52" t="n">
        <f aca="false">F1498-K1498</f>
        <v>0</v>
      </c>
      <c r="N1498" s="39" t="str">
        <f aca="false">IF(M1498&lt;=0,"Lunas",IF(K1498&gt;0,"Sebagian","Belum Bayar"))</f>
        <v>Lunas</v>
      </c>
      <c r="O1498" s="39" t="n">
        <f aca="false">IF(M1498&gt;0,MAX(0,Catatan!$B$3-H1498),0)</f>
        <v>0</v>
      </c>
      <c r="P1498" s="39" t="str">
        <f aca="false">IF(M1498&lt;=0,"Lunas",IF(Catatan!$B$3&lt;=H1498,"Belum Jatuh Tempo",IF(O1498&lt;=30,"1-30 hari",IF(O1498&lt;=60,"31-60 hari",IF(O1498&lt;=90,"61-90 hari","90+ hari")))))</f>
        <v>Lunas</v>
      </c>
      <c r="Q1498" s="50"/>
      <c r="R1498" s="39" t="str">
        <f aca="false">IF(M1498&lt;=0,"",IF(O1498&gt;60,"1-Tinggi",IF(O1498&gt;30,"2-Sedang",IF(O1498&gt;0,"3-Rendah","4-Pantau"))))</f>
        <v/>
      </c>
      <c r="S1498" s="39" t="str">
        <f aca="false">IF(AND(M1498&gt;0,O1498&gt;0),O1498+M1498/1000000000000+ROW()/1000000000000000,"")</f>
        <v/>
      </c>
      <c r="T1498" s="39" t="str">
        <f aca="false">IF(J1498="Belum ditukar",ROW(),"")</f>
        <v/>
      </c>
    </row>
    <row r="1499" customFormat="false" ht="15" hidden="false" customHeight="false" outlineLevel="0" collapsed="false">
      <c r="A1499" s="50" t="s">
        <v>1786</v>
      </c>
      <c r="B1499" s="51" t="n">
        <v>45973</v>
      </c>
      <c r="C1499" s="50" t="s">
        <v>838</v>
      </c>
      <c r="D1499" s="39" t="str">
        <f aca="false">INDEX(Master_Customer!$B$2:$B$126,MATCH(C1499,Master_Customer!$A$2:$A$126,0))</f>
        <v>HARAPAN AUTO</v>
      </c>
      <c r="E1499" s="50" t="s">
        <v>30</v>
      </c>
      <c r="F1499" s="52" t="n">
        <f aca="false">SUMIFS(Data_Penjualan!$G$2:$G$5998,Data_Penjualan!$A$2:$A$5998,A1499)</f>
        <v>7571600</v>
      </c>
      <c r="G1499" s="39" t="n">
        <f aca="false">IF(E1499="KANTOR",0,INDEX(Master_Customer!$C$2:$C$126,MATCH(C1499,Master_Customer!$A$2:$A$126,0)))</f>
        <v>30</v>
      </c>
      <c r="H1499" s="53" t="n">
        <f aca="false">B1499+G1499</f>
        <v>46003</v>
      </c>
      <c r="I1499" s="51" t="n">
        <v>45977</v>
      </c>
      <c r="J1499" s="39" t="str">
        <f aca="false">IF(G1499=0,"Tunai",IF(I1499="","Belum ditukar","Sudah ditukar"))</f>
        <v>Sudah ditukar</v>
      </c>
      <c r="K1499" s="54" t="n">
        <v>7571600</v>
      </c>
      <c r="L1499" s="51" t="n">
        <v>45996</v>
      </c>
      <c r="M1499" s="52" t="n">
        <f aca="false">F1499-K1499</f>
        <v>0</v>
      </c>
      <c r="N1499" s="39" t="str">
        <f aca="false">IF(M1499&lt;=0,"Lunas",IF(K1499&gt;0,"Sebagian","Belum Bayar"))</f>
        <v>Lunas</v>
      </c>
      <c r="O1499" s="39" t="n">
        <f aca="false">IF(M1499&gt;0,MAX(0,Catatan!$B$3-H1499),0)</f>
        <v>0</v>
      </c>
      <c r="P1499" s="39" t="str">
        <f aca="false">IF(M1499&lt;=0,"Lunas",IF(Catatan!$B$3&lt;=H1499,"Belum Jatuh Tempo",IF(O1499&lt;=30,"1-30 hari",IF(O1499&lt;=60,"31-60 hari",IF(O1499&lt;=90,"61-90 hari","90+ hari")))))</f>
        <v>Lunas</v>
      </c>
      <c r="Q1499" s="50"/>
      <c r="R1499" s="39" t="str">
        <f aca="false">IF(M1499&lt;=0,"",IF(O1499&gt;60,"1-Tinggi",IF(O1499&gt;30,"2-Sedang",IF(O1499&gt;0,"3-Rendah","4-Pantau"))))</f>
        <v/>
      </c>
      <c r="S1499" s="39" t="str">
        <f aca="false">IF(AND(M1499&gt;0,O1499&gt;0),O1499+M1499/1000000000000+ROW()/1000000000000000,"")</f>
        <v/>
      </c>
      <c r="T1499" s="39" t="str">
        <f aca="false">IF(J1499="Belum ditukar",ROW(),"")</f>
        <v/>
      </c>
    </row>
    <row r="1500" customFormat="false" ht="15" hidden="false" customHeight="false" outlineLevel="0" collapsed="false">
      <c r="A1500" s="50" t="s">
        <v>1787</v>
      </c>
      <c r="B1500" s="51" t="n">
        <v>45973</v>
      </c>
      <c r="C1500" s="50" t="s">
        <v>207</v>
      </c>
      <c r="D1500" s="39" t="str">
        <f aca="false">INDEX(Master_Customer!$B$2:$B$126,MATCH(C1500,Master_Customer!$A$2:$A$126,0))</f>
        <v>MAKMUR AUTO HARAPAN</v>
      </c>
      <c r="E1500" s="50" t="s">
        <v>29</v>
      </c>
      <c r="F1500" s="52" t="n">
        <f aca="false">SUMIFS(Data_Penjualan!$G$2:$G$5998,Data_Penjualan!$A$2:$A$5998,A1500)</f>
        <v>12537400</v>
      </c>
      <c r="G1500" s="39" t="n">
        <f aca="false">IF(E1500="KANTOR",0,INDEX(Master_Customer!$C$2:$C$126,MATCH(C1500,Master_Customer!$A$2:$A$126,0)))</f>
        <v>30</v>
      </c>
      <c r="H1500" s="53" t="n">
        <f aca="false">B1500+G1500</f>
        <v>46003</v>
      </c>
      <c r="I1500" s="51" t="n">
        <v>45974</v>
      </c>
      <c r="J1500" s="39" t="str">
        <f aca="false">IF(G1500=0,"Tunai",IF(I1500="","Belum ditukar","Sudah ditukar"))</f>
        <v>Sudah ditukar</v>
      </c>
      <c r="K1500" s="54" t="n">
        <v>12537400</v>
      </c>
      <c r="L1500" s="51" t="n">
        <v>46004</v>
      </c>
      <c r="M1500" s="52" t="n">
        <f aca="false">F1500-K1500</f>
        <v>0</v>
      </c>
      <c r="N1500" s="39" t="str">
        <f aca="false">IF(M1500&lt;=0,"Lunas",IF(K1500&gt;0,"Sebagian","Belum Bayar"))</f>
        <v>Lunas</v>
      </c>
      <c r="O1500" s="39" t="n">
        <f aca="false">IF(M1500&gt;0,MAX(0,Catatan!$B$3-H1500),0)</f>
        <v>0</v>
      </c>
      <c r="P1500" s="39" t="str">
        <f aca="false">IF(M1500&lt;=0,"Lunas",IF(Catatan!$B$3&lt;=H1500,"Belum Jatuh Tempo",IF(O1500&lt;=30,"1-30 hari",IF(O1500&lt;=60,"31-60 hari",IF(O1500&lt;=90,"61-90 hari","90+ hari")))))</f>
        <v>Lunas</v>
      </c>
      <c r="Q1500" s="50"/>
      <c r="R1500" s="39" t="str">
        <f aca="false">IF(M1500&lt;=0,"",IF(O1500&gt;60,"1-Tinggi",IF(O1500&gt;30,"2-Sedang",IF(O1500&gt;0,"3-Rendah","4-Pantau"))))</f>
        <v/>
      </c>
      <c r="S1500" s="39" t="str">
        <f aca="false">IF(AND(M1500&gt;0,O1500&gt;0),O1500+M1500/1000000000000+ROW()/1000000000000000,"")</f>
        <v/>
      </c>
      <c r="T1500" s="39" t="str">
        <f aca="false">IF(J1500="Belum ditukar",ROW(),"")</f>
        <v/>
      </c>
    </row>
    <row r="1501" customFormat="false" ht="15" hidden="false" customHeight="false" outlineLevel="0" collapsed="false">
      <c r="A1501" s="50" t="s">
        <v>1788</v>
      </c>
      <c r="B1501" s="51" t="n">
        <v>45973</v>
      </c>
      <c r="C1501" s="50" t="s">
        <v>223</v>
      </c>
      <c r="D1501" s="39" t="str">
        <f aca="false">INDEX(Master_Customer!$B$2:$B$126,MATCH(C1501,Master_Customer!$A$2:$A$126,0))</f>
        <v>ABADI AUTO UTAMA</v>
      </c>
      <c r="E1501" s="50" t="s">
        <v>32</v>
      </c>
      <c r="F1501" s="52" t="n">
        <f aca="false">SUMIFS(Data_Penjualan!$G$2:$G$5998,Data_Penjualan!$A$2:$A$5998,A1501)</f>
        <v>7683900</v>
      </c>
      <c r="G1501" s="39" t="n">
        <f aca="false">IF(E1501="KANTOR",0,INDEX(Master_Customer!$C$2:$C$126,MATCH(C1501,Master_Customer!$A$2:$A$126,0)))</f>
        <v>0</v>
      </c>
      <c r="H1501" s="53" t="n">
        <f aca="false">B1501+G1501</f>
        <v>45973</v>
      </c>
      <c r="J1501" s="39" t="str">
        <f aca="false">IF(G1501=0,"Tunai",IF(I1501="","Belum ditukar","Sudah ditukar"))</f>
        <v>Tunai</v>
      </c>
      <c r="K1501" s="54" t="n">
        <v>7683900</v>
      </c>
      <c r="L1501" s="51" t="n">
        <v>45973</v>
      </c>
      <c r="M1501" s="52" t="n">
        <f aca="false">F1501-K1501</f>
        <v>0</v>
      </c>
      <c r="N1501" s="39" t="str">
        <f aca="false">IF(M1501&lt;=0,"Lunas",IF(K1501&gt;0,"Sebagian","Belum Bayar"))</f>
        <v>Lunas</v>
      </c>
      <c r="O1501" s="39" t="n">
        <f aca="false">IF(M1501&gt;0,MAX(0,Catatan!$B$3-H1501),0)</f>
        <v>0</v>
      </c>
      <c r="P1501" s="39" t="str">
        <f aca="false">IF(M1501&lt;=0,"Lunas",IF(Catatan!$B$3&lt;=H1501,"Belum Jatuh Tempo",IF(O1501&lt;=30,"1-30 hari",IF(O1501&lt;=60,"31-60 hari",IF(O1501&lt;=90,"61-90 hari","90+ hari")))))</f>
        <v>Lunas</v>
      </c>
      <c r="Q1501" s="50"/>
      <c r="R1501" s="39" t="str">
        <f aca="false">IF(M1501&lt;=0,"",IF(O1501&gt;60,"1-Tinggi",IF(O1501&gt;30,"2-Sedang",IF(O1501&gt;0,"3-Rendah","4-Pantau"))))</f>
        <v/>
      </c>
      <c r="S1501" s="39" t="str">
        <f aca="false">IF(AND(M1501&gt;0,O1501&gt;0),O1501+M1501/1000000000000+ROW()/1000000000000000,"")</f>
        <v/>
      </c>
      <c r="T1501" s="39" t="str">
        <f aca="false">IF(J1501="Belum ditukar",ROW(),"")</f>
        <v/>
      </c>
    </row>
    <row r="1502" customFormat="false" ht="15" hidden="false" customHeight="false" outlineLevel="0" collapsed="false">
      <c r="A1502" s="50" t="s">
        <v>1789</v>
      </c>
      <c r="B1502" s="51" t="n">
        <v>45973</v>
      </c>
      <c r="C1502" s="50" t="s">
        <v>177</v>
      </c>
      <c r="D1502" s="39" t="str">
        <f aca="false">INDEX(Master_Customer!$B$2:$B$126,MATCH(C1502,Master_Customer!$A$2:$A$126,0))</f>
        <v>PRIMA MOTOR LANCAR</v>
      </c>
      <c r="E1502" s="50" t="s">
        <v>29</v>
      </c>
      <c r="F1502" s="52" t="n">
        <f aca="false">SUMIFS(Data_Penjualan!$G$2:$G$5998,Data_Penjualan!$A$2:$A$5998,A1502)</f>
        <v>7769700</v>
      </c>
      <c r="G1502" s="39" t="n">
        <f aca="false">IF(E1502="KANTOR",0,INDEX(Master_Customer!$C$2:$C$126,MATCH(C1502,Master_Customer!$A$2:$A$126,0)))</f>
        <v>14</v>
      </c>
      <c r="H1502" s="53" t="n">
        <f aca="false">B1502+G1502</f>
        <v>45987</v>
      </c>
      <c r="I1502" s="51" t="n">
        <v>45977</v>
      </c>
      <c r="J1502" s="39" t="str">
        <f aca="false">IF(G1502=0,"Tunai",IF(I1502="","Belum ditukar","Sudah ditukar"))</f>
        <v>Sudah ditukar</v>
      </c>
      <c r="K1502" s="54" t="n">
        <v>7769700</v>
      </c>
      <c r="L1502" s="51" t="n">
        <v>45986</v>
      </c>
      <c r="M1502" s="52" t="n">
        <f aca="false">F1502-K1502</f>
        <v>0</v>
      </c>
      <c r="N1502" s="39" t="str">
        <f aca="false">IF(M1502&lt;=0,"Lunas",IF(K1502&gt;0,"Sebagian","Belum Bayar"))</f>
        <v>Lunas</v>
      </c>
      <c r="O1502" s="39" t="n">
        <f aca="false">IF(M1502&gt;0,MAX(0,Catatan!$B$3-H1502),0)</f>
        <v>0</v>
      </c>
      <c r="P1502" s="39" t="str">
        <f aca="false">IF(M1502&lt;=0,"Lunas",IF(Catatan!$B$3&lt;=H1502,"Belum Jatuh Tempo",IF(O1502&lt;=30,"1-30 hari",IF(O1502&lt;=60,"31-60 hari",IF(O1502&lt;=90,"61-90 hari","90+ hari")))))</f>
        <v>Lunas</v>
      </c>
      <c r="Q1502" s="50"/>
      <c r="R1502" s="39" t="str">
        <f aca="false">IF(M1502&lt;=0,"",IF(O1502&gt;60,"1-Tinggi",IF(O1502&gt;30,"2-Sedang",IF(O1502&gt;0,"3-Rendah","4-Pantau"))))</f>
        <v/>
      </c>
      <c r="S1502" s="39" t="str">
        <f aca="false">IF(AND(M1502&gt;0,O1502&gt;0),O1502+M1502/1000000000000+ROW()/1000000000000000,"")</f>
        <v/>
      </c>
      <c r="T1502" s="39" t="str">
        <f aca="false">IF(J1502="Belum ditukar",ROW(),"")</f>
        <v/>
      </c>
    </row>
    <row r="1503" customFormat="false" ht="15" hidden="false" customHeight="false" outlineLevel="0" collapsed="false">
      <c r="A1503" s="50" t="s">
        <v>1790</v>
      </c>
      <c r="B1503" s="51" t="n">
        <v>45973</v>
      </c>
      <c r="C1503" s="50" t="s">
        <v>491</v>
      </c>
      <c r="D1503" s="39" t="str">
        <f aca="false">INDEX(Master_Customer!$B$2:$B$126,MATCH(C1503,Master_Customer!$A$2:$A$126,0))</f>
        <v>SINAR SERVICE</v>
      </c>
      <c r="E1503" s="50" t="s">
        <v>31</v>
      </c>
      <c r="F1503" s="52" t="n">
        <f aca="false">SUMIFS(Data_Penjualan!$G$2:$G$5998,Data_Penjualan!$A$2:$A$5998,A1503)</f>
        <v>3111000</v>
      </c>
      <c r="G1503" s="39" t="n">
        <f aca="false">IF(E1503="KANTOR",0,INDEX(Master_Customer!$C$2:$C$126,MATCH(C1503,Master_Customer!$A$2:$A$126,0)))</f>
        <v>0</v>
      </c>
      <c r="H1503" s="53" t="n">
        <f aca="false">B1503+G1503</f>
        <v>45973</v>
      </c>
      <c r="J1503" s="39" t="str">
        <f aca="false">IF(G1503=0,"Tunai",IF(I1503="","Belum ditukar","Sudah ditukar"))</f>
        <v>Tunai</v>
      </c>
      <c r="K1503" s="54" t="n">
        <v>3111000</v>
      </c>
      <c r="L1503" s="51" t="n">
        <v>45973</v>
      </c>
      <c r="M1503" s="52" t="n">
        <f aca="false">F1503-K1503</f>
        <v>0</v>
      </c>
      <c r="N1503" s="39" t="str">
        <f aca="false">IF(M1503&lt;=0,"Lunas",IF(K1503&gt;0,"Sebagian","Belum Bayar"))</f>
        <v>Lunas</v>
      </c>
      <c r="O1503" s="39" t="n">
        <f aca="false">IF(M1503&gt;0,MAX(0,Catatan!$B$3-H1503),0)</f>
        <v>0</v>
      </c>
      <c r="P1503" s="39" t="str">
        <f aca="false">IF(M1503&lt;=0,"Lunas",IF(Catatan!$B$3&lt;=H1503,"Belum Jatuh Tempo",IF(O1503&lt;=30,"1-30 hari",IF(O1503&lt;=60,"31-60 hari",IF(O1503&lt;=90,"61-90 hari","90+ hari")))))</f>
        <v>Lunas</v>
      </c>
      <c r="Q1503" s="50"/>
      <c r="R1503" s="39" t="str">
        <f aca="false">IF(M1503&lt;=0,"",IF(O1503&gt;60,"1-Tinggi",IF(O1503&gt;30,"2-Sedang",IF(O1503&gt;0,"3-Rendah","4-Pantau"))))</f>
        <v/>
      </c>
      <c r="S1503" s="39" t="str">
        <f aca="false">IF(AND(M1503&gt;0,O1503&gt;0),O1503+M1503/1000000000000+ROW()/1000000000000000,"")</f>
        <v/>
      </c>
      <c r="T1503" s="39" t="str">
        <f aca="false">IF(J1503="Belum ditukar",ROW(),"")</f>
        <v/>
      </c>
    </row>
    <row r="1504" customFormat="false" ht="15" hidden="false" customHeight="false" outlineLevel="0" collapsed="false">
      <c r="A1504" s="50" t="s">
        <v>1791</v>
      </c>
      <c r="B1504" s="51" t="n">
        <v>45973</v>
      </c>
      <c r="C1504" s="50" t="s">
        <v>195</v>
      </c>
      <c r="D1504" s="39" t="str">
        <f aca="false">INDEX(Master_Customer!$B$2:$B$126,MATCH(C1504,Master_Customer!$A$2:$A$126,0))</f>
        <v>KARYA LUBRICANT BINTANG</v>
      </c>
      <c r="E1504" s="50" t="s">
        <v>30</v>
      </c>
      <c r="F1504" s="52" t="n">
        <f aca="false">SUMIFS(Data_Penjualan!$G$2:$G$5998,Data_Penjualan!$A$2:$A$5998,A1504)</f>
        <v>11882300</v>
      </c>
      <c r="G1504" s="39" t="n">
        <f aca="false">IF(E1504="KANTOR",0,INDEX(Master_Customer!$C$2:$C$126,MATCH(C1504,Master_Customer!$A$2:$A$126,0)))</f>
        <v>14</v>
      </c>
      <c r="H1504" s="53" t="n">
        <f aca="false">B1504+G1504</f>
        <v>45987</v>
      </c>
      <c r="I1504" s="51" t="n">
        <v>45974</v>
      </c>
      <c r="J1504" s="39" t="str">
        <f aca="false">IF(G1504=0,"Tunai",IF(I1504="","Belum ditukar","Sudah ditukar"))</f>
        <v>Sudah ditukar</v>
      </c>
      <c r="K1504" s="54" t="n">
        <v>11882300</v>
      </c>
      <c r="L1504" s="51" t="n">
        <v>45986</v>
      </c>
      <c r="M1504" s="52" t="n">
        <f aca="false">F1504-K1504</f>
        <v>0</v>
      </c>
      <c r="N1504" s="39" t="str">
        <f aca="false">IF(M1504&lt;=0,"Lunas",IF(K1504&gt;0,"Sebagian","Belum Bayar"))</f>
        <v>Lunas</v>
      </c>
      <c r="O1504" s="39" t="n">
        <f aca="false">IF(M1504&gt;0,MAX(0,Catatan!$B$3-H1504),0)</f>
        <v>0</v>
      </c>
      <c r="P1504" s="39" t="str">
        <f aca="false">IF(M1504&lt;=0,"Lunas",IF(Catatan!$B$3&lt;=H1504,"Belum Jatuh Tempo",IF(O1504&lt;=30,"1-30 hari",IF(O1504&lt;=60,"31-60 hari",IF(O1504&lt;=90,"61-90 hari","90+ hari")))))</f>
        <v>Lunas</v>
      </c>
      <c r="Q1504" s="50"/>
      <c r="R1504" s="39" t="str">
        <f aca="false">IF(M1504&lt;=0,"",IF(O1504&gt;60,"1-Tinggi",IF(O1504&gt;30,"2-Sedang",IF(O1504&gt;0,"3-Rendah","4-Pantau"))))</f>
        <v/>
      </c>
      <c r="S1504" s="39" t="str">
        <f aca="false">IF(AND(M1504&gt;0,O1504&gt;0),O1504+M1504/1000000000000+ROW()/1000000000000000,"")</f>
        <v/>
      </c>
      <c r="T1504" s="39" t="str">
        <f aca="false">IF(J1504="Belum ditukar",ROW(),"")</f>
        <v/>
      </c>
    </row>
    <row r="1505" customFormat="false" ht="15" hidden="false" customHeight="false" outlineLevel="0" collapsed="false">
      <c r="A1505" s="50" t="s">
        <v>1792</v>
      </c>
      <c r="B1505" s="51" t="n">
        <v>45973</v>
      </c>
      <c r="C1505" s="50" t="s">
        <v>475</v>
      </c>
      <c r="D1505" s="39" t="str">
        <f aca="false">INDEX(Master_Customer!$B$2:$B$126,MATCH(C1505,Master_Customer!$A$2:$A$126,0))</f>
        <v>CAHAYA BENGKEL</v>
      </c>
      <c r="E1505" s="50" t="s">
        <v>32</v>
      </c>
      <c r="F1505" s="52" t="n">
        <f aca="false">SUMIFS(Data_Penjualan!$G$2:$G$5998,Data_Penjualan!$A$2:$A$5998,A1505)</f>
        <v>6792400</v>
      </c>
      <c r="G1505" s="39" t="n">
        <f aca="false">IF(E1505="KANTOR",0,INDEX(Master_Customer!$C$2:$C$126,MATCH(C1505,Master_Customer!$A$2:$A$126,0)))</f>
        <v>0</v>
      </c>
      <c r="H1505" s="53" t="n">
        <f aca="false">B1505+G1505</f>
        <v>45973</v>
      </c>
      <c r="J1505" s="39" t="str">
        <f aca="false">IF(G1505=0,"Tunai",IF(I1505="","Belum ditukar","Sudah ditukar"))</f>
        <v>Tunai</v>
      </c>
      <c r="K1505" s="54" t="n">
        <v>6792400</v>
      </c>
      <c r="L1505" s="51" t="n">
        <v>45973</v>
      </c>
      <c r="M1505" s="52" t="n">
        <f aca="false">F1505-K1505</f>
        <v>0</v>
      </c>
      <c r="N1505" s="39" t="str">
        <f aca="false">IF(M1505&lt;=0,"Lunas",IF(K1505&gt;0,"Sebagian","Belum Bayar"))</f>
        <v>Lunas</v>
      </c>
      <c r="O1505" s="39" t="n">
        <f aca="false">IF(M1505&gt;0,MAX(0,Catatan!$B$3-H1505),0)</f>
        <v>0</v>
      </c>
      <c r="P1505" s="39" t="str">
        <f aca="false">IF(M1505&lt;=0,"Lunas",IF(Catatan!$B$3&lt;=H1505,"Belum Jatuh Tempo",IF(O1505&lt;=30,"1-30 hari",IF(O1505&lt;=60,"31-60 hari",IF(O1505&lt;=90,"61-90 hari","90+ hari")))))</f>
        <v>Lunas</v>
      </c>
      <c r="Q1505" s="50"/>
      <c r="R1505" s="39" t="str">
        <f aca="false">IF(M1505&lt;=0,"",IF(O1505&gt;60,"1-Tinggi",IF(O1505&gt;30,"2-Sedang",IF(O1505&gt;0,"3-Rendah","4-Pantau"))))</f>
        <v/>
      </c>
      <c r="S1505" s="39" t="str">
        <f aca="false">IF(AND(M1505&gt;0,O1505&gt;0),O1505+M1505/1000000000000+ROW()/1000000000000000,"")</f>
        <v/>
      </c>
      <c r="T1505" s="39" t="str">
        <f aca="false">IF(J1505="Belum ditukar",ROW(),"")</f>
        <v/>
      </c>
    </row>
    <row r="1506" customFormat="false" ht="15" hidden="false" customHeight="false" outlineLevel="0" collapsed="false">
      <c r="A1506" s="50" t="s">
        <v>1793</v>
      </c>
      <c r="B1506" s="51" t="n">
        <v>45974</v>
      </c>
      <c r="C1506" s="50" t="s">
        <v>560</v>
      </c>
      <c r="D1506" s="39" t="str">
        <f aca="false">INDEX(Master_Customer!$B$2:$B$126,MATCH(C1506,Master_Customer!$A$2:$A$126,0))</f>
        <v>UTAMA TEKNIK MITRA</v>
      </c>
      <c r="E1506" s="50" t="s">
        <v>30</v>
      </c>
      <c r="F1506" s="52" t="n">
        <f aca="false">SUMIFS(Data_Penjualan!$G$2:$G$5998,Data_Penjualan!$A$2:$A$5998,A1506)</f>
        <v>16344400</v>
      </c>
      <c r="G1506" s="39" t="n">
        <f aca="false">IF(E1506="KANTOR",0,INDEX(Master_Customer!$C$2:$C$126,MATCH(C1506,Master_Customer!$A$2:$A$126,0)))</f>
        <v>30</v>
      </c>
      <c r="H1506" s="53" t="n">
        <f aca="false">B1506+G1506</f>
        <v>46004</v>
      </c>
      <c r="I1506" s="51" t="n">
        <v>45975</v>
      </c>
      <c r="J1506" s="39" t="str">
        <f aca="false">IF(G1506=0,"Tunai",IF(I1506="","Belum ditukar","Sudah ditukar"))</f>
        <v>Sudah ditukar</v>
      </c>
      <c r="K1506" s="54" t="n">
        <v>16344400</v>
      </c>
      <c r="L1506" s="51" t="n">
        <v>46002</v>
      </c>
      <c r="M1506" s="52" t="n">
        <f aca="false">F1506-K1506</f>
        <v>0</v>
      </c>
      <c r="N1506" s="39" t="str">
        <f aca="false">IF(M1506&lt;=0,"Lunas",IF(K1506&gt;0,"Sebagian","Belum Bayar"))</f>
        <v>Lunas</v>
      </c>
      <c r="O1506" s="39" t="n">
        <f aca="false">IF(M1506&gt;0,MAX(0,Catatan!$B$3-H1506),0)</f>
        <v>0</v>
      </c>
      <c r="P1506" s="39" t="str">
        <f aca="false">IF(M1506&lt;=0,"Lunas",IF(Catatan!$B$3&lt;=H1506,"Belum Jatuh Tempo",IF(O1506&lt;=30,"1-30 hari",IF(O1506&lt;=60,"31-60 hari",IF(O1506&lt;=90,"61-90 hari","90+ hari")))))</f>
        <v>Lunas</v>
      </c>
      <c r="Q1506" s="50"/>
      <c r="R1506" s="39" t="str">
        <f aca="false">IF(M1506&lt;=0,"",IF(O1506&gt;60,"1-Tinggi",IF(O1506&gt;30,"2-Sedang",IF(O1506&gt;0,"3-Rendah","4-Pantau"))))</f>
        <v/>
      </c>
      <c r="S1506" s="39" t="str">
        <f aca="false">IF(AND(M1506&gt;0,O1506&gt;0),O1506+M1506/1000000000000+ROW()/1000000000000000,"")</f>
        <v/>
      </c>
      <c r="T1506" s="39" t="str">
        <f aca="false">IF(J1506="Belum ditukar",ROW(),"")</f>
        <v/>
      </c>
    </row>
    <row r="1507" customFormat="false" ht="15" hidden="false" customHeight="false" outlineLevel="0" collapsed="false">
      <c r="A1507" s="50" t="s">
        <v>1794</v>
      </c>
      <c r="B1507" s="51" t="n">
        <v>45974</v>
      </c>
      <c r="C1507" s="50" t="s">
        <v>191</v>
      </c>
      <c r="D1507" s="39" t="str">
        <f aca="false">INDEX(Master_Customer!$B$2:$B$126,MATCH(C1507,Master_Customer!$A$2:$A$126,0))</f>
        <v>SINAR AUTO BERKAH</v>
      </c>
      <c r="E1507" s="50" t="s">
        <v>30</v>
      </c>
      <c r="F1507" s="52" t="n">
        <f aca="false">SUMIFS(Data_Penjualan!$G$2:$G$5998,Data_Penjualan!$A$2:$A$5998,A1507)</f>
        <v>21068900</v>
      </c>
      <c r="G1507" s="39" t="n">
        <f aca="false">IF(E1507="KANTOR",0,INDEX(Master_Customer!$C$2:$C$126,MATCH(C1507,Master_Customer!$A$2:$A$126,0)))</f>
        <v>30</v>
      </c>
      <c r="H1507" s="53" t="n">
        <f aca="false">B1507+G1507</f>
        <v>46004</v>
      </c>
      <c r="I1507" s="51" t="n">
        <v>45978</v>
      </c>
      <c r="J1507" s="39" t="str">
        <f aca="false">IF(G1507=0,"Tunai",IF(I1507="","Belum ditukar","Sudah ditukar"))</f>
        <v>Sudah ditukar</v>
      </c>
      <c r="K1507" s="54" t="n">
        <v>0</v>
      </c>
      <c r="M1507" s="52" t="n">
        <f aca="false">F1507-K1507</f>
        <v>21068900</v>
      </c>
      <c r="N1507" s="39" t="str">
        <f aca="false">IF(M1507&lt;=0,"Lunas",IF(K1507&gt;0,"Sebagian","Belum Bayar"))</f>
        <v>Belum Bayar</v>
      </c>
      <c r="O1507" s="39" t="n">
        <f aca="false">IF(M1507&gt;0,MAX(0,Catatan!$B$3-H1507),0)</f>
        <v>18</v>
      </c>
      <c r="P1507" s="39" t="str">
        <f aca="false">IF(M1507&lt;=0,"Lunas",IF(Catatan!$B$3&lt;=H1507,"Belum Jatuh Tempo",IF(O1507&lt;=30,"1-30 hari",IF(O1507&lt;=60,"31-60 hari",IF(O1507&lt;=90,"61-90 hari","90+ hari")))))</f>
        <v>1-30 hari</v>
      </c>
      <c r="Q1507" s="50" t="s">
        <v>1426</v>
      </c>
      <c r="R1507" s="39" t="str">
        <f aca="false">IF(M1507&lt;=0,"",IF(O1507&gt;60,"1-Tinggi",IF(O1507&gt;30,"2-Sedang",IF(O1507&gt;0,"3-Rendah","4-Pantau"))))</f>
        <v>3-Rendah</v>
      </c>
      <c r="S1507" s="39" t="n">
        <f aca="false">IF(AND(M1507&gt;0,O1507&gt;0),O1507+M1507/1000000000000+ROW()/1000000000000000,"")</f>
        <v>18.0000210689015</v>
      </c>
      <c r="T1507" s="39" t="str">
        <f aca="false">IF(J1507="Belum ditukar",ROW(),"")</f>
        <v/>
      </c>
    </row>
    <row r="1508" customFormat="false" ht="15" hidden="false" customHeight="false" outlineLevel="0" collapsed="false">
      <c r="A1508" s="50" t="s">
        <v>1795</v>
      </c>
      <c r="B1508" s="51" t="n">
        <v>45974</v>
      </c>
      <c r="C1508" s="50" t="s">
        <v>216</v>
      </c>
      <c r="D1508" s="39" t="str">
        <f aca="false">INDEX(Master_Customer!$B$2:$B$126,MATCH(C1508,Master_Customer!$A$2:$A$126,0))</f>
        <v>SINAR MOTOR UTAMA</v>
      </c>
      <c r="E1508" s="50" t="s">
        <v>30</v>
      </c>
      <c r="F1508" s="52" t="n">
        <f aca="false">SUMIFS(Data_Penjualan!$G$2:$G$5998,Data_Penjualan!$A$2:$A$5998,A1508)</f>
        <v>2084400</v>
      </c>
      <c r="G1508" s="39" t="n">
        <f aca="false">IF(E1508="KANTOR",0,INDEX(Master_Customer!$C$2:$C$126,MATCH(C1508,Master_Customer!$A$2:$A$126,0)))</f>
        <v>0</v>
      </c>
      <c r="H1508" s="53" t="n">
        <f aca="false">B1508+G1508</f>
        <v>45974</v>
      </c>
      <c r="J1508" s="39" t="str">
        <f aca="false">IF(G1508=0,"Tunai",IF(I1508="","Belum ditukar","Sudah ditukar"))</f>
        <v>Tunai</v>
      </c>
      <c r="K1508" s="54" t="n">
        <v>2084400</v>
      </c>
      <c r="L1508" s="51" t="n">
        <v>45974</v>
      </c>
      <c r="M1508" s="52" t="n">
        <f aca="false">F1508-K1508</f>
        <v>0</v>
      </c>
      <c r="N1508" s="39" t="str">
        <f aca="false">IF(M1508&lt;=0,"Lunas",IF(K1508&gt;0,"Sebagian","Belum Bayar"))</f>
        <v>Lunas</v>
      </c>
      <c r="O1508" s="39" t="n">
        <f aca="false">IF(M1508&gt;0,MAX(0,Catatan!$B$3-H1508),0)</f>
        <v>0</v>
      </c>
      <c r="P1508" s="39" t="str">
        <f aca="false">IF(M1508&lt;=0,"Lunas",IF(Catatan!$B$3&lt;=H1508,"Belum Jatuh Tempo",IF(O1508&lt;=30,"1-30 hari",IF(O1508&lt;=60,"31-60 hari",IF(O1508&lt;=90,"61-90 hari","90+ hari")))))</f>
        <v>Lunas</v>
      </c>
      <c r="Q1508" s="50"/>
      <c r="R1508" s="39" t="str">
        <f aca="false">IF(M1508&lt;=0,"",IF(O1508&gt;60,"1-Tinggi",IF(O1508&gt;30,"2-Sedang",IF(O1508&gt;0,"3-Rendah","4-Pantau"))))</f>
        <v/>
      </c>
      <c r="S1508" s="39" t="str">
        <f aca="false">IF(AND(M1508&gt;0,O1508&gt;0),O1508+M1508/1000000000000+ROW()/1000000000000000,"")</f>
        <v/>
      </c>
      <c r="T1508" s="39" t="str">
        <f aca="false">IF(J1508="Belum ditukar",ROW(),"")</f>
        <v/>
      </c>
    </row>
    <row r="1509" customFormat="false" ht="15" hidden="false" customHeight="false" outlineLevel="0" collapsed="false">
      <c r="A1509" s="50" t="s">
        <v>1796</v>
      </c>
      <c r="B1509" s="51" t="n">
        <v>45974</v>
      </c>
      <c r="C1509" s="50" t="s">
        <v>467</v>
      </c>
      <c r="D1509" s="39" t="str">
        <f aca="false">INDEX(Master_Customer!$B$2:$B$126,MATCH(C1509,Master_Customer!$A$2:$A$126,0))</f>
        <v>LANCAR GARAGE UTAMA</v>
      </c>
      <c r="E1509" s="50" t="s">
        <v>31</v>
      </c>
      <c r="F1509" s="52" t="n">
        <f aca="false">SUMIFS(Data_Penjualan!$G$2:$G$5998,Data_Penjualan!$A$2:$A$5998,A1509)</f>
        <v>16538400</v>
      </c>
      <c r="G1509" s="39" t="n">
        <f aca="false">IF(E1509="KANTOR",0,INDEX(Master_Customer!$C$2:$C$126,MATCH(C1509,Master_Customer!$A$2:$A$126,0)))</f>
        <v>14</v>
      </c>
      <c r="H1509" s="53" t="n">
        <f aca="false">B1509+G1509</f>
        <v>45988</v>
      </c>
      <c r="I1509" s="51" t="n">
        <v>45978</v>
      </c>
      <c r="J1509" s="39" t="str">
        <f aca="false">IF(G1509=0,"Tunai",IF(I1509="","Belum ditukar","Sudah ditukar"))</f>
        <v>Sudah ditukar</v>
      </c>
      <c r="K1509" s="54" t="n">
        <v>0</v>
      </c>
      <c r="M1509" s="52" t="n">
        <f aca="false">F1509-K1509</f>
        <v>16538400</v>
      </c>
      <c r="N1509" s="39" t="str">
        <f aca="false">IF(M1509&lt;=0,"Lunas",IF(K1509&gt;0,"Sebagian","Belum Bayar"))</f>
        <v>Belum Bayar</v>
      </c>
      <c r="O1509" s="39" t="n">
        <f aca="false">IF(M1509&gt;0,MAX(0,Catatan!$B$3-H1509),0)</f>
        <v>34</v>
      </c>
      <c r="P1509" s="39" t="str">
        <f aca="false">IF(M1509&lt;=0,"Lunas",IF(Catatan!$B$3&lt;=H1509,"Belum Jatuh Tempo",IF(O1509&lt;=30,"1-30 hari",IF(O1509&lt;=60,"31-60 hari",IF(O1509&lt;=90,"61-90 hari","90+ hari")))))</f>
        <v>31-60 hari</v>
      </c>
      <c r="Q1509" s="50" t="s">
        <v>1797</v>
      </c>
      <c r="R1509" s="39" t="str">
        <f aca="false">IF(M1509&lt;=0,"",IF(O1509&gt;60,"1-Tinggi",IF(O1509&gt;30,"2-Sedang",IF(O1509&gt;0,"3-Rendah","4-Pantau"))))</f>
        <v>2-Sedang</v>
      </c>
      <c r="S1509" s="39" t="n">
        <f aca="false">IF(AND(M1509&gt;0,O1509&gt;0),O1509+M1509/1000000000000+ROW()/1000000000000000,"")</f>
        <v>34.0000165384015</v>
      </c>
      <c r="T1509" s="39" t="str">
        <f aca="false">IF(J1509="Belum ditukar",ROW(),"")</f>
        <v/>
      </c>
    </row>
    <row r="1510" customFormat="false" ht="15" hidden="false" customHeight="false" outlineLevel="0" collapsed="false">
      <c r="A1510" s="50" t="s">
        <v>1798</v>
      </c>
      <c r="B1510" s="51" t="n">
        <v>45975</v>
      </c>
      <c r="C1510" s="50" t="s">
        <v>174</v>
      </c>
      <c r="D1510" s="39" t="str">
        <f aca="false">INDEX(Master_Customer!$B$2:$B$126,MATCH(C1510,Master_Customer!$A$2:$A$126,0))</f>
        <v>SUMBER TEKNIK SURYA</v>
      </c>
      <c r="E1510" s="50" t="s">
        <v>31</v>
      </c>
      <c r="F1510" s="52" t="n">
        <f aca="false">SUMIFS(Data_Penjualan!$G$2:$G$5998,Data_Penjualan!$A$2:$A$5998,A1510)</f>
        <v>3538200</v>
      </c>
      <c r="G1510" s="39" t="n">
        <f aca="false">IF(E1510="KANTOR",0,INDEX(Master_Customer!$C$2:$C$126,MATCH(C1510,Master_Customer!$A$2:$A$126,0)))</f>
        <v>30</v>
      </c>
      <c r="H1510" s="53" t="n">
        <f aca="false">B1510+G1510</f>
        <v>46005</v>
      </c>
      <c r="I1510" s="51" t="n">
        <v>45976</v>
      </c>
      <c r="J1510" s="39" t="str">
        <f aca="false">IF(G1510=0,"Tunai",IF(I1510="","Belum ditukar","Sudah ditukar"))</f>
        <v>Sudah ditukar</v>
      </c>
      <c r="K1510" s="54" t="n">
        <v>3538200</v>
      </c>
      <c r="L1510" s="51" t="n">
        <v>46002</v>
      </c>
      <c r="M1510" s="52" t="n">
        <f aca="false">F1510-K1510</f>
        <v>0</v>
      </c>
      <c r="N1510" s="39" t="str">
        <f aca="false">IF(M1510&lt;=0,"Lunas",IF(K1510&gt;0,"Sebagian","Belum Bayar"))</f>
        <v>Lunas</v>
      </c>
      <c r="O1510" s="39" t="n">
        <f aca="false">IF(M1510&gt;0,MAX(0,Catatan!$B$3-H1510),0)</f>
        <v>0</v>
      </c>
      <c r="P1510" s="39" t="str">
        <f aca="false">IF(M1510&lt;=0,"Lunas",IF(Catatan!$B$3&lt;=H1510,"Belum Jatuh Tempo",IF(O1510&lt;=30,"1-30 hari",IF(O1510&lt;=60,"31-60 hari",IF(O1510&lt;=90,"61-90 hari","90+ hari")))))</f>
        <v>Lunas</v>
      </c>
      <c r="Q1510" s="50"/>
      <c r="R1510" s="39" t="str">
        <f aca="false">IF(M1510&lt;=0,"",IF(O1510&gt;60,"1-Tinggi",IF(O1510&gt;30,"2-Sedang",IF(O1510&gt;0,"3-Rendah","4-Pantau"))))</f>
        <v/>
      </c>
      <c r="S1510" s="39" t="str">
        <f aca="false">IF(AND(M1510&gt;0,O1510&gt;0),O1510+M1510/1000000000000+ROW()/1000000000000000,"")</f>
        <v/>
      </c>
      <c r="T1510" s="39" t="str">
        <f aca="false">IF(J1510="Belum ditukar",ROW(),"")</f>
        <v/>
      </c>
    </row>
    <row r="1511" customFormat="false" ht="15" hidden="false" customHeight="false" outlineLevel="0" collapsed="false">
      <c r="A1511" s="50" t="s">
        <v>1799</v>
      </c>
      <c r="B1511" s="51" t="n">
        <v>45975</v>
      </c>
      <c r="C1511" s="50" t="s">
        <v>172</v>
      </c>
      <c r="D1511" s="39" t="str">
        <f aca="false">INDEX(Master_Customer!$B$2:$B$126,MATCH(C1511,Master_Customer!$A$2:$A$126,0))</f>
        <v>SURYA GARAGE MITRA</v>
      </c>
      <c r="E1511" s="50" t="s">
        <v>31</v>
      </c>
      <c r="F1511" s="52" t="n">
        <f aca="false">SUMIFS(Data_Penjualan!$G$2:$G$5998,Data_Penjualan!$A$2:$A$5998,A1511)</f>
        <v>8541800</v>
      </c>
      <c r="G1511" s="39" t="n">
        <f aca="false">IF(E1511="KANTOR",0,INDEX(Master_Customer!$C$2:$C$126,MATCH(C1511,Master_Customer!$A$2:$A$126,0)))</f>
        <v>30</v>
      </c>
      <c r="H1511" s="53" t="n">
        <f aca="false">B1511+G1511</f>
        <v>46005</v>
      </c>
      <c r="I1511" s="51" t="n">
        <v>45979</v>
      </c>
      <c r="J1511" s="39" t="str">
        <f aca="false">IF(G1511=0,"Tunai",IF(I1511="","Belum ditukar","Sudah ditukar"))</f>
        <v>Sudah ditukar</v>
      </c>
      <c r="K1511" s="54" t="n">
        <v>8541800</v>
      </c>
      <c r="L1511" s="51" t="n">
        <v>46002</v>
      </c>
      <c r="M1511" s="52" t="n">
        <f aca="false">F1511-K1511</f>
        <v>0</v>
      </c>
      <c r="N1511" s="39" t="str">
        <f aca="false">IF(M1511&lt;=0,"Lunas",IF(K1511&gt;0,"Sebagian","Belum Bayar"))</f>
        <v>Lunas</v>
      </c>
      <c r="O1511" s="39" t="n">
        <f aca="false">IF(M1511&gt;0,MAX(0,Catatan!$B$3-H1511),0)</f>
        <v>0</v>
      </c>
      <c r="P1511" s="39" t="str">
        <f aca="false">IF(M1511&lt;=0,"Lunas",IF(Catatan!$B$3&lt;=H1511,"Belum Jatuh Tempo",IF(O1511&lt;=30,"1-30 hari",IF(O1511&lt;=60,"31-60 hari",IF(O1511&lt;=90,"61-90 hari","90+ hari")))))</f>
        <v>Lunas</v>
      </c>
      <c r="Q1511" s="50"/>
      <c r="R1511" s="39" t="str">
        <f aca="false">IF(M1511&lt;=0,"",IF(O1511&gt;60,"1-Tinggi",IF(O1511&gt;30,"2-Sedang",IF(O1511&gt;0,"3-Rendah","4-Pantau"))))</f>
        <v/>
      </c>
      <c r="S1511" s="39" t="str">
        <f aca="false">IF(AND(M1511&gt;0,O1511&gt;0),O1511+M1511/1000000000000+ROW()/1000000000000000,"")</f>
        <v/>
      </c>
      <c r="T1511" s="39" t="str">
        <f aca="false">IF(J1511="Belum ditukar",ROW(),"")</f>
        <v/>
      </c>
    </row>
    <row r="1512" customFormat="false" ht="15" hidden="false" customHeight="false" outlineLevel="0" collapsed="false">
      <c r="A1512" s="50" t="s">
        <v>1800</v>
      </c>
      <c r="B1512" s="51" t="n">
        <v>45975</v>
      </c>
      <c r="C1512" s="50" t="s">
        <v>825</v>
      </c>
      <c r="D1512" s="39" t="str">
        <f aca="false">INDEX(Master_Customer!$B$2:$B$126,MATCH(C1512,Master_Customer!$A$2:$A$126,0))</f>
        <v>MULIA BENGKEL UTAMA</v>
      </c>
      <c r="E1512" s="50" t="s">
        <v>29</v>
      </c>
      <c r="F1512" s="52" t="n">
        <f aca="false">SUMIFS(Data_Penjualan!$G$2:$G$5998,Data_Penjualan!$A$2:$A$5998,A1512)</f>
        <v>16281200</v>
      </c>
      <c r="G1512" s="39" t="n">
        <f aca="false">IF(E1512="KANTOR",0,INDEX(Master_Customer!$C$2:$C$126,MATCH(C1512,Master_Customer!$A$2:$A$126,0)))</f>
        <v>14</v>
      </c>
      <c r="H1512" s="53" t="n">
        <f aca="false">B1512+G1512</f>
        <v>45989</v>
      </c>
      <c r="I1512" s="51" t="n">
        <v>45980</v>
      </c>
      <c r="J1512" s="39" t="str">
        <f aca="false">IF(G1512=0,"Tunai",IF(I1512="","Belum ditukar","Sudah ditukar"))</f>
        <v>Sudah ditukar</v>
      </c>
      <c r="K1512" s="54" t="n">
        <v>0</v>
      </c>
      <c r="M1512" s="52" t="n">
        <f aca="false">F1512-K1512</f>
        <v>16281200</v>
      </c>
      <c r="N1512" s="39" t="str">
        <f aca="false">IF(M1512&lt;=0,"Lunas",IF(K1512&gt;0,"Sebagian","Belum Bayar"))</f>
        <v>Belum Bayar</v>
      </c>
      <c r="O1512" s="39" t="n">
        <f aca="false">IF(M1512&gt;0,MAX(0,Catatan!$B$3-H1512),0)</f>
        <v>33</v>
      </c>
      <c r="P1512" s="39" t="str">
        <f aca="false">IF(M1512&lt;=0,"Lunas",IF(Catatan!$B$3&lt;=H1512,"Belum Jatuh Tempo",IF(O1512&lt;=30,"1-30 hari",IF(O1512&lt;=60,"31-60 hari",IF(O1512&lt;=90,"61-90 hari","90+ hari")))))</f>
        <v>31-60 hari</v>
      </c>
      <c r="Q1512" s="50" t="s">
        <v>1801</v>
      </c>
      <c r="R1512" s="39" t="str">
        <f aca="false">IF(M1512&lt;=0,"",IF(O1512&gt;60,"1-Tinggi",IF(O1512&gt;30,"2-Sedang",IF(O1512&gt;0,"3-Rendah","4-Pantau"))))</f>
        <v>2-Sedang</v>
      </c>
      <c r="S1512" s="39" t="n">
        <f aca="false">IF(AND(M1512&gt;0,O1512&gt;0),O1512+M1512/1000000000000+ROW()/1000000000000000,"")</f>
        <v>33.0000162812015</v>
      </c>
      <c r="T1512" s="39" t="str">
        <f aca="false">IF(J1512="Belum ditukar",ROW(),"")</f>
        <v/>
      </c>
    </row>
    <row r="1513" customFormat="false" ht="15" hidden="false" customHeight="false" outlineLevel="0" collapsed="false">
      <c r="A1513" s="50" t="s">
        <v>1802</v>
      </c>
      <c r="B1513" s="51" t="n">
        <v>45975</v>
      </c>
      <c r="C1513" s="50" t="s">
        <v>1048</v>
      </c>
      <c r="D1513" s="39" t="str">
        <f aca="false">INDEX(Master_Customer!$B$2:$B$126,MATCH(C1513,Master_Customer!$A$2:$A$126,0))</f>
        <v>ABADI LUBRICANT</v>
      </c>
      <c r="E1513" s="50" t="s">
        <v>28</v>
      </c>
      <c r="F1513" s="52" t="n">
        <f aca="false">SUMIFS(Data_Penjualan!$G$2:$G$5998,Data_Penjualan!$A$2:$A$5998,A1513)</f>
        <v>9801000</v>
      </c>
      <c r="G1513" s="39" t="n">
        <f aca="false">IF(E1513="KANTOR",0,INDEX(Master_Customer!$C$2:$C$126,MATCH(C1513,Master_Customer!$A$2:$A$126,0)))</f>
        <v>30</v>
      </c>
      <c r="H1513" s="53" t="n">
        <f aca="false">B1513+G1513</f>
        <v>46005</v>
      </c>
      <c r="I1513" s="51" t="n">
        <v>45978</v>
      </c>
      <c r="J1513" s="39" t="str">
        <f aca="false">IF(G1513=0,"Tunai",IF(I1513="","Belum ditukar","Sudah ditukar"))</f>
        <v>Sudah ditukar</v>
      </c>
      <c r="K1513" s="54" t="n">
        <v>9801000</v>
      </c>
      <c r="L1513" s="51" t="n">
        <v>45999</v>
      </c>
      <c r="M1513" s="52" t="n">
        <f aca="false">F1513-K1513</f>
        <v>0</v>
      </c>
      <c r="N1513" s="39" t="str">
        <f aca="false">IF(M1513&lt;=0,"Lunas",IF(K1513&gt;0,"Sebagian","Belum Bayar"))</f>
        <v>Lunas</v>
      </c>
      <c r="O1513" s="39" t="n">
        <f aca="false">IF(M1513&gt;0,MAX(0,Catatan!$B$3-H1513),0)</f>
        <v>0</v>
      </c>
      <c r="P1513" s="39" t="str">
        <f aca="false">IF(M1513&lt;=0,"Lunas",IF(Catatan!$B$3&lt;=H1513,"Belum Jatuh Tempo",IF(O1513&lt;=30,"1-30 hari",IF(O1513&lt;=60,"31-60 hari",IF(O1513&lt;=90,"61-90 hari","90+ hari")))))</f>
        <v>Lunas</v>
      </c>
      <c r="Q1513" s="50"/>
      <c r="R1513" s="39" t="str">
        <f aca="false">IF(M1513&lt;=0,"",IF(O1513&gt;60,"1-Tinggi",IF(O1513&gt;30,"2-Sedang",IF(O1513&gt;0,"3-Rendah","4-Pantau"))))</f>
        <v/>
      </c>
      <c r="S1513" s="39" t="str">
        <f aca="false">IF(AND(M1513&gt;0,O1513&gt;0),O1513+M1513/1000000000000+ROW()/1000000000000000,"")</f>
        <v/>
      </c>
      <c r="T1513" s="39" t="str">
        <f aca="false">IF(J1513="Belum ditukar",ROW(),"")</f>
        <v/>
      </c>
    </row>
    <row r="1514" customFormat="false" ht="15" hidden="false" customHeight="false" outlineLevel="0" collapsed="false">
      <c r="A1514" s="50" t="s">
        <v>1803</v>
      </c>
      <c r="B1514" s="51" t="n">
        <v>45975</v>
      </c>
      <c r="C1514" s="50" t="s">
        <v>170</v>
      </c>
      <c r="D1514" s="39" t="str">
        <f aca="false">INDEX(Master_Customer!$B$2:$B$126,MATCH(C1514,Master_Customer!$A$2:$A$126,0))</f>
        <v>HARAPAN MOTOR</v>
      </c>
      <c r="E1514" s="50" t="s">
        <v>30</v>
      </c>
      <c r="F1514" s="52" t="n">
        <f aca="false">SUMIFS(Data_Penjualan!$G$2:$G$5998,Data_Penjualan!$A$2:$A$5998,A1514)</f>
        <v>4341900</v>
      </c>
      <c r="G1514" s="39" t="n">
        <f aca="false">IF(E1514="KANTOR",0,INDEX(Master_Customer!$C$2:$C$126,MATCH(C1514,Master_Customer!$A$2:$A$126,0)))</f>
        <v>45</v>
      </c>
      <c r="H1514" s="53" t="n">
        <f aca="false">B1514+G1514</f>
        <v>46020</v>
      </c>
      <c r="I1514" s="51" t="n">
        <v>45980</v>
      </c>
      <c r="J1514" s="39" t="str">
        <f aca="false">IF(G1514=0,"Tunai",IF(I1514="","Belum ditukar","Sudah ditukar"))</f>
        <v>Sudah ditukar</v>
      </c>
      <c r="K1514" s="54" t="n">
        <v>4341900</v>
      </c>
      <c r="L1514" s="51" t="n">
        <v>46012</v>
      </c>
      <c r="M1514" s="52" t="n">
        <f aca="false">F1514-K1514</f>
        <v>0</v>
      </c>
      <c r="N1514" s="39" t="str">
        <f aca="false">IF(M1514&lt;=0,"Lunas",IF(K1514&gt;0,"Sebagian","Belum Bayar"))</f>
        <v>Lunas</v>
      </c>
      <c r="O1514" s="39" t="n">
        <f aca="false">IF(M1514&gt;0,MAX(0,Catatan!$B$3-H1514),0)</f>
        <v>0</v>
      </c>
      <c r="P1514" s="39" t="str">
        <f aca="false">IF(M1514&lt;=0,"Lunas",IF(Catatan!$B$3&lt;=H1514,"Belum Jatuh Tempo",IF(O1514&lt;=30,"1-30 hari",IF(O1514&lt;=60,"31-60 hari",IF(O1514&lt;=90,"61-90 hari","90+ hari")))))</f>
        <v>Lunas</v>
      </c>
      <c r="Q1514" s="50"/>
      <c r="R1514" s="39" t="str">
        <f aca="false">IF(M1514&lt;=0,"",IF(O1514&gt;60,"1-Tinggi",IF(O1514&gt;30,"2-Sedang",IF(O1514&gt;0,"3-Rendah","4-Pantau"))))</f>
        <v/>
      </c>
      <c r="S1514" s="39" t="str">
        <f aca="false">IF(AND(M1514&gt;0,O1514&gt;0),O1514+M1514/1000000000000+ROW()/1000000000000000,"")</f>
        <v/>
      </c>
      <c r="T1514" s="39" t="str">
        <f aca="false">IF(J1514="Belum ditukar",ROW(),"")</f>
        <v/>
      </c>
    </row>
    <row r="1515" customFormat="false" ht="15" hidden="false" customHeight="false" outlineLevel="0" collapsed="false">
      <c r="A1515" s="50" t="s">
        <v>1804</v>
      </c>
      <c r="B1515" s="51" t="n">
        <v>45975</v>
      </c>
      <c r="C1515" s="50" t="s">
        <v>237</v>
      </c>
      <c r="D1515" s="39" t="str">
        <f aca="false">INDEX(Master_Customer!$B$2:$B$126,MATCH(C1515,Master_Customer!$A$2:$A$126,0))</f>
        <v>SINAR SPAREPART</v>
      </c>
      <c r="E1515" s="50" t="s">
        <v>31</v>
      </c>
      <c r="F1515" s="52" t="n">
        <f aca="false">SUMIFS(Data_Penjualan!$G$2:$G$5998,Data_Penjualan!$A$2:$A$5998,A1515)</f>
        <v>3127800</v>
      </c>
      <c r="G1515" s="39" t="n">
        <f aca="false">IF(E1515="KANTOR",0,INDEX(Master_Customer!$C$2:$C$126,MATCH(C1515,Master_Customer!$A$2:$A$126,0)))</f>
        <v>45</v>
      </c>
      <c r="H1515" s="53" t="n">
        <f aca="false">B1515+G1515</f>
        <v>46020</v>
      </c>
      <c r="I1515" s="51" t="n">
        <v>45977</v>
      </c>
      <c r="J1515" s="39" t="str">
        <f aca="false">IF(G1515=0,"Tunai",IF(I1515="","Belum ditukar","Sudah ditukar"))</f>
        <v>Sudah ditukar</v>
      </c>
      <c r="K1515" s="54" t="n">
        <v>3127800</v>
      </c>
      <c r="L1515" s="51" t="n">
        <v>46009</v>
      </c>
      <c r="M1515" s="52" t="n">
        <f aca="false">F1515-K1515</f>
        <v>0</v>
      </c>
      <c r="N1515" s="39" t="str">
        <f aca="false">IF(M1515&lt;=0,"Lunas",IF(K1515&gt;0,"Sebagian","Belum Bayar"))</f>
        <v>Lunas</v>
      </c>
      <c r="O1515" s="39" t="n">
        <f aca="false">IF(M1515&gt;0,MAX(0,Catatan!$B$3-H1515),0)</f>
        <v>0</v>
      </c>
      <c r="P1515" s="39" t="str">
        <f aca="false">IF(M1515&lt;=0,"Lunas",IF(Catatan!$B$3&lt;=H1515,"Belum Jatuh Tempo",IF(O1515&lt;=30,"1-30 hari",IF(O1515&lt;=60,"31-60 hari",IF(O1515&lt;=90,"61-90 hari","90+ hari")))))</f>
        <v>Lunas</v>
      </c>
      <c r="Q1515" s="50"/>
      <c r="R1515" s="39" t="str">
        <f aca="false">IF(M1515&lt;=0,"",IF(O1515&gt;60,"1-Tinggi",IF(O1515&gt;30,"2-Sedang",IF(O1515&gt;0,"3-Rendah","4-Pantau"))))</f>
        <v/>
      </c>
      <c r="S1515" s="39" t="str">
        <f aca="false">IF(AND(M1515&gt;0,O1515&gt;0),O1515+M1515/1000000000000+ROW()/1000000000000000,"")</f>
        <v/>
      </c>
      <c r="T1515" s="39" t="str">
        <f aca="false">IF(J1515="Belum ditukar",ROW(),"")</f>
        <v/>
      </c>
    </row>
    <row r="1516" customFormat="false" ht="15" hidden="false" customHeight="false" outlineLevel="0" collapsed="false">
      <c r="A1516" s="50" t="s">
        <v>1805</v>
      </c>
      <c r="B1516" s="51" t="n">
        <v>45976</v>
      </c>
      <c r="C1516" s="50" t="s">
        <v>179</v>
      </c>
      <c r="D1516" s="39" t="str">
        <f aca="false">INDEX(Master_Customer!$B$2:$B$126,MATCH(C1516,Master_Customer!$A$2:$A$126,0))</f>
        <v>BINTANG TEKNIK SURYA</v>
      </c>
      <c r="E1516" s="50" t="s">
        <v>29</v>
      </c>
      <c r="F1516" s="52" t="n">
        <f aca="false">SUMIFS(Data_Penjualan!$G$2:$G$5998,Data_Penjualan!$A$2:$A$5998,A1516)</f>
        <v>10942100</v>
      </c>
      <c r="G1516" s="39" t="n">
        <f aca="false">IF(E1516="KANTOR",0,INDEX(Master_Customer!$C$2:$C$126,MATCH(C1516,Master_Customer!$A$2:$A$126,0)))</f>
        <v>45</v>
      </c>
      <c r="H1516" s="53" t="n">
        <f aca="false">B1516+G1516</f>
        <v>46021</v>
      </c>
      <c r="I1516" s="51" t="n">
        <v>45979</v>
      </c>
      <c r="J1516" s="39" t="str">
        <f aca="false">IF(G1516=0,"Tunai",IF(I1516="","Belum ditukar","Sudah ditukar"))</f>
        <v>Sudah ditukar</v>
      </c>
      <c r="K1516" s="54" t="n">
        <v>10942100</v>
      </c>
      <c r="L1516" s="51" t="n">
        <v>46015</v>
      </c>
      <c r="M1516" s="52" t="n">
        <f aca="false">F1516-K1516</f>
        <v>0</v>
      </c>
      <c r="N1516" s="39" t="str">
        <f aca="false">IF(M1516&lt;=0,"Lunas",IF(K1516&gt;0,"Sebagian","Belum Bayar"))</f>
        <v>Lunas</v>
      </c>
      <c r="O1516" s="39" t="n">
        <f aca="false">IF(M1516&gt;0,MAX(0,Catatan!$B$3-H1516),0)</f>
        <v>0</v>
      </c>
      <c r="P1516" s="39" t="str">
        <f aca="false">IF(M1516&lt;=0,"Lunas",IF(Catatan!$B$3&lt;=H1516,"Belum Jatuh Tempo",IF(O1516&lt;=30,"1-30 hari",IF(O1516&lt;=60,"31-60 hari",IF(O1516&lt;=90,"61-90 hari","90+ hari")))))</f>
        <v>Lunas</v>
      </c>
      <c r="Q1516" s="50"/>
      <c r="R1516" s="39" t="str">
        <f aca="false">IF(M1516&lt;=0,"",IF(O1516&gt;60,"1-Tinggi",IF(O1516&gt;30,"2-Sedang",IF(O1516&gt;0,"3-Rendah","4-Pantau"))))</f>
        <v/>
      </c>
      <c r="S1516" s="39" t="str">
        <f aca="false">IF(AND(M1516&gt;0,O1516&gt;0),O1516+M1516/1000000000000+ROW()/1000000000000000,"")</f>
        <v/>
      </c>
      <c r="T1516" s="39" t="str">
        <f aca="false">IF(J1516="Belum ditukar",ROW(),"")</f>
        <v/>
      </c>
    </row>
    <row r="1517" customFormat="false" ht="15" hidden="false" customHeight="false" outlineLevel="0" collapsed="false">
      <c r="A1517" s="50" t="s">
        <v>1806</v>
      </c>
      <c r="B1517" s="51" t="n">
        <v>45976</v>
      </c>
      <c r="C1517" s="50" t="s">
        <v>199</v>
      </c>
      <c r="D1517" s="39" t="str">
        <f aca="false">INDEX(Master_Customer!$B$2:$B$126,MATCH(C1517,Master_Customer!$A$2:$A$126,0))</f>
        <v>KARYA SPAREPART</v>
      </c>
      <c r="E1517" s="50" t="s">
        <v>29</v>
      </c>
      <c r="F1517" s="52" t="n">
        <f aca="false">SUMIFS(Data_Penjualan!$G$2:$G$5998,Data_Penjualan!$A$2:$A$5998,A1517)</f>
        <v>1215900</v>
      </c>
      <c r="G1517" s="39" t="n">
        <f aca="false">IF(E1517="KANTOR",0,INDEX(Master_Customer!$C$2:$C$126,MATCH(C1517,Master_Customer!$A$2:$A$126,0)))</f>
        <v>45</v>
      </c>
      <c r="H1517" s="53" t="n">
        <f aca="false">B1517+G1517</f>
        <v>46021</v>
      </c>
      <c r="I1517" s="51" t="n">
        <v>45981</v>
      </c>
      <c r="J1517" s="39" t="str">
        <f aca="false">IF(G1517=0,"Tunai",IF(I1517="","Belum ditukar","Sudah ditukar"))</f>
        <v>Sudah ditukar</v>
      </c>
      <c r="K1517" s="54" t="n">
        <v>0</v>
      </c>
      <c r="M1517" s="52" t="n">
        <f aca="false">F1517-K1517</f>
        <v>1215900</v>
      </c>
      <c r="N1517" s="39" t="str">
        <f aca="false">IF(M1517&lt;=0,"Lunas",IF(K1517&gt;0,"Sebagian","Belum Bayar"))</f>
        <v>Belum Bayar</v>
      </c>
      <c r="O1517" s="39" t="n">
        <f aca="false">IF(M1517&gt;0,MAX(0,Catatan!$B$3-H1517),0)</f>
        <v>1</v>
      </c>
      <c r="P1517" s="39" t="str">
        <f aca="false">IF(M1517&lt;=0,"Lunas",IF(Catatan!$B$3&lt;=H1517,"Belum Jatuh Tempo",IF(O1517&lt;=30,"1-30 hari",IF(O1517&lt;=60,"31-60 hari",IF(O1517&lt;=90,"61-90 hari","90+ hari")))))</f>
        <v>1-30 hari</v>
      </c>
      <c r="Q1517" s="50" t="s">
        <v>712</v>
      </c>
      <c r="R1517" s="39" t="str">
        <f aca="false">IF(M1517&lt;=0,"",IF(O1517&gt;60,"1-Tinggi",IF(O1517&gt;30,"2-Sedang",IF(O1517&gt;0,"3-Rendah","4-Pantau"))))</f>
        <v>3-Rendah</v>
      </c>
      <c r="S1517" s="39" t="n">
        <f aca="false">IF(AND(M1517&gt;0,O1517&gt;0),O1517+M1517/1000000000000+ROW()/1000000000000000,"")</f>
        <v>1.00000121590152</v>
      </c>
      <c r="T1517" s="39" t="str">
        <f aca="false">IF(J1517="Belum ditukar",ROW(),"")</f>
        <v/>
      </c>
    </row>
    <row r="1518" customFormat="false" ht="15" hidden="false" customHeight="false" outlineLevel="0" collapsed="false">
      <c r="A1518" s="50" t="s">
        <v>1807</v>
      </c>
      <c r="B1518" s="51" t="n">
        <v>45976</v>
      </c>
      <c r="C1518" s="50" t="s">
        <v>278</v>
      </c>
      <c r="D1518" s="39" t="str">
        <f aca="false">INDEX(Master_Customer!$B$2:$B$126,MATCH(C1518,Master_Customer!$A$2:$A$126,0))</f>
        <v>SURYA MOTOR</v>
      </c>
      <c r="E1518" s="50" t="s">
        <v>31</v>
      </c>
      <c r="F1518" s="52" t="n">
        <f aca="false">SUMIFS(Data_Penjualan!$G$2:$G$5998,Data_Penjualan!$A$2:$A$5998,A1518)</f>
        <v>13142900</v>
      </c>
      <c r="G1518" s="39" t="n">
        <f aca="false">IF(E1518="KANTOR",0,INDEX(Master_Customer!$C$2:$C$126,MATCH(C1518,Master_Customer!$A$2:$A$126,0)))</f>
        <v>14</v>
      </c>
      <c r="H1518" s="53" t="n">
        <f aca="false">B1518+G1518</f>
        <v>45990</v>
      </c>
      <c r="I1518" s="51" t="n">
        <v>45981</v>
      </c>
      <c r="J1518" s="39" t="str">
        <f aca="false">IF(G1518=0,"Tunai",IF(I1518="","Belum ditukar","Sudah ditukar"))</f>
        <v>Sudah ditukar</v>
      </c>
      <c r="K1518" s="54" t="n">
        <v>13142900</v>
      </c>
      <c r="L1518" s="51" t="n">
        <v>45982</v>
      </c>
      <c r="M1518" s="52" t="n">
        <f aca="false">F1518-K1518</f>
        <v>0</v>
      </c>
      <c r="N1518" s="39" t="str">
        <f aca="false">IF(M1518&lt;=0,"Lunas",IF(K1518&gt;0,"Sebagian","Belum Bayar"))</f>
        <v>Lunas</v>
      </c>
      <c r="O1518" s="39" t="n">
        <f aca="false">IF(M1518&gt;0,MAX(0,Catatan!$B$3-H1518),0)</f>
        <v>0</v>
      </c>
      <c r="P1518" s="39" t="str">
        <f aca="false">IF(M1518&lt;=0,"Lunas",IF(Catatan!$B$3&lt;=H1518,"Belum Jatuh Tempo",IF(O1518&lt;=30,"1-30 hari",IF(O1518&lt;=60,"31-60 hari",IF(O1518&lt;=90,"61-90 hari","90+ hari")))))</f>
        <v>Lunas</v>
      </c>
      <c r="Q1518" s="50"/>
      <c r="R1518" s="39" t="str">
        <f aca="false">IF(M1518&lt;=0,"",IF(O1518&gt;60,"1-Tinggi",IF(O1518&gt;30,"2-Sedang",IF(O1518&gt;0,"3-Rendah","4-Pantau"))))</f>
        <v/>
      </c>
      <c r="S1518" s="39" t="str">
        <f aca="false">IF(AND(M1518&gt;0,O1518&gt;0),O1518+M1518/1000000000000+ROW()/1000000000000000,"")</f>
        <v/>
      </c>
      <c r="T1518" s="39" t="str">
        <f aca="false">IF(J1518="Belum ditukar",ROW(),"")</f>
        <v/>
      </c>
    </row>
    <row r="1519" customFormat="false" ht="15" hidden="false" customHeight="false" outlineLevel="0" collapsed="false">
      <c r="A1519" s="50" t="s">
        <v>1808</v>
      </c>
      <c r="B1519" s="51" t="n">
        <v>45976</v>
      </c>
      <c r="C1519" s="50" t="s">
        <v>1399</v>
      </c>
      <c r="D1519" s="39" t="str">
        <f aca="false">INDEX(Master_Customer!$B$2:$B$126,MATCH(C1519,Master_Customer!$A$2:$A$126,0))</f>
        <v>SENTOSA GARAGE</v>
      </c>
      <c r="E1519" s="50" t="s">
        <v>29</v>
      </c>
      <c r="F1519" s="52" t="n">
        <f aca="false">SUMIFS(Data_Penjualan!$G$2:$G$5998,Data_Penjualan!$A$2:$A$5998,A1519)</f>
        <v>7659600</v>
      </c>
      <c r="G1519" s="39" t="n">
        <f aca="false">IF(E1519="KANTOR",0,INDEX(Master_Customer!$C$2:$C$126,MATCH(C1519,Master_Customer!$A$2:$A$126,0)))</f>
        <v>30</v>
      </c>
      <c r="H1519" s="53" t="n">
        <f aca="false">B1519+G1519</f>
        <v>46006</v>
      </c>
      <c r="I1519" s="51" t="n">
        <v>45977</v>
      </c>
      <c r="J1519" s="39" t="str">
        <f aca="false">IF(G1519=0,"Tunai",IF(I1519="","Belum ditukar","Sudah ditukar"))</f>
        <v>Sudah ditukar</v>
      </c>
      <c r="K1519" s="54" t="n">
        <v>7659600</v>
      </c>
      <c r="L1519" s="51" t="n">
        <v>45998</v>
      </c>
      <c r="M1519" s="52" t="n">
        <f aca="false">F1519-K1519</f>
        <v>0</v>
      </c>
      <c r="N1519" s="39" t="str">
        <f aca="false">IF(M1519&lt;=0,"Lunas",IF(K1519&gt;0,"Sebagian","Belum Bayar"))</f>
        <v>Lunas</v>
      </c>
      <c r="O1519" s="39" t="n">
        <f aca="false">IF(M1519&gt;0,MAX(0,Catatan!$B$3-H1519),0)</f>
        <v>0</v>
      </c>
      <c r="P1519" s="39" t="str">
        <f aca="false">IF(M1519&lt;=0,"Lunas",IF(Catatan!$B$3&lt;=H1519,"Belum Jatuh Tempo",IF(O1519&lt;=30,"1-30 hari",IF(O1519&lt;=60,"31-60 hari",IF(O1519&lt;=90,"61-90 hari","90+ hari")))))</f>
        <v>Lunas</v>
      </c>
      <c r="Q1519" s="50"/>
      <c r="R1519" s="39" t="str">
        <f aca="false">IF(M1519&lt;=0,"",IF(O1519&gt;60,"1-Tinggi",IF(O1519&gt;30,"2-Sedang",IF(O1519&gt;0,"3-Rendah","4-Pantau"))))</f>
        <v/>
      </c>
      <c r="S1519" s="39" t="str">
        <f aca="false">IF(AND(M1519&gt;0,O1519&gt;0),O1519+M1519/1000000000000+ROW()/1000000000000000,"")</f>
        <v/>
      </c>
      <c r="T1519" s="39" t="str">
        <f aca="false">IF(J1519="Belum ditukar",ROW(),"")</f>
        <v/>
      </c>
    </row>
    <row r="1520" customFormat="false" ht="15" hidden="false" customHeight="false" outlineLevel="0" collapsed="false">
      <c r="A1520" s="50" t="s">
        <v>1809</v>
      </c>
      <c r="B1520" s="51" t="n">
        <v>45978</v>
      </c>
      <c r="C1520" s="50" t="s">
        <v>505</v>
      </c>
      <c r="D1520" s="39" t="str">
        <f aca="false">INDEX(Master_Customer!$B$2:$B$126,MATCH(C1520,Master_Customer!$A$2:$A$126,0))</f>
        <v>GEMILANG OLI CAHAYA</v>
      </c>
      <c r="E1520" s="50" t="s">
        <v>32</v>
      </c>
      <c r="F1520" s="52" t="n">
        <f aca="false">SUMIFS(Data_Penjualan!$G$2:$G$5998,Data_Penjualan!$A$2:$A$5998,A1520)</f>
        <v>5747000</v>
      </c>
      <c r="G1520" s="39" t="n">
        <f aca="false">IF(E1520="KANTOR",0,INDEX(Master_Customer!$C$2:$C$126,MATCH(C1520,Master_Customer!$A$2:$A$126,0)))</f>
        <v>0</v>
      </c>
      <c r="H1520" s="53" t="n">
        <f aca="false">B1520+G1520</f>
        <v>45978</v>
      </c>
      <c r="J1520" s="39" t="str">
        <f aca="false">IF(G1520=0,"Tunai",IF(I1520="","Belum ditukar","Sudah ditukar"))</f>
        <v>Tunai</v>
      </c>
      <c r="K1520" s="54" t="n">
        <v>5747000</v>
      </c>
      <c r="L1520" s="51" t="n">
        <v>45980</v>
      </c>
      <c r="M1520" s="52" t="n">
        <f aca="false">F1520-K1520</f>
        <v>0</v>
      </c>
      <c r="N1520" s="39" t="str">
        <f aca="false">IF(M1520&lt;=0,"Lunas",IF(K1520&gt;0,"Sebagian","Belum Bayar"))</f>
        <v>Lunas</v>
      </c>
      <c r="O1520" s="39" t="n">
        <f aca="false">IF(M1520&gt;0,MAX(0,Catatan!$B$3-H1520),0)</f>
        <v>0</v>
      </c>
      <c r="P1520" s="39" t="str">
        <f aca="false">IF(M1520&lt;=0,"Lunas",IF(Catatan!$B$3&lt;=H1520,"Belum Jatuh Tempo",IF(O1520&lt;=30,"1-30 hari",IF(O1520&lt;=60,"31-60 hari",IF(O1520&lt;=90,"61-90 hari","90+ hari")))))</f>
        <v>Lunas</v>
      </c>
      <c r="Q1520" s="50"/>
      <c r="R1520" s="39" t="str">
        <f aca="false">IF(M1520&lt;=0,"",IF(O1520&gt;60,"1-Tinggi",IF(O1520&gt;30,"2-Sedang",IF(O1520&gt;0,"3-Rendah","4-Pantau"))))</f>
        <v/>
      </c>
      <c r="S1520" s="39" t="str">
        <f aca="false">IF(AND(M1520&gt;0,O1520&gt;0),O1520+M1520/1000000000000+ROW()/1000000000000000,"")</f>
        <v/>
      </c>
      <c r="T1520" s="39" t="str">
        <f aca="false">IF(J1520="Belum ditukar",ROW(),"")</f>
        <v/>
      </c>
    </row>
    <row r="1521" customFormat="false" ht="15" hidden="false" customHeight="false" outlineLevel="0" collapsed="false">
      <c r="A1521" s="50" t="s">
        <v>1810</v>
      </c>
      <c r="B1521" s="51" t="n">
        <v>45978</v>
      </c>
      <c r="C1521" s="50" t="s">
        <v>358</v>
      </c>
      <c r="D1521" s="39" t="str">
        <f aca="false">INDEX(Master_Customer!$B$2:$B$126,MATCH(C1521,Master_Customer!$A$2:$A$126,0))</f>
        <v>HARAPAN TEKNIK</v>
      </c>
      <c r="E1521" s="50" t="s">
        <v>32</v>
      </c>
      <c r="F1521" s="52" t="n">
        <f aca="false">SUMIFS(Data_Penjualan!$G$2:$G$5998,Data_Penjualan!$A$2:$A$5998,A1521)</f>
        <v>14085100</v>
      </c>
      <c r="G1521" s="39" t="n">
        <f aca="false">IF(E1521="KANTOR",0,INDEX(Master_Customer!$C$2:$C$126,MATCH(C1521,Master_Customer!$A$2:$A$126,0)))</f>
        <v>0</v>
      </c>
      <c r="H1521" s="53" t="n">
        <f aca="false">B1521+G1521</f>
        <v>45978</v>
      </c>
      <c r="J1521" s="39" t="str">
        <f aca="false">IF(G1521=0,"Tunai",IF(I1521="","Belum ditukar","Sudah ditukar"))</f>
        <v>Tunai</v>
      </c>
      <c r="K1521" s="54" t="n">
        <v>14085100</v>
      </c>
      <c r="L1521" s="51" t="n">
        <v>45979</v>
      </c>
      <c r="M1521" s="52" t="n">
        <f aca="false">F1521-K1521</f>
        <v>0</v>
      </c>
      <c r="N1521" s="39" t="str">
        <f aca="false">IF(M1521&lt;=0,"Lunas",IF(K1521&gt;0,"Sebagian","Belum Bayar"))</f>
        <v>Lunas</v>
      </c>
      <c r="O1521" s="39" t="n">
        <f aca="false">IF(M1521&gt;0,MAX(0,Catatan!$B$3-H1521),0)</f>
        <v>0</v>
      </c>
      <c r="P1521" s="39" t="str">
        <f aca="false">IF(M1521&lt;=0,"Lunas",IF(Catatan!$B$3&lt;=H1521,"Belum Jatuh Tempo",IF(O1521&lt;=30,"1-30 hari",IF(O1521&lt;=60,"31-60 hari",IF(O1521&lt;=90,"61-90 hari","90+ hari")))))</f>
        <v>Lunas</v>
      </c>
      <c r="Q1521" s="50"/>
      <c r="R1521" s="39" t="str">
        <f aca="false">IF(M1521&lt;=0,"",IF(O1521&gt;60,"1-Tinggi",IF(O1521&gt;30,"2-Sedang",IF(O1521&gt;0,"3-Rendah","4-Pantau"))))</f>
        <v/>
      </c>
      <c r="S1521" s="39" t="str">
        <f aca="false">IF(AND(M1521&gt;0,O1521&gt;0),O1521+M1521/1000000000000+ROW()/1000000000000000,"")</f>
        <v/>
      </c>
      <c r="T1521" s="39" t="str">
        <f aca="false">IF(J1521="Belum ditukar",ROW(),"")</f>
        <v/>
      </c>
    </row>
    <row r="1522" customFormat="false" ht="15" hidden="false" customHeight="false" outlineLevel="0" collapsed="false">
      <c r="A1522" s="50" t="s">
        <v>1811</v>
      </c>
      <c r="B1522" s="51" t="n">
        <v>45978</v>
      </c>
      <c r="C1522" s="50" t="s">
        <v>293</v>
      </c>
      <c r="D1522" s="39" t="str">
        <f aca="false">INDEX(Master_Customer!$B$2:$B$126,MATCH(C1522,Master_Customer!$A$2:$A$126,0))</f>
        <v>SINAR LUBRICANT</v>
      </c>
      <c r="E1522" s="50" t="s">
        <v>31</v>
      </c>
      <c r="F1522" s="52" t="n">
        <f aca="false">SUMIFS(Data_Penjualan!$G$2:$G$5998,Data_Penjualan!$A$2:$A$5998,A1522)</f>
        <v>8843200</v>
      </c>
      <c r="G1522" s="39" t="n">
        <f aca="false">IF(E1522="KANTOR",0,INDEX(Master_Customer!$C$2:$C$126,MATCH(C1522,Master_Customer!$A$2:$A$126,0)))</f>
        <v>30</v>
      </c>
      <c r="H1522" s="53" t="n">
        <f aca="false">B1522+G1522</f>
        <v>46008</v>
      </c>
      <c r="I1522" s="51" t="n">
        <v>45983</v>
      </c>
      <c r="J1522" s="39" t="str">
        <f aca="false">IF(G1522=0,"Tunai",IF(I1522="","Belum ditukar","Sudah ditukar"))</f>
        <v>Sudah ditukar</v>
      </c>
      <c r="K1522" s="54" t="n">
        <v>8843200</v>
      </c>
      <c r="L1522" s="51" t="n">
        <v>46021</v>
      </c>
      <c r="M1522" s="52" t="n">
        <f aca="false">F1522-K1522</f>
        <v>0</v>
      </c>
      <c r="N1522" s="39" t="str">
        <f aca="false">IF(M1522&lt;=0,"Lunas",IF(K1522&gt;0,"Sebagian","Belum Bayar"))</f>
        <v>Lunas</v>
      </c>
      <c r="O1522" s="39" t="n">
        <f aca="false">IF(M1522&gt;0,MAX(0,Catatan!$B$3-H1522),0)</f>
        <v>0</v>
      </c>
      <c r="P1522" s="39" t="str">
        <f aca="false">IF(M1522&lt;=0,"Lunas",IF(Catatan!$B$3&lt;=H1522,"Belum Jatuh Tempo",IF(O1522&lt;=30,"1-30 hari",IF(O1522&lt;=60,"31-60 hari",IF(O1522&lt;=90,"61-90 hari","90+ hari")))))</f>
        <v>Lunas</v>
      </c>
      <c r="Q1522" s="50"/>
      <c r="R1522" s="39" t="str">
        <f aca="false">IF(M1522&lt;=0,"",IF(O1522&gt;60,"1-Tinggi",IF(O1522&gt;30,"2-Sedang",IF(O1522&gt;0,"3-Rendah","4-Pantau"))))</f>
        <v/>
      </c>
      <c r="S1522" s="39" t="str">
        <f aca="false">IF(AND(M1522&gt;0,O1522&gt;0),O1522+M1522/1000000000000+ROW()/1000000000000000,"")</f>
        <v/>
      </c>
      <c r="T1522" s="39" t="str">
        <f aca="false">IF(J1522="Belum ditukar",ROW(),"")</f>
        <v/>
      </c>
    </row>
    <row r="1523" customFormat="false" ht="15" hidden="false" customHeight="false" outlineLevel="0" collapsed="false">
      <c r="A1523" s="50" t="s">
        <v>1812</v>
      </c>
      <c r="B1523" s="51" t="n">
        <v>45978</v>
      </c>
      <c r="C1523" s="50" t="s">
        <v>174</v>
      </c>
      <c r="D1523" s="39" t="str">
        <f aca="false">INDEX(Master_Customer!$B$2:$B$126,MATCH(C1523,Master_Customer!$A$2:$A$126,0))</f>
        <v>SUMBER TEKNIK SURYA</v>
      </c>
      <c r="E1523" s="50" t="s">
        <v>31</v>
      </c>
      <c r="F1523" s="52" t="n">
        <f aca="false">SUMIFS(Data_Penjualan!$G$2:$G$5998,Data_Penjualan!$A$2:$A$5998,A1523)</f>
        <v>7961700</v>
      </c>
      <c r="G1523" s="39" t="n">
        <f aca="false">IF(E1523="KANTOR",0,INDEX(Master_Customer!$C$2:$C$126,MATCH(C1523,Master_Customer!$A$2:$A$126,0)))</f>
        <v>30</v>
      </c>
      <c r="H1523" s="53" t="n">
        <f aca="false">B1523+G1523</f>
        <v>46008</v>
      </c>
      <c r="I1523" s="51" t="n">
        <v>45979</v>
      </c>
      <c r="J1523" s="39" t="str">
        <f aca="false">IF(G1523=0,"Tunai",IF(I1523="","Belum ditukar","Sudah ditukar"))</f>
        <v>Sudah ditukar</v>
      </c>
      <c r="K1523" s="54" t="n">
        <v>7961700</v>
      </c>
      <c r="L1523" s="51" t="n">
        <v>46008</v>
      </c>
      <c r="M1523" s="52" t="n">
        <f aca="false">F1523-K1523</f>
        <v>0</v>
      </c>
      <c r="N1523" s="39" t="str">
        <f aca="false">IF(M1523&lt;=0,"Lunas",IF(K1523&gt;0,"Sebagian","Belum Bayar"))</f>
        <v>Lunas</v>
      </c>
      <c r="O1523" s="39" t="n">
        <f aca="false">IF(M1523&gt;0,MAX(0,Catatan!$B$3-H1523),0)</f>
        <v>0</v>
      </c>
      <c r="P1523" s="39" t="str">
        <f aca="false">IF(M1523&lt;=0,"Lunas",IF(Catatan!$B$3&lt;=H1523,"Belum Jatuh Tempo",IF(O1523&lt;=30,"1-30 hari",IF(O1523&lt;=60,"31-60 hari",IF(O1523&lt;=90,"61-90 hari","90+ hari")))))</f>
        <v>Lunas</v>
      </c>
      <c r="Q1523" s="50"/>
      <c r="R1523" s="39" t="str">
        <f aca="false">IF(M1523&lt;=0,"",IF(O1523&gt;60,"1-Tinggi",IF(O1523&gt;30,"2-Sedang",IF(O1523&gt;0,"3-Rendah","4-Pantau"))))</f>
        <v/>
      </c>
      <c r="S1523" s="39" t="str">
        <f aca="false">IF(AND(M1523&gt;0,O1523&gt;0),O1523+M1523/1000000000000+ROW()/1000000000000000,"")</f>
        <v/>
      </c>
      <c r="T1523" s="39" t="str">
        <f aca="false">IF(J1523="Belum ditukar",ROW(),"")</f>
        <v/>
      </c>
    </row>
    <row r="1524" customFormat="false" ht="15" hidden="false" customHeight="false" outlineLevel="0" collapsed="false">
      <c r="A1524" s="50" t="s">
        <v>1813</v>
      </c>
      <c r="B1524" s="51" t="n">
        <v>45978</v>
      </c>
      <c r="C1524" s="50" t="s">
        <v>177</v>
      </c>
      <c r="D1524" s="39" t="str">
        <f aca="false">INDEX(Master_Customer!$B$2:$B$126,MATCH(C1524,Master_Customer!$A$2:$A$126,0))</f>
        <v>PRIMA MOTOR LANCAR</v>
      </c>
      <c r="E1524" s="50" t="s">
        <v>29</v>
      </c>
      <c r="F1524" s="52" t="n">
        <f aca="false">SUMIFS(Data_Penjualan!$G$2:$G$5998,Data_Penjualan!$A$2:$A$5998,A1524)</f>
        <v>2667100</v>
      </c>
      <c r="G1524" s="39" t="n">
        <f aca="false">IF(E1524="KANTOR",0,INDEX(Master_Customer!$C$2:$C$126,MATCH(C1524,Master_Customer!$A$2:$A$126,0)))</f>
        <v>14</v>
      </c>
      <c r="H1524" s="53" t="n">
        <f aca="false">B1524+G1524</f>
        <v>45992</v>
      </c>
      <c r="I1524" s="51" t="n">
        <v>45980</v>
      </c>
      <c r="J1524" s="39" t="str">
        <f aca="false">IF(G1524=0,"Tunai",IF(I1524="","Belum ditukar","Sudah ditukar"))</f>
        <v>Sudah ditukar</v>
      </c>
      <c r="K1524" s="54" t="n">
        <v>2667100</v>
      </c>
      <c r="L1524" s="51" t="n">
        <v>45984</v>
      </c>
      <c r="M1524" s="52" t="n">
        <f aca="false">F1524-K1524</f>
        <v>0</v>
      </c>
      <c r="N1524" s="39" t="str">
        <f aca="false">IF(M1524&lt;=0,"Lunas",IF(K1524&gt;0,"Sebagian","Belum Bayar"))</f>
        <v>Lunas</v>
      </c>
      <c r="O1524" s="39" t="n">
        <f aca="false">IF(M1524&gt;0,MAX(0,Catatan!$B$3-H1524),0)</f>
        <v>0</v>
      </c>
      <c r="P1524" s="39" t="str">
        <f aca="false">IF(M1524&lt;=0,"Lunas",IF(Catatan!$B$3&lt;=H1524,"Belum Jatuh Tempo",IF(O1524&lt;=30,"1-30 hari",IF(O1524&lt;=60,"31-60 hari",IF(O1524&lt;=90,"61-90 hari","90+ hari")))))</f>
        <v>Lunas</v>
      </c>
      <c r="Q1524" s="50"/>
      <c r="R1524" s="39" t="str">
        <f aca="false">IF(M1524&lt;=0,"",IF(O1524&gt;60,"1-Tinggi",IF(O1524&gt;30,"2-Sedang",IF(O1524&gt;0,"3-Rendah","4-Pantau"))))</f>
        <v/>
      </c>
      <c r="S1524" s="39" t="str">
        <f aca="false">IF(AND(M1524&gt;0,O1524&gt;0),O1524+M1524/1000000000000+ROW()/1000000000000000,"")</f>
        <v/>
      </c>
      <c r="T1524" s="39" t="str">
        <f aca="false">IF(J1524="Belum ditukar",ROW(),"")</f>
        <v/>
      </c>
    </row>
    <row r="1525" customFormat="false" ht="15" hidden="false" customHeight="false" outlineLevel="0" collapsed="false">
      <c r="A1525" s="50" t="s">
        <v>1814</v>
      </c>
      <c r="B1525" s="51" t="n">
        <v>45979</v>
      </c>
      <c r="C1525" s="50" t="s">
        <v>205</v>
      </c>
      <c r="D1525" s="39" t="str">
        <f aca="false">INDEX(Master_Customer!$B$2:$B$126,MATCH(C1525,Master_Customer!$A$2:$A$126,0))</f>
        <v>BERKAH OLI</v>
      </c>
      <c r="E1525" s="50" t="s">
        <v>28</v>
      </c>
      <c r="F1525" s="52" t="n">
        <f aca="false">SUMIFS(Data_Penjualan!$G$2:$G$5998,Data_Penjualan!$A$2:$A$5998,A1525)</f>
        <v>5579700</v>
      </c>
      <c r="G1525" s="39" t="n">
        <f aca="false">IF(E1525="KANTOR",0,INDEX(Master_Customer!$C$2:$C$126,MATCH(C1525,Master_Customer!$A$2:$A$126,0)))</f>
        <v>0</v>
      </c>
      <c r="H1525" s="53" t="n">
        <f aca="false">B1525+G1525</f>
        <v>45979</v>
      </c>
      <c r="J1525" s="39" t="str">
        <f aca="false">IF(G1525=0,"Tunai",IF(I1525="","Belum ditukar","Sudah ditukar"))</f>
        <v>Tunai</v>
      </c>
      <c r="K1525" s="54" t="n">
        <v>5579700</v>
      </c>
      <c r="L1525" s="51" t="n">
        <v>45979</v>
      </c>
      <c r="M1525" s="52" t="n">
        <f aca="false">F1525-K1525</f>
        <v>0</v>
      </c>
      <c r="N1525" s="39" t="str">
        <f aca="false">IF(M1525&lt;=0,"Lunas",IF(K1525&gt;0,"Sebagian","Belum Bayar"))</f>
        <v>Lunas</v>
      </c>
      <c r="O1525" s="39" t="n">
        <f aca="false">IF(M1525&gt;0,MAX(0,Catatan!$B$3-H1525),0)</f>
        <v>0</v>
      </c>
      <c r="P1525" s="39" t="str">
        <f aca="false">IF(M1525&lt;=0,"Lunas",IF(Catatan!$B$3&lt;=H1525,"Belum Jatuh Tempo",IF(O1525&lt;=30,"1-30 hari",IF(O1525&lt;=60,"31-60 hari",IF(O1525&lt;=90,"61-90 hari","90+ hari")))))</f>
        <v>Lunas</v>
      </c>
      <c r="Q1525" s="50"/>
      <c r="R1525" s="39" t="str">
        <f aca="false">IF(M1525&lt;=0,"",IF(O1525&gt;60,"1-Tinggi",IF(O1525&gt;30,"2-Sedang",IF(O1525&gt;0,"3-Rendah","4-Pantau"))))</f>
        <v/>
      </c>
      <c r="S1525" s="39" t="str">
        <f aca="false">IF(AND(M1525&gt;0,O1525&gt;0),O1525+M1525/1000000000000+ROW()/1000000000000000,"")</f>
        <v/>
      </c>
      <c r="T1525" s="39" t="str">
        <f aca="false">IF(J1525="Belum ditukar",ROW(),"")</f>
        <v/>
      </c>
    </row>
    <row r="1526" customFormat="false" ht="15" hidden="false" customHeight="false" outlineLevel="0" collapsed="false">
      <c r="A1526" s="50" t="s">
        <v>1815</v>
      </c>
      <c r="B1526" s="51" t="n">
        <v>45979</v>
      </c>
      <c r="C1526" s="50" t="s">
        <v>188</v>
      </c>
      <c r="D1526" s="39" t="str">
        <f aca="false">INDEX(Master_Customer!$B$2:$B$126,MATCH(C1526,Master_Customer!$A$2:$A$126,0))</f>
        <v>MAJU GARAGE TIRTA</v>
      </c>
      <c r="E1526" s="50" t="s">
        <v>31</v>
      </c>
      <c r="F1526" s="52" t="n">
        <f aca="false">SUMIFS(Data_Penjualan!$G$2:$G$5998,Data_Penjualan!$A$2:$A$5998,A1526)</f>
        <v>9647300</v>
      </c>
      <c r="G1526" s="39" t="n">
        <f aca="false">IF(E1526="KANTOR",0,INDEX(Master_Customer!$C$2:$C$126,MATCH(C1526,Master_Customer!$A$2:$A$126,0)))</f>
        <v>45</v>
      </c>
      <c r="H1526" s="53" t="n">
        <f aca="false">B1526+G1526</f>
        <v>46024</v>
      </c>
      <c r="I1526" s="51" t="n">
        <v>45983</v>
      </c>
      <c r="J1526" s="39" t="str">
        <f aca="false">IF(G1526=0,"Tunai",IF(I1526="","Belum ditukar","Sudah ditukar"))</f>
        <v>Sudah ditukar</v>
      </c>
      <c r="K1526" s="54" t="n">
        <v>6451600</v>
      </c>
      <c r="L1526" s="51" t="n">
        <v>46019</v>
      </c>
      <c r="M1526" s="52" t="n">
        <f aca="false">F1526-K1526</f>
        <v>3195700</v>
      </c>
      <c r="N1526" s="39" t="str">
        <f aca="false">IF(M1526&lt;=0,"Lunas",IF(K1526&gt;0,"Sebagian","Belum Bayar"))</f>
        <v>Sebagian</v>
      </c>
      <c r="O1526" s="39" t="n">
        <f aca="false">IF(M1526&gt;0,MAX(0,Catatan!$B$3-H1526),0)</f>
        <v>0</v>
      </c>
      <c r="P1526" s="39" t="str">
        <f aca="false">IF(M1526&lt;=0,"Lunas",IF(Catatan!$B$3&lt;=H1526,"Belum Jatuh Tempo",IF(O1526&lt;=30,"1-30 hari",IF(O1526&lt;=60,"31-60 hari",IF(O1526&lt;=90,"61-90 hari","90+ hari")))))</f>
        <v>Belum Jatuh Tempo</v>
      </c>
      <c r="Q1526" s="50"/>
      <c r="R1526" s="39" t="str">
        <f aca="false">IF(M1526&lt;=0,"",IF(O1526&gt;60,"1-Tinggi",IF(O1526&gt;30,"2-Sedang",IF(O1526&gt;0,"3-Rendah","4-Pantau"))))</f>
        <v>4-Pantau</v>
      </c>
      <c r="S1526" s="39" t="str">
        <f aca="false">IF(AND(M1526&gt;0,O1526&gt;0),O1526+M1526/1000000000000+ROW()/1000000000000000,"")</f>
        <v/>
      </c>
      <c r="T1526" s="39" t="str">
        <f aca="false">IF(J1526="Belum ditukar",ROW(),"")</f>
        <v/>
      </c>
    </row>
    <row r="1527" customFormat="false" ht="15" hidden="false" customHeight="false" outlineLevel="0" collapsed="false">
      <c r="A1527" s="50" t="s">
        <v>1816</v>
      </c>
      <c r="B1527" s="51" t="n">
        <v>45979</v>
      </c>
      <c r="C1527" s="50" t="s">
        <v>239</v>
      </c>
      <c r="D1527" s="39" t="str">
        <f aca="false">INDEX(Master_Customer!$B$2:$B$126,MATCH(C1527,Master_Customer!$A$2:$A$126,0))</f>
        <v>MAJU SPAREPART UTAMA</v>
      </c>
      <c r="E1527" s="50" t="s">
        <v>31</v>
      </c>
      <c r="F1527" s="52" t="n">
        <f aca="false">SUMIFS(Data_Penjualan!$G$2:$G$5998,Data_Penjualan!$A$2:$A$5998,A1527)</f>
        <v>5247700</v>
      </c>
      <c r="G1527" s="39" t="n">
        <f aca="false">IF(E1527="KANTOR",0,INDEX(Master_Customer!$C$2:$C$126,MATCH(C1527,Master_Customer!$A$2:$A$126,0)))</f>
        <v>30</v>
      </c>
      <c r="H1527" s="53" t="n">
        <f aca="false">B1527+G1527</f>
        <v>46009</v>
      </c>
      <c r="I1527" s="51" t="n">
        <v>45980</v>
      </c>
      <c r="J1527" s="39" t="str">
        <f aca="false">IF(G1527=0,"Tunai",IF(I1527="","Belum ditukar","Sudah ditukar"))</f>
        <v>Sudah ditukar</v>
      </c>
      <c r="K1527" s="54" t="n">
        <v>0</v>
      </c>
      <c r="M1527" s="52" t="n">
        <f aca="false">F1527-K1527</f>
        <v>5247700</v>
      </c>
      <c r="N1527" s="39" t="str">
        <f aca="false">IF(M1527&lt;=0,"Lunas",IF(K1527&gt;0,"Sebagian","Belum Bayar"))</f>
        <v>Belum Bayar</v>
      </c>
      <c r="O1527" s="39" t="n">
        <f aca="false">IF(M1527&gt;0,MAX(0,Catatan!$B$3-H1527),0)</f>
        <v>13</v>
      </c>
      <c r="P1527" s="39" t="str">
        <f aca="false">IF(M1527&lt;=0,"Lunas",IF(Catatan!$B$3&lt;=H1527,"Belum Jatuh Tempo",IF(O1527&lt;=30,"1-30 hari",IF(O1527&lt;=60,"31-60 hari",IF(O1527&lt;=90,"61-90 hari","90+ hari")))))</f>
        <v>1-30 hari</v>
      </c>
      <c r="Q1527" s="50" t="s">
        <v>334</v>
      </c>
      <c r="R1527" s="39" t="str">
        <f aca="false">IF(M1527&lt;=0,"",IF(O1527&gt;60,"1-Tinggi",IF(O1527&gt;30,"2-Sedang",IF(O1527&gt;0,"3-Rendah","4-Pantau"))))</f>
        <v>3-Rendah</v>
      </c>
      <c r="S1527" s="39" t="n">
        <f aca="false">IF(AND(M1527&gt;0,O1527&gt;0),O1527+M1527/1000000000000+ROW()/1000000000000000,"")</f>
        <v>13.0000052477015</v>
      </c>
      <c r="T1527" s="39" t="str">
        <f aca="false">IF(J1527="Belum ditukar",ROW(),"")</f>
        <v/>
      </c>
    </row>
    <row r="1528" customFormat="false" ht="15" hidden="false" customHeight="false" outlineLevel="0" collapsed="false">
      <c r="A1528" s="50" t="s">
        <v>1817</v>
      </c>
      <c r="B1528" s="51" t="n">
        <v>45979</v>
      </c>
      <c r="C1528" s="50" t="s">
        <v>166</v>
      </c>
      <c r="D1528" s="39" t="str">
        <f aca="false">INDEX(Master_Customer!$B$2:$B$126,MATCH(C1528,Master_Customer!$A$2:$A$126,0))</f>
        <v>SENTOSA SERVICE</v>
      </c>
      <c r="E1528" s="50" t="s">
        <v>30</v>
      </c>
      <c r="F1528" s="52" t="n">
        <f aca="false">SUMIFS(Data_Penjualan!$G$2:$G$5998,Data_Penjualan!$A$2:$A$5998,A1528)</f>
        <v>3225200</v>
      </c>
      <c r="G1528" s="39" t="n">
        <f aca="false">IF(E1528="KANTOR",0,INDEX(Master_Customer!$C$2:$C$126,MATCH(C1528,Master_Customer!$A$2:$A$126,0)))</f>
        <v>0</v>
      </c>
      <c r="H1528" s="53" t="n">
        <f aca="false">B1528+G1528</f>
        <v>45979</v>
      </c>
      <c r="J1528" s="39" t="str">
        <f aca="false">IF(G1528=0,"Tunai",IF(I1528="","Belum ditukar","Sudah ditukar"))</f>
        <v>Tunai</v>
      </c>
      <c r="K1528" s="54" t="n">
        <v>3225200</v>
      </c>
      <c r="L1528" s="51" t="n">
        <v>45979</v>
      </c>
      <c r="M1528" s="52" t="n">
        <f aca="false">F1528-K1528</f>
        <v>0</v>
      </c>
      <c r="N1528" s="39" t="str">
        <f aca="false">IF(M1528&lt;=0,"Lunas",IF(K1528&gt;0,"Sebagian","Belum Bayar"))</f>
        <v>Lunas</v>
      </c>
      <c r="O1528" s="39" t="n">
        <f aca="false">IF(M1528&gt;0,MAX(0,Catatan!$B$3-H1528),0)</f>
        <v>0</v>
      </c>
      <c r="P1528" s="39" t="str">
        <f aca="false">IF(M1528&lt;=0,"Lunas",IF(Catatan!$B$3&lt;=H1528,"Belum Jatuh Tempo",IF(O1528&lt;=30,"1-30 hari",IF(O1528&lt;=60,"31-60 hari",IF(O1528&lt;=90,"61-90 hari","90+ hari")))))</f>
        <v>Lunas</v>
      </c>
      <c r="Q1528" s="50"/>
      <c r="R1528" s="39" t="str">
        <f aca="false">IF(M1528&lt;=0,"",IF(O1528&gt;60,"1-Tinggi",IF(O1528&gt;30,"2-Sedang",IF(O1528&gt;0,"3-Rendah","4-Pantau"))))</f>
        <v/>
      </c>
      <c r="S1528" s="39" t="str">
        <f aca="false">IF(AND(M1528&gt;0,O1528&gt;0),O1528+M1528/1000000000000+ROW()/1000000000000000,"")</f>
        <v/>
      </c>
      <c r="T1528" s="39" t="str">
        <f aca="false">IF(J1528="Belum ditukar",ROW(),"")</f>
        <v/>
      </c>
    </row>
    <row r="1529" customFormat="false" ht="15" hidden="false" customHeight="false" outlineLevel="0" collapsed="false">
      <c r="A1529" s="50" t="s">
        <v>1818</v>
      </c>
      <c r="B1529" s="51" t="n">
        <v>45979</v>
      </c>
      <c r="C1529" s="50" t="s">
        <v>205</v>
      </c>
      <c r="D1529" s="39" t="str">
        <f aca="false">INDEX(Master_Customer!$B$2:$B$126,MATCH(C1529,Master_Customer!$A$2:$A$126,0))</f>
        <v>BERKAH OLI</v>
      </c>
      <c r="E1529" s="50" t="s">
        <v>32</v>
      </c>
      <c r="F1529" s="52" t="n">
        <f aca="false">SUMIFS(Data_Penjualan!$G$2:$G$5998,Data_Penjualan!$A$2:$A$5998,A1529)</f>
        <v>24344800</v>
      </c>
      <c r="G1529" s="39" t="n">
        <f aca="false">IF(E1529="KANTOR",0,INDEX(Master_Customer!$C$2:$C$126,MATCH(C1529,Master_Customer!$A$2:$A$126,0)))</f>
        <v>0</v>
      </c>
      <c r="H1529" s="53" t="n">
        <f aca="false">B1529+G1529</f>
        <v>45979</v>
      </c>
      <c r="J1529" s="39" t="str">
        <f aca="false">IF(G1529=0,"Tunai",IF(I1529="","Belum ditukar","Sudah ditukar"))</f>
        <v>Tunai</v>
      </c>
      <c r="K1529" s="54" t="n">
        <v>24344800</v>
      </c>
      <c r="L1529" s="51" t="n">
        <v>45979</v>
      </c>
      <c r="M1529" s="52" t="n">
        <f aca="false">F1529-K1529</f>
        <v>0</v>
      </c>
      <c r="N1529" s="39" t="str">
        <f aca="false">IF(M1529&lt;=0,"Lunas",IF(K1529&gt;0,"Sebagian","Belum Bayar"))</f>
        <v>Lunas</v>
      </c>
      <c r="O1529" s="39" t="n">
        <f aca="false">IF(M1529&gt;0,MAX(0,Catatan!$B$3-H1529),0)</f>
        <v>0</v>
      </c>
      <c r="P1529" s="39" t="str">
        <f aca="false">IF(M1529&lt;=0,"Lunas",IF(Catatan!$B$3&lt;=H1529,"Belum Jatuh Tempo",IF(O1529&lt;=30,"1-30 hari",IF(O1529&lt;=60,"31-60 hari",IF(O1529&lt;=90,"61-90 hari","90+ hari")))))</f>
        <v>Lunas</v>
      </c>
      <c r="Q1529" s="50"/>
      <c r="R1529" s="39" t="str">
        <f aca="false">IF(M1529&lt;=0,"",IF(O1529&gt;60,"1-Tinggi",IF(O1529&gt;30,"2-Sedang",IF(O1529&gt;0,"3-Rendah","4-Pantau"))))</f>
        <v/>
      </c>
      <c r="S1529" s="39" t="str">
        <f aca="false">IF(AND(M1529&gt;0,O1529&gt;0),O1529+M1529/1000000000000+ROW()/1000000000000000,"")</f>
        <v/>
      </c>
      <c r="T1529" s="39" t="str">
        <f aca="false">IF(J1529="Belum ditukar",ROW(),"")</f>
        <v/>
      </c>
    </row>
    <row r="1530" customFormat="false" ht="15" hidden="false" customHeight="false" outlineLevel="0" collapsed="false">
      <c r="A1530" s="50" t="s">
        <v>1819</v>
      </c>
      <c r="B1530" s="51" t="n">
        <v>45979</v>
      </c>
      <c r="C1530" s="50" t="s">
        <v>197</v>
      </c>
      <c r="D1530" s="39" t="str">
        <f aca="false">INDEX(Master_Customer!$B$2:$B$126,MATCH(C1530,Master_Customer!$A$2:$A$126,0))</f>
        <v>UTAMA LUBRICANT HARAPAN</v>
      </c>
      <c r="E1530" s="50" t="s">
        <v>30</v>
      </c>
      <c r="F1530" s="52" t="n">
        <f aca="false">SUMIFS(Data_Penjualan!$G$2:$G$5998,Data_Penjualan!$A$2:$A$5998,A1530)</f>
        <v>9621300</v>
      </c>
      <c r="G1530" s="39" t="n">
        <f aca="false">IF(E1530="KANTOR",0,INDEX(Master_Customer!$C$2:$C$126,MATCH(C1530,Master_Customer!$A$2:$A$126,0)))</f>
        <v>30</v>
      </c>
      <c r="H1530" s="53" t="n">
        <f aca="false">B1530+G1530</f>
        <v>46009</v>
      </c>
      <c r="I1530" s="51" t="n">
        <v>45980</v>
      </c>
      <c r="J1530" s="39" t="str">
        <f aca="false">IF(G1530=0,"Tunai",IF(I1530="","Belum ditukar","Sudah ditukar"))</f>
        <v>Sudah ditukar</v>
      </c>
      <c r="K1530" s="54" t="n">
        <v>3647900</v>
      </c>
      <c r="L1530" s="51" t="n">
        <v>46005</v>
      </c>
      <c r="M1530" s="52" t="n">
        <f aca="false">F1530-K1530</f>
        <v>5973400</v>
      </c>
      <c r="N1530" s="39" t="str">
        <f aca="false">IF(M1530&lt;=0,"Lunas",IF(K1530&gt;0,"Sebagian","Belum Bayar"))</f>
        <v>Sebagian</v>
      </c>
      <c r="O1530" s="39" t="n">
        <f aca="false">IF(M1530&gt;0,MAX(0,Catatan!$B$3-H1530),0)</f>
        <v>13</v>
      </c>
      <c r="P1530" s="39" t="str">
        <f aca="false">IF(M1530&lt;=0,"Lunas",IF(Catatan!$B$3&lt;=H1530,"Belum Jatuh Tempo",IF(O1530&lt;=30,"1-30 hari",IF(O1530&lt;=60,"31-60 hari",IF(O1530&lt;=90,"61-90 hari","90+ hari")))))</f>
        <v>1-30 hari</v>
      </c>
      <c r="Q1530" s="50" t="s">
        <v>334</v>
      </c>
      <c r="R1530" s="39" t="str">
        <f aca="false">IF(M1530&lt;=0,"",IF(O1530&gt;60,"1-Tinggi",IF(O1530&gt;30,"2-Sedang",IF(O1530&gt;0,"3-Rendah","4-Pantau"))))</f>
        <v>3-Rendah</v>
      </c>
      <c r="S1530" s="39" t="n">
        <f aca="false">IF(AND(M1530&gt;0,O1530&gt;0),O1530+M1530/1000000000000+ROW()/1000000000000000,"")</f>
        <v>13.0000059734015</v>
      </c>
      <c r="T1530" s="39" t="str">
        <f aca="false">IF(J1530="Belum ditukar",ROW(),"")</f>
        <v/>
      </c>
    </row>
    <row r="1531" customFormat="false" ht="15" hidden="false" customHeight="false" outlineLevel="0" collapsed="false">
      <c r="A1531" s="50" t="s">
        <v>1820</v>
      </c>
      <c r="B1531" s="51" t="n">
        <v>45979</v>
      </c>
      <c r="C1531" s="50" t="s">
        <v>241</v>
      </c>
      <c r="D1531" s="39" t="str">
        <f aca="false">INDEX(Master_Customer!$B$2:$B$126,MATCH(C1531,Master_Customer!$A$2:$A$126,0))</f>
        <v>GEMILANG GARAGE TIRTA</v>
      </c>
      <c r="E1531" s="50" t="s">
        <v>29</v>
      </c>
      <c r="F1531" s="52" t="n">
        <f aca="false">SUMIFS(Data_Penjualan!$G$2:$G$5998,Data_Penjualan!$A$2:$A$5998,A1531)</f>
        <v>16415600</v>
      </c>
      <c r="G1531" s="39" t="n">
        <f aca="false">IF(E1531="KANTOR",0,INDEX(Master_Customer!$C$2:$C$126,MATCH(C1531,Master_Customer!$A$2:$A$126,0)))</f>
        <v>14</v>
      </c>
      <c r="H1531" s="53" t="n">
        <f aca="false">B1531+G1531</f>
        <v>45993</v>
      </c>
      <c r="I1531" s="51" t="n">
        <v>45981</v>
      </c>
      <c r="J1531" s="39" t="str">
        <f aca="false">IF(G1531=0,"Tunai",IF(I1531="","Belum ditukar","Sudah ditukar"))</f>
        <v>Sudah ditukar</v>
      </c>
      <c r="K1531" s="54" t="n">
        <v>16415600</v>
      </c>
      <c r="L1531" s="51" t="n">
        <v>45990</v>
      </c>
      <c r="M1531" s="52" t="n">
        <f aca="false">F1531-K1531</f>
        <v>0</v>
      </c>
      <c r="N1531" s="39" t="str">
        <f aca="false">IF(M1531&lt;=0,"Lunas",IF(K1531&gt;0,"Sebagian","Belum Bayar"))</f>
        <v>Lunas</v>
      </c>
      <c r="O1531" s="39" t="n">
        <f aca="false">IF(M1531&gt;0,MAX(0,Catatan!$B$3-H1531),0)</f>
        <v>0</v>
      </c>
      <c r="P1531" s="39" t="str">
        <f aca="false">IF(M1531&lt;=0,"Lunas",IF(Catatan!$B$3&lt;=H1531,"Belum Jatuh Tempo",IF(O1531&lt;=30,"1-30 hari",IF(O1531&lt;=60,"31-60 hari",IF(O1531&lt;=90,"61-90 hari","90+ hari")))))</f>
        <v>Lunas</v>
      </c>
      <c r="Q1531" s="50"/>
      <c r="R1531" s="39" t="str">
        <f aca="false">IF(M1531&lt;=0,"",IF(O1531&gt;60,"1-Tinggi",IF(O1531&gt;30,"2-Sedang",IF(O1531&gt;0,"3-Rendah","4-Pantau"))))</f>
        <v/>
      </c>
      <c r="S1531" s="39" t="str">
        <f aca="false">IF(AND(M1531&gt;0,O1531&gt;0),O1531+M1531/1000000000000+ROW()/1000000000000000,"")</f>
        <v/>
      </c>
      <c r="T1531" s="39" t="str">
        <f aca="false">IF(J1531="Belum ditukar",ROW(),"")</f>
        <v/>
      </c>
    </row>
    <row r="1532" customFormat="false" ht="15" hidden="false" customHeight="false" outlineLevel="0" collapsed="false">
      <c r="A1532" s="50" t="s">
        <v>1821</v>
      </c>
      <c r="B1532" s="51" t="n">
        <v>45980</v>
      </c>
      <c r="C1532" s="50" t="s">
        <v>166</v>
      </c>
      <c r="D1532" s="39" t="str">
        <f aca="false">INDEX(Master_Customer!$B$2:$B$126,MATCH(C1532,Master_Customer!$A$2:$A$126,0))</f>
        <v>SENTOSA SERVICE</v>
      </c>
      <c r="E1532" s="50" t="s">
        <v>30</v>
      </c>
      <c r="F1532" s="52" t="n">
        <f aca="false">SUMIFS(Data_Penjualan!$G$2:$G$5998,Data_Penjualan!$A$2:$A$5998,A1532)</f>
        <v>11411700</v>
      </c>
      <c r="G1532" s="39" t="n">
        <f aca="false">IF(E1532="KANTOR",0,INDEX(Master_Customer!$C$2:$C$126,MATCH(C1532,Master_Customer!$A$2:$A$126,0)))</f>
        <v>0</v>
      </c>
      <c r="H1532" s="53" t="n">
        <f aca="false">B1532+G1532</f>
        <v>45980</v>
      </c>
      <c r="J1532" s="39" t="str">
        <f aca="false">IF(G1532=0,"Tunai",IF(I1532="","Belum ditukar","Sudah ditukar"))</f>
        <v>Tunai</v>
      </c>
      <c r="K1532" s="54" t="n">
        <v>11411700</v>
      </c>
      <c r="L1532" s="51" t="n">
        <v>45980</v>
      </c>
      <c r="M1532" s="52" t="n">
        <f aca="false">F1532-K1532</f>
        <v>0</v>
      </c>
      <c r="N1532" s="39" t="str">
        <f aca="false">IF(M1532&lt;=0,"Lunas",IF(K1532&gt;0,"Sebagian","Belum Bayar"))</f>
        <v>Lunas</v>
      </c>
      <c r="O1532" s="39" t="n">
        <f aca="false">IF(M1532&gt;0,MAX(0,Catatan!$B$3-H1532),0)</f>
        <v>0</v>
      </c>
      <c r="P1532" s="39" t="str">
        <f aca="false">IF(M1532&lt;=0,"Lunas",IF(Catatan!$B$3&lt;=H1532,"Belum Jatuh Tempo",IF(O1532&lt;=30,"1-30 hari",IF(O1532&lt;=60,"31-60 hari",IF(O1532&lt;=90,"61-90 hari","90+ hari")))))</f>
        <v>Lunas</v>
      </c>
      <c r="Q1532" s="50"/>
      <c r="R1532" s="39" t="str">
        <f aca="false">IF(M1532&lt;=0,"",IF(O1532&gt;60,"1-Tinggi",IF(O1532&gt;30,"2-Sedang",IF(O1532&gt;0,"3-Rendah","4-Pantau"))))</f>
        <v/>
      </c>
      <c r="S1532" s="39" t="str">
        <f aca="false">IF(AND(M1532&gt;0,O1532&gt;0),O1532+M1532/1000000000000+ROW()/1000000000000000,"")</f>
        <v/>
      </c>
      <c r="T1532" s="39" t="str">
        <f aca="false">IF(J1532="Belum ditukar",ROW(),"")</f>
        <v/>
      </c>
    </row>
    <row r="1533" customFormat="false" ht="15" hidden="false" customHeight="false" outlineLevel="0" collapsed="false">
      <c r="A1533" s="50" t="s">
        <v>1822</v>
      </c>
      <c r="B1533" s="51" t="n">
        <v>45980</v>
      </c>
      <c r="C1533" s="50" t="s">
        <v>296</v>
      </c>
      <c r="D1533" s="39" t="str">
        <f aca="false">INDEX(Master_Customer!$B$2:$B$126,MATCH(C1533,Master_Customer!$A$2:$A$126,0))</f>
        <v>KARYA LUBRICANT MAJU</v>
      </c>
      <c r="E1533" s="50" t="s">
        <v>29</v>
      </c>
      <c r="F1533" s="52" t="n">
        <f aca="false">SUMIFS(Data_Penjualan!$G$2:$G$5998,Data_Penjualan!$A$2:$A$5998,A1533)</f>
        <v>9775600</v>
      </c>
      <c r="G1533" s="39" t="n">
        <f aca="false">IF(E1533="KANTOR",0,INDEX(Master_Customer!$C$2:$C$126,MATCH(C1533,Master_Customer!$A$2:$A$126,0)))</f>
        <v>14</v>
      </c>
      <c r="H1533" s="53" t="n">
        <f aca="false">B1533+G1533</f>
        <v>45994</v>
      </c>
      <c r="I1533" s="51" t="n">
        <v>45984</v>
      </c>
      <c r="J1533" s="39" t="str">
        <f aca="false">IF(G1533=0,"Tunai",IF(I1533="","Belum ditukar","Sudah ditukar"))</f>
        <v>Sudah ditukar</v>
      </c>
      <c r="K1533" s="54" t="n">
        <v>9775600</v>
      </c>
      <c r="L1533" s="51" t="n">
        <v>45996</v>
      </c>
      <c r="M1533" s="52" t="n">
        <f aca="false">F1533-K1533</f>
        <v>0</v>
      </c>
      <c r="N1533" s="39" t="str">
        <f aca="false">IF(M1533&lt;=0,"Lunas",IF(K1533&gt;0,"Sebagian","Belum Bayar"))</f>
        <v>Lunas</v>
      </c>
      <c r="O1533" s="39" t="n">
        <f aca="false">IF(M1533&gt;0,MAX(0,Catatan!$B$3-H1533),0)</f>
        <v>0</v>
      </c>
      <c r="P1533" s="39" t="str">
        <f aca="false">IF(M1533&lt;=0,"Lunas",IF(Catatan!$B$3&lt;=H1533,"Belum Jatuh Tempo",IF(O1533&lt;=30,"1-30 hari",IF(O1533&lt;=60,"31-60 hari",IF(O1533&lt;=90,"61-90 hari","90+ hari")))))</f>
        <v>Lunas</v>
      </c>
      <c r="Q1533" s="50"/>
      <c r="R1533" s="39" t="str">
        <f aca="false">IF(M1533&lt;=0,"",IF(O1533&gt;60,"1-Tinggi",IF(O1533&gt;30,"2-Sedang",IF(O1533&gt;0,"3-Rendah","4-Pantau"))))</f>
        <v/>
      </c>
      <c r="S1533" s="39" t="str">
        <f aca="false">IF(AND(M1533&gt;0,O1533&gt;0),O1533+M1533/1000000000000+ROW()/1000000000000000,"")</f>
        <v/>
      </c>
      <c r="T1533" s="39" t="str">
        <f aca="false">IF(J1533="Belum ditukar",ROW(),"")</f>
        <v/>
      </c>
    </row>
    <row r="1534" customFormat="false" ht="15" hidden="false" customHeight="false" outlineLevel="0" collapsed="false">
      <c r="A1534" s="50" t="s">
        <v>1823</v>
      </c>
      <c r="B1534" s="51" t="n">
        <v>45980</v>
      </c>
      <c r="C1534" s="50" t="s">
        <v>467</v>
      </c>
      <c r="D1534" s="39" t="str">
        <f aca="false">INDEX(Master_Customer!$B$2:$B$126,MATCH(C1534,Master_Customer!$A$2:$A$126,0))</f>
        <v>LANCAR GARAGE UTAMA</v>
      </c>
      <c r="E1534" s="50" t="s">
        <v>31</v>
      </c>
      <c r="F1534" s="52" t="n">
        <f aca="false">SUMIFS(Data_Penjualan!$G$2:$G$5998,Data_Penjualan!$A$2:$A$5998,A1534)</f>
        <v>17519100</v>
      </c>
      <c r="G1534" s="39" t="n">
        <f aca="false">IF(E1534="KANTOR",0,INDEX(Master_Customer!$C$2:$C$126,MATCH(C1534,Master_Customer!$A$2:$A$126,0)))</f>
        <v>14</v>
      </c>
      <c r="H1534" s="53" t="n">
        <f aca="false">B1534+G1534</f>
        <v>45994</v>
      </c>
      <c r="I1534" s="51" t="n">
        <v>45982</v>
      </c>
      <c r="J1534" s="39" t="str">
        <f aca="false">IF(G1534=0,"Tunai",IF(I1534="","Belum ditukar","Sudah ditukar"))</f>
        <v>Sudah ditukar</v>
      </c>
      <c r="K1534" s="54" t="n">
        <v>0</v>
      </c>
      <c r="M1534" s="52" t="n">
        <f aca="false">F1534-K1534</f>
        <v>17519100</v>
      </c>
      <c r="N1534" s="39" t="str">
        <f aca="false">IF(M1534&lt;=0,"Lunas",IF(K1534&gt;0,"Sebagian","Belum Bayar"))</f>
        <v>Belum Bayar</v>
      </c>
      <c r="O1534" s="39" t="n">
        <f aca="false">IF(M1534&gt;0,MAX(0,Catatan!$B$3-H1534),0)</f>
        <v>28</v>
      </c>
      <c r="P1534" s="39" t="str">
        <f aca="false">IF(M1534&lt;=0,"Lunas",IF(Catatan!$B$3&lt;=H1534,"Belum Jatuh Tempo",IF(O1534&lt;=30,"1-30 hari",IF(O1534&lt;=60,"31-60 hari",IF(O1534&lt;=90,"61-90 hari","90+ hari")))))</f>
        <v>1-30 hari</v>
      </c>
      <c r="Q1534" s="50" t="s">
        <v>1797</v>
      </c>
      <c r="R1534" s="39" t="str">
        <f aca="false">IF(M1534&lt;=0,"",IF(O1534&gt;60,"1-Tinggi",IF(O1534&gt;30,"2-Sedang",IF(O1534&gt;0,"3-Rendah","4-Pantau"))))</f>
        <v>3-Rendah</v>
      </c>
      <c r="S1534" s="39" t="n">
        <f aca="false">IF(AND(M1534&gt;0,O1534&gt;0),O1534+M1534/1000000000000+ROW()/1000000000000000,"")</f>
        <v>28.0000175191015</v>
      </c>
      <c r="T1534" s="39" t="str">
        <f aca="false">IF(J1534="Belum ditukar",ROW(),"")</f>
        <v/>
      </c>
    </row>
    <row r="1535" customFormat="false" ht="15" hidden="false" customHeight="false" outlineLevel="0" collapsed="false">
      <c r="A1535" s="50" t="s">
        <v>1824</v>
      </c>
      <c r="B1535" s="51" t="n">
        <v>45980</v>
      </c>
      <c r="C1535" s="50" t="s">
        <v>243</v>
      </c>
      <c r="D1535" s="39" t="str">
        <f aca="false">INDEX(Master_Customer!$B$2:$B$126,MATCH(C1535,Master_Customer!$A$2:$A$126,0))</f>
        <v>SENTOSA LUBRICANT MULIA</v>
      </c>
      <c r="E1535" s="50" t="s">
        <v>30</v>
      </c>
      <c r="F1535" s="52" t="n">
        <f aca="false">SUMIFS(Data_Penjualan!$G$2:$G$5998,Data_Penjualan!$A$2:$A$5998,A1535)</f>
        <v>10944000</v>
      </c>
      <c r="G1535" s="39" t="n">
        <f aca="false">IF(E1535="KANTOR",0,INDEX(Master_Customer!$C$2:$C$126,MATCH(C1535,Master_Customer!$A$2:$A$126,0)))</f>
        <v>45</v>
      </c>
      <c r="H1535" s="53" t="n">
        <f aca="false">B1535+G1535</f>
        <v>46025</v>
      </c>
      <c r="I1535" s="51" t="n">
        <v>45983</v>
      </c>
      <c r="J1535" s="39" t="str">
        <f aca="false">IF(G1535=0,"Tunai",IF(I1535="","Belum ditukar","Sudah ditukar"))</f>
        <v>Sudah ditukar</v>
      </c>
      <c r="K1535" s="54" t="n">
        <v>0</v>
      </c>
      <c r="M1535" s="52" t="n">
        <f aca="false">F1535-K1535</f>
        <v>10944000</v>
      </c>
      <c r="N1535" s="39" t="str">
        <f aca="false">IF(M1535&lt;=0,"Lunas",IF(K1535&gt;0,"Sebagian","Belum Bayar"))</f>
        <v>Belum Bayar</v>
      </c>
      <c r="O1535" s="39" t="n">
        <f aca="false">IF(M1535&gt;0,MAX(0,Catatan!$B$3-H1535),0)</f>
        <v>0</v>
      </c>
      <c r="P1535" s="39" t="str">
        <f aca="false">IF(M1535&lt;=0,"Lunas",IF(Catatan!$B$3&lt;=H1535,"Belum Jatuh Tempo",IF(O1535&lt;=30,"1-30 hari",IF(O1535&lt;=60,"31-60 hari",IF(O1535&lt;=90,"61-90 hari","90+ hari")))))</f>
        <v>Belum Jatuh Tempo</v>
      </c>
      <c r="Q1535" s="50"/>
      <c r="R1535" s="39" t="str">
        <f aca="false">IF(M1535&lt;=0,"",IF(O1535&gt;60,"1-Tinggi",IF(O1535&gt;30,"2-Sedang",IF(O1535&gt;0,"3-Rendah","4-Pantau"))))</f>
        <v>4-Pantau</v>
      </c>
      <c r="S1535" s="39" t="str">
        <f aca="false">IF(AND(M1535&gt;0,O1535&gt;0),O1535+M1535/1000000000000+ROW()/1000000000000000,"")</f>
        <v/>
      </c>
      <c r="T1535" s="39" t="str">
        <f aca="false">IF(J1535="Belum ditukar",ROW(),"")</f>
        <v/>
      </c>
    </row>
    <row r="1536" customFormat="false" ht="15" hidden="false" customHeight="false" outlineLevel="0" collapsed="false">
      <c r="A1536" s="50" t="s">
        <v>1825</v>
      </c>
      <c r="B1536" s="51" t="n">
        <v>45980</v>
      </c>
      <c r="C1536" s="50" t="s">
        <v>286</v>
      </c>
      <c r="D1536" s="39" t="str">
        <f aca="false">INDEX(Master_Customer!$B$2:$B$126,MATCH(C1536,Master_Customer!$A$2:$A$126,0))</f>
        <v>CAHAYA AUTO</v>
      </c>
      <c r="E1536" s="50" t="s">
        <v>29</v>
      </c>
      <c r="F1536" s="52" t="n">
        <f aca="false">SUMIFS(Data_Penjualan!$G$2:$G$5998,Data_Penjualan!$A$2:$A$5998,A1536)</f>
        <v>14239800</v>
      </c>
      <c r="G1536" s="39" t="n">
        <f aca="false">IF(E1536="KANTOR",0,INDEX(Master_Customer!$C$2:$C$126,MATCH(C1536,Master_Customer!$A$2:$A$126,0)))</f>
        <v>0</v>
      </c>
      <c r="H1536" s="53" t="n">
        <f aca="false">B1536+G1536</f>
        <v>45980</v>
      </c>
      <c r="J1536" s="39" t="str">
        <f aca="false">IF(G1536=0,"Tunai",IF(I1536="","Belum ditukar","Sudah ditukar"))</f>
        <v>Tunai</v>
      </c>
      <c r="K1536" s="54" t="n">
        <v>14239800</v>
      </c>
      <c r="L1536" s="51" t="n">
        <v>45980</v>
      </c>
      <c r="M1536" s="52" t="n">
        <f aca="false">F1536-K1536</f>
        <v>0</v>
      </c>
      <c r="N1536" s="39" t="str">
        <f aca="false">IF(M1536&lt;=0,"Lunas",IF(K1536&gt;0,"Sebagian","Belum Bayar"))</f>
        <v>Lunas</v>
      </c>
      <c r="O1536" s="39" t="n">
        <f aca="false">IF(M1536&gt;0,MAX(0,Catatan!$B$3-H1536),0)</f>
        <v>0</v>
      </c>
      <c r="P1536" s="39" t="str">
        <f aca="false">IF(M1536&lt;=0,"Lunas",IF(Catatan!$B$3&lt;=H1536,"Belum Jatuh Tempo",IF(O1536&lt;=30,"1-30 hari",IF(O1536&lt;=60,"31-60 hari",IF(O1536&lt;=90,"61-90 hari","90+ hari")))))</f>
        <v>Lunas</v>
      </c>
      <c r="Q1536" s="50"/>
      <c r="R1536" s="39" t="str">
        <f aca="false">IF(M1536&lt;=0,"",IF(O1536&gt;60,"1-Tinggi",IF(O1536&gt;30,"2-Sedang",IF(O1536&gt;0,"3-Rendah","4-Pantau"))))</f>
        <v/>
      </c>
      <c r="S1536" s="39" t="str">
        <f aca="false">IF(AND(M1536&gt;0,O1536&gt;0),O1536+M1536/1000000000000+ROW()/1000000000000000,"")</f>
        <v/>
      </c>
      <c r="T1536" s="39" t="str">
        <f aca="false">IF(J1536="Belum ditukar",ROW(),"")</f>
        <v/>
      </c>
    </row>
    <row r="1537" customFormat="false" ht="15" hidden="false" customHeight="false" outlineLevel="0" collapsed="false">
      <c r="A1537" s="50" t="s">
        <v>1826</v>
      </c>
      <c r="B1537" s="51" t="n">
        <v>45980</v>
      </c>
      <c r="C1537" s="50" t="s">
        <v>170</v>
      </c>
      <c r="D1537" s="39" t="str">
        <f aca="false">INDEX(Master_Customer!$B$2:$B$126,MATCH(C1537,Master_Customer!$A$2:$A$126,0))</f>
        <v>HARAPAN MOTOR</v>
      </c>
      <c r="E1537" s="50" t="s">
        <v>30</v>
      </c>
      <c r="F1537" s="52" t="n">
        <f aca="false">SUMIFS(Data_Penjualan!$G$2:$G$5998,Data_Penjualan!$A$2:$A$5998,A1537)</f>
        <v>2292000</v>
      </c>
      <c r="G1537" s="39" t="n">
        <f aca="false">IF(E1537="KANTOR",0,INDEX(Master_Customer!$C$2:$C$126,MATCH(C1537,Master_Customer!$A$2:$A$126,0)))</f>
        <v>45</v>
      </c>
      <c r="H1537" s="53" t="n">
        <f aca="false">B1537+G1537</f>
        <v>46025</v>
      </c>
      <c r="I1537" s="51" t="n">
        <v>45981</v>
      </c>
      <c r="J1537" s="39" t="str">
        <f aca="false">IF(G1537=0,"Tunai",IF(I1537="","Belum ditukar","Sudah ditukar"))</f>
        <v>Sudah ditukar</v>
      </c>
      <c r="K1537" s="54" t="n">
        <v>2292000</v>
      </c>
      <c r="L1537" s="51" t="n">
        <v>46020</v>
      </c>
      <c r="M1537" s="52" t="n">
        <f aca="false">F1537-K1537</f>
        <v>0</v>
      </c>
      <c r="N1537" s="39" t="str">
        <f aca="false">IF(M1537&lt;=0,"Lunas",IF(K1537&gt;0,"Sebagian","Belum Bayar"))</f>
        <v>Lunas</v>
      </c>
      <c r="O1537" s="39" t="n">
        <f aca="false">IF(M1537&gt;0,MAX(0,Catatan!$B$3-H1537),0)</f>
        <v>0</v>
      </c>
      <c r="P1537" s="39" t="str">
        <f aca="false">IF(M1537&lt;=0,"Lunas",IF(Catatan!$B$3&lt;=H1537,"Belum Jatuh Tempo",IF(O1537&lt;=30,"1-30 hari",IF(O1537&lt;=60,"31-60 hari",IF(O1537&lt;=90,"61-90 hari","90+ hari")))))</f>
        <v>Lunas</v>
      </c>
      <c r="Q1537" s="50"/>
      <c r="R1537" s="39" t="str">
        <f aca="false">IF(M1537&lt;=0,"",IF(O1537&gt;60,"1-Tinggi",IF(O1537&gt;30,"2-Sedang",IF(O1537&gt;0,"3-Rendah","4-Pantau"))))</f>
        <v/>
      </c>
      <c r="S1537" s="39" t="str">
        <f aca="false">IF(AND(M1537&gt;0,O1537&gt;0),O1537+M1537/1000000000000+ROW()/1000000000000000,"")</f>
        <v/>
      </c>
      <c r="T1537" s="39" t="str">
        <f aca="false">IF(J1537="Belum ditukar",ROW(),"")</f>
        <v/>
      </c>
    </row>
    <row r="1538" customFormat="false" ht="15" hidden="false" customHeight="false" outlineLevel="0" collapsed="false">
      <c r="A1538" s="50" t="s">
        <v>1827</v>
      </c>
      <c r="B1538" s="51" t="n">
        <v>45980</v>
      </c>
      <c r="C1538" s="50" t="s">
        <v>197</v>
      </c>
      <c r="D1538" s="39" t="str">
        <f aca="false">INDEX(Master_Customer!$B$2:$B$126,MATCH(C1538,Master_Customer!$A$2:$A$126,0))</f>
        <v>UTAMA LUBRICANT HARAPAN</v>
      </c>
      <c r="E1538" s="50" t="s">
        <v>30</v>
      </c>
      <c r="F1538" s="52" t="n">
        <f aca="false">SUMIFS(Data_Penjualan!$G$2:$G$5998,Data_Penjualan!$A$2:$A$5998,A1538)</f>
        <v>26829000</v>
      </c>
      <c r="G1538" s="39" t="n">
        <f aca="false">IF(E1538="KANTOR",0,INDEX(Master_Customer!$C$2:$C$126,MATCH(C1538,Master_Customer!$A$2:$A$126,0)))</f>
        <v>30</v>
      </c>
      <c r="H1538" s="53" t="n">
        <f aca="false">B1538+G1538</f>
        <v>46010</v>
      </c>
      <c r="I1538" s="51" t="n">
        <v>45984</v>
      </c>
      <c r="J1538" s="39" t="str">
        <f aca="false">IF(G1538=0,"Tunai",IF(I1538="","Belum ditukar","Sudah ditukar"))</f>
        <v>Sudah ditukar</v>
      </c>
      <c r="K1538" s="54" t="n">
        <v>26829000</v>
      </c>
      <c r="L1538" s="51" t="n">
        <v>46000</v>
      </c>
      <c r="M1538" s="52" t="n">
        <f aca="false">F1538-K1538</f>
        <v>0</v>
      </c>
      <c r="N1538" s="39" t="str">
        <f aca="false">IF(M1538&lt;=0,"Lunas",IF(K1538&gt;0,"Sebagian","Belum Bayar"))</f>
        <v>Lunas</v>
      </c>
      <c r="O1538" s="39" t="n">
        <f aca="false">IF(M1538&gt;0,MAX(0,Catatan!$B$3-H1538),0)</f>
        <v>0</v>
      </c>
      <c r="P1538" s="39" t="str">
        <f aca="false">IF(M1538&lt;=0,"Lunas",IF(Catatan!$B$3&lt;=H1538,"Belum Jatuh Tempo",IF(O1538&lt;=30,"1-30 hari",IF(O1538&lt;=60,"31-60 hari",IF(O1538&lt;=90,"61-90 hari","90+ hari")))))</f>
        <v>Lunas</v>
      </c>
      <c r="Q1538" s="50"/>
      <c r="R1538" s="39" t="str">
        <f aca="false">IF(M1538&lt;=0,"",IF(O1538&gt;60,"1-Tinggi",IF(O1538&gt;30,"2-Sedang",IF(O1538&gt;0,"3-Rendah","4-Pantau"))))</f>
        <v/>
      </c>
      <c r="S1538" s="39" t="str">
        <f aca="false">IF(AND(M1538&gt;0,O1538&gt;0),O1538+M1538/1000000000000+ROW()/1000000000000000,"")</f>
        <v/>
      </c>
      <c r="T1538" s="39" t="str">
        <f aca="false">IF(J1538="Belum ditukar",ROW(),"")</f>
        <v/>
      </c>
    </row>
    <row r="1539" customFormat="false" ht="15" hidden="false" customHeight="false" outlineLevel="0" collapsed="false">
      <c r="A1539" s="50" t="s">
        <v>1828</v>
      </c>
      <c r="B1539" s="51" t="n">
        <v>45980</v>
      </c>
      <c r="C1539" s="50" t="s">
        <v>293</v>
      </c>
      <c r="D1539" s="39" t="str">
        <f aca="false">INDEX(Master_Customer!$B$2:$B$126,MATCH(C1539,Master_Customer!$A$2:$A$126,0))</f>
        <v>SINAR LUBRICANT</v>
      </c>
      <c r="E1539" s="50" t="s">
        <v>31</v>
      </c>
      <c r="F1539" s="52" t="n">
        <f aca="false">SUMIFS(Data_Penjualan!$G$2:$G$5998,Data_Penjualan!$A$2:$A$5998,A1539)</f>
        <v>10143100</v>
      </c>
      <c r="G1539" s="39" t="n">
        <f aca="false">IF(E1539="KANTOR",0,INDEX(Master_Customer!$C$2:$C$126,MATCH(C1539,Master_Customer!$A$2:$A$126,0)))</f>
        <v>30</v>
      </c>
      <c r="H1539" s="53" t="n">
        <f aca="false">B1539+G1539</f>
        <v>46010</v>
      </c>
      <c r="I1539" s="51" t="n">
        <v>45982</v>
      </c>
      <c r="J1539" s="39" t="str">
        <f aca="false">IF(G1539=0,"Tunai",IF(I1539="","Belum ditukar","Sudah ditukar"))</f>
        <v>Sudah ditukar</v>
      </c>
      <c r="K1539" s="54" t="n">
        <v>10143100</v>
      </c>
      <c r="L1539" s="51" t="n">
        <v>46012</v>
      </c>
      <c r="M1539" s="52" t="n">
        <f aca="false">F1539-K1539</f>
        <v>0</v>
      </c>
      <c r="N1539" s="39" t="str">
        <f aca="false">IF(M1539&lt;=0,"Lunas",IF(K1539&gt;0,"Sebagian","Belum Bayar"))</f>
        <v>Lunas</v>
      </c>
      <c r="O1539" s="39" t="n">
        <f aca="false">IF(M1539&gt;0,MAX(0,Catatan!$B$3-H1539),0)</f>
        <v>0</v>
      </c>
      <c r="P1539" s="39" t="str">
        <f aca="false">IF(M1539&lt;=0,"Lunas",IF(Catatan!$B$3&lt;=H1539,"Belum Jatuh Tempo",IF(O1539&lt;=30,"1-30 hari",IF(O1539&lt;=60,"31-60 hari",IF(O1539&lt;=90,"61-90 hari","90+ hari")))))</f>
        <v>Lunas</v>
      </c>
      <c r="Q1539" s="50"/>
      <c r="R1539" s="39" t="str">
        <f aca="false">IF(M1539&lt;=0,"",IF(O1539&gt;60,"1-Tinggi",IF(O1539&gt;30,"2-Sedang",IF(O1539&gt;0,"3-Rendah","4-Pantau"))))</f>
        <v/>
      </c>
      <c r="S1539" s="39" t="str">
        <f aca="false">IF(AND(M1539&gt;0,O1539&gt;0),O1539+M1539/1000000000000+ROW()/1000000000000000,"")</f>
        <v/>
      </c>
      <c r="T1539" s="39" t="str">
        <f aca="false">IF(J1539="Belum ditukar",ROW(),"")</f>
        <v/>
      </c>
    </row>
    <row r="1540" customFormat="false" ht="15" hidden="false" customHeight="false" outlineLevel="0" collapsed="false">
      <c r="A1540" s="50" t="s">
        <v>154</v>
      </c>
      <c r="B1540" s="51" t="n">
        <v>45981</v>
      </c>
      <c r="C1540" s="50" t="s">
        <v>369</v>
      </c>
      <c r="D1540" s="39" t="str">
        <f aca="false">INDEX(Master_Customer!$B$2:$B$126,MATCH(C1540,Master_Customer!$A$2:$A$126,0))</f>
        <v>UTAMA TEKNIK</v>
      </c>
      <c r="E1540" s="50" t="s">
        <v>31</v>
      </c>
      <c r="F1540" s="52" t="n">
        <f aca="false">SUMIFS(Data_Penjualan!$G$2:$G$5998,Data_Penjualan!$A$2:$A$5998,A1540)</f>
        <v>8628400</v>
      </c>
      <c r="G1540" s="39" t="n">
        <f aca="false">IF(E1540="KANTOR",0,INDEX(Master_Customer!$C$2:$C$126,MATCH(C1540,Master_Customer!$A$2:$A$126,0)))</f>
        <v>30</v>
      </c>
      <c r="H1540" s="53" t="n">
        <f aca="false">B1540+G1540</f>
        <v>46011</v>
      </c>
      <c r="I1540" s="51" t="n">
        <v>45986</v>
      </c>
      <c r="J1540" s="39" t="str">
        <f aca="false">IF(G1540=0,"Tunai",IF(I1540="","Belum ditukar","Sudah ditukar"))</f>
        <v>Sudah ditukar</v>
      </c>
      <c r="K1540" s="54" t="n">
        <v>2683400</v>
      </c>
      <c r="L1540" s="51" t="n">
        <v>46019</v>
      </c>
      <c r="M1540" s="52" t="n">
        <f aca="false">F1540-K1540</f>
        <v>5945000</v>
      </c>
      <c r="N1540" s="39" t="str">
        <f aca="false">IF(M1540&lt;=0,"Lunas",IF(K1540&gt;0,"Sebagian","Belum Bayar"))</f>
        <v>Sebagian</v>
      </c>
      <c r="O1540" s="39" t="n">
        <f aca="false">IF(M1540&gt;0,MAX(0,Catatan!$B$3-H1540),0)</f>
        <v>11</v>
      </c>
      <c r="P1540" s="39" t="str">
        <f aca="false">IF(M1540&lt;=0,"Lunas",IF(Catatan!$B$3&lt;=H1540,"Belum Jatuh Tempo",IF(O1540&lt;=30,"1-30 hari",IF(O1540&lt;=60,"31-60 hari",IF(O1540&lt;=90,"61-90 hari","90+ hari")))))</f>
        <v>1-30 hari</v>
      </c>
      <c r="Q1540" s="50" t="s">
        <v>397</v>
      </c>
      <c r="R1540" s="39" t="str">
        <f aca="false">IF(M1540&lt;=0,"",IF(O1540&gt;60,"1-Tinggi",IF(O1540&gt;30,"2-Sedang",IF(O1540&gt;0,"3-Rendah","4-Pantau"))))</f>
        <v>3-Rendah</v>
      </c>
      <c r="S1540" s="39" t="n">
        <f aca="false">IF(AND(M1540&gt;0,O1540&gt;0),O1540+M1540/1000000000000+ROW()/1000000000000000,"")</f>
        <v>11.0000059450015</v>
      </c>
      <c r="T1540" s="39" t="str">
        <f aca="false">IF(J1540="Belum ditukar",ROW(),"")</f>
        <v/>
      </c>
    </row>
    <row r="1541" customFormat="false" ht="15" hidden="false" customHeight="false" outlineLevel="0" collapsed="false">
      <c r="A1541" s="50" t="s">
        <v>1829</v>
      </c>
      <c r="B1541" s="51" t="n">
        <v>45981</v>
      </c>
      <c r="C1541" s="50" t="s">
        <v>205</v>
      </c>
      <c r="D1541" s="39" t="str">
        <f aca="false">INDEX(Master_Customer!$B$2:$B$126,MATCH(C1541,Master_Customer!$A$2:$A$126,0))</f>
        <v>BERKAH OLI</v>
      </c>
      <c r="E1541" s="50" t="s">
        <v>28</v>
      </c>
      <c r="F1541" s="52" t="n">
        <f aca="false">SUMIFS(Data_Penjualan!$G$2:$G$5998,Data_Penjualan!$A$2:$A$5998,A1541)</f>
        <v>2058900</v>
      </c>
      <c r="G1541" s="39" t="n">
        <f aca="false">IF(E1541="KANTOR",0,INDEX(Master_Customer!$C$2:$C$126,MATCH(C1541,Master_Customer!$A$2:$A$126,0)))</f>
        <v>0</v>
      </c>
      <c r="H1541" s="53" t="n">
        <f aca="false">B1541+G1541</f>
        <v>45981</v>
      </c>
      <c r="J1541" s="39" t="str">
        <f aca="false">IF(G1541=0,"Tunai",IF(I1541="","Belum ditukar","Sudah ditukar"))</f>
        <v>Tunai</v>
      </c>
      <c r="K1541" s="54" t="n">
        <v>2058900</v>
      </c>
      <c r="L1541" s="51" t="n">
        <v>45981</v>
      </c>
      <c r="M1541" s="52" t="n">
        <f aca="false">F1541-K1541</f>
        <v>0</v>
      </c>
      <c r="N1541" s="39" t="str">
        <f aca="false">IF(M1541&lt;=0,"Lunas",IF(K1541&gt;0,"Sebagian","Belum Bayar"))</f>
        <v>Lunas</v>
      </c>
      <c r="O1541" s="39" t="n">
        <f aca="false">IF(M1541&gt;0,MAX(0,Catatan!$B$3-H1541),0)</f>
        <v>0</v>
      </c>
      <c r="P1541" s="39" t="str">
        <f aca="false">IF(M1541&lt;=0,"Lunas",IF(Catatan!$B$3&lt;=H1541,"Belum Jatuh Tempo",IF(O1541&lt;=30,"1-30 hari",IF(O1541&lt;=60,"31-60 hari",IF(O1541&lt;=90,"61-90 hari","90+ hari")))))</f>
        <v>Lunas</v>
      </c>
      <c r="Q1541" s="50"/>
      <c r="R1541" s="39" t="str">
        <f aca="false">IF(M1541&lt;=0,"",IF(O1541&gt;60,"1-Tinggi",IF(O1541&gt;30,"2-Sedang",IF(O1541&gt;0,"3-Rendah","4-Pantau"))))</f>
        <v/>
      </c>
      <c r="S1541" s="39" t="str">
        <f aca="false">IF(AND(M1541&gt;0,O1541&gt;0),O1541+M1541/1000000000000+ROW()/1000000000000000,"")</f>
        <v/>
      </c>
      <c r="T1541" s="39" t="str">
        <f aca="false">IF(J1541="Belum ditukar",ROW(),"")</f>
        <v/>
      </c>
    </row>
    <row r="1542" customFormat="false" ht="15" hidden="false" customHeight="false" outlineLevel="0" collapsed="false">
      <c r="A1542" s="50" t="s">
        <v>1830</v>
      </c>
      <c r="B1542" s="51" t="n">
        <v>45981</v>
      </c>
      <c r="C1542" s="50" t="s">
        <v>289</v>
      </c>
      <c r="D1542" s="39" t="str">
        <f aca="false">INDEX(Master_Customer!$B$2:$B$126,MATCH(C1542,Master_Customer!$A$2:$A$126,0))</f>
        <v>SINAR GARAGE</v>
      </c>
      <c r="E1542" s="50" t="s">
        <v>28</v>
      </c>
      <c r="F1542" s="52" t="n">
        <f aca="false">SUMIFS(Data_Penjualan!$G$2:$G$5998,Data_Penjualan!$A$2:$A$5998,A1542)</f>
        <v>9448200</v>
      </c>
      <c r="G1542" s="39" t="n">
        <f aca="false">IF(E1542="KANTOR",0,INDEX(Master_Customer!$C$2:$C$126,MATCH(C1542,Master_Customer!$A$2:$A$126,0)))</f>
        <v>30</v>
      </c>
      <c r="H1542" s="53" t="n">
        <f aca="false">B1542+G1542</f>
        <v>46011</v>
      </c>
      <c r="I1542" s="51" t="n">
        <v>45983</v>
      </c>
      <c r="J1542" s="39" t="str">
        <f aca="false">IF(G1542=0,"Tunai",IF(I1542="","Belum ditukar","Sudah ditukar"))</f>
        <v>Sudah ditukar</v>
      </c>
      <c r="K1542" s="54" t="n">
        <v>9448200</v>
      </c>
      <c r="L1542" s="51" t="n">
        <v>46009</v>
      </c>
      <c r="M1542" s="52" t="n">
        <f aca="false">F1542-K1542</f>
        <v>0</v>
      </c>
      <c r="N1542" s="39" t="str">
        <f aca="false">IF(M1542&lt;=0,"Lunas",IF(K1542&gt;0,"Sebagian","Belum Bayar"))</f>
        <v>Lunas</v>
      </c>
      <c r="O1542" s="39" t="n">
        <f aca="false">IF(M1542&gt;0,MAX(0,Catatan!$B$3-H1542),0)</f>
        <v>0</v>
      </c>
      <c r="P1542" s="39" t="str">
        <f aca="false">IF(M1542&lt;=0,"Lunas",IF(Catatan!$B$3&lt;=H1542,"Belum Jatuh Tempo",IF(O1542&lt;=30,"1-30 hari",IF(O1542&lt;=60,"31-60 hari",IF(O1542&lt;=90,"61-90 hari","90+ hari")))))</f>
        <v>Lunas</v>
      </c>
      <c r="Q1542" s="50"/>
      <c r="R1542" s="39" t="str">
        <f aca="false">IF(M1542&lt;=0,"",IF(O1542&gt;60,"1-Tinggi",IF(O1542&gt;30,"2-Sedang",IF(O1542&gt;0,"3-Rendah","4-Pantau"))))</f>
        <v/>
      </c>
      <c r="S1542" s="39" t="str">
        <f aca="false">IF(AND(M1542&gt;0,O1542&gt;0),O1542+M1542/1000000000000+ROW()/1000000000000000,"")</f>
        <v/>
      </c>
      <c r="T1542" s="39" t="str">
        <f aca="false">IF(J1542="Belum ditukar",ROW(),"")</f>
        <v/>
      </c>
    </row>
    <row r="1543" customFormat="false" ht="15" hidden="false" customHeight="false" outlineLevel="0" collapsed="false">
      <c r="A1543" s="50" t="s">
        <v>1831</v>
      </c>
      <c r="B1543" s="51" t="n">
        <v>45981</v>
      </c>
      <c r="C1543" s="50" t="s">
        <v>168</v>
      </c>
      <c r="D1543" s="39" t="str">
        <f aca="false">INDEX(Master_Customer!$B$2:$B$126,MATCH(C1543,Master_Customer!$A$2:$A$126,0))</f>
        <v>JAYA LUBRICANT</v>
      </c>
      <c r="E1543" s="50" t="s">
        <v>29</v>
      </c>
      <c r="F1543" s="52" t="n">
        <f aca="false">SUMIFS(Data_Penjualan!$G$2:$G$5998,Data_Penjualan!$A$2:$A$5998,A1543)</f>
        <v>6430000</v>
      </c>
      <c r="G1543" s="39" t="n">
        <f aca="false">IF(E1543="KANTOR",0,INDEX(Master_Customer!$C$2:$C$126,MATCH(C1543,Master_Customer!$A$2:$A$126,0)))</f>
        <v>0</v>
      </c>
      <c r="H1543" s="53" t="n">
        <f aca="false">B1543+G1543</f>
        <v>45981</v>
      </c>
      <c r="J1543" s="39" t="str">
        <f aca="false">IF(G1543=0,"Tunai",IF(I1543="","Belum ditukar","Sudah ditukar"))</f>
        <v>Tunai</v>
      </c>
      <c r="K1543" s="54" t="n">
        <v>6430000</v>
      </c>
      <c r="L1543" s="51" t="n">
        <v>45982</v>
      </c>
      <c r="M1543" s="52" t="n">
        <f aca="false">F1543-K1543</f>
        <v>0</v>
      </c>
      <c r="N1543" s="39" t="str">
        <f aca="false">IF(M1543&lt;=0,"Lunas",IF(K1543&gt;0,"Sebagian","Belum Bayar"))</f>
        <v>Lunas</v>
      </c>
      <c r="O1543" s="39" t="n">
        <f aca="false">IF(M1543&gt;0,MAX(0,Catatan!$B$3-H1543),0)</f>
        <v>0</v>
      </c>
      <c r="P1543" s="39" t="str">
        <f aca="false">IF(M1543&lt;=0,"Lunas",IF(Catatan!$B$3&lt;=H1543,"Belum Jatuh Tempo",IF(O1543&lt;=30,"1-30 hari",IF(O1543&lt;=60,"31-60 hari",IF(O1543&lt;=90,"61-90 hari","90+ hari")))))</f>
        <v>Lunas</v>
      </c>
      <c r="Q1543" s="50"/>
      <c r="R1543" s="39" t="str">
        <f aca="false">IF(M1543&lt;=0,"",IF(O1543&gt;60,"1-Tinggi",IF(O1543&gt;30,"2-Sedang",IF(O1543&gt;0,"3-Rendah","4-Pantau"))))</f>
        <v/>
      </c>
      <c r="S1543" s="39" t="str">
        <f aca="false">IF(AND(M1543&gt;0,O1543&gt;0),O1543+M1543/1000000000000+ROW()/1000000000000000,"")</f>
        <v/>
      </c>
      <c r="T1543" s="39" t="str">
        <f aca="false">IF(J1543="Belum ditukar",ROW(),"")</f>
        <v/>
      </c>
    </row>
    <row r="1544" customFormat="false" ht="15" hidden="false" customHeight="false" outlineLevel="0" collapsed="false">
      <c r="A1544" s="50" t="s">
        <v>1832</v>
      </c>
      <c r="B1544" s="51" t="n">
        <v>45981</v>
      </c>
      <c r="C1544" s="50" t="s">
        <v>225</v>
      </c>
      <c r="D1544" s="39" t="str">
        <f aca="false">INDEX(Master_Customer!$B$2:$B$126,MATCH(C1544,Master_Customer!$A$2:$A$126,0))</f>
        <v>KARYA LUBRICANT ABADI</v>
      </c>
      <c r="E1544" s="50" t="s">
        <v>30</v>
      </c>
      <c r="F1544" s="52" t="n">
        <f aca="false">SUMIFS(Data_Penjualan!$G$2:$G$5998,Data_Penjualan!$A$2:$A$5998,A1544)</f>
        <v>9129200</v>
      </c>
      <c r="G1544" s="39" t="n">
        <f aca="false">IF(E1544="KANTOR",0,INDEX(Master_Customer!$C$2:$C$126,MATCH(C1544,Master_Customer!$A$2:$A$126,0)))</f>
        <v>0</v>
      </c>
      <c r="H1544" s="53" t="n">
        <f aca="false">B1544+G1544</f>
        <v>45981</v>
      </c>
      <c r="J1544" s="39" t="str">
        <f aca="false">IF(G1544=0,"Tunai",IF(I1544="","Belum ditukar","Sudah ditukar"))</f>
        <v>Tunai</v>
      </c>
      <c r="K1544" s="54" t="n">
        <v>9129200</v>
      </c>
      <c r="L1544" s="51" t="n">
        <v>45981</v>
      </c>
      <c r="M1544" s="52" t="n">
        <f aca="false">F1544-K1544</f>
        <v>0</v>
      </c>
      <c r="N1544" s="39" t="str">
        <f aca="false">IF(M1544&lt;=0,"Lunas",IF(K1544&gt;0,"Sebagian","Belum Bayar"))</f>
        <v>Lunas</v>
      </c>
      <c r="O1544" s="39" t="n">
        <f aca="false">IF(M1544&gt;0,MAX(0,Catatan!$B$3-H1544),0)</f>
        <v>0</v>
      </c>
      <c r="P1544" s="39" t="str">
        <f aca="false">IF(M1544&lt;=0,"Lunas",IF(Catatan!$B$3&lt;=H1544,"Belum Jatuh Tempo",IF(O1544&lt;=30,"1-30 hari",IF(O1544&lt;=60,"31-60 hari",IF(O1544&lt;=90,"61-90 hari","90+ hari")))))</f>
        <v>Lunas</v>
      </c>
      <c r="Q1544" s="50"/>
      <c r="R1544" s="39" t="str">
        <f aca="false">IF(M1544&lt;=0,"",IF(O1544&gt;60,"1-Tinggi",IF(O1544&gt;30,"2-Sedang",IF(O1544&gt;0,"3-Rendah","4-Pantau"))))</f>
        <v/>
      </c>
      <c r="S1544" s="39" t="str">
        <f aca="false">IF(AND(M1544&gt;0,O1544&gt;0),O1544+M1544/1000000000000+ROW()/1000000000000000,"")</f>
        <v/>
      </c>
      <c r="T1544" s="39" t="str">
        <f aca="false">IF(J1544="Belum ditukar",ROW(),"")</f>
        <v/>
      </c>
    </row>
    <row r="1545" customFormat="false" ht="15" hidden="false" customHeight="false" outlineLevel="0" collapsed="false">
      <c r="A1545" s="50" t="s">
        <v>151</v>
      </c>
      <c r="B1545" s="51" t="n">
        <v>45981</v>
      </c>
      <c r="C1545" s="50" t="s">
        <v>191</v>
      </c>
      <c r="D1545" s="39" t="str">
        <f aca="false">INDEX(Master_Customer!$B$2:$B$126,MATCH(C1545,Master_Customer!$A$2:$A$126,0))</f>
        <v>SINAR AUTO BERKAH</v>
      </c>
      <c r="E1545" s="50" t="s">
        <v>30</v>
      </c>
      <c r="F1545" s="52" t="n">
        <f aca="false">SUMIFS(Data_Penjualan!$G$2:$G$5998,Data_Penjualan!$A$2:$A$5998,A1545)</f>
        <v>6785100</v>
      </c>
      <c r="G1545" s="39" t="n">
        <f aca="false">IF(E1545="KANTOR",0,INDEX(Master_Customer!$C$2:$C$126,MATCH(C1545,Master_Customer!$A$2:$A$126,0)))</f>
        <v>30</v>
      </c>
      <c r="H1545" s="53" t="n">
        <f aca="false">B1545+G1545</f>
        <v>46011</v>
      </c>
      <c r="I1545" s="51" t="n">
        <v>45985</v>
      </c>
      <c r="J1545" s="39" t="str">
        <f aca="false">IF(G1545=0,"Tunai",IF(I1545="","Belum ditukar","Sudah ditukar"))</f>
        <v>Sudah ditukar</v>
      </c>
      <c r="K1545" s="54" t="n">
        <v>0</v>
      </c>
      <c r="M1545" s="52" t="n">
        <f aca="false">F1545-K1545</f>
        <v>6785100</v>
      </c>
      <c r="N1545" s="39" t="str">
        <f aca="false">IF(M1545&lt;=0,"Lunas",IF(K1545&gt;0,"Sebagian","Belum Bayar"))</f>
        <v>Belum Bayar</v>
      </c>
      <c r="O1545" s="39" t="n">
        <f aca="false">IF(M1545&gt;0,MAX(0,Catatan!$B$3-H1545),0)</f>
        <v>11</v>
      </c>
      <c r="P1545" s="39" t="str">
        <f aca="false">IF(M1545&lt;=0,"Lunas",IF(Catatan!$B$3&lt;=H1545,"Belum Jatuh Tempo",IF(O1545&lt;=30,"1-30 hari",IF(O1545&lt;=60,"31-60 hari",IF(O1545&lt;=90,"61-90 hari","90+ hari")))))</f>
        <v>1-30 hari</v>
      </c>
      <c r="Q1545" s="50" t="s">
        <v>1426</v>
      </c>
      <c r="R1545" s="39" t="str">
        <f aca="false">IF(M1545&lt;=0,"",IF(O1545&gt;60,"1-Tinggi",IF(O1545&gt;30,"2-Sedang",IF(O1545&gt;0,"3-Rendah","4-Pantau"))))</f>
        <v>3-Rendah</v>
      </c>
      <c r="S1545" s="39" t="n">
        <f aca="false">IF(AND(M1545&gt;0,O1545&gt;0),O1545+M1545/1000000000000+ROW()/1000000000000000,"")</f>
        <v>11.0000067851015</v>
      </c>
      <c r="T1545" s="39" t="str">
        <f aca="false">IF(J1545="Belum ditukar",ROW(),"")</f>
        <v/>
      </c>
    </row>
    <row r="1546" customFormat="false" ht="15" hidden="false" customHeight="false" outlineLevel="0" collapsed="false">
      <c r="A1546" s="50" t="s">
        <v>1833</v>
      </c>
      <c r="B1546" s="51" t="n">
        <v>45982</v>
      </c>
      <c r="C1546" s="50" t="s">
        <v>1487</v>
      </c>
      <c r="D1546" s="39" t="str">
        <f aca="false">INDEX(Master_Customer!$B$2:$B$126,MATCH(C1546,Master_Customer!$A$2:$A$126,0))</f>
        <v>PRIMA SERVICE</v>
      </c>
      <c r="E1546" s="50" t="s">
        <v>30</v>
      </c>
      <c r="F1546" s="52" t="n">
        <f aca="false">SUMIFS(Data_Penjualan!$G$2:$G$5998,Data_Penjualan!$A$2:$A$5998,A1546)</f>
        <v>9291200</v>
      </c>
      <c r="G1546" s="39" t="n">
        <f aca="false">IF(E1546="KANTOR",0,INDEX(Master_Customer!$C$2:$C$126,MATCH(C1546,Master_Customer!$A$2:$A$126,0)))</f>
        <v>0</v>
      </c>
      <c r="H1546" s="53" t="n">
        <f aca="false">B1546+G1546</f>
        <v>45982</v>
      </c>
      <c r="J1546" s="39" t="str">
        <f aca="false">IF(G1546=0,"Tunai",IF(I1546="","Belum ditukar","Sudah ditukar"))</f>
        <v>Tunai</v>
      </c>
      <c r="K1546" s="54" t="n">
        <v>9291200</v>
      </c>
      <c r="L1546" s="51" t="n">
        <v>45982</v>
      </c>
      <c r="M1546" s="52" t="n">
        <f aca="false">F1546-K1546</f>
        <v>0</v>
      </c>
      <c r="N1546" s="39" t="str">
        <f aca="false">IF(M1546&lt;=0,"Lunas",IF(K1546&gt;0,"Sebagian","Belum Bayar"))</f>
        <v>Lunas</v>
      </c>
      <c r="O1546" s="39" t="n">
        <f aca="false">IF(M1546&gt;0,MAX(0,Catatan!$B$3-H1546),0)</f>
        <v>0</v>
      </c>
      <c r="P1546" s="39" t="str">
        <f aca="false">IF(M1546&lt;=0,"Lunas",IF(Catatan!$B$3&lt;=H1546,"Belum Jatuh Tempo",IF(O1546&lt;=30,"1-30 hari",IF(O1546&lt;=60,"31-60 hari",IF(O1546&lt;=90,"61-90 hari","90+ hari")))))</f>
        <v>Lunas</v>
      </c>
      <c r="Q1546" s="50"/>
      <c r="R1546" s="39" t="str">
        <f aca="false">IF(M1546&lt;=0,"",IF(O1546&gt;60,"1-Tinggi",IF(O1546&gt;30,"2-Sedang",IF(O1546&gt;0,"3-Rendah","4-Pantau"))))</f>
        <v/>
      </c>
      <c r="S1546" s="39" t="str">
        <f aca="false">IF(AND(M1546&gt;0,O1546&gt;0),O1546+M1546/1000000000000+ROW()/1000000000000000,"")</f>
        <v/>
      </c>
      <c r="T1546" s="39" t="str">
        <f aca="false">IF(J1546="Belum ditukar",ROW(),"")</f>
        <v/>
      </c>
    </row>
    <row r="1547" customFormat="false" ht="15" hidden="false" customHeight="false" outlineLevel="0" collapsed="false">
      <c r="A1547" s="50" t="s">
        <v>1834</v>
      </c>
      <c r="B1547" s="51" t="n">
        <v>45982</v>
      </c>
      <c r="C1547" s="50" t="s">
        <v>408</v>
      </c>
      <c r="D1547" s="39" t="str">
        <f aca="false">INDEX(Master_Customer!$B$2:$B$126,MATCH(C1547,Master_Customer!$A$2:$A$126,0))</f>
        <v>SURYA GARAGE</v>
      </c>
      <c r="E1547" s="50" t="s">
        <v>30</v>
      </c>
      <c r="F1547" s="52" t="n">
        <f aca="false">SUMIFS(Data_Penjualan!$G$2:$G$5998,Data_Penjualan!$A$2:$A$5998,A1547)</f>
        <v>6782400</v>
      </c>
      <c r="G1547" s="39" t="n">
        <f aca="false">IF(E1547="KANTOR",0,INDEX(Master_Customer!$C$2:$C$126,MATCH(C1547,Master_Customer!$A$2:$A$126,0)))</f>
        <v>45</v>
      </c>
      <c r="H1547" s="53" t="n">
        <f aca="false">B1547+G1547</f>
        <v>46027</v>
      </c>
      <c r="I1547" s="51" t="n">
        <v>45983</v>
      </c>
      <c r="J1547" s="39" t="str">
        <f aca="false">IF(G1547=0,"Tunai",IF(I1547="","Belum ditukar","Sudah ditukar"))</f>
        <v>Sudah ditukar</v>
      </c>
      <c r="K1547" s="54" t="n">
        <v>0</v>
      </c>
      <c r="M1547" s="52" t="n">
        <f aca="false">F1547-K1547</f>
        <v>6782400</v>
      </c>
      <c r="N1547" s="39" t="str">
        <f aca="false">IF(M1547&lt;=0,"Lunas",IF(K1547&gt;0,"Sebagian","Belum Bayar"))</f>
        <v>Belum Bayar</v>
      </c>
      <c r="O1547" s="39" t="n">
        <f aca="false">IF(M1547&gt;0,MAX(0,Catatan!$B$3-H1547),0)</f>
        <v>0</v>
      </c>
      <c r="P1547" s="39" t="str">
        <f aca="false">IF(M1547&lt;=0,"Lunas",IF(Catatan!$B$3&lt;=H1547,"Belum Jatuh Tempo",IF(O1547&lt;=30,"1-30 hari",IF(O1547&lt;=60,"31-60 hari",IF(O1547&lt;=90,"61-90 hari","90+ hari")))))</f>
        <v>Belum Jatuh Tempo</v>
      </c>
      <c r="Q1547" s="50"/>
      <c r="R1547" s="39" t="str">
        <f aca="false">IF(M1547&lt;=0,"",IF(O1547&gt;60,"1-Tinggi",IF(O1547&gt;30,"2-Sedang",IF(O1547&gt;0,"3-Rendah","4-Pantau"))))</f>
        <v>4-Pantau</v>
      </c>
      <c r="S1547" s="39" t="str">
        <f aca="false">IF(AND(M1547&gt;0,O1547&gt;0),O1547+M1547/1000000000000+ROW()/1000000000000000,"")</f>
        <v/>
      </c>
      <c r="T1547" s="39" t="str">
        <f aca="false">IF(J1547="Belum ditukar",ROW(),"")</f>
        <v/>
      </c>
    </row>
    <row r="1548" customFormat="false" ht="15" hidden="false" customHeight="false" outlineLevel="0" collapsed="false">
      <c r="A1548" s="50" t="s">
        <v>1835</v>
      </c>
      <c r="B1548" s="51" t="n">
        <v>45982</v>
      </c>
      <c r="C1548" s="50" t="s">
        <v>203</v>
      </c>
      <c r="D1548" s="39" t="str">
        <f aca="false">INDEX(Master_Customer!$B$2:$B$126,MATCH(C1548,Master_Customer!$A$2:$A$126,0))</f>
        <v>BINTANG TEKNIK</v>
      </c>
      <c r="E1548" s="50" t="s">
        <v>28</v>
      </c>
      <c r="F1548" s="52" t="n">
        <f aca="false">SUMIFS(Data_Penjualan!$G$2:$G$5998,Data_Penjualan!$A$2:$A$5998,A1548)</f>
        <v>7423100</v>
      </c>
      <c r="G1548" s="39" t="n">
        <f aca="false">IF(E1548="KANTOR",0,INDEX(Master_Customer!$C$2:$C$126,MATCH(C1548,Master_Customer!$A$2:$A$126,0)))</f>
        <v>45</v>
      </c>
      <c r="H1548" s="53" t="n">
        <f aca="false">B1548+G1548</f>
        <v>46027</v>
      </c>
      <c r="I1548" s="51" t="n">
        <v>45987</v>
      </c>
      <c r="J1548" s="39" t="str">
        <f aca="false">IF(G1548=0,"Tunai",IF(I1548="","Belum ditukar","Sudah ditukar"))</f>
        <v>Sudah ditukar</v>
      </c>
      <c r="K1548" s="54" t="n">
        <v>0</v>
      </c>
      <c r="M1548" s="52" t="n">
        <f aca="false">F1548-K1548</f>
        <v>7423100</v>
      </c>
      <c r="N1548" s="39" t="str">
        <f aca="false">IF(M1548&lt;=0,"Lunas",IF(K1548&gt;0,"Sebagian","Belum Bayar"))</f>
        <v>Belum Bayar</v>
      </c>
      <c r="O1548" s="39" t="n">
        <f aca="false">IF(M1548&gt;0,MAX(0,Catatan!$B$3-H1548),0)</f>
        <v>0</v>
      </c>
      <c r="P1548" s="39" t="str">
        <f aca="false">IF(M1548&lt;=0,"Lunas",IF(Catatan!$B$3&lt;=H1548,"Belum Jatuh Tempo",IF(O1548&lt;=30,"1-30 hari",IF(O1548&lt;=60,"31-60 hari",IF(O1548&lt;=90,"61-90 hari","90+ hari")))))</f>
        <v>Belum Jatuh Tempo</v>
      </c>
      <c r="Q1548" s="50"/>
      <c r="R1548" s="39" t="str">
        <f aca="false">IF(M1548&lt;=0,"",IF(O1548&gt;60,"1-Tinggi",IF(O1548&gt;30,"2-Sedang",IF(O1548&gt;0,"3-Rendah","4-Pantau"))))</f>
        <v>4-Pantau</v>
      </c>
      <c r="S1548" s="39" t="str">
        <f aca="false">IF(AND(M1548&gt;0,O1548&gt;0),O1548+M1548/1000000000000+ROW()/1000000000000000,"")</f>
        <v/>
      </c>
      <c r="T1548" s="39" t="str">
        <f aca="false">IF(J1548="Belum ditukar",ROW(),"")</f>
        <v/>
      </c>
    </row>
    <row r="1549" customFormat="false" ht="15" hidden="false" customHeight="false" outlineLevel="0" collapsed="false">
      <c r="A1549" s="50" t="s">
        <v>1836</v>
      </c>
      <c r="B1549" s="51" t="n">
        <v>45982</v>
      </c>
      <c r="C1549" s="50" t="s">
        <v>199</v>
      </c>
      <c r="D1549" s="39" t="str">
        <f aca="false">INDEX(Master_Customer!$B$2:$B$126,MATCH(C1549,Master_Customer!$A$2:$A$126,0))</f>
        <v>KARYA SPAREPART</v>
      </c>
      <c r="E1549" s="50" t="s">
        <v>29</v>
      </c>
      <c r="F1549" s="52" t="n">
        <f aca="false">SUMIFS(Data_Penjualan!$G$2:$G$5998,Data_Penjualan!$A$2:$A$5998,A1549)</f>
        <v>1680000</v>
      </c>
      <c r="G1549" s="39" t="n">
        <f aca="false">IF(E1549="KANTOR",0,INDEX(Master_Customer!$C$2:$C$126,MATCH(C1549,Master_Customer!$A$2:$A$126,0)))</f>
        <v>45</v>
      </c>
      <c r="H1549" s="53" t="n">
        <f aca="false">B1549+G1549</f>
        <v>46027</v>
      </c>
      <c r="I1549" s="51" t="n">
        <v>45984</v>
      </c>
      <c r="J1549" s="39" t="str">
        <f aca="false">IF(G1549=0,"Tunai",IF(I1549="","Belum ditukar","Sudah ditukar"))</f>
        <v>Sudah ditukar</v>
      </c>
      <c r="K1549" s="54" t="n">
        <v>0</v>
      </c>
      <c r="M1549" s="52" t="n">
        <f aca="false">F1549-K1549</f>
        <v>1680000</v>
      </c>
      <c r="N1549" s="39" t="str">
        <f aca="false">IF(M1549&lt;=0,"Lunas",IF(K1549&gt;0,"Sebagian","Belum Bayar"))</f>
        <v>Belum Bayar</v>
      </c>
      <c r="O1549" s="39" t="n">
        <f aca="false">IF(M1549&gt;0,MAX(0,Catatan!$B$3-H1549),0)</f>
        <v>0</v>
      </c>
      <c r="P1549" s="39" t="str">
        <f aca="false">IF(M1549&lt;=0,"Lunas",IF(Catatan!$B$3&lt;=H1549,"Belum Jatuh Tempo",IF(O1549&lt;=30,"1-30 hari",IF(O1549&lt;=60,"31-60 hari",IF(O1549&lt;=90,"61-90 hari","90+ hari")))))</f>
        <v>Belum Jatuh Tempo</v>
      </c>
      <c r="Q1549" s="50"/>
      <c r="R1549" s="39" t="str">
        <f aca="false">IF(M1549&lt;=0,"",IF(O1549&gt;60,"1-Tinggi",IF(O1549&gt;30,"2-Sedang",IF(O1549&gt;0,"3-Rendah","4-Pantau"))))</f>
        <v>4-Pantau</v>
      </c>
      <c r="S1549" s="39" t="str">
        <f aca="false">IF(AND(M1549&gt;0,O1549&gt;0),O1549+M1549/1000000000000+ROW()/1000000000000000,"")</f>
        <v/>
      </c>
      <c r="T1549" s="39" t="str">
        <f aca="false">IF(J1549="Belum ditukar",ROW(),"")</f>
        <v/>
      </c>
    </row>
    <row r="1550" customFormat="false" ht="15" hidden="false" customHeight="false" outlineLevel="0" collapsed="false">
      <c r="A1550" s="50" t="s">
        <v>1837</v>
      </c>
      <c r="B1550" s="51" t="n">
        <v>45982</v>
      </c>
      <c r="C1550" s="50" t="s">
        <v>243</v>
      </c>
      <c r="D1550" s="39" t="str">
        <f aca="false">INDEX(Master_Customer!$B$2:$B$126,MATCH(C1550,Master_Customer!$A$2:$A$126,0))</f>
        <v>SENTOSA LUBRICANT MULIA</v>
      </c>
      <c r="E1550" s="50" t="s">
        <v>32</v>
      </c>
      <c r="F1550" s="52" t="n">
        <f aca="false">SUMIFS(Data_Penjualan!$G$2:$G$5998,Data_Penjualan!$A$2:$A$5998,A1550)</f>
        <v>9817900</v>
      </c>
      <c r="G1550" s="39" t="n">
        <f aca="false">IF(E1550="KANTOR",0,INDEX(Master_Customer!$C$2:$C$126,MATCH(C1550,Master_Customer!$A$2:$A$126,0)))</f>
        <v>0</v>
      </c>
      <c r="H1550" s="53" t="n">
        <f aca="false">B1550+G1550</f>
        <v>45982</v>
      </c>
      <c r="J1550" s="39" t="str">
        <f aca="false">IF(G1550=0,"Tunai",IF(I1550="","Belum ditukar","Sudah ditukar"))</f>
        <v>Tunai</v>
      </c>
      <c r="K1550" s="54" t="n">
        <v>9817900</v>
      </c>
      <c r="L1550" s="51" t="n">
        <v>45982</v>
      </c>
      <c r="M1550" s="52" t="n">
        <f aca="false">F1550-K1550</f>
        <v>0</v>
      </c>
      <c r="N1550" s="39" t="str">
        <f aca="false">IF(M1550&lt;=0,"Lunas",IF(K1550&gt;0,"Sebagian","Belum Bayar"))</f>
        <v>Lunas</v>
      </c>
      <c r="O1550" s="39" t="n">
        <f aca="false">IF(M1550&gt;0,MAX(0,Catatan!$B$3-H1550),0)</f>
        <v>0</v>
      </c>
      <c r="P1550" s="39" t="str">
        <f aca="false">IF(M1550&lt;=0,"Lunas",IF(Catatan!$B$3&lt;=H1550,"Belum Jatuh Tempo",IF(O1550&lt;=30,"1-30 hari",IF(O1550&lt;=60,"31-60 hari",IF(O1550&lt;=90,"61-90 hari","90+ hari")))))</f>
        <v>Lunas</v>
      </c>
      <c r="Q1550" s="50"/>
      <c r="R1550" s="39" t="str">
        <f aca="false">IF(M1550&lt;=0,"",IF(O1550&gt;60,"1-Tinggi",IF(O1550&gt;30,"2-Sedang",IF(O1550&gt;0,"3-Rendah","4-Pantau"))))</f>
        <v/>
      </c>
      <c r="S1550" s="39" t="str">
        <f aca="false">IF(AND(M1550&gt;0,O1550&gt;0),O1550+M1550/1000000000000+ROW()/1000000000000000,"")</f>
        <v/>
      </c>
      <c r="T1550" s="39" t="str">
        <f aca="false">IF(J1550="Belum ditukar",ROW(),"")</f>
        <v/>
      </c>
    </row>
    <row r="1551" customFormat="false" ht="15" hidden="false" customHeight="false" outlineLevel="0" collapsed="false">
      <c r="A1551" s="50" t="s">
        <v>1838</v>
      </c>
      <c r="B1551" s="51" t="n">
        <v>45983</v>
      </c>
      <c r="C1551" s="50" t="s">
        <v>205</v>
      </c>
      <c r="D1551" s="39" t="str">
        <f aca="false">INDEX(Master_Customer!$B$2:$B$126,MATCH(C1551,Master_Customer!$A$2:$A$126,0))</f>
        <v>BERKAH OLI</v>
      </c>
      <c r="E1551" s="50" t="s">
        <v>28</v>
      </c>
      <c r="F1551" s="52" t="n">
        <f aca="false">SUMIFS(Data_Penjualan!$G$2:$G$5998,Data_Penjualan!$A$2:$A$5998,A1551)</f>
        <v>15816100</v>
      </c>
      <c r="G1551" s="39" t="n">
        <f aca="false">IF(E1551="KANTOR",0,INDEX(Master_Customer!$C$2:$C$126,MATCH(C1551,Master_Customer!$A$2:$A$126,0)))</f>
        <v>0</v>
      </c>
      <c r="H1551" s="53" t="n">
        <f aca="false">B1551+G1551</f>
        <v>45983</v>
      </c>
      <c r="J1551" s="39" t="str">
        <f aca="false">IF(G1551=0,"Tunai",IF(I1551="","Belum ditukar","Sudah ditukar"))</f>
        <v>Tunai</v>
      </c>
      <c r="K1551" s="54" t="n">
        <v>15816100</v>
      </c>
      <c r="L1551" s="51" t="n">
        <v>45983</v>
      </c>
      <c r="M1551" s="52" t="n">
        <f aca="false">F1551-K1551</f>
        <v>0</v>
      </c>
      <c r="N1551" s="39" t="str">
        <f aca="false">IF(M1551&lt;=0,"Lunas",IF(K1551&gt;0,"Sebagian","Belum Bayar"))</f>
        <v>Lunas</v>
      </c>
      <c r="O1551" s="39" t="n">
        <f aca="false">IF(M1551&gt;0,MAX(0,Catatan!$B$3-H1551),0)</f>
        <v>0</v>
      </c>
      <c r="P1551" s="39" t="str">
        <f aca="false">IF(M1551&lt;=0,"Lunas",IF(Catatan!$B$3&lt;=H1551,"Belum Jatuh Tempo",IF(O1551&lt;=30,"1-30 hari",IF(O1551&lt;=60,"31-60 hari",IF(O1551&lt;=90,"61-90 hari","90+ hari")))))</f>
        <v>Lunas</v>
      </c>
      <c r="Q1551" s="50"/>
      <c r="R1551" s="39" t="str">
        <f aca="false">IF(M1551&lt;=0,"",IF(O1551&gt;60,"1-Tinggi",IF(O1551&gt;30,"2-Sedang",IF(O1551&gt;0,"3-Rendah","4-Pantau"))))</f>
        <v/>
      </c>
      <c r="S1551" s="39" t="str">
        <f aca="false">IF(AND(M1551&gt;0,O1551&gt;0),O1551+M1551/1000000000000+ROW()/1000000000000000,"")</f>
        <v/>
      </c>
      <c r="T1551" s="39" t="str">
        <f aca="false">IF(J1551="Belum ditukar",ROW(),"")</f>
        <v/>
      </c>
    </row>
    <row r="1552" customFormat="false" ht="15" hidden="false" customHeight="false" outlineLevel="0" collapsed="false">
      <c r="A1552" s="50" t="s">
        <v>1839</v>
      </c>
      <c r="B1552" s="51" t="n">
        <v>45983</v>
      </c>
      <c r="C1552" s="50" t="s">
        <v>505</v>
      </c>
      <c r="D1552" s="39" t="str">
        <f aca="false">INDEX(Master_Customer!$B$2:$B$126,MATCH(C1552,Master_Customer!$A$2:$A$126,0))</f>
        <v>GEMILANG OLI CAHAYA</v>
      </c>
      <c r="E1552" s="50" t="s">
        <v>31</v>
      </c>
      <c r="F1552" s="52" t="n">
        <f aca="false">SUMIFS(Data_Penjualan!$G$2:$G$5998,Data_Penjualan!$A$2:$A$5998,A1552)</f>
        <v>5142100</v>
      </c>
      <c r="G1552" s="39" t="n">
        <f aca="false">IF(E1552="KANTOR",0,INDEX(Master_Customer!$C$2:$C$126,MATCH(C1552,Master_Customer!$A$2:$A$126,0)))</f>
        <v>0</v>
      </c>
      <c r="H1552" s="53" t="n">
        <f aca="false">B1552+G1552</f>
        <v>45983</v>
      </c>
      <c r="J1552" s="39" t="str">
        <f aca="false">IF(G1552=0,"Tunai",IF(I1552="","Belum ditukar","Sudah ditukar"))</f>
        <v>Tunai</v>
      </c>
      <c r="K1552" s="54" t="n">
        <v>5142100</v>
      </c>
      <c r="L1552" s="51" t="n">
        <v>45983</v>
      </c>
      <c r="M1552" s="52" t="n">
        <f aca="false">F1552-K1552</f>
        <v>0</v>
      </c>
      <c r="N1552" s="39" t="str">
        <f aca="false">IF(M1552&lt;=0,"Lunas",IF(K1552&gt;0,"Sebagian","Belum Bayar"))</f>
        <v>Lunas</v>
      </c>
      <c r="O1552" s="39" t="n">
        <f aca="false">IF(M1552&gt;0,MAX(0,Catatan!$B$3-H1552),0)</f>
        <v>0</v>
      </c>
      <c r="P1552" s="39" t="str">
        <f aca="false">IF(M1552&lt;=0,"Lunas",IF(Catatan!$B$3&lt;=H1552,"Belum Jatuh Tempo",IF(O1552&lt;=30,"1-30 hari",IF(O1552&lt;=60,"31-60 hari",IF(O1552&lt;=90,"61-90 hari","90+ hari")))))</f>
        <v>Lunas</v>
      </c>
      <c r="Q1552" s="50"/>
      <c r="R1552" s="39" t="str">
        <f aca="false">IF(M1552&lt;=0,"",IF(O1552&gt;60,"1-Tinggi",IF(O1552&gt;30,"2-Sedang",IF(O1552&gt;0,"3-Rendah","4-Pantau"))))</f>
        <v/>
      </c>
      <c r="S1552" s="39" t="str">
        <f aca="false">IF(AND(M1552&gt;0,O1552&gt;0),O1552+M1552/1000000000000+ROW()/1000000000000000,"")</f>
        <v/>
      </c>
      <c r="T1552" s="39" t="str">
        <f aca="false">IF(J1552="Belum ditukar",ROW(),"")</f>
        <v/>
      </c>
    </row>
    <row r="1553" customFormat="false" ht="15" hidden="false" customHeight="false" outlineLevel="0" collapsed="false">
      <c r="A1553" s="50" t="s">
        <v>1840</v>
      </c>
      <c r="B1553" s="51" t="n">
        <v>45983</v>
      </c>
      <c r="C1553" s="50" t="s">
        <v>967</v>
      </c>
      <c r="D1553" s="39" t="str">
        <f aca="false">INDEX(Master_Customer!$B$2:$B$126,MATCH(C1553,Master_Customer!$A$2:$A$126,0))</f>
        <v>MAKMUR SPAREPART GEMILANG</v>
      </c>
      <c r="E1553" s="50" t="s">
        <v>29</v>
      </c>
      <c r="F1553" s="52" t="n">
        <f aca="false">SUMIFS(Data_Penjualan!$G$2:$G$5998,Data_Penjualan!$A$2:$A$5998,A1553)</f>
        <v>8295600</v>
      </c>
      <c r="G1553" s="39" t="n">
        <f aca="false">IF(E1553="KANTOR",0,INDEX(Master_Customer!$C$2:$C$126,MATCH(C1553,Master_Customer!$A$2:$A$126,0)))</f>
        <v>14</v>
      </c>
      <c r="H1553" s="53" t="n">
        <f aca="false">B1553+G1553</f>
        <v>45997</v>
      </c>
      <c r="I1553" s="51" t="n">
        <v>45986</v>
      </c>
      <c r="J1553" s="39" t="str">
        <f aca="false">IF(G1553=0,"Tunai",IF(I1553="","Belum ditukar","Sudah ditukar"))</f>
        <v>Sudah ditukar</v>
      </c>
      <c r="K1553" s="54" t="n">
        <v>8295600</v>
      </c>
      <c r="L1553" s="51" t="n">
        <v>45998</v>
      </c>
      <c r="M1553" s="52" t="n">
        <f aca="false">F1553-K1553</f>
        <v>0</v>
      </c>
      <c r="N1553" s="39" t="str">
        <f aca="false">IF(M1553&lt;=0,"Lunas",IF(K1553&gt;0,"Sebagian","Belum Bayar"))</f>
        <v>Lunas</v>
      </c>
      <c r="O1553" s="39" t="n">
        <f aca="false">IF(M1553&gt;0,MAX(0,Catatan!$B$3-H1553),0)</f>
        <v>0</v>
      </c>
      <c r="P1553" s="39" t="str">
        <f aca="false">IF(M1553&lt;=0,"Lunas",IF(Catatan!$B$3&lt;=H1553,"Belum Jatuh Tempo",IF(O1553&lt;=30,"1-30 hari",IF(O1553&lt;=60,"31-60 hari",IF(O1553&lt;=90,"61-90 hari","90+ hari")))))</f>
        <v>Lunas</v>
      </c>
      <c r="Q1553" s="50"/>
      <c r="R1553" s="39" t="str">
        <f aca="false">IF(M1553&lt;=0,"",IF(O1553&gt;60,"1-Tinggi",IF(O1553&gt;30,"2-Sedang",IF(O1553&gt;0,"3-Rendah","4-Pantau"))))</f>
        <v/>
      </c>
      <c r="S1553" s="39" t="str">
        <f aca="false">IF(AND(M1553&gt;0,O1553&gt;0),O1553+M1553/1000000000000+ROW()/1000000000000000,"")</f>
        <v/>
      </c>
      <c r="T1553" s="39" t="str">
        <f aca="false">IF(J1553="Belum ditukar",ROW(),"")</f>
        <v/>
      </c>
    </row>
    <row r="1554" customFormat="false" ht="15" hidden="false" customHeight="false" outlineLevel="0" collapsed="false">
      <c r="A1554" s="50" t="s">
        <v>1841</v>
      </c>
      <c r="B1554" s="51" t="n">
        <v>45983</v>
      </c>
      <c r="C1554" s="50" t="s">
        <v>967</v>
      </c>
      <c r="D1554" s="39" t="str">
        <f aca="false">INDEX(Master_Customer!$B$2:$B$126,MATCH(C1554,Master_Customer!$A$2:$A$126,0))</f>
        <v>MAKMUR SPAREPART GEMILANG</v>
      </c>
      <c r="E1554" s="50" t="s">
        <v>29</v>
      </c>
      <c r="F1554" s="52" t="n">
        <f aca="false">SUMIFS(Data_Penjualan!$G$2:$G$5998,Data_Penjualan!$A$2:$A$5998,A1554)</f>
        <v>7340000</v>
      </c>
      <c r="G1554" s="39" t="n">
        <f aca="false">IF(E1554="KANTOR",0,INDEX(Master_Customer!$C$2:$C$126,MATCH(C1554,Master_Customer!$A$2:$A$126,0)))</f>
        <v>14</v>
      </c>
      <c r="H1554" s="53" t="n">
        <f aca="false">B1554+G1554</f>
        <v>45997</v>
      </c>
      <c r="I1554" s="51" t="n">
        <v>45988</v>
      </c>
      <c r="J1554" s="39" t="str">
        <f aca="false">IF(G1554=0,"Tunai",IF(I1554="","Belum ditukar","Sudah ditukar"))</f>
        <v>Sudah ditukar</v>
      </c>
      <c r="K1554" s="54" t="n">
        <v>7340000</v>
      </c>
      <c r="L1554" s="51" t="n">
        <v>45991</v>
      </c>
      <c r="M1554" s="52" t="n">
        <f aca="false">F1554-K1554</f>
        <v>0</v>
      </c>
      <c r="N1554" s="39" t="str">
        <f aca="false">IF(M1554&lt;=0,"Lunas",IF(K1554&gt;0,"Sebagian","Belum Bayar"))</f>
        <v>Lunas</v>
      </c>
      <c r="O1554" s="39" t="n">
        <f aca="false">IF(M1554&gt;0,MAX(0,Catatan!$B$3-H1554),0)</f>
        <v>0</v>
      </c>
      <c r="P1554" s="39" t="str">
        <f aca="false">IF(M1554&lt;=0,"Lunas",IF(Catatan!$B$3&lt;=H1554,"Belum Jatuh Tempo",IF(O1554&lt;=30,"1-30 hari",IF(O1554&lt;=60,"31-60 hari",IF(O1554&lt;=90,"61-90 hari","90+ hari")))))</f>
        <v>Lunas</v>
      </c>
      <c r="Q1554" s="50"/>
      <c r="R1554" s="39" t="str">
        <f aca="false">IF(M1554&lt;=0,"",IF(O1554&gt;60,"1-Tinggi",IF(O1554&gt;30,"2-Sedang",IF(O1554&gt;0,"3-Rendah","4-Pantau"))))</f>
        <v/>
      </c>
      <c r="S1554" s="39" t="str">
        <f aca="false">IF(AND(M1554&gt;0,O1554&gt;0),O1554+M1554/1000000000000+ROW()/1000000000000000,"")</f>
        <v/>
      </c>
      <c r="T1554" s="39" t="str">
        <f aca="false">IF(J1554="Belum ditukar",ROW(),"")</f>
        <v/>
      </c>
    </row>
    <row r="1555" customFormat="false" ht="15" hidden="false" customHeight="false" outlineLevel="0" collapsed="false">
      <c r="A1555" s="50" t="s">
        <v>1842</v>
      </c>
      <c r="B1555" s="51" t="n">
        <v>45983</v>
      </c>
      <c r="C1555" s="50" t="s">
        <v>296</v>
      </c>
      <c r="D1555" s="39" t="str">
        <f aca="false">INDEX(Master_Customer!$B$2:$B$126,MATCH(C1555,Master_Customer!$A$2:$A$126,0))</f>
        <v>KARYA LUBRICANT MAJU</v>
      </c>
      <c r="E1555" s="50" t="s">
        <v>29</v>
      </c>
      <c r="F1555" s="52" t="n">
        <f aca="false">SUMIFS(Data_Penjualan!$G$2:$G$5998,Data_Penjualan!$A$2:$A$5998,A1555)</f>
        <v>1107100</v>
      </c>
      <c r="G1555" s="39" t="n">
        <f aca="false">IF(E1555="KANTOR",0,INDEX(Master_Customer!$C$2:$C$126,MATCH(C1555,Master_Customer!$A$2:$A$126,0)))</f>
        <v>14</v>
      </c>
      <c r="H1555" s="53" t="n">
        <f aca="false">B1555+G1555</f>
        <v>45997</v>
      </c>
      <c r="I1555" s="51" t="n">
        <v>45988</v>
      </c>
      <c r="J1555" s="39" t="str">
        <f aca="false">IF(G1555=0,"Tunai",IF(I1555="","Belum ditukar","Sudah ditukar"))</f>
        <v>Sudah ditukar</v>
      </c>
      <c r="K1555" s="54" t="n">
        <v>1107100</v>
      </c>
      <c r="L1555" s="51" t="n">
        <v>46000</v>
      </c>
      <c r="M1555" s="52" t="n">
        <f aca="false">F1555-K1555</f>
        <v>0</v>
      </c>
      <c r="N1555" s="39" t="str">
        <f aca="false">IF(M1555&lt;=0,"Lunas",IF(K1555&gt;0,"Sebagian","Belum Bayar"))</f>
        <v>Lunas</v>
      </c>
      <c r="O1555" s="39" t="n">
        <f aca="false">IF(M1555&gt;0,MAX(0,Catatan!$B$3-H1555),0)</f>
        <v>0</v>
      </c>
      <c r="P1555" s="39" t="str">
        <f aca="false">IF(M1555&lt;=0,"Lunas",IF(Catatan!$B$3&lt;=H1555,"Belum Jatuh Tempo",IF(O1555&lt;=30,"1-30 hari",IF(O1555&lt;=60,"31-60 hari",IF(O1555&lt;=90,"61-90 hari","90+ hari")))))</f>
        <v>Lunas</v>
      </c>
      <c r="Q1555" s="50"/>
      <c r="R1555" s="39" t="str">
        <f aca="false">IF(M1555&lt;=0,"",IF(O1555&gt;60,"1-Tinggi",IF(O1555&gt;30,"2-Sedang",IF(O1555&gt;0,"3-Rendah","4-Pantau"))))</f>
        <v/>
      </c>
      <c r="S1555" s="39" t="str">
        <f aca="false">IF(AND(M1555&gt;0,O1555&gt;0),O1555+M1555/1000000000000+ROW()/1000000000000000,"")</f>
        <v/>
      </c>
      <c r="T1555" s="39" t="str">
        <f aca="false">IF(J1555="Belum ditukar",ROW(),"")</f>
        <v/>
      </c>
    </row>
    <row r="1556" customFormat="false" ht="15" hidden="false" customHeight="false" outlineLevel="0" collapsed="false">
      <c r="A1556" s="50" t="s">
        <v>1843</v>
      </c>
      <c r="B1556" s="51" t="n">
        <v>45983</v>
      </c>
      <c r="C1556" s="50" t="s">
        <v>170</v>
      </c>
      <c r="D1556" s="39" t="str">
        <f aca="false">INDEX(Master_Customer!$B$2:$B$126,MATCH(C1556,Master_Customer!$A$2:$A$126,0))</f>
        <v>HARAPAN MOTOR</v>
      </c>
      <c r="E1556" s="50" t="s">
        <v>30</v>
      </c>
      <c r="F1556" s="52" t="n">
        <f aca="false">SUMIFS(Data_Penjualan!$G$2:$G$5998,Data_Penjualan!$A$2:$A$5998,A1556)</f>
        <v>22900100</v>
      </c>
      <c r="G1556" s="39" t="n">
        <f aca="false">IF(E1556="KANTOR",0,INDEX(Master_Customer!$C$2:$C$126,MATCH(C1556,Master_Customer!$A$2:$A$126,0)))</f>
        <v>45</v>
      </c>
      <c r="H1556" s="53" t="n">
        <f aca="false">B1556+G1556</f>
        <v>46028</v>
      </c>
      <c r="I1556" s="51" t="n">
        <v>45984</v>
      </c>
      <c r="J1556" s="39" t="str">
        <f aca="false">IF(G1556=0,"Tunai",IF(I1556="","Belum ditukar","Sudah ditukar"))</f>
        <v>Sudah ditukar</v>
      </c>
      <c r="K1556" s="54" t="n">
        <v>0</v>
      </c>
      <c r="M1556" s="52" t="n">
        <f aca="false">F1556-K1556</f>
        <v>22900100</v>
      </c>
      <c r="N1556" s="39" t="str">
        <f aca="false">IF(M1556&lt;=0,"Lunas",IF(K1556&gt;0,"Sebagian","Belum Bayar"))</f>
        <v>Belum Bayar</v>
      </c>
      <c r="O1556" s="39" t="n">
        <f aca="false">IF(M1556&gt;0,MAX(0,Catatan!$B$3-H1556),0)</f>
        <v>0</v>
      </c>
      <c r="P1556" s="39" t="str">
        <f aca="false">IF(M1556&lt;=0,"Lunas",IF(Catatan!$B$3&lt;=H1556,"Belum Jatuh Tempo",IF(O1556&lt;=30,"1-30 hari",IF(O1556&lt;=60,"31-60 hari",IF(O1556&lt;=90,"61-90 hari","90+ hari")))))</f>
        <v>Belum Jatuh Tempo</v>
      </c>
      <c r="Q1556" s="50"/>
      <c r="R1556" s="39" t="str">
        <f aca="false">IF(M1556&lt;=0,"",IF(O1556&gt;60,"1-Tinggi",IF(O1556&gt;30,"2-Sedang",IF(O1556&gt;0,"3-Rendah","4-Pantau"))))</f>
        <v>4-Pantau</v>
      </c>
      <c r="S1556" s="39" t="str">
        <f aca="false">IF(AND(M1556&gt;0,O1556&gt;0),O1556+M1556/1000000000000+ROW()/1000000000000000,"")</f>
        <v/>
      </c>
      <c r="T1556" s="39" t="str">
        <f aca="false">IF(J1556="Belum ditukar",ROW(),"")</f>
        <v/>
      </c>
    </row>
    <row r="1557" customFormat="false" ht="15" hidden="false" customHeight="false" outlineLevel="0" collapsed="false">
      <c r="A1557" s="50" t="s">
        <v>1844</v>
      </c>
      <c r="B1557" s="51" t="n">
        <v>45983</v>
      </c>
      <c r="C1557" s="50" t="s">
        <v>286</v>
      </c>
      <c r="D1557" s="39" t="str">
        <f aca="false">INDEX(Master_Customer!$B$2:$B$126,MATCH(C1557,Master_Customer!$A$2:$A$126,0))</f>
        <v>CAHAYA AUTO</v>
      </c>
      <c r="E1557" s="50" t="s">
        <v>29</v>
      </c>
      <c r="F1557" s="52" t="n">
        <f aca="false">SUMIFS(Data_Penjualan!$G$2:$G$5998,Data_Penjualan!$A$2:$A$5998,A1557)</f>
        <v>21158100</v>
      </c>
      <c r="G1557" s="39" t="n">
        <f aca="false">IF(E1557="KANTOR",0,INDEX(Master_Customer!$C$2:$C$126,MATCH(C1557,Master_Customer!$A$2:$A$126,0)))</f>
        <v>0</v>
      </c>
      <c r="H1557" s="53" t="n">
        <f aca="false">B1557+G1557</f>
        <v>45983</v>
      </c>
      <c r="J1557" s="39" t="str">
        <f aca="false">IF(G1557=0,"Tunai",IF(I1557="","Belum ditukar","Sudah ditukar"))</f>
        <v>Tunai</v>
      </c>
      <c r="K1557" s="54" t="n">
        <v>21158100</v>
      </c>
      <c r="L1557" s="51" t="n">
        <v>45983</v>
      </c>
      <c r="M1557" s="52" t="n">
        <f aca="false">F1557-K1557</f>
        <v>0</v>
      </c>
      <c r="N1557" s="39" t="str">
        <f aca="false">IF(M1557&lt;=0,"Lunas",IF(K1557&gt;0,"Sebagian","Belum Bayar"))</f>
        <v>Lunas</v>
      </c>
      <c r="O1557" s="39" t="n">
        <f aca="false">IF(M1557&gt;0,MAX(0,Catatan!$B$3-H1557),0)</f>
        <v>0</v>
      </c>
      <c r="P1557" s="39" t="str">
        <f aca="false">IF(M1557&lt;=0,"Lunas",IF(Catatan!$B$3&lt;=H1557,"Belum Jatuh Tempo",IF(O1557&lt;=30,"1-30 hari",IF(O1557&lt;=60,"31-60 hari",IF(O1557&lt;=90,"61-90 hari","90+ hari")))))</f>
        <v>Lunas</v>
      </c>
      <c r="Q1557" s="50"/>
      <c r="R1557" s="39" t="str">
        <f aca="false">IF(M1557&lt;=0,"",IF(O1557&gt;60,"1-Tinggi",IF(O1557&gt;30,"2-Sedang",IF(O1557&gt;0,"3-Rendah","4-Pantau"))))</f>
        <v/>
      </c>
      <c r="S1557" s="39" t="str">
        <f aca="false">IF(AND(M1557&gt;0,O1557&gt;0),O1557+M1557/1000000000000+ROW()/1000000000000000,"")</f>
        <v/>
      </c>
      <c r="T1557" s="39" t="str">
        <f aca="false">IF(J1557="Belum ditukar",ROW(),"")</f>
        <v/>
      </c>
    </row>
    <row r="1558" customFormat="false" ht="15" hidden="false" customHeight="false" outlineLevel="0" collapsed="false">
      <c r="A1558" s="50" t="s">
        <v>1845</v>
      </c>
      <c r="B1558" s="51" t="n">
        <v>45985</v>
      </c>
      <c r="C1558" s="50" t="s">
        <v>223</v>
      </c>
      <c r="D1558" s="39" t="str">
        <f aca="false">INDEX(Master_Customer!$B$2:$B$126,MATCH(C1558,Master_Customer!$A$2:$A$126,0))</f>
        <v>ABADI AUTO UTAMA</v>
      </c>
      <c r="E1558" s="50" t="s">
        <v>31</v>
      </c>
      <c r="F1558" s="52" t="n">
        <f aca="false">SUMIFS(Data_Penjualan!$G$2:$G$5998,Data_Penjualan!$A$2:$A$5998,A1558)</f>
        <v>11198900</v>
      </c>
      <c r="G1558" s="39" t="n">
        <f aca="false">IF(E1558="KANTOR",0,INDEX(Master_Customer!$C$2:$C$126,MATCH(C1558,Master_Customer!$A$2:$A$126,0)))</f>
        <v>14</v>
      </c>
      <c r="H1558" s="53" t="n">
        <f aca="false">B1558+G1558</f>
        <v>45999</v>
      </c>
      <c r="I1558" s="51" t="n">
        <v>45989</v>
      </c>
      <c r="J1558" s="39" t="str">
        <f aca="false">IF(G1558=0,"Tunai",IF(I1558="","Belum ditukar","Sudah ditukar"))</f>
        <v>Sudah ditukar</v>
      </c>
      <c r="K1558" s="54" t="n">
        <v>6322100</v>
      </c>
      <c r="L1558" s="51" t="n">
        <v>46015</v>
      </c>
      <c r="M1558" s="52" t="n">
        <f aca="false">F1558-K1558</f>
        <v>4876800</v>
      </c>
      <c r="N1558" s="39" t="str">
        <f aca="false">IF(M1558&lt;=0,"Lunas",IF(K1558&gt;0,"Sebagian","Belum Bayar"))</f>
        <v>Sebagian</v>
      </c>
      <c r="O1558" s="39" t="n">
        <f aca="false">IF(M1558&gt;0,MAX(0,Catatan!$B$3-H1558),0)</f>
        <v>23</v>
      </c>
      <c r="P1558" s="39" t="str">
        <f aca="false">IF(M1558&lt;=0,"Lunas",IF(Catatan!$B$3&lt;=H1558,"Belum Jatuh Tempo",IF(O1558&lt;=30,"1-30 hari",IF(O1558&lt;=60,"31-60 hari",IF(O1558&lt;=90,"61-90 hari","90+ hari")))))</f>
        <v>1-30 hari</v>
      </c>
      <c r="Q1558" s="50" t="s">
        <v>1705</v>
      </c>
      <c r="R1558" s="39" t="str">
        <f aca="false">IF(M1558&lt;=0,"",IF(O1558&gt;60,"1-Tinggi",IF(O1558&gt;30,"2-Sedang",IF(O1558&gt;0,"3-Rendah","4-Pantau"))))</f>
        <v>3-Rendah</v>
      </c>
      <c r="S1558" s="39" t="n">
        <f aca="false">IF(AND(M1558&gt;0,O1558&gt;0),O1558+M1558/1000000000000+ROW()/1000000000000000,"")</f>
        <v>23.0000048768016</v>
      </c>
      <c r="T1558" s="39" t="str">
        <f aca="false">IF(J1558="Belum ditukar",ROW(),"")</f>
        <v/>
      </c>
    </row>
    <row r="1559" customFormat="false" ht="15" hidden="false" customHeight="false" outlineLevel="0" collapsed="false">
      <c r="A1559" s="50" t="s">
        <v>1846</v>
      </c>
      <c r="B1559" s="51" t="n">
        <v>45985</v>
      </c>
      <c r="C1559" s="50" t="s">
        <v>166</v>
      </c>
      <c r="D1559" s="39" t="str">
        <f aca="false">INDEX(Master_Customer!$B$2:$B$126,MATCH(C1559,Master_Customer!$A$2:$A$126,0))</f>
        <v>SENTOSA SERVICE</v>
      </c>
      <c r="E1559" s="50" t="s">
        <v>30</v>
      </c>
      <c r="F1559" s="52" t="n">
        <f aca="false">SUMIFS(Data_Penjualan!$G$2:$G$5998,Data_Penjualan!$A$2:$A$5998,A1559)</f>
        <v>2189900</v>
      </c>
      <c r="G1559" s="39" t="n">
        <f aca="false">IF(E1559="KANTOR",0,INDEX(Master_Customer!$C$2:$C$126,MATCH(C1559,Master_Customer!$A$2:$A$126,0)))</f>
        <v>0</v>
      </c>
      <c r="H1559" s="53" t="n">
        <f aca="false">B1559+G1559</f>
        <v>45985</v>
      </c>
      <c r="J1559" s="39" t="str">
        <f aca="false">IF(G1559=0,"Tunai",IF(I1559="","Belum ditukar","Sudah ditukar"))</f>
        <v>Tunai</v>
      </c>
      <c r="K1559" s="54" t="n">
        <v>2189900</v>
      </c>
      <c r="L1559" s="51" t="n">
        <v>45985</v>
      </c>
      <c r="M1559" s="52" t="n">
        <f aca="false">F1559-K1559</f>
        <v>0</v>
      </c>
      <c r="N1559" s="39" t="str">
        <f aca="false">IF(M1559&lt;=0,"Lunas",IF(K1559&gt;0,"Sebagian","Belum Bayar"))</f>
        <v>Lunas</v>
      </c>
      <c r="O1559" s="39" t="n">
        <f aca="false">IF(M1559&gt;0,MAX(0,Catatan!$B$3-H1559),0)</f>
        <v>0</v>
      </c>
      <c r="P1559" s="39" t="str">
        <f aca="false">IF(M1559&lt;=0,"Lunas",IF(Catatan!$B$3&lt;=H1559,"Belum Jatuh Tempo",IF(O1559&lt;=30,"1-30 hari",IF(O1559&lt;=60,"31-60 hari",IF(O1559&lt;=90,"61-90 hari","90+ hari")))))</f>
        <v>Lunas</v>
      </c>
      <c r="Q1559" s="50"/>
      <c r="R1559" s="39" t="str">
        <f aca="false">IF(M1559&lt;=0,"",IF(O1559&gt;60,"1-Tinggi",IF(O1559&gt;30,"2-Sedang",IF(O1559&gt;0,"3-Rendah","4-Pantau"))))</f>
        <v/>
      </c>
      <c r="S1559" s="39" t="str">
        <f aca="false">IF(AND(M1559&gt;0,O1559&gt;0),O1559+M1559/1000000000000+ROW()/1000000000000000,"")</f>
        <v/>
      </c>
      <c r="T1559" s="39" t="str">
        <f aca="false">IF(J1559="Belum ditukar",ROW(),"")</f>
        <v/>
      </c>
    </row>
    <row r="1560" customFormat="false" ht="15" hidden="false" customHeight="false" outlineLevel="0" collapsed="false">
      <c r="A1560" s="50" t="s">
        <v>1847</v>
      </c>
      <c r="B1560" s="51" t="n">
        <v>45985</v>
      </c>
      <c r="C1560" s="50" t="s">
        <v>174</v>
      </c>
      <c r="D1560" s="39" t="str">
        <f aca="false">INDEX(Master_Customer!$B$2:$B$126,MATCH(C1560,Master_Customer!$A$2:$A$126,0))</f>
        <v>SUMBER TEKNIK SURYA</v>
      </c>
      <c r="E1560" s="50" t="s">
        <v>31</v>
      </c>
      <c r="F1560" s="52" t="n">
        <f aca="false">SUMIFS(Data_Penjualan!$G$2:$G$5998,Data_Penjualan!$A$2:$A$5998,A1560)</f>
        <v>5080000</v>
      </c>
      <c r="G1560" s="39" t="n">
        <f aca="false">IF(E1560="KANTOR",0,INDEX(Master_Customer!$C$2:$C$126,MATCH(C1560,Master_Customer!$A$2:$A$126,0)))</f>
        <v>30</v>
      </c>
      <c r="H1560" s="53" t="n">
        <f aca="false">B1560+G1560</f>
        <v>46015</v>
      </c>
      <c r="I1560" s="51" t="n">
        <v>45990</v>
      </c>
      <c r="J1560" s="39" t="str">
        <f aca="false">IF(G1560=0,"Tunai",IF(I1560="","Belum ditukar","Sudah ditukar"))</f>
        <v>Sudah ditukar</v>
      </c>
      <c r="K1560" s="54" t="n">
        <v>5080000</v>
      </c>
      <c r="L1560" s="51" t="n">
        <v>46008</v>
      </c>
      <c r="M1560" s="52" t="n">
        <f aca="false">F1560-K1560</f>
        <v>0</v>
      </c>
      <c r="N1560" s="39" t="str">
        <f aca="false">IF(M1560&lt;=0,"Lunas",IF(K1560&gt;0,"Sebagian","Belum Bayar"))</f>
        <v>Lunas</v>
      </c>
      <c r="O1560" s="39" t="n">
        <f aca="false">IF(M1560&gt;0,MAX(0,Catatan!$B$3-H1560),0)</f>
        <v>0</v>
      </c>
      <c r="P1560" s="39" t="str">
        <f aca="false">IF(M1560&lt;=0,"Lunas",IF(Catatan!$B$3&lt;=H1560,"Belum Jatuh Tempo",IF(O1560&lt;=30,"1-30 hari",IF(O1560&lt;=60,"31-60 hari",IF(O1560&lt;=90,"61-90 hari","90+ hari")))))</f>
        <v>Lunas</v>
      </c>
      <c r="Q1560" s="50"/>
      <c r="R1560" s="39" t="str">
        <f aca="false">IF(M1560&lt;=0,"",IF(O1560&gt;60,"1-Tinggi",IF(O1560&gt;30,"2-Sedang",IF(O1560&gt;0,"3-Rendah","4-Pantau"))))</f>
        <v/>
      </c>
      <c r="S1560" s="39" t="str">
        <f aca="false">IF(AND(M1560&gt;0,O1560&gt;0),O1560+M1560/1000000000000+ROW()/1000000000000000,"")</f>
        <v/>
      </c>
      <c r="T1560" s="39" t="str">
        <f aca="false">IF(J1560="Belum ditukar",ROW(),"")</f>
        <v/>
      </c>
    </row>
    <row r="1561" customFormat="false" ht="15" hidden="false" customHeight="false" outlineLevel="0" collapsed="false">
      <c r="A1561" s="50" t="s">
        <v>1848</v>
      </c>
      <c r="B1561" s="51" t="n">
        <v>45985</v>
      </c>
      <c r="C1561" s="50" t="s">
        <v>197</v>
      </c>
      <c r="D1561" s="39" t="str">
        <f aca="false">INDEX(Master_Customer!$B$2:$B$126,MATCH(C1561,Master_Customer!$A$2:$A$126,0))</f>
        <v>UTAMA LUBRICANT HARAPAN</v>
      </c>
      <c r="E1561" s="50" t="s">
        <v>30</v>
      </c>
      <c r="F1561" s="52" t="n">
        <f aca="false">SUMIFS(Data_Penjualan!$G$2:$G$5998,Data_Penjualan!$A$2:$A$5998,A1561)</f>
        <v>9006700</v>
      </c>
      <c r="G1561" s="39" t="n">
        <f aca="false">IF(E1561="KANTOR",0,INDEX(Master_Customer!$C$2:$C$126,MATCH(C1561,Master_Customer!$A$2:$A$126,0)))</f>
        <v>30</v>
      </c>
      <c r="H1561" s="53" t="n">
        <f aca="false">B1561+G1561</f>
        <v>46015</v>
      </c>
      <c r="I1561" s="51" t="n">
        <v>45989</v>
      </c>
      <c r="J1561" s="39" t="str">
        <f aca="false">IF(G1561=0,"Tunai",IF(I1561="","Belum ditukar","Sudah ditukar"))</f>
        <v>Sudah ditukar</v>
      </c>
      <c r="K1561" s="54" t="n">
        <v>9006700</v>
      </c>
      <c r="L1561" s="51" t="n">
        <v>46021</v>
      </c>
      <c r="M1561" s="52" t="n">
        <f aca="false">F1561-K1561</f>
        <v>0</v>
      </c>
      <c r="N1561" s="39" t="str">
        <f aca="false">IF(M1561&lt;=0,"Lunas",IF(K1561&gt;0,"Sebagian","Belum Bayar"))</f>
        <v>Lunas</v>
      </c>
      <c r="O1561" s="39" t="n">
        <f aca="false">IF(M1561&gt;0,MAX(0,Catatan!$B$3-H1561),0)</f>
        <v>0</v>
      </c>
      <c r="P1561" s="39" t="str">
        <f aca="false">IF(M1561&lt;=0,"Lunas",IF(Catatan!$B$3&lt;=H1561,"Belum Jatuh Tempo",IF(O1561&lt;=30,"1-30 hari",IF(O1561&lt;=60,"31-60 hari",IF(O1561&lt;=90,"61-90 hari","90+ hari")))))</f>
        <v>Lunas</v>
      </c>
      <c r="Q1561" s="50"/>
      <c r="R1561" s="39" t="str">
        <f aca="false">IF(M1561&lt;=0,"",IF(O1561&gt;60,"1-Tinggi",IF(O1561&gt;30,"2-Sedang",IF(O1561&gt;0,"3-Rendah","4-Pantau"))))</f>
        <v/>
      </c>
      <c r="S1561" s="39" t="str">
        <f aca="false">IF(AND(M1561&gt;0,O1561&gt;0),O1561+M1561/1000000000000+ROW()/1000000000000000,"")</f>
        <v/>
      </c>
      <c r="T1561" s="39" t="str">
        <f aca="false">IF(J1561="Belum ditukar",ROW(),"")</f>
        <v/>
      </c>
    </row>
    <row r="1562" customFormat="false" ht="15" hidden="false" customHeight="false" outlineLevel="0" collapsed="false">
      <c r="A1562" s="50" t="s">
        <v>1849</v>
      </c>
      <c r="B1562" s="51" t="n">
        <v>45986</v>
      </c>
      <c r="C1562" s="50" t="s">
        <v>469</v>
      </c>
      <c r="D1562" s="39" t="str">
        <f aca="false">INDEX(Master_Customer!$B$2:$B$126,MATCH(C1562,Master_Customer!$A$2:$A$126,0))</f>
        <v>MULIA AUTO CAHAYA</v>
      </c>
      <c r="E1562" s="50" t="s">
        <v>31</v>
      </c>
      <c r="F1562" s="52" t="n">
        <f aca="false">SUMIFS(Data_Penjualan!$G$2:$G$5998,Data_Penjualan!$A$2:$A$5998,A1562)</f>
        <v>6327400</v>
      </c>
      <c r="G1562" s="39" t="n">
        <f aca="false">IF(E1562="KANTOR",0,INDEX(Master_Customer!$C$2:$C$126,MATCH(C1562,Master_Customer!$A$2:$A$126,0)))</f>
        <v>45</v>
      </c>
      <c r="H1562" s="53" t="n">
        <f aca="false">B1562+G1562</f>
        <v>46031</v>
      </c>
      <c r="I1562" s="51" t="n">
        <v>45987</v>
      </c>
      <c r="J1562" s="39" t="str">
        <f aca="false">IF(G1562=0,"Tunai",IF(I1562="","Belum ditukar","Sudah ditukar"))</f>
        <v>Sudah ditukar</v>
      </c>
      <c r="K1562" s="54" t="n">
        <v>3983400</v>
      </c>
      <c r="L1562" s="51" t="n">
        <v>46005</v>
      </c>
      <c r="M1562" s="52" t="n">
        <f aca="false">F1562-K1562</f>
        <v>2344000</v>
      </c>
      <c r="N1562" s="39" t="str">
        <f aca="false">IF(M1562&lt;=0,"Lunas",IF(K1562&gt;0,"Sebagian","Belum Bayar"))</f>
        <v>Sebagian</v>
      </c>
      <c r="O1562" s="39" t="n">
        <f aca="false">IF(M1562&gt;0,MAX(0,Catatan!$B$3-H1562),0)</f>
        <v>0</v>
      </c>
      <c r="P1562" s="39" t="str">
        <f aca="false">IF(M1562&lt;=0,"Lunas",IF(Catatan!$B$3&lt;=H1562,"Belum Jatuh Tempo",IF(O1562&lt;=30,"1-30 hari",IF(O1562&lt;=60,"31-60 hari",IF(O1562&lt;=90,"61-90 hari","90+ hari")))))</f>
        <v>Belum Jatuh Tempo</v>
      </c>
      <c r="Q1562" s="50"/>
      <c r="R1562" s="39" t="str">
        <f aca="false">IF(M1562&lt;=0,"",IF(O1562&gt;60,"1-Tinggi",IF(O1562&gt;30,"2-Sedang",IF(O1562&gt;0,"3-Rendah","4-Pantau"))))</f>
        <v>4-Pantau</v>
      </c>
      <c r="S1562" s="39" t="str">
        <f aca="false">IF(AND(M1562&gt;0,O1562&gt;0),O1562+M1562/1000000000000+ROW()/1000000000000000,"")</f>
        <v/>
      </c>
      <c r="T1562" s="39" t="str">
        <f aca="false">IF(J1562="Belum ditukar",ROW(),"")</f>
        <v/>
      </c>
    </row>
    <row r="1563" customFormat="false" ht="15" hidden="false" customHeight="false" outlineLevel="0" collapsed="false">
      <c r="A1563" s="50" t="s">
        <v>1850</v>
      </c>
      <c r="B1563" s="51" t="n">
        <v>45986</v>
      </c>
      <c r="C1563" s="50" t="s">
        <v>479</v>
      </c>
      <c r="D1563" s="39" t="str">
        <f aca="false">INDEX(Master_Customer!$B$2:$B$126,MATCH(C1563,Master_Customer!$A$2:$A$126,0))</f>
        <v>TIRTA TEKNIK TIRTA</v>
      </c>
      <c r="E1563" s="50" t="s">
        <v>30</v>
      </c>
      <c r="F1563" s="52" t="n">
        <f aca="false">SUMIFS(Data_Penjualan!$G$2:$G$5998,Data_Penjualan!$A$2:$A$5998,A1563)</f>
        <v>18922300</v>
      </c>
      <c r="G1563" s="39" t="n">
        <f aca="false">IF(E1563="KANTOR",0,INDEX(Master_Customer!$C$2:$C$126,MATCH(C1563,Master_Customer!$A$2:$A$126,0)))</f>
        <v>30</v>
      </c>
      <c r="H1563" s="53" t="n">
        <f aca="false">B1563+G1563</f>
        <v>46016</v>
      </c>
      <c r="I1563" s="51" t="n">
        <v>45988</v>
      </c>
      <c r="J1563" s="39" t="str">
        <f aca="false">IF(G1563=0,"Tunai",IF(I1563="","Belum ditukar","Sudah ditukar"))</f>
        <v>Sudah ditukar</v>
      </c>
      <c r="K1563" s="54" t="n">
        <v>18922300</v>
      </c>
      <c r="L1563" s="51" t="n">
        <v>46013</v>
      </c>
      <c r="M1563" s="52" t="n">
        <f aca="false">F1563-K1563</f>
        <v>0</v>
      </c>
      <c r="N1563" s="39" t="str">
        <f aca="false">IF(M1563&lt;=0,"Lunas",IF(K1563&gt;0,"Sebagian","Belum Bayar"))</f>
        <v>Lunas</v>
      </c>
      <c r="O1563" s="39" t="n">
        <f aca="false">IF(M1563&gt;0,MAX(0,Catatan!$B$3-H1563),0)</f>
        <v>0</v>
      </c>
      <c r="P1563" s="39" t="str">
        <f aca="false">IF(M1563&lt;=0,"Lunas",IF(Catatan!$B$3&lt;=H1563,"Belum Jatuh Tempo",IF(O1563&lt;=30,"1-30 hari",IF(O1563&lt;=60,"31-60 hari",IF(O1563&lt;=90,"61-90 hari","90+ hari")))))</f>
        <v>Lunas</v>
      </c>
      <c r="Q1563" s="50"/>
      <c r="R1563" s="39" t="str">
        <f aca="false">IF(M1563&lt;=0,"",IF(O1563&gt;60,"1-Tinggi",IF(O1563&gt;30,"2-Sedang",IF(O1563&gt;0,"3-Rendah","4-Pantau"))))</f>
        <v/>
      </c>
      <c r="S1563" s="39" t="str">
        <f aca="false">IF(AND(M1563&gt;0,O1563&gt;0),O1563+M1563/1000000000000+ROW()/1000000000000000,"")</f>
        <v/>
      </c>
      <c r="T1563" s="39" t="str">
        <f aca="false">IF(J1563="Belum ditukar",ROW(),"")</f>
        <v/>
      </c>
    </row>
    <row r="1564" customFormat="false" ht="15" hidden="false" customHeight="false" outlineLevel="0" collapsed="false">
      <c r="A1564" s="50" t="s">
        <v>1851</v>
      </c>
      <c r="B1564" s="51" t="n">
        <v>45986</v>
      </c>
      <c r="C1564" s="50" t="s">
        <v>430</v>
      </c>
      <c r="D1564" s="39" t="str">
        <f aca="false">INDEX(Master_Customer!$B$2:$B$126,MATCH(C1564,Master_Customer!$A$2:$A$126,0))</f>
        <v>TIRTA MOBIL</v>
      </c>
      <c r="E1564" s="50" t="s">
        <v>28</v>
      </c>
      <c r="F1564" s="52" t="n">
        <f aca="false">SUMIFS(Data_Penjualan!$G$2:$G$5998,Data_Penjualan!$A$2:$A$5998,A1564)</f>
        <v>3664000</v>
      </c>
      <c r="G1564" s="39" t="n">
        <f aca="false">IF(E1564="KANTOR",0,INDEX(Master_Customer!$C$2:$C$126,MATCH(C1564,Master_Customer!$A$2:$A$126,0)))</f>
        <v>30</v>
      </c>
      <c r="H1564" s="53" t="n">
        <f aca="false">B1564+G1564</f>
        <v>46016</v>
      </c>
      <c r="I1564" s="51" t="n">
        <v>45990</v>
      </c>
      <c r="J1564" s="39" t="str">
        <f aca="false">IF(G1564=0,"Tunai",IF(I1564="","Belum ditukar","Sudah ditukar"))</f>
        <v>Sudah ditukar</v>
      </c>
      <c r="K1564" s="54" t="n">
        <v>3664000</v>
      </c>
      <c r="L1564" s="51" t="n">
        <v>46015</v>
      </c>
      <c r="M1564" s="52" t="n">
        <f aca="false">F1564-K1564</f>
        <v>0</v>
      </c>
      <c r="N1564" s="39" t="str">
        <f aca="false">IF(M1564&lt;=0,"Lunas",IF(K1564&gt;0,"Sebagian","Belum Bayar"))</f>
        <v>Lunas</v>
      </c>
      <c r="O1564" s="39" t="n">
        <f aca="false">IF(M1564&gt;0,MAX(0,Catatan!$B$3-H1564),0)</f>
        <v>0</v>
      </c>
      <c r="P1564" s="39" t="str">
        <f aca="false">IF(M1564&lt;=0,"Lunas",IF(Catatan!$B$3&lt;=H1564,"Belum Jatuh Tempo",IF(O1564&lt;=30,"1-30 hari",IF(O1564&lt;=60,"31-60 hari",IF(O1564&lt;=90,"61-90 hari","90+ hari")))))</f>
        <v>Lunas</v>
      </c>
      <c r="Q1564" s="50"/>
      <c r="R1564" s="39" t="str">
        <f aca="false">IF(M1564&lt;=0,"",IF(O1564&gt;60,"1-Tinggi",IF(O1564&gt;30,"2-Sedang",IF(O1564&gt;0,"3-Rendah","4-Pantau"))))</f>
        <v/>
      </c>
      <c r="S1564" s="39" t="str">
        <f aca="false">IF(AND(M1564&gt;0,O1564&gt;0),O1564+M1564/1000000000000+ROW()/1000000000000000,"")</f>
        <v/>
      </c>
      <c r="T1564" s="39" t="str">
        <f aca="false">IF(J1564="Belum ditukar",ROW(),"")</f>
        <v/>
      </c>
    </row>
    <row r="1565" customFormat="false" ht="15" hidden="false" customHeight="false" outlineLevel="0" collapsed="false">
      <c r="A1565" s="50" t="s">
        <v>1852</v>
      </c>
      <c r="B1565" s="51" t="n">
        <v>45986</v>
      </c>
      <c r="C1565" s="50" t="s">
        <v>430</v>
      </c>
      <c r="D1565" s="39" t="str">
        <f aca="false">INDEX(Master_Customer!$B$2:$B$126,MATCH(C1565,Master_Customer!$A$2:$A$126,0))</f>
        <v>TIRTA MOBIL</v>
      </c>
      <c r="E1565" s="50" t="s">
        <v>32</v>
      </c>
      <c r="F1565" s="52" t="n">
        <f aca="false">SUMIFS(Data_Penjualan!$G$2:$G$5998,Data_Penjualan!$A$2:$A$5998,A1565)</f>
        <v>10362100</v>
      </c>
      <c r="G1565" s="39" t="n">
        <f aca="false">IF(E1565="KANTOR",0,INDEX(Master_Customer!$C$2:$C$126,MATCH(C1565,Master_Customer!$A$2:$A$126,0)))</f>
        <v>0</v>
      </c>
      <c r="H1565" s="53" t="n">
        <f aca="false">B1565+G1565</f>
        <v>45986</v>
      </c>
      <c r="J1565" s="39" t="str">
        <f aca="false">IF(G1565=0,"Tunai",IF(I1565="","Belum ditukar","Sudah ditukar"))</f>
        <v>Tunai</v>
      </c>
      <c r="K1565" s="54" t="n">
        <v>10362100</v>
      </c>
      <c r="L1565" s="51" t="n">
        <v>45986</v>
      </c>
      <c r="M1565" s="52" t="n">
        <f aca="false">F1565-K1565</f>
        <v>0</v>
      </c>
      <c r="N1565" s="39" t="str">
        <f aca="false">IF(M1565&lt;=0,"Lunas",IF(K1565&gt;0,"Sebagian","Belum Bayar"))</f>
        <v>Lunas</v>
      </c>
      <c r="O1565" s="39" t="n">
        <f aca="false">IF(M1565&gt;0,MAX(0,Catatan!$B$3-H1565),0)</f>
        <v>0</v>
      </c>
      <c r="P1565" s="39" t="str">
        <f aca="false">IF(M1565&lt;=0,"Lunas",IF(Catatan!$B$3&lt;=H1565,"Belum Jatuh Tempo",IF(O1565&lt;=30,"1-30 hari",IF(O1565&lt;=60,"31-60 hari",IF(O1565&lt;=90,"61-90 hari","90+ hari")))))</f>
        <v>Lunas</v>
      </c>
      <c r="Q1565" s="50"/>
      <c r="R1565" s="39" t="str">
        <f aca="false">IF(M1565&lt;=0,"",IF(O1565&gt;60,"1-Tinggi",IF(O1565&gt;30,"2-Sedang",IF(O1565&gt;0,"3-Rendah","4-Pantau"))))</f>
        <v/>
      </c>
      <c r="S1565" s="39" t="str">
        <f aca="false">IF(AND(M1565&gt;0,O1565&gt;0),O1565+M1565/1000000000000+ROW()/1000000000000000,"")</f>
        <v/>
      </c>
      <c r="T1565" s="39" t="str">
        <f aca="false">IF(J1565="Belum ditukar",ROW(),"")</f>
        <v/>
      </c>
    </row>
    <row r="1566" customFormat="false" ht="15" hidden="false" customHeight="false" outlineLevel="0" collapsed="false">
      <c r="A1566" s="50" t="s">
        <v>1853</v>
      </c>
      <c r="B1566" s="51" t="n">
        <v>45987</v>
      </c>
      <c r="C1566" s="50" t="s">
        <v>223</v>
      </c>
      <c r="D1566" s="39" t="str">
        <f aca="false">INDEX(Master_Customer!$B$2:$B$126,MATCH(C1566,Master_Customer!$A$2:$A$126,0))</f>
        <v>ABADI AUTO UTAMA</v>
      </c>
      <c r="E1566" s="50" t="s">
        <v>31</v>
      </c>
      <c r="F1566" s="52" t="n">
        <f aca="false">SUMIFS(Data_Penjualan!$G$2:$G$5998,Data_Penjualan!$A$2:$A$5998,A1566)</f>
        <v>6254200</v>
      </c>
      <c r="G1566" s="39" t="n">
        <f aca="false">IF(E1566="KANTOR",0,INDEX(Master_Customer!$C$2:$C$126,MATCH(C1566,Master_Customer!$A$2:$A$126,0)))</f>
        <v>14</v>
      </c>
      <c r="H1566" s="53" t="n">
        <f aca="false">B1566+G1566</f>
        <v>46001</v>
      </c>
      <c r="I1566" s="51" t="n">
        <v>45989</v>
      </c>
      <c r="J1566" s="39" t="str">
        <f aca="false">IF(G1566=0,"Tunai",IF(I1566="","Belum ditukar","Sudah ditukar"))</f>
        <v>Sudah ditukar</v>
      </c>
      <c r="K1566" s="54" t="n">
        <v>6254200</v>
      </c>
      <c r="L1566" s="51" t="n">
        <v>46018</v>
      </c>
      <c r="M1566" s="52" t="n">
        <f aca="false">F1566-K1566</f>
        <v>0</v>
      </c>
      <c r="N1566" s="39" t="str">
        <f aca="false">IF(M1566&lt;=0,"Lunas",IF(K1566&gt;0,"Sebagian","Belum Bayar"))</f>
        <v>Lunas</v>
      </c>
      <c r="O1566" s="39" t="n">
        <f aca="false">IF(M1566&gt;0,MAX(0,Catatan!$B$3-H1566),0)</f>
        <v>0</v>
      </c>
      <c r="P1566" s="39" t="str">
        <f aca="false">IF(M1566&lt;=0,"Lunas",IF(Catatan!$B$3&lt;=H1566,"Belum Jatuh Tempo",IF(O1566&lt;=30,"1-30 hari",IF(O1566&lt;=60,"31-60 hari",IF(O1566&lt;=90,"61-90 hari","90+ hari")))))</f>
        <v>Lunas</v>
      </c>
      <c r="Q1566" s="50"/>
      <c r="R1566" s="39" t="str">
        <f aca="false">IF(M1566&lt;=0,"",IF(O1566&gt;60,"1-Tinggi",IF(O1566&gt;30,"2-Sedang",IF(O1566&gt;0,"3-Rendah","4-Pantau"))))</f>
        <v/>
      </c>
      <c r="S1566" s="39" t="str">
        <f aca="false">IF(AND(M1566&gt;0,O1566&gt;0),O1566+M1566/1000000000000+ROW()/1000000000000000,"")</f>
        <v/>
      </c>
      <c r="T1566" s="39" t="str">
        <f aca="false">IF(J1566="Belum ditukar",ROW(),"")</f>
        <v/>
      </c>
    </row>
    <row r="1567" customFormat="false" ht="15" hidden="false" customHeight="false" outlineLevel="0" collapsed="false">
      <c r="A1567" s="50" t="s">
        <v>1854</v>
      </c>
      <c r="B1567" s="51" t="n">
        <v>45987</v>
      </c>
      <c r="C1567" s="50" t="s">
        <v>203</v>
      </c>
      <c r="D1567" s="39" t="str">
        <f aca="false">INDEX(Master_Customer!$B$2:$B$126,MATCH(C1567,Master_Customer!$A$2:$A$126,0))</f>
        <v>BINTANG TEKNIK</v>
      </c>
      <c r="E1567" s="50" t="s">
        <v>32</v>
      </c>
      <c r="F1567" s="52" t="n">
        <f aca="false">SUMIFS(Data_Penjualan!$G$2:$G$5998,Data_Penjualan!$A$2:$A$5998,A1567)</f>
        <v>5833700</v>
      </c>
      <c r="G1567" s="39" t="n">
        <f aca="false">IF(E1567="KANTOR",0,INDEX(Master_Customer!$C$2:$C$126,MATCH(C1567,Master_Customer!$A$2:$A$126,0)))</f>
        <v>0</v>
      </c>
      <c r="H1567" s="53" t="n">
        <f aca="false">B1567+G1567</f>
        <v>45987</v>
      </c>
      <c r="J1567" s="39" t="str">
        <f aca="false">IF(G1567=0,"Tunai",IF(I1567="","Belum ditukar","Sudah ditukar"))</f>
        <v>Tunai</v>
      </c>
      <c r="K1567" s="54" t="n">
        <v>5833700</v>
      </c>
      <c r="L1567" s="51" t="n">
        <v>45988</v>
      </c>
      <c r="M1567" s="52" t="n">
        <f aca="false">F1567-K1567</f>
        <v>0</v>
      </c>
      <c r="N1567" s="39" t="str">
        <f aca="false">IF(M1567&lt;=0,"Lunas",IF(K1567&gt;0,"Sebagian","Belum Bayar"))</f>
        <v>Lunas</v>
      </c>
      <c r="O1567" s="39" t="n">
        <f aca="false">IF(M1567&gt;0,MAX(0,Catatan!$B$3-H1567),0)</f>
        <v>0</v>
      </c>
      <c r="P1567" s="39" t="str">
        <f aca="false">IF(M1567&lt;=0,"Lunas",IF(Catatan!$B$3&lt;=H1567,"Belum Jatuh Tempo",IF(O1567&lt;=30,"1-30 hari",IF(O1567&lt;=60,"31-60 hari",IF(O1567&lt;=90,"61-90 hari","90+ hari")))))</f>
        <v>Lunas</v>
      </c>
      <c r="Q1567" s="50"/>
      <c r="R1567" s="39" t="str">
        <f aca="false">IF(M1567&lt;=0,"",IF(O1567&gt;60,"1-Tinggi",IF(O1567&gt;30,"2-Sedang",IF(O1567&gt;0,"3-Rendah","4-Pantau"))))</f>
        <v/>
      </c>
      <c r="S1567" s="39" t="str">
        <f aca="false">IF(AND(M1567&gt;0,O1567&gt;0),O1567+M1567/1000000000000+ROW()/1000000000000000,"")</f>
        <v/>
      </c>
      <c r="T1567" s="39" t="str">
        <f aca="false">IF(J1567="Belum ditukar",ROW(),"")</f>
        <v/>
      </c>
    </row>
    <row r="1568" customFormat="false" ht="15" hidden="false" customHeight="false" outlineLevel="0" collapsed="false">
      <c r="A1568" s="50" t="s">
        <v>1855</v>
      </c>
      <c r="B1568" s="51" t="n">
        <v>45987</v>
      </c>
      <c r="C1568" s="50" t="s">
        <v>505</v>
      </c>
      <c r="D1568" s="39" t="str">
        <f aca="false">INDEX(Master_Customer!$B$2:$B$126,MATCH(C1568,Master_Customer!$A$2:$A$126,0))</f>
        <v>GEMILANG OLI CAHAYA</v>
      </c>
      <c r="E1568" s="50" t="s">
        <v>31</v>
      </c>
      <c r="F1568" s="52" t="n">
        <f aca="false">SUMIFS(Data_Penjualan!$G$2:$G$5998,Data_Penjualan!$A$2:$A$5998,A1568)</f>
        <v>7068700</v>
      </c>
      <c r="G1568" s="39" t="n">
        <f aca="false">IF(E1568="KANTOR",0,INDEX(Master_Customer!$C$2:$C$126,MATCH(C1568,Master_Customer!$A$2:$A$126,0)))</f>
        <v>0</v>
      </c>
      <c r="H1568" s="53" t="n">
        <f aca="false">B1568+G1568</f>
        <v>45987</v>
      </c>
      <c r="J1568" s="39" t="str">
        <f aca="false">IF(G1568=0,"Tunai",IF(I1568="","Belum ditukar","Sudah ditukar"))</f>
        <v>Tunai</v>
      </c>
      <c r="K1568" s="54" t="n">
        <v>7068700</v>
      </c>
      <c r="L1568" s="51" t="n">
        <v>45989</v>
      </c>
      <c r="M1568" s="52" t="n">
        <f aca="false">F1568-K1568</f>
        <v>0</v>
      </c>
      <c r="N1568" s="39" t="str">
        <f aca="false">IF(M1568&lt;=0,"Lunas",IF(K1568&gt;0,"Sebagian","Belum Bayar"))</f>
        <v>Lunas</v>
      </c>
      <c r="O1568" s="39" t="n">
        <f aca="false">IF(M1568&gt;0,MAX(0,Catatan!$B$3-H1568),0)</f>
        <v>0</v>
      </c>
      <c r="P1568" s="39" t="str">
        <f aca="false">IF(M1568&lt;=0,"Lunas",IF(Catatan!$B$3&lt;=H1568,"Belum Jatuh Tempo",IF(O1568&lt;=30,"1-30 hari",IF(O1568&lt;=60,"31-60 hari",IF(O1568&lt;=90,"61-90 hari","90+ hari")))))</f>
        <v>Lunas</v>
      </c>
      <c r="Q1568" s="50"/>
      <c r="R1568" s="39" t="str">
        <f aca="false">IF(M1568&lt;=0,"",IF(O1568&gt;60,"1-Tinggi",IF(O1568&gt;30,"2-Sedang",IF(O1568&gt;0,"3-Rendah","4-Pantau"))))</f>
        <v/>
      </c>
      <c r="S1568" s="39" t="str">
        <f aca="false">IF(AND(M1568&gt;0,O1568&gt;0),O1568+M1568/1000000000000+ROW()/1000000000000000,"")</f>
        <v/>
      </c>
      <c r="T1568" s="39" t="str">
        <f aca="false">IF(J1568="Belum ditukar",ROW(),"")</f>
        <v/>
      </c>
    </row>
    <row r="1569" customFormat="false" ht="15" hidden="false" customHeight="false" outlineLevel="0" collapsed="false">
      <c r="A1569" s="50" t="s">
        <v>86</v>
      </c>
      <c r="B1569" s="51" t="n">
        <v>45987</v>
      </c>
      <c r="C1569" s="50" t="s">
        <v>320</v>
      </c>
      <c r="D1569" s="39" t="str">
        <f aca="false">INDEX(Master_Customer!$B$2:$B$126,MATCH(C1569,Master_Customer!$A$2:$A$126,0))</f>
        <v>BINTANG OLI</v>
      </c>
      <c r="E1569" s="50" t="s">
        <v>31</v>
      </c>
      <c r="F1569" s="52" t="n">
        <f aca="false">SUMIFS(Data_Penjualan!$G$2:$G$5998,Data_Penjualan!$A$2:$A$5998,A1569)</f>
        <v>21381000</v>
      </c>
      <c r="G1569" s="39" t="n">
        <f aca="false">IF(E1569="KANTOR",0,INDEX(Master_Customer!$C$2:$C$126,MATCH(C1569,Master_Customer!$A$2:$A$126,0)))</f>
        <v>14</v>
      </c>
      <c r="H1569" s="53" t="n">
        <f aca="false">B1569+G1569</f>
        <v>46001</v>
      </c>
      <c r="I1569" s="51" t="n">
        <v>45990</v>
      </c>
      <c r="J1569" s="39" t="str">
        <f aca="false">IF(G1569=0,"Tunai",IF(I1569="","Belum ditukar","Sudah ditukar"))</f>
        <v>Sudah ditukar</v>
      </c>
      <c r="K1569" s="54" t="n">
        <v>0</v>
      </c>
      <c r="M1569" s="52" t="n">
        <f aca="false">F1569-K1569</f>
        <v>21381000</v>
      </c>
      <c r="N1569" s="39" t="str">
        <f aca="false">IF(M1569&lt;=0,"Lunas",IF(K1569&gt;0,"Sebagian","Belum Bayar"))</f>
        <v>Belum Bayar</v>
      </c>
      <c r="O1569" s="39" t="n">
        <f aca="false">IF(M1569&gt;0,MAX(0,Catatan!$B$3-H1569),0)</f>
        <v>21</v>
      </c>
      <c r="P1569" s="39" t="str">
        <f aca="false">IF(M1569&lt;=0,"Lunas",IF(Catatan!$B$3&lt;=H1569,"Belum Jatuh Tempo",IF(O1569&lt;=30,"1-30 hari",IF(O1569&lt;=60,"31-60 hari",IF(O1569&lt;=90,"61-90 hari","90+ hari")))))</f>
        <v>1-30 hari</v>
      </c>
      <c r="Q1569" s="50" t="s">
        <v>1797</v>
      </c>
      <c r="R1569" s="39" t="str">
        <f aca="false">IF(M1569&lt;=0,"",IF(O1569&gt;60,"1-Tinggi",IF(O1569&gt;30,"2-Sedang",IF(O1569&gt;0,"3-Rendah","4-Pantau"))))</f>
        <v>3-Rendah</v>
      </c>
      <c r="S1569" s="39" t="n">
        <f aca="false">IF(AND(M1569&gt;0,O1569&gt;0),O1569+M1569/1000000000000+ROW()/1000000000000000,"")</f>
        <v>21.0000213810016</v>
      </c>
      <c r="T1569" s="39" t="str">
        <f aca="false">IF(J1569="Belum ditukar",ROW(),"")</f>
        <v/>
      </c>
    </row>
    <row r="1570" customFormat="false" ht="15" hidden="false" customHeight="false" outlineLevel="0" collapsed="false">
      <c r="A1570" s="50" t="s">
        <v>1856</v>
      </c>
      <c r="B1570" s="51" t="n">
        <v>45988</v>
      </c>
      <c r="C1570" s="50" t="s">
        <v>225</v>
      </c>
      <c r="D1570" s="39" t="str">
        <f aca="false">INDEX(Master_Customer!$B$2:$B$126,MATCH(C1570,Master_Customer!$A$2:$A$126,0))</f>
        <v>KARYA LUBRICANT ABADI</v>
      </c>
      <c r="E1570" s="50" t="s">
        <v>30</v>
      </c>
      <c r="F1570" s="52" t="n">
        <f aca="false">SUMIFS(Data_Penjualan!$G$2:$G$5998,Data_Penjualan!$A$2:$A$5998,A1570)</f>
        <v>8379600</v>
      </c>
      <c r="G1570" s="39" t="n">
        <f aca="false">IF(E1570="KANTOR",0,INDEX(Master_Customer!$C$2:$C$126,MATCH(C1570,Master_Customer!$A$2:$A$126,0)))</f>
        <v>0</v>
      </c>
      <c r="H1570" s="53" t="n">
        <f aca="false">B1570+G1570</f>
        <v>45988</v>
      </c>
      <c r="J1570" s="39" t="str">
        <f aca="false">IF(G1570=0,"Tunai",IF(I1570="","Belum ditukar","Sudah ditukar"))</f>
        <v>Tunai</v>
      </c>
      <c r="K1570" s="54" t="n">
        <v>8379600</v>
      </c>
      <c r="L1570" s="51" t="n">
        <v>45990</v>
      </c>
      <c r="M1570" s="52" t="n">
        <f aca="false">F1570-K1570</f>
        <v>0</v>
      </c>
      <c r="N1570" s="39" t="str">
        <f aca="false">IF(M1570&lt;=0,"Lunas",IF(K1570&gt;0,"Sebagian","Belum Bayar"))</f>
        <v>Lunas</v>
      </c>
      <c r="O1570" s="39" t="n">
        <f aca="false">IF(M1570&gt;0,MAX(0,Catatan!$B$3-H1570),0)</f>
        <v>0</v>
      </c>
      <c r="P1570" s="39" t="str">
        <f aca="false">IF(M1570&lt;=0,"Lunas",IF(Catatan!$B$3&lt;=H1570,"Belum Jatuh Tempo",IF(O1570&lt;=30,"1-30 hari",IF(O1570&lt;=60,"31-60 hari",IF(O1570&lt;=90,"61-90 hari","90+ hari")))))</f>
        <v>Lunas</v>
      </c>
      <c r="Q1570" s="50"/>
      <c r="R1570" s="39" t="str">
        <f aca="false">IF(M1570&lt;=0,"",IF(O1570&gt;60,"1-Tinggi",IF(O1570&gt;30,"2-Sedang",IF(O1570&gt;0,"3-Rendah","4-Pantau"))))</f>
        <v/>
      </c>
      <c r="S1570" s="39" t="str">
        <f aca="false">IF(AND(M1570&gt;0,O1570&gt;0),O1570+M1570/1000000000000+ROW()/1000000000000000,"")</f>
        <v/>
      </c>
      <c r="T1570" s="39" t="str">
        <f aca="false">IF(J1570="Belum ditukar",ROW(),"")</f>
        <v/>
      </c>
    </row>
    <row r="1571" customFormat="false" ht="15" hidden="false" customHeight="false" outlineLevel="0" collapsed="false">
      <c r="A1571" s="50" t="s">
        <v>1857</v>
      </c>
      <c r="B1571" s="51" t="n">
        <v>45988</v>
      </c>
      <c r="C1571" s="50" t="s">
        <v>479</v>
      </c>
      <c r="D1571" s="39" t="str">
        <f aca="false">INDEX(Master_Customer!$B$2:$B$126,MATCH(C1571,Master_Customer!$A$2:$A$126,0))</f>
        <v>TIRTA TEKNIK TIRTA</v>
      </c>
      <c r="E1571" s="50" t="s">
        <v>30</v>
      </c>
      <c r="F1571" s="52" t="n">
        <f aca="false">SUMIFS(Data_Penjualan!$G$2:$G$5998,Data_Penjualan!$A$2:$A$5998,A1571)</f>
        <v>31988200</v>
      </c>
      <c r="G1571" s="39" t="n">
        <f aca="false">IF(E1571="KANTOR",0,INDEX(Master_Customer!$C$2:$C$126,MATCH(C1571,Master_Customer!$A$2:$A$126,0)))</f>
        <v>30</v>
      </c>
      <c r="H1571" s="53" t="n">
        <f aca="false">B1571+G1571</f>
        <v>46018</v>
      </c>
      <c r="I1571" s="51" t="n">
        <v>45991</v>
      </c>
      <c r="J1571" s="39" t="str">
        <f aca="false">IF(G1571=0,"Tunai",IF(I1571="","Belum ditukar","Sudah ditukar"))</f>
        <v>Sudah ditukar</v>
      </c>
      <c r="K1571" s="54" t="n">
        <v>31988200</v>
      </c>
      <c r="L1571" s="51" t="n">
        <v>46012</v>
      </c>
      <c r="M1571" s="52" t="n">
        <f aca="false">F1571-K1571</f>
        <v>0</v>
      </c>
      <c r="N1571" s="39" t="str">
        <f aca="false">IF(M1571&lt;=0,"Lunas",IF(K1571&gt;0,"Sebagian","Belum Bayar"))</f>
        <v>Lunas</v>
      </c>
      <c r="O1571" s="39" t="n">
        <f aca="false">IF(M1571&gt;0,MAX(0,Catatan!$B$3-H1571),0)</f>
        <v>0</v>
      </c>
      <c r="P1571" s="39" t="str">
        <f aca="false">IF(M1571&lt;=0,"Lunas",IF(Catatan!$B$3&lt;=H1571,"Belum Jatuh Tempo",IF(O1571&lt;=30,"1-30 hari",IF(O1571&lt;=60,"31-60 hari",IF(O1571&lt;=90,"61-90 hari","90+ hari")))))</f>
        <v>Lunas</v>
      </c>
      <c r="Q1571" s="50"/>
      <c r="R1571" s="39" t="str">
        <f aca="false">IF(M1571&lt;=0,"",IF(O1571&gt;60,"1-Tinggi",IF(O1571&gt;30,"2-Sedang",IF(O1571&gt;0,"3-Rendah","4-Pantau"))))</f>
        <v/>
      </c>
      <c r="S1571" s="39" t="str">
        <f aca="false">IF(AND(M1571&gt;0,O1571&gt;0),O1571+M1571/1000000000000+ROW()/1000000000000000,"")</f>
        <v/>
      </c>
      <c r="T1571" s="39" t="str">
        <f aca="false">IF(J1571="Belum ditukar",ROW(),"")</f>
        <v/>
      </c>
    </row>
    <row r="1572" customFormat="false" ht="15" hidden="false" customHeight="false" outlineLevel="0" collapsed="false">
      <c r="A1572" s="50" t="s">
        <v>1858</v>
      </c>
      <c r="B1572" s="51" t="n">
        <v>45988</v>
      </c>
      <c r="C1572" s="50" t="s">
        <v>174</v>
      </c>
      <c r="D1572" s="39" t="str">
        <f aca="false">INDEX(Master_Customer!$B$2:$B$126,MATCH(C1572,Master_Customer!$A$2:$A$126,0))</f>
        <v>SUMBER TEKNIK SURYA</v>
      </c>
      <c r="E1572" s="50" t="s">
        <v>31</v>
      </c>
      <c r="F1572" s="52" t="n">
        <f aca="false">SUMIFS(Data_Penjualan!$G$2:$G$5998,Data_Penjualan!$A$2:$A$5998,A1572)</f>
        <v>6077500</v>
      </c>
      <c r="G1572" s="39" t="n">
        <f aca="false">IF(E1572="KANTOR",0,INDEX(Master_Customer!$C$2:$C$126,MATCH(C1572,Master_Customer!$A$2:$A$126,0)))</f>
        <v>30</v>
      </c>
      <c r="H1572" s="53" t="n">
        <f aca="false">B1572+G1572</f>
        <v>46018</v>
      </c>
      <c r="I1572" s="51" t="n">
        <v>45992</v>
      </c>
      <c r="J1572" s="39" t="str">
        <f aca="false">IF(G1572=0,"Tunai",IF(I1572="","Belum ditukar","Sudah ditukar"))</f>
        <v>Sudah ditukar</v>
      </c>
      <c r="K1572" s="54" t="n">
        <v>6077500</v>
      </c>
      <c r="L1572" s="51" t="n">
        <v>46011</v>
      </c>
      <c r="M1572" s="52" t="n">
        <f aca="false">F1572-K1572</f>
        <v>0</v>
      </c>
      <c r="N1572" s="39" t="str">
        <f aca="false">IF(M1572&lt;=0,"Lunas",IF(K1572&gt;0,"Sebagian","Belum Bayar"))</f>
        <v>Lunas</v>
      </c>
      <c r="O1572" s="39" t="n">
        <f aca="false">IF(M1572&gt;0,MAX(0,Catatan!$B$3-H1572),0)</f>
        <v>0</v>
      </c>
      <c r="P1572" s="39" t="str">
        <f aca="false">IF(M1572&lt;=0,"Lunas",IF(Catatan!$B$3&lt;=H1572,"Belum Jatuh Tempo",IF(O1572&lt;=30,"1-30 hari",IF(O1572&lt;=60,"31-60 hari",IF(O1572&lt;=90,"61-90 hari","90+ hari")))))</f>
        <v>Lunas</v>
      </c>
      <c r="Q1572" s="50"/>
      <c r="R1572" s="39" t="str">
        <f aca="false">IF(M1572&lt;=0,"",IF(O1572&gt;60,"1-Tinggi",IF(O1572&gt;30,"2-Sedang",IF(O1572&gt;0,"3-Rendah","4-Pantau"))))</f>
        <v/>
      </c>
      <c r="S1572" s="39" t="str">
        <f aca="false">IF(AND(M1572&gt;0,O1572&gt;0),O1572+M1572/1000000000000+ROW()/1000000000000000,"")</f>
        <v/>
      </c>
      <c r="T1572" s="39" t="str">
        <f aca="false">IF(J1572="Belum ditukar",ROW(),"")</f>
        <v/>
      </c>
    </row>
    <row r="1573" customFormat="false" ht="15" hidden="false" customHeight="false" outlineLevel="0" collapsed="false">
      <c r="A1573" s="50" t="s">
        <v>1859</v>
      </c>
      <c r="B1573" s="51" t="n">
        <v>45988</v>
      </c>
      <c r="C1573" s="50" t="s">
        <v>195</v>
      </c>
      <c r="D1573" s="39" t="str">
        <f aca="false">INDEX(Master_Customer!$B$2:$B$126,MATCH(C1573,Master_Customer!$A$2:$A$126,0))</f>
        <v>KARYA LUBRICANT BINTANG</v>
      </c>
      <c r="E1573" s="50" t="s">
        <v>30</v>
      </c>
      <c r="F1573" s="52" t="n">
        <f aca="false">SUMIFS(Data_Penjualan!$G$2:$G$5998,Data_Penjualan!$A$2:$A$5998,A1573)</f>
        <v>5312300</v>
      </c>
      <c r="G1573" s="39" t="n">
        <f aca="false">IF(E1573="KANTOR",0,INDEX(Master_Customer!$C$2:$C$126,MATCH(C1573,Master_Customer!$A$2:$A$126,0)))</f>
        <v>14</v>
      </c>
      <c r="H1573" s="53" t="n">
        <f aca="false">B1573+G1573</f>
        <v>46002</v>
      </c>
      <c r="I1573" s="51" t="n">
        <v>45989</v>
      </c>
      <c r="J1573" s="39" t="str">
        <f aca="false">IF(G1573=0,"Tunai",IF(I1573="","Belum ditukar","Sudah ditukar"))</f>
        <v>Sudah ditukar</v>
      </c>
      <c r="K1573" s="54" t="n">
        <v>5312300</v>
      </c>
      <c r="L1573" s="51" t="n">
        <v>46007</v>
      </c>
      <c r="M1573" s="52" t="n">
        <f aca="false">F1573-K1573</f>
        <v>0</v>
      </c>
      <c r="N1573" s="39" t="str">
        <f aca="false">IF(M1573&lt;=0,"Lunas",IF(K1573&gt;0,"Sebagian","Belum Bayar"))</f>
        <v>Lunas</v>
      </c>
      <c r="O1573" s="39" t="n">
        <f aca="false">IF(M1573&gt;0,MAX(0,Catatan!$B$3-H1573),0)</f>
        <v>0</v>
      </c>
      <c r="P1573" s="39" t="str">
        <f aca="false">IF(M1573&lt;=0,"Lunas",IF(Catatan!$B$3&lt;=H1573,"Belum Jatuh Tempo",IF(O1573&lt;=30,"1-30 hari",IF(O1573&lt;=60,"31-60 hari",IF(O1573&lt;=90,"61-90 hari","90+ hari")))))</f>
        <v>Lunas</v>
      </c>
      <c r="Q1573" s="50"/>
      <c r="R1573" s="39" t="str">
        <f aca="false">IF(M1573&lt;=0,"",IF(O1573&gt;60,"1-Tinggi",IF(O1573&gt;30,"2-Sedang",IF(O1573&gt;0,"3-Rendah","4-Pantau"))))</f>
        <v/>
      </c>
      <c r="S1573" s="39" t="str">
        <f aca="false">IF(AND(M1573&gt;0,O1573&gt;0),O1573+M1573/1000000000000+ROW()/1000000000000000,"")</f>
        <v/>
      </c>
      <c r="T1573" s="39" t="str">
        <f aca="false">IF(J1573="Belum ditukar",ROW(),"")</f>
        <v/>
      </c>
    </row>
    <row r="1574" customFormat="false" ht="15" hidden="false" customHeight="false" outlineLevel="0" collapsed="false">
      <c r="A1574" s="50" t="s">
        <v>1860</v>
      </c>
      <c r="B1574" s="51" t="n">
        <v>45988</v>
      </c>
      <c r="C1574" s="50" t="s">
        <v>562</v>
      </c>
      <c r="D1574" s="39" t="str">
        <f aca="false">INDEX(Master_Customer!$B$2:$B$126,MATCH(C1574,Master_Customer!$A$2:$A$126,0))</f>
        <v>BERKAH SERVICE SENTOSA</v>
      </c>
      <c r="E1574" s="50" t="s">
        <v>28</v>
      </c>
      <c r="F1574" s="52" t="n">
        <f aca="false">SUMIFS(Data_Penjualan!$G$2:$G$5998,Data_Penjualan!$A$2:$A$5998,A1574)</f>
        <v>14778600</v>
      </c>
      <c r="G1574" s="39" t="n">
        <f aca="false">IF(E1574="KANTOR",0,INDEX(Master_Customer!$C$2:$C$126,MATCH(C1574,Master_Customer!$A$2:$A$126,0)))</f>
        <v>14</v>
      </c>
      <c r="H1574" s="53" t="n">
        <f aca="false">B1574+G1574</f>
        <v>46002</v>
      </c>
      <c r="I1574" s="51" t="n">
        <v>45991</v>
      </c>
      <c r="J1574" s="39" t="str">
        <f aca="false">IF(G1574=0,"Tunai",IF(I1574="","Belum ditukar","Sudah ditukar"))</f>
        <v>Sudah ditukar</v>
      </c>
      <c r="K1574" s="54" t="n">
        <v>14778600</v>
      </c>
      <c r="L1574" s="51" t="n">
        <v>46003</v>
      </c>
      <c r="M1574" s="52" t="n">
        <f aca="false">F1574-K1574</f>
        <v>0</v>
      </c>
      <c r="N1574" s="39" t="str">
        <f aca="false">IF(M1574&lt;=0,"Lunas",IF(K1574&gt;0,"Sebagian","Belum Bayar"))</f>
        <v>Lunas</v>
      </c>
      <c r="O1574" s="39" t="n">
        <f aca="false">IF(M1574&gt;0,MAX(0,Catatan!$B$3-H1574),0)</f>
        <v>0</v>
      </c>
      <c r="P1574" s="39" t="str">
        <f aca="false">IF(M1574&lt;=0,"Lunas",IF(Catatan!$B$3&lt;=H1574,"Belum Jatuh Tempo",IF(O1574&lt;=30,"1-30 hari",IF(O1574&lt;=60,"31-60 hari",IF(O1574&lt;=90,"61-90 hari","90+ hari")))))</f>
        <v>Lunas</v>
      </c>
      <c r="Q1574" s="50"/>
      <c r="R1574" s="39" t="str">
        <f aca="false">IF(M1574&lt;=0,"",IF(O1574&gt;60,"1-Tinggi",IF(O1574&gt;30,"2-Sedang",IF(O1574&gt;0,"3-Rendah","4-Pantau"))))</f>
        <v/>
      </c>
      <c r="S1574" s="39" t="str">
        <f aca="false">IF(AND(M1574&gt;0,O1574&gt;0),O1574+M1574/1000000000000+ROW()/1000000000000000,"")</f>
        <v/>
      </c>
      <c r="T1574" s="39" t="str">
        <f aca="false">IF(J1574="Belum ditukar",ROW(),"")</f>
        <v/>
      </c>
    </row>
    <row r="1575" customFormat="false" ht="15" hidden="false" customHeight="false" outlineLevel="0" collapsed="false">
      <c r="A1575" s="50" t="s">
        <v>1861</v>
      </c>
      <c r="B1575" s="51" t="n">
        <v>45988</v>
      </c>
      <c r="C1575" s="50" t="s">
        <v>205</v>
      </c>
      <c r="D1575" s="39" t="str">
        <f aca="false">INDEX(Master_Customer!$B$2:$B$126,MATCH(C1575,Master_Customer!$A$2:$A$126,0))</f>
        <v>BERKAH OLI</v>
      </c>
      <c r="E1575" s="50" t="s">
        <v>28</v>
      </c>
      <c r="F1575" s="52" t="n">
        <f aca="false">SUMIFS(Data_Penjualan!$G$2:$G$5998,Data_Penjualan!$A$2:$A$5998,A1575)</f>
        <v>18295600</v>
      </c>
      <c r="G1575" s="39" t="n">
        <f aca="false">IF(E1575="KANTOR",0,INDEX(Master_Customer!$C$2:$C$126,MATCH(C1575,Master_Customer!$A$2:$A$126,0)))</f>
        <v>0</v>
      </c>
      <c r="H1575" s="53" t="n">
        <f aca="false">B1575+G1575</f>
        <v>45988</v>
      </c>
      <c r="J1575" s="39" t="str">
        <f aca="false">IF(G1575=0,"Tunai",IF(I1575="","Belum ditukar","Sudah ditukar"))</f>
        <v>Tunai</v>
      </c>
      <c r="K1575" s="54" t="n">
        <v>18295600</v>
      </c>
      <c r="L1575" s="51" t="n">
        <v>45988</v>
      </c>
      <c r="M1575" s="52" t="n">
        <f aca="false">F1575-K1575</f>
        <v>0</v>
      </c>
      <c r="N1575" s="39" t="str">
        <f aca="false">IF(M1575&lt;=0,"Lunas",IF(K1575&gt;0,"Sebagian","Belum Bayar"))</f>
        <v>Lunas</v>
      </c>
      <c r="O1575" s="39" t="n">
        <f aca="false">IF(M1575&gt;0,MAX(0,Catatan!$B$3-H1575),0)</f>
        <v>0</v>
      </c>
      <c r="P1575" s="39" t="str">
        <f aca="false">IF(M1575&lt;=0,"Lunas",IF(Catatan!$B$3&lt;=H1575,"Belum Jatuh Tempo",IF(O1575&lt;=30,"1-30 hari",IF(O1575&lt;=60,"31-60 hari",IF(O1575&lt;=90,"61-90 hari","90+ hari")))))</f>
        <v>Lunas</v>
      </c>
      <c r="Q1575" s="50"/>
      <c r="R1575" s="39" t="str">
        <f aca="false">IF(M1575&lt;=0,"",IF(O1575&gt;60,"1-Tinggi",IF(O1575&gt;30,"2-Sedang",IF(O1575&gt;0,"3-Rendah","4-Pantau"))))</f>
        <v/>
      </c>
      <c r="S1575" s="39" t="str">
        <f aca="false">IF(AND(M1575&gt;0,O1575&gt;0),O1575+M1575/1000000000000+ROW()/1000000000000000,"")</f>
        <v/>
      </c>
      <c r="T1575" s="39" t="str">
        <f aca="false">IF(J1575="Belum ditukar",ROW(),"")</f>
        <v/>
      </c>
    </row>
    <row r="1576" customFormat="false" ht="15" hidden="false" customHeight="false" outlineLevel="0" collapsed="false">
      <c r="A1576" s="50" t="s">
        <v>1862</v>
      </c>
      <c r="B1576" s="51" t="n">
        <v>45989</v>
      </c>
      <c r="C1576" s="50" t="s">
        <v>349</v>
      </c>
      <c r="D1576" s="39" t="str">
        <f aca="false">INDEX(Master_Customer!$B$2:$B$126,MATCH(C1576,Master_Customer!$A$2:$A$126,0))</f>
        <v>MITRA GARAGE MULIA</v>
      </c>
      <c r="E1576" s="50" t="s">
        <v>32</v>
      </c>
      <c r="F1576" s="52" t="n">
        <f aca="false">SUMIFS(Data_Penjualan!$G$2:$G$5998,Data_Penjualan!$A$2:$A$5998,A1576)</f>
        <v>17606500</v>
      </c>
      <c r="G1576" s="39" t="n">
        <f aca="false">IF(E1576="KANTOR",0,INDEX(Master_Customer!$C$2:$C$126,MATCH(C1576,Master_Customer!$A$2:$A$126,0)))</f>
        <v>0</v>
      </c>
      <c r="H1576" s="53" t="n">
        <f aca="false">B1576+G1576</f>
        <v>45989</v>
      </c>
      <c r="J1576" s="39" t="str">
        <f aca="false">IF(G1576=0,"Tunai",IF(I1576="","Belum ditukar","Sudah ditukar"))</f>
        <v>Tunai</v>
      </c>
      <c r="K1576" s="54" t="n">
        <v>17606500</v>
      </c>
      <c r="L1576" s="51" t="n">
        <v>45989</v>
      </c>
      <c r="M1576" s="52" t="n">
        <f aca="false">F1576-K1576</f>
        <v>0</v>
      </c>
      <c r="N1576" s="39" t="str">
        <f aca="false">IF(M1576&lt;=0,"Lunas",IF(K1576&gt;0,"Sebagian","Belum Bayar"))</f>
        <v>Lunas</v>
      </c>
      <c r="O1576" s="39" t="n">
        <f aca="false">IF(M1576&gt;0,MAX(0,Catatan!$B$3-H1576),0)</f>
        <v>0</v>
      </c>
      <c r="P1576" s="39" t="str">
        <f aca="false">IF(M1576&lt;=0,"Lunas",IF(Catatan!$B$3&lt;=H1576,"Belum Jatuh Tempo",IF(O1576&lt;=30,"1-30 hari",IF(O1576&lt;=60,"31-60 hari",IF(O1576&lt;=90,"61-90 hari","90+ hari")))))</f>
        <v>Lunas</v>
      </c>
      <c r="Q1576" s="50"/>
      <c r="R1576" s="39" t="str">
        <f aca="false">IF(M1576&lt;=0,"",IF(O1576&gt;60,"1-Tinggi",IF(O1576&gt;30,"2-Sedang",IF(O1576&gt;0,"3-Rendah","4-Pantau"))))</f>
        <v/>
      </c>
      <c r="S1576" s="39" t="str">
        <f aca="false">IF(AND(M1576&gt;0,O1576&gt;0),O1576+M1576/1000000000000+ROW()/1000000000000000,"")</f>
        <v/>
      </c>
      <c r="T1576" s="39" t="str">
        <f aca="false">IF(J1576="Belum ditukar",ROW(),"")</f>
        <v/>
      </c>
    </row>
    <row r="1577" customFormat="false" ht="15" hidden="false" customHeight="false" outlineLevel="0" collapsed="false">
      <c r="A1577" s="50" t="s">
        <v>1863</v>
      </c>
      <c r="B1577" s="51" t="n">
        <v>45989</v>
      </c>
      <c r="C1577" s="50" t="s">
        <v>293</v>
      </c>
      <c r="D1577" s="39" t="str">
        <f aca="false">INDEX(Master_Customer!$B$2:$B$126,MATCH(C1577,Master_Customer!$A$2:$A$126,0))</f>
        <v>SINAR LUBRICANT</v>
      </c>
      <c r="E1577" s="50" t="s">
        <v>31</v>
      </c>
      <c r="F1577" s="52" t="n">
        <f aca="false">SUMIFS(Data_Penjualan!$G$2:$G$5998,Data_Penjualan!$A$2:$A$5998,A1577)</f>
        <v>10537500</v>
      </c>
      <c r="G1577" s="39" t="n">
        <f aca="false">IF(E1577="KANTOR",0,INDEX(Master_Customer!$C$2:$C$126,MATCH(C1577,Master_Customer!$A$2:$A$126,0)))</f>
        <v>30</v>
      </c>
      <c r="H1577" s="53" t="n">
        <f aca="false">B1577+G1577</f>
        <v>46019</v>
      </c>
      <c r="I1577" s="51" t="n">
        <v>45994</v>
      </c>
      <c r="J1577" s="39" t="str">
        <f aca="false">IF(G1577=0,"Tunai",IF(I1577="","Belum ditukar","Sudah ditukar"))</f>
        <v>Sudah ditukar</v>
      </c>
      <c r="K1577" s="54" t="n">
        <v>0</v>
      </c>
      <c r="M1577" s="52" t="n">
        <f aca="false">F1577-K1577</f>
        <v>10537500</v>
      </c>
      <c r="N1577" s="39" t="str">
        <f aca="false">IF(M1577&lt;=0,"Lunas",IF(K1577&gt;0,"Sebagian","Belum Bayar"))</f>
        <v>Belum Bayar</v>
      </c>
      <c r="O1577" s="39" t="n">
        <f aca="false">IF(M1577&gt;0,MAX(0,Catatan!$B$3-H1577),0)</f>
        <v>3</v>
      </c>
      <c r="P1577" s="39" t="str">
        <f aca="false">IF(M1577&lt;=0,"Lunas",IF(Catatan!$B$3&lt;=H1577,"Belum Jatuh Tempo",IF(O1577&lt;=30,"1-30 hari",IF(O1577&lt;=60,"31-60 hari",IF(O1577&lt;=90,"61-90 hari","90+ hari")))))</f>
        <v>1-30 hari</v>
      </c>
      <c r="Q1577" s="50" t="s">
        <v>334</v>
      </c>
      <c r="R1577" s="39" t="str">
        <f aca="false">IF(M1577&lt;=0,"",IF(O1577&gt;60,"1-Tinggi",IF(O1577&gt;30,"2-Sedang",IF(O1577&gt;0,"3-Rendah","4-Pantau"))))</f>
        <v>3-Rendah</v>
      </c>
      <c r="S1577" s="39" t="n">
        <f aca="false">IF(AND(M1577&gt;0,O1577&gt;0),O1577+M1577/1000000000000+ROW()/1000000000000000,"")</f>
        <v>3.00001053750158</v>
      </c>
      <c r="T1577" s="39" t="str">
        <f aca="false">IF(J1577="Belum ditukar",ROW(),"")</f>
        <v/>
      </c>
    </row>
    <row r="1578" customFormat="false" ht="15" hidden="false" customHeight="false" outlineLevel="0" collapsed="false">
      <c r="A1578" s="50" t="s">
        <v>1864</v>
      </c>
      <c r="B1578" s="51" t="n">
        <v>45989</v>
      </c>
      <c r="C1578" s="50" t="s">
        <v>174</v>
      </c>
      <c r="D1578" s="39" t="str">
        <f aca="false">INDEX(Master_Customer!$B$2:$B$126,MATCH(C1578,Master_Customer!$A$2:$A$126,0))</f>
        <v>SUMBER TEKNIK SURYA</v>
      </c>
      <c r="E1578" s="50" t="s">
        <v>31</v>
      </c>
      <c r="F1578" s="52" t="n">
        <f aca="false">SUMIFS(Data_Penjualan!$G$2:$G$5998,Data_Penjualan!$A$2:$A$5998,A1578)</f>
        <v>3623000</v>
      </c>
      <c r="G1578" s="39" t="n">
        <f aca="false">IF(E1578="KANTOR",0,INDEX(Master_Customer!$C$2:$C$126,MATCH(C1578,Master_Customer!$A$2:$A$126,0)))</f>
        <v>30</v>
      </c>
      <c r="H1578" s="53" t="n">
        <f aca="false">B1578+G1578</f>
        <v>46019</v>
      </c>
      <c r="I1578" s="51" t="n">
        <v>45993</v>
      </c>
      <c r="J1578" s="39" t="str">
        <f aca="false">IF(G1578=0,"Tunai",IF(I1578="","Belum ditukar","Sudah ditukar"))</f>
        <v>Sudah ditukar</v>
      </c>
      <c r="K1578" s="54" t="n">
        <v>3623000</v>
      </c>
      <c r="L1578" s="51" t="n">
        <v>46010</v>
      </c>
      <c r="M1578" s="52" t="n">
        <f aca="false">F1578-K1578</f>
        <v>0</v>
      </c>
      <c r="N1578" s="39" t="str">
        <f aca="false">IF(M1578&lt;=0,"Lunas",IF(K1578&gt;0,"Sebagian","Belum Bayar"))</f>
        <v>Lunas</v>
      </c>
      <c r="O1578" s="39" t="n">
        <f aca="false">IF(M1578&gt;0,MAX(0,Catatan!$B$3-H1578),0)</f>
        <v>0</v>
      </c>
      <c r="P1578" s="39" t="str">
        <f aca="false">IF(M1578&lt;=0,"Lunas",IF(Catatan!$B$3&lt;=H1578,"Belum Jatuh Tempo",IF(O1578&lt;=30,"1-30 hari",IF(O1578&lt;=60,"31-60 hari",IF(O1578&lt;=90,"61-90 hari","90+ hari")))))</f>
        <v>Lunas</v>
      </c>
      <c r="Q1578" s="50"/>
      <c r="R1578" s="39" t="str">
        <f aca="false">IF(M1578&lt;=0,"",IF(O1578&gt;60,"1-Tinggi",IF(O1578&gt;30,"2-Sedang",IF(O1578&gt;0,"3-Rendah","4-Pantau"))))</f>
        <v/>
      </c>
      <c r="S1578" s="39" t="str">
        <f aca="false">IF(AND(M1578&gt;0,O1578&gt;0),O1578+M1578/1000000000000+ROW()/1000000000000000,"")</f>
        <v/>
      </c>
      <c r="T1578" s="39" t="str">
        <f aca="false">IF(J1578="Belum ditukar",ROW(),"")</f>
        <v/>
      </c>
    </row>
    <row r="1579" customFormat="false" ht="15" hidden="false" customHeight="false" outlineLevel="0" collapsed="false">
      <c r="A1579" s="50" t="s">
        <v>1865</v>
      </c>
      <c r="B1579" s="51" t="n">
        <v>45989</v>
      </c>
      <c r="C1579" s="50" t="s">
        <v>207</v>
      </c>
      <c r="D1579" s="39" t="str">
        <f aca="false">INDEX(Master_Customer!$B$2:$B$126,MATCH(C1579,Master_Customer!$A$2:$A$126,0))</f>
        <v>MAKMUR AUTO HARAPAN</v>
      </c>
      <c r="E1579" s="50" t="s">
        <v>29</v>
      </c>
      <c r="F1579" s="52" t="n">
        <f aca="false">SUMIFS(Data_Penjualan!$G$2:$G$5998,Data_Penjualan!$A$2:$A$5998,A1579)</f>
        <v>8805700</v>
      </c>
      <c r="G1579" s="39" t="n">
        <f aca="false">IF(E1579="KANTOR",0,INDEX(Master_Customer!$C$2:$C$126,MATCH(C1579,Master_Customer!$A$2:$A$126,0)))</f>
        <v>30</v>
      </c>
      <c r="H1579" s="53" t="n">
        <f aca="false">B1579+G1579</f>
        <v>46019</v>
      </c>
      <c r="I1579" s="51" t="n">
        <v>45992</v>
      </c>
      <c r="J1579" s="39" t="str">
        <f aca="false">IF(G1579=0,"Tunai",IF(I1579="","Belum ditukar","Sudah ditukar"))</f>
        <v>Sudah ditukar</v>
      </c>
      <c r="K1579" s="54" t="n">
        <v>8805700</v>
      </c>
      <c r="L1579" s="51" t="n">
        <v>46016</v>
      </c>
      <c r="M1579" s="52" t="n">
        <f aca="false">F1579-K1579</f>
        <v>0</v>
      </c>
      <c r="N1579" s="39" t="str">
        <f aca="false">IF(M1579&lt;=0,"Lunas",IF(K1579&gt;0,"Sebagian","Belum Bayar"))</f>
        <v>Lunas</v>
      </c>
      <c r="O1579" s="39" t="n">
        <f aca="false">IF(M1579&gt;0,MAX(0,Catatan!$B$3-H1579),0)</f>
        <v>0</v>
      </c>
      <c r="P1579" s="39" t="str">
        <f aca="false">IF(M1579&lt;=0,"Lunas",IF(Catatan!$B$3&lt;=H1579,"Belum Jatuh Tempo",IF(O1579&lt;=30,"1-30 hari",IF(O1579&lt;=60,"31-60 hari",IF(O1579&lt;=90,"61-90 hari","90+ hari")))))</f>
        <v>Lunas</v>
      </c>
      <c r="Q1579" s="50"/>
      <c r="R1579" s="39" t="str">
        <f aca="false">IF(M1579&lt;=0,"",IF(O1579&gt;60,"1-Tinggi",IF(O1579&gt;30,"2-Sedang",IF(O1579&gt;0,"3-Rendah","4-Pantau"))))</f>
        <v/>
      </c>
      <c r="S1579" s="39" t="str">
        <f aca="false">IF(AND(M1579&gt;0,O1579&gt;0),O1579+M1579/1000000000000+ROW()/1000000000000000,"")</f>
        <v/>
      </c>
      <c r="T1579" s="39" t="str">
        <f aca="false">IF(J1579="Belum ditukar",ROW(),"")</f>
        <v/>
      </c>
    </row>
    <row r="1580" customFormat="false" ht="15" hidden="false" customHeight="false" outlineLevel="0" collapsed="false">
      <c r="A1580" s="50" t="s">
        <v>1866</v>
      </c>
      <c r="B1580" s="51" t="n">
        <v>45989</v>
      </c>
      <c r="C1580" s="50" t="s">
        <v>430</v>
      </c>
      <c r="D1580" s="39" t="str">
        <f aca="false">INDEX(Master_Customer!$B$2:$B$126,MATCH(C1580,Master_Customer!$A$2:$A$126,0))</f>
        <v>TIRTA MOBIL</v>
      </c>
      <c r="E1580" s="50" t="s">
        <v>28</v>
      </c>
      <c r="F1580" s="52" t="n">
        <f aca="false">SUMIFS(Data_Penjualan!$G$2:$G$5998,Data_Penjualan!$A$2:$A$5998,A1580)</f>
        <v>5610400</v>
      </c>
      <c r="G1580" s="39" t="n">
        <f aca="false">IF(E1580="KANTOR",0,INDEX(Master_Customer!$C$2:$C$126,MATCH(C1580,Master_Customer!$A$2:$A$126,0)))</f>
        <v>30</v>
      </c>
      <c r="H1580" s="53" t="n">
        <f aca="false">B1580+G1580</f>
        <v>46019</v>
      </c>
      <c r="I1580" s="51" t="n">
        <v>45994</v>
      </c>
      <c r="J1580" s="39" t="str">
        <f aca="false">IF(G1580=0,"Tunai",IF(I1580="","Belum ditukar","Sudah ditukar"))</f>
        <v>Sudah ditukar</v>
      </c>
      <c r="K1580" s="54" t="n">
        <v>5610400</v>
      </c>
      <c r="L1580" s="51" t="n">
        <v>46017</v>
      </c>
      <c r="M1580" s="52" t="n">
        <f aca="false">F1580-K1580</f>
        <v>0</v>
      </c>
      <c r="N1580" s="39" t="str">
        <f aca="false">IF(M1580&lt;=0,"Lunas",IF(K1580&gt;0,"Sebagian","Belum Bayar"))</f>
        <v>Lunas</v>
      </c>
      <c r="O1580" s="39" t="n">
        <f aca="false">IF(M1580&gt;0,MAX(0,Catatan!$B$3-H1580),0)</f>
        <v>0</v>
      </c>
      <c r="P1580" s="39" t="str">
        <f aca="false">IF(M1580&lt;=0,"Lunas",IF(Catatan!$B$3&lt;=H1580,"Belum Jatuh Tempo",IF(O1580&lt;=30,"1-30 hari",IF(O1580&lt;=60,"31-60 hari",IF(O1580&lt;=90,"61-90 hari","90+ hari")))))</f>
        <v>Lunas</v>
      </c>
      <c r="Q1580" s="50"/>
      <c r="R1580" s="39" t="str">
        <f aca="false">IF(M1580&lt;=0,"",IF(O1580&gt;60,"1-Tinggi",IF(O1580&gt;30,"2-Sedang",IF(O1580&gt;0,"3-Rendah","4-Pantau"))))</f>
        <v/>
      </c>
      <c r="S1580" s="39" t="str">
        <f aca="false">IF(AND(M1580&gt;0,O1580&gt;0),O1580+M1580/1000000000000+ROW()/1000000000000000,"")</f>
        <v/>
      </c>
      <c r="T1580" s="39" t="str">
        <f aca="false">IF(J1580="Belum ditukar",ROW(),"")</f>
        <v/>
      </c>
    </row>
    <row r="1581" customFormat="false" ht="15" hidden="false" customHeight="false" outlineLevel="0" collapsed="false">
      <c r="A1581" s="50" t="s">
        <v>1867</v>
      </c>
      <c r="B1581" s="51" t="n">
        <v>45989</v>
      </c>
      <c r="C1581" s="50" t="s">
        <v>199</v>
      </c>
      <c r="D1581" s="39" t="str">
        <f aca="false">INDEX(Master_Customer!$B$2:$B$126,MATCH(C1581,Master_Customer!$A$2:$A$126,0))</f>
        <v>KARYA SPAREPART</v>
      </c>
      <c r="E1581" s="50" t="s">
        <v>32</v>
      </c>
      <c r="F1581" s="52" t="n">
        <f aca="false">SUMIFS(Data_Penjualan!$G$2:$G$5998,Data_Penjualan!$A$2:$A$5998,A1581)</f>
        <v>13520100</v>
      </c>
      <c r="G1581" s="39" t="n">
        <f aca="false">IF(E1581="KANTOR",0,INDEX(Master_Customer!$C$2:$C$126,MATCH(C1581,Master_Customer!$A$2:$A$126,0)))</f>
        <v>0</v>
      </c>
      <c r="H1581" s="53" t="n">
        <f aca="false">B1581+G1581</f>
        <v>45989</v>
      </c>
      <c r="J1581" s="39" t="str">
        <f aca="false">IF(G1581=0,"Tunai",IF(I1581="","Belum ditukar","Sudah ditukar"))</f>
        <v>Tunai</v>
      </c>
      <c r="K1581" s="54" t="n">
        <v>13520100</v>
      </c>
      <c r="L1581" s="51" t="n">
        <v>45990</v>
      </c>
      <c r="M1581" s="52" t="n">
        <f aca="false">F1581-K1581</f>
        <v>0</v>
      </c>
      <c r="N1581" s="39" t="str">
        <f aca="false">IF(M1581&lt;=0,"Lunas",IF(K1581&gt;0,"Sebagian","Belum Bayar"))</f>
        <v>Lunas</v>
      </c>
      <c r="O1581" s="39" t="n">
        <f aca="false">IF(M1581&gt;0,MAX(0,Catatan!$B$3-H1581),0)</f>
        <v>0</v>
      </c>
      <c r="P1581" s="39" t="str">
        <f aca="false">IF(M1581&lt;=0,"Lunas",IF(Catatan!$B$3&lt;=H1581,"Belum Jatuh Tempo",IF(O1581&lt;=30,"1-30 hari",IF(O1581&lt;=60,"31-60 hari",IF(O1581&lt;=90,"61-90 hari","90+ hari")))))</f>
        <v>Lunas</v>
      </c>
      <c r="Q1581" s="50"/>
      <c r="R1581" s="39" t="str">
        <f aca="false">IF(M1581&lt;=0,"",IF(O1581&gt;60,"1-Tinggi",IF(O1581&gt;30,"2-Sedang",IF(O1581&gt;0,"3-Rendah","4-Pantau"))))</f>
        <v/>
      </c>
      <c r="S1581" s="39" t="str">
        <f aca="false">IF(AND(M1581&gt;0,O1581&gt;0),O1581+M1581/1000000000000+ROW()/1000000000000000,"")</f>
        <v/>
      </c>
      <c r="T1581" s="39" t="str">
        <f aca="false">IF(J1581="Belum ditukar",ROW(),"")</f>
        <v/>
      </c>
    </row>
    <row r="1582" customFormat="false" ht="15" hidden="false" customHeight="false" outlineLevel="0" collapsed="false">
      <c r="A1582" s="50" t="s">
        <v>1868</v>
      </c>
      <c r="B1582" s="51" t="n">
        <v>45990</v>
      </c>
      <c r="C1582" s="50" t="s">
        <v>174</v>
      </c>
      <c r="D1582" s="39" t="str">
        <f aca="false">INDEX(Master_Customer!$B$2:$B$126,MATCH(C1582,Master_Customer!$A$2:$A$126,0))</f>
        <v>SUMBER TEKNIK SURYA</v>
      </c>
      <c r="E1582" s="50" t="s">
        <v>31</v>
      </c>
      <c r="F1582" s="52" t="n">
        <f aca="false">SUMIFS(Data_Penjualan!$G$2:$G$5998,Data_Penjualan!$A$2:$A$5998,A1582)</f>
        <v>28088000</v>
      </c>
      <c r="G1582" s="39" t="n">
        <f aca="false">IF(E1582="KANTOR",0,INDEX(Master_Customer!$C$2:$C$126,MATCH(C1582,Master_Customer!$A$2:$A$126,0)))</f>
        <v>30</v>
      </c>
      <c r="H1582" s="53" t="n">
        <f aca="false">B1582+G1582</f>
        <v>46020</v>
      </c>
      <c r="I1582" s="51" t="n">
        <v>45995</v>
      </c>
      <c r="J1582" s="39" t="str">
        <f aca="false">IF(G1582=0,"Tunai",IF(I1582="","Belum ditukar","Sudah ditukar"))</f>
        <v>Sudah ditukar</v>
      </c>
      <c r="K1582" s="54" t="n">
        <v>28088000</v>
      </c>
      <c r="L1582" s="51" t="n">
        <v>46011</v>
      </c>
      <c r="M1582" s="52" t="n">
        <f aca="false">F1582-K1582</f>
        <v>0</v>
      </c>
      <c r="N1582" s="39" t="str">
        <f aca="false">IF(M1582&lt;=0,"Lunas",IF(K1582&gt;0,"Sebagian","Belum Bayar"))</f>
        <v>Lunas</v>
      </c>
      <c r="O1582" s="39" t="n">
        <f aca="false">IF(M1582&gt;0,MAX(0,Catatan!$B$3-H1582),0)</f>
        <v>0</v>
      </c>
      <c r="P1582" s="39" t="str">
        <f aca="false">IF(M1582&lt;=0,"Lunas",IF(Catatan!$B$3&lt;=H1582,"Belum Jatuh Tempo",IF(O1582&lt;=30,"1-30 hari",IF(O1582&lt;=60,"31-60 hari",IF(O1582&lt;=90,"61-90 hari","90+ hari")))))</f>
        <v>Lunas</v>
      </c>
      <c r="Q1582" s="50"/>
      <c r="R1582" s="39" t="str">
        <f aca="false">IF(M1582&lt;=0,"",IF(O1582&gt;60,"1-Tinggi",IF(O1582&gt;30,"2-Sedang",IF(O1582&gt;0,"3-Rendah","4-Pantau"))))</f>
        <v/>
      </c>
      <c r="S1582" s="39" t="str">
        <f aca="false">IF(AND(M1582&gt;0,O1582&gt;0),O1582+M1582/1000000000000+ROW()/1000000000000000,"")</f>
        <v/>
      </c>
      <c r="T1582" s="39" t="str">
        <f aca="false">IF(J1582="Belum ditukar",ROW(),"")</f>
        <v/>
      </c>
    </row>
    <row r="1583" customFormat="false" ht="15" hidden="false" customHeight="false" outlineLevel="0" collapsed="false">
      <c r="A1583" s="50" t="s">
        <v>1869</v>
      </c>
      <c r="B1583" s="51" t="n">
        <v>45990</v>
      </c>
      <c r="C1583" s="50" t="s">
        <v>271</v>
      </c>
      <c r="D1583" s="39" t="str">
        <f aca="false">INDEX(Master_Customer!$B$2:$B$126,MATCH(C1583,Master_Customer!$A$2:$A$126,0))</f>
        <v>CAHAYA MOTOR</v>
      </c>
      <c r="E1583" s="50" t="s">
        <v>32</v>
      </c>
      <c r="F1583" s="52" t="n">
        <f aca="false">SUMIFS(Data_Penjualan!$G$2:$G$5998,Data_Penjualan!$A$2:$A$5998,A1583)</f>
        <v>10072100</v>
      </c>
      <c r="G1583" s="39" t="n">
        <f aca="false">IF(E1583="KANTOR",0,INDEX(Master_Customer!$C$2:$C$126,MATCH(C1583,Master_Customer!$A$2:$A$126,0)))</f>
        <v>0</v>
      </c>
      <c r="H1583" s="53" t="n">
        <f aca="false">B1583+G1583</f>
        <v>45990</v>
      </c>
      <c r="J1583" s="39" t="str">
        <f aca="false">IF(G1583=0,"Tunai",IF(I1583="","Belum ditukar","Sudah ditukar"))</f>
        <v>Tunai</v>
      </c>
      <c r="K1583" s="54" t="n">
        <v>10072100</v>
      </c>
      <c r="L1583" s="51" t="n">
        <v>45991</v>
      </c>
      <c r="M1583" s="52" t="n">
        <f aca="false">F1583-K1583</f>
        <v>0</v>
      </c>
      <c r="N1583" s="39" t="str">
        <f aca="false">IF(M1583&lt;=0,"Lunas",IF(K1583&gt;0,"Sebagian","Belum Bayar"))</f>
        <v>Lunas</v>
      </c>
      <c r="O1583" s="39" t="n">
        <f aca="false">IF(M1583&gt;0,MAX(0,Catatan!$B$3-H1583),0)</f>
        <v>0</v>
      </c>
      <c r="P1583" s="39" t="str">
        <f aca="false">IF(M1583&lt;=0,"Lunas",IF(Catatan!$B$3&lt;=H1583,"Belum Jatuh Tempo",IF(O1583&lt;=30,"1-30 hari",IF(O1583&lt;=60,"31-60 hari",IF(O1583&lt;=90,"61-90 hari","90+ hari")))))</f>
        <v>Lunas</v>
      </c>
      <c r="Q1583" s="50"/>
      <c r="R1583" s="39" t="str">
        <f aca="false">IF(M1583&lt;=0,"",IF(O1583&gt;60,"1-Tinggi",IF(O1583&gt;30,"2-Sedang",IF(O1583&gt;0,"3-Rendah","4-Pantau"))))</f>
        <v/>
      </c>
      <c r="S1583" s="39" t="str">
        <f aca="false">IF(AND(M1583&gt;0,O1583&gt;0),O1583+M1583/1000000000000+ROW()/1000000000000000,"")</f>
        <v/>
      </c>
      <c r="T1583" s="39" t="str">
        <f aca="false">IF(J1583="Belum ditukar",ROW(),"")</f>
        <v/>
      </c>
    </row>
    <row r="1584" customFormat="false" ht="15" hidden="false" customHeight="false" outlineLevel="0" collapsed="false">
      <c r="A1584" s="50" t="s">
        <v>1870</v>
      </c>
      <c r="B1584" s="51" t="n">
        <v>45990</v>
      </c>
      <c r="C1584" s="50" t="s">
        <v>574</v>
      </c>
      <c r="D1584" s="39" t="str">
        <f aca="false">INDEX(Master_Customer!$B$2:$B$126,MATCH(C1584,Master_Customer!$A$2:$A$126,0))</f>
        <v>ABADI SERVICE ABADI</v>
      </c>
      <c r="E1584" s="50" t="s">
        <v>29</v>
      </c>
      <c r="F1584" s="52" t="n">
        <f aca="false">SUMIFS(Data_Penjualan!$G$2:$G$5998,Data_Penjualan!$A$2:$A$5998,A1584)</f>
        <v>6503100</v>
      </c>
      <c r="G1584" s="39" t="n">
        <f aca="false">IF(E1584="KANTOR",0,INDEX(Master_Customer!$C$2:$C$126,MATCH(C1584,Master_Customer!$A$2:$A$126,0)))</f>
        <v>30</v>
      </c>
      <c r="H1584" s="53" t="n">
        <f aca="false">B1584+G1584</f>
        <v>46020</v>
      </c>
      <c r="I1584" s="51" t="n">
        <v>45995</v>
      </c>
      <c r="J1584" s="39" t="str">
        <f aca="false">IF(G1584=0,"Tunai",IF(I1584="","Belum ditukar","Sudah ditukar"))</f>
        <v>Sudah ditukar</v>
      </c>
      <c r="K1584" s="54" t="n">
        <v>6503100</v>
      </c>
      <c r="L1584" s="51" t="n">
        <v>46015</v>
      </c>
      <c r="M1584" s="52" t="n">
        <f aca="false">F1584-K1584</f>
        <v>0</v>
      </c>
      <c r="N1584" s="39" t="str">
        <f aca="false">IF(M1584&lt;=0,"Lunas",IF(K1584&gt;0,"Sebagian","Belum Bayar"))</f>
        <v>Lunas</v>
      </c>
      <c r="O1584" s="39" t="n">
        <f aca="false">IF(M1584&gt;0,MAX(0,Catatan!$B$3-H1584),0)</f>
        <v>0</v>
      </c>
      <c r="P1584" s="39" t="str">
        <f aca="false">IF(M1584&lt;=0,"Lunas",IF(Catatan!$B$3&lt;=H1584,"Belum Jatuh Tempo",IF(O1584&lt;=30,"1-30 hari",IF(O1584&lt;=60,"31-60 hari",IF(O1584&lt;=90,"61-90 hari","90+ hari")))))</f>
        <v>Lunas</v>
      </c>
      <c r="Q1584" s="50"/>
      <c r="R1584" s="39" t="str">
        <f aca="false">IF(M1584&lt;=0,"",IF(O1584&gt;60,"1-Tinggi",IF(O1584&gt;30,"2-Sedang",IF(O1584&gt;0,"3-Rendah","4-Pantau"))))</f>
        <v/>
      </c>
      <c r="S1584" s="39" t="str">
        <f aca="false">IF(AND(M1584&gt;0,O1584&gt;0),O1584+M1584/1000000000000+ROW()/1000000000000000,"")</f>
        <v/>
      </c>
      <c r="T1584" s="39" t="str">
        <f aca="false">IF(J1584="Belum ditukar",ROW(),"")</f>
        <v/>
      </c>
    </row>
    <row r="1585" customFormat="false" ht="15" hidden="false" customHeight="false" outlineLevel="0" collapsed="false">
      <c r="A1585" s="50" t="s">
        <v>1871</v>
      </c>
      <c r="B1585" s="51" t="n">
        <v>45990</v>
      </c>
      <c r="C1585" s="50" t="s">
        <v>325</v>
      </c>
      <c r="D1585" s="39" t="str">
        <f aca="false">INDEX(Master_Customer!$B$2:$B$126,MATCH(C1585,Master_Customer!$A$2:$A$126,0))</f>
        <v>KARYA TEKNIK TIRTA</v>
      </c>
      <c r="E1585" s="50" t="s">
        <v>31</v>
      </c>
      <c r="F1585" s="52" t="n">
        <f aca="false">SUMIFS(Data_Penjualan!$G$2:$G$5998,Data_Penjualan!$A$2:$A$5998,A1585)</f>
        <v>10274200</v>
      </c>
      <c r="G1585" s="39" t="n">
        <f aca="false">IF(E1585="KANTOR",0,INDEX(Master_Customer!$C$2:$C$126,MATCH(C1585,Master_Customer!$A$2:$A$126,0)))</f>
        <v>14</v>
      </c>
      <c r="H1585" s="53" t="n">
        <f aca="false">B1585+G1585</f>
        <v>46004</v>
      </c>
      <c r="I1585" s="51" t="n">
        <v>45992</v>
      </c>
      <c r="J1585" s="39" t="str">
        <f aca="false">IF(G1585=0,"Tunai",IF(I1585="","Belum ditukar","Sudah ditukar"))</f>
        <v>Sudah ditukar</v>
      </c>
      <c r="K1585" s="54" t="n">
        <v>10274200</v>
      </c>
      <c r="L1585" s="51" t="n">
        <v>46019</v>
      </c>
      <c r="M1585" s="52" t="n">
        <f aca="false">F1585-K1585</f>
        <v>0</v>
      </c>
      <c r="N1585" s="39" t="str">
        <f aca="false">IF(M1585&lt;=0,"Lunas",IF(K1585&gt;0,"Sebagian","Belum Bayar"))</f>
        <v>Lunas</v>
      </c>
      <c r="O1585" s="39" t="n">
        <f aca="false">IF(M1585&gt;0,MAX(0,Catatan!$B$3-H1585),0)</f>
        <v>0</v>
      </c>
      <c r="P1585" s="39" t="str">
        <f aca="false">IF(M1585&lt;=0,"Lunas",IF(Catatan!$B$3&lt;=H1585,"Belum Jatuh Tempo",IF(O1585&lt;=30,"1-30 hari",IF(O1585&lt;=60,"31-60 hari",IF(O1585&lt;=90,"61-90 hari","90+ hari")))))</f>
        <v>Lunas</v>
      </c>
      <c r="Q1585" s="50"/>
      <c r="R1585" s="39" t="str">
        <f aca="false">IF(M1585&lt;=0,"",IF(O1585&gt;60,"1-Tinggi",IF(O1585&gt;30,"2-Sedang",IF(O1585&gt;0,"3-Rendah","4-Pantau"))))</f>
        <v/>
      </c>
      <c r="S1585" s="39" t="str">
        <f aca="false">IF(AND(M1585&gt;0,O1585&gt;0),O1585+M1585/1000000000000+ROW()/1000000000000000,"")</f>
        <v/>
      </c>
      <c r="T1585" s="39" t="str">
        <f aca="false">IF(J1585="Belum ditukar",ROW(),"")</f>
        <v/>
      </c>
    </row>
    <row r="1586" customFormat="false" ht="15" hidden="false" customHeight="false" outlineLevel="0" collapsed="false">
      <c r="A1586" s="50" t="s">
        <v>1872</v>
      </c>
      <c r="B1586" s="51" t="n">
        <v>45990</v>
      </c>
      <c r="C1586" s="50" t="s">
        <v>177</v>
      </c>
      <c r="D1586" s="39" t="str">
        <f aca="false">INDEX(Master_Customer!$B$2:$B$126,MATCH(C1586,Master_Customer!$A$2:$A$126,0))</f>
        <v>PRIMA MOTOR LANCAR</v>
      </c>
      <c r="E1586" s="50" t="s">
        <v>29</v>
      </c>
      <c r="F1586" s="52" t="n">
        <f aca="false">SUMIFS(Data_Penjualan!$G$2:$G$5998,Data_Penjualan!$A$2:$A$5998,A1586)</f>
        <v>5264000</v>
      </c>
      <c r="G1586" s="39" t="n">
        <f aca="false">IF(E1586="KANTOR",0,INDEX(Master_Customer!$C$2:$C$126,MATCH(C1586,Master_Customer!$A$2:$A$126,0)))</f>
        <v>14</v>
      </c>
      <c r="H1586" s="53" t="n">
        <f aca="false">B1586+G1586</f>
        <v>46004</v>
      </c>
      <c r="I1586" s="51" t="n">
        <v>45992</v>
      </c>
      <c r="J1586" s="39" t="str">
        <f aca="false">IF(G1586=0,"Tunai",IF(I1586="","Belum ditukar","Sudah ditukar"))</f>
        <v>Sudah ditukar</v>
      </c>
      <c r="K1586" s="54" t="n">
        <v>5264000</v>
      </c>
      <c r="L1586" s="51" t="n">
        <v>45995</v>
      </c>
      <c r="M1586" s="52" t="n">
        <f aca="false">F1586-K1586</f>
        <v>0</v>
      </c>
      <c r="N1586" s="39" t="str">
        <f aca="false">IF(M1586&lt;=0,"Lunas",IF(K1586&gt;0,"Sebagian","Belum Bayar"))</f>
        <v>Lunas</v>
      </c>
      <c r="O1586" s="39" t="n">
        <f aca="false">IF(M1586&gt;0,MAX(0,Catatan!$B$3-H1586),0)</f>
        <v>0</v>
      </c>
      <c r="P1586" s="39" t="str">
        <f aca="false">IF(M1586&lt;=0,"Lunas",IF(Catatan!$B$3&lt;=H1586,"Belum Jatuh Tempo",IF(O1586&lt;=30,"1-30 hari",IF(O1586&lt;=60,"31-60 hari",IF(O1586&lt;=90,"61-90 hari","90+ hari")))))</f>
        <v>Lunas</v>
      </c>
      <c r="Q1586" s="50"/>
      <c r="R1586" s="39" t="str">
        <f aca="false">IF(M1586&lt;=0,"",IF(O1586&gt;60,"1-Tinggi",IF(O1586&gt;30,"2-Sedang",IF(O1586&gt;0,"3-Rendah","4-Pantau"))))</f>
        <v/>
      </c>
      <c r="S1586" s="39" t="str">
        <f aca="false">IF(AND(M1586&gt;0,O1586&gt;0),O1586+M1586/1000000000000+ROW()/1000000000000000,"")</f>
        <v/>
      </c>
      <c r="T1586" s="39" t="str">
        <f aca="false">IF(J1586="Belum ditukar",ROW(),"")</f>
        <v/>
      </c>
    </row>
    <row r="1587" customFormat="false" ht="15" hidden="false" customHeight="false" outlineLevel="0" collapsed="false">
      <c r="A1587" s="50" t="s">
        <v>1873</v>
      </c>
      <c r="B1587" s="51" t="n">
        <v>45990</v>
      </c>
      <c r="C1587" s="50" t="s">
        <v>259</v>
      </c>
      <c r="D1587" s="39" t="str">
        <f aca="false">INDEX(Master_Customer!$B$2:$B$126,MATCH(C1587,Master_Customer!$A$2:$A$126,0))</f>
        <v>LANCAR OLI</v>
      </c>
      <c r="E1587" s="50" t="s">
        <v>29</v>
      </c>
      <c r="F1587" s="52" t="n">
        <f aca="false">SUMIFS(Data_Penjualan!$G$2:$G$5998,Data_Penjualan!$A$2:$A$5998,A1587)</f>
        <v>6387900</v>
      </c>
      <c r="G1587" s="39" t="n">
        <f aca="false">IF(E1587="KANTOR",0,INDEX(Master_Customer!$C$2:$C$126,MATCH(C1587,Master_Customer!$A$2:$A$126,0)))</f>
        <v>30</v>
      </c>
      <c r="H1587" s="53" t="n">
        <f aca="false">B1587+G1587</f>
        <v>46020</v>
      </c>
      <c r="I1587" s="51" t="n">
        <v>45991</v>
      </c>
      <c r="J1587" s="39" t="str">
        <f aca="false">IF(G1587=0,"Tunai",IF(I1587="","Belum ditukar","Sudah ditukar"))</f>
        <v>Sudah ditukar</v>
      </c>
      <c r="K1587" s="54" t="n">
        <v>0</v>
      </c>
      <c r="M1587" s="52" t="n">
        <f aca="false">F1587-K1587</f>
        <v>6387900</v>
      </c>
      <c r="N1587" s="39" t="str">
        <f aca="false">IF(M1587&lt;=0,"Lunas",IF(K1587&gt;0,"Sebagian","Belum Bayar"))</f>
        <v>Belum Bayar</v>
      </c>
      <c r="O1587" s="39" t="n">
        <f aca="false">IF(M1587&gt;0,MAX(0,Catatan!$B$3-H1587),0)</f>
        <v>2</v>
      </c>
      <c r="P1587" s="39" t="str">
        <f aca="false">IF(M1587&lt;=0,"Lunas",IF(Catatan!$B$3&lt;=H1587,"Belum Jatuh Tempo",IF(O1587&lt;=30,"1-30 hari",IF(O1587&lt;=60,"31-60 hari",IF(O1587&lt;=90,"61-90 hari","90+ hari")))))</f>
        <v>1-30 hari</v>
      </c>
      <c r="Q1587" s="50" t="s">
        <v>497</v>
      </c>
      <c r="R1587" s="39" t="str">
        <f aca="false">IF(M1587&lt;=0,"",IF(O1587&gt;60,"1-Tinggi",IF(O1587&gt;30,"2-Sedang",IF(O1587&gt;0,"3-Rendah","4-Pantau"))))</f>
        <v>3-Rendah</v>
      </c>
      <c r="S1587" s="39" t="n">
        <f aca="false">IF(AND(M1587&gt;0,O1587&gt;0),O1587+M1587/1000000000000+ROW()/1000000000000000,"")</f>
        <v>2.00000638790159</v>
      </c>
      <c r="T1587" s="39" t="str">
        <f aca="false">IF(J1587="Belum ditukar",ROW(),"")</f>
        <v/>
      </c>
    </row>
    <row r="1588" customFormat="false" ht="15" hidden="false" customHeight="false" outlineLevel="0" collapsed="false">
      <c r="A1588" s="50" t="s">
        <v>1874</v>
      </c>
      <c r="B1588" s="51" t="n">
        <v>45992</v>
      </c>
      <c r="C1588" s="50" t="s">
        <v>1200</v>
      </c>
      <c r="D1588" s="39" t="str">
        <f aca="false">INDEX(Master_Customer!$B$2:$B$126,MATCH(C1588,Master_Customer!$A$2:$A$126,0))</f>
        <v>MITRA SPAREPART CAHAYA</v>
      </c>
      <c r="E1588" s="50" t="s">
        <v>30</v>
      </c>
      <c r="F1588" s="52" t="n">
        <f aca="false">SUMIFS(Data_Penjualan!$G$2:$G$5998,Data_Penjualan!$A$2:$A$5998,A1588)</f>
        <v>2364100</v>
      </c>
      <c r="G1588" s="39" t="n">
        <f aca="false">IF(E1588="KANTOR",0,INDEX(Master_Customer!$C$2:$C$126,MATCH(C1588,Master_Customer!$A$2:$A$126,0)))</f>
        <v>14</v>
      </c>
      <c r="H1588" s="53" t="n">
        <f aca="false">B1588+G1588</f>
        <v>46006</v>
      </c>
      <c r="I1588" s="51" t="n">
        <v>45996</v>
      </c>
      <c r="J1588" s="39" t="str">
        <f aca="false">IF(G1588=0,"Tunai",IF(I1588="","Belum ditukar","Sudah ditukar"))</f>
        <v>Sudah ditukar</v>
      </c>
      <c r="K1588" s="54" t="n">
        <v>0</v>
      </c>
      <c r="M1588" s="52" t="n">
        <f aca="false">F1588-K1588</f>
        <v>2364100</v>
      </c>
      <c r="N1588" s="39" t="str">
        <f aca="false">IF(M1588&lt;=0,"Lunas",IF(K1588&gt;0,"Sebagian","Belum Bayar"))</f>
        <v>Belum Bayar</v>
      </c>
      <c r="O1588" s="39" t="n">
        <f aca="false">IF(M1588&gt;0,MAX(0,Catatan!$B$3-H1588),0)</f>
        <v>16</v>
      </c>
      <c r="P1588" s="39" t="str">
        <f aca="false">IF(M1588&lt;=0,"Lunas",IF(Catatan!$B$3&lt;=H1588,"Belum Jatuh Tempo",IF(O1588&lt;=30,"1-30 hari",IF(O1588&lt;=60,"31-60 hari",IF(O1588&lt;=90,"61-90 hari","90+ hari")))))</f>
        <v>1-30 hari</v>
      </c>
      <c r="Q1588" s="50" t="s">
        <v>712</v>
      </c>
      <c r="R1588" s="39" t="str">
        <f aca="false">IF(M1588&lt;=0,"",IF(O1588&gt;60,"1-Tinggi",IF(O1588&gt;30,"2-Sedang",IF(O1588&gt;0,"3-Rendah","4-Pantau"))))</f>
        <v>3-Rendah</v>
      </c>
      <c r="S1588" s="39" t="n">
        <f aca="false">IF(AND(M1588&gt;0,O1588&gt;0),O1588+M1588/1000000000000+ROW()/1000000000000000,"")</f>
        <v>16.0000023641016</v>
      </c>
      <c r="T1588" s="39" t="str">
        <f aca="false">IF(J1588="Belum ditukar",ROW(),"")</f>
        <v/>
      </c>
    </row>
    <row r="1589" customFormat="false" ht="15" hidden="false" customHeight="false" outlineLevel="0" collapsed="false">
      <c r="A1589" s="50" t="s">
        <v>1875</v>
      </c>
      <c r="B1589" s="51" t="n">
        <v>45992</v>
      </c>
      <c r="C1589" s="50" t="s">
        <v>284</v>
      </c>
      <c r="D1589" s="39" t="str">
        <f aca="false">INDEX(Master_Customer!$B$2:$B$126,MATCH(C1589,Master_Customer!$A$2:$A$126,0))</f>
        <v>CAHAYA SPAREPART</v>
      </c>
      <c r="E1589" s="50" t="s">
        <v>29</v>
      </c>
      <c r="F1589" s="52" t="n">
        <f aca="false">SUMIFS(Data_Penjualan!$G$2:$G$5998,Data_Penjualan!$A$2:$A$5998,A1589)</f>
        <v>13362400</v>
      </c>
      <c r="G1589" s="39" t="n">
        <f aca="false">IF(E1589="KANTOR",0,INDEX(Master_Customer!$C$2:$C$126,MATCH(C1589,Master_Customer!$A$2:$A$126,0)))</f>
        <v>14</v>
      </c>
      <c r="H1589" s="53" t="n">
        <f aca="false">B1589+G1589</f>
        <v>46006</v>
      </c>
      <c r="I1589" s="51" t="n">
        <v>45995</v>
      </c>
      <c r="J1589" s="39" t="str">
        <f aca="false">IF(G1589=0,"Tunai",IF(I1589="","Belum ditukar","Sudah ditukar"))</f>
        <v>Sudah ditukar</v>
      </c>
      <c r="K1589" s="54" t="n">
        <v>13362400</v>
      </c>
      <c r="L1589" s="51" t="n">
        <v>46020</v>
      </c>
      <c r="M1589" s="52" t="n">
        <f aca="false">F1589-K1589</f>
        <v>0</v>
      </c>
      <c r="N1589" s="39" t="str">
        <f aca="false">IF(M1589&lt;=0,"Lunas",IF(K1589&gt;0,"Sebagian","Belum Bayar"))</f>
        <v>Lunas</v>
      </c>
      <c r="O1589" s="39" t="n">
        <f aca="false">IF(M1589&gt;0,MAX(0,Catatan!$B$3-H1589),0)</f>
        <v>0</v>
      </c>
      <c r="P1589" s="39" t="str">
        <f aca="false">IF(M1589&lt;=0,"Lunas",IF(Catatan!$B$3&lt;=H1589,"Belum Jatuh Tempo",IF(O1589&lt;=30,"1-30 hari",IF(O1589&lt;=60,"31-60 hari",IF(O1589&lt;=90,"61-90 hari","90+ hari")))))</f>
        <v>Lunas</v>
      </c>
      <c r="Q1589" s="50"/>
      <c r="R1589" s="39" t="str">
        <f aca="false">IF(M1589&lt;=0,"",IF(O1589&gt;60,"1-Tinggi",IF(O1589&gt;30,"2-Sedang",IF(O1589&gt;0,"3-Rendah","4-Pantau"))))</f>
        <v/>
      </c>
      <c r="S1589" s="39" t="str">
        <f aca="false">IF(AND(M1589&gt;0,O1589&gt;0),O1589+M1589/1000000000000+ROW()/1000000000000000,"")</f>
        <v/>
      </c>
      <c r="T1589" s="39" t="str">
        <f aca="false">IF(J1589="Belum ditukar",ROW(),"")</f>
        <v/>
      </c>
    </row>
    <row r="1590" customFormat="false" ht="15" hidden="false" customHeight="false" outlineLevel="0" collapsed="false">
      <c r="A1590" s="50" t="s">
        <v>1876</v>
      </c>
      <c r="B1590" s="51" t="n">
        <v>45992</v>
      </c>
      <c r="C1590" s="50" t="s">
        <v>395</v>
      </c>
      <c r="D1590" s="39" t="str">
        <f aca="false">INDEX(Master_Customer!$B$2:$B$126,MATCH(C1590,Master_Customer!$A$2:$A$126,0))</f>
        <v>TIRTA SERVICE</v>
      </c>
      <c r="E1590" s="50" t="s">
        <v>28</v>
      </c>
      <c r="F1590" s="52" t="n">
        <f aca="false">SUMIFS(Data_Penjualan!$G$2:$G$5998,Data_Penjualan!$A$2:$A$5998,A1590)</f>
        <v>12516900</v>
      </c>
      <c r="G1590" s="39" t="n">
        <f aca="false">IF(E1590="KANTOR",0,INDEX(Master_Customer!$C$2:$C$126,MATCH(C1590,Master_Customer!$A$2:$A$126,0)))</f>
        <v>0</v>
      </c>
      <c r="H1590" s="53" t="n">
        <f aca="false">B1590+G1590</f>
        <v>45992</v>
      </c>
      <c r="J1590" s="39" t="str">
        <f aca="false">IF(G1590=0,"Tunai",IF(I1590="","Belum ditukar","Sudah ditukar"))</f>
        <v>Tunai</v>
      </c>
      <c r="K1590" s="54" t="n">
        <v>12516900</v>
      </c>
      <c r="L1590" s="51" t="n">
        <v>45992</v>
      </c>
      <c r="M1590" s="52" t="n">
        <f aca="false">F1590-K1590</f>
        <v>0</v>
      </c>
      <c r="N1590" s="39" t="str">
        <f aca="false">IF(M1590&lt;=0,"Lunas",IF(K1590&gt;0,"Sebagian","Belum Bayar"))</f>
        <v>Lunas</v>
      </c>
      <c r="O1590" s="39" t="n">
        <f aca="false">IF(M1590&gt;0,MAX(0,Catatan!$B$3-H1590),0)</f>
        <v>0</v>
      </c>
      <c r="P1590" s="39" t="str">
        <f aca="false">IF(M1590&lt;=0,"Lunas",IF(Catatan!$B$3&lt;=H1590,"Belum Jatuh Tempo",IF(O1590&lt;=30,"1-30 hari",IF(O1590&lt;=60,"31-60 hari",IF(O1590&lt;=90,"61-90 hari","90+ hari")))))</f>
        <v>Lunas</v>
      </c>
      <c r="Q1590" s="50"/>
      <c r="R1590" s="39" t="str">
        <f aca="false">IF(M1590&lt;=0,"",IF(O1590&gt;60,"1-Tinggi",IF(O1590&gt;30,"2-Sedang",IF(O1590&gt;0,"3-Rendah","4-Pantau"))))</f>
        <v/>
      </c>
      <c r="S1590" s="39" t="str">
        <f aca="false">IF(AND(M1590&gt;0,O1590&gt;0),O1590+M1590/1000000000000+ROW()/1000000000000000,"")</f>
        <v/>
      </c>
      <c r="T1590" s="39" t="str">
        <f aca="false">IF(J1590="Belum ditukar",ROW(),"")</f>
        <v/>
      </c>
    </row>
    <row r="1591" customFormat="false" ht="15" hidden="false" customHeight="false" outlineLevel="0" collapsed="false">
      <c r="A1591" s="50" t="s">
        <v>1877</v>
      </c>
      <c r="B1591" s="51" t="n">
        <v>45992</v>
      </c>
      <c r="C1591" s="50" t="s">
        <v>207</v>
      </c>
      <c r="D1591" s="39" t="str">
        <f aca="false">INDEX(Master_Customer!$B$2:$B$126,MATCH(C1591,Master_Customer!$A$2:$A$126,0))</f>
        <v>MAKMUR AUTO HARAPAN</v>
      </c>
      <c r="E1591" s="50" t="s">
        <v>29</v>
      </c>
      <c r="F1591" s="52" t="n">
        <f aca="false">SUMIFS(Data_Penjualan!$G$2:$G$5998,Data_Penjualan!$A$2:$A$5998,A1591)</f>
        <v>14865900</v>
      </c>
      <c r="G1591" s="39" t="n">
        <f aca="false">IF(E1591="KANTOR",0,INDEX(Master_Customer!$C$2:$C$126,MATCH(C1591,Master_Customer!$A$2:$A$126,0)))</f>
        <v>30</v>
      </c>
      <c r="H1591" s="53" t="n">
        <f aca="false">B1591+G1591</f>
        <v>46022</v>
      </c>
      <c r="I1591" s="51" t="n">
        <v>45997</v>
      </c>
      <c r="J1591" s="39" t="str">
        <f aca="false">IF(G1591=0,"Tunai",IF(I1591="","Belum ditukar","Sudah ditukar"))</f>
        <v>Sudah ditukar</v>
      </c>
      <c r="K1591" s="54" t="n">
        <v>0</v>
      </c>
      <c r="M1591" s="52" t="n">
        <f aca="false">F1591-K1591</f>
        <v>14865900</v>
      </c>
      <c r="N1591" s="39" t="str">
        <f aca="false">IF(M1591&lt;=0,"Lunas",IF(K1591&gt;0,"Sebagian","Belum Bayar"))</f>
        <v>Belum Bayar</v>
      </c>
      <c r="O1591" s="39" t="n">
        <f aca="false">IF(M1591&gt;0,MAX(0,Catatan!$B$3-H1591),0)</f>
        <v>0</v>
      </c>
      <c r="P1591" s="39" t="str">
        <f aca="false">IF(M1591&lt;=0,"Lunas",IF(Catatan!$B$3&lt;=H1591,"Belum Jatuh Tempo",IF(O1591&lt;=30,"1-30 hari",IF(O1591&lt;=60,"31-60 hari",IF(O1591&lt;=90,"61-90 hari","90+ hari")))))</f>
        <v>Belum Jatuh Tempo</v>
      </c>
      <c r="Q1591" s="50"/>
      <c r="R1591" s="39" t="str">
        <f aca="false">IF(M1591&lt;=0,"",IF(O1591&gt;60,"1-Tinggi",IF(O1591&gt;30,"2-Sedang",IF(O1591&gt;0,"3-Rendah","4-Pantau"))))</f>
        <v>4-Pantau</v>
      </c>
      <c r="S1591" s="39" t="str">
        <f aca="false">IF(AND(M1591&gt;0,O1591&gt;0),O1591+M1591/1000000000000+ROW()/1000000000000000,"")</f>
        <v/>
      </c>
      <c r="T1591" s="39" t="str">
        <f aca="false">IF(J1591="Belum ditukar",ROW(),"")</f>
        <v/>
      </c>
    </row>
    <row r="1592" customFormat="false" ht="15" hidden="false" customHeight="false" outlineLevel="0" collapsed="false">
      <c r="A1592" s="50" t="s">
        <v>1878</v>
      </c>
      <c r="B1592" s="51" t="n">
        <v>45992</v>
      </c>
      <c r="C1592" s="50" t="s">
        <v>251</v>
      </c>
      <c r="D1592" s="39" t="str">
        <f aca="false">INDEX(Master_Customer!$B$2:$B$126,MATCH(C1592,Master_Customer!$A$2:$A$126,0))</f>
        <v>MAJU SPAREPART</v>
      </c>
      <c r="E1592" s="50" t="s">
        <v>32</v>
      </c>
      <c r="F1592" s="52" t="n">
        <f aca="false">SUMIFS(Data_Penjualan!$G$2:$G$5998,Data_Penjualan!$A$2:$A$5998,A1592)</f>
        <v>22045900</v>
      </c>
      <c r="G1592" s="39" t="n">
        <f aca="false">IF(E1592="KANTOR",0,INDEX(Master_Customer!$C$2:$C$126,MATCH(C1592,Master_Customer!$A$2:$A$126,0)))</f>
        <v>0</v>
      </c>
      <c r="H1592" s="53" t="n">
        <f aca="false">B1592+G1592</f>
        <v>45992</v>
      </c>
      <c r="J1592" s="39" t="str">
        <f aca="false">IF(G1592=0,"Tunai",IF(I1592="","Belum ditukar","Sudah ditukar"))</f>
        <v>Tunai</v>
      </c>
      <c r="K1592" s="54" t="n">
        <v>22045900</v>
      </c>
      <c r="L1592" s="51" t="n">
        <v>45993</v>
      </c>
      <c r="M1592" s="52" t="n">
        <f aca="false">F1592-K1592</f>
        <v>0</v>
      </c>
      <c r="N1592" s="39" t="str">
        <f aca="false">IF(M1592&lt;=0,"Lunas",IF(K1592&gt;0,"Sebagian","Belum Bayar"))</f>
        <v>Lunas</v>
      </c>
      <c r="O1592" s="39" t="n">
        <f aca="false">IF(M1592&gt;0,MAX(0,Catatan!$B$3-H1592),0)</f>
        <v>0</v>
      </c>
      <c r="P1592" s="39" t="str">
        <f aca="false">IF(M1592&lt;=0,"Lunas",IF(Catatan!$B$3&lt;=H1592,"Belum Jatuh Tempo",IF(O1592&lt;=30,"1-30 hari",IF(O1592&lt;=60,"31-60 hari",IF(O1592&lt;=90,"61-90 hari","90+ hari")))))</f>
        <v>Lunas</v>
      </c>
      <c r="Q1592" s="50"/>
      <c r="R1592" s="39" t="str">
        <f aca="false">IF(M1592&lt;=0,"",IF(O1592&gt;60,"1-Tinggi",IF(O1592&gt;30,"2-Sedang",IF(O1592&gt;0,"3-Rendah","4-Pantau"))))</f>
        <v/>
      </c>
      <c r="S1592" s="39" t="str">
        <f aca="false">IF(AND(M1592&gt;0,O1592&gt;0),O1592+M1592/1000000000000+ROW()/1000000000000000,"")</f>
        <v/>
      </c>
      <c r="T1592" s="39" t="str">
        <f aca="false">IF(J1592="Belum ditukar",ROW(),"")</f>
        <v/>
      </c>
    </row>
    <row r="1593" customFormat="false" ht="15" hidden="false" customHeight="false" outlineLevel="0" collapsed="false">
      <c r="A1593" s="50" t="s">
        <v>1879</v>
      </c>
      <c r="B1593" s="51" t="n">
        <v>45992</v>
      </c>
      <c r="C1593" s="50" t="s">
        <v>419</v>
      </c>
      <c r="D1593" s="39" t="str">
        <f aca="false">INDEX(Master_Customer!$B$2:$B$126,MATCH(C1593,Master_Customer!$A$2:$A$126,0))</f>
        <v>UTAMA MOTOR</v>
      </c>
      <c r="E1593" s="50" t="s">
        <v>30</v>
      </c>
      <c r="F1593" s="52" t="n">
        <f aca="false">SUMIFS(Data_Penjualan!$G$2:$G$5998,Data_Penjualan!$A$2:$A$5998,A1593)</f>
        <v>9118300</v>
      </c>
      <c r="G1593" s="39" t="n">
        <f aca="false">IF(E1593="KANTOR",0,INDEX(Master_Customer!$C$2:$C$126,MATCH(C1593,Master_Customer!$A$2:$A$126,0)))</f>
        <v>14</v>
      </c>
      <c r="H1593" s="53" t="n">
        <f aca="false">B1593+G1593</f>
        <v>46006</v>
      </c>
      <c r="I1593" s="51" t="n">
        <v>45995</v>
      </c>
      <c r="J1593" s="39" t="str">
        <f aca="false">IF(G1593=0,"Tunai",IF(I1593="","Belum ditukar","Sudah ditukar"))</f>
        <v>Sudah ditukar</v>
      </c>
      <c r="K1593" s="54" t="n">
        <v>9118300</v>
      </c>
      <c r="L1593" s="51" t="n">
        <v>46001</v>
      </c>
      <c r="M1593" s="52" t="n">
        <f aca="false">F1593-K1593</f>
        <v>0</v>
      </c>
      <c r="N1593" s="39" t="str">
        <f aca="false">IF(M1593&lt;=0,"Lunas",IF(K1593&gt;0,"Sebagian","Belum Bayar"))</f>
        <v>Lunas</v>
      </c>
      <c r="O1593" s="39" t="n">
        <f aca="false">IF(M1593&gt;0,MAX(0,Catatan!$B$3-H1593),0)</f>
        <v>0</v>
      </c>
      <c r="P1593" s="39" t="str">
        <f aca="false">IF(M1593&lt;=0,"Lunas",IF(Catatan!$B$3&lt;=H1593,"Belum Jatuh Tempo",IF(O1593&lt;=30,"1-30 hari",IF(O1593&lt;=60,"31-60 hari",IF(O1593&lt;=90,"61-90 hari","90+ hari")))))</f>
        <v>Lunas</v>
      </c>
      <c r="Q1593" s="50"/>
      <c r="R1593" s="39" t="str">
        <f aca="false">IF(M1593&lt;=0,"",IF(O1593&gt;60,"1-Tinggi",IF(O1593&gt;30,"2-Sedang",IF(O1593&gt;0,"3-Rendah","4-Pantau"))))</f>
        <v/>
      </c>
      <c r="S1593" s="39" t="str">
        <f aca="false">IF(AND(M1593&gt;0,O1593&gt;0),O1593+M1593/1000000000000+ROW()/1000000000000000,"")</f>
        <v/>
      </c>
      <c r="T1593" s="39" t="str">
        <f aca="false">IF(J1593="Belum ditukar",ROW(),"")</f>
        <v/>
      </c>
    </row>
    <row r="1594" customFormat="false" ht="15" hidden="false" customHeight="false" outlineLevel="0" collapsed="false">
      <c r="A1594" s="50" t="s">
        <v>1880</v>
      </c>
      <c r="B1594" s="51" t="n">
        <v>45992</v>
      </c>
      <c r="C1594" s="50" t="s">
        <v>714</v>
      </c>
      <c r="D1594" s="39" t="str">
        <f aca="false">INDEX(Master_Customer!$B$2:$B$126,MATCH(C1594,Master_Customer!$A$2:$A$126,0))</f>
        <v>KARYA MOBIL CAHAYA</v>
      </c>
      <c r="E1594" s="50" t="s">
        <v>32</v>
      </c>
      <c r="F1594" s="52" t="n">
        <f aca="false">SUMIFS(Data_Penjualan!$G$2:$G$5998,Data_Penjualan!$A$2:$A$5998,A1594)</f>
        <v>9047200</v>
      </c>
      <c r="G1594" s="39" t="n">
        <f aca="false">IF(E1594="KANTOR",0,INDEX(Master_Customer!$C$2:$C$126,MATCH(C1594,Master_Customer!$A$2:$A$126,0)))</f>
        <v>0</v>
      </c>
      <c r="H1594" s="53" t="n">
        <f aca="false">B1594+G1594</f>
        <v>45992</v>
      </c>
      <c r="J1594" s="39" t="str">
        <f aca="false">IF(G1594=0,"Tunai",IF(I1594="","Belum ditukar","Sudah ditukar"))</f>
        <v>Tunai</v>
      </c>
      <c r="K1594" s="54" t="n">
        <v>9047200</v>
      </c>
      <c r="L1594" s="51" t="n">
        <v>45992</v>
      </c>
      <c r="M1594" s="52" t="n">
        <f aca="false">F1594-K1594</f>
        <v>0</v>
      </c>
      <c r="N1594" s="39" t="str">
        <f aca="false">IF(M1594&lt;=0,"Lunas",IF(K1594&gt;0,"Sebagian","Belum Bayar"))</f>
        <v>Lunas</v>
      </c>
      <c r="O1594" s="39" t="n">
        <f aca="false">IF(M1594&gt;0,MAX(0,Catatan!$B$3-H1594),0)</f>
        <v>0</v>
      </c>
      <c r="P1594" s="39" t="str">
        <f aca="false">IF(M1594&lt;=0,"Lunas",IF(Catatan!$B$3&lt;=H1594,"Belum Jatuh Tempo",IF(O1594&lt;=30,"1-30 hari",IF(O1594&lt;=60,"31-60 hari",IF(O1594&lt;=90,"61-90 hari","90+ hari")))))</f>
        <v>Lunas</v>
      </c>
      <c r="Q1594" s="50"/>
      <c r="R1594" s="39" t="str">
        <f aca="false">IF(M1594&lt;=0,"",IF(O1594&gt;60,"1-Tinggi",IF(O1594&gt;30,"2-Sedang",IF(O1594&gt;0,"3-Rendah","4-Pantau"))))</f>
        <v/>
      </c>
      <c r="S1594" s="39" t="str">
        <f aca="false">IF(AND(M1594&gt;0,O1594&gt;0),O1594+M1594/1000000000000+ROW()/1000000000000000,"")</f>
        <v/>
      </c>
      <c r="T1594" s="39" t="str">
        <f aca="false">IF(J1594="Belum ditukar",ROW(),"")</f>
        <v/>
      </c>
    </row>
    <row r="1595" customFormat="false" ht="15" hidden="false" customHeight="false" outlineLevel="0" collapsed="false">
      <c r="A1595" s="50" t="s">
        <v>1881</v>
      </c>
      <c r="B1595" s="51" t="n">
        <v>45992</v>
      </c>
      <c r="C1595" s="50" t="s">
        <v>168</v>
      </c>
      <c r="D1595" s="39" t="str">
        <f aca="false">INDEX(Master_Customer!$B$2:$B$126,MATCH(C1595,Master_Customer!$A$2:$A$126,0))</f>
        <v>JAYA LUBRICANT</v>
      </c>
      <c r="E1595" s="50" t="s">
        <v>32</v>
      </c>
      <c r="F1595" s="52" t="n">
        <f aca="false">SUMIFS(Data_Penjualan!$G$2:$G$5998,Data_Penjualan!$A$2:$A$5998,A1595)</f>
        <v>34825800</v>
      </c>
      <c r="G1595" s="39" t="n">
        <f aca="false">IF(E1595="KANTOR",0,INDEX(Master_Customer!$C$2:$C$126,MATCH(C1595,Master_Customer!$A$2:$A$126,0)))</f>
        <v>0</v>
      </c>
      <c r="H1595" s="53" t="n">
        <f aca="false">B1595+G1595</f>
        <v>45992</v>
      </c>
      <c r="J1595" s="39" t="str">
        <f aca="false">IF(G1595=0,"Tunai",IF(I1595="","Belum ditukar","Sudah ditukar"))</f>
        <v>Tunai</v>
      </c>
      <c r="K1595" s="54" t="n">
        <v>34825800</v>
      </c>
      <c r="L1595" s="51" t="n">
        <v>45992</v>
      </c>
      <c r="M1595" s="52" t="n">
        <f aca="false">F1595-K1595</f>
        <v>0</v>
      </c>
      <c r="N1595" s="39" t="str">
        <f aca="false">IF(M1595&lt;=0,"Lunas",IF(K1595&gt;0,"Sebagian","Belum Bayar"))</f>
        <v>Lunas</v>
      </c>
      <c r="O1595" s="39" t="n">
        <f aca="false">IF(M1595&gt;0,MAX(0,Catatan!$B$3-H1595),0)</f>
        <v>0</v>
      </c>
      <c r="P1595" s="39" t="str">
        <f aca="false">IF(M1595&lt;=0,"Lunas",IF(Catatan!$B$3&lt;=H1595,"Belum Jatuh Tempo",IF(O1595&lt;=30,"1-30 hari",IF(O1595&lt;=60,"31-60 hari",IF(O1595&lt;=90,"61-90 hari","90+ hari")))))</f>
        <v>Lunas</v>
      </c>
      <c r="Q1595" s="50"/>
      <c r="R1595" s="39" t="str">
        <f aca="false">IF(M1595&lt;=0,"",IF(O1595&gt;60,"1-Tinggi",IF(O1595&gt;30,"2-Sedang",IF(O1595&gt;0,"3-Rendah","4-Pantau"))))</f>
        <v/>
      </c>
      <c r="S1595" s="39" t="str">
        <f aca="false">IF(AND(M1595&gt;0,O1595&gt;0),O1595+M1595/1000000000000+ROW()/1000000000000000,"")</f>
        <v/>
      </c>
      <c r="T1595" s="39" t="str">
        <f aca="false">IF(J1595="Belum ditukar",ROW(),"")</f>
        <v/>
      </c>
    </row>
    <row r="1596" customFormat="false" ht="15" hidden="false" customHeight="false" outlineLevel="0" collapsed="false">
      <c r="A1596" s="50" t="s">
        <v>1882</v>
      </c>
      <c r="B1596" s="51" t="n">
        <v>45993</v>
      </c>
      <c r="C1596" s="50" t="s">
        <v>218</v>
      </c>
      <c r="D1596" s="39" t="str">
        <f aca="false">INDEX(Master_Customer!$B$2:$B$126,MATCH(C1596,Master_Customer!$A$2:$A$126,0))</f>
        <v>SURYA SERVICE LANCAR</v>
      </c>
      <c r="E1596" s="50" t="s">
        <v>32</v>
      </c>
      <c r="F1596" s="52" t="n">
        <f aca="false">SUMIFS(Data_Penjualan!$G$2:$G$5998,Data_Penjualan!$A$2:$A$5998,A1596)</f>
        <v>4756000</v>
      </c>
      <c r="G1596" s="39" t="n">
        <f aca="false">IF(E1596="KANTOR",0,INDEX(Master_Customer!$C$2:$C$126,MATCH(C1596,Master_Customer!$A$2:$A$126,0)))</f>
        <v>0</v>
      </c>
      <c r="H1596" s="53" t="n">
        <f aca="false">B1596+G1596</f>
        <v>45993</v>
      </c>
      <c r="J1596" s="39" t="str">
        <f aca="false">IF(G1596=0,"Tunai",IF(I1596="","Belum ditukar","Sudah ditukar"))</f>
        <v>Tunai</v>
      </c>
      <c r="K1596" s="54" t="n">
        <v>4756000</v>
      </c>
      <c r="L1596" s="51" t="n">
        <v>45994</v>
      </c>
      <c r="M1596" s="52" t="n">
        <f aca="false">F1596-K1596</f>
        <v>0</v>
      </c>
      <c r="N1596" s="39" t="str">
        <f aca="false">IF(M1596&lt;=0,"Lunas",IF(K1596&gt;0,"Sebagian","Belum Bayar"))</f>
        <v>Lunas</v>
      </c>
      <c r="O1596" s="39" t="n">
        <f aca="false">IF(M1596&gt;0,MAX(0,Catatan!$B$3-H1596),0)</f>
        <v>0</v>
      </c>
      <c r="P1596" s="39" t="str">
        <f aca="false">IF(M1596&lt;=0,"Lunas",IF(Catatan!$B$3&lt;=H1596,"Belum Jatuh Tempo",IF(O1596&lt;=30,"1-30 hari",IF(O1596&lt;=60,"31-60 hari",IF(O1596&lt;=90,"61-90 hari","90+ hari")))))</f>
        <v>Lunas</v>
      </c>
      <c r="Q1596" s="50"/>
      <c r="R1596" s="39" t="str">
        <f aca="false">IF(M1596&lt;=0,"",IF(O1596&gt;60,"1-Tinggi",IF(O1596&gt;30,"2-Sedang",IF(O1596&gt;0,"3-Rendah","4-Pantau"))))</f>
        <v/>
      </c>
      <c r="S1596" s="39" t="str">
        <f aca="false">IF(AND(M1596&gt;0,O1596&gt;0),O1596+M1596/1000000000000+ROW()/1000000000000000,"")</f>
        <v/>
      </c>
      <c r="T1596" s="39" t="str">
        <f aca="false">IF(J1596="Belum ditukar",ROW(),"")</f>
        <v/>
      </c>
    </row>
    <row r="1597" customFormat="false" ht="15" hidden="false" customHeight="false" outlineLevel="0" collapsed="false">
      <c r="A1597" s="50" t="s">
        <v>1883</v>
      </c>
      <c r="B1597" s="51" t="n">
        <v>45993</v>
      </c>
      <c r="C1597" s="50" t="s">
        <v>251</v>
      </c>
      <c r="D1597" s="39" t="str">
        <f aca="false">INDEX(Master_Customer!$B$2:$B$126,MATCH(C1597,Master_Customer!$A$2:$A$126,0))</f>
        <v>MAJU SPAREPART</v>
      </c>
      <c r="E1597" s="50" t="s">
        <v>29</v>
      </c>
      <c r="F1597" s="52" t="n">
        <f aca="false">SUMIFS(Data_Penjualan!$G$2:$G$5998,Data_Penjualan!$A$2:$A$5998,A1597)</f>
        <v>11255500</v>
      </c>
      <c r="G1597" s="39" t="n">
        <f aca="false">IF(E1597="KANTOR",0,INDEX(Master_Customer!$C$2:$C$126,MATCH(C1597,Master_Customer!$A$2:$A$126,0)))</f>
        <v>45</v>
      </c>
      <c r="H1597" s="53" t="n">
        <f aca="false">B1597+G1597</f>
        <v>46038</v>
      </c>
      <c r="I1597" s="51" t="n">
        <v>45997</v>
      </c>
      <c r="J1597" s="39" t="str">
        <f aca="false">IF(G1597=0,"Tunai",IF(I1597="","Belum ditukar","Sudah ditukar"))</f>
        <v>Sudah ditukar</v>
      </c>
      <c r="K1597" s="54" t="n">
        <v>0</v>
      </c>
      <c r="M1597" s="52" t="n">
        <f aca="false">F1597-K1597</f>
        <v>11255500</v>
      </c>
      <c r="N1597" s="39" t="str">
        <f aca="false">IF(M1597&lt;=0,"Lunas",IF(K1597&gt;0,"Sebagian","Belum Bayar"))</f>
        <v>Belum Bayar</v>
      </c>
      <c r="O1597" s="39" t="n">
        <f aca="false">IF(M1597&gt;0,MAX(0,Catatan!$B$3-H1597),0)</f>
        <v>0</v>
      </c>
      <c r="P1597" s="39" t="str">
        <f aca="false">IF(M1597&lt;=0,"Lunas",IF(Catatan!$B$3&lt;=H1597,"Belum Jatuh Tempo",IF(O1597&lt;=30,"1-30 hari",IF(O1597&lt;=60,"31-60 hari",IF(O1597&lt;=90,"61-90 hari","90+ hari")))))</f>
        <v>Belum Jatuh Tempo</v>
      </c>
      <c r="Q1597" s="50"/>
      <c r="R1597" s="39" t="str">
        <f aca="false">IF(M1597&lt;=0,"",IF(O1597&gt;60,"1-Tinggi",IF(O1597&gt;30,"2-Sedang",IF(O1597&gt;0,"3-Rendah","4-Pantau"))))</f>
        <v>4-Pantau</v>
      </c>
      <c r="S1597" s="39" t="str">
        <f aca="false">IF(AND(M1597&gt;0,O1597&gt;0),O1597+M1597/1000000000000+ROW()/1000000000000000,"")</f>
        <v/>
      </c>
      <c r="T1597" s="39" t="str">
        <f aca="false">IF(J1597="Belum ditukar",ROW(),"")</f>
        <v/>
      </c>
    </row>
    <row r="1598" customFormat="false" ht="15" hidden="false" customHeight="false" outlineLevel="0" collapsed="false">
      <c r="A1598" s="50" t="s">
        <v>1884</v>
      </c>
      <c r="B1598" s="51" t="n">
        <v>45993</v>
      </c>
      <c r="C1598" s="50" t="s">
        <v>562</v>
      </c>
      <c r="D1598" s="39" t="str">
        <f aca="false">INDEX(Master_Customer!$B$2:$B$126,MATCH(C1598,Master_Customer!$A$2:$A$126,0))</f>
        <v>BERKAH SERVICE SENTOSA</v>
      </c>
      <c r="E1598" s="50" t="s">
        <v>28</v>
      </c>
      <c r="F1598" s="52" t="n">
        <f aca="false">SUMIFS(Data_Penjualan!$G$2:$G$5998,Data_Penjualan!$A$2:$A$5998,A1598)</f>
        <v>14919900</v>
      </c>
      <c r="G1598" s="39" t="n">
        <f aca="false">IF(E1598="KANTOR",0,INDEX(Master_Customer!$C$2:$C$126,MATCH(C1598,Master_Customer!$A$2:$A$126,0)))</f>
        <v>14</v>
      </c>
      <c r="H1598" s="53" t="n">
        <f aca="false">B1598+G1598</f>
        <v>46007</v>
      </c>
      <c r="I1598" s="51" t="n">
        <v>45994</v>
      </c>
      <c r="J1598" s="39" t="str">
        <f aca="false">IF(G1598=0,"Tunai",IF(I1598="","Belum ditukar","Sudah ditukar"))</f>
        <v>Sudah ditukar</v>
      </c>
      <c r="K1598" s="54" t="n">
        <v>14919900</v>
      </c>
      <c r="L1598" s="51" t="n">
        <v>46014</v>
      </c>
      <c r="M1598" s="52" t="n">
        <f aca="false">F1598-K1598</f>
        <v>0</v>
      </c>
      <c r="N1598" s="39" t="str">
        <f aca="false">IF(M1598&lt;=0,"Lunas",IF(K1598&gt;0,"Sebagian","Belum Bayar"))</f>
        <v>Lunas</v>
      </c>
      <c r="O1598" s="39" t="n">
        <f aca="false">IF(M1598&gt;0,MAX(0,Catatan!$B$3-H1598),0)</f>
        <v>0</v>
      </c>
      <c r="P1598" s="39" t="str">
        <f aca="false">IF(M1598&lt;=0,"Lunas",IF(Catatan!$B$3&lt;=H1598,"Belum Jatuh Tempo",IF(O1598&lt;=30,"1-30 hari",IF(O1598&lt;=60,"31-60 hari",IF(O1598&lt;=90,"61-90 hari","90+ hari")))))</f>
        <v>Lunas</v>
      </c>
      <c r="Q1598" s="50"/>
      <c r="R1598" s="39" t="str">
        <f aca="false">IF(M1598&lt;=0,"",IF(O1598&gt;60,"1-Tinggi",IF(O1598&gt;30,"2-Sedang",IF(O1598&gt;0,"3-Rendah","4-Pantau"))))</f>
        <v/>
      </c>
      <c r="S1598" s="39" t="str">
        <f aca="false">IF(AND(M1598&gt;0,O1598&gt;0),O1598+M1598/1000000000000+ROW()/1000000000000000,"")</f>
        <v/>
      </c>
      <c r="T1598" s="39" t="str">
        <f aca="false">IF(J1598="Belum ditukar",ROW(),"")</f>
        <v/>
      </c>
    </row>
    <row r="1599" customFormat="false" ht="15" hidden="false" customHeight="false" outlineLevel="0" collapsed="false">
      <c r="A1599" s="50" t="s">
        <v>1885</v>
      </c>
      <c r="B1599" s="51" t="n">
        <v>45993</v>
      </c>
      <c r="C1599" s="50" t="s">
        <v>191</v>
      </c>
      <c r="D1599" s="39" t="str">
        <f aca="false">INDEX(Master_Customer!$B$2:$B$126,MATCH(C1599,Master_Customer!$A$2:$A$126,0))</f>
        <v>SINAR AUTO BERKAH</v>
      </c>
      <c r="E1599" s="50" t="s">
        <v>30</v>
      </c>
      <c r="F1599" s="52" t="n">
        <f aca="false">SUMIFS(Data_Penjualan!$G$2:$G$5998,Data_Penjualan!$A$2:$A$5998,A1599)</f>
        <v>4477700</v>
      </c>
      <c r="G1599" s="39" t="n">
        <f aca="false">IF(E1599="KANTOR",0,INDEX(Master_Customer!$C$2:$C$126,MATCH(C1599,Master_Customer!$A$2:$A$126,0)))</f>
        <v>30</v>
      </c>
      <c r="H1599" s="53" t="n">
        <f aca="false">B1599+G1599</f>
        <v>46023</v>
      </c>
      <c r="I1599" s="51" t="n">
        <v>45995</v>
      </c>
      <c r="J1599" s="39" t="str">
        <f aca="false">IF(G1599=0,"Tunai",IF(I1599="","Belum ditukar","Sudah ditukar"))</f>
        <v>Sudah ditukar</v>
      </c>
      <c r="K1599" s="54" t="n">
        <v>0</v>
      </c>
      <c r="M1599" s="52" t="n">
        <f aca="false">F1599-K1599</f>
        <v>4477700</v>
      </c>
      <c r="N1599" s="39" t="str">
        <f aca="false">IF(M1599&lt;=0,"Lunas",IF(K1599&gt;0,"Sebagian","Belum Bayar"))</f>
        <v>Belum Bayar</v>
      </c>
      <c r="O1599" s="39" t="n">
        <f aca="false">IF(M1599&gt;0,MAX(0,Catatan!$B$3-H1599),0)</f>
        <v>0</v>
      </c>
      <c r="P1599" s="39" t="str">
        <f aca="false">IF(M1599&lt;=0,"Lunas",IF(Catatan!$B$3&lt;=H1599,"Belum Jatuh Tempo",IF(O1599&lt;=30,"1-30 hari",IF(O1599&lt;=60,"31-60 hari",IF(O1599&lt;=90,"61-90 hari","90+ hari")))))</f>
        <v>Belum Jatuh Tempo</v>
      </c>
      <c r="Q1599" s="50"/>
      <c r="R1599" s="39" t="str">
        <f aca="false">IF(M1599&lt;=0,"",IF(O1599&gt;60,"1-Tinggi",IF(O1599&gt;30,"2-Sedang",IF(O1599&gt;0,"3-Rendah","4-Pantau"))))</f>
        <v>4-Pantau</v>
      </c>
      <c r="S1599" s="39" t="str">
        <f aca="false">IF(AND(M1599&gt;0,O1599&gt;0),O1599+M1599/1000000000000+ROW()/1000000000000000,"")</f>
        <v/>
      </c>
      <c r="T1599" s="39" t="str">
        <f aca="false">IF(J1599="Belum ditukar",ROW(),"")</f>
        <v/>
      </c>
    </row>
    <row r="1600" customFormat="false" ht="15" hidden="false" customHeight="false" outlineLevel="0" collapsed="false">
      <c r="A1600" s="50" t="s">
        <v>1886</v>
      </c>
      <c r="B1600" s="51" t="n">
        <v>45993</v>
      </c>
      <c r="C1600" s="50" t="s">
        <v>286</v>
      </c>
      <c r="D1600" s="39" t="str">
        <f aca="false">INDEX(Master_Customer!$B$2:$B$126,MATCH(C1600,Master_Customer!$A$2:$A$126,0))</f>
        <v>CAHAYA AUTO</v>
      </c>
      <c r="E1600" s="50" t="s">
        <v>32</v>
      </c>
      <c r="F1600" s="52" t="n">
        <f aca="false">SUMIFS(Data_Penjualan!$G$2:$G$5998,Data_Penjualan!$A$2:$A$5998,A1600)</f>
        <v>3087200</v>
      </c>
      <c r="G1600" s="39" t="n">
        <f aca="false">IF(E1600="KANTOR",0,INDEX(Master_Customer!$C$2:$C$126,MATCH(C1600,Master_Customer!$A$2:$A$126,0)))</f>
        <v>0</v>
      </c>
      <c r="H1600" s="53" t="n">
        <f aca="false">B1600+G1600</f>
        <v>45993</v>
      </c>
      <c r="J1600" s="39" t="str">
        <f aca="false">IF(G1600=0,"Tunai",IF(I1600="","Belum ditukar","Sudah ditukar"))</f>
        <v>Tunai</v>
      </c>
      <c r="K1600" s="54" t="n">
        <v>3087200</v>
      </c>
      <c r="L1600" s="51" t="n">
        <v>45993</v>
      </c>
      <c r="M1600" s="52" t="n">
        <f aca="false">F1600-K1600</f>
        <v>0</v>
      </c>
      <c r="N1600" s="39" t="str">
        <f aca="false">IF(M1600&lt;=0,"Lunas",IF(K1600&gt;0,"Sebagian","Belum Bayar"))</f>
        <v>Lunas</v>
      </c>
      <c r="O1600" s="39" t="n">
        <f aca="false">IF(M1600&gt;0,MAX(0,Catatan!$B$3-H1600),0)</f>
        <v>0</v>
      </c>
      <c r="P1600" s="39" t="str">
        <f aca="false">IF(M1600&lt;=0,"Lunas",IF(Catatan!$B$3&lt;=H1600,"Belum Jatuh Tempo",IF(O1600&lt;=30,"1-30 hari",IF(O1600&lt;=60,"31-60 hari",IF(O1600&lt;=90,"61-90 hari","90+ hari")))))</f>
        <v>Lunas</v>
      </c>
      <c r="Q1600" s="50"/>
      <c r="R1600" s="39" t="str">
        <f aca="false">IF(M1600&lt;=0,"",IF(O1600&gt;60,"1-Tinggi",IF(O1600&gt;30,"2-Sedang",IF(O1600&gt;0,"3-Rendah","4-Pantau"))))</f>
        <v/>
      </c>
      <c r="S1600" s="39" t="str">
        <f aca="false">IF(AND(M1600&gt;0,O1600&gt;0),O1600+M1600/1000000000000+ROW()/1000000000000000,"")</f>
        <v/>
      </c>
      <c r="T1600" s="39" t="str">
        <f aca="false">IF(J1600="Belum ditukar",ROW(),"")</f>
        <v/>
      </c>
    </row>
    <row r="1601" customFormat="false" ht="15" hidden="false" customHeight="false" outlineLevel="0" collapsed="false">
      <c r="A1601" s="50" t="s">
        <v>1887</v>
      </c>
      <c r="B1601" s="51" t="n">
        <v>45993</v>
      </c>
      <c r="C1601" s="50" t="s">
        <v>199</v>
      </c>
      <c r="D1601" s="39" t="str">
        <f aca="false">INDEX(Master_Customer!$B$2:$B$126,MATCH(C1601,Master_Customer!$A$2:$A$126,0))</f>
        <v>KARYA SPAREPART</v>
      </c>
      <c r="E1601" s="50" t="s">
        <v>32</v>
      </c>
      <c r="F1601" s="52" t="n">
        <f aca="false">SUMIFS(Data_Penjualan!$G$2:$G$5998,Data_Penjualan!$A$2:$A$5998,A1601)</f>
        <v>17064700</v>
      </c>
      <c r="G1601" s="39" t="n">
        <f aca="false">IF(E1601="KANTOR",0,INDEX(Master_Customer!$C$2:$C$126,MATCH(C1601,Master_Customer!$A$2:$A$126,0)))</f>
        <v>0</v>
      </c>
      <c r="H1601" s="53" t="n">
        <f aca="false">B1601+G1601</f>
        <v>45993</v>
      </c>
      <c r="J1601" s="39" t="str">
        <f aca="false">IF(G1601=0,"Tunai",IF(I1601="","Belum ditukar","Sudah ditukar"))</f>
        <v>Tunai</v>
      </c>
      <c r="K1601" s="54" t="n">
        <v>17064700</v>
      </c>
      <c r="L1601" s="51" t="n">
        <v>45993</v>
      </c>
      <c r="M1601" s="52" t="n">
        <f aca="false">F1601-K1601</f>
        <v>0</v>
      </c>
      <c r="N1601" s="39" t="str">
        <f aca="false">IF(M1601&lt;=0,"Lunas",IF(K1601&gt;0,"Sebagian","Belum Bayar"))</f>
        <v>Lunas</v>
      </c>
      <c r="O1601" s="39" t="n">
        <f aca="false">IF(M1601&gt;0,MAX(0,Catatan!$B$3-H1601),0)</f>
        <v>0</v>
      </c>
      <c r="P1601" s="39" t="str">
        <f aca="false">IF(M1601&lt;=0,"Lunas",IF(Catatan!$B$3&lt;=H1601,"Belum Jatuh Tempo",IF(O1601&lt;=30,"1-30 hari",IF(O1601&lt;=60,"31-60 hari",IF(O1601&lt;=90,"61-90 hari","90+ hari")))))</f>
        <v>Lunas</v>
      </c>
      <c r="Q1601" s="50"/>
      <c r="R1601" s="39" t="str">
        <f aca="false">IF(M1601&lt;=0,"",IF(O1601&gt;60,"1-Tinggi",IF(O1601&gt;30,"2-Sedang",IF(O1601&gt;0,"3-Rendah","4-Pantau"))))</f>
        <v/>
      </c>
      <c r="S1601" s="39" t="str">
        <f aca="false">IF(AND(M1601&gt;0,O1601&gt;0),O1601+M1601/1000000000000+ROW()/1000000000000000,"")</f>
        <v/>
      </c>
      <c r="T1601" s="39" t="str">
        <f aca="false">IF(J1601="Belum ditukar",ROW(),"")</f>
        <v/>
      </c>
    </row>
    <row r="1602" customFormat="false" ht="15" hidden="false" customHeight="false" outlineLevel="0" collapsed="false">
      <c r="A1602" s="50" t="s">
        <v>1888</v>
      </c>
      <c r="B1602" s="51" t="n">
        <v>45993</v>
      </c>
      <c r="C1602" s="50" t="s">
        <v>574</v>
      </c>
      <c r="D1602" s="39" t="str">
        <f aca="false">INDEX(Master_Customer!$B$2:$B$126,MATCH(C1602,Master_Customer!$A$2:$A$126,0))</f>
        <v>ABADI SERVICE ABADI</v>
      </c>
      <c r="E1602" s="50" t="s">
        <v>29</v>
      </c>
      <c r="F1602" s="52" t="n">
        <f aca="false">SUMIFS(Data_Penjualan!$G$2:$G$5998,Data_Penjualan!$A$2:$A$5998,A1602)</f>
        <v>20058400</v>
      </c>
      <c r="G1602" s="39" t="n">
        <f aca="false">IF(E1602="KANTOR",0,INDEX(Master_Customer!$C$2:$C$126,MATCH(C1602,Master_Customer!$A$2:$A$126,0)))</f>
        <v>30</v>
      </c>
      <c r="H1602" s="53" t="n">
        <f aca="false">B1602+G1602</f>
        <v>46023</v>
      </c>
      <c r="I1602" s="51" t="n">
        <v>45998</v>
      </c>
      <c r="J1602" s="39" t="str">
        <f aca="false">IF(G1602=0,"Tunai",IF(I1602="","Belum ditukar","Sudah ditukar"))</f>
        <v>Sudah ditukar</v>
      </c>
      <c r="K1602" s="54" t="n">
        <v>20058400</v>
      </c>
      <c r="L1602" s="51" t="n">
        <v>46018</v>
      </c>
      <c r="M1602" s="52" t="n">
        <f aca="false">F1602-K1602</f>
        <v>0</v>
      </c>
      <c r="N1602" s="39" t="str">
        <f aca="false">IF(M1602&lt;=0,"Lunas",IF(K1602&gt;0,"Sebagian","Belum Bayar"))</f>
        <v>Lunas</v>
      </c>
      <c r="O1602" s="39" t="n">
        <f aca="false">IF(M1602&gt;0,MAX(0,Catatan!$B$3-H1602),0)</f>
        <v>0</v>
      </c>
      <c r="P1602" s="39" t="str">
        <f aca="false">IF(M1602&lt;=0,"Lunas",IF(Catatan!$B$3&lt;=H1602,"Belum Jatuh Tempo",IF(O1602&lt;=30,"1-30 hari",IF(O1602&lt;=60,"31-60 hari",IF(O1602&lt;=90,"61-90 hari","90+ hari")))))</f>
        <v>Lunas</v>
      </c>
      <c r="Q1602" s="50"/>
      <c r="R1602" s="39" t="str">
        <f aca="false">IF(M1602&lt;=0,"",IF(O1602&gt;60,"1-Tinggi",IF(O1602&gt;30,"2-Sedang",IF(O1602&gt;0,"3-Rendah","4-Pantau"))))</f>
        <v/>
      </c>
      <c r="S1602" s="39" t="str">
        <f aca="false">IF(AND(M1602&gt;0,O1602&gt;0),O1602+M1602/1000000000000+ROW()/1000000000000000,"")</f>
        <v/>
      </c>
      <c r="T1602" s="39" t="str">
        <f aca="false">IF(J1602="Belum ditukar",ROW(),"")</f>
        <v/>
      </c>
    </row>
    <row r="1603" customFormat="false" ht="15" hidden="false" customHeight="false" outlineLevel="0" collapsed="false">
      <c r="A1603" s="50" t="s">
        <v>1889</v>
      </c>
      <c r="B1603" s="51" t="n">
        <v>45993</v>
      </c>
      <c r="C1603" s="50" t="s">
        <v>207</v>
      </c>
      <c r="D1603" s="39" t="str">
        <f aca="false">INDEX(Master_Customer!$B$2:$B$126,MATCH(C1603,Master_Customer!$A$2:$A$126,0))</f>
        <v>MAKMUR AUTO HARAPAN</v>
      </c>
      <c r="E1603" s="50" t="s">
        <v>29</v>
      </c>
      <c r="F1603" s="52" t="n">
        <f aca="false">SUMIFS(Data_Penjualan!$G$2:$G$5998,Data_Penjualan!$A$2:$A$5998,A1603)</f>
        <v>7680800</v>
      </c>
      <c r="G1603" s="39" t="n">
        <f aca="false">IF(E1603="KANTOR",0,INDEX(Master_Customer!$C$2:$C$126,MATCH(C1603,Master_Customer!$A$2:$A$126,0)))</f>
        <v>30</v>
      </c>
      <c r="H1603" s="53" t="n">
        <f aca="false">B1603+G1603</f>
        <v>46023</v>
      </c>
      <c r="I1603" s="51" t="n">
        <v>45997</v>
      </c>
      <c r="J1603" s="39" t="str">
        <f aca="false">IF(G1603=0,"Tunai",IF(I1603="","Belum ditukar","Sudah ditukar"))</f>
        <v>Sudah ditukar</v>
      </c>
      <c r="K1603" s="54" t="n">
        <v>0</v>
      </c>
      <c r="M1603" s="52" t="n">
        <f aca="false">F1603-K1603</f>
        <v>7680800</v>
      </c>
      <c r="N1603" s="39" t="str">
        <f aca="false">IF(M1603&lt;=0,"Lunas",IF(K1603&gt;0,"Sebagian","Belum Bayar"))</f>
        <v>Belum Bayar</v>
      </c>
      <c r="O1603" s="39" t="n">
        <f aca="false">IF(M1603&gt;0,MAX(0,Catatan!$B$3-H1603),0)</f>
        <v>0</v>
      </c>
      <c r="P1603" s="39" t="str">
        <f aca="false">IF(M1603&lt;=0,"Lunas",IF(Catatan!$B$3&lt;=H1603,"Belum Jatuh Tempo",IF(O1603&lt;=30,"1-30 hari",IF(O1603&lt;=60,"31-60 hari",IF(O1603&lt;=90,"61-90 hari","90+ hari")))))</f>
        <v>Belum Jatuh Tempo</v>
      </c>
      <c r="Q1603" s="50"/>
      <c r="R1603" s="39" t="str">
        <f aca="false">IF(M1603&lt;=0,"",IF(O1603&gt;60,"1-Tinggi",IF(O1603&gt;30,"2-Sedang",IF(O1603&gt;0,"3-Rendah","4-Pantau"))))</f>
        <v>4-Pantau</v>
      </c>
      <c r="S1603" s="39" t="str">
        <f aca="false">IF(AND(M1603&gt;0,O1603&gt;0),O1603+M1603/1000000000000+ROW()/1000000000000000,"")</f>
        <v/>
      </c>
      <c r="T1603" s="39" t="str">
        <f aca="false">IF(J1603="Belum ditukar",ROW(),"")</f>
        <v/>
      </c>
    </row>
    <row r="1604" customFormat="false" ht="15" hidden="false" customHeight="false" outlineLevel="0" collapsed="false">
      <c r="A1604" s="50" t="s">
        <v>1890</v>
      </c>
      <c r="B1604" s="51" t="n">
        <v>45993</v>
      </c>
      <c r="C1604" s="50" t="s">
        <v>228</v>
      </c>
      <c r="D1604" s="39" t="str">
        <f aca="false">INDEX(Master_Customer!$B$2:$B$126,MATCH(C1604,Master_Customer!$A$2:$A$126,0))</f>
        <v>MAKMUR SERVICE JAYA</v>
      </c>
      <c r="E1604" s="50" t="s">
        <v>29</v>
      </c>
      <c r="F1604" s="52" t="n">
        <f aca="false">SUMIFS(Data_Penjualan!$G$2:$G$5998,Data_Penjualan!$A$2:$A$5998,A1604)</f>
        <v>7617900</v>
      </c>
      <c r="G1604" s="39" t="n">
        <f aca="false">IF(E1604="KANTOR",0,INDEX(Master_Customer!$C$2:$C$126,MATCH(C1604,Master_Customer!$A$2:$A$126,0)))</f>
        <v>30</v>
      </c>
      <c r="H1604" s="53" t="n">
        <f aca="false">B1604+G1604</f>
        <v>46023</v>
      </c>
      <c r="I1604" s="51" t="n">
        <v>45994</v>
      </c>
      <c r="J1604" s="39" t="str">
        <f aca="false">IF(G1604=0,"Tunai",IF(I1604="","Belum ditukar","Sudah ditukar"))</f>
        <v>Sudah ditukar</v>
      </c>
      <c r="K1604" s="54" t="n">
        <v>0</v>
      </c>
      <c r="M1604" s="52" t="n">
        <f aca="false">F1604-K1604</f>
        <v>7617900</v>
      </c>
      <c r="N1604" s="39" t="str">
        <f aca="false">IF(M1604&lt;=0,"Lunas",IF(K1604&gt;0,"Sebagian","Belum Bayar"))</f>
        <v>Belum Bayar</v>
      </c>
      <c r="O1604" s="39" t="n">
        <f aca="false">IF(M1604&gt;0,MAX(0,Catatan!$B$3-H1604),0)</f>
        <v>0</v>
      </c>
      <c r="P1604" s="39" t="str">
        <f aca="false">IF(M1604&lt;=0,"Lunas",IF(Catatan!$B$3&lt;=H1604,"Belum Jatuh Tempo",IF(O1604&lt;=30,"1-30 hari",IF(O1604&lt;=60,"31-60 hari",IF(O1604&lt;=90,"61-90 hari","90+ hari")))))</f>
        <v>Belum Jatuh Tempo</v>
      </c>
      <c r="Q1604" s="50"/>
      <c r="R1604" s="39" t="str">
        <f aca="false">IF(M1604&lt;=0,"",IF(O1604&gt;60,"1-Tinggi",IF(O1604&gt;30,"2-Sedang",IF(O1604&gt;0,"3-Rendah","4-Pantau"))))</f>
        <v>4-Pantau</v>
      </c>
      <c r="S1604" s="39" t="str">
        <f aca="false">IF(AND(M1604&gt;0,O1604&gt;0),O1604+M1604/1000000000000+ROW()/1000000000000000,"")</f>
        <v/>
      </c>
      <c r="T1604" s="39" t="str">
        <f aca="false">IF(J1604="Belum ditukar",ROW(),"")</f>
        <v/>
      </c>
    </row>
    <row r="1605" customFormat="false" ht="15" hidden="false" customHeight="false" outlineLevel="0" collapsed="false">
      <c r="A1605" s="50" t="s">
        <v>1891</v>
      </c>
      <c r="B1605" s="51" t="n">
        <v>45994</v>
      </c>
      <c r="C1605" s="50" t="s">
        <v>205</v>
      </c>
      <c r="D1605" s="39" t="str">
        <f aca="false">INDEX(Master_Customer!$B$2:$B$126,MATCH(C1605,Master_Customer!$A$2:$A$126,0))</f>
        <v>BERKAH OLI</v>
      </c>
      <c r="E1605" s="50" t="s">
        <v>28</v>
      </c>
      <c r="F1605" s="52" t="n">
        <f aca="false">SUMIFS(Data_Penjualan!$G$2:$G$5998,Data_Penjualan!$A$2:$A$5998,A1605)</f>
        <v>12536900</v>
      </c>
      <c r="G1605" s="39" t="n">
        <f aca="false">IF(E1605="KANTOR",0,INDEX(Master_Customer!$C$2:$C$126,MATCH(C1605,Master_Customer!$A$2:$A$126,0)))</f>
        <v>0</v>
      </c>
      <c r="H1605" s="53" t="n">
        <f aca="false">B1605+G1605</f>
        <v>45994</v>
      </c>
      <c r="J1605" s="39" t="str">
        <f aca="false">IF(G1605=0,"Tunai",IF(I1605="","Belum ditukar","Sudah ditukar"))</f>
        <v>Tunai</v>
      </c>
      <c r="K1605" s="54" t="n">
        <v>12536900</v>
      </c>
      <c r="L1605" s="51" t="n">
        <v>45994</v>
      </c>
      <c r="M1605" s="52" t="n">
        <f aca="false">F1605-K1605</f>
        <v>0</v>
      </c>
      <c r="N1605" s="39" t="str">
        <f aca="false">IF(M1605&lt;=0,"Lunas",IF(K1605&gt;0,"Sebagian","Belum Bayar"))</f>
        <v>Lunas</v>
      </c>
      <c r="O1605" s="39" t="n">
        <f aca="false">IF(M1605&gt;0,MAX(0,Catatan!$B$3-H1605),0)</f>
        <v>0</v>
      </c>
      <c r="P1605" s="39" t="str">
        <f aca="false">IF(M1605&lt;=0,"Lunas",IF(Catatan!$B$3&lt;=H1605,"Belum Jatuh Tempo",IF(O1605&lt;=30,"1-30 hari",IF(O1605&lt;=60,"31-60 hari",IF(O1605&lt;=90,"61-90 hari","90+ hari")))))</f>
        <v>Lunas</v>
      </c>
      <c r="Q1605" s="50"/>
      <c r="R1605" s="39" t="str">
        <f aca="false">IF(M1605&lt;=0,"",IF(O1605&gt;60,"1-Tinggi",IF(O1605&gt;30,"2-Sedang",IF(O1605&gt;0,"3-Rendah","4-Pantau"))))</f>
        <v/>
      </c>
      <c r="S1605" s="39" t="str">
        <f aca="false">IF(AND(M1605&gt;0,O1605&gt;0),O1605+M1605/1000000000000+ROW()/1000000000000000,"")</f>
        <v/>
      </c>
      <c r="T1605" s="39" t="str">
        <f aca="false">IF(J1605="Belum ditukar",ROW(),"")</f>
        <v/>
      </c>
    </row>
    <row r="1606" customFormat="false" ht="15" hidden="false" customHeight="false" outlineLevel="0" collapsed="false">
      <c r="A1606" s="50" t="s">
        <v>1892</v>
      </c>
      <c r="B1606" s="51" t="n">
        <v>45994</v>
      </c>
      <c r="C1606" s="50" t="s">
        <v>527</v>
      </c>
      <c r="D1606" s="39" t="str">
        <f aca="false">INDEX(Master_Customer!$B$2:$B$126,MATCH(C1606,Master_Customer!$A$2:$A$126,0))</f>
        <v>BINTANG SPAREPART PRIMA</v>
      </c>
      <c r="E1606" s="50" t="s">
        <v>30</v>
      </c>
      <c r="F1606" s="52" t="n">
        <f aca="false">SUMIFS(Data_Penjualan!$G$2:$G$5998,Data_Penjualan!$A$2:$A$5998,A1606)</f>
        <v>26463100</v>
      </c>
      <c r="G1606" s="39" t="n">
        <f aca="false">IF(E1606="KANTOR",0,INDEX(Master_Customer!$C$2:$C$126,MATCH(C1606,Master_Customer!$A$2:$A$126,0)))</f>
        <v>14</v>
      </c>
      <c r="H1606" s="53" t="n">
        <f aca="false">B1606+G1606</f>
        <v>46008</v>
      </c>
      <c r="I1606" s="51" t="n">
        <v>45998</v>
      </c>
      <c r="J1606" s="39" t="str">
        <f aca="false">IF(G1606=0,"Tunai",IF(I1606="","Belum ditukar","Sudah ditukar"))</f>
        <v>Sudah ditukar</v>
      </c>
      <c r="K1606" s="54" t="n">
        <v>26463100</v>
      </c>
      <c r="L1606" s="51" t="n">
        <v>46002</v>
      </c>
      <c r="M1606" s="52" t="n">
        <f aca="false">F1606-K1606</f>
        <v>0</v>
      </c>
      <c r="N1606" s="39" t="str">
        <f aca="false">IF(M1606&lt;=0,"Lunas",IF(K1606&gt;0,"Sebagian","Belum Bayar"))</f>
        <v>Lunas</v>
      </c>
      <c r="O1606" s="39" t="n">
        <f aca="false">IF(M1606&gt;0,MAX(0,Catatan!$B$3-H1606),0)</f>
        <v>0</v>
      </c>
      <c r="P1606" s="39" t="str">
        <f aca="false">IF(M1606&lt;=0,"Lunas",IF(Catatan!$B$3&lt;=H1606,"Belum Jatuh Tempo",IF(O1606&lt;=30,"1-30 hari",IF(O1606&lt;=60,"31-60 hari",IF(O1606&lt;=90,"61-90 hari","90+ hari")))))</f>
        <v>Lunas</v>
      </c>
      <c r="Q1606" s="50"/>
      <c r="R1606" s="39" t="str">
        <f aca="false">IF(M1606&lt;=0,"",IF(O1606&gt;60,"1-Tinggi",IF(O1606&gt;30,"2-Sedang",IF(O1606&gt;0,"3-Rendah","4-Pantau"))))</f>
        <v/>
      </c>
      <c r="S1606" s="39" t="str">
        <f aca="false">IF(AND(M1606&gt;0,O1606&gt;0),O1606+M1606/1000000000000+ROW()/1000000000000000,"")</f>
        <v/>
      </c>
      <c r="T1606" s="39" t="str">
        <f aca="false">IF(J1606="Belum ditukar",ROW(),"")</f>
        <v/>
      </c>
    </row>
    <row r="1607" customFormat="false" ht="15" hidden="false" customHeight="false" outlineLevel="0" collapsed="false">
      <c r="A1607" s="50" t="s">
        <v>1893</v>
      </c>
      <c r="B1607" s="51" t="n">
        <v>45994</v>
      </c>
      <c r="C1607" s="50" t="s">
        <v>174</v>
      </c>
      <c r="D1607" s="39" t="str">
        <f aca="false">INDEX(Master_Customer!$B$2:$B$126,MATCH(C1607,Master_Customer!$A$2:$A$126,0))</f>
        <v>SUMBER TEKNIK SURYA</v>
      </c>
      <c r="E1607" s="50" t="s">
        <v>31</v>
      </c>
      <c r="F1607" s="52" t="n">
        <f aca="false">SUMIFS(Data_Penjualan!$G$2:$G$5998,Data_Penjualan!$A$2:$A$5998,A1607)</f>
        <v>2406900</v>
      </c>
      <c r="G1607" s="39" t="n">
        <f aca="false">IF(E1607="KANTOR",0,INDEX(Master_Customer!$C$2:$C$126,MATCH(C1607,Master_Customer!$A$2:$A$126,0)))</f>
        <v>30</v>
      </c>
      <c r="H1607" s="53" t="n">
        <f aca="false">B1607+G1607</f>
        <v>46024</v>
      </c>
      <c r="I1607" s="51" t="n">
        <v>45997</v>
      </c>
      <c r="J1607" s="39" t="str">
        <f aca="false">IF(G1607=0,"Tunai",IF(I1607="","Belum ditukar","Sudah ditukar"))</f>
        <v>Sudah ditukar</v>
      </c>
      <c r="K1607" s="54" t="n">
        <v>0</v>
      </c>
      <c r="M1607" s="52" t="n">
        <f aca="false">F1607-K1607</f>
        <v>2406900</v>
      </c>
      <c r="N1607" s="39" t="str">
        <f aca="false">IF(M1607&lt;=0,"Lunas",IF(K1607&gt;0,"Sebagian","Belum Bayar"))</f>
        <v>Belum Bayar</v>
      </c>
      <c r="O1607" s="39" t="n">
        <f aca="false">IF(M1607&gt;0,MAX(0,Catatan!$B$3-H1607),0)</f>
        <v>0</v>
      </c>
      <c r="P1607" s="39" t="str">
        <f aca="false">IF(M1607&lt;=0,"Lunas",IF(Catatan!$B$3&lt;=H1607,"Belum Jatuh Tempo",IF(O1607&lt;=30,"1-30 hari",IF(O1607&lt;=60,"31-60 hari",IF(O1607&lt;=90,"61-90 hari","90+ hari")))))</f>
        <v>Belum Jatuh Tempo</v>
      </c>
      <c r="Q1607" s="50"/>
      <c r="R1607" s="39" t="str">
        <f aca="false">IF(M1607&lt;=0,"",IF(O1607&gt;60,"1-Tinggi",IF(O1607&gt;30,"2-Sedang",IF(O1607&gt;0,"3-Rendah","4-Pantau"))))</f>
        <v>4-Pantau</v>
      </c>
      <c r="S1607" s="39" t="str">
        <f aca="false">IF(AND(M1607&gt;0,O1607&gt;0),O1607+M1607/1000000000000+ROW()/1000000000000000,"")</f>
        <v/>
      </c>
      <c r="T1607" s="39" t="str">
        <f aca="false">IF(J1607="Belum ditukar",ROW(),"")</f>
        <v/>
      </c>
    </row>
    <row r="1608" customFormat="false" ht="15" hidden="false" customHeight="false" outlineLevel="0" collapsed="false">
      <c r="A1608" s="50" t="s">
        <v>1894</v>
      </c>
      <c r="B1608" s="51" t="n">
        <v>45994</v>
      </c>
      <c r="C1608" s="50" t="s">
        <v>271</v>
      </c>
      <c r="D1608" s="39" t="str">
        <f aca="false">INDEX(Master_Customer!$B$2:$B$126,MATCH(C1608,Master_Customer!$A$2:$A$126,0))</f>
        <v>CAHAYA MOTOR</v>
      </c>
      <c r="E1608" s="50" t="s">
        <v>28</v>
      </c>
      <c r="F1608" s="52" t="n">
        <f aca="false">SUMIFS(Data_Penjualan!$G$2:$G$5998,Data_Penjualan!$A$2:$A$5998,A1608)</f>
        <v>8935200</v>
      </c>
      <c r="G1608" s="39" t="n">
        <f aca="false">IF(E1608="KANTOR",0,INDEX(Master_Customer!$C$2:$C$126,MATCH(C1608,Master_Customer!$A$2:$A$126,0)))</f>
        <v>14</v>
      </c>
      <c r="H1608" s="53" t="n">
        <f aca="false">B1608+G1608</f>
        <v>46008</v>
      </c>
      <c r="I1608" s="51" t="n">
        <v>45995</v>
      </c>
      <c r="J1608" s="39" t="str">
        <f aca="false">IF(G1608=0,"Tunai",IF(I1608="","Belum ditukar","Sudah ditukar"))</f>
        <v>Sudah ditukar</v>
      </c>
      <c r="K1608" s="54" t="n">
        <v>8935200</v>
      </c>
      <c r="L1608" s="51" t="n">
        <v>46013</v>
      </c>
      <c r="M1608" s="52" t="n">
        <f aca="false">F1608-K1608</f>
        <v>0</v>
      </c>
      <c r="N1608" s="39" t="str">
        <f aca="false">IF(M1608&lt;=0,"Lunas",IF(K1608&gt;0,"Sebagian","Belum Bayar"))</f>
        <v>Lunas</v>
      </c>
      <c r="O1608" s="39" t="n">
        <f aca="false">IF(M1608&gt;0,MAX(0,Catatan!$B$3-H1608),0)</f>
        <v>0</v>
      </c>
      <c r="P1608" s="39" t="str">
        <f aca="false">IF(M1608&lt;=0,"Lunas",IF(Catatan!$B$3&lt;=H1608,"Belum Jatuh Tempo",IF(O1608&lt;=30,"1-30 hari",IF(O1608&lt;=60,"31-60 hari",IF(O1608&lt;=90,"61-90 hari","90+ hari")))))</f>
        <v>Lunas</v>
      </c>
      <c r="Q1608" s="50"/>
      <c r="R1608" s="39" t="str">
        <f aca="false">IF(M1608&lt;=0,"",IF(O1608&gt;60,"1-Tinggi",IF(O1608&gt;30,"2-Sedang",IF(O1608&gt;0,"3-Rendah","4-Pantau"))))</f>
        <v/>
      </c>
      <c r="S1608" s="39" t="str">
        <f aca="false">IF(AND(M1608&gt;0,O1608&gt;0),O1608+M1608/1000000000000+ROW()/1000000000000000,"")</f>
        <v/>
      </c>
      <c r="T1608" s="39" t="str">
        <f aca="false">IF(J1608="Belum ditukar",ROW(),"")</f>
        <v/>
      </c>
    </row>
    <row r="1609" customFormat="false" ht="15" hidden="false" customHeight="false" outlineLevel="0" collapsed="false">
      <c r="A1609" s="50" t="s">
        <v>1895</v>
      </c>
      <c r="B1609" s="51" t="n">
        <v>45995</v>
      </c>
      <c r="C1609" s="50" t="s">
        <v>205</v>
      </c>
      <c r="D1609" s="39" t="str">
        <f aca="false">INDEX(Master_Customer!$B$2:$B$126,MATCH(C1609,Master_Customer!$A$2:$A$126,0))</f>
        <v>BERKAH OLI</v>
      </c>
      <c r="E1609" s="50" t="s">
        <v>32</v>
      </c>
      <c r="F1609" s="52" t="n">
        <f aca="false">SUMIFS(Data_Penjualan!$G$2:$G$5998,Data_Penjualan!$A$2:$A$5998,A1609)</f>
        <v>12312200</v>
      </c>
      <c r="G1609" s="39" t="n">
        <f aca="false">IF(E1609="KANTOR",0,INDEX(Master_Customer!$C$2:$C$126,MATCH(C1609,Master_Customer!$A$2:$A$126,0)))</f>
        <v>0</v>
      </c>
      <c r="H1609" s="53" t="n">
        <f aca="false">B1609+G1609</f>
        <v>45995</v>
      </c>
      <c r="J1609" s="39" t="str">
        <f aca="false">IF(G1609=0,"Tunai",IF(I1609="","Belum ditukar","Sudah ditukar"))</f>
        <v>Tunai</v>
      </c>
      <c r="K1609" s="54" t="n">
        <v>12312200</v>
      </c>
      <c r="L1609" s="51" t="n">
        <v>45996</v>
      </c>
      <c r="M1609" s="52" t="n">
        <f aca="false">F1609-K1609</f>
        <v>0</v>
      </c>
      <c r="N1609" s="39" t="str">
        <f aca="false">IF(M1609&lt;=0,"Lunas",IF(K1609&gt;0,"Sebagian","Belum Bayar"))</f>
        <v>Lunas</v>
      </c>
      <c r="O1609" s="39" t="n">
        <f aca="false">IF(M1609&gt;0,MAX(0,Catatan!$B$3-H1609),0)</f>
        <v>0</v>
      </c>
      <c r="P1609" s="39" t="str">
        <f aca="false">IF(M1609&lt;=0,"Lunas",IF(Catatan!$B$3&lt;=H1609,"Belum Jatuh Tempo",IF(O1609&lt;=30,"1-30 hari",IF(O1609&lt;=60,"31-60 hari",IF(O1609&lt;=90,"61-90 hari","90+ hari")))))</f>
        <v>Lunas</v>
      </c>
      <c r="Q1609" s="50"/>
      <c r="R1609" s="39" t="str">
        <f aca="false">IF(M1609&lt;=0,"",IF(O1609&gt;60,"1-Tinggi",IF(O1609&gt;30,"2-Sedang",IF(O1609&gt;0,"3-Rendah","4-Pantau"))))</f>
        <v/>
      </c>
      <c r="S1609" s="39" t="str">
        <f aca="false">IF(AND(M1609&gt;0,O1609&gt;0),O1609+M1609/1000000000000+ROW()/1000000000000000,"")</f>
        <v/>
      </c>
      <c r="T1609" s="39" t="str">
        <f aca="false">IF(J1609="Belum ditukar",ROW(),"")</f>
        <v/>
      </c>
    </row>
    <row r="1610" customFormat="false" ht="15" hidden="false" customHeight="false" outlineLevel="0" collapsed="false">
      <c r="A1610" s="50" t="s">
        <v>1896</v>
      </c>
      <c r="B1610" s="51" t="n">
        <v>45995</v>
      </c>
      <c r="C1610" s="50" t="s">
        <v>168</v>
      </c>
      <c r="D1610" s="39" t="str">
        <f aca="false">INDEX(Master_Customer!$B$2:$B$126,MATCH(C1610,Master_Customer!$A$2:$A$126,0))</f>
        <v>JAYA LUBRICANT</v>
      </c>
      <c r="E1610" s="50" t="s">
        <v>29</v>
      </c>
      <c r="F1610" s="52" t="n">
        <f aca="false">SUMIFS(Data_Penjualan!$G$2:$G$5998,Data_Penjualan!$A$2:$A$5998,A1610)</f>
        <v>6155000</v>
      </c>
      <c r="G1610" s="39" t="n">
        <f aca="false">IF(E1610="KANTOR",0,INDEX(Master_Customer!$C$2:$C$126,MATCH(C1610,Master_Customer!$A$2:$A$126,0)))</f>
        <v>0</v>
      </c>
      <c r="H1610" s="53" t="n">
        <f aca="false">B1610+G1610</f>
        <v>45995</v>
      </c>
      <c r="J1610" s="39" t="str">
        <f aca="false">IF(G1610=0,"Tunai",IF(I1610="","Belum ditukar","Sudah ditukar"))</f>
        <v>Tunai</v>
      </c>
      <c r="K1610" s="54" t="n">
        <v>6155000</v>
      </c>
      <c r="L1610" s="51" t="n">
        <v>45995</v>
      </c>
      <c r="M1610" s="52" t="n">
        <f aca="false">F1610-K1610</f>
        <v>0</v>
      </c>
      <c r="N1610" s="39" t="str">
        <f aca="false">IF(M1610&lt;=0,"Lunas",IF(K1610&gt;0,"Sebagian","Belum Bayar"))</f>
        <v>Lunas</v>
      </c>
      <c r="O1610" s="39" t="n">
        <f aca="false">IF(M1610&gt;0,MAX(0,Catatan!$B$3-H1610),0)</f>
        <v>0</v>
      </c>
      <c r="P1610" s="39" t="str">
        <f aca="false">IF(M1610&lt;=0,"Lunas",IF(Catatan!$B$3&lt;=H1610,"Belum Jatuh Tempo",IF(O1610&lt;=30,"1-30 hari",IF(O1610&lt;=60,"31-60 hari",IF(O1610&lt;=90,"61-90 hari","90+ hari")))))</f>
        <v>Lunas</v>
      </c>
      <c r="Q1610" s="50"/>
      <c r="R1610" s="39" t="str">
        <f aca="false">IF(M1610&lt;=0,"",IF(O1610&gt;60,"1-Tinggi",IF(O1610&gt;30,"2-Sedang",IF(O1610&gt;0,"3-Rendah","4-Pantau"))))</f>
        <v/>
      </c>
      <c r="S1610" s="39" t="str">
        <f aca="false">IF(AND(M1610&gt;0,O1610&gt;0),O1610+M1610/1000000000000+ROW()/1000000000000000,"")</f>
        <v/>
      </c>
      <c r="T1610" s="39" t="str">
        <f aca="false">IF(J1610="Belum ditukar",ROW(),"")</f>
        <v/>
      </c>
    </row>
    <row r="1611" customFormat="false" ht="15" hidden="false" customHeight="false" outlineLevel="0" collapsed="false">
      <c r="A1611" s="50" t="s">
        <v>1897</v>
      </c>
      <c r="B1611" s="51" t="n">
        <v>45995</v>
      </c>
      <c r="C1611" s="50" t="s">
        <v>168</v>
      </c>
      <c r="D1611" s="39" t="str">
        <f aca="false">INDEX(Master_Customer!$B$2:$B$126,MATCH(C1611,Master_Customer!$A$2:$A$126,0))</f>
        <v>JAYA LUBRICANT</v>
      </c>
      <c r="E1611" s="50" t="s">
        <v>29</v>
      </c>
      <c r="F1611" s="52" t="n">
        <f aca="false">SUMIFS(Data_Penjualan!$G$2:$G$5998,Data_Penjualan!$A$2:$A$5998,A1611)</f>
        <v>5982500</v>
      </c>
      <c r="G1611" s="39" t="n">
        <f aca="false">IF(E1611="KANTOR",0,INDEX(Master_Customer!$C$2:$C$126,MATCH(C1611,Master_Customer!$A$2:$A$126,0)))</f>
        <v>0</v>
      </c>
      <c r="H1611" s="53" t="n">
        <f aca="false">B1611+G1611</f>
        <v>45995</v>
      </c>
      <c r="J1611" s="39" t="str">
        <f aca="false">IF(G1611=0,"Tunai",IF(I1611="","Belum ditukar","Sudah ditukar"))</f>
        <v>Tunai</v>
      </c>
      <c r="K1611" s="54" t="n">
        <v>5982500</v>
      </c>
      <c r="L1611" s="51" t="n">
        <v>45995</v>
      </c>
      <c r="M1611" s="52" t="n">
        <f aca="false">F1611-K1611</f>
        <v>0</v>
      </c>
      <c r="N1611" s="39" t="str">
        <f aca="false">IF(M1611&lt;=0,"Lunas",IF(K1611&gt;0,"Sebagian","Belum Bayar"))</f>
        <v>Lunas</v>
      </c>
      <c r="O1611" s="39" t="n">
        <f aca="false">IF(M1611&gt;0,MAX(0,Catatan!$B$3-H1611),0)</f>
        <v>0</v>
      </c>
      <c r="P1611" s="39" t="str">
        <f aca="false">IF(M1611&lt;=0,"Lunas",IF(Catatan!$B$3&lt;=H1611,"Belum Jatuh Tempo",IF(O1611&lt;=30,"1-30 hari",IF(O1611&lt;=60,"31-60 hari",IF(O1611&lt;=90,"61-90 hari","90+ hari")))))</f>
        <v>Lunas</v>
      </c>
      <c r="Q1611" s="50"/>
      <c r="R1611" s="39" t="str">
        <f aca="false">IF(M1611&lt;=0,"",IF(O1611&gt;60,"1-Tinggi",IF(O1611&gt;30,"2-Sedang",IF(O1611&gt;0,"3-Rendah","4-Pantau"))))</f>
        <v/>
      </c>
      <c r="S1611" s="39" t="str">
        <f aca="false">IF(AND(M1611&gt;0,O1611&gt;0),O1611+M1611/1000000000000+ROW()/1000000000000000,"")</f>
        <v/>
      </c>
      <c r="T1611" s="39" t="str">
        <f aca="false">IF(J1611="Belum ditukar",ROW(),"")</f>
        <v/>
      </c>
    </row>
    <row r="1612" customFormat="false" ht="15" hidden="false" customHeight="false" outlineLevel="0" collapsed="false">
      <c r="A1612" s="50" t="s">
        <v>1898</v>
      </c>
      <c r="B1612" s="51" t="n">
        <v>45995</v>
      </c>
      <c r="C1612" s="50" t="s">
        <v>419</v>
      </c>
      <c r="D1612" s="39" t="str">
        <f aca="false">INDEX(Master_Customer!$B$2:$B$126,MATCH(C1612,Master_Customer!$A$2:$A$126,0))</f>
        <v>UTAMA MOTOR</v>
      </c>
      <c r="E1612" s="50" t="s">
        <v>30</v>
      </c>
      <c r="F1612" s="52" t="n">
        <f aca="false">SUMIFS(Data_Penjualan!$G$2:$G$5998,Data_Penjualan!$A$2:$A$5998,A1612)</f>
        <v>18552700</v>
      </c>
      <c r="G1612" s="39" t="n">
        <f aca="false">IF(E1612="KANTOR",0,INDEX(Master_Customer!$C$2:$C$126,MATCH(C1612,Master_Customer!$A$2:$A$126,0)))</f>
        <v>14</v>
      </c>
      <c r="H1612" s="53" t="n">
        <f aca="false">B1612+G1612</f>
        <v>46009</v>
      </c>
      <c r="I1612" s="51" t="n">
        <v>45996</v>
      </c>
      <c r="J1612" s="39" t="str">
        <f aca="false">IF(G1612=0,"Tunai",IF(I1612="","Belum ditukar","Sudah ditukar"))</f>
        <v>Sudah ditukar</v>
      </c>
      <c r="K1612" s="54" t="n">
        <v>18552700</v>
      </c>
      <c r="L1612" s="51" t="n">
        <v>46005</v>
      </c>
      <c r="M1612" s="52" t="n">
        <f aca="false">F1612-K1612</f>
        <v>0</v>
      </c>
      <c r="N1612" s="39" t="str">
        <f aca="false">IF(M1612&lt;=0,"Lunas",IF(K1612&gt;0,"Sebagian","Belum Bayar"))</f>
        <v>Lunas</v>
      </c>
      <c r="O1612" s="39" t="n">
        <f aca="false">IF(M1612&gt;0,MAX(0,Catatan!$B$3-H1612),0)</f>
        <v>0</v>
      </c>
      <c r="P1612" s="39" t="str">
        <f aca="false">IF(M1612&lt;=0,"Lunas",IF(Catatan!$B$3&lt;=H1612,"Belum Jatuh Tempo",IF(O1612&lt;=30,"1-30 hari",IF(O1612&lt;=60,"31-60 hari",IF(O1612&lt;=90,"61-90 hari","90+ hari")))))</f>
        <v>Lunas</v>
      </c>
      <c r="Q1612" s="50"/>
      <c r="R1612" s="39" t="str">
        <f aca="false">IF(M1612&lt;=0,"",IF(O1612&gt;60,"1-Tinggi",IF(O1612&gt;30,"2-Sedang",IF(O1612&gt;0,"3-Rendah","4-Pantau"))))</f>
        <v/>
      </c>
      <c r="S1612" s="39" t="str">
        <f aca="false">IF(AND(M1612&gt;0,O1612&gt;0),O1612+M1612/1000000000000+ROW()/1000000000000000,"")</f>
        <v/>
      </c>
      <c r="T1612" s="39" t="str">
        <f aca="false">IF(J1612="Belum ditukar",ROW(),"")</f>
        <v/>
      </c>
    </row>
    <row r="1613" customFormat="false" ht="15" hidden="false" customHeight="false" outlineLevel="0" collapsed="false">
      <c r="A1613" s="50" t="s">
        <v>1899</v>
      </c>
      <c r="B1613" s="51" t="n">
        <v>45996</v>
      </c>
      <c r="C1613" s="50" t="s">
        <v>199</v>
      </c>
      <c r="D1613" s="39" t="str">
        <f aca="false">INDEX(Master_Customer!$B$2:$B$126,MATCH(C1613,Master_Customer!$A$2:$A$126,0))</f>
        <v>KARYA SPAREPART</v>
      </c>
      <c r="E1613" s="50" t="s">
        <v>29</v>
      </c>
      <c r="F1613" s="52" t="n">
        <f aca="false">SUMIFS(Data_Penjualan!$G$2:$G$5998,Data_Penjualan!$A$2:$A$5998,A1613)</f>
        <v>17335800</v>
      </c>
      <c r="G1613" s="39" t="n">
        <f aca="false">IF(E1613="KANTOR",0,INDEX(Master_Customer!$C$2:$C$126,MATCH(C1613,Master_Customer!$A$2:$A$126,0)))</f>
        <v>45</v>
      </c>
      <c r="H1613" s="53" t="n">
        <f aca="false">B1613+G1613</f>
        <v>46041</v>
      </c>
      <c r="I1613" s="51" t="n">
        <v>45997</v>
      </c>
      <c r="J1613" s="39" t="str">
        <f aca="false">IF(G1613=0,"Tunai",IF(I1613="","Belum ditukar","Sudah ditukar"))</f>
        <v>Sudah ditukar</v>
      </c>
      <c r="K1613" s="54" t="n">
        <v>0</v>
      </c>
      <c r="M1613" s="52" t="n">
        <f aca="false">F1613-K1613</f>
        <v>17335800</v>
      </c>
      <c r="N1613" s="39" t="str">
        <f aca="false">IF(M1613&lt;=0,"Lunas",IF(K1613&gt;0,"Sebagian","Belum Bayar"))</f>
        <v>Belum Bayar</v>
      </c>
      <c r="O1613" s="39" t="n">
        <f aca="false">IF(M1613&gt;0,MAX(0,Catatan!$B$3-H1613),0)</f>
        <v>0</v>
      </c>
      <c r="P1613" s="39" t="str">
        <f aca="false">IF(M1613&lt;=0,"Lunas",IF(Catatan!$B$3&lt;=H1613,"Belum Jatuh Tempo",IF(O1613&lt;=30,"1-30 hari",IF(O1613&lt;=60,"31-60 hari",IF(O1613&lt;=90,"61-90 hari","90+ hari")))))</f>
        <v>Belum Jatuh Tempo</v>
      </c>
      <c r="Q1613" s="50"/>
      <c r="R1613" s="39" t="str">
        <f aca="false">IF(M1613&lt;=0,"",IF(O1613&gt;60,"1-Tinggi",IF(O1613&gt;30,"2-Sedang",IF(O1613&gt;0,"3-Rendah","4-Pantau"))))</f>
        <v>4-Pantau</v>
      </c>
      <c r="S1613" s="39" t="str">
        <f aca="false">IF(AND(M1613&gt;0,O1613&gt;0),O1613+M1613/1000000000000+ROW()/1000000000000000,"")</f>
        <v/>
      </c>
      <c r="T1613" s="39" t="str">
        <f aca="false">IF(J1613="Belum ditukar",ROW(),"")</f>
        <v/>
      </c>
    </row>
    <row r="1614" customFormat="false" ht="15" hidden="false" customHeight="false" outlineLevel="0" collapsed="false">
      <c r="A1614" s="50" t="s">
        <v>150</v>
      </c>
      <c r="B1614" s="51" t="n">
        <v>45996</v>
      </c>
      <c r="C1614" s="50" t="s">
        <v>232</v>
      </c>
      <c r="D1614" s="39" t="str">
        <f aca="false">INDEX(Master_Customer!$B$2:$B$126,MATCH(C1614,Master_Customer!$A$2:$A$126,0))</f>
        <v>ABADI LUBRICANT KARYA</v>
      </c>
      <c r="E1614" s="50" t="s">
        <v>29</v>
      </c>
      <c r="F1614" s="52" t="n">
        <f aca="false">SUMIFS(Data_Penjualan!$G$2:$G$5998,Data_Penjualan!$A$2:$A$5998,A1614)</f>
        <v>5251900</v>
      </c>
      <c r="G1614" s="39" t="n">
        <f aca="false">IF(E1614="KANTOR",0,INDEX(Master_Customer!$C$2:$C$126,MATCH(C1614,Master_Customer!$A$2:$A$126,0)))</f>
        <v>14</v>
      </c>
      <c r="H1614" s="53" t="n">
        <f aca="false">B1614+G1614</f>
        <v>46010</v>
      </c>
      <c r="I1614" s="51" t="n">
        <v>45998</v>
      </c>
      <c r="J1614" s="39" t="str">
        <f aca="false">IF(G1614=0,"Tunai",IF(I1614="","Belum ditukar","Sudah ditukar"))</f>
        <v>Sudah ditukar</v>
      </c>
      <c r="K1614" s="54" t="n">
        <v>3247200</v>
      </c>
      <c r="L1614" s="51" t="n">
        <v>46009</v>
      </c>
      <c r="M1614" s="52" t="n">
        <f aca="false">F1614-K1614</f>
        <v>2004700</v>
      </c>
      <c r="N1614" s="39" t="str">
        <f aca="false">IF(M1614&lt;=0,"Lunas",IF(K1614&gt;0,"Sebagian","Belum Bayar"))</f>
        <v>Sebagian</v>
      </c>
      <c r="O1614" s="39" t="n">
        <f aca="false">IF(M1614&gt;0,MAX(0,Catatan!$B$3-H1614),0)</f>
        <v>12</v>
      </c>
      <c r="P1614" s="39" t="str">
        <f aca="false">IF(M1614&lt;=0,"Lunas",IF(Catatan!$B$3&lt;=H1614,"Belum Jatuh Tempo",IF(O1614&lt;=30,"1-30 hari",IF(O1614&lt;=60,"31-60 hari",IF(O1614&lt;=90,"61-90 hari","90+ hari")))))</f>
        <v>1-30 hari</v>
      </c>
      <c r="Q1614" s="50" t="s">
        <v>397</v>
      </c>
      <c r="R1614" s="39" t="str">
        <f aca="false">IF(M1614&lt;=0,"",IF(O1614&gt;60,"1-Tinggi",IF(O1614&gt;30,"2-Sedang",IF(O1614&gt;0,"3-Rendah","4-Pantau"))))</f>
        <v>3-Rendah</v>
      </c>
      <c r="S1614" s="39" t="n">
        <f aca="false">IF(AND(M1614&gt;0,O1614&gt;0),O1614+M1614/1000000000000+ROW()/1000000000000000,"")</f>
        <v>12.0000020047016</v>
      </c>
      <c r="T1614" s="39" t="str">
        <f aca="false">IF(J1614="Belum ditukar",ROW(),"")</f>
        <v/>
      </c>
    </row>
    <row r="1615" customFormat="false" ht="15" hidden="false" customHeight="false" outlineLevel="0" collapsed="false">
      <c r="A1615" s="50" t="s">
        <v>1900</v>
      </c>
      <c r="B1615" s="51" t="n">
        <v>45996</v>
      </c>
      <c r="C1615" s="50" t="s">
        <v>358</v>
      </c>
      <c r="D1615" s="39" t="str">
        <f aca="false">INDEX(Master_Customer!$B$2:$B$126,MATCH(C1615,Master_Customer!$A$2:$A$126,0))</f>
        <v>HARAPAN TEKNIK</v>
      </c>
      <c r="E1615" s="50" t="s">
        <v>31</v>
      </c>
      <c r="F1615" s="52" t="n">
        <f aca="false">SUMIFS(Data_Penjualan!$G$2:$G$5998,Data_Penjualan!$A$2:$A$5998,A1615)</f>
        <v>11183800</v>
      </c>
      <c r="G1615" s="39" t="n">
        <f aca="false">IF(E1615="KANTOR",0,INDEX(Master_Customer!$C$2:$C$126,MATCH(C1615,Master_Customer!$A$2:$A$126,0)))</f>
        <v>0</v>
      </c>
      <c r="H1615" s="53" t="n">
        <f aca="false">B1615+G1615</f>
        <v>45996</v>
      </c>
      <c r="J1615" s="39" t="str">
        <f aca="false">IF(G1615=0,"Tunai",IF(I1615="","Belum ditukar","Sudah ditukar"))</f>
        <v>Tunai</v>
      </c>
      <c r="K1615" s="54" t="n">
        <v>11183800</v>
      </c>
      <c r="L1615" s="51" t="n">
        <v>45996</v>
      </c>
      <c r="M1615" s="52" t="n">
        <f aca="false">F1615-K1615</f>
        <v>0</v>
      </c>
      <c r="N1615" s="39" t="str">
        <f aca="false">IF(M1615&lt;=0,"Lunas",IF(K1615&gt;0,"Sebagian","Belum Bayar"))</f>
        <v>Lunas</v>
      </c>
      <c r="O1615" s="39" t="n">
        <f aca="false">IF(M1615&gt;0,MAX(0,Catatan!$B$3-H1615),0)</f>
        <v>0</v>
      </c>
      <c r="P1615" s="39" t="str">
        <f aca="false">IF(M1615&lt;=0,"Lunas",IF(Catatan!$B$3&lt;=H1615,"Belum Jatuh Tempo",IF(O1615&lt;=30,"1-30 hari",IF(O1615&lt;=60,"31-60 hari",IF(O1615&lt;=90,"61-90 hari","90+ hari")))))</f>
        <v>Lunas</v>
      </c>
      <c r="Q1615" s="50"/>
      <c r="R1615" s="39" t="str">
        <f aca="false">IF(M1615&lt;=0,"",IF(O1615&gt;60,"1-Tinggi",IF(O1615&gt;30,"2-Sedang",IF(O1615&gt;0,"3-Rendah","4-Pantau"))))</f>
        <v/>
      </c>
      <c r="S1615" s="39" t="str">
        <f aca="false">IF(AND(M1615&gt;0,O1615&gt;0),O1615+M1615/1000000000000+ROW()/1000000000000000,"")</f>
        <v/>
      </c>
      <c r="T1615" s="39" t="str">
        <f aca="false">IF(J1615="Belum ditukar",ROW(),"")</f>
        <v/>
      </c>
    </row>
    <row r="1616" customFormat="false" ht="15" hidden="false" customHeight="false" outlineLevel="0" collapsed="false">
      <c r="A1616" s="50" t="s">
        <v>1901</v>
      </c>
      <c r="B1616" s="51" t="n">
        <v>45996</v>
      </c>
      <c r="C1616" s="50" t="s">
        <v>166</v>
      </c>
      <c r="D1616" s="39" t="str">
        <f aca="false">INDEX(Master_Customer!$B$2:$B$126,MATCH(C1616,Master_Customer!$A$2:$A$126,0))</f>
        <v>SENTOSA SERVICE</v>
      </c>
      <c r="E1616" s="50" t="s">
        <v>30</v>
      </c>
      <c r="F1616" s="52" t="n">
        <f aca="false">SUMIFS(Data_Penjualan!$G$2:$G$5998,Data_Penjualan!$A$2:$A$5998,A1616)</f>
        <v>1717700</v>
      </c>
      <c r="G1616" s="39" t="n">
        <f aca="false">IF(E1616="KANTOR",0,INDEX(Master_Customer!$C$2:$C$126,MATCH(C1616,Master_Customer!$A$2:$A$126,0)))</f>
        <v>0</v>
      </c>
      <c r="H1616" s="53" t="n">
        <f aca="false">B1616+G1616</f>
        <v>45996</v>
      </c>
      <c r="J1616" s="39" t="str">
        <f aca="false">IF(G1616=0,"Tunai",IF(I1616="","Belum ditukar","Sudah ditukar"))</f>
        <v>Tunai</v>
      </c>
      <c r="K1616" s="54" t="n">
        <v>1717700</v>
      </c>
      <c r="L1616" s="51" t="n">
        <v>45997</v>
      </c>
      <c r="M1616" s="52" t="n">
        <f aca="false">F1616-K1616</f>
        <v>0</v>
      </c>
      <c r="N1616" s="39" t="str">
        <f aca="false">IF(M1616&lt;=0,"Lunas",IF(K1616&gt;0,"Sebagian","Belum Bayar"))</f>
        <v>Lunas</v>
      </c>
      <c r="O1616" s="39" t="n">
        <f aca="false">IF(M1616&gt;0,MAX(0,Catatan!$B$3-H1616),0)</f>
        <v>0</v>
      </c>
      <c r="P1616" s="39" t="str">
        <f aca="false">IF(M1616&lt;=0,"Lunas",IF(Catatan!$B$3&lt;=H1616,"Belum Jatuh Tempo",IF(O1616&lt;=30,"1-30 hari",IF(O1616&lt;=60,"31-60 hari",IF(O1616&lt;=90,"61-90 hari","90+ hari")))))</f>
        <v>Lunas</v>
      </c>
      <c r="Q1616" s="50"/>
      <c r="R1616" s="39" t="str">
        <f aca="false">IF(M1616&lt;=0,"",IF(O1616&gt;60,"1-Tinggi",IF(O1616&gt;30,"2-Sedang",IF(O1616&gt;0,"3-Rendah","4-Pantau"))))</f>
        <v/>
      </c>
      <c r="S1616" s="39" t="str">
        <f aca="false">IF(AND(M1616&gt;0,O1616&gt;0),O1616+M1616/1000000000000+ROW()/1000000000000000,"")</f>
        <v/>
      </c>
      <c r="T1616" s="39" t="str">
        <f aca="false">IF(J1616="Belum ditukar",ROW(),"")</f>
        <v/>
      </c>
    </row>
    <row r="1617" customFormat="false" ht="15" hidden="false" customHeight="false" outlineLevel="0" collapsed="false">
      <c r="A1617" s="50" t="s">
        <v>1902</v>
      </c>
      <c r="B1617" s="51" t="n">
        <v>45996</v>
      </c>
      <c r="C1617" s="50" t="s">
        <v>205</v>
      </c>
      <c r="D1617" s="39" t="str">
        <f aca="false">INDEX(Master_Customer!$B$2:$B$126,MATCH(C1617,Master_Customer!$A$2:$A$126,0))</f>
        <v>BERKAH OLI</v>
      </c>
      <c r="E1617" s="50" t="s">
        <v>28</v>
      </c>
      <c r="F1617" s="52" t="n">
        <f aca="false">SUMIFS(Data_Penjualan!$G$2:$G$5998,Data_Penjualan!$A$2:$A$5998,A1617)</f>
        <v>3306700</v>
      </c>
      <c r="G1617" s="39" t="n">
        <f aca="false">IF(E1617="KANTOR",0,INDEX(Master_Customer!$C$2:$C$126,MATCH(C1617,Master_Customer!$A$2:$A$126,0)))</f>
        <v>0</v>
      </c>
      <c r="H1617" s="53" t="n">
        <f aca="false">B1617+G1617</f>
        <v>45996</v>
      </c>
      <c r="J1617" s="39" t="str">
        <f aca="false">IF(G1617=0,"Tunai",IF(I1617="","Belum ditukar","Sudah ditukar"))</f>
        <v>Tunai</v>
      </c>
      <c r="K1617" s="54" t="n">
        <v>3306700</v>
      </c>
      <c r="L1617" s="51" t="n">
        <v>45997</v>
      </c>
      <c r="M1617" s="52" t="n">
        <f aca="false">F1617-K1617</f>
        <v>0</v>
      </c>
      <c r="N1617" s="39" t="str">
        <f aca="false">IF(M1617&lt;=0,"Lunas",IF(K1617&gt;0,"Sebagian","Belum Bayar"))</f>
        <v>Lunas</v>
      </c>
      <c r="O1617" s="39" t="n">
        <f aca="false">IF(M1617&gt;0,MAX(0,Catatan!$B$3-H1617),0)</f>
        <v>0</v>
      </c>
      <c r="P1617" s="39" t="str">
        <f aca="false">IF(M1617&lt;=0,"Lunas",IF(Catatan!$B$3&lt;=H1617,"Belum Jatuh Tempo",IF(O1617&lt;=30,"1-30 hari",IF(O1617&lt;=60,"31-60 hari",IF(O1617&lt;=90,"61-90 hari","90+ hari")))))</f>
        <v>Lunas</v>
      </c>
      <c r="Q1617" s="50"/>
      <c r="R1617" s="39" t="str">
        <f aca="false">IF(M1617&lt;=0,"",IF(O1617&gt;60,"1-Tinggi",IF(O1617&gt;30,"2-Sedang",IF(O1617&gt;0,"3-Rendah","4-Pantau"))))</f>
        <v/>
      </c>
      <c r="S1617" s="39" t="str">
        <f aca="false">IF(AND(M1617&gt;0,O1617&gt;0),O1617+M1617/1000000000000+ROW()/1000000000000000,"")</f>
        <v/>
      </c>
      <c r="T1617" s="39" t="str">
        <f aca="false">IF(J1617="Belum ditukar",ROW(),"")</f>
        <v/>
      </c>
    </row>
    <row r="1618" customFormat="false" ht="15" hidden="false" customHeight="false" outlineLevel="0" collapsed="false">
      <c r="A1618" s="50" t="s">
        <v>1903</v>
      </c>
      <c r="B1618" s="51" t="n">
        <v>45996</v>
      </c>
      <c r="C1618" s="50" t="s">
        <v>408</v>
      </c>
      <c r="D1618" s="39" t="str">
        <f aca="false">INDEX(Master_Customer!$B$2:$B$126,MATCH(C1618,Master_Customer!$A$2:$A$126,0))</f>
        <v>SURYA GARAGE</v>
      </c>
      <c r="E1618" s="50" t="s">
        <v>32</v>
      </c>
      <c r="F1618" s="52" t="n">
        <f aca="false">SUMIFS(Data_Penjualan!$G$2:$G$5998,Data_Penjualan!$A$2:$A$5998,A1618)</f>
        <v>4332900</v>
      </c>
      <c r="G1618" s="39" t="n">
        <f aca="false">IF(E1618="KANTOR",0,INDEX(Master_Customer!$C$2:$C$126,MATCH(C1618,Master_Customer!$A$2:$A$126,0)))</f>
        <v>0</v>
      </c>
      <c r="H1618" s="53" t="n">
        <f aca="false">B1618+G1618</f>
        <v>45996</v>
      </c>
      <c r="J1618" s="39" t="str">
        <f aca="false">IF(G1618=0,"Tunai",IF(I1618="","Belum ditukar","Sudah ditukar"))</f>
        <v>Tunai</v>
      </c>
      <c r="K1618" s="54" t="n">
        <v>4332900</v>
      </c>
      <c r="L1618" s="51" t="n">
        <v>45996</v>
      </c>
      <c r="M1618" s="52" t="n">
        <f aca="false">F1618-K1618</f>
        <v>0</v>
      </c>
      <c r="N1618" s="39" t="str">
        <f aca="false">IF(M1618&lt;=0,"Lunas",IF(K1618&gt;0,"Sebagian","Belum Bayar"))</f>
        <v>Lunas</v>
      </c>
      <c r="O1618" s="39" t="n">
        <f aca="false">IF(M1618&gt;0,MAX(0,Catatan!$B$3-H1618),0)</f>
        <v>0</v>
      </c>
      <c r="P1618" s="39" t="str">
        <f aca="false">IF(M1618&lt;=0,"Lunas",IF(Catatan!$B$3&lt;=H1618,"Belum Jatuh Tempo",IF(O1618&lt;=30,"1-30 hari",IF(O1618&lt;=60,"31-60 hari",IF(O1618&lt;=90,"61-90 hari","90+ hari")))))</f>
        <v>Lunas</v>
      </c>
      <c r="Q1618" s="50"/>
      <c r="R1618" s="39" t="str">
        <f aca="false">IF(M1618&lt;=0,"",IF(O1618&gt;60,"1-Tinggi",IF(O1618&gt;30,"2-Sedang",IF(O1618&gt;0,"3-Rendah","4-Pantau"))))</f>
        <v/>
      </c>
      <c r="S1618" s="39" t="str">
        <f aca="false">IF(AND(M1618&gt;0,O1618&gt;0),O1618+M1618/1000000000000+ROW()/1000000000000000,"")</f>
        <v/>
      </c>
      <c r="T1618" s="39" t="str">
        <f aca="false">IF(J1618="Belum ditukar",ROW(),"")</f>
        <v/>
      </c>
    </row>
    <row r="1619" customFormat="false" ht="15" hidden="false" customHeight="false" outlineLevel="0" collapsed="false">
      <c r="A1619" s="50" t="s">
        <v>1904</v>
      </c>
      <c r="B1619" s="51" t="n">
        <v>45996</v>
      </c>
      <c r="C1619" s="50" t="s">
        <v>188</v>
      </c>
      <c r="D1619" s="39" t="str">
        <f aca="false">INDEX(Master_Customer!$B$2:$B$126,MATCH(C1619,Master_Customer!$A$2:$A$126,0))</f>
        <v>MAJU GARAGE TIRTA</v>
      </c>
      <c r="E1619" s="50" t="s">
        <v>31</v>
      </c>
      <c r="F1619" s="52" t="n">
        <f aca="false">SUMIFS(Data_Penjualan!$G$2:$G$5998,Data_Penjualan!$A$2:$A$5998,A1619)</f>
        <v>2964700</v>
      </c>
      <c r="G1619" s="39" t="n">
        <f aca="false">IF(E1619="KANTOR",0,INDEX(Master_Customer!$C$2:$C$126,MATCH(C1619,Master_Customer!$A$2:$A$126,0)))</f>
        <v>45</v>
      </c>
      <c r="H1619" s="53" t="n">
        <f aca="false">B1619+G1619</f>
        <v>46041</v>
      </c>
      <c r="I1619" s="51" t="n">
        <v>45999</v>
      </c>
      <c r="J1619" s="39" t="str">
        <f aca="false">IF(G1619=0,"Tunai",IF(I1619="","Belum ditukar","Sudah ditukar"))</f>
        <v>Sudah ditukar</v>
      </c>
      <c r="K1619" s="54" t="n">
        <v>1065300</v>
      </c>
      <c r="L1619" s="51" t="n">
        <v>46009</v>
      </c>
      <c r="M1619" s="52" t="n">
        <f aca="false">F1619-K1619</f>
        <v>1899400</v>
      </c>
      <c r="N1619" s="39" t="str">
        <f aca="false">IF(M1619&lt;=0,"Lunas",IF(K1619&gt;0,"Sebagian","Belum Bayar"))</f>
        <v>Sebagian</v>
      </c>
      <c r="O1619" s="39" t="n">
        <f aca="false">IF(M1619&gt;0,MAX(0,Catatan!$B$3-H1619),0)</f>
        <v>0</v>
      </c>
      <c r="P1619" s="39" t="str">
        <f aca="false">IF(M1619&lt;=0,"Lunas",IF(Catatan!$B$3&lt;=H1619,"Belum Jatuh Tempo",IF(O1619&lt;=30,"1-30 hari",IF(O1619&lt;=60,"31-60 hari",IF(O1619&lt;=90,"61-90 hari","90+ hari")))))</f>
        <v>Belum Jatuh Tempo</v>
      </c>
      <c r="Q1619" s="50"/>
      <c r="R1619" s="39" t="str">
        <f aca="false">IF(M1619&lt;=0,"",IF(O1619&gt;60,"1-Tinggi",IF(O1619&gt;30,"2-Sedang",IF(O1619&gt;0,"3-Rendah","4-Pantau"))))</f>
        <v>4-Pantau</v>
      </c>
      <c r="S1619" s="39" t="str">
        <f aca="false">IF(AND(M1619&gt;0,O1619&gt;0),O1619+M1619/1000000000000+ROW()/1000000000000000,"")</f>
        <v/>
      </c>
      <c r="T1619" s="39" t="str">
        <f aca="false">IF(J1619="Belum ditukar",ROW(),"")</f>
        <v/>
      </c>
    </row>
    <row r="1620" customFormat="false" ht="15" hidden="false" customHeight="false" outlineLevel="0" collapsed="false">
      <c r="A1620" s="50" t="s">
        <v>1905</v>
      </c>
      <c r="B1620" s="51" t="n">
        <v>45996</v>
      </c>
      <c r="C1620" s="50" t="s">
        <v>271</v>
      </c>
      <c r="D1620" s="39" t="str">
        <f aca="false">INDEX(Master_Customer!$B$2:$B$126,MATCH(C1620,Master_Customer!$A$2:$A$126,0))</f>
        <v>CAHAYA MOTOR</v>
      </c>
      <c r="E1620" s="50" t="s">
        <v>28</v>
      </c>
      <c r="F1620" s="52" t="n">
        <f aca="false">SUMIFS(Data_Penjualan!$G$2:$G$5998,Data_Penjualan!$A$2:$A$5998,A1620)</f>
        <v>14063300</v>
      </c>
      <c r="G1620" s="39" t="n">
        <f aca="false">IF(E1620="KANTOR",0,INDEX(Master_Customer!$C$2:$C$126,MATCH(C1620,Master_Customer!$A$2:$A$126,0)))</f>
        <v>14</v>
      </c>
      <c r="H1620" s="53" t="n">
        <f aca="false">B1620+G1620</f>
        <v>46010</v>
      </c>
      <c r="I1620" s="51" t="n">
        <v>46000</v>
      </c>
      <c r="J1620" s="39" t="str">
        <f aca="false">IF(G1620=0,"Tunai",IF(I1620="","Belum ditukar","Sudah ditukar"))</f>
        <v>Sudah ditukar</v>
      </c>
      <c r="K1620" s="54" t="n">
        <v>14063300</v>
      </c>
      <c r="L1620" s="51" t="n">
        <v>46009</v>
      </c>
      <c r="M1620" s="52" t="n">
        <f aca="false">F1620-K1620</f>
        <v>0</v>
      </c>
      <c r="N1620" s="39" t="str">
        <f aca="false">IF(M1620&lt;=0,"Lunas",IF(K1620&gt;0,"Sebagian","Belum Bayar"))</f>
        <v>Lunas</v>
      </c>
      <c r="O1620" s="39" t="n">
        <f aca="false">IF(M1620&gt;0,MAX(0,Catatan!$B$3-H1620),0)</f>
        <v>0</v>
      </c>
      <c r="P1620" s="39" t="str">
        <f aca="false">IF(M1620&lt;=0,"Lunas",IF(Catatan!$B$3&lt;=H1620,"Belum Jatuh Tempo",IF(O1620&lt;=30,"1-30 hari",IF(O1620&lt;=60,"31-60 hari",IF(O1620&lt;=90,"61-90 hari","90+ hari")))))</f>
        <v>Lunas</v>
      </c>
      <c r="Q1620" s="50"/>
      <c r="R1620" s="39" t="str">
        <f aca="false">IF(M1620&lt;=0,"",IF(O1620&gt;60,"1-Tinggi",IF(O1620&gt;30,"2-Sedang",IF(O1620&gt;0,"3-Rendah","4-Pantau"))))</f>
        <v/>
      </c>
      <c r="S1620" s="39" t="str">
        <f aca="false">IF(AND(M1620&gt;0,O1620&gt;0),O1620+M1620/1000000000000+ROW()/1000000000000000,"")</f>
        <v/>
      </c>
      <c r="T1620" s="39" t="str">
        <f aca="false">IF(J1620="Belum ditukar",ROW(),"")</f>
        <v/>
      </c>
    </row>
    <row r="1621" customFormat="false" ht="15" hidden="false" customHeight="false" outlineLevel="0" collapsed="false">
      <c r="A1621" s="50" t="s">
        <v>1906</v>
      </c>
      <c r="B1621" s="51" t="n">
        <v>45996</v>
      </c>
      <c r="C1621" s="50" t="s">
        <v>249</v>
      </c>
      <c r="D1621" s="39" t="str">
        <f aca="false">INDEX(Master_Customer!$B$2:$B$126,MATCH(C1621,Master_Customer!$A$2:$A$126,0))</f>
        <v>SENTOSA MOTOR</v>
      </c>
      <c r="E1621" s="50" t="s">
        <v>31</v>
      </c>
      <c r="F1621" s="52" t="n">
        <f aca="false">SUMIFS(Data_Penjualan!$G$2:$G$5998,Data_Penjualan!$A$2:$A$5998,A1621)</f>
        <v>4472700</v>
      </c>
      <c r="G1621" s="39" t="n">
        <f aca="false">IF(E1621="KANTOR",0,INDEX(Master_Customer!$C$2:$C$126,MATCH(C1621,Master_Customer!$A$2:$A$126,0)))</f>
        <v>45</v>
      </c>
      <c r="H1621" s="53" t="n">
        <f aca="false">B1621+G1621</f>
        <v>46041</v>
      </c>
      <c r="I1621" s="51" t="n">
        <v>45999</v>
      </c>
      <c r="J1621" s="39" t="str">
        <f aca="false">IF(G1621=0,"Tunai",IF(I1621="","Belum ditukar","Sudah ditukar"))</f>
        <v>Sudah ditukar</v>
      </c>
      <c r="K1621" s="54" t="n">
        <v>0</v>
      </c>
      <c r="M1621" s="52" t="n">
        <f aca="false">F1621-K1621</f>
        <v>4472700</v>
      </c>
      <c r="N1621" s="39" t="str">
        <f aca="false">IF(M1621&lt;=0,"Lunas",IF(K1621&gt;0,"Sebagian","Belum Bayar"))</f>
        <v>Belum Bayar</v>
      </c>
      <c r="O1621" s="39" t="n">
        <f aca="false">IF(M1621&gt;0,MAX(0,Catatan!$B$3-H1621),0)</f>
        <v>0</v>
      </c>
      <c r="P1621" s="39" t="str">
        <f aca="false">IF(M1621&lt;=0,"Lunas",IF(Catatan!$B$3&lt;=H1621,"Belum Jatuh Tempo",IF(O1621&lt;=30,"1-30 hari",IF(O1621&lt;=60,"31-60 hari",IF(O1621&lt;=90,"61-90 hari","90+ hari")))))</f>
        <v>Belum Jatuh Tempo</v>
      </c>
      <c r="Q1621" s="50"/>
      <c r="R1621" s="39" t="str">
        <f aca="false">IF(M1621&lt;=0,"",IF(O1621&gt;60,"1-Tinggi",IF(O1621&gt;30,"2-Sedang",IF(O1621&gt;0,"3-Rendah","4-Pantau"))))</f>
        <v>4-Pantau</v>
      </c>
      <c r="S1621" s="39" t="str">
        <f aca="false">IF(AND(M1621&gt;0,O1621&gt;0),O1621+M1621/1000000000000+ROW()/1000000000000000,"")</f>
        <v/>
      </c>
      <c r="T1621" s="39" t="str">
        <f aca="false">IF(J1621="Belum ditukar",ROW(),"")</f>
        <v/>
      </c>
    </row>
    <row r="1622" customFormat="false" ht="15" hidden="false" customHeight="false" outlineLevel="0" collapsed="false">
      <c r="A1622" s="50" t="s">
        <v>1907</v>
      </c>
      <c r="B1622" s="51" t="n">
        <v>45996</v>
      </c>
      <c r="C1622" s="50" t="s">
        <v>237</v>
      </c>
      <c r="D1622" s="39" t="str">
        <f aca="false">INDEX(Master_Customer!$B$2:$B$126,MATCH(C1622,Master_Customer!$A$2:$A$126,0))</f>
        <v>SINAR SPAREPART</v>
      </c>
      <c r="E1622" s="50" t="s">
        <v>31</v>
      </c>
      <c r="F1622" s="52" t="n">
        <f aca="false">SUMIFS(Data_Penjualan!$G$2:$G$5998,Data_Penjualan!$A$2:$A$5998,A1622)</f>
        <v>6660800</v>
      </c>
      <c r="G1622" s="39" t="n">
        <f aca="false">IF(E1622="KANTOR",0,INDEX(Master_Customer!$C$2:$C$126,MATCH(C1622,Master_Customer!$A$2:$A$126,0)))</f>
        <v>45</v>
      </c>
      <c r="H1622" s="53" t="n">
        <f aca="false">B1622+G1622</f>
        <v>46041</v>
      </c>
      <c r="I1622" s="51" t="n">
        <v>45998</v>
      </c>
      <c r="J1622" s="39" t="str">
        <f aca="false">IF(G1622=0,"Tunai",IF(I1622="","Belum ditukar","Sudah ditukar"))</f>
        <v>Sudah ditukar</v>
      </c>
      <c r="K1622" s="54" t="n">
        <v>0</v>
      </c>
      <c r="M1622" s="52" t="n">
        <f aca="false">F1622-K1622</f>
        <v>6660800</v>
      </c>
      <c r="N1622" s="39" t="str">
        <f aca="false">IF(M1622&lt;=0,"Lunas",IF(K1622&gt;0,"Sebagian","Belum Bayar"))</f>
        <v>Belum Bayar</v>
      </c>
      <c r="O1622" s="39" t="n">
        <f aca="false">IF(M1622&gt;0,MAX(0,Catatan!$B$3-H1622),0)</f>
        <v>0</v>
      </c>
      <c r="P1622" s="39" t="str">
        <f aca="false">IF(M1622&lt;=0,"Lunas",IF(Catatan!$B$3&lt;=H1622,"Belum Jatuh Tempo",IF(O1622&lt;=30,"1-30 hari",IF(O1622&lt;=60,"31-60 hari",IF(O1622&lt;=90,"61-90 hari","90+ hari")))))</f>
        <v>Belum Jatuh Tempo</v>
      </c>
      <c r="Q1622" s="50"/>
      <c r="R1622" s="39" t="str">
        <f aca="false">IF(M1622&lt;=0,"",IF(O1622&gt;60,"1-Tinggi",IF(O1622&gt;30,"2-Sedang",IF(O1622&gt;0,"3-Rendah","4-Pantau"))))</f>
        <v>4-Pantau</v>
      </c>
      <c r="S1622" s="39" t="str">
        <f aca="false">IF(AND(M1622&gt;0,O1622&gt;0),O1622+M1622/1000000000000+ROW()/1000000000000000,"")</f>
        <v/>
      </c>
      <c r="T1622" s="39" t="str">
        <f aca="false">IF(J1622="Belum ditukar",ROW(),"")</f>
        <v/>
      </c>
    </row>
    <row r="1623" customFormat="false" ht="15" hidden="false" customHeight="false" outlineLevel="0" collapsed="false">
      <c r="A1623" s="50" t="s">
        <v>1908</v>
      </c>
      <c r="B1623" s="51" t="n">
        <v>45996</v>
      </c>
      <c r="C1623" s="50" t="s">
        <v>320</v>
      </c>
      <c r="D1623" s="39" t="str">
        <f aca="false">INDEX(Master_Customer!$B$2:$B$126,MATCH(C1623,Master_Customer!$A$2:$A$126,0))</f>
        <v>BINTANG OLI</v>
      </c>
      <c r="E1623" s="50" t="s">
        <v>32</v>
      </c>
      <c r="F1623" s="52" t="n">
        <f aca="false">SUMIFS(Data_Penjualan!$G$2:$G$5998,Data_Penjualan!$A$2:$A$5998,A1623)</f>
        <v>8856600</v>
      </c>
      <c r="G1623" s="39" t="n">
        <f aca="false">IF(E1623="KANTOR",0,INDEX(Master_Customer!$C$2:$C$126,MATCH(C1623,Master_Customer!$A$2:$A$126,0)))</f>
        <v>0</v>
      </c>
      <c r="H1623" s="53" t="n">
        <f aca="false">B1623+G1623</f>
        <v>45996</v>
      </c>
      <c r="J1623" s="39" t="str">
        <f aca="false">IF(G1623=0,"Tunai",IF(I1623="","Belum ditukar","Sudah ditukar"))</f>
        <v>Tunai</v>
      </c>
      <c r="K1623" s="54" t="n">
        <v>8856600</v>
      </c>
      <c r="L1623" s="51" t="n">
        <v>46022</v>
      </c>
      <c r="M1623" s="52" t="n">
        <f aca="false">F1623-K1623</f>
        <v>0</v>
      </c>
      <c r="N1623" s="39" t="str">
        <f aca="false">IF(M1623&lt;=0,"Lunas",IF(K1623&gt;0,"Sebagian","Belum Bayar"))</f>
        <v>Lunas</v>
      </c>
      <c r="O1623" s="39" t="n">
        <f aca="false">IF(M1623&gt;0,MAX(0,Catatan!$B$3-H1623),0)</f>
        <v>0</v>
      </c>
      <c r="P1623" s="39" t="str">
        <f aca="false">IF(M1623&lt;=0,"Lunas",IF(Catatan!$B$3&lt;=H1623,"Belum Jatuh Tempo",IF(O1623&lt;=30,"1-30 hari",IF(O1623&lt;=60,"31-60 hari",IF(O1623&lt;=90,"61-90 hari","90+ hari")))))</f>
        <v>Lunas</v>
      </c>
      <c r="Q1623" s="50"/>
      <c r="R1623" s="39" t="str">
        <f aca="false">IF(M1623&lt;=0,"",IF(O1623&gt;60,"1-Tinggi",IF(O1623&gt;30,"2-Sedang",IF(O1623&gt;0,"3-Rendah","4-Pantau"))))</f>
        <v/>
      </c>
      <c r="S1623" s="39" t="str">
        <f aca="false">IF(AND(M1623&gt;0,O1623&gt;0),O1623+M1623/1000000000000+ROW()/1000000000000000,"")</f>
        <v/>
      </c>
      <c r="T1623" s="39" t="str">
        <f aca="false">IF(J1623="Belum ditukar",ROW(),"")</f>
        <v/>
      </c>
    </row>
    <row r="1624" customFormat="false" ht="15" hidden="false" customHeight="false" outlineLevel="0" collapsed="false">
      <c r="A1624" s="50" t="s">
        <v>1909</v>
      </c>
      <c r="B1624" s="51" t="n">
        <v>45997</v>
      </c>
      <c r="C1624" s="50" t="s">
        <v>562</v>
      </c>
      <c r="D1624" s="39" t="str">
        <f aca="false">INDEX(Master_Customer!$B$2:$B$126,MATCH(C1624,Master_Customer!$A$2:$A$126,0))</f>
        <v>BERKAH SERVICE SENTOSA</v>
      </c>
      <c r="E1624" s="50" t="s">
        <v>28</v>
      </c>
      <c r="F1624" s="52" t="n">
        <f aca="false">SUMIFS(Data_Penjualan!$G$2:$G$5998,Data_Penjualan!$A$2:$A$5998,A1624)</f>
        <v>8303500</v>
      </c>
      <c r="G1624" s="39" t="n">
        <f aca="false">IF(E1624="KANTOR",0,INDEX(Master_Customer!$C$2:$C$126,MATCH(C1624,Master_Customer!$A$2:$A$126,0)))</f>
        <v>14</v>
      </c>
      <c r="H1624" s="53" t="n">
        <f aca="false">B1624+G1624</f>
        <v>46011</v>
      </c>
      <c r="I1624" s="51" t="n">
        <v>45999</v>
      </c>
      <c r="J1624" s="39" t="str">
        <f aca="false">IF(G1624=0,"Tunai",IF(I1624="","Belum ditukar","Sudah ditukar"))</f>
        <v>Sudah ditukar</v>
      </c>
      <c r="K1624" s="54" t="n">
        <v>8303500</v>
      </c>
      <c r="L1624" s="51" t="n">
        <v>46013</v>
      </c>
      <c r="M1624" s="52" t="n">
        <f aca="false">F1624-K1624</f>
        <v>0</v>
      </c>
      <c r="N1624" s="39" t="str">
        <f aca="false">IF(M1624&lt;=0,"Lunas",IF(K1624&gt;0,"Sebagian","Belum Bayar"))</f>
        <v>Lunas</v>
      </c>
      <c r="O1624" s="39" t="n">
        <f aca="false">IF(M1624&gt;0,MAX(0,Catatan!$B$3-H1624),0)</f>
        <v>0</v>
      </c>
      <c r="P1624" s="39" t="str">
        <f aca="false">IF(M1624&lt;=0,"Lunas",IF(Catatan!$B$3&lt;=H1624,"Belum Jatuh Tempo",IF(O1624&lt;=30,"1-30 hari",IF(O1624&lt;=60,"31-60 hari",IF(O1624&lt;=90,"61-90 hari","90+ hari")))))</f>
        <v>Lunas</v>
      </c>
      <c r="Q1624" s="50"/>
      <c r="R1624" s="39" t="str">
        <f aca="false">IF(M1624&lt;=0,"",IF(O1624&gt;60,"1-Tinggi",IF(O1624&gt;30,"2-Sedang",IF(O1624&gt;0,"3-Rendah","4-Pantau"))))</f>
        <v/>
      </c>
      <c r="S1624" s="39" t="str">
        <f aca="false">IF(AND(M1624&gt;0,O1624&gt;0),O1624+M1624/1000000000000+ROW()/1000000000000000,"")</f>
        <v/>
      </c>
      <c r="T1624" s="39" t="str">
        <f aca="false">IF(J1624="Belum ditukar",ROW(),"")</f>
        <v/>
      </c>
    </row>
    <row r="1625" customFormat="false" ht="15" hidden="false" customHeight="false" outlineLevel="0" collapsed="false">
      <c r="A1625" s="50" t="s">
        <v>1910</v>
      </c>
      <c r="B1625" s="51" t="n">
        <v>45997</v>
      </c>
      <c r="C1625" s="50" t="s">
        <v>505</v>
      </c>
      <c r="D1625" s="39" t="str">
        <f aca="false">INDEX(Master_Customer!$B$2:$B$126,MATCH(C1625,Master_Customer!$A$2:$A$126,0))</f>
        <v>GEMILANG OLI CAHAYA</v>
      </c>
      <c r="E1625" s="50" t="s">
        <v>31</v>
      </c>
      <c r="F1625" s="52" t="n">
        <f aca="false">SUMIFS(Data_Penjualan!$G$2:$G$5998,Data_Penjualan!$A$2:$A$5998,A1625)</f>
        <v>9899000</v>
      </c>
      <c r="G1625" s="39" t="n">
        <f aca="false">IF(E1625="KANTOR",0,INDEX(Master_Customer!$C$2:$C$126,MATCH(C1625,Master_Customer!$A$2:$A$126,0)))</f>
        <v>0</v>
      </c>
      <c r="H1625" s="53" t="n">
        <f aca="false">B1625+G1625</f>
        <v>45997</v>
      </c>
      <c r="J1625" s="39" t="str">
        <f aca="false">IF(G1625=0,"Tunai",IF(I1625="","Belum ditukar","Sudah ditukar"))</f>
        <v>Tunai</v>
      </c>
      <c r="K1625" s="54" t="n">
        <v>9899000</v>
      </c>
      <c r="L1625" s="51" t="n">
        <v>45997</v>
      </c>
      <c r="M1625" s="52" t="n">
        <f aca="false">F1625-K1625</f>
        <v>0</v>
      </c>
      <c r="N1625" s="39" t="str">
        <f aca="false">IF(M1625&lt;=0,"Lunas",IF(K1625&gt;0,"Sebagian","Belum Bayar"))</f>
        <v>Lunas</v>
      </c>
      <c r="O1625" s="39" t="n">
        <f aca="false">IF(M1625&gt;0,MAX(0,Catatan!$B$3-H1625),0)</f>
        <v>0</v>
      </c>
      <c r="P1625" s="39" t="str">
        <f aca="false">IF(M1625&lt;=0,"Lunas",IF(Catatan!$B$3&lt;=H1625,"Belum Jatuh Tempo",IF(O1625&lt;=30,"1-30 hari",IF(O1625&lt;=60,"31-60 hari",IF(O1625&lt;=90,"61-90 hari","90+ hari")))))</f>
        <v>Lunas</v>
      </c>
      <c r="Q1625" s="50"/>
      <c r="R1625" s="39" t="str">
        <f aca="false">IF(M1625&lt;=0,"",IF(O1625&gt;60,"1-Tinggi",IF(O1625&gt;30,"2-Sedang",IF(O1625&gt;0,"3-Rendah","4-Pantau"))))</f>
        <v/>
      </c>
      <c r="S1625" s="39" t="str">
        <f aca="false">IF(AND(M1625&gt;0,O1625&gt;0),O1625+M1625/1000000000000+ROW()/1000000000000000,"")</f>
        <v/>
      </c>
      <c r="T1625" s="39" t="str">
        <f aca="false">IF(J1625="Belum ditukar",ROW(),"")</f>
        <v/>
      </c>
    </row>
    <row r="1626" customFormat="false" ht="15" hidden="false" customHeight="false" outlineLevel="0" collapsed="false">
      <c r="A1626" s="50" t="s">
        <v>1911</v>
      </c>
      <c r="B1626" s="51" t="n">
        <v>45997</v>
      </c>
      <c r="C1626" s="50" t="s">
        <v>168</v>
      </c>
      <c r="D1626" s="39" t="str">
        <f aca="false">INDEX(Master_Customer!$B$2:$B$126,MATCH(C1626,Master_Customer!$A$2:$A$126,0))</f>
        <v>JAYA LUBRICANT</v>
      </c>
      <c r="E1626" s="50" t="s">
        <v>32</v>
      </c>
      <c r="F1626" s="52" t="n">
        <f aca="false">SUMIFS(Data_Penjualan!$G$2:$G$5998,Data_Penjualan!$A$2:$A$5998,A1626)</f>
        <v>10164400</v>
      </c>
      <c r="G1626" s="39" t="n">
        <f aca="false">IF(E1626="KANTOR",0,INDEX(Master_Customer!$C$2:$C$126,MATCH(C1626,Master_Customer!$A$2:$A$126,0)))</f>
        <v>0</v>
      </c>
      <c r="H1626" s="53" t="n">
        <f aca="false">B1626+G1626</f>
        <v>45997</v>
      </c>
      <c r="J1626" s="39" t="str">
        <f aca="false">IF(G1626=0,"Tunai",IF(I1626="","Belum ditukar","Sudah ditukar"))</f>
        <v>Tunai</v>
      </c>
      <c r="K1626" s="54" t="n">
        <v>10164400</v>
      </c>
      <c r="L1626" s="51" t="n">
        <v>45997</v>
      </c>
      <c r="M1626" s="52" t="n">
        <f aca="false">F1626-K1626</f>
        <v>0</v>
      </c>
      <c r="N1626" s="39" t="str">
        <f aca="false">IF(M1626&lt;=0,"Lunas",IF(K1626&gt;0,"Sebagian","Belum Bayar"))</f>
        <v>Lunas</v>
      </c>
      <c r="O1626" s="39" t="n">
        <f aca="false">IF(M1626&gt;0,MAX(0,Catatan!$B$3-H1626),0)</f>
        <v>0</v>
      </c>
      <c r="P1626" s="39" t="str">
        <f aca="false">IF(M1626&lt;=0,"Lunas",IF(Catatan!$B$3&lt;=H1626,"Belum Jatuh Tempo",IF(O1626&lt;=30,"1-30 hari",IF(O1626&lt;=60,"31-60 hari",IF(O1626&lt;=90,"61-90 hari","90+ hari")))))</f>
        <v>Lunas</v>
      </c>
      <c r="Q1626" s="50"/>
      <c r="R1626" s="39" t="str">
        <f aca="false">IF(M1626&lt;=0,"",IF(O1626&gt;60,"1-Tinggi",IF(O1626&gt;30,"2-Sedang",IF(O1626&gt;0,"3-Rendah","4-Pantau"))))</f>
        <v/>
      </c>
      <c r="S1626" s="39" t="str">
        <f aca="false">IF(AND(M1626&gt;0,O1626&gt;0),O1626+M1626/1000000000000+ROW()/1000000000000000,"")</f>
        <v/>
      </c>
      <c r="T1626" s="39" t="str">
        <f aca="false">IF(J1626="Belum ditukar",ROW(),"")</f>
        <v/>
      </c>
    </row>
    <row r="1627" customFormat="false" ht="15" hidden="false" customHeight="false" outlineLevel="0" collapsed="false">
      <c r="A1627" s="50" t="s">
        <v>1912</v>
      </c>
      <c r="B1627" s="51" t="n">
        <v>45997</v>
      </c>
      <c r="C1627" s="50" t="s">
        <v>193</v>
      </c>
      <c r="D1627" s="39" t="str">
        <f aca="false">INDEX(Master_Customer!$B$2:$B$126,MATCH(C1627,Master_Customer!$A$2:$A$126,0))</f>
        <v>BINTANG BENGKEL</v>
      </c>
      <c r="E1627" s="50" t="s">
        <v>31</v>
      </c>
      <c r="F1627" s="52" t="n">
        <f aca="false">SUMIFS(Data_Penjualan!$G$2:$G$5998,Data_Penjualan!$A$2:$A$5998,A1627)</f>
        <v>16598500</v>
      </c>
      <c r="G1627" s="39" t="n">
        <f aca="false">IF(E1627="KANTOR",0,INDEX(Master_Customer!$C$2:$C$126,MATCH(C1627,Master_Customer!$A$2:$A$126,0)))</f>
        <v>14</v>
      </c>
      <c r="H1627" s="53" t="n">
        <f aca="false">B1627+G1627</f>
        <v>46011</v>
      </c>
      <c r="I1627" s="51" t="n">
        <v>45999</v>
      </c>
      <c r="J1627" s="39" t="str">
        <f aca="false">IF(G1627=0,"Tunai",IF(I1627="","Belum ditukar","Sudah ditukar"))</f>
        <v>Sudah ditukar</v>
      </c>
      <c r="K1627" s="54" t="n">
        <v>0</v>
      </c>
      <c r="M1627" s="52" t="n">
        <f aca="false">F1627-K1627</f>
        <v>16598500</v>
      </c>
      <c r="N1627" s="39" t="str">
        <f aca="false">IF(M1627&lt;=0,"Lunas",IF(K1627&gt;0,"Sebagian","Belum Bayar"))</f>
        <v>Belum Bayar</v>
      </c>
      <c r="O1627" s="39" t="n">
        <f aca="false">IF(M1627&gt;0,MAX(0,Catatan!$B$3-H1627),0)</f>
        <v>11</v>
      </c>
      <c r="P1627" s="39" t="str">
        <f aca="false">IF(M1627&lt;=0,"Lunas",IF(Catatan!$B$3&lt;=H1627,"Belum Jatuh Tempo",IF(O1627&lt;=30,"1-30 hari",IF(O1627&lt;=60,"31-60 hari",IF(O1627&lt;=90,"61-90 hari","90+ hari")))))</f>
        <v>1-30 hari</v>
      </c>
      <c r="Q1627" s="50" t="s">
        <v>1426</v>
      </c>
      <c r="R1627" s="39" t="str">
        <f aca="false">IF(M1627&lt;=0,"",IF(O1627&gt;60,"1-Tinggi",IF(O1627&gt;30,"2-Sedang",IF(O1627&gt;0,"3-Rendah","4-Pantau"))))</f>
        <v>3-Rendah</v>
      </c>
      <c r="S1627" s="39" t="n">
        <f aca="false">IF(AND(M1627&gt;0,O1627&gt;0),O1627+M1627/1000000000000+ROW()/1000000000000000,"")</f>
        <v>11.0000165985016</v>
      </c>
      <c r="T1627" s="39" t="str">
        <f aca="false">IF(J1627="Belum ditukar",ROW(),"")</f>
        <v/>
      </c>
    </row>
    <row r="1628" customFormat="false" ht="15" hidden="false" customHeight="false" outlineLevel="0" collapsed="false">
      <c r="A1628" s="50" t="s">
        <v>1913</v>
      </c>
      <c r="B1628" s="51" t="n">
        <v>45997</v>
      </c>
      <c r="C1628" s="50" t="s">
        <v>174</v>
      </c>
      <c r="D1628" s="39" t="str">
        <f aca="false">INDEX(Master_Customer!$B$2:$B$126,MATCH(C1628,Master_Customer!$A$2:$A$126,0))</f>
        <v>SUMBER TEKNIK SURYA</v>
      </c>
      <c r="E1628" s="50" t="s">
        <v>31</v>
      </c>
      <c r="F1628" s="52" t="n">
        <f aca="false">SUMIFS(Data_Penjualan!$G$2:$G$5998,Data_Penjualan!$A$2:$A$5998,A1628)</f>
        <v>10150700</v>
      </c>
      <c r="G1628" s="39" t="n">
        <f aca="false">IF(E1628="KANTOR",0,INDEX(Master_Customer!$C$2:$C$126,MATCH(C1628,Master_Customer!$A$2:$A$126,0)))</f>
        <v>30</v>
      </c>
      <c r="H1628" s="53" t="n">
        <f aca="false">B1628+G1628</f>
        <v>46027</v>
      </c>
      <c r="I1628" s="51" t="n">
        <v>45999</v>
      </c>
      <c r="J1628" s="39" t="str">
        <f aca="false">IF(G1628=0,"Tunai",IF(I1628="","Belum ditukar","Sudah ditukar"))</f>
        <v>Sudah ditukar</v>
      </c>
      <c r="K1628" s="54" t="n">
        <v>10150700</v>
      </c>
      <c r="L1628" s="51" t="n">
        <v>46022</v>
      </c>
      <c r="M1628" s="52" t="n">
        <f aca="false">F1628-K1628</f>
        <v>0</v>
      </c>
      <c r="N1628" s="39" t="str">
        <f aca="false">IF(M1628&lt;=0,"Lunas",IF(K1628&gt;0,"Sebagian","Belum Bayar"))</f>
        <v>Lunas</v>
      </c>
      <c r="O1628" s="39" t="n">
        <f aca="false">IF(M1628&gt;0,MAX(0,Catatan!$B$3-H1628),0)</f>
        <v>0</v>
      </c>
      <c r="P1628" s="39" t="str">
        <f aca="false">IF(M1628&lt;=0,"Lunas",IF(Catatan!$B$3&lt;=H1628,"Belum Jatuh Tempo",IF(O1628&lt;=30,"1-30 hari",IF(O1628&lt;=60,"31-60 hari",IF(O1628&lt;=90,"61-90 hari","90+ hari")))))</f>
        <v>Lunas</v>
      </c>
      <c r="Q1628" s="50"/>
      <c r="R1628" s="39" t="str">
        <f aca="false">IF(M1628&lt;=0,"",IF(O1628&gt;60,"1-Tinggi",IF(O1628&gt;30,"2-Sedang",IF(O1628&gt;0,"3-Rendah","4-Pantau"))))</f>
        <v/>
      </c>
      <c r="S1628" s="39" t="str">
        <f aca="false">IF(AND(M1628&gt;0,O1628&gt;0),O1628+M1628/1000000000000+ROW()/1000000000000000,"")</f>
        <v/>
      </c>
      <c r="T1628" s="39" t="str">
        <f aca="false">IF(J1628="Belum ditukar",ROW(),"")</f>
        <v/>
      </c>
    </row>
    <row r="1629" customFormat="false" ht="15" hidden="false" customHeight="false" outlineLevel="0" collapsed="false">
      <c r="A1629" s="50" t="s">
        <v>1914</v>
      </c>
      <c r="B1629" s="51" t="n">
        <v>45997</v>
      </c>
      <c r="C1629" s="50" t="s">
        <v>170</v>
      </c>
      <c r="D1629" s="39" t="str">
        <f aca="false">INDEX(Master_Customer!$B$2:$B$126,MATCH(C1629,Master_Customer!$A$2:$A$126,0))</f>
        <v>HARAPAN MOTOR</v>
      </c>
      <c r="E1629" s="50" t="s">
        <v>30</v>
      </c>
      <c r="F1629" s="52" t="n">
        <f aca="false">SUMIFS(Data_Penjualan!$G$2:$G$5998,Data_Penjualan!$A$2:$A$5998,A1629)</f>
        <v>3044700</v>
      </c>
      <c r="G1629" s="39" t="n">
        <f aca="false">IF(E1629="KANTOR",0,INDEX(Master_Customer!$C$2:$C$126,MATCH(C1629,Master_Customer!$A$2:$A$126,0)))</f>
        <v>45</v>
      </c>
      <c r="H1629" s="53" t="n">
        <f aca="false">B1629+G1629</f>
        <v>46042</v>
      </c>
      <c r="I1629" s="51" t="n">
        <v>46000</v>
      </c>
      <c r="J1629" s="39" t="str">
        <f aca="false">IF(G1629=0,"Tunai",IF(I1629="","Belum ditukar","Sudah ditukar"))</f>
        <v>Sudah ditukar</v>
      </c>
      <c r="K1629" s="54" t="n">
        <v>1861300</v>
      </c>
      <c r="L1629" s="51" t="n">
        <v>46018</v>
      </c>
      <c r="M1629" s="52" t="n">
        <f aca="false">F1629-K1629</f>
        <v>1183400</v>
      </c>
      <c r="N1629" s="39" t="str">
        <f aca="false">IF(M1629&lt;=0,"Lunas",IF(K1629&gt;0,"Sebagian","Belum Bayar"))</f>
        <v>Sebagian</v>
      </c>
      <c r="O1629" s="39" t="n">
        <f aca="false">IF(M1629&gt;0,MAX(0,Catatan!$B$3-H1629),0)</f>
        <v>0</v>
      </c>
      <c r="P1629" s="39" t="str">
        <f aca="false">IF(M1629&lt;=0,"Lunas",IF(Catatan!$B$3&lt;=H1629,"Belum Jatuh Tempo",IF(O1629&lt;=30,"1-30 hari",IF(O1629&lt;=60,"31-60 hari",IF(O1629&lt;=90,"61-90 hari","90+ hari")))))</f>
        <v>Belum Jatuh Tempo</v>
      </c>
      <c r="Q1629" s="50"/>
      <c r="R1629" s="39" t="str">
        <f aca="false">IF(M1629&lt;=0,"",IF(O1629&gt;60,"1-Tinggi",IF(O1629&gt;30,"2-Sedang",IF(O1629&gt;0,"3-Rendah","4-Pantau"))))</f>
        <v>4-Pantau</v>
      </c>
      <c r="S1629" s="39" t="str">
        <f aca="false">IF(AND(M1629&gt;0,O1629&gt;0),O1629+M1629/1000000000000+ROW()/1000000000000000,"")</f>
        <v/>
      </c>
      <c r="T1629" s="39" t="str">
        <f aca="false">IF(J1629="Belum ditukar",ROW(),"")</f>
        <v/>
      </c>
    </row>
    <row r="1630" customFormat="false" ht="15" hidden="false" customHeight="false" outlineLevel="0" collapsed="false">
      <c r="A1630" s="50" t="s">
        <v>1915</v>
      </c>
      <c r="B1630" s="51" t="n">
        <v>45999</v>
      </c>
      <c r="C1630" s="50" t="s">
        <v>358</v>
      </c>
      <c r="D1630" s="39" t="str">
        <f aca="false">INDEX(Master_Customer!$B$2:$B$126,MATCH(C1630,Master_Customer!$A$2:$A$126,0))</f>
        <v>HARAPAN TEKNIK</v>
      </c>
      <c r="E1630" s="50" t="s">
        <v>31</v>
      </c>
      <c r="F1630" s="52" t="n">
        <f aca="false">SUMIFS(Data_Penjualan!$G$2:$G$5998,Data_Penjualan!$A$2:$A$5998,A1630)</f>
        <v>1344400</v>
      </c>
      <c r="G1630" s="39" t="n">
        <f aca="false">IF(E1630="KANTOR",0,INDEX(Master_Customer!$C$2:$C$126,MATCH(C1630,Master_Customer!$A$2:$A$126,0)))</f>
        <v>0</v>
      </c>
      <c r="H1630" s="53" t="n">
        <f aca="false">B1630+G1630</f>
        <v>45999</v>
      </c>
      <c r="J1630" s="39" t="str">
        <f aca="false">IF(G1630=0,"Tunai",IF(I1630="","Belum ditukar","Sudah ditukar"))</f>
        <v>Tunai</v>
      </c>
      <c r="K1630" s="54" t="n">
        <v>1344400</v>
      </c>
      <c r="L1630" s="51" t="n">
        <v>46000</v>
      </c>
      <c r="M1630" s="52" t="n">
        <f aca="false">F1630-K1630</f>
        <v>0</v>
      </c>
      <c r="N1630" s="39" t="str">
        <f aca="false">IF(M1630&lt;=0,"Lunas",IF(K1630&gt;0,"Sebagian","Belum Bayar"))</f>
        <v>Lunas</v>
      </c>
      <c r="O1630" s="39" t="n">
        <f aca="false">IF(M1630&gt;0,MAX(0,Catatan!$B$3-H1630),0)</f>
        <v>0</v>
      </c>
      <c r="P1630" s="39" t="str">
        <f aca="false">IF(M1630&lt;=0,"Lunas",IF(Catatan!$B$3&lt;=H1630,"Belum Jatuh Tempo",IF(O1630&lt;=30,"1-30 hari",IF(O1630&lt;=60,"31-60 hari",IF(O1630&lt;=90,"61-90 hari","90+ hari")))))</f>
        <v>Lunas</v>
      </c>
      <c r="Q1630" s="50"/>
      <c r="R1630" s="39" t="str">
        <f aca="false">IF(M1630&lt;=0,"",IF(O1630&gt;60,"1-Tinggi",IF(O1630&gt;30,"2-Sedang",IF(O1630&gt;0,"3-Rendah","4-Pantau"))))</f>
        <v/>
      </c>
      <c r="S1630" s="39" t="str">
        <f aca="false">IF(AND(M1630&gt;0,O1630&gt;0),O1630+M1630/1000000000000+ROW()/1000000000000000,"")</f>
        <v/>
      </c>
      <c r="T1630" s="39" t="str">
        <f aca="false">IF(J1630="Belum ditukar",ROW(),"")</f>
        <v/>
      </c>
    </row>
    <row r="1631" customFormat="false" ht="15" hidden="false" customHeight="false" outlineLevel="0" collapsed="false">
      <c r="A1631" s="50" t="s">
        <v>1916</v>
      </c>
      <c r="B1631" s="51" t="n">
        <v>45999</v>
      </c>
      <c r="C1631" s="50" t="s">
        <v>223</v>
      </c>
      <c r="D1631" s="39" t="str">
        <f aca="false">INDEX(Master_Customer!$B$2:$B$126,MATCH(C1631,Master_Customer!$A$2:$A$126,0))</f>
        <v>ABADI AUTO UTAMA</v>
      </c>
      <c r="E1631" s="50" t="s">
        <v>31</v>
      </c>
      <c r="F1631" s="52" t="n">
        <f aca="false">SUMIFS(Data_Penjualan!$G$2:$G$5998,Data_Penjualan!$A$2:$A$5998,A1631)</f>
        <v>9068400</v>
      </c>
      <c r="G1631" s="39" t="n">
        <f aca="false">IF(E1631="KANTOR",0,INDEX(Master_Customer!$C$2:$C$126,MATCH(C1631,Master_Customer!$A$2:$A$126,0)))</f>
        <v>14</v>
      </c>
      <c r="H1631" s="53" t="n">
        <f aca="false">B1631+G1631</f>
        <v>46013</v>
      </c>
      <c r="I1631" s="51" t="n">
        <v>46000</v>
      </c>
      <c r="J1631" s="39" t="str">
        <f aca="false">IF(G1631=0,"Tunai",IF(I1631="","Belum ditukar","Sudah ditukar"))</f>
        <v>Sudah ditukar</v>
      </c>
      <c r="K1631" s="54" t="n">
        <v>0</v>
      </c>
      <c r="M1631" s="52" t="n">
        <f aca="false">F1631-K1631</f>
        <v>9068400</v>
      </c>
      <c r="N1631" s="39" t="str">
        <f aca="false">IF(M1631&lt;=0,"Lunas",IF(K1631&gt;0,"Sebagian","Belum Bayar"))</f>
        <v>Belum Bayar</v>
      </c>
      <c r="O1631" s="39" t="n">
        <f aca="false">IF(M1631&gt;0,MAX(0,Catatan!$B$3-H1631),0)</f>
        <v>9</v>
      </c>
      <c r="P1631" s="39" t="str">
        <f aca="false">IF(M1631&lt;=0,"Lunas",IF(Catatan!$B$3&lt;=H1631,"Belum Jatuh Tempo",IF(O1631&lt;=30,"1-30 hari",IF(O1631&lt;=60,"31-60 hari",IF(O1631&lt;=90,"61-90 hari","90+ hari")))))</f>
        <v>1-30 hari</v>
      </c>
      <c r="Q1631" s="50" t="s">
        <v>338</v>
      </c>
      <c r="R1631" s="39" t="str">
        <f aca="false">IF(M1631&lt;=0,"",IF(O1631&gt;60,"1-Tinggi",IF(O1631&gt;30,"2-Sedang",IF(O1631&gt;0,"3-Rendah","4-Pantau"))))</f>
        <v>3-Rendah</v>
      </c>
      <c r="S1631" s="39" t="n">
        <f aca="false">IF(AND(M1631&gt;0,O1631&gt;0),O1631+M1631/1000000000000+ROW()/1000000000000000,"")</f>
        <v>9.00000906840163</v>
      </c>
      <c r="T1631" s="39" t="str">
        <f aca="false">IF(J1631="Belum ditukar",ROW(),"")</f>
        <v/>
      </c>
    </row>
    <row r="1632" customFormat="false" ht="15" hidden="false" customHeight="false" outlineLevel="0" collapsed="false">
      <c r="A1632" s="50" t="s">
        <v>1917</v>
      </c>
      <c r="B1632" s="51" t="n">
        <v>45999</v>
      </c>
      <c r="C1632" s="50" t="s">
        <v>174</v>
      </c>
      <c r="D1632" s="39" t="str">
        <f aca="false">INDEX(Master_Customer!$B$2:$B$126,MATCH(C1632,Master_Customer!$A$2:$A$126,0))</f>
        <v>SUMBER TEKNIK SURYA</v>
      </c>
      <c r="E1632" s="50" t="s">
        <v>31</v>
      </c>
      <c r="F1632" s="52" t="n">
        <f aca="false">SUMIFS(Data_Penjualan!$G$2:$G$5998,Data_Penjualan!$A$2:$A$5998,A1632)</f>
        <v>1713000</v>
      </c>
      <c r="G1632" s="39" t="n">
        <f aca="false">IF(E1632="KANTOR",0,INDEX(Master_Customer!$C$2:$C$126,MATCH(C1632,Master_Customer!$A$2:$A$126,0)))</f>
        <v>30</v>
      </c>
      <c r="H1632" s="53" t="n">
        <f aca="false">B1632+G1632</f>
        <v>46029</v>
      </c>
      <c r="I1632" s="51" t="n">
        <v>46000</v>
      </c>
      <c r="J1632" s="39" t="str">
        <f aca="false">IF(G1632=0,"Tunai",IF(I1632="","Belum ditukar","Sudah ditukar"))</f>
        <v>Sudah ditukar</v>
      </c>
      <c r="K1632" s="54" t="n">
        <v>0</v>
      </c>
      <c r="M1632" s="52" t="n">
        <f aca="false">F1632-K1632</f>
        <v>1713000</v>
      </c>
      <c r="N1632" s="39" t="str">
        <f aca="false">IF(M1632&lt;=0,"Lunas",IF(K1632&gt;0,"Sebagian","Belum Bayar"))</f>
        <v>Belum Bayar</v>
      </c>
      <c r="O1632" s="39" t="n">
        <f aca="false">IF(M1632&gt;0,MAX(0,Catatan!$B$3-H1632),0)</f>
        <v>0</v>
      </c>
      <c r="P1632" s="39" t="str">
        <f aca="false">IF(M1632&lt;=0,"Lunas",IF(Catatan!$B$3&lt;=H1632,"Belum Jatuh Tempo",IF(O1632&lt;=30,"1-30 hari",IF(O1632&lt;=60,"31-60 hari",IF(O1632&lt;=90,"61-90 hari","90+ hari")))))</f>
        <v>Belum Jatuh Tempo</v>
      </c>
      <c r="Q1632" s="50"/>
      <c r="R1632" s="39" t="str">
        <f aca="false">IF(M1632&lt;=0,"",IF(O1632&gt;60,"1-Tinggi",IF(O1632&gt;30,"2-Sedang",IF(O1632&gt;0,"3-Rendah","4-Pantau"))))</f>
        <v>4-Pantau</v>
      </c>
      <c r="S1632" s="39" t="str">
        <f aca="false">IF(AND(M1632&gt;0,O1632&gt;0),O1632+M1632/1000000000000+ROW()/1000000000000000,"")</f>
        <v/>
      </c>
      <c r="T1632" s="39" t="str">
        <f aca="false">IF(J1632="Belum ditukar",ROW(),"")</f>
        <v/>
      </c>
    </row>
    <row r="1633" customFormat="false" ht="15" hidden="false" customHeight="false" outlineLevel="0" collapsed="false">
      <c r="A1633" s="50" t="s">
        <v>1918</v>
      </c>
      <c r="B1633" s="51" t="n">
        <v>45999</v>
      </c>
      <c r="C1633" s="50" t="s">
        <v>562</v>
      </c>
      <c r="D1633" s="39" t="str">
        <f aca="false">INDEX(Master_Customer!$B$2:$B$126,MATCH(C1633,Master_Customer!$A$2:$A$126,0))</f>
        <v>BERKAH SERVICE SENTOSA</v>
      </c>
      <c r="E1633" s="50" t="s">
        <v>28</v>
      </c>
      <c r="F1633" s="52" t="n">
        <f aca="false">SUMIFS(Data_Penjualan!$G$2:$G$5998,Data_Penjualan!$A$2:$A$5998,A1633)</f>
        <v>21709600</v>
      </c>
      <c r="G1633" s="39" t="n">
        <f aca="false">IF(E1633="KANTOR",0,INDEX(Master_Customer!$C$2:$C$126,MATCH(C1633,Master_Customer!$A$2:$A$126,0)))</f>
        <v>14</v>
      </c>
      <c r="H1633" s="53" t="n">
        <f aca="false">B1633+G1633</f>
        <v>46013</v>
      </c>
      <c r="I1633" s="51" t="n">
        <v>46000</v>
      </c>
      <c r="J1633" s="39" t="str">
        <f aca="false">IF(G1633=0,"Tunai",IF(I1633="","Belum ditukar","Sudah ditukar"))</f>
        <v>Sudah ditukar</v>
      </c>
      <c r="K1633" s="54" t="n">
        <v>21709600</v>
      </c>
      <c r="L1633" s="51" t="n">
        <v>46020</v>
      </c>
      <c r="M1633" s="52" t="n">
        <f aca="false">F1633-K1633</f>
        <v>0</v>
      </c>
      <c r="N1633" s="39" t="str">
        <f aca="false">IF(M1633&lt;=0,"Lunas",IF(K1633&gt;0,"Sebagian","Belum Bayar"))</f>
        <v>Lunas</v>
      </c>
      <c r="O1633" s="39" t="n">
        <f aca="false">IF(M1633&gt;0,MAX(0,Catatan!$B$3-H1633),0)</f>
        <v>0</v>
      </c>
      <c r="P1633" s="39" t="str">
        <f aca="false">IF(M1633&lt;=0,"Lunas",IF(Catatan!$B$3&lt;=H1633,"Belum Jatuh Tempo",IF(O1633&lt;=30,"1-30 hari",IF(O1633&lt;=60,"31-60 hari",IF(O1633&lt;=90,"61-90 hari","90+ hari")))))</f>
        <v>Lunas</v>
      </c>
      <c r="Q1633" s="50"/>
      <c r="R1633" s="39" t="str">
        <f aca="false">IF(M1633&lt;=0,"",IF(O1633&gt;60,"1-Tinggi",IF(O1633&gt;30,"2-Sedang",IF(O1633&gt;0,"3-Rendah","4-Pantau"))))</f>
        <v/>
      </c>
      <c r="S1633" s="39" t="str">
        <f aca="false">IF(AND(M1633&gt;0,O1633&gt;0),O1633+M1633/1000000000000+ROW()/1000000000000000,"")</f>
        <v/>
      </c>
      <c r="T1633" s="39" t="str">
        <f aca="false">IF(J1633="Belum ditukar",ROW(),"")</f>
        <v/>
      </c>
    </row>
    <row r="1634" customFormat="false" ht="15" hidden="false" customHeight="false" outlineLevel="0" collapsed="false">
      <c r="A1634" s="50" t="s">
        <v>1919</v>
      </c>
      <c r="B1634" s="51" t="n">
        <v>45999</v>
      </c>
      <c r="C1634" s="50" t="s">
        <v>197</v>
      </c>
      <c r="D1634" s="39" t="str">
        <f aca="false">INDEX(Master_Customer!$B$2:$B$126,MATCH(C1634,Master_Customer!$A$2:$A$126,0))</f>
        <v>UTAMA LUBRICANT HARAPAN</v>
      </c>
      <c r="E1634" s="50" t="s">
        <v>32</v>
      </c>
      <c r="F1634" s="52" t="n">
        <f aca="false">SUMIFS(Data_Penjualan!$G$2:$G$5998,Data_Penjualan!$A$2:$A$5998,A1634)</f>
        <v>6187800</v>
      </c>
      <c r="G1634" s="39" t="n">
        <f aca="false">IF(E1634="KANTOR",0,INDEX(Master_Customer!$C$2:$C$126,MATCH(C1634,Master_Customer!$A$2:$A$126,0)))</f>
        <v>0</v>
      </c>
      <c r="H1634" s="53" t="n">
        <f aca="false">B1634+G1634</f>
        <v>45999</v>
      </c>
      <c r="J1634" s="39" t="str">
        <f aca="false">IF(G1634=0,"Tunai",IF(I1634="","Belum ditukar","Sudah ditukar"))</f>
        <v>Tunai</v>
      </c>
      <c r="K1634" s="54" t="n">
        <v>6187800</v>
      </c>
      <c r="L1634" s="51" t="n">
        <v>45999</v>
      </c>
      <c r="M1634" s="52" t="n">
        <f aca="false">F1634-K1634</f>
        <v>0</v>
      </c>
      <c r="N1634" s="39" t="str">
        <f aca="false">IF(M1634&lt;=0,"Lunas",IF(K1634&gt;0,"Sebagian","Belum Bayar"))</f>
        <v>Lunas</v>
      </c>
      <c r="O1634" s="39" t="n">
        <f aca="false">IF(M1634&gt;0,MAX(0,Catatan!$B$3-H1634),0)</f>
        <v>0</v>
      </c>
      <c r="P1634" s="39" t="str">
        <f aca="false">IF(M1634&lt;=0,"Lunas",IF(Catatan!$B$3&lt;=H1634,"Belum Jatuh Tempo",IF(O1634&lt;=30,"1-30 hari",IF(O1634&lt;=60,"31-60 hari",IF(O1634&lt;=90,"61-90 hari","90+ hari")))))</f>
        <v>Lunas</v>
      </c>
      <c r="Q1634" s="50"/>
      <c r="R1634" s="39" t="str">
        <f aca="false">IF(M1634&lt;=0,"",IF(O1634&gt;60,"1-Tinggi",IF(O1634&gt;30,"2-Sedang",IF(O1634&gt;0,"3-Rendah","4-Pantau"))))</f>
        <v/>
      </c>
      <c r="S1634" s="39" t="str">
        <f aca="false">IF(AND(M1634&gt;0,O1634&gt;0),O1634+M1634/1000000000000+ROW()/1000000000000000,"")</f>
        <v/>
      </c>
      <c r="T1634" s="39" t="str">
        <f aca="false">IF(J1634="Belum ditukar",ROW(),"")</f>
        <v/>
      </c>
    </row>
    <row r="1635" customFormat="false" ht="15" hidden="false" customHeight="false" outlineLevel="0" collapsed="false">
      <c r="A1635" s="50" t="s">
        <v>1920</v>
      </c>
      <c r="B1635" s="51" t="n">
        <v>45999</v>
      </c>
      <c r="C1635" s="50" t="s">
        <v>562</v>
      </c>
      <c r="D1635" s="39" t="str">
        <f aca="false">INDEX(Master_Customer!$B$2:$B$126,MATCH(C1635,Master_Customer!$A$2:$A$126,0))</f>
        <v>BERKAH SERVICE SENTOSA</v>
      </c>
      <c r="E1635" s="50" t="s">
        <v>32</v>
      </c>
      <c r="F1635" s="52" t="n">
        <f aca="false">SUMIFS(Data_Penjualan!$G$2:$G$5998,Data_Penjualan!$A$2:$A$5998,A1635)</f>
        <v>7267900</v>
      </c>
      <c r="G1635" s="39" t="n">
        <f aca="false">IF(E1635="KANTOR",0,INDEX(Master_Customer!$C$2:$C$126,MATCH(C1635,Master_Customer!$A$2:$A$126,0)))</f>
        <v>0</v>
      </c>
      <c r="H1635" s="53" t="n">
        <f aca="false">B1635+G1635</f>
        <v>45999</v>
      </c>
      <c r="J1635" s="39" t="str">
        <f aca="false">IF(G1635=0,"Tunai",IF(I1635="","Belum ditukar","Sudah ditukar"))</f>
        <v>Tunai</v>
      </c>
      <c r="K1635" s="54" t="n">
        <v>7267900</v>
      </c>
      <c r="L1635" s="51" t="n">
        <v>45999</v>
      </c>
      <c r="M1635" s="52" t="n">
        <f aca="false">F1635-K1635</f>
        <v>0</v>
      </c>
      <c r="N1635" s="39" t="str">
        <f aca="false">IF(M1635&lt;=0,"Lunas",IF(K1635&gt;0,"Sebagian","Belum Bayar"))</f>
        <v>Lunas</v>
      </c>
      <c r="O1635" s="39" t="n">
        <f aca="false">IF(M1635&gt;0,MAX(0,Catatan!$B$3-H1635),0)</f>
        <v>0</v>
      </c>
      <c r="P1635" s="39" t="str">
        <f aca="false">IF(M1635&lt;=0,"Lunas",IF(Catatan!$B$3&lt;=H1635,"Belum Jatuh Tempo",IF(O1635&lt;=30,"1-30 hari",IF(O1635&lt;=60,"31-60 hari",IF(O1635&lt;=90,"61-90 hari","90+ hari")))))</f>
        <v>Lunas</v>
      </c>
      <c r="Q1635" s="50"/>
      <c r="R1635" s="39" t="str">
        <f aca="false">IF(M1635&lt;=0,"",IF(O1635&gt;60,"1-Tinggi",IF(O1635&gt;30,"2-Sedang",IF(O1635&gt;0,"3-Rendah","4-Pantau"))))</f>
        <v/>
      </c>
      <c r="S1635" s="39" t="str">
        <f aca="false">IF(AND(M1635&gt;0,O1635&gt;0),O1635+M1635/1000000000000+ROW()/1000000000000000,"")</f>
        <v/>
      </c>
      <c r="T1635" s="39" t="str">
        <f aca="false">IF(J1635="Belum ditukar",ROW(),"")</f>
        <v/>
      </c>
    </row>
    <row r="1636" customFormat="false" ht="15" hidden="false" customHeight="false" outlineLevel="0" collapsed="false">
      <c r="A1636" s="50" t="s">
        <v>1921</v>
      </c>
      <c r="B1636" s="51" t="n">
        <v>45999</v>
      </c>
      <c r="C1636" s="50" t="s">
        <v>280</v>
      </c>
      <c r="D1636" s="39" t="str">
        <f aca="false">INDEX(Master_Customer!$B$2:$B$126,MATCH(C1636,Master_Customer!$A$2:$A$126,0))</f>
        <v>CAHAYA TEKNIK SURYA</v>
      </c>
      <c r="E1636" s="50" t="s">
        <v>29</v>
      </c>
      <c r="F1636" s="52" t="n">
        <f aca="false">SUMIFS(Data_Penjualan!$G$2:$G$5998,Data_Penjualan!$A$2:$A$5998,A1636)</f>
        <v>9927100</v>
      </c>
      <c r="G1636" s="39" t="n">
        <f aca="false">IF(E1636="KANTOR",0,INDEX(Master_Customer!$C$2:$C$126,MATCH(C1636,Master_Customer!$A$2:$A$126,0)))</f>
        <v>30</v>
      </c>
      <c r="H1636" s="53" t="n">
        <f aca="false">B1636+G1636</f>
        <v>46029</v>
      </c>
      <c r="I1636" s="51" t="n">
        <v>46001</v>
      </c>
      <c r="J1636" s="39" t="str">
        <f aca="false">IF(G1636=0,"Tunai",IF(I1636="","Belum ditukar","Sudah ditukar"))</f>
        <v>Sudah ditukar</v>
      </c>
      <c r="K1636" s="54" t="n">
        <v>0</v>
      </c>
      <c r="M1636" s="52" t="n">
        <f aca="false">F1636-K1636</f>
        <v>9927100</v>
      </c>
      <c r="N1636" s="39" t="str">
        <f aca="false">IF(M1636&lt;=0,"Lunas",IF(K1636&gt;0,"Sebagian","Belum Bayar"))</f>
        <v>Belum Bayar</v>
      </c>
      <c r="O1636" s="39" t="n">
        <f aca="false">IF(M1636&gt;0,MAX(0,Catatan!$B$3-H1636),0)</f>
        <v>0</v>
      </c>
      <c r="P1636" s="39" t="str">
        <f aca="false">IF(M1636&lt;=0,"Lunas",IF(Catatan!$B$3&lt;=H1636,"Belum Jatuh Tempo",IF(O1636&lt;=30,"1-30 hari",IF(O1636&lt;=60,"31-60 hari",IF(O1636&lt;=90,"61-90 hari","90+ hari")))))</f>
        <v>Belum Jatuh Tempo</v>
      </c>
      <c r="Q1636" s="50"/>
      <c r="R1636" s="39" t="str">
        <f aca="false">IF(M1636&lt;=0,"",IF(O1636&gt;60,"1-Tinggi",IF(O1636&gt;30,"2-Sedang",IF(O1636&gt;0,"3-Rendah","4-Pantau"))))</f>
        <v>4-Pantau</v>
      </c>
      <c r="S1636" s="39" t="str">
        <f aca="false">IF(AND(M1636&gt;0,O1636&gt;0),O1636+M1636/1000000000000+ROW()/1000000000000000,"")</f>
        <v/>
      </c>
      <c r="T1636" s="39" t="str">
        <f aca="false">IF(J1636="Belum ditukar",ROW(),"")</f>
        <v/>
      </c>
    </row>
    <row r="1637" customFormat="false" ht="15" hidden="false" customHeight="false" outlineLevel="0" collapsed="false">
      <c r="A1637" s="50" t="s">
        <v>1922</v>
      </c>
      <c r="B1637" s="51" t="n">
        <v>46000</v>
      </c>
      <c r="C1637" s="50" t="s">
        <v>278</v>
      </c>
      <c r="D1637" s="39" t="str">
        <f aca="false">INDEX(Master_Customer!$B$2:$B$126,MATCH(C1637,Master_Customer!$A$2:$A$126,0))</f>
        <v>SURYA MOTOR</v>
      </c>
      <c r="E1637" s="50" t="s">
        <v>31</v>
      </c>
      <c r="F1637" s="52" t="n">
        <f aca="false">SUMIFS(Data_Penjualan!$G$2:$G$5998,Data_Penjualan!$A$2:$A$5998,A1637)</f>
        <v>603100</v>
      </c>
      <c r="G1637" s="39" t="n">
        <f aca="false">IF(E1637="KANTOR",0,INDEX(Master_Customer!$C$2:$C$126,MATCH(C1637,Master_Customer!$A$2:$A$126,0)))</f>
        <v>14</v>
      </c>
      <c r="H1637" s="53" t="n">
        <f aca="false">B1637+G1637</f>
        <v>46014</v>
      </c>
      <c r="I1637" s="51" t="n">
        <v>46004</v>
      </c>
      <c r="J1637" s="39" t="str">
        <f aca="false">IF(G1637=0,"Tunai",IF(I1637="","Belum ditukar","Sudah ditukar"))</f>
        <v>Sudah ditukar</v>
      </c>
      <c r="K1637" s="54" t="n">
        <v>603100</v>
      </c>
      <c r="L1637" s="51" t="n">
        <v>46019</v>
      </c>
      <c r="M1637" s="52" t="n">
        <f aca="false">F1637-K1637</f>
        <v>0</v>
      </c>
      <c r="N1637" s="39" t="str">
        <f aca="false">IF(M1637&lt;=0,"Lunas",IF(K1637&gt;0,"Sebagian","Belum Bayar"))</f>
        <v>Lunas</v>
      </c>
      <c r="O1637" s="39" t="n">
        <f aca="false">IF(M1637&gt;0,MAX(0,Catatan!$B$3-H1637),0)</f>
        <v>0</v>
      </c>
      <c r="P1637" s="39" t="str">
        <f aca="false">IF(M1637&lt;=0,"Lunas",IF(Catatan!$B$3&lt;=H1637,"Belum Jatuh Tempo",IF(O1637&lt;=30,"1-30 hari",IF(O1637&lt;=60,"31-60 hari",IF(O1637&lt;=90,"61-90 hari","90+ hari")))))</f>
        <v>Lunas</v>
      </c>
      <c r="Q1637" s="50"/>
      <c r="R1637" s="39" t="str">
        <f aca="false">IF(M1637&lt;=0,"",IF(O1637&gt;60,"1-Tinggi",IF(O1637&gt;30,"2-Sedang",IF(O1637&gt;0,"3-Rendah","4-Pantau"))))</f>
        <v/>
      </c>
      <c r="S1637" s="39" t="str">
        <f aca="false">IF(AND(M1637&gt;0,O1637&gt;0),O1637+M1637/1000000000000+ROW()/1000000000000000,"")</f>
        <v/>
      </c>
      <c r="T1637" s="39" t="str">
        <f aca="false">IF(J1637="Belum ditukar",ROW(),"")</f>
        <v/>
      </c>
    </row>
    <row r="1638" customFormat="false" ht="15" hidden="false" customHeight="false" outlineLevel="0" collapsed="false">
      <c r="A1638" s="50" t="s">
        <v>1923</v>
      </c>
      <c r="B1638" s="51" t="n">
        <v>46000</v>
      </c>
      <c r="C1638" s="50" t="s">
        <v>188</v>
      </c>
      <c r="D1638" s="39" t="str">
        <f aca="false">INDEX(Master_Customer!$B$2:$B$126,MATCH(C1638,Master_Customer!$A$2:$A$126,0))</f>
        <v>MAJU GARAGE TIRTA</v>
      </c>
      <c r="E1638" s="50" t="s">
        <v>31</v>
      </c>
      <c r="F1638" s="52" t="n">
        <f aca="false">SUMIFS(Data_Penjualan!$G$2:$G$5998,Data_Penjualan!$A$2:$A$5998,A1638)</f>
        <v>3962700</v>
      </c>
      <c r="G1638" s="39" t="n">
        <f aca="false">IF(E1638="KANTOR",0,INDEX(Master_Customer!$C$2:$C$126,MATCH(C1638,Master_Customer!$A$2:$A$126,0)))</f>
        <v>45</v>
      </c>
      <c r="H1638" s="53" t="n">
        <f aca="false">B1638+G1638</f>
        <v>46045</v>
      </c>
      <c r="I1638" s="51" t="n">
        <v>46003</v>
      </c>
      <c r="J1638" s="39" t="str">
        <f aca="false">IF(G1638=0,"Tunai",IF(I1638="","Belum ditukar","Sudah ditukar"))</f>
        <v>Sudah ditukar</v>
      </c>
      <c r="K1638" s="54" t="n">
        <v>0</v>
      </c>
      <c r="M1638" s="52" t="n">
        <f aca="false">F1638-K1638</f>
        <v>3962700</v>
      </c>
      <c r="N1638" s="39" t="str">
        <f aca="false">IF(M1638&lt;=0,"Lunas",IF(K1638&gt;0,"Sebagian","Belum Bayar"))</f>
        <v>Belum Bayar</v>
      </c>
      <c r="O1638" s="39" t="n">
        <f aca="false">IF(M1638&gt;0,MAX(0,Catatan!$B$3-H1638),0)</f>
        <v>0</v>
      </c>
      <c r="P1638" s="39" t="str">
        <f aca="false">IF(M1638&lt;=0,"Lunas",IF(Catatan!$B$3&lt;=H1638,"Belum Jatuh Tempo",IF(O1638&lt;=30,"1-30 hari",IF(O1638&lt;=60,"31-60 hari",IF(O1638&lt;=90,"61-90 hari","90+ hari")))))</f>
        <v>Belum Jatuh Tempo</v>
      </c>
      <c r="Q1638" s="50"/>
      <c r="R1638" s="39" t="str">
        <f aca="false">IF(M1638&lt;=0,"",IF(O1638&gt;60,"1-Tinggi",IF(O1638&gt;30,"2-Sedang",IF(O1638&gt;0,"3-Rendah","4-Pantau"))))</f>
        <v>4-Pantau</v>
      </c>
      <c r="S1638" s="39" t="str">
        <f aca="false">IF(AND(M1638&gt;0,O1638&gt;0),O1638+M1638/1000000000000+ROW()/1000000000000000,"")</f>
        <v/>
      </c>
      <c r="T1638" s="39" t="str">
        <f aca="false">IF(J1638="Belum ditukar",ROW(),"")</f>
        <v/>
      </c>
    </row>
    <row r="1639" customFormat="false" ht="15" hidden="false" customHeight="false" outlineLevel="0" collapsed="false">
      <c r="A1639" s="50" t="s">
        <v>1924</v>
      </c>
      <c r="B1639" s="51" t="n">
        <v>46000</v>
      </c>
      <c r="C1639" s="50" t="s">
        <v>349</v>
      </c>
      <c r="D1639" s="39" t="str">
        <f aca="false">INDEX(Master_Customer!$B$2:$B$126,MATCH(C1639,Master_Customer!$A$2:$A$126,0))</f>
        <v>MITRA GARAGE MULIA</v>
      </c>
      <c r="E1639" s="50" t="s">
        <v>28</v>
      </c>
      <c r="F1639" s="52" t="n">
        <f aca="false">SUMIFS(Data_Penjualan!$G$2:$G$5998,Data_Penjualan!$A$2:$A$5998,A1639)</f>
        <v>837500</v>
      </c>
      <c r="G1639" s="39" t="n">
        <f aca="false">IF(E1639="KANTOR",0,INDEX(Master_Customer!$C$2:$C$126,MATCH(C1639,Master_Customer!$A$2:$A$126,0)))</f>
        <v>14</v>
      </c>
      <c r="H1639" s="53" t="n">
        <f aca="false">B1639+G1639</f>
        <v>46014</v>
      </c>
      <c r="I1639" s="51" t="n">
        <v>46002</v>
      </c>
      <c r="J1639" s="39" t="str">
        <f aca="false">IF(G1639=0,"Tunai",IF(I1639="","Belum ditukar","Sudah ditukar"))</f>
        <v>Sudah ditukar</v>
      </c>
      <c r="K1639" s="54" t="n">
        <v>348900</v>
      </c>
      <c r="L1639" s="51" t="n">
        <v>46019</v>
      </c>
      <c r="M1639" s="52" t="n">
        <f aca="false">F1639-K1639</f>
        <v>488600</v>
      </c>
      <c r="N1639" s="39" t="str">
        <f aca="false">IF(M1639&lt;=0,"Lunas",IF(K1639&gt;0,"Sebagian","Belum Bayar"))</f>
        <v>Sebagian</v>
      </c>
      <c r="O1639" s="39" t="n">
        <f aca="false">IF(M1639&gt;0,MAX(0,Catatan!$B$3-H1639),0)</f>
        <v>8</v>
      </c>
      <c r="P1639" s="39" t="str">
        <f aca="false">IF(M1639&lt;=0,"Lunas",IF(Catatan!$B$3&lt;=H1639,"Belum Jatuh Tempo",IF(O1639&lt;=30,"1-30 hari",IF(O1639&lt;=60,"31-60 hari",IF(O1639&lt;=90,"61-90 hari","90+ hari")))))</f>
        <v>1-30 hari</v>
      </c>
      <c r="Q1639" s="50" t="s">
        <v>497</v>
      </c>
      <c r="R1639" s="39" t="str">
        <f aca="false">IF(M1639&lt;=0,"",IF(O1639&gt;60,"1-Tinggi",IF(O1639&gt;30,"2-Sedang",IF(O1639&gt;0,"3-Rendah","4-Pantau"))))</f>
        <v>3-Rendah</v>
      </c>
      <c r="S1639" s="39" t="n">
        <f aca="false">IF(AND(M1639&gt;0,O1639&gt;0),O1639+M1639/1000000000000+ROW()/1000000000000000,"")</f>
        <v>8.00000048860164</v>
      </c>
      <c r="T1639" s="39" t="str">
        <f aca="false">IF(J1639="Belum ditukar",ROW(),"")</f>
        <v/>
      </c>
    </row>
    <row r="1640" customFormat="false" ht="15" hidden="false" customHeight="false" outlineLevel="0" collapsed="false">
      <c r="A1640" s="50" t="s">
        <v>1925</v>
      </c>
      <c r="B1640" s="51" t="n">
        <v>46000</v>
      </c>
      <c r="C1640" s="50" t="s">
        <v>329</v>
      </c>
      <c r="D1640" s="39" t="str">
        <f aca="false">INDEX(Master_Customer!$B$2:$B$126,MATCH(C1640,Master_Customer!$A$2:$A$126,0))</f>
        <v>MAKMUR OLI</v>
      </c>
      <c r="E1640" s="50" t="s">
        <v>32</v>
      </c>
      <c r="F1640" s="52" t="n">
        <f aca="false">SUMIFS(Data_Penjualan!$G$2:$G$5998,Data_Penjualan!$A$2:$A$5998,A1640)</f>
        <v>10576500</v>
      </c>
      <c r="G1640" s="39" t="n">
        <f aca="false">IF(E1640="KANTOR",0,INDEX(Master_Customer!$C$2:$C$126,MATCH(C1640,Master_Customer!$A$2:$A$126,0)))</f>
        <v>0</v>
      </c>
      <c r="H1640" s="53" t="n">
        <f aca="false">B1640+G1640</f>
        <v>46000</v>
      </c>
      <c r="J1640" s="39" t="str">
        <f aca="false">IF(G1640=0,"Tunai",IF(I1640="","Belum ditukar","Sudah ditukar"))</f>
        <v>Tunai</v>
      </c>
      <c r="K1640" s="54" t="n">
        <v>10576500</v>
      </c>
      <c r="L1640" s="51" t="n">
        <v>46000</v>
      </c>
      <c r="M1640" s="52" t="n">
        <f aca="false">F1640-K1640</f>
        <v>0</v>
      </c>
      <c r="N1640" s="39" t="str">
        <f aca="false">IF(M1640&lt;=0,"Lunas",IF(K1640&gt;0,"Sebagian","Belum Bayar"))</f>
        <v>Lunas</v>
      </c>
      <c r="O1640" s="39" t="n">
        <f aca="false">IF(M1640&gt;0,MAX(0,Catatan!$B$3-H1640),0)</f>
        <v>0</v>
      </c>
      <c r="P1640" s="39" t="str">
        <f aca="false">IF(M1640&lt;=0,"Lunas",IF(Catatan!$B$3&lt;=H1640,"Belum Jatuh Tempo",IF(O1640&lt;=30,"1-30 hari",IF(O1640&lt;=60,"31-60 hari",IF(O1640&lt;=90,"61-90 hari","90+ hari")))))</f>
        <v>Lunas</v>
      </c>
      <c r="Q1640" s="50"/>
      <c r="R1640" s="39" t="str">
        <f aca="false">IF(M1640&lt;=0,"",IF(O1640&gt;60,"1-Tinggi",IF(O1640&gt;30,"2-Sedang",IF(O1640&gt;0,"3-Rendah","4-Pantau"))))</f>
        <v/>
      </c>
      <c r="S1640" s="39" t="str">
        <f aca="false">IF(AND(M1640&gt;0,O1640&gt;0),O1640+M1640/1000000000000+ROW()/1000000000000000,"")</f>
        <v/>
      </c>
      <c r="T1640" s="39" t="str">
        <f aca="false">IF(J1640="Belum ditukar",ROW(),"")</f>
        <v/>
      </c>
    </row>
    <row r="1641" customFormat="false" ht="15" hidden="false" customHeight="false" outlineLevel="0" collapsed="false">
      <c r="A1641" s="50" t="s">
        <v>1926</v>
      </c>
      <c r="B1641" s="51" t="n">
        <v>46000</v>
      </c>
      <c r="C1641" s="50" t="s">
        <v>168</v>
      </c>
      <c r="D1641" s="39" t="str">
        <f aca="false">INDEX(Master_Customer!$B$2:$B$126,MATCH(C1641,Master_Customer!$A$2:$A$126,0))</f>
        <v>JAYA LUBRICANT</v>
      </c>
      <c r="E1641" s="50" t="s">
        <v>29</v>
      </c>
      <c r="F1641" s="52" t="n">
        <f aca="false">SUMIFS(Data_Penjualan!$G$2:$G$5998,Data_Penjualan!$A$2:$A$5998,A1641)</f>
        <v>5597000</v>
      </c>
      <c r="G1641" s="39" t="n">
        <f aca="false">IF(E1641="KANTOR",0,INDEX(Master_Customer!$C$2:$C$126,MATCH(C1641,Master_Customer!$A$2:$A$126,0)))</f>
        <v>0</v>
      </c>
      <c r="H1641" s="53" t="n">
        <f aca="false">B1641+G1641</f>
        <v>46000</v>
      </c>
      <c r="J1641" s="39" t="str">
        <f aca="false">IF(G1641=0,"Tunai",IF(I1641="","Belum ditukar","Sudah ditukar"))</f>
        <v>Tunai</v>
      </c>
      <c r="K1641" s="54" t="n">
        <v>5597000</v>
      </c>
      <c r="L1641" s="51" t="n">
        <v>46000</v>
      </c>
      <c r="M1641" s="52" t="n">
        <f aca="false">F1641-K1641</f>
        <v>0</v>
      </c>
      <c r="N1641" s="39" t="str">
        <f aca="false">IF(M1641&lt;=0,"Lunas",IF(K1641&gt;0,"Sebagian","Belum Bayar"))</f>
        <v>Lunas</v>
      </c>
      <c r="O1641" s="39" t="n">
        <f aca="false">IF(M1641&gt;0,MAX(0,Catatan!$B$3-H1641),0)</f>
        <v>0</v>
      </c>
      <c r="P1641" s="39" t="str">
        <f aca="false">IF(M1641&lt;=0,"Lunas",IF(Catatan!$B$3&lt;=H1641,"Belum Jatuh Tempo",IF(O1641&lt;=30,"1-30 hari",IF(O1641&lt;=60,"31-60 hari",IF(O1641&lt;=90,"61-90 hari","90+ hari")))))</f>
        <v>Lunas</v>
      </c>
      <c r="Q1641" s="50"/>
      <c r="R1641" s="39" t="str">
        <f aca="false">IF(M1641&lt;=0,"",IF(O1641&gt;60,"1-Tinggi",IF(O1641&gt;30,"2-Sedang",IF(O1641&gt;0,"3-Rendah","4-Pantau"))))</f>
        <v/>
      </c>
      <c r="S1641" s="39" t="str">
        <f aca="false">IF(AND(M1641&gt;0,O1641&gt;0),O1641+M1641/1000000000000+ROW()/1000000000000000,"")</f>
        <v/>
      </c>
      <c r="T1641" s="39" t="str">
        <f aca="false">IF(J1641="Belum ditukar",ROW(),"")</f>
        <v/>
      </c>
    </row>
    <row r="1642" customFormat="false" ht="15" hidden="false" customHeight="false" outlineLevel="0" collapsed="false">
      <c r="A1642" s="50" t="s">
        <v>1927</v>
      </c>
      <c r="B1642" s="51" t="n">
        <v>46000</v>
      </c>
      <c r="C1642" s="50" t="s">
        <v>174</v>
      </c>
      <c r="D1642" s="39" t="str">
        <f aca="false">INDEX(Master_Customer!$B$2:$B$126,MATCH(C1642,Master_Customer!$A$2:$A$126,0))</f>
        <v>SUMBER TEKNIK SURYA</v>
      </c>
      <c r="E1642" s="50" t="s">
        <v>31</v>
      </c>
      <c r="F1642" s="52" t="n">
        <f aca="false">SUMIFS(Data_Penjualan!$G$2:$G$5998,Data_Penjualan!$A$2:$A$5998,A1642)</f>
        <v>14188100</v>
      </c>
      <c r="G1642" s="39" t="n">
        <f aca="false">IF(E1642="KANTOR",0,INDEX(Master_Customer!$C$2:$C$126,MATCH(C1642,Master_Customer!$A$2:$A$126,0)))</f>
        <v>30</v>
      </c>
      <c r="H1642" s="53" t="n">
        <f aca="false">B1642+G1642</f>
        <v>46030</v>
      </c>
      <c r="I1642" s="51" t="n">
        <v>46005</v>
      </c>
      <c r="J1642" s="39" t="str">
        <f aca="false">IF(G1642=0,"Tunai",IF(I1642="","Belum ditukar","Sudah ditukar"))</f>
        <v>Sudah ditukar</v>
      </c>
      <c r="K1642" s="54" t="n">
        <v>0</v>
      </c>
      <c r="M1642" s="52" t="n">
        <f aca="false">F1642-K1642</f>
        <v>14188100</v>
      </c>
      <c r="N1642" s="39" t="str">
        <f aca="false">IF(M1642&lt;=0,"Lunas",IF(K1642&gt;0,"Sebagian","Belum Bayar"))</f>
        <v>Belum Bayar</v>
      </c>
      <c r="O1642" s="39" t="n">
        <f aca="false">IF(M1642&gt;0,MAX(0,Catatan!$B$3-H1642),0)</f>
        <v>0</v>
      </c>
      <c r="P1642" s="39" t="str">
        <f aca="false">IF(M1642&lt;=0,"Lunas",IF(Catatan!$B$3&lt;=H1642,"Belum Jatuh Tempo",IF(O1642&lt;=30,"1-30 hari",IF(O1642&lt;=60,"31-60 hari",IF(O1642&lt;=90,"61-90 hari","90+ hari")))))</f>
        <v>Belum Jatuh Tempo</v>
      </c>
      <c r="Q1642" s="50"/>
      <c r="R1642" s="39" t="str">
        <f aca="false">IF(M1642&lt;=0,"",IF(O1642&gt;60,"1-Tinggi",IF(O1642&gt;30,"2-Sedang",IF(O1642&gt;0,"3-Rendah","4-Pantau"))))</f>
        <v>4-Pantau</v>
      </c>
      <c r="S1642" s="39" t="str">
        <f aca="false">IF(AND(M1642&gt;0,O1642&gt;0),O1642+M1642/1000000000000+ROW()/1000000000000000,"")</f>
        <v/>
      </c>
      <c r="T1642" s="39" t="str">
        <f aca="false">IF(J1642="Belum ditukar",ROW(),"")</f>
        <v/>
      </c>
    </row>
    <row r="1643" customFormat="false" ht="15" hidden="false" customHeight="false" outlineLevel="0" collapsed="false">
      <c r="A1643" s="50" t="s">
        <v>1928</v>
      </c>
      <c r="B1643" s="51" t="n">
        <v>46000</v>
      </c>
      <c r="C1643" s="50" t="s">
        <v>223</v>
      </c>
      <c r="D1643" s="39" t="str">
        <f aca="false">INDEX(Master_Customer!$B$2:$B$126,MATCH(C1643,Master_Customer!$A$2:$A$126,0))</f>
        <v>ABADI AUTO UTAMA</v>
      </c>
      <c r="E1643" s="50" t="s">
        <v>31</v>
      </c>
      <c r="F1643" s="52" t="n">
        <f aca="false">SUMIFS(Data_Penjualan!$G$2:$G$5998,Data_Penjualan!$A$2:$A$5998,A1643)</f>
        <v>12042200</v>
      </c>
      <c r="G1643" s="39" t="n">
        <f aca="false">IF(E1643="KANTOR",0,INDEX(Master_Customer!$C$2:$C$126,MATCH(C1643,Master_Customer!$A$2:$A$126,0)))</f>
        <v>14</v>
      </c>
      <c r="H1643" s="53" t="n">
        <f aca="false">B1643+G1643</f>
        <v>46014</v>
      </c>
      <c r="I1643" s="51" t="n">
        <v>46004</v>
      </c>
      <c r="J1643" s="39" t="str">
        <f aca="false">IF(G1643=0,"Tunai",IF(I1643="","Belum ditukar","Sudah ditukar"))</f>
        <v>Sudah ditukar</v>
      </c>
      <c r="K1643" s="54" t="n">
        <v>0</v>
      </c>
      <c r="M1643" s="52" t="n">
        <f aca="false">F1643-K1643</f>
        <v>12042200</v>
      </c>
      <c r="N1643" s="39" t="str">
        <f aca="false">IF(M1643&lt;=0,"Lunas",IF(K1643&gt;0,"Sebagian","Belum Bayar"))</f>
        <v>Belum Bayar</v>
      </c>
      <c r="O1643" s="39" t="n">
        <f aca="false">IF(M1643&gt;0,MAX(0,Catatan!$B$3-H1643),0)</f>
        <v>8</v>
      </c>
      <c r="P1643" s="39" t="str">
        <f aca="false">IF(M1643&lt;=0,"Lunas",IF(Catatan!$B$3&lt;=H1643,"Belum Jatuh Tempo",IF(O1643&lt;=30,"1-30 hari",IF(O1643&lt;=60,"31-60 hari",IF(O1643&lt;=90,"61-90 hari","90+ hari")))))</f>
        <v>1-30 hari</v>
      </c>
      <c r="Q1643" s="50" t="s">
        <v>338</v>
      </c>
      <c r="R1643" s="39" t="str">
        <f aca="false">IF(M1643&lt;=0,"",IF(O1643&gt;60,"1-Tinggi",IF(O1643&gt;30,"2-Sedang",IF(O1643&gt;0,"3-Rendah","4-Pantau"))))</f>
        <v>3-Rendah</v>
      </c>
      <c r="S1643" s="39" t="n">
        <f aca="false">IF(AND(M1643&gt;0,O1643&gt;0),O1643+M1643/1000000000000+ROW()/1000000000000000,"")</f>
        <v>8.00001204220164</v>
      </c>
      <c r="T1643" s="39" t="str">
        <f aca="false">IF(J1643="Belum ditukar",ROW(),"")</f>
        <v/>
      </c>
    </row>
    <row r="1644" customFormat="false" ht="15" hidden="false" customHeight="false" outlineLevel="0" collapsed="false">
      <c r="A1644" s="50" t="s">
        <v>1929</v>
      </c>
      <c r="B1644" s="51" t="n">
        <v>46001</v>
      </c>
      <c r="C1644" s="50" t="s">
        <v>174</v>
      </c>
      <c r="D1644" s="39" t="str">
        <f aca="false">INDEX(Master_Customer!$B$2:$B$126,MATCH(C1644,Master_Customer!$A$2:$A$126,0))</f>
        <v>SUMBER TEKNIK SURYA</v>
      </c>
      <c r="E1644" s="50" t="s">
        <v>32</v>
      </c>
      <c r="F1644" s="52" t="n">
        <f aca="false">SUMIFS(Data_Penjualan!$G$2:$G$5998,Data_Penjualan!$A$2:$A$5998,A1644)</f>
        <v>6908800</v>
      </c>
      <c r="G1644" s="39" t="n">
        <f aca="false">IF(E1644="KANTOR",0,INDEX(Master_Customer!$C$2:$C$126,MATCH(C1644,Master_Customer!$A$2:$A$126,0)))</f>
        <v>0</v>
      </c>
      <c r="H1644" s="53" t="n">
        <f aca="false">B1644+G1644</f>
        <v>46001</v>
      </c>
      <c r="J1644" s="39" t="str">
        <f aca="false">IF(G1644=0,"Tunai",IF(I1644="","Belum ditukar","Sudah ditukar"))</f>
        <v>Tunai</v>
      </c>
      <c r="K1644" s="54" t="n">
        <v>6908800</v>
      </c>
      <c r="L1644" s="51" t="n">
        <v>46001</v>
      </c>
      <c r="M1644" s="52" t="n">
        <f aca="false">F1644-K1644</f>
        <v>0</v>
      </c>
      <c r="N1644" s="39" t="str">
        <f aca="false">IF(M1644&lt;=0,"Lunas",IF(K1644&gt;0,"Sebagian","Belum Bayar"))</f>
        <v>Lunas</v>
      </c>
      <c r="O1644" s="39" t="n">
        <f aca="false">IF(M1644&gt;0,MAX(0,Catatan!$B$3-H1644),0)</f>
        <v>0</v>
      </c>
      <c r="P1644" s="39" t="str">
        <f aca="false">IF(M1644&lt;=0,"Lunas",IF(Catatan!$B$3&lt;=H1644,"Belum Jatuh Tempo",IF(O1644&lt;=30,"1-30 hari",IF(O1644&lt;=60,"31-60 hari",IF(O1644&lt;=90,"61-90 hari","90+ hari")))))</f>
        <v>Lunas</v>
      </c>
      <c r="Q1644" s="50"/>
      <c r="R1644" s="39" t="str">
        <f aca="false">IF(M1644&lt;=0,"",IF(O1644&gt;60,"1-Tinggi",IF(O1644&gt;30,"2-Sedang",IF(O1644&gt;0,"3-Rendah","4-Pantau"))))</f>
        <v/>
      </c>
      <c r="S1644" s="39" t="str">
        <f aca="false">IF(AND(M1644&gt;0,O1644&gt;0),O1644+M1644/1000000000000+ROW()/1000000000000000,"")</f>
        <v/>
      </c>
      <c r="T1644" s="39" t="str">
        <f aca="false">IF(J1644="Belum ditukar",ROW(),"")</f>
        <v/>
      </c>
    </row>
    <row r="1645" customFormat="false" ht="15" hidden="false" customHeight="false" outlineLevel="0" collapsed="false">
      <c r="A1645" s="50" t="s">
        <v>1930</v>
      </c>
      <c r="B1645" s="51" t="n">
        <v>46001</v>
      </c>
      <c r="C1645" s="50" t="s">
        <v>681</v>
      </c>
      <c r="D1645" s="39" t="str">
        <f aca="false">INDEX(Master_Customer!$B$2:$B$126,MATCH(C1645,Master_Customer!$A$2:$A$126,0))</f>
        <v>GEMILANG TEKNIK</v>
      </c>
      <c r="E1645" s="50" t="s">
        <v>29</v>
      </c>
      <c r="F1645" s="52" t="n">
        <f aca="false">SUMIFS(Data_Penjualan!$G$2:$G$5998,Data_Penjualan!$A$2:$A$5998,A1645)</f>
        <v>6220300</v>
      </c>
      <c r="G1645" s="39" t="n">
        <f aca="false">IF(E1645="KANTOR",0,INDEX(Master_Customer!$C$2:$C$126,MATCH(C1645,Master_Customer!$A$2:$A$126,0)))</f>
        <v>30</v>
      </c>
      <c r="H1645" s="53" t="n">
        <f aca="false">B1645+G1645</f>
        <v>46031</v>
      </c>
      <c r="I1645" s="51" t="n">
        <v>46006</v>
      </c>
      <c r="J1645" s="39" t="str">
        <f aca="false">IF(G1645=0,"Tunai",IF(I1645="","Belum ditukar","Sudah ditukar"))</f>
        <v>Sudah ditukar</v>
      </c>
      <c r="K1645" s="54" t="n">
        <v>0</v>
      </c>
      <c r="M1645" s="52" t="n">
        <f aca="false">F1645-K1645</f>
        <v>6220300</v>
      </c>
      <c r="N1645" s="39" t="str">
        <f aca="false">IF(M1645&lt;=0,"Lunas",IF(K1645&gt;0,"Sebagian","Belum Bayar"))</f>
        <v>Belum Bayar</v>
      </c>
      <c r="O1645" s="39" t="n">
        <f aca="false">IF(M1645&gt;0,MAX(0,Catatan!$B$3-H1645),0)</f>
        <v>0</v>
      </c>
      <c r="P1645" s="39" t="str">
        <f aca="false">IF(M1645&lt;=0,"Lunas",IF(Catatan!$B$3&lt;=H1645,"Belum Jatuh Tempo",IF(O1645&lt;=30,"1-30 hari",IF(O1645&lt;=60,"31-60 hari",IF(O1645&lt;=90,"61-90 hari","90+ hari")))))</f>
        <v>Belum Jatuh Tempo</v>
      </c>
      <c r="Q1645" s="50"/>
      <c r="R1645" s="39" t="str">
        <f aca="false">IF(M1645&lt;=0,"",IF(O1645&gt;60,"1-Tinggi",IF(O1645&gt;30,"2-Sedang",IF(O1645&gt;0,"3-Rendah","4-Pantau"))))</f>
        <v>4-Pantau</v>
      </c>
      <c r="S1645" s="39" t="str">
        <f aca="false">IF(AND(M1645&gt;0,O1645&gt;0),O1645+M1645/1000000000000+ROW()/1000000000000000,"")</f>
        <v/>
      </c>
      <c r="T1645" s="39" t="str">
        <f aca="false">IF(J1645="Belum ditukar",ROW(),"")</f>
        <v/>
      </c>
    </row>
    <row r="1646" customFormat="false" ht="15" hidden="false" customHeight="false" outlineLevel="0" collapsed="false">
      <c r="A1646" s="50" t="s">
        <v>1931</v>
      </c>
      <c r="B1646" s="51" t="n">
        <v>46001</v>
      </c>
      <c r="C1646" s="50" t="s">
        <v>205</v>
      </c>
      <c r="D1646" s="39" t="str">
        <f aca="false">INDEX(Master_Customer!$B$2:$B$126,MATCH(C1646,Master_Customer!$A$2:$A$126,0))</f>
        <v>BERKAH OLI</v>
      </c>
      <c r="E1646" s="50" t="s">
        <v>28</v>
      </c>
      <c r="F1646" s="52" t="n">
        <f aca="false">SUMIFS(Data_Penjualan!$G$2:$G$5998,Data_Penjualan!$A$2:$A$5998,A1646)</f>
        <v>2690300</v>
      </c>
      <c r="G1646" s="39" t="n">
        <f aca="false">IF(E1646="KANTOR",0,INDEX(Master_Customer!$C$2:$C$126,MATCH(C1646,Master_Customer!$A$2:$A$126,0)))</f>
        <v>0</v>
      </c>
      <c r="H1646" s="53" t="n">
        <f aca="false">B1646+G1646</f>
        <v>46001</v>
      </c>
      <c r="J1646" s="39" t="str">
        <f aca="false">IF(G1646=0,"Tunai",IF(I1646="","Belum ditukar","Sudah ditukar"))</f>
        <v>Tunai</v>
      </c>
      <c r="K1646" s="54" t="n">
        <v>2690300</v>
      </c>
      <c r="L1646" s="51" t="n">
        <v>46001</v>
      </c>
      <c r="M1646" s="52" t="n">
        <f aca="false">F1646-K1646</f>
        <v>0</v>
      </c>
      <c r="N1646" s="39" t="str">
        <f aca="false">IF(M1646&lt;=0,"Lunas",IF(K1646&gt;0,"Sebagian","Belum Bayar"))</f>
        <v>Lunas</v>
      </c>
      <c r="O1646" s="39" t="n">
        <f aca="false">IF(M1646&gt;0,MAX(0,Catatan!$B$3-H1646),0)</f>
        <v>0</v>
      </c>
      <c r="P1646" s="39" t="str">
        <f aca="false">IF(M1646&lt;=0,"Lunas",IF(Catatan!$B$3&lt;=H1646,"Belum Jatuh Tempo",IF(O1646&lt;=30,"1-30 hari",IF(O1646&lt;=60,"31-60 hari",IF(O1646&lt;=90,"61-90 hari","90+ hari")))))</f>
        <v>Lunas</v>
      </c>
      <c r="Q1646" s="50"/>
      <c r="R1646" s="39" t="str">
        <f aca="false">IF(M1646&lt;=0,"",IF(O1646&gt;60,"1-Tinggi",IF(O1646&gt;30,"2-Sedang",IF(O1646&gt;0,"3-Rendah","4-Pantau"))))</f>
        <v/>
      </c>
      <c r="S1646" s="39" t="str">
        <f aca="false">IF(AND(M1646&gt;0,O1646&gt;0),O1646+M1646/1000000000000+ROW()/1000000000000000,"")</f>
        <v/>
      </c>
      <c r="T1646" s="39" t="str">
        <f aca="false">IF(J1646="Belum ditukar",ROW(),"")</f>
        <v/>
      </c>
    </row>
    <row r="1647" customFormat="false" ht="15" hidden="false" customHeight="false" outlineLevel="0" collapsed="false">
      <c r="A1647" s="50" t="s">
        <v>1932</v>
      </c>
      <c r="B1647" s="51" t="n">
        <v>46001</v>
      </c>
      <c r="C1647" s="50" t="s">
        <v>814</v>
      </c>
      <c r="D1647" s="39" t="str">
        <f aca="false">INDEX(Master_Customer!$B$2:$B$126,MATCH(C1647,Master_Customer!$A$2:$A$126,0))</f>
        <v>SENTOSA TEKNIK</v>
      </c>
      <c r="E1647" s="50" t="s">
        <v>30</v>
      </c>
      <c r="F1647" s="52" t="n">
        <f aca="false">SUMIFS(Data_Penjualan!$G$2:$G$5998,Data_Penjualan!$A$2:$A$5998,A1647)</f>
        <v>10812000</v>
      </c>
      <c r="G1647" s="39" t="n">
        <f aca="false">IF(E1647="KANTOR",0,INDEX(Master_Customer!$C$2:$C$126,MATCH(C1647,Master_Customer!$A$2:$A$126,0)))</f>
        <v>30</v>
      </c>
      <c r="H1647" s="53" t="n">
        <f aca="false">B1647+G1647</f>
        <v>46031</v>
      </c>
      <c r="I1647" s="51" t="n">
        <v>46005</v>
      </c>
      <c r="J1647" s="39" t="str">
        <f aca="false">IF(G1647=0,"Tunai",IF(I1647="","Belum ditukar","Sudah ditukar"))</f>
        <v>Sudah ditukar</v>
      </c>
      <c r="K1647" s="54" t="n">
        <v>0</v>
      </c>
      <c r="M1647" s="52" t="n">
        <f aca="false">F1647-K1647</f>
        <v>10812000</v>
      </c>
      <c r="N1647" s="39" t="str">
        <f aca="false">IF(M1647&lt;=0,"Lunas",IF(K1647&gt;0,"Sebagian","Belum Bayar"))</f>
        <v>Belum Bayar</v>
      </c>
      <c r="O1647" s="39" t="n">
        <f aca="false">IF(M1647&gt;0,MAX(0,Catatan!$B$3-H1647),0)</f>
        <v>0</v>
      </c>
      <c r="P1647" s="39" t="str">
        <f aca="false">IF(M1647&lt;=0,"Lunas",IF(Catatan!$B$3&lt;=H1647,"Belum Jatuh Tempo",IF(O1647&lt;=30,"1-30 hari",IF(O1647&lt;=60,"31-60 hari",IF(O1647&lt;=90,"61-90 hari","90+ hari")))))</f>
        <v>Belum Jatuh Tempo</v>
      </c>
      <c r="Q1647" s="50"/>
      <c r="R1647" s="39" t="str">
        <f aca="false">IF(M1647&lt;=0,"",IF(O1647&gt;60,"1-Tinggi",IF(O1647&gt;30,"2-Sedang",IF(O1647&gt;0,"3-Rendah","4-Pantau"))))</f>
        <v>4-Pantau</v>
      </c>
      <c r="S1647" s="39" t="str">
        <f aca="false">IF(AND(M1647&gt;0,O1647&gt;0),O1647+M1647/1000000000000+ROW()/1000000000000000,"")</f>
        <v/>
      </c>
      <c r="T1647" s="39" t="str">
        <f aca="false">IF(J1647="Belum ditukar",ROW(),"")</f>
        <v/>
      </c>
    </row>
    <row r="1648" customFormat="false" ht="15" hidden="false" customHeight="false" outlineLevel="0" collapsed="false">
      <c r="A1648" s="50" t="s">
        <v>1933</v>
      </c>
      <c r="B1648" s="51" t="n">
        <v>46001</v>
      </c>
      <c r="C1648" s="50" t="s">
        <v>286</v>
      </c>
      <c r="D1648" s="39" t="str">
        <f aca="false">INDEX(Master_Customer!$B$2:$B$126,MATCH(C1648,Master_Customer!$A$2:$A$126,0))</f>
        <v>CAHAYA AUTO</v>
      </c>
      <c r="E1648" s="50" t="s">
        <v>29</v>
      </c>
      <c r="F1648" s="52" t="n">
        <f aca="false">SUMIFS(Data_Penjualan!$G$2:$G$5998,Data_Penjualan!$A$2:$A$5998,A1648)</f>
        <v>6550500</v>
      </c>
      <c r="G1648" s="39" t="n">
        <f aca="false">IF(E1648="KANTOR",0,INDEX(Master_Customer!$C$2:$C$126,MATCH(C1648,Master_Customer!$A$2:$A$126,0)))</f>
        <v>0</v>
      </c>
      <c r="H1648" s="53" t="n">
        <f aca="false">B1648+G1648</f>
        <v>46001</v>
      </c>
      <c r="J1648" s="39" t="str">
        <f aca="false">IF(G1648=0,"Tunai",IF(I1648="","Belum ditukar","Sudah ditukar"))</f>
        <v>Tunai</v>
      </c>
      <c r="K1648" s="54" t="n">
        <v>6550500</v>
      </c>
      <c r="L1648" s="51" t="n">
        <v>46001</v>
      </c>
      <c r="M1648" s="52" t="n">
        <f aca="false">F1648-K1648</f>
        <v>0</v>
      </c>
      <c r="N1648" s="39" t="str">
        <f aca="false">IF(M1648&lt;=0,"Lunas",IF(K1648&gt;0,"Sebagian","Belum Bayar"))</f>
        <v>Lunas</v>
      </c>
      <c r="O1648" s="39" t="n">
        <f aca="false">IF(M1648&gt;0,MAX(0,Catatan!$B$3-H1648),0)</f>
        <v>0</v>
      </c>
      <c r="P1648" s="39" t="str">
        <f aca="false">IF(M1648&lt;=0,"Lunas",IF(Catatan!$B$3&lt;=H1648,"Belum Jatuh Tempo",IF(O1648&lt;=30,"1-30 hari",IF(O1648&lt;=60,"31-60 hari",IF(O1648&lt;=90,"61-90 hari","90+ hari")))))</f>
        <v>Lunas</v>
      </c>
      <c r="Q1648" s="50"/>
      <c r="R1648" s="39" t="str">
        <f aca="false">IF(M1648&lt;=0,"",IF(O1648&gt;60,"1-Tinggi",IF(O1648&gt;30,"2-Sedang",IF(O1648&gt;0,"3-Rendah","4-Pantau"))))</f>
        <v/>
      </c>
      <c r="S1648" s="39" t="str">
        <f aca="false">IF(AND(M1648&gt;0,O1648&gt;0),O1648+M1648/1000000000000+ROW()/1000000000000000,"")</f>
        <v/>
      </c>
      <c r="T1648" s="39" t="str">
        <f aca="false">IF(J1648="Belum ditukar",ROW(),"")</f>
        <v/>
      </c>
    </row>
    <row r="1649" customFormat="false" ht="15" hidden="false" customHeight="false" outlineLevel="0" collapsed="false">
      <c r="A1649" s="50" t="s">
        <v>1934</v>
      </c>
      <c r="B1649" s="51" t="n">
        <v>46001</v>
      </c>
      <c r="C1649" s="50" t="s">
        <v>218</v>
      </c>
      <c r="D1649" s="39" t="str">
        <f aca="false">INDEX(Master_Customer!$B$2:$B$126,MATCH(C1649,Master_Customer!$A$2:$A$126,0))</f>
        <v>SURYA SERVICE LANCAR</v>
      </c>
      <c r="E1649" s="50" t="s">
        <v>32</v>
      </c>
      <c r="F1649" s="52" t="n">
        <f aca="false">SUMIFS(Data_Penjualan!$G$2:$G$5998,Data_Penjualan!$A$2:$A$5998,A1649)</f>
        <v>4161100</v>
      </c>
      <c r="G1649" s="39" t="n">
        <f aca="false">IF(E1649="KANTOR",0,INDEX(Master_Customer!$C$2:$C$126,MATCH(C1649,Master_Customer!$A$2:$A$126,0)))</f>
        <v>0</v>
      </c>
      <c r="H1649" s="53" t="n">
        <f aca="false">B1649+G1649</f>
        <v>46001</v>
      </c>
      <c r="J1649" s="39" t="str">
        <f aca="false">IF(G1649=0,"Tunai",IF(I1649="","Belum ditukar","Sudah ditukar"))</f>
        <v>Tunai</v>
      </c>
      <c r="K1649" s="54" t="n">
        <v>4161100</v>
      </c>
      <c r="L1649" s="51" t="n">
        <v>46001</v>
      </c>
      <c r="M1649" s="52" t="n">
        <f aca="false">F1649-K1649</f>
        <v>0</v>
      </c>
      <c r="N1649" s="39" t="str">
        <f aca="false">IF(M1649&lt;=0,"Lunas",IF(K1649&gt;0,"Sebagian","Belum Bayar"))</f>
        <v>Lunas</v>
      </c>
      <c r="O1649" s="39" t="n">
        <f aca="false">IF(M1649&gt;0,MAX(0,Catatan!$B$3-H1649),0)</f>
        <v>0</v>
      </c>
      <c r="P1649" s="39" t="str">
        <f aca="false">IF(M1649&lt;=0,"Lunas",IF(Catatan!$B$3&lt;=H1649,"Belum Jatuh Tempo",IF(O1649&lt;=30,"1-30 hari",IF(O1649&lt;=60,"31-60 hari",IF(O1649&lt;=90,"61-90 hari","90+ hari")))))</f>
        <v>Lunas</v>
      </c>
      <c r="Q1649" s="50"/>
      <c r="R1649" s="39" t="str">
        <f aca="false">IF(M1649&lt;=0,"",IF(O1649&gt;60,"1-Tinggi",IF(O1649&gt;30,"2-Sedang",IF(O1649&gt;0,"3-Rendah","4-Pantau"))))</f>
        <v/>
      </c>
      <c r="S1649" s="39" t="str">
        <f aca="false">IF(AND(M1649&gt;0,O1649&gt;0),O1649+M1649/1000000000000+ROW()/1000000000000000,"")</f>
        <v/>
      </c>
      <c r="T1649" s="39" t="str">
        <f aca="false">IF(J1649="Belum ditukar",ROW(),"")</f>
        <v/>
      </c>
    </row>
    <row r="1650" customFormat="false" ht="15" hidden="false" customHeight="false" outlineLevel="0" collapsed="false">
      <c r="A1650" s="50" t="s">
        <v>1935</v>
      </c>
      <c r="B1650" s="51" t="n">
        <v>46002</v>
      </c>
      <c r="C1650" s="50" t="s">
        <v>286</v>
      </c>
      <c r="D1650" s="39" t="str">
        <f aca="false">INDEX(Master_Customer!$B$2:$B$126,MATCH(C1650,Master_Customer!$A$2:$A$126,0))</f>
        <v>CAHAYA AUTO</v>
      </c>
      <c r="E1650" s="50" t="s">
        <v>29</v>
      </c>
      <c r="F1650" s="52" t="n">
        <f aca="false">SUMIFS(Data_Penjualan!$G$2:$G$5998,Data_Penjualan!$A$2:$A$5998,A1650)</f>
        <v>9851800</v>
      </c>
      <c r="G1650" s="39" t="n">
        <f aca="false">IF(E1650="KANTOR",0,INDEX(Master_Customer!$C$2:$C$126,MATCH(C1650,Master_Customer!$A$2:$A$126,0)))</f>
        <v>0</v>
      </c>
      <c r="H1650" s="53" t="n">
        <f aca="false">B1650+G1650</f>
        <v>46002</v>
      </c>
      <c r="J1650" s="39" t="str">
        <f aca="false">IF(G1650=0,"Tunai",IF(I1650="","Belum ditukar","Sudah ditukar"))</f>
        <v>Tunai</v>
      </c>
      <c r="K1650" s="54" t="n">
        <v>9851800</v>
      </c>
      <c r="L1650" s="51" t="n">
        <v>46002</v>
      </c>
      <c r="M1650" s="52" t="n">
        <f aca="false">F1650-K1650</f>
        <v>0</v>
      </c>
      <c r="N1650" s="39" t="str">
        <f aca="false">IF(M1650&lt;=0,"Lunas",IF(K1650&gt;0,"Sebagian","Belum Bayar"))</f>
        <v>Lunas</v>
      </c>
      <c r="O1650" s="39" t="n">
        <f aca="false">IF(M1650&gt;0,MAX(0,Catatan!$B$3-H1650),0)</f>
        <v>0</v>
      </c>
      <c r="P1650" s="39" t="str">
        <f aca="false">IF(M1650&lt;=0,"Lunas",IF(Catatan!$B$3&lt;=H1650,"Belum Jatuh Tempo",IF(O1650&lt;=30,"1-30 hari",IF(O1650&lt;=60,"31-60 hari",IF(O1650&lt;=90,"61-90 hari","90+ hari")))))</f>
        <v>Lunas</v>
      </c>
      <c r="Q1650" s="50"/>
      <c r="R1650" s="39" t="str">
        <f aca="false">IF(M1650&lt;=0,"",IF(O1650&gt;60,"1-Tinggi",IF(O1650&gt;30,"2-Sedang",IF(O1650&gt;0,"3-Rendah","4-Pantau"))))</f>
        <v/>
      </c>
      <c r="S1650" s="39" t="str">
        <f aca="false">IF(AND(M1650&gt;0,O1650&gt;0),O1650+M1650/1000000000000+ROW()/1000000000000000,"")</f>
        <v/>
      </c>
      <c r="T1650" s="39" t="str">
        <f aca="false">IF(J1650="Belum ditukar",ROW(),"")</f>
        <v/>
      </c>
    </row>
    <row r="1651" customFormat="false" ht="15" hidden="false" customHeight="false" outlineLevel="0" collapsed="false">
      <c r="A1651" s="50" t="s">
        <v>1936</v>
      </c>
      <c r="B1651" s="51" t="n">
        <v>46002</v>
      </c>
      <c r="C1651" s="50" t="s">
        <v>168</v>
      </c>
      <c r="D1651" s="39" t="str">
        <f aca="false">INDEX(Master_Customer!$B$2:$B$126,MATCH(C1651,Master_Customer!$A$2:$A$126,0))</f>
        <v>JAYA LUBRICANT</v>
      </c>
      <c r="E1651" s="50" t="s">
        <v>29</v>
      </c>
      <c r="F1651" s="52" t="n">
        <f aca="false">SUMIFS(Data_Penjualan!$G$2:$G$5998,Data_Penjualan!$A$2:$A$5998,A1651)</f>
        <v>10825700</v>
      </c>
      <c r="G1651" s="39" t="n">
        <f aca="false">IF(E1651="KANTOR",0,INDEX(Master_Customer!$C$2:$C$126,MATCH(C1651,Master_Customer!$A$2:$A$126,0)))</f>
        <v>0</v>
      </c>
      <c r="H1651" s="53" t="n">
        <f aca="false">B1651+G1651</f>
        <v>46002</v>
      </c>
      <c r="J1651" s="39" t="str">
        <f aca="false">IF(G1651=0,"Tunai",IF(I1651="","Belum ditukar","Sudah ditukar"))</f>
        <v>Tunai</v>
      </c>
      <c r="K1651" s="54" t="n">
        <v>10825700</v>
      </c>
      <c r="L1651" s="51" t="n">
        <v>46002</v>
      </c>
      <c r="M1651" s="52" t="n">
        <f aca="false">F1651-K1651</f>
        <v>0</v>
      </c>
      <c r="N1651" s="39" t="str">
        <f aca="false">IF(M1651&lt;=0,"Lunas",IF(K1651&gt;0,"Sebagian","Belum Bayar"))</f>
        <v>Lunas</v>
      </c>
      <c r="O1651" s="39" t="n">
        <f aca="false">IF(M1651&gt;0,MAX(0,Catatan!$B$3-H1651),0)</f>
        <v>0</v>
      </c>
      <c r="P1651" s="39" t="str">
        <f aca="false">IF(M1651&lt;=0,"Lunas",IF(Catatan!$B$3&lt;=H1651,"Belum Jatuh Tempo",IF(O1651&lt;=30,"1-30 hari",IF(O1651&lt;=60,"31-60 hari",IF(O1651&lt;=90,"61-90 hari","90+ hari")))))</f>
        <v>Lunas</v>
      </c>
      <c r="Q1651" s="50"/>
      <c r="R1651" s="39" t="str">
        <f aca="false">IF(M1651&lt;=0,"",IF(O1651&gt;60,"1-Tinggi",IF(O1651&gt;30,"2-Sedang",IF(O1651&gt;0,"3-Rendah","4-Pantau"))))</f>
        <v/>
      </c>
      <c r="S1651" s="39" t="str">
        <f aca="false">IF(AND(M1651&gt;0,O1651&gt;0),O1651+M1651/1000000000000+ROW()/1000000000000000,"")</f>
        <v/>
      </c>
      <c r="T1651" s="39" t="str">
        <f aca="false">IF(J1651="Belum ditukar",ROW(),"")</f>
        <v/>
      </c>
    </row>
    <row r="1652" customFormat="false" ht="15" hidden="false" customHeight="false" outlineLevel="0" collapsed="false">
      <c r="A1652" s="50" t="s">
        <v>1937</v>
      </c>
      <c r="B1652" s="51" t="n">
        <v>46003</v>
      </c>
      <c r="C1652" s="50" t="s">
        <v>289</v>
      </c>
      <c r="D1652" s="39" t="str">
        <f aca="false">INDEX(Master_Customer!$B$2:$B$126,MATCH(C1652,Master_Customer!$A$2:$A$126,0))</f>
        <v>SINAR GARAGE</v>
      </c>
      <c r="E1652" s="50" t="s">
        <v>28</v>
      </c>
      <c r="F1652" s="52" t="n">
        <f aca="false">SUMIFS(Data_Penjualan!$G$2:$G$5998,Data_Penjualan!$A$2:$A$5998,A1652)</f>
        <v>19873700</v>
      </c>
      <c r="G1652" s="39" t="n">
        <f aca="false">IF(E1652="KANTOR",0,INDEX(Master_Customer!$C$2:$C$126,MATCH(C1652,Master_Customer!$A$2:$A$126,0)))</f>
        <v>30</v>
      </c>
      <c r="H1652" s="53" t="n">
        <f aca="false">B1652+G1652</f>
        <v>46033</v>
      </c>
      <c r="I1652" s="51" t="n">
        <v>46006</v>
      </c>
      <c r="J1652" s="39" t="str">
        <f aca="false">IF(G1652=0,"Tunai",IF(I1652="","Belum ditukar","Sudah ditukar"))</f>
        <v>Sudah ditukar</v>
      </c>
      <c r="K1652" s="54" t="n">
        <v>0</v>
      </c>
      <c r="M1652" s="52" t="n">
        <f aca="false">F1652-K1652</f>
        <v>19873700</v>
      </c>
      <c r="N1652" s="39" t="str">
        <f aca="false">IF(M1652&lt;=0,"Lunas",IF(K1652&gt;0,"Sebagian","Belum Bayar"))</f>
        <v>Belum Bayar</v>
      </c>
      <c r="O1652" s="39" t="n">
        <f aca="false">IF(M1652&gt;0,MAX(0,Catatan!$B$3-H1652),0)</f>
        <v>0</v>
      </c>
      <c r="P1652" s="39" t="str">
        <f aca="false">IF(M1652&lt;=0,"Lunas",IF(Catatan!$B$3&lt;=H1652,"Belum Jatuh Tempo",IF(O1652&lt;=30,"1-30 hari",IF(O1652&lt;=60,"31-60 hari",IF(O1652&lt;=90,"61-90 hari","90+ hari")))))</f>
        <v>Belum Jatuh Tempo</v>
      </c>
      <c r="Q1652" s="50"/>
      <c r="R1652" s="39" t="str">
        <f aca="false">IF(M1652&lt;=0,"",IF(O1652&gt;60,"1-Tinggi",IF(O1652&gt;30,"2-Sedang",IF(O1652&gt;0,"3-Rendah","4-Pantau"))))</f>
        <v>4-Pantau</v>
      </c>
      <c r="S1652" s="39" t="str">
        <f aca="false">IF(AND(M1652&gt;0,O1652&gt;0),O1652+M1652/1000000000000+ROW()/1000000000000000,"")</f>
        <v/>
      </c>
      <c r="T1652" s="39" t="str">
        <f aca="false">IF(J1652="Belum ditukar",ROW(),"")</f>
        <v/>
      </c>
    </row>
    <row r="1653" customFormat="false" ht="15" hidden="false" customHeight="false" outlineLevel="0" collapsed="false">
      <c r="A1653" s="50" t="s">
        <v>1938</v>
      </c>
      <c r="B1653" s="51" t="n">
        <v>46003</v>
      </c>
      <c r="C1653" s="50" t="s">
        <v>382</v>
      </c>
      <c r="D1653" s="39" t="str">
        <f aca="false">INDEX(Master_Customer!$B$2:$B$126,MATCH(C1653,Master_Customer!$A$2:$A$126,0))</f>
        <v>BERKAH SPAREPART</v>
      </c>
      <c r="E1653" s="50" t="s">
        <v>32</v>
      </c>
      <c r="F1653" s="52" t="n">
        <f aca="false">SUMIFS(Data_Penjualan!$G$2:$G$5998,Data_Penjualan!$A$2:$A$5998,A1653)</f>
        <v>7911200</v>
      </c>
      <c r="G1653" s="39" t="n">
        <f aca="false">IF(E1653="KANTOR",0,INDEX(Master_Customer!$C$2:$C$126,MATCH(C1653,Master_Customer!$A$2:$A$126,0)))</f>
        <v>0</v>
      </c>
      <c r="H1653" s="53" t="n">
        <f aca="false">B1653+G1653</f>
        <v>46003</v>
      </c>
      <c r="J1653" s="39" t="str">
        <f aca="false">IF(G1653=0,"Tunai",IF(I1653="","Belum ditukar","Sudah ditukar"))</f>
        <v>Tunai</v>
      </c>
      <c r="K1653" s="54" t="n">
        <v>7911200</v>
      </c>
      <c r="L1653" s="51" t="n">
        <v>46004</v>
      </c>
      <c r="M1653" s="52" t="n">
        <f aca="false">F1653-K1653</f>
        <v>0</v>
      </c>
      <c r="N1653" s="39" t="str">
        <f aca="false">IF(M1653&lt;=0,"Lunas",IF(K1653&gt;0,"Sebagian","Belum Bayar"))</f>
        <v>Lunas</v>
      </c>
      <c r="O1653" s="39" t="n">
        <f aca="false">IF(M1653&gt;0,MAX(0,Catatan!$B$3-H1653),0)</f>
        <v>0</v>
      </c>
      <c r="P1653" s="39" t="str">
        <f aca="false">IF(M1653&lt;=0,"Lunas",IF(Catatan!$B$3&lt;=H1653,"Belum Jatuh Tempo",IF(O1653&lt;=30,"1-30 hari",IF(O1653&lt;=60,"31-60 hari",IF(O1653&lt;=90,"61-90 hari","90+ hari")))))</f>
        <v>Lunas</v>
      </c>
      <c r="Q1653" s="50"/>
      <c r="R1653" s="39" t="str">
        <f aca="false">IF(M1653&lt;=0,"",IF(O1653&gt;60,"1-Tinggi",IF(O1653&gt;30,"2-Sedang",IF(O1653&gt;0,"3-Rendah","4-Pantau"))))</f>
        <v/>
      </c>
      <c r="S1653" s="39" t="str">
        <f aca="false">IF(AND(M1653&gt;0,O1653&gt;0),O1653+M1653/1000000000000+ROW()/1000000000000000,"")</f>
        <v/>
      </c>
      <c r="T1653" s="39" t="str">
        <f aca="false">IF(J1653="Belum ditukar",ROW(),"")</f>
        <v/>
      </c>
    </row>
    <row r="1654" customFormat="false" ht="15" hidden="false" customHeight="false" outlineLevel="0" collapsed="false">
      <c r="A1654" s="50" t="s">
        <v>1939</v>
      </c>
      <c r="B1654" s="51" t="n">
        <v>46003</v>
      </c>
      <c r="C1654" s="50" t="s">
        <v>376</v>
      </c>
      <c r="D1654" s="39" t="str">
        <f aca="false">INDEX(Master_Customer!$B$2:$B$126,MATCH(C1654,Master_Customer!$A$2:$A$126,0))</f>
        <v>JAYA SPAREPART</v>
      </c>
      <c r="E1654" s="50" t="s">
        <v>32</v>
      </c>
      <c r="F1654" s="52" t="n">
        <f aca="false">SUMIFS(Data_Penjualan!$G$2:$G$5998,Data_Penjualan!$A$2:$A$5998,A1654)</f>
        <v>471100</v>
      </c>
      <c r="G1654" s="39" t="n">
        <f aca="false">IF(E1654="KANTOR",0,INDEX(Master_Customer!$C$2:$C$126,MATCH(C1654,Master_Customer!$A$2:$A$126,0)))</f>
        <v>0</v>
      </c>
      <c r="H1654" s="53" t="n">
        <f aca="false">B1654+G1654</f>
        <v>46003</v>
      </c>
      <c r="J1654" s="39" t="str">
        <f aca="false">IF(G1654=0,"Tunai",IF(I1654="","Belum ditukar","Sudah ditukar"))</f>
        <v>Tunai</v>
      </c>
      <c r="K1654" s="54" t="n">
        <v>471100</v>
      </c>
      <c r="L1654" s="51" t="n">
        <v>46003</v>
      </c>
      <c r="M1654" s="52" t="n">
        <f aca="false">F1654-K1654</f>
        <v>0</v>
      </c>
      <c r="N1654" s="39" t="str">
        <f aca="false">IF(M1654&lt;=0,"Lunas",IF(K1654&gt;0,"Sebagian","Belum Bayar"))</f>
        <v>Lunas</v>
      </c>
      <c r="O1654" s="39" t="n">
        <f aca="false">IF(M1654&gt;0,MAX(0,Catatan!$B$3-H1654),0)</f>
        <v>0</v>
      </c>
      <c r="P1654" s="39" t="str">
        <f aca="false">IF(M1654&lt;=0,"Lunas",IF(Catatan!$B$3&lt;=H1654,"Belum Jatuh Tempo",IF(O1654&lt;=30,"1-30 hari",IF(O1654&lt;=60,"31-60 hari",IF(O1654&lt;=90,"61-90 hari","90+ hari")))))</f>
        <v>Lunas</v>
      </c>
      <c r="Q1654" s="50"/>
      <c r="R1654" s="39" t="str">
        <f aca="false">IF(M1654&lt;=0,"",IF(O1654&gt;60,"1-Tinggi",IF(O1654&gt;30,"2-Sedang",IF(O1654&gt;0,"3-Rendah","4-Pantau"))))</f>
        <v/>
      </c>
      <c r="S1654" s="39" t="str">
        <f aca="false">IF(AND(M1654&gt;0,O1654&gt;0),O1654+M1654/1000000000000+ROW()/1000000000000000,"")</f>
        <v/>
      </c>
      <c r="T1654" s="39" t="str">
        <f aca="false">IF(J1654="Belum ditukar",ROW(),"")</f>
        <v/>
      </c>
    </row>
    <row r="1655" customFormat="false" ht="15" hidden="false" customHeight="false" outlineLevel="0" collapsed="false">
      <c r="A1655" s="50" t="s">
        <v>1940</v>
      </c>
      <c r="B1655" s="51" t="n">
        <v>46003</v>
      </c>
      <c r="C1655" s="50" t="s">
        <v>234</v>
      </c>
      <c r="D1655" s="39" t="str">
        <f aca="false">INDEX(Master_Customer!$B$2:$B$126,MATCH(C1655,Master_Customer!$A$2:$A$126,0))</f>
        <v>CAHAYA OLI</v>
      </c>
      <c r="E1655" s="50" t="s">
        <v>32</v>
      </c>
      <c r="F1655" s="52" t="n">
        <f aca="false">SUMIFS(Data_Penjualan!$G$2:$G$5998,Data_Penjualan!$A$2:$A$5998,A1655)</f>
        <v>6591000</v>
      </c>
      <c r="G1655" s="39" t="n">
        <f aca="false">IF(E1655="KANTOR",0,INDEX(Master_Customer!$C$2:$C$126,MATCH(C1655,Master_Customer!$A$2:$A$126,0)))</f>
        <v>0</v>
      </c>
      <c r="H1655" s="53" t="n">
        <f aca="false">B1655+G1655</f>
        <v>46003</v>
      </c>
      <c r="J1655" s="39" t="str">
        <f aca="false">IF(G1655=0,"Tunai",IF(I1655="","Belum ditukar","Sudah ditukar"))</f>
        <v>Tunai</v>
      </c>
      <c r="K1655" s="54" t="n">
        <v>6591000</v>
      </c>
      <c r="L1655" s="51" t="n">
        <v>46003</v>
      </c>
      <c r="M1655" s="52" t="n">
        <f aca="false">F1655-K1655</f>
        <v>0</v>
      </c>
      <c r="N1655" s="39" t="str">
        <f aca="false">IF(M1655&lt;=0,"Lunas",IF(K1655&gt;0,"Sebagian","Belum Bayar"))</f>
        <v>Lunas</v>
      </c>
      <c r="O1655" s="39" t="n">
        <f aca="false">IF(M1655&gt;0,MAX(0,Catatan!$B$3-H1655),0)</f>
        <v>0</v>
      </c>
      <c r="P1655" s="39" t="str">
        <f aca="false">IF(M1655&lt;=0,"Lunas",IF(Catatan!$B$3&lt;=H1655,"Belum Jatuh Tempo",IF(O1655&lt;=30,"1-30 hari",IF(O1655&lt;=60,"31-60 hari",IF(O1655&lt;=90,"61-90 hari","90+ hari")))))</f>
        <v>Lunas</v>
      </c>
      <c r="Q1655" s="50"/>
      <c r="R1655" s="39" t="str">
        <f aca="false">IF(M1655&lt;=0,"",IF(O1655&gt;60,"1-Tinggi",IF(O1655&gt;30,"2-Sedang",IF(O1655&gt;0,"3-Rendah","4-Pantau"))))</f>
        <v/>
      </c>
      <c r="S1655" s="39" t="str">
        <f aca="false">IF(AND(M1655&gt;0,O1655&gt;0),O1655+M1655/1000000000000+ROW()/1000000000000000,"")</f>
        <v/>
      </c>
      <c r="T1655" s="39" t="str">
        <f aca="false">IF(J1655="Belum ditukar",ROW(),"")</f>
        <v/>
      </c>
    </row>
    <row r="1656" customFormat="false" ht="15" hidden="false" customHeight="false" outlineLevel="0" collapsed="false">
      <c r="A1656" s="50" t="s">
        <v>1941</v>
      </c>
      <c r="B1656" s="51" t="n">
        <v>46003</v>
      </c>
      <c r="C1656" s="50" t="s">
        <v>209</v>
      </c>
      <c r="D1656" s="39" t="str">
        <f aca="false">INDEX(Master_Customer!$B$2:$B$126,MATCH(C1656,Master_Customer!$A$2:$A$126,0))</f>
        <v>PRIMA TEKNIK</v>
      </c>
      <c r="E1656" s="50" t="s">
        <v>31</v>
      </c>
      <c r="F1656" s="52" t="n">
        <f aca="false">SUMIFS(Data_Penjualan!$G$2:$G$5998,Data_Penjualan!$A$2:$A$5998,A1656)</f>
        <v>3920400</v>
      </c>
      <c r="G1656" s="39" t="n">
        <f aca="false">IF(E1656="KANTOR",0,INDEX(Master_Customer!$C$2:$C$126,MATCH(C1656,Master_Customer!$A$2:$A$126,0)))</f>
        <v>30</v>
      </c>
      <c r="H1656" s="53" t="n">
        <f aca="false">B1656+G1656</f>
        <v>46033</v>
      </c>
      <c r="I1656" s="51" t="n">
        <v>46007</v>
      </c>
      <c r="J1656" s="39" t="str">
        <f aca="false">IF(G1656=0,"Tunai",IF(I1656="","Belum ditukar","Sudah ditukar"))</f>
        <v>Sudah ditukar</v>
      </c>
      <c r="K1656" s="54" t="n">
        <v>0</v>
      </c>
      <c r="M1656" s="52" t="n">
        <f aca="false">F1656-K1656</f>
        <v>3920400</v>
      </c>
      <c r="N1656" s="39" t="str">
        <f aca="false">IF(M1656&lt;=0,"Lunas",IF(K1656&gt;0,"Sebagian","Belum Bayar"))</f>
        <v>Belum Bayar</v>
      </c>
      <c r="O1656" s="39" t="n">
        <f aca="false">IF(M1656&gt;0,MAX(0,Catatan!$B$3-H1656),0)</f>
        <v>0</v>
      </c>
      <c r="P1656" s="39" t="str">
        <f aca="false">IF(M1656&lt;=0,"Lunas",IF(Catatan!$B$3&lt;=H1656,"Belum Jatuh Tempo",IF(O1656&lt;=30,"1-30 hari",IF(O1656&lt;=60,"31-60 hari",IF(O1656&lt;=90,"61-90 hari","90+ hari")))))</f>
        <v>Belum Jatuh Tempo</v>
      </c>
      <c r="Q1656" s="50"/>
      <c r="R1656" s="39" t="str">
        <f aca="false">IF(M1656&lt;=0,"",IF(O1656&gt;60,"1-Tinggi",IF(O1656&gt;30,"2-Sedang",IF(O1656&gt;0,"3-Rendah","4-Pantau"))))</f>
        <v>4-Pantau</v>
      </c>
      <c r="S1656" s="39" t="str">
        <f aca="false">IF(AND(M1656&gt;0,O1656&gt;0),O1656+M1656/1000000000000+ROW()/1000000000000000,"")</f>
        <v/>
      </c>
      <c r="T1656" s="39" t="str">
        <f aca="false">IF(J1656="Belum ditukar",ROW(),"")</f>
        <v/>
      </c>
    </row>
    <row r="1657" customFormat="false" ht="15" hidden="false" customHeight="false" outlineLevel="0" collapsed="false">
      <c r="A1657" s="50" t="s">
        <v>1942</v>
      </c>
      <c r="B1657" s="51" t="n">
        <v>46003</v>
      </c>
      <c r="C1657" s="50" t="s">
        <v>358</v>
      </c>
      <c r="D1657" s="39" t="str">
        <f aca="false">INDEX(Master_Customer!$B$2:$B$126,MATCH(C1657,Master_Customer!$A$2:$A$126,0))</f>
        <v>HARAPAN TEKNIK</v>
      </c>
      <c r="E1657" s="50" t="s">
        <v>31</v>
      </c>
      <c r="F1657" s="52" t="n">
        <f aca="false">SUMIFS(Data_Penjualan!$G$2:$G$5998,Data_Penjualan!$A$2:$A$5998,A1657)</f>
        <v>3340600</v>
      </c>
      <c r="G1657" s="39" t="n">
        <f aca="false">IF(E1657="KANTOR",0,INDEX(Master_Customer!$C$2:$C$126,MATCH(C1657,Master_Customer!$A$2:$A$126,0)))</f>
        <v>0</v>
      </c>
      <c r="H1657" s="53" t="n">
        <f aca="false">B1657+G1657</f>
        <v>46003</v>
      </c>
      <c r="J1657" s="39" t="str">
        <f aca="false">IF(G1657=0,"Tunai",IF(I1657="","Belum ditukar","Sudah ditukar"))</f>
        <v>Tunai</v>
      </c>
      <c r="K1657" s="54" t="n">
        <v>3340600</v>
      </c>
      <c r="L1657" s="51" t="n">
        <v>46003</v>
      </c>
      <c r="M1657" s="52" t="n">
        <f aca="false">F1657-K1657</f>
        <v>0</v>
      </c>
      <c r="N1657" s="39" t="str">
        <f aca="false">IF(M1657&lt;=0,"Lunas",IF(K1657&gt;0,"Sebagian","Belum Bayar"))</f>
        <v>Lunas</v>
      </c>
      <c r="O1657" s="39" t="n">
        <f aca="false">IF(M1657&gt;0,MAX(0,Catatan!$B$3-H1657),0)</f>
        <v>0</v>
      </c>
      <c r="P1657" s="39" t="str">
        <f aca="false">IF(M1657&lt;=0,"Lunas",IF(Catatan!$B$3&lt;=H1657,"Belum Jatuh Tempo",IF(O1657&lt;=30,"1-30 hari",IF(O1657&lt;=60,"31-60 hari",IF(O1657&lt;=90,"61-90 hari","90+ hari")))))</f>
        <v>Lunas</v>
      </c>
      <c r="Q1657" s="50"/>
      <c r="R1657" s="39" t="str">
        <f aca="false">IF(M1657&lt;=0,"",IF(O1657&gt;60,"1-Tinggi",IF(O1657&gt;30,"2-Sedang",IF(O1657&gt;0,"3-Rendah","4-Pantau"))))</f>
        <v/>
      </c>
      <c r="S1657" s="39" t="str">
        <f aca="false">IF(AND(M1657&gt;0,O1657&gt;0),O1657+M1657/1000000000000+ROW()/1000000000000000,"")</f>
        <v/>
      </c>
      <c r="T1657" s="39" t="str">
        <f aca="false">IF(J1657="Belum ditukar",ROW(),"")</f>
        <v/>
      </c>
    </row>
    <row r="1658" customFormat="false" ht="15" hidden="false" customHeight="false" outlineLevel="0" collapsed="false">
      <c r="A1658" s="50" t="s">
        <v>1943</v>
      </c>
      <c r="B1658" s="51" t="n">
        <v>46004</v>
      </c>
      <c r="C1658" s="50" t="s">
        <v>166</v>
      </c>
      <c r="D1658" s="39" t="str">
        <f aca="false">INDEX(Master_Customer!$B$2:$B$126,MATCH(C1658,Master_Customer!$A$2:$A$126,0))</f>
        <v>SENTOSA SERVICE</v>
      </c>
      <c r="E1658" s="50" t="s">
        <v>30</v>
      </c>
      <c r="F1658" s="52" t="n">
        <f aca="false">SUMIFS(Data_Penjualan!$G$2:$G$5998,Data_Penjualan!$A$2:$A$5998,A1658)</f>
        <v>5728200</v>
      </c>
      <c r="G1658" s="39" t="n">
        <f aca="false">IF(E1658="KANTOR",0,INDEX(Master_Customer!$C$2:$C$126,MATCH(C1658,Master_Customer!$A$2:$A$126,0)))</f>
        <v>0</v>
      </c>
      <c r="H1658" s="53" t="n">
        <f aca="false">B1658+G1658</f>
        <v>46004</v>
      </c>
      <c r="J1658" s="39" t="str">
        <f aca="false">IF(G1658=0,"Tunai",IF(I1658="","Belum ditukar","Sudah ditukar"))</f>
        <v>Tunai</v>
      </c>
      <c r="K1658" s="54" t="n">
        <v>5728200</v>
      </c>
      <c r="L1658" s="51" t="n">
        <v>46005</v>
      </c>
      <c r="M1658" s="52" t="n">
        <f aca="false">F1658-K1658</f>
        <v>0</v>
      </c>
      <c r="N1658" s="39" t="str">
        <f aca="false">IF(M1658&lt;=0,"Lunas",IF(K1658&gt;0,"Sebagian","Belum Bayar"))</f>
        <v>Lunas</v>
      </c>
      <c r="O1658" s="39" t="n">
        <f aca="false">IF(M1658&gt;0,MAX(0,Catatan!$B$3-H1658),0)</f>
        <v>0</v>
      </c>
      <c r="P1658" s="39" t="str">
        <f aca="false">IF(M1658&lt;=0,"Lunas",IF(Catatan!$B$3&lt;=H1658,"Belum Jatuh Tempo",IF(O1658&lt;=30,"1-30 hari",IF(O1658&lt;=60,"31-60 hari",IF(O1658&lt;=90,"61-90 hari","90+ hari")))))</f>
        <v>Lunas</v>
      </c>
      <c r="Q1658" s="50"/>
      <c r="R1658" s="39" t="str">
        <f aca="false">IF(M1658&lt;=0,"",IF(O1658&gt;60,"1-Tinggi",IF(O1658&gt;30,"2-Sedang",IF(O1658&gt;0,"3-Rendah","4-Pantau"))))</f>
        <v/>
      </c>
      <c r="S1658" s="39" t="str">
        <f aca="false">IF(AND(M1658&gt;0,O1658&gt;0),O1658+M1658/1000000000000+ROW()/1000000000000000,"")</f>
        <v/>
      </c>
      <c r="T1658" s="39" t="str">
        <f aca="false">IF(J1658="Belum ditukar",ROW(),"")</f>
        <v/>
      </c>
    </row>
    <row r="1659" customFormat="false" ht="15" hidden="false" customHeight="false" outlineLevel="0" collapsed="false">
      <c r="A1659" s="50" t="s">
        <v>1944</v>
      </c>
      <c r="B1659" s="51" t="n">
        <v>46004</v>
      </c>
      <c r="C1659" s="50" t="s">
        <v>367</v>
      </c>
      <c r="D1659" s="39" t="str">
        <f aca="false">INDEX(Master_Customer!$B$2:$B$126,MATCH(C1659,Master_Customer!$A$2:$A$126,0))</f>
        <v>JAYA MOBIL SUMBER</v>
      </c>
      <c r="E1659" s="50" t="s">
        <v>32</v>
      </c>
      <c r="F1659" s="52" t="n">
        <f aca="false">SUMIFS(Data_Penjualan!$G$2:$G$5998,Data_Penjualan!$A$2:$A$5998,A1659)</f>
        <v>29087000</v>
      </c>
      <c r="G1659" s="39" t="n">
        <f aca="false">IF(E1659="KANTOR",0,INDEX(Master_Customer!$C$2:$C$126,MATCH(C1659,Master_Customer!$A$2:$A$126,0)))</f>
        <v>0</v>
      </c>
      <c r="H1659" s="53" t="n">
        <f aca="false">B1659+G1659</f>
        <v>46004</v>
      </c>
      <c r="J1659" s="39" t="str">
        <f aca="false">IF(G1659=0,"Tunai",IF(I1659="","Belum ditukar","Sudah ditukar"))</f>
        <v>Tunai</v>
      </c>
      <c r="K1659" s="54" t="n">
        <v>29087000</v>
      </c>
      <c r="L1659" s="51" t="n">
        <v>46005</v>
      </c>
      <c r="M1659" s="52" t="n">
        <f aca="false">F1659-K1659</f>
        <v>0</v>
      </c>
      <c r="N1659" s="39" t="str">
        <f aca="false">IF(M1659&lt;=0,"Lunas",IF(K1659&gt;0,"Sebagian","Belum Bayar"))</f>
        <v>Lunas</v>
      </c>
      <c r="O1659" s="39" t="n">
        <f aca="false">IF(M1659&gt;0,MAX(0,Catatan!$B$3-H1659),0)</f>
        <v>0</v>
      </c>
      <c r="P1659" s="39" t="str">
        <f aca="false">IF(M1659&lt;=0,"Lunas",IF(Catatan!$B$3&lt;=H1659,"Belum Jatuh Tempo",IF(O1659&lt;=30,"1-30 hari",IF(O1659&lt;=60,"31-60 hari",IF(O1659&lt;=90,"61-90 hari","90+ hari")))))</f>
        <v>Lunas</v>
      </c>
      <c r="Q1659" s="50"/>
      <c r="R1659" s="39" t="str">
        <f aca="false">IF(M1659&lt;=0,"",IF(O1659&gt;60,"1-Tinggi",IF(O1659&gt;30,"2-Sedang",IF(O1659&gt;0,"3-Rendah","4-Pantau"))))</f>
        <v/>
      </c>
      <c r="S1659" s="39" t="str">
        <f aca="false">IF(AND(M1659&gt;0,O1659&gt;0),O1659+M1659/1000000000000+ROW()/1000000000000000,"")</f>
        <v/>
      </c>
      <c r="T1659" s="39" t="str">
        <f aca="false">IF(J1659="Belum ditukar",ROW(),"")</f>
        <v/>
      </c>
    </row>
    <row r="1660" customFormat="false" ht="15" hidden="false" customHeight="false" outlineLevel="0" collapsed="false">
      <c r="A1660" s="50" t="s">
        <v>1945</v>
      </c>
      <c r="B1660" s="51" t="n">
        <v>46004</v>
      </c>
      <c r="C1660" s="50" t="s">
        <v>1147</v>
      </c>
      <c r="D1660" s="39" t="str">
        <f aca="false">INDEX(Master_Customer!$B$2:$B$126,MATCH(C1660,Master_Customer!$A$2:$A$126,0))</f>
        <v>BINTANG GARAGE UTAMA</v>
      </c>
      <c r="E1660" s="50" t="s">
        <v>29</v>
      </c>
      <c r="F1660" s="52" t="n">
        <f aca="false">SUMIFS(Data_Penjualan!$G$2:$G$5998,Data_Penjualan!$A$2:$A$5998,A1660)</f>
        <v>8208500</v>
      </c>
      <c r="G1660" s="39" t="n">
        <f aca="false">IF(E1660="KANTOR",0,INDEX(Master_Customer!$C$2:$C$126,MATCH(C1660,Master_Customer!$A$2:$A$126,0)))</f>
        <v>30</v>
      </c>
      <c r="H1660" s="53" t="n">
        <f aca="false">B1660+G1660</f>
        <v>46034</v>
      </c>
      <c r="I1660" s="51" t="n">
        <v>46007</v>
      </c>
      <c r="J1660" s="39" t="str">
        <f aca="false">IF(G1660=0,"Tunai",IF(I1660="","Belum ditukar","Sudah ditukar"))</f>
        <v>Sudah ditukar</v>
      </c>
      <c r="K1660" s="54" t="n">
        <v>4613900</v>
      </c>
      <c r="L1660" s="51" t="n">
        <v>46020</v>
      </c>
      <c r="M1660" s="52" t="n">
        <f aca="false">F1660-K1660</f>
        <v>3594600</v>
      </c>
      <c r="N1660" s="39" t="str">
        <f aca="false">IF(M1660&lt;=0,"Lunas",IF(K1660&gt;0,"Sebagian","Belum Bayar"))</f>
        <v>Sebagian</v>
      </c>
      <c r="O1660" s="39" t="n">
        <f aca="false">IF(M1660&gt;0,MAX(0,Catatan!$B$3-H1660),0)</f>
        <v>0</v>
      </c>
      <c r="P1660" s="39" t="str">
        <f aca="false">IF(M1660&lt;=0,"Lunas",IF(Catatan!$B$3&lt;=H1660,"Belum Jatuh Tempo",IF(O1660&lt;=30,"1-30 hari",IF(O1660&lt;=60,"31-60 hari",IF(O1660&lt;=90,"61-90 hari","90+ hari")))))</f>
        <v>Belum Jatuh Tempo</v>
      </c>
      <c r="Q1660" s="50"/>
      <c r="R1660" s="39" t="str">
        <f aca="false">IF(M1660&lt;=0,"",IF(O1660&gt;60,"1-Tinggi",IF(O1660&gt;30,"2-Sedang",IF(O1660&gt;0,"3-Rendah","4-Pantau"))))</f>
        <v>4-Pantau</v>
      </c>
      <c r="S1660" s="39" t="str">
        <f aca="false">IF(AND(M1660&gt;0,O1660&gt;0),O1660+M1660/1000000000000+ROW()/1000000000000000,"")</f>
        <v/>
      </c>
      <c r="T1660" s="39" t="str">
        <f aca="false">IF(J1660="Belum ditukar",ROW(),"")</f>
        <v/>
      </c>
    </row>
    <row r="1661" customFormat="false" ht="15" hidden="false" customHeight="false" outlineLevel="0" collapsed="false">
      <c r="A1661" s="50" t="s">
        <v>1946</v>
      </c>
      <c r="B1661" s="51" t="n">
        <v>46004</v>
      </c>
      <c r="C1661" s="50" t="s">
        <v>188</v>
      </c>
      <c r="D1661" s="39" t="str">
        <f aca="false">INDEX(Master_Customer!$B$2:$B$126,MATCH(C1661,Master_Customer!$A$2:$A$126,0))</f>
        <v>MAJU GARAGE TIRTA</v>
      </c>
      <c r="E1661" s="50" t="s">
        <v>31</v>
      </c>
      <c r="F1661" s="52" t="n">
        <f aca="false">SUMIFS(Data_Penjualan!$G$2:$G$5998,Data_Penjualan!$A$2:$A$5998,A1661)</f>
        <v>37875600</v>
      </c>
      <c r="G1661" s="39" t="n">
        <f aca="false">IF(E1661="KANTOR",0,INDEX(Master_Customer!$C$2:$C$126,MATCH(C1661,Master_Customer!$A$2:$A$126,0)))</f>
        <v>45</v>
      </c>
      <c r="H1661" s="53" t="n">
        <f aca="false">B1661+G1661</f>
        <v>46049</v>
      </c>
      <c r="I1661" s="51" t="n">
        <v>46008</v>
      </c>
      <c r="J1661" s="39" t="str">
        <f aca="false">IF(G1661=0,"Tunai",IF(I1661="","Belum ditukar","Sudah ditukar"))</f>
        <v>Sudah ditukar</v>
      </c>
      <c r="K1661" s="54" t="n">
        <v>0</v>
      </c>
      <c r="M1661" s="52" t="n">
        <f aca="false">F1661-K1661</f>
        <v>37875600</v>
      </c>
      <c r="N1661" s="39" t="str">
        <f aca="false">IF(M1661&lt;=0,"Lunas",IF(K1661&gt;0,"Sebagian","Belum Bayar"))</f>
        <v>Belum Bayar</v>
      </c>
      <c r="O1661" s="39" t="n">
        <f aca="false">IF(M1661&gt;0,MAX(0,Catatan!$B$3-H1661),0)</f>
        <v>0</v>
      </c>
      <c r="P1661" s="39" t="str">
        <f aca="false">IF(M1661&lt;=0,"Lunas",IF(Catatan!$B$3&lt;=H1661,"Belum Jatuh Tempo",IF(O1661&lt;=30,"1-30 hari",IF(O1661&lt;=60,"31-60 hari",IF(O1661&lt;=90,"61-90 hari","90+ hari")))))</f>
        <v>Belum Jatuh Tempo</v>
      </c>
      <c r="Q1661" s="50"/>
      <c r="R1661" s="39" t="str">
        <f aca="false">IF(M1661&lt;=0,"",IF(O1661&gt;60,"1-Tinggi",IF(O1661&gt;30,"2-Sedang",IF(O1661&gt;0,"3-Rendah","4-Pantau"))))</f>
        <v>4-Pantau</v>
      </c>
      <c r="S1661" s="39" t="str">
        <f aca="false">IF(AND(M1661&gt;0,O1661&gt;0),O1661+M1661/1000000000000+ROW()/1000000000000000,"")</f>
        <v/>
      </c>
      <c r="T1661" s="39" t="str">
        <f aca="false">IF(J1661="Belum ditukar",ROW(),"")</f>
        <v/>
      </c>
    </row>
    <row r="1662" customFormat="false" ht="15" hidden="false" customHeight="false" outlineLevel="0" collapsed="false">
      <c r="A1662" s="50" t="s">
        <v>1947</v>
      </c>
      <c r="B1662" s="51" t="n">
        <v>46004</v>
      </c>
      <c r="C1662" s="50" t="s">
        <v>293</v>
      </c>
      <c r="D1662" s="39" t="str">
        <f aca="false">INDEX(Master_Customer!$B$2:$B$126,MATCH(C1662,Master_Customer!$A$2:$A$126,0))</f>
        <v>SINAR LUBRICANT</v>
      </c>
      <c r="E1662" s="50" t="s">
        <v>31</v>
      </c>
      <c r="F1662" s="52" t="n">
        <f aca="false">SUMIFS(Data_Penjualan!$G$2:$G$5998,Data_Penjualan!$A$2:$A$5998,A1662)</f>
        <v>7348000</v>
      </c>
      <c r="G1662" s="39" t="n">
        <f aca="false">IF(E1662="KANTOR",0,INDEX(Master_Customer!$C$2:$C$126,MATCH(C1662,Master_Customer!$A$2:$A$126,0)))</f>
        <v>30</v>
      </c>
      <c r="H1662" s="53" t="n">
        <f aca="false">B1662+G1662</f>
        <v>46034</v>
      </c>
      <c r="I1662" s="51" t="n">
        <v>46005</v>
      </c>
      <c r="J1662" s="39" t="str">
        <f aca="false">IF(G1662=0,"Tunai",IF(I1662="","Belum ditukar","Sudah ditukar"))</f>
        <v>Sudah ditukar</v>
      </c>
      <c r="K1662" s="54" t="n">
        <v>0</v>
      </c>
      <c r="M1662" s="52" t="n">
        <f aca="false">F1662-K1662</f>
        <v>7348000</v>
      </c>
      <c r="N1662" s="39" t="str">
        <f aca="false">IF(M1662&lt;=0,"Lunas",IF(K1662&gt;0,"Sebagian","Belum Bayar"))</f>
        <v>Belum Bayar</v>
      </c>
      <c r="O1662" s="39" t="n">
        <f aca="false">IF(M1662&gt;0,MAX(0,Catatan!$B$3-H1662),0)</f>
        <v>0</v>
      </c>
      <c r="P1662" s="39" t="str">
        <f aca="false">IF(M1662&lt;=0,"Lunas",IF(Catatan!$B$3&lt;=H1662,"Belum Jatuh Tempo",IF(O1662&lt;=30,"1-30 hari",IF(O1662&lt;=60,"31-60 hari",IF(O1662&lt;=90,"61-90 hari","90+ hari")))))</f>
        <v>Belum Jatuh Tempo</v>
      </c>
      <c r="Q1662" s="50"/>
      <c r="R1662" s="39" t="str">
        <f aca="false">IF(M1662&lt;=0,"",IF(O1662&gt;60,"1-Tinggi",IF(O1662&gt;30,"2-Sedang",IF(O1662&gt;0,"3-Rendah","4-Pantau"))))</f>
        <v>4-Pantau</v>
      </c>
      <c r="S1662" s="39" t="str">
        <f aca="false">IF(AND(M1662&gt;0,O1662&gt;0),O1662+M1662/1000000000000+ROW()/1000000000000000,"")</f>
        <v/>
      </c>
      <c r="T1662" s="39" t="str">
        <f aca="false">IF(J1662="Belum ditukar",ROW(),"")</f>
        <v/>
      </c>
    </row>
    <row r="1663" customFormat="false" ht="15" hidden="false" customHeight="false" outlineLevel="0" collapsed="false">
      <c r="A1663" s="50" t="s">
        <v>1948</v>
      </c>
      <c r="B1663" s="51" t="n">
        <v>46006</v>
      </c>
      <c r="C1663" s="50" t="s">
        <v>271</v>
      </c>
      <c r="D1663" s="39" t="str">
        <f aca="false">INDEX(Master_Customer!$B$2:$B$126,MATCH(C1663,Master_Customer!$A$2:$A$126,0))</f>
        <v>CAHAYA MOTOR</v>
      </c>
      <c r="E1663" s="50" t="s">
        <v>32</v>
      </c>
      <c r="F1663" s="52" t="n">
        <f aca="false">SUMIFS(Data_Penjualan!$G$2:$G$5998,Data_Penjualan!$A$2:$A$5998,A1663)</f>
        <v>4343600</v>
      </c>
      <c r="G1663" s="39" t="n">
        <f aca="false">IF(E1663="KANTOR",0,INDEX(Master_Customer!$C$2:$C$126,MATCH(C1663,Master_Customer!$A$2:$A$126,0)))</f>
        <v>0</v>
      </c>
      <c r="H1663" s="53" t="n">
        <f aca="false">B1663+G1663</f>
        <v>46006</v>
      </c>
      <c r="J1663" s="39" t="str">
        <f aca="false">IF(G1663=0,"Tunai",IF(I1663="","Belum ditukar","Sudah ditukar"))</f>
        <v>Tunai</v>
      </c>
      <c r="K1663" s="54" t="n">
        <v>4343600</v>
      </c>
      <c r="L1663" s="51" t="n">
        <v>46006</v>
      </c>
      <c r="M1663" s="52" t="n">
        <f aca="false">F1663-K1663</f>
        <v>0</v>
      </c>
      <c r="N1663" s="39" t="str">
        <f aca="false">IF(M1663&lt;=0,"Lunas",IF(K1663&gt;0,"Sebagian","Belum Bayar"))</f>
        <v>Lunas</v>
      </c>
      <c r="O1663" s="39" t="n">
        <f aca="false">IF(M1663&gt;0,MAX(0,Catatan!$B$3-H1663),0)</f>
        <v>0</v>
      </c>
      <c r="P1663" s="39" t="str">
        <f aca="false">IF(M1663&lt;=0,"Lunas",IF(Catatan!$B$3&lt;=H1663,"Belum Jatuh Tempo",IF(O1663&lt;=30,"1-30 hari",IF(O1663&lt;=60,"31-60 hari",IF(O1663&lt;=90,"61-90 hari","90+ hari")))))</f>
        <v>Lunas</v>
      </c>
      <c r="Q1663" s="50"/>
      <c r="R1663" s="39" t="str">
        <f aca="false">IF(M1663&lt;=0,"",IF(O1663&gt;60,"1-Tinggi",IF(O1663&gt;30,"2-Sedang",IF(O1663&gt;0,"3-Rendah","4-Pantau"))))</f>
        <v/>
      </c>
      <c r="S1663" s="39" t="str">
        <f aca="false">IF(AND(M1663&gt;0,O1663&gt;0),O1663+M1663/1000000000000+ROW()/1000000000000000,"")</f>
        <v/>
      </c>
      <c r="T1663" s="39" t="str">
        <f aca="false">IF(J1663="Belum ditukar",ROW(),"")</f>
        <v/>
      </c>
    </row>
    <row r="1664" customFormat="false" ht="15" hidden="false" customHeight="false" outlineLevel="0" collapsed="false">
      <c r="A1664" s="50" t="s">
        <v>1949</v>
      </c>
      <c r="B1664" s="51" t="n">
        <v>46006</v>
      </c>
      <c r="C1664" s="50" t="s">
        <v>174</v>
      </c>
      <c r="D1664" s="39" t="str">
        <f aca="false">INDEX(Master_Customer!$B$2:$B$126,MATCH(C1664,Master_Customer!$A$2:$A$126,0))</f>
        <v>SUMBER TEKNIK SURYA</v>
      </c>
      <c r="E1664" s="50" t="s">
        <v>31</v>
      </c>
      <c r="F1664" s="52" t="n">
        <f aca="false">SUMIFS(Data_Penjualan!$G$2:$G$5998,Data_Penjualan!$A$2:$A$5998,A1664)</f>
        <v>7335500</v>
      </c>
      <c r="G1664" s="39" t="n">
        <f aca="false">IF(E1664="KANTOR",0,INDEX(Master_Customer!$C$2:$C$126,MATCH(C1664,Master_Customer!$A$2:$A$126,0)))</f>
        <v>30</v>
      </c>
      <c r="H1664" s="53" t="n">
        <f aca="false">B1664+G1664</f>
        <v>46036</v>
      </c>
      <c r="I1664" s="51" t="n">
        <v>46008</v>
      </c>
      <c r="J1664" s="39" t="str">
        <f aca="false">IF(G1664=0,"Tunai",IF(I1664="","Belum ditukar","Sudah ditukar"))</f>
        <v>Sudah ditukar</v>
      </c>
      <c r="K1664" s="54" t="n">
        <v>0</v>
      </c>
      <c r="M1664" s="52" t="n">
        <f aca="false">F1664-K1664</f>
        <v>7335500</v>
      </c>
      <c r="N1664" s="39" t="str">
        <f aca="false">IF(M1664&lt;=0,"Lunas",IF(K1664&gt;0,"Sebagian","Belum Bayar"))</f>
        <v>Belum Bayar</v>
      </c>
      <c r="O1664" s="39" t="n">
        <f aca="false">IF(M1664&gt;0,MAX(0,Catatan!$B$3-H1664),0)</f>
        <v>0</v>
      </c>
      <c r="P1664" s="39" t="str">
        <f aca="false">IF(M1664&lt;=0,"Lunas",IF(Catatan!$B$3&lt;=H1664,"Belum Jatuh Tempo",IF(O1664&lt;=30,"1-30 hari",IF(O1664&lt;=60,"31-60 hari",IF(O1664&lt;=90,"61-90 hari","90+ hari")))))</f>
        <v>Belum Jatuh Tempo</v>
      </c>
      <c r="Q1664" s="50"/>
      <c r="R1664" s="39" t="str">
        <f aca="false">IF(M1664&lt;=0,"",IF(O1664&gt;60,"1-Tinggi",IF(O1664&gt;30,"2-Sedang",IF(O1664&gt;0,"3-Rendah","4-Pantau"))))</f>
        <v>4-Pantau</v>
      </c>
      <c r="S1664" s="39" t="str">
        <f aca="false">IF(AND(M1664&gt;0,O1664&gt;0),O1664+M1664/1000000000000+ROW()/1000000000000000,"")</f>
        <v/>
      </c>
      <c r="T1664" s="39" t="str">
        <f aca="false">IF(J1664="Belum ditukar",ROW(),"")</f>
        <v/>
      </c>
    </row>
    <row r="1665" customFormat="false" ht="15" hidden="false" customHeight="false" outlineLevel="0" collapsed="false">
      <c r="A1665" s="50" t="s">
        <v>1950</v>
      </c>
      <c r="B1665" s="51" t="n">
        <v>46006</v>
      </c>
      <c r="C1665" s="50" t="s">
        <v>174</v>
      </c>
      <c r="D1665" s="39" t="str">
        <f aca="false">INDEX(Master_Customer!$B$2:$B$126,MATCH(C1665,Master_Customer!$A$2:$A$126,0))</f>
        <v>SUMBER TEKNIK SURYA</v>
      </c>
      <c r="E1665" s="50" t="s">
        <v>31</v>
      </c>
      <c r="F1665" s="52" t="n">
        <f aca="false">SUMIFS(Data_Penjualan!$G$2:$G$5998,Data_Penjualan!$A$2:$A$5998,A1665)</f>
        <v>1285300</v>
      </c>
      <c r="G1665" s="39" t="n">
        <f aca="false">IF(E1665="KANTOR",0,INDEX(Master_Customer!$C$2:$C$126,MATCH(C1665,Master_Customer!$A$2:$A$126,0)))</f>
        <v>30</v>
      </c>
      <c r="H1665" s="53" t="n">
        <f aca="false">B1665+G1665</f>
        <v>46036</v>
      </c>
      <c r="I1665" s="51" t="n">
        <v>46009</v>
      </c>
      <c r="J1665" s="39" t="str">
        <f aca="false">IF(G1665=0,"Tunai",IF(I1665="","Belum ditukar","Sudah ditukar"))</f>
        <v>Sudah ditukar</v>
      </c>
      <c r="K1665" s="54" t="n">
        <v>0</v>
      </c>
      <c r="M1665" s="52" t="n">
        <f aca="false">F1665-K1665</f>
        <v>1285300</v>
      </c>
      <c r="N1665" s="39" t="str">
        <f aca="false">IF(M1665&lt;=0,"Lunas",IF(K1665&gt;0,"Sebagian","Belum Bayar"))</f>
        <v>Belum Bayar</v>
      </c>
      <c r="O1665" s="39" t="n">
        <f aca="false">IF(M1665&gt;0,MAX(0,Catatan!$B$3-H1665),0)</f>
        <v>0</v>
      </c>
      <c r="P1665" s="39" t="str">
        <f aca="false">IF(M1665&lt;=0,"Lunas",IF(Catatan!$B$3&lt;=H1665,"Belum Jatuh Tempo",IF(O1665&lt;=30,"1-30 hari",IF(O1665&lt;=60,"31-60 hari",IF(O1665&lt;=90,"61-90 hari","90+ hari")))))</f>
        <v>Belum Jatuh Tempo</v>
      </c>
      <c r="Q1665" s="50"/>
      <c r="R1665" s="39" t="str">
        <f aca="false">IF(M1665&lt;=0,"",IF(O1665&gt;60,"1-Tinggi",IF(O1665&gt;30,"2-Sedang",IF(O1665&gt;0,"3-Rendah","4-Pantau"))))</f>
        <v>4-Pantau</v>
      </c>
      <c r="S1665" s="39" t="str">
        <f aca="false">IF(AND(M1665&gt;0,O1665&gt;0),O1665+M1665/1000000000000+ROW()/1000000000000000,"")</f>
        <v/>
      </c>
      <c r="T1665" s="39" t="str">
        <f aca="false">IF(J1665="Belum ditukar",ROW(),"")</f>
        <v/>
      </c>
    </row>
    <row r="1666" customFormat="false" ht="15" hidden="false" customHeight="false" outlineLevel="0" collapsed="false">
      <c r="A1666" s="50" t="s">
        <v>1951</v>
      </c>
      <c r="B1666" s="51" t="n">
        <v>46006</v>
      </c>
      <c r="C1666" s="50" t="s">
        <v>289</v>
      </c>
      <c r="D1666" s="39" t="str">
        <f aca="false">INDEX(Master_Customer!$B$2:$B$126,MATCH(C1666,Master_Customer!$A$2:$A$126,0))</f>
        <v>SINAR GARAGE</v>
      </c>
      <c r="E1666" s="50" t="s">
        <v>28</v>
      </c>
      <c r="F1666" s="52" t="n">
        <f aca="false">SUMIFS(Data_Penjualan!$G$2:$G$5998,Data_Penjualan!$A$2:$A$5998,A1666)</f>
        <v>3888800</v>
      </c>
      <c r="G1666" s="39" t="n">
        <f aca="false">IF(E1666="KANTOR",0,INDEX(Master_Customer!$C$2:$C$126,MATCH(C1666,Master_Customer!$A$2:$A$126,0)))</f>
        <v>30</v>
      </c>
      <c r="H1666" s="53" t="n">
        <f aca="false">B1666+G1666</f>
        <v>46036</v>
      </c>
      <c r="I1666" s="51" t="n">
        <v>46009</v>
      </c>
      <c r="J1666" s="39" t="str">
        <f aca="false">IF(G1666=0,"Tunai",IF(I1666="","Belum ditukar","Sudah ditukar"))</f>
        <v>Sudah ditukar</v>
      </c>
      <c r="K1666" s="54" t="n">
        <v>0</v>
      </c>
      <c r="M1666" s="52" t="n">
        <f aca="false">F1666-K1666</f>
        <v>3888800</v>
      </c>
      <c r="N1666" s="39" t="str">
        <f aca="false">IF(M1666&lt;=0,"Lunas",IF(K1666&gt;0,"Sebagian","Belum Bayar"))</f>
        <v>Belum Bayar</v>
      </c>
      <c r="O1666" s="39" t="n">
        <f aca="false">IF(M1666&gt;0,MAX(0,Catatan!$B$3-H1666),0)</f>
        <v>0</v>
      </c>
      <c r="P1666" s="39" t="str">
        <f aca="false">IF(M1666&lt;=0,"Lunas",IF(Catatan!$B$3&lt;=H1666,"Belum Jatuh Tempo",IF(O1666&lt;=30,"1-30 hari",IF(O1666&lt;=60,"31-60 hari",IF(O1666&lt;=90,"61-90 hari","90+ hari")))))</f>
        <v>Belum Jatuh Tempo</v>
      </c>
      <c r="Q1666" s="50"/>
      <c r="R1666" s="39" t="str">
        <f aca="false">IF(M1666&lt;=0,"",IF(O1666&gt;60,"1-Tinggi",IF(O1666&gt;30,"2-Sedang",IF(O1666&gt;0,"3-Rendah","4-Pantau"))))</f>
        <v>4-Pantau</v>
      </c>
      <c r="S1666" s="39" t="str">
        <f aca="false">IF(AND(M1666&gt;0,O1666&gt;0),O1666+M1666/1000000000000+ROW()/1000000000000000,"")</f>
        <v/>
      </c>
      <c r="T1666" s="39" t="str">
        <f aca="false">IF(J1666="Belum ditukar",ROW(),"")</f>
        <v/>
      </c>
    </row>
    <row r="1667" customFormat="false" ht="15" hidden="false" customHeight="false" outlineLevel="0" collapsed="false">
      <c r="A1667" s="50" t="s">
        <v>1952</v>
      </c>
      <c r="B1667" s="51" t="n">
        <v>46006</v>
      </c>
      <c r="C1667" s="50" t="s">
        <v>166</v>
      </c>
      <c r="D1667" s="39" t="str">
        <f aca="false">INDEX(Master_Customer!$B$2:$B$126,MATCH(C1667,Master_Customer!$A$2:$A$126,0))</f>
        <v>SENTOSA SERVICE</v>
      </c>
      <c r="E1667" s="50" t="s">
        <v>30</v>
      </c>
      <c r="F1667" s="52" t="n">
        <f aca="false">SUMIFS(Data_Penjualan!$G$2:$G$5998,Data_Penjualan!$A$2:$A$5998,A1667)</f>
        <v>6758000</v>
      </c>
      <c r="G1667" s="39" t="n">
        <f aca="false">IF(E1667="KANTOR",0,INDEX(Master_Customer!$C$2:$C$126,MATCH(C1667,Master_Customer!$A$2:$A$126,0)))</f>
        <v>0</v>
      </c>
      <c r="H1667" s="53" t="n">
        <f aca="false">B1667+G1667</f>
        <v>46006</v>
      </c>
      <c r="J1667" s="39" t="str">
        <f aca="false">IF(G1667=0,"Tunai",IF(I1667="","Belum ditukar","Sudah ditukar"))</f>
        <v>Tunai</v>
      </c>
      <c r="K1667" s="54" t="n">
        <v>6758000</v>
      </c>
      <c r="L1667" s="51" t="n">
        <v>46007</v>
      </c>
      <c r="M1667" s="52" t="n">
        <f aca="false">F1667-K1667</f>
        <v>0</v>
      </c>
      <c r="N1667" s="39" t="str">
        <f aca="false">IF(M1667&lt;=0,"Lunas",IF(K1667&gt;0,"Sebagian","Belum Bayar"))</f>
        <v>Lunas</v>
      </c>
      <c r="O1667" s="39" t="n">
        <f aca="false">IF(M1667&gt;0,MAX(0,Catatan!$B$3-H1667),0)</f>
        <v>0</v>
      </c>
      <c r="P1667" s="39" t="str">
        <f aca="false">IF(M1667&lt;=0,"Lunas",IF(Catatan!$B$3&lt;=H1667,"Belum Jatuh Tempo",IF(O1667&lt;=30,"1-30 hari",IF(O1667&lt;=60,"31-60 hari",IF(O1667&lt;=90,"61-90 hari","90+ hari")))))</f>
        <v>Lunas</v>
      </c>
      <c r="Q1667" s="50"/>
      <c r="R1667" s="39" t="str">
        <f aca="false">IF(M1667&lt;=0,"",IF(O1667&gt;60,"1-Tinggi",IF(O1667&gt;30,"2-Sedang",IF(O1667&gt;0,"3-Rendah","4-Pantau"))))</f>
        <v/>
      </c>
      <c r="S1667" s="39" t="str">
        <f aca="false">IF(AND(M1667&gt;0,O1667&gt;0),O1667+M1667/1000000000000+ROW()/1000000000000000,"")</f>
        <v/>
      </c>
      <c r="T1667" s="39" t="str">
        <f aca="false">IF(J1667="Belum ditukar",ROW(),"")</f>
        <v/>
      </c>
    </row>
    <row r="1668" customFormat="false" ht="15" hidden="false" customHeight="false" outlineLevel="0" collapsed="false">
      <c r="A1668" s="50" t="s">
        <v>1953</v>
      </c>
      <c r="B1668" s="51" t="n">
        <v>46006</v>
      </c>
      <c r="C1668" s="50" t="s">
        <v>174</v>
      </c>
      <c r="D1668" s="39" t="str">
        <f aca="false">INDEX(Master_Customer!$B$2:$B$126,MATCH(C1668,Master_Customer!$A$2:$A$126,0))</f>
        <v>SUMBER TEKNIK SURYA</v>
      </c>
      <c r="E1668" s="50" t="s">
        <v>31</v>
      </c>
      <c r="F1668" s="52" t="n">
        <f aca="false">SUMIFS(Data_Penjualan!$G$2:$G$5998,Data_Penjualan!$A$2:$A$5998,A1668)</f>
        <v>22312000</v>
      </c>
      <c r="G1668" s="39" t="n">
        <f aca="false">IF(E1668="KANTOR",0,INDEX(Master_Customer!$C$2:$C$126,MATCH(C1668,Master_Customer!$A$2:$A$126,0)))</f>
        <v>30</v>
      </c>
      <c r="H1668" s="53" t="n">
        <f aca="false">B1668+G1668</f>
        <v>46036</v>
      </c>
      <c r="I1668" s="51" t="n">
        <v>46010</v>
      </c>
      <c r="J1668" s="39" t="str">
        <f aca="false">IF(G1668=0,"Tunai",IF(I1668="","Belum ditukar","Sudah ditukar"))</f>
        <v>Sudah ditukar</v>
      </c>
      <c r="K1668" s="54" t="n">
        <v>0</v>
      </c>
      <c r="M1668" s="52" t="n">
        <f aca="false">F1668-K1668</f>
        <v>22312000</v>
      </c>
      <c r="N1668" s="39" t="str">
        <f aca="false">IF(M1668&lt;=0,"Lunas",IF(K1668&gt;0,"Sebagian","Belum Bayar"))</f>
        <v>Belum Bayar</v>
      </c>
      <c r="O1668" s="39" t="n">
        <f aca="false">IF(M1668&gt;0,MAX(0,Catatan!$B$3-H1668),0)</f>
        <v>0</v>
      </c>
      <c r="P1668" s="39" t="str">
        <f aca="false">IF(M1668&lt;=0,"Lunas",IF(Catatan!$B$3&lt;=H1668,"Belum Jatuh Tempo",IF(O1668&lt;=30,"1-30 hari",IF(O1668&lt;=60,"31-60 hari",IF(O1668&lt;=90,"61-90 hari","90+ hari")))))</f>
        <v>Belum Jatuh Tempo</v>
      </c>
      <c r="Q1668" s="50"/>
      <c r="R1668" s="39" t="str">
        <f aca="false">IF(M1668&lt;=0,"",IF(O1668&gt;60,"1-Tinggi",IF(O1668&gt;30,"2-Sedang",IF(O1668&gt;0,"3-Rendah","4-Pantau"))))</f>
        <v>4-Pantau</v>
      </c>
      <c r="S1668" s="39" t="str">
        <f aca="false">IF(AND(M1668&gt;0,O1668&gt;0),O1668+M1668/1000000000000+ROW()/1000000000000000,"")</f>
        <v/>
      </c>
      <c r="T1668" s="39" t="str">
        <f aca="false">IF(J1668="Belum ditukar",ROW(),"")</f>
        <v/>
      </c>
    </row>
    <row r="1669" customFormat="false" ht="15" hidden="false" customHeight="false" outlineLevel="0" collapsed="false">
      <c r="A1669" s="50" t="s">
        <v>1954</v>
      </c>
      <c r="B1669" s="51" t="n">
        <v>46006</v>
      </c>
      <c r="C1669" s="50" t="s">
        <v>191</v>
      </c>
      <c r="D1669" s="39" t="str">
        <f aca="false">INDEX(Master_Customer!$B$2:$B$126,MATCH(C1669,Master_Customer!$A$2:$A$126,0))</f>
        <v>SINAR AUTO BERKAH</v>
      </c>
      <c r="E1669" s="50" t="s">
        <v>32</v>
      </c>
      <c r="F1669" s="52" t="n">
        <f aca="false">SUMIFS(Data_Penjualan!$G$2:$G$5998,Data_Penjualan!$A$2:$A$5998,A1669)</f>
        <v>8647000</v>
      </c>
      <c r="G1669" s="39" t="n">
        <f aca="false">IF(E1669="KANTOR",0,INDEX(Master_Customer!$C$2:$C$126,MATCH(C1669,Master_Customer!$A$2:$A$126,0)))</f>
        <v>0</v>
      </c>
      <c r="H1669" s="53" t="n">
        <f aca="false">B1669+G1669</f>
        <v>46006</v>
      </c>
      <c r="J1669" s="39" t="str">
        <f aca="false">IF(G1669=0,"Tunai",IF(I1669="","Belum ditukar","Sudah ditukar"))</f>
        <v>Tunai</v>
      </c>
      <c r="K1669" s="54" t="n">
        <v>8647000</v>
      </c>
      <c r="L1669" s="51" t="n">
        <v>46006</v>
      </c>
      <c r="M1669" s="52" t="n">
        <f aca="false">F1669-K1669</f>
        <v>0</v>
      </c>
      <c r="N1669" s="39" t="str">
        <f aca="false">IF(M1669&lt;=0,"Lunas",IF(K1669&gt;0,"Sebagian","Belum Bayar"))</f>
        <v>Lunas</v>
      </c>
      <c r="O1669" s="39" t="n">
        <f aca="false">IF(M1669&gt;0,MAX(0,Catatan!$B$3-H1669),0)</f>
        <v>0</v>
      </c>
      <c r="P1669" s="39" t="str">
        <f aca="false">IF(M1669&lt;=0,"Lunas",IF(Catatan!$B$3&lt;=H1669,"Belum Jatuh Tempo",IF(O1669&lt;=30,"1-30 hari",IF(O1669&lt;=60,"31-60 hari",IF(O1669&lt;=90,"61-90 hari","90+ hari")))))</f>
        <v>Lunas</v>
      </c>
      <c r="Q1669" s="50"/>
      <c r="R1669" s="39" t="str">
        <f aca="false">IF(M1669&lt;=0,"",IF(O1669&gt;60,"1-Tinggi",IF(O1669&gt;30,"2-Sedang",IF(O1669&gt;0,"3-Rendah","4-Pantau"))))</f>
        <v/>
      </c>
      <c r="S1669" s="39" t="str">
        <f aca="false">IF(AND(M1669&gt;0,O1669&gt;0),O1669+M1669/1000000000000+ROW()/1000000000000000,"")</f>
        <v/>
      </c>
      <c r="T1669" s="39" t="str">
        <f aca="false">IF(J1669="Belum ditukar",ROW(),"")</f>
        <v/>
      </c>
    </row>
    <row r="1670" customFormat="false" ht="15" hidden="false" customHeight="false" outlineLevel="0" collapsed="false">
      <c r="A1670" s="50" t="s">
        <v>1955</v>
      </c>
      <c r="B1670" s="51" t="n">
        <v>46007</v>
      </c>
      <c r="C1670" s="50" t="s">
        <v>211</v>
      </c>
      <c r="D1670" s="39" t="str">
        <f aca="false">INDEX(Master_Customer!$B$2:$B$126,MATCH(C1670,Master_Customer!$A$2:$A$126,0))</f>
        <v>PRIMA MOBIL</v>
      </c>
      <c r="E1670" s="50" t="s">
        <v>30</v>
      </c>
      <c r="F1670" s="52" t="n">
        <f aca="false">SUMIFS(Data_Penjualan!$G$2:$G$5998,Data_Penjualan!$A$2:$A$5998,A1670)</f>
        <v>10870400</v>
      </c>
      <c r="G1670" s="39" t="n">
        <f aca="false">IF(E1670="KANTOR",0,INDEX(Master_Customer!$C$2:$C$126,MATCH(C1670,Master_Customer!$A$2:$A$126,0)))</f>
        <v>0</v>
      </c>
      <c r="H1670" s="53" t="n">
        <f aca="false">B1670+G1670</f>
        <v>46007</v>
      </c>
      <c r="J1670" s="39" t="str">
        <f aca="false">IF(G1670=0,"Tunai",IF(I1670="","Belum ditukar","Sudah ditukar"))</f>
        <v>Tunai</v>
      </c>
      <c r="K1670" s="54" t="n">
        <v>10870400</v>
      </c>
      <c r="L1670" s="51" t="n">
        <v>46007</v>
      </c>
      <c r="M1670" s="52" t="n">
        <f aca="false">F1670-K1670</f>
        <v>0</v>
      </c>
      <c r="N1670" s="39" t="str">
        <f aca="false">IF(M1670&lt;=0,"Lunas",IF(K1670&gt;0,"Sebagian","Belum Bayar"))</f>
        <v>Lunas</v>
      </c>
      <c r="O1670" s="39" t="n">
        <f aca="false">IF(M1670&gt;0,MAX(0,Catatan!$B$3-H1670),0)</f>
        <v>0</v>
      </c>
      <c r="P1670" s="39" t="str">
        <f aca="false">IF(M1670&lt;=0,"Lunas",IF(Catatan!$B$3&lt;=H1670,"Belum Jatuh Tempo",IF(O1670&lt;=30,"1-30 hari",IF(O1670&lt;=60,"31-60 hari",IF(O1670&lt;=90,"61-90 hari","90+ hari")))))</f>
        <v>Lunas</v>
      </c>
      <c r="Q1670" s="50"/>
      <c r="R1670" s="39" t="str">
        <f aca="false">IF(M1670&lt;=0,"",IF(O1670&gt;60,"1-Tinggi",IF(O1670&gt;30,"2-Sedang",IF(O1670&gt;0,"3-Rendah","4-Pantau"))))</f>
        <v/>
      </c>
      <c r="S1670" s="39" t="str">
        <f aca="false">IF(AND(M1670&gt;0,O1670&gt;0),O1670+M1670/1000000000000+ROW()/1000000000000000,"")</f>
        <v/>
      </c>
      <c r="T1670" s="39" t="str">
        <f aca="false">IF(J1670="Belum ditukar",ROW(),"")</f>
        <v/>
      </c>
    </row>
    <row r="1671" customFormat="false" ht="15" hidden="false" customHeight="false" outlineLevel="0" collapsed="false">
      <c r="A1671" s="50" t="s">
        <v>1956</v>
      </c>
      <c r="B1671" s="51" t="n">
        <v>46007</v>
      </c>
      <c r="C1671" s="50" t="s">
        <v>197</v>
      </c>
      <c r="D1671" s="39" t="str">
        <f aca="false">INDEX(Master_Customer!$B$2:$B$126,MATCH(C1671,Master_Customer!$A$2:$A$126,0))</f>
        <v>UTAMA LUBRICANT HARAPAN</v>
      </c>
      <c r="E1671" s="50" t="s">
        <v>32</v>
      </c>
      <c r="F1671" s="52" t="n">
        <f aca="false">SUMIFS(Data_Penjualan!$G$2:$G$5998,Data_Penjualan!$A$2:$A$5998,A1671)</f>
        <v>5599100</v>
      </c>
      <c r="G1671" s="39" t="n">
        <f aca="false">IF(E1671="KANTOR",0,INDEX(Master_Customer!$C$2:$C$126,MATCH(C1671,Master_Customer!$A$2:$A$126,0)))</f>
        <v>0</v>
      </c>
      <c r="H1671" s="53" t="n">
        <f aca="false">B1671+G1671</f>
        <v>46007</v>
      </c>
      <c r="J1671" s="39" t="str">
        <f aca="false">IF(G1671=0,"Tunai",IF(I1671="","Belum ditukar","Sudah ditukar"))</f>
        <v>Tunai</v>
      </c>
      <c r="K1671" s="54" t="n">
        <v>5599100</v>
      </c>
      <c r="L1671" s="51" t="n">
        <v>46007</v>
      </c>
      <c r="M1671" s="52" t="n">
        <f aca="false">F1671-K1671</f>
        <v>0</v>
      </c>
      <c r="N1671" s="39" t="str">
        <f aca="false">IF(M1671&lt;=0,"Lunas",IF(K1671&gt;0,"Sebagian","Belum Bayar"))</f>
        <v>Lunas</v>
      </c>
      <c r="O1671" s="39" t="n">
        <f aca="false">IF(M1671&gt;0,MAX(0,Catatan!$B$3-H1671),0)</f>
        <v>0</v>
      </c>
      <c r="P1671" s="39" t="str">
        <f aca="false">IF(M1671&lt;=0,"Lunas",IF(Catatan!$B$3&lt;=H1671,"Belum Jatuh Tempo",IF(O1671&lt;=30,"1-30 hari",IF(O1671&lt;=60,"31-60 hari",IF(O1671&lt;=90,"61-90 hari","90+ hari")))))</f>
        <v>Lunas</v>
      </c>
      <c r="Q1671" s="50"/>
      <c r="R1671" s="39" t="str">
        <f aca="false">IF(M1671&lt;=0,"",IF(O1671&gt;60,"1-Tinggi",IF(O1671&gt;30,"2-Sedang",IF(O1671&gt;0,"3-Rendah","4-Pantau"))))</f>
        <v/>
      </c>
      <c r="S1671" s="39" t="str">
        <f aca="false">IF(AND(M1671&gt;0,O1671&gt;0),O1671+M1671/1000000000000+ROW()/1000000000000000,"")</f>
        <v/>
      </c>
      <c r="T1671" s="39" t="str">
        <f aca="false">IF(J1671="Belum ditukar",ROW(),"")</f>
        <v/>
      </c>
    </row>
    <row r="1672" customFormat="false" ht="15" hidden="false" customHeight="false" outlineLevel="0" collapsed="false">
      <c r="A1672" s="50" t="s">
        <v>1957</v>
      </c>
      <c r="B1672" s="51" t="n">
        <v>46007</v>
      </c>
      <c r="C1672" s="50" t="s">
        <v>199</v>
      </c>
      <c r="D1672" s="39" t="str">
        <f aca="false">INDEX(Master_Customer!$B$2:$B$126,MATCH(C1672,Master_Customer!$A$2:$A$126,0))</f>
        <v>KARYA SPAREPART</v>
      </c>
      <c r="E1672" s="50" t="s">
        <v>29</v>
      </c>
      <c r="F1672" s="52" t="n">
        <f aca="false">SUMIFS(Data_Penjualan!$G$2:$G$5998,Data_Penjualan!$A$2:$A$5998,A1672)</f>
        <v>3141700</v>
      </c>
      <c r="G1672" s="39" t="n">
        <f aca="false">IF(E1672="KANTOR",0,INDEX(Master_Customer!$C$2:$C$126,MATCH(C1672,Master_Customer!$A$2:$A$126,0)))</f>
        <v>45</v>
      </c>
      <c r="H1672" s="53" t="n">
        <f aca="false">B1672+G1672</f>
        <v>46052</v>
      </c>
      <c r="I1672" s="51" t="n">
        <v>46011</v>
      </c>
      <c r="J1672" s="39" t="str">
        <f aca="false">IF(G1672=0,"Tunai",IF(I1672="","Belum ditukar","Sudah ditukar"))</f>
        <v>Sudah ditukar</v>
      </c>
      <c r="K1672" s="54" t="n">
        <v>0</v>
      </c>
      <c r="M1672" s="52" t="n">
        <f aca="false">F1672-K1672</f>
        <v>3141700</v>
      </c>
      <c r="N1672" s="39" t="str">
        <f aca="false">IF(M1672&lt;=0,"Lunas",IF(K1672&gt;0,"Sebagian","Belum Bayar"))</f>
        <v>Belum Bayar</v>
      </c>
      <c r="O1672" s="39" t="n">
        <f aca="false">IF(M1672&gt;0,MAX(0,Catatan!$B$3-H1672),0)</f>
        <v>0</v>
      </c>
      <c r="P1672" s="39" t="str">
        <f aca="false">IF(M1672&lt;=0,"Lunas",IF(Catatan!$B$3&lt;=H1672,"Belum Jatuh Tempo",IF(O1672&lt;=30,"1-30 hari",IF(O1672&lt;=60,"31-60 hari",IF(O1672&lt;=90,"61-90 hari","90+ hari")))))</f>
        <v>Belum Jatuh Tempo</v>
      </c>
      <c r="Q1672" s="50"/>
      <c r="R1672" s="39" t="str">
        <f aca="false">IF(M1672&lt;=0,"",IF(O1672&gt;60,"1-Tinggi",IF(O1672&gt;30,"2-Sedang",IF(O1672&gt;0,"3-Rendah","4-Pantau"))))</f>
        <v>4-Pantau</v>
      </c>
      <c r="S1672" s="39" t="str">
        <f aca="false">IF(AND(M1672&gt;0,O1672&gt;0),O1672+M1672/1000000000000+ROW()/1000000000000000,"")</f>
        <v/>
      </c>
      <c r="T1672" s="39" t="str">
        <f aca="false">IF(J1672="Belum ditukar",ROW(),"")</f>
        <v/>
      </c>
    </row>
    <row r="1673" customFormat="false" ht="15" hidden="false" customHeight="false" outlineLevel="0" collapsed="false">
      <c r="A1673" s="50" t="s">
        <v>1958</v>
      </c>
      <c r="B1673" s="51" t="n">
        <v>46007</v>
      </c>
      <c r="C1673" s="50" t="s">
        <v>205</v>
      </c>
      <c r="D1673" s="39" t="str">
        <f aca="false">INDEX(Master_Customer!$B$2:$B$126,MATCH(C1673,Master_Customer!$A$2:$A$126,0))</f>
        <v>BERKAH OLI</v>
      </c>
      <c r="E1673" s="50" t="s">
        <v>28</v>
      </c>
      <c r="F1673" s="52" t="n">
        <f aca="false">SUMIFS(Data_Penjualan!$G$2:$G$5998,Data_Penjualan!$A$2:$A$5998,A1673)</f>
        <v>11914300</v>
      </c>
      <c r="G1673" s="39" t="n">
        <f aca="false">IF(E1673="KANTOR",0,INDEX(Master_Customer!$C$2:$C$126,MATCH(C1673,Master_Customer!$A$2:$A$126,0)))</f>
        <v>0</v>
      </c>
      <c r="H1673" s="53" t="n">
        <f aca="false">B1673+G1673</f>
        <v>46007</v>
      </c>
      <c r="J1673" s="39" t="str">
        <f aca="false">IF(G1673=0,"Tunai",IF(I1673="","Belum ditukar","Sudah ditukar"))</f>
        <v>Tunai</v>
      </c>
      <c r="K1673" s="54" t="n">
        <v>11914300</v>
      </c>
      <c r="L1673" s="51" t="n">
        <v>46007</v>
      </c>
      <c r="M1673" s="52" t="n">
        <f aca="false">F1673-K1673</f>
        <v>0</v>
      </c>
      <c r="N1673" s="39" t="str">
        <f aca="false">IF(M1673&lt;=0,"Lunas",IF(K1673&gt;0,"Sebagian","Belum Bayar"))</f>
        <v>Lunas</v>
      </c>
      <c r="O1673" s="39" t="n">
        <f aca="false">IF(M1673&gt;0,MAX(0,Catatan!$B$3-H1673),0)</f>
        <v>0</v>
      </c>
      <c r="P1673" s="39" t="str">
        <f aca="false">IF(M1673&lt;=0,"Lunas",IF(Catatan!$B$3&lt;=H1673,"Belum Jatuh Tempo",IF(O1673&lt;=30,"1-30 hari",IF(O1673&lt;=60,"31-60 hari",IF(O1673&lt;=90,"61-90 hari","90+ hari")))))</f>
        <v>Lunas</v>
      </c>
      <c r="Q1673" s="50"/>
      <c r="R1673" s="39" t="str">
        <f aca="false">IF(M1673&lt;=0,"",IF(O1673&gt;60,"1-Tinggi",IF(O1673&gt;30,"2-Sedang",IF(O1673&gt;0,"3-Rendah","4-Pantau"))))</f>
        <v/>
      </c>
      <c r="S1673" s="39" t="str">
        <f aca="false">IF(AND(M1673&gt;0,O1673&gt;0),O1673+M1673/1000000000000+ROW()/1000000000000000,"")</f>
        <v/>
      </c>
      <c r="T1673" s="39" t="str">
        <f aca="false">IF(J1673="Belum ditukar",ROW(),"")</f>
        <v/>
      </c>
    </row>
    <row r="1674" customFormat="false" ht="15" hidden="false" customHeight="false" outlineLevel="0" collapsed="false">
      <c r="A1674" s="50" t="s">
        <v>1959</v>
      </c>
      <c r="B1674" s="51" t="n">
        <v>46008</v>
      </c>
      <c r="C1674" s="50" t="s">
        <v>174</v>
      </c>
      <c r="D1674" s="39" t="str">
        <f aca="false">INDEX(Master_Customer!$B$2:$B$126,MATCH(C1674,Master_Customer!$A$2:$A$126,0))</f>
        <v>SUMBER TEKNIK SURYA</v>
      </c>
      <c r="E1674" s="50" t="s">
        <v>31</v>
      </c>
      <c r="F1674" s="52" t="n">
        <f aca="false">SUMIFS(Data_Penjualan!$G$2:$G$5998,Data_Penjualan!$A$2:$A$5998,A1674)</f>
        <v>3126300</v>
      </c>
      <c r="G1674" s="39" t="n">
        <f aca="false">IF(E1674="KANTOR",0,INDEX(Master_Customer!$C$2:$C$126,MATCH(C1674,Master_Customer!$A$2:$A$126,0)))</f>
        <v>30</v>
      </c>
      <c r="H1674" s="53" t="n">
        <f aca="false">B1674+G1674</f>
        <v>46038</v>
      </c>
      <c r="I1674" s="51" t="n">
        <v>46013</v>
      </c>
      <c r="J1674" s="39" t="str">
        <f aca="false">IF(G1674=0,"Tunai",IF(I1674="","Belum ditukar","Sudah ditukar"))</f>
        <v>Sudah ditukar</v>
      </c>
      <c r="K1674" s="54" t="n">
        <v>0</v>
      </c>
      <c r="M1674" s="52" t="n">
        <f aca="false">F1674-K1674</f>
        <v>3126300</v>
      </c>
      <c r="N1674" s="39" t="str">
        <f aca="false">IF(M1674&lt;=0,"Lunas",IF(K1674&gt;0,"Sebagian","Belum Bayar"))</f>
        <v>Belum Bayar</v>
      </c>
      <c r="O1674" s="39" t="n">
        <f aca="false">IF(M1674&gt;0,MAX(0,Catatan!$B$3-H1674),0)</f>
        <v>0</v>
      </c>
      <c r="P1674" s="39" t="str">
        <f aca="false">IF(M1674&lt;=0,"Lunas",IF(Catatan!$B$3&lt;=H1674,"Belum Jatuh Tempo",IF(O1674&lt;=30,"1-30 hari",IF(O1674&lt;=60,"31-60 hari",IF(O1674&lt;=90,"61-90 hari","90+ hari")))))</f>
        <v>Belum Jatuh Tempo</v>
      </c>
      <c r="Q1674" s="50"/>
      <c r="R1674" s="39" t="str">
        <f aca="false">IF(M1674&lt;=0,"",IF(O1674&gt;60,"1-Tinggi",IF(O1674&gt;30,"2-Sedang",IF(O1674&gt;0,"3-Rendah","4-Pantau"))))</f>
        <v>4-Pantau</v>
      </c>
      <c r="S1674" s="39" t="str">
        <f aca="false">IF(AND(M1674&gt;0,O1674&gt;0),O1674+M1674/1000000000000+ROW()/1000000000000000,"")</f>
        <v/>
      </c>
      <c r="T1674" s="39" t="str">
        <f aca="false">IF(J1674="Belum ditukar",ROW(),"")</f>
        <v/>
      </c>
    </row>
    <row r="1675" customFormat="false" ht="15" hidden="false" customHeight="false" outlineLevel="0" collapsed="false">
      <c r="A1675" s="50" t="s">
        <v>1960</v>
      </c>
      <c r="B1675" s="51" t="n">
        <v>46008</v>
      </c>
      <c r="C1675" s="50" t="s">
        <v>174</v>
      </c>
      <c r="D1675" s="39" t="str">
        <f aca="false">INDEX(Master_Customer!$B$2:$B$126,MATCH(C1675,Master_Customer!$A$2:$A$126,0))</f>
        <v>SUMBER TEKNIK SURYA</v>
      </c>
      <c r="E1675" s="50" t="s">
        <v>31</v>
      </c>
      <c r="F1675" s="52" t="n">
        <f aca="false">SUMIFS(Data_Penjualan!$G$2:$G$5998,Data_Penjualan!$A$2:$A$5998,A1675)</f>
        <v>18745900</v>
      </c>
      <c r="G1675" s="39" t="n">
        <f aca="false">IF(E1675="KANTOR",0,INDEX(Master_Customer!$C$2:$C$126,MATCH(C1675,Master_Customer!$A$2:$A$126,0)))</f>
        <v>30</v>
      </c>
      <c r="H1675" s="53" t="n">
        <f aca="false">B1675+G1675</f>
        <v>46038</v>
      </c>
      <c r="I1675" s="51" t="n">
        <v>46010</v>
      </c>
      <c r="J1675" s="39" t="str">
        <f aca="false">IF(G1675=0,"Tunai",IF(I1675="","Belum ditukar","Sudah ditukar"))</f>
        <v>Sudah ditukar</v>
      </c>
      <c r="K1675" s="54" t="n">
        <v>8074900</v>
      </c>
      <c r="L1675" s="51" t="n">
        <v>46011</v>
      </c>
      <c r="M1675" s="52" t="n">
        <f aca="false">F1675-K1675</f>
        <v>10671000</v>
      </c>
      <c r="N1675" s="39" t="str">
        <f aca="false">IF(M1675&lt;=0,"Lunas",IF(K1675&gt;0,"Sebagian","Belum Bayar"))</f>
        <v>Sebagian</v>
      </c>
      <c r="O1675" s="39" t="n">
        <f aca="false">IF(M1675&gt;0,MAX(0,Catatan!$B$3-H1675),0)</f>
        <v>0</v>
      </c>
      <c r="P1675" s="39" t="str">
        <f aca="false">IF(M1675&lt;=0,"Lunas",IF(Catatan!$B$3&lt;=H1675,"Belum Jatuh Tempo",IF(O1675&lt;=30,"1-30 hari",IF(O1675&lt;=60,"31-60 hari",IF(O1675&lt;=90,"61-90 hari","90+ hari")))))</f>
        <v>Belum Jatuh Tempo</v>
      </c>
      <c r="Q1675" s="50"/>
      <c r="R1675" s="39" t="str">
        <f aca="false">IF(M1675&lt;=0,"",IF(O1675&gt;60,"1-Tinggi",IF(O1675&gt;30,"2-Sedang",IF(O1675&gt;0,"3-Rendah","4-Pantau"))))</f>
        <v>4-Pantau</v>
      </c>
      <c r="S1675" s="39" t="str">
        <f aca="false">IF(AND(M1675&gt;0,O1675&gt;0),O1675+M1675/1000000000000+ROW()/1000000000000000,"")</f>
        <v/>
      </c>
      <c r="T1675" s="39" t="str">
        <f aca="false">IF(J1675="Belum ditukar",ROW(),"")</f>
        <v/>
      </c>
    </row>
    <row r="1676" customFormat="false" ht="15" hidden="false" customHeight="false" outlineLevel="0" collapsed="false">
      <c r="A1676" s="50" t="s">
        <v>1961</v>
      </c>
      <c r="B1676" s="51" t="n">
        <v>46008</v>
      </c>
      <c r="C1676" s="50" t="s">
        <v>179</v>
      </c>
      <c r="D1676" s="39" t="str">
        <f aca="false">INDEX(Master_Customer!$B$2:$B$126,MATCH(C1676,Master_Customer!$A$2:$A$126,0))</f>
        <v>BINTANG TEKNIK SURYA</v>
      </c>
      <c r="E1676" s="50" t="s">
        <v>29</v>
      </c>
      <c r="F1676" s="52" t="n">
        <f aca="false">SUMIFS(Data_Penjualan!$G$2:$G$5998,Data_Penjualan!$A$2:$A$5998,A1676)</f>
        <v>7360100</v>
      </c>
      <c r="G1676" s="39" t="n">
        <f aca="false">IF(E1676="KANTOR",0,INDEX(Master_Customer!$C$2:$C$126,MATCH(C1676,Master_Customer!$A$2:$A$126,0)))</f>
        <v>45</v>
      </c>
      <c r="H1676" s="53" t="n">
        <f aca="false">B1676+G1676</f>
        <v>46053</v>
      </c>
      <c r="I1676" s="51" t="n">
        <v>46009</v>
      </c>
      <c r="J1676" s="39" t="str">
        <f aca="false">IF(G1676=0,"Tunai",IF(I1676="","Belum ditukar","Sudah ditukar"))</f>
        <v>Sudah ditukar</v>
      </c>
      <c r="K1676" s="54" t="n">
        <v>4987500</v>
      </c>
      <c r="L1676" s="51" t="n">
        <v>46017</v>
      </c>
      <c r="M1676" s="52" t="n">
        <f aca="false">F1676-K1676</f>
        <v>2372600</v>
      </c>
      <c r="N1676" s="39" t="str">
        <f aca="false">IF(M1676&lt;=0,"Lunas",IF(K1676&gt;0,"Sebagian","Belum Bayar"))</f>
        <v>Sebagian</v>
      </c>
      <c r="O1676" s="39" t="n">
        <f aca="false">IF(M1676&gt;0,MAX(0,Catatan!$B$3-H1676),0)</f>
        <v>0</v>
      </c>
      <c r="P1676" s="39" t="str">
        <f aca="false">IF(M1676&lt;=0,"Lunas",IF(Catatan!$B$3&lt;=H1676,"Belum Jatuh Tempo",IF(O1676&lt;=30,"1-30 hari",IF(O1676&lt;=60,"31-60 hari",IF(O1676&lt;=90,"61-90 hari","90+ hari")))))</f>
        <v>Belum Jatuh Tempo</v>
      </c>
      <c r="Q1676" s="50"/>
      <c r="R1676" s="39" t="str">
        <f aca="false">IF(M1676&lt;=0,"",IF(O1676&gt;60,"1-Tinggi",IF(O1676&gt;30,"2-Sedang",IF(O1676&gt;0,"3-Rendah","4-Pantau"))))</f>
        <v>4-Pantau</v>
      </c>
      <c r="S1676" s="39" t="str">
        <f aca="false">IF(AND(M1676&gt;0,O1676&gt;0),O1676+M1676/1000000000000+ROW()/1000000000000000,"")</f>
        <v/>
      </c>
      <c r="T1676" s="39" t="str">
        <f aca="false">IF(J1676="Belum ditukar",ROW(),"")</f>
        <v/>
      </c>
    </row>
    <row r="1677" customFormat="false" ht="15" hidden="false" customHeight="false" outlineLevel="0" collapsed="false">
      <c r="A1677" s="50" t="s">
        <v>1962</v>
      </c>
      <c r="B1677" s="51" t="n">
        <v>46008</v>
      </c>
      <c r="C1677" s="50" t="s">
        <v>179</v>
      </c>
      <c r="D1677" s="39" t="str">
        <f aca="false">INDEX(Master_Customer!$B$2:$B$126,MATCH(C1677,Master_Customer!$A$2:$A$126,0))</f>
        <v>BINTANG TEKNIK SURYA</v>
      </c>
      <c r="E1677" s="50" t="s">
        <v>29</v>
      </c>
      <c r="F1677" s="52" t="n">
        <f aca="false">SUMIFS(Data_Penjualan!$G$2:$G$5998,Data_Penjualan!$A$2:$A$5998,A1677)</f>
        <v>5453300</v>
      </c>
      <c r="G1677" s="39" t="n">
        <f aca="false">IF(E1677="KANTOR",0,INDEX(Master_Customer!$C$2:$C$126,MATCH(C1677,Master_Customer!$A$2:$A$126,0)))</f>
        <v>45</v>
      </c>
      <c r="H1677" s="53" t="n">
        <f aca="false">B1677+G1677</f>
        <v>46053</v>
      </c>
      <c r="I1677" s="51" t="n">
        <v>46013</v>
      </c>
      <c r="J1677" s="39" t="str">
        <f aca="false">IF(G1677=0,"Tunai",IF(I1677="","Belum ditukar","Sudah ditukar"))</f>
        <v>Sudah ditukar</v>
      </c>
      <c r="K1677" s="54" t="n">
        <v>2657300</v>
      </c>
      <c r="L1677" s="51" t="n">
        <v>46008</v>
      </c>
      <c r="M1677" s="52" t="n">
        <f aca="false">F1677-K1677</f>
        <v>2796000</v>
      </c>
      <c r="N1677" s="39" t="str">
        <f aca="false">IF(M1677&lt;=0,"Lunas",IF(K1677&gt;0,"Sebagian","Belum Bayar"))</f>
        <v>Sebagian</v>
      </c>
      <c r="O1677" s="39" t="n">
        <f aca="false">IF(M1677&gt;0,MAX(0,Catatan!$B$3-H1677),0)</f>
        <v>0</v>
      </c>
      <c r="P1677" s="39" t="str">
        <f aca="false">IF(M1677&lt;=0,"Lunas",IF(Catatan!$B$3&lt;=H1677,"Belum Jatuh Tempo",IF(O1677&lt;=30,"1-30 hari",IF(O1677&lt;=60,"31-60 hari",IF(O1677&lt;=90,"61-90 hari","90+ hari")))))</f>
        <v>Belum Jatuh Tempo</v>
      </c>
      <c r="Q1677" s="50"/>
      <c r="R1677" s="39" t="str">
        <f aca="false">IF(M1677&lt;=0,"",IF(O1677&gt;60,"1-Tinggi",IF(O1677&gt;30,"2-Sedang",IF(O1677&gt;0,"3-Rendah","4-Pantau"))))</f>
        <v>4-Pantau</v>
      </c>
      <c r="S1677" s="39" t="str">
        <f aca="false">IF(AND(M1677&gt;0,O1677&gt;0),O1677+M1677/1000000000000+ROW()/1000000000000000,"")</f>
        <v/>
      </c>
      <c r="T1677" s="39" t="str">
        <f aca="false">IF(J1677="Belum ditukar",ROW(),"")</f>
        <v/>
      </c>
    </row>
    <row r="1678" customFormat="false" ht="15" hidden="false" customHeight="false" outlineLevel="0" collapsed="false">
      <c r="A1678" s="50" t="s">
        <v>1963</v>
      </c>
      <c r="B1678" s="51" t="n">
        <v>46008</v>
      </c>
      <c r="C1678" s="50" t="s">
        <v>197</v>
      </c>
      <c r="D1678" s="39" t="str">
        <f aca="false">INDEX(Master_Customer!$B$2:$B$126,MATCH(C1678,Master_Customer!$A$2:$A$126,0))</f>
        <v>UTAMA LUBRICANT HARAPAN</v>
      </c>
      <c r="E1678" s="50" t="s">
        <v>30</v>
      </c>
      <c r="F1678" s="52" t="n">
        <f aca="false">SUMIFS(Data_Penjualan!$G$2:$G$5998,Data_Penjualan!$A$2:$A$5998,A1678)</f>
        <v>15306400</v>
      </c>
      <c r="G1678" s="39" t="n">
        <f aca="false">IF(E1678="KANTOR",0,INDEX(Master_Customer!$C$2:$C$126,MATCH(C1678,Master_Customer!$A$2:$A$126,0)))</f>
        <v>30</v>
      </c>
      <c r="H1678" s="53" t="n">
        <f aca="false">B1678+G1678</f>
        <v>46038</v>
      </c>
      <c r="I1678" s="51" t="n">
        <v>46012</v>
      </c>
      <c r="J1678" s="39" t="str">
        <f aca="false">IF(G1678=0,"Tunai",IF(I1678="","Belum ditukar","Sudah ditukar"))</f>
        <v>Sudah ditukar</v>
      </c>
      <c r="K1678" s="54" t="n">
        <v>0</v>
      </c>
      <c r="M1678" s="52" t="n">
        <f aca="false">F1678-K1678</f>
        <v>15306400</v>
      </c>
      <c r="N1678" s="39" t="str">
        <f aca="false">IF(M1678&lt;=0,"Lunas",IF(K1678&gt;0,"Sebagian","Belum Bayar"))</f>
        <v>Belum Bayar</v>
      </c>
      <c r="O1678" s="39" t="n">
        <f aca="false">IF(M1678&gt;0,MAX(0,Catatan!$B$3-H1678),0)</f>
        <v>0</v>
      </c>
      <c r="P1678" s="39" t="str">
        <f aca="false">IF(M1678&lt;=0,"Lunas",IF(Catatan!$B$3&lt;=H1678,"Belum Jatuh Tempo",IF(O1678&lt;=30,"1-30 hari",IF(O1678&lt;=60,"31-60 hari",IF(O1678&lt;=90,"61-90 hari","90+ hari")))))</f>
        <v>Belum Jatuh Tempo</v>
      </c>
      <c r="Q1678" s="50"/>
      <c r="R1678" s="39" t="str">
        <f aca="false">IF(M1678&lt;=0,"",IF(O1678&gt;60,"1-Tinggi",IF(O1678&gt;30,"2-Sedang",IF(O1678&gt;0,"3-Rendah","4-Pantau"))))</f>
        <v>4-Pantau</v>
      </c>
      <c r="S1678" s="39" t="str">
        <f aca="false">IF(AND(M1678&gt;0,O1678&gt;0),O1678+M1678/1000000000000+ROW()/1000000000000000,"")</f>
        <v/>
      </c>
      <c r="T1678" s="39" t="str">
        <f aca="false">IF(J1678="Belum ditukar",ROW(),"")</f>
        <v/>
      </c>
    </row>
    <row r="1679" customFormat="false" ht="15" hidden="false" customHeight="false" outlineLevel="0" collapsed="false">
      <c r="A1679" s="50" t="s">
        <v>1964</v>
      </c>
      <c r="B1679" s="51" t="n">
        <v>46008</v>
      </c>
      <c r="C1679" s="50" t="s">
        <v>166</v>
      </c>
      <c r="D1679" s="39" t="str">
        <f aca="false">INDEX(Master_Customer!$B$2:$B$126,MATCH(C1679,Master_Customer!$A$2:$A$126,0))</f>
        <v>SENTOSA SERVICE</v>
      </c>
      <c r="E1679" s="50" t="s">
        <v>30</v>
      </c>
      <c r="F1679" s="52" t="n">
        <f aca="false">SUMIFS(Data_Penjualan!$G$2:$G$5998,Data_Penjualan!$A$2:$A$5998,A1679)</f>
        <v>24064700</v>
      </c>
      <c r="G1679" s="39" t="n">
        <f aca="false">IF(E1679="KANTOR",0,INDEX(Master_Customer!$C$2:$C$126,MATCH(C1679,Master_Customer!$A$2:$A$126,0)))</f>
        <v>0</v>
      </c>
      <c r="H1679" s="53" t="n">
        <f aca="false">B1679+G1679</f>
        <v>46008</v>
      </c>
      <c r="J1679" s="39" t="str">
        <f aca="false">IF(G1679=0,"Tunai",IF(I1679="","Belum ditukar","Sudah ditukar"))</f>
        <v>Tunai</v>
      </c>
      <c r="K1679" s="54" t="n">
        <v>24064700</v>
      </c>
      <c r="L1679" s="51" t="n">
        <v>46008</v>
      </c>
      <c r="M1679" s="52" t="n">
        <f aca="false">F1679-K1679</f>
        <v>0</v>
      </c>
      <c r="N1679" s="39" t="str">
        <f aca="false">IF(M1679&lt;=0,"Lunas",IF(K1679&gt;0,"Sebagian","Belum Bayar"))</f>
        <v>Lunas</v>
      </c>
      <c r="O1679" s="39" t="n">
        <f aca="false">IF(M1679&gt;0,MAX(0,Catatan!$B$3-H1679),0)</f>
        <v>0</v>
      </c>
      <c r="P1679" s="39" t="str">
        <f aca="false">IF(M1679&lt;=0,"Lunas",IF(Catatan!$B$3&lt;=H1679,"Belum Jatuh Tempo",IF(O1679&lt;=30,"1-30 hari",IF(O1679&lt;=60,"31-60 hari",IF(O1679&lt;=90,"61-90 hari","90+ hari")))))</f>
        <v>Lunas</v>
      </c>
      <c r="Q1679" s="50"/>
      <c r="R1679" s="39" t="str">
        <f aca="false">IF(M1679&lt;=0,"",IF(O1679&gt;60,"1-Tinggi",IF(O1679&gt;30,"2-Sedang",IF(O1679&gt;0,"3-Rendah","4-Pantau"))))</f>
        <v/>
      </c>
      <c r="S1679" s="39" t="str">
        <f aca="false">IF(AND(M1679&gt;0,O1679&gt;0),O1679+M1679/1000000000000+ROW()/1000000000000000,"")</f>
        <v/>
      </c>
      <c r="T1679" s="39" t="str">
        <f aca="false">IF(J1679="Belum ditukar",ROW(),"")</f>
        <v/>
      </c>
    </row>
    <row r="1680" customFormat="false" ht="15" hidden="false" customHeight="false" outlineLevel="0" collapsed="false">
      <c r="A1680" s="50" t="s">
        <v>1965</v>
      </c>
      <c r="B1680" s="51" t="n">
        <v>46009</v>
      </c>
      <c r="C1680" s="50" t="s">
        <v>278</v>
      </c>
      <c r="D1680" s="39" t="str">
        <f aca="false">INDEX(Master_Customer!$B$2:$B$126,MATCH(C1680,Master_Customer!$A$2:$A$126,0))</f>
        <v>SURYA MOTOR</v>
      </c>
      <c r="E1680" s="50" t="s">
        <v>31</v>
      </c>
      <c r="F1680" s="52" t="n">
        <f aca="false">SUMIFS(Data_Penjualan!$G$2:$G$5998,Data_Penjualan!$A$2:$A$5998,A1680)</f>
        <v>7475000</v>
      </c>
      <c r="G1680" s="39" t="n">
        <f aca="false">IF(E1680="KANTOR",0,INDEX(Master_Customer!$C$2:$C$126,MATCH(C1680,Master_Customer!$A$2:$A$126,0)))</f>
        <v>14</v>
      </c>
      <c r="H1680" s="53" t="n">
        <f aca="false">B1680+G1680</f>
        <v>46023</v>
      </c>
      <c r="I1680" s="51" t="n">
        <v>46012</v>
      </c>
      <c r="J1680" s="39" t="str">
        <f aca="false">IF(G1680=0,"Tunai",IF(I1680="","Belum ditukar","Sudah ditukar"))</f>
        <v>Sudah ditukar</v>
      </c>
      <c r="K1680" s="54" t="n">
        <v>7475000</v>
      </c>
      <c r="L1680" s="51" t="n">
        <v>46022</v>
      </c>
      <c r="M1680" s="52" t="n">
        <f aca="false">F1680-K1680</f>
        <v>0</v>
      </c>
      <c r="N1680" s="39" t="str">
        <f aca="false">IF(M1680&lt;=0,"Lunas",IF(K1680&gt;0,"Sebagian","Belum Bayar"))</f>
        <v>Lunas</v>
      </c>
      <c r="O1680" s="39" t="n">
        <f aca="false">IF(M1680&gt;0,MAX(0,Catatan!$B$3-H1680),0)</f>
        <v>0</v>
      </c>
      <c r="P1680" s="39" t="str">
        <f aca="false">IF(M1680&lt;=0,"Lunas",IF(Catatan!$B$3&lt;=H1680,"Belum Jatuh Tempo",IF(O1680&lt;=30,"1-30 hari",IF(O1680&lt;=60,"31-60 hari",IF(O1680&lt;=90,"61-90 hari","90+ hari")))))</f>
        <v>Lunas</v>
      </c>
      <c r="Q1680" s="50"/>
      <c r="R1680" s="39" t="str">
        <f aca="false">IF(M1680&lt;=0,"",IF(O1680&gt;60,"1-Tinggi",IF(O1680&gt;30,"2-Sedang",IF(O1680&gt;0,"3-Rendah","4-Pantau"))))</f>
        <v/>
      </c>
      <c r="S1680" s="39" t="str">
        <f aca="false">IF(AND(M1680&gt;0,O1680&gt;0),O1680+M1680/1000000000000+ROW()/1000000000000000,"")</f>
        <v/>
      </c>
      <c r="T1680" s="39" t="str">
        <f aca="false">IF(J1680="Belum ditukar",ROW(),"")</f>
        <v/>
      </c>
    </row>
    <row r="1681" customFormat="false" ht="15" hidden="false" customHeight="false" outlineLevel="0" collapsed="false">
      <c r="A1681" s="50" t="s">
        <v>1966</v>
      </c>
      <c r="B1681" s="51" t="n">
        <v>46009</v>
      </c>
      <c r="C1681" s="50" t="s">
        <v>179</v>
      </c>
      <c r="D1681" s="39" t="str">
        <f aca="false">INDEX(Master_Customer!$B$2:$B$126,MATCH(C1681,Master_Customer!$A$2:$A$126,0))</f>
        <v>BINTANG TEKNIK SURYA</v>
      </c>
      <c r="E1681" s="50" t="s">
        <v>29</v>
      </c>
      <c r="F1681" s="52" t="n">
        <f aca="false">SUMIFS(Data_Penjualan!$G$2:$G$5998,Data_Penjualan!$A$2:$A$5998,A1681)</f>
        <v>4516000</v>
      </c>
      <c r="G1681" s="39" t="n">
        <f aca="false">IF(E1681="KANTOR",0,INDEX(Master_Customer!$C$2:$C$126,MATCH(C1681,Master_Customer!$A$2:$A$126,0)))</f>
        <v>45</v>
      </c>
      <c r="H1681" s="53" t="n">
        <f aca="false">B1681+G1681</f>
        <v>46054</v>
      </c>
      <c r="I1681" s="51" t="n">
        <v>46011</v>
      </c>
      <c r="J1681" s="39" t="str">
        <f aca="false">IF(G1681=0,"Tunai",IF(I1681="","Belum ditukar","Sudah ditukar"))</f>
        <v>Sudah ditukar</v>
      </c>
      <c r="K1681" s="54" t="n">
        <v>1940900</v>
      </c>
      <c r="L1681" s="51" t="n">
        <v>46010</v>
      </c>
      <c r="M1681" s="52" t="n">
        <f aca="false">F1681-K1681</f>
        <v>2575100</v>
      </c>
      <c r="N1681" s="39" t="str">
        <f aca="false">IF(M1681&lt;=0,"Lunas",IF(K1681&gt;0,"Sebagian","Belum Bayar"))</f>
        <v>Sebagian</v>
      </c>
      <c r="O1681" s="39" t="n">
        <f aca="false">IF(M1681&gt;0,MAX(0,Catatan!$B$3-H1681),0)</f>
        <v>0</v>
      </c>
      <c r="P1681" s="39" t="str">
        <f aca="false">IF(M1681&lt;=0,"Lunas",IF(Catatan!$B$3&lt;=H1681,"Belum Jatuh Tempo",IF(O1681&lt;=30,"1-30 hari",IF(O1681&lt;=60,"31-60 hari",IF(O1681&lt;=90,"61-90 hari","90+ hari")))))</f>
        <v>Belum Jatuh Tempo</v>
      </c>
      <c r="Q1681" s="50"/>
      <c r="R1681" s="39" t="str">
        <f aca="false">IF(M1681&lt;=0,"",IF(O1681&gt;60,"1-Tinggi",IF(O1681&gt;30,"2-Sedang",IF(O1681&gt;0,"3-Rendah","4-Pantau"))))</f>
        <v>4-Pantau</v>
      </c>
      <c r="S1681" s="39" t="str">
        <f aca="false">IF(AND(M1681&gt;0,O1681&gt;0),O1681+M1681/1000000000000+ROW()/1000000000000000,"")</f>
        <v/>
      </c>
      <c r="T1681" s="39" t="str">
        <f aca="false">IF(J1681="Belum ditukar",ROW(),"")</f>
        <v/>
      </c>
    </row>
    <row r="1682" customFormat="false" ht="15" hidden="false" customHeight="false" outlineLevel="0" collapsed="false">
      <c r="A1682" s="50" t="s">
        <v>1967</v>
      </c>
      <c r="B1682" s="51" t="n">
        <v>46009</v>
      </c>
      <c r="C1682" s="50" t="s">
        <v>218</v>
      </c>
      <c r="D1682" s="39" t="str">
        <f aca="false">INDEX(Master_Customer!$B$2:$B$126,MATCH(C1682,Master_Customer!$A$2:$A$126,0))</f>
        <v>SURYA SERVICE LANCAR</v>
      </c>
      <c r="E1682" s="50" t="s">
        <v>32</v>
      </c>
      <c r="F1682" s="52" t="n">
        <f aca="false">SUMIFS(Data_Penjualan!$G$2:$G$5998,Data_Penjualan!$A$2:$A$5998,A1682)</f>
        <v>23057700</v>
      </c>
      <c r="G1682" s="39" t="n">
        <f aca="false">IF(E1682="KANTOR",0,INDEX(Master_Customer!$C$2:$C$126,MATCH(C1682,Master_Customer!$A$2:$A$126,0)))</f>
        <v>0</v>
      </c>
      <c r="H1682" s="53" t="n">
        <f aca="false">B1682+G1682</f>
        <v>46009</v>
      </c>
      <c r="J1682" s="39" t="str">
        <f aca="false">IF(G1682=0,"Tunai",IF(I1682="","Belum ditukar","Sudah ditukar"))</f>
        <v>Tunai</v>
      </c>
      <c r="K1682" s="54" t="n">
        <v>23057700</v>
      </c>
      <c r="L1682" s="51" t="n">
        <v>46009</v>
      </c>
      <c r="M1682" s="52" t="n">
        <f aca="false">F1682-K1682</f>
        <v>0</v>
      </c>
      <c r="N1682" s="39" t="str">
        <f aca="false">IF(M1682&lt;=0,"Lunas",IF(K1682&gt;0,"Sebagian","Belum Bayar"))</f>
        <v>Lunas</v>
      </c>
      <c r="O1682" s="39" t="n">
        <f aca="false">IF(M1682&gt;0,MAX(0,Catatan!$B$3-H1682),0)</f>
        <v>0</v>
      </c>
      <c r="P1682" s="39" t="str">
        <f aca="false">IF(M1682&lt;=0,"Lunas",IF(Catatan!$B$3&lt;=H1682,"Belum Jatuh Tempo",IF(O1682&lt;=30,"1-30 hari",IF(O1682&lt;=60,"31-60 hari",IF(O1682&lt;=90,"61-90 hari","90+ hari")))))</f>
        <v>Lunas</v>
      </c>
      <c r="Q1682" s="50"/>
      <c r="R1682" s="39" t="str">
        <f aca="false">IF(M1682&lt;=0,"",IF(O1682&gt;60,"1-Tinggi",IF(O1682&gt;30,"2-Sedang",IF(O1682&gt;0,"3-Rendah","4-Pantau"))))</f>
        <v/>
      </c>
      <c r="S1682" s="39" t="str">
        <f aca="false">IF(AND(M1682&gt;0,O1682&gt;0),O1682+M1682/1000000000000+ROW()/1000000000000000,"")</f>
        <v/>
      </c>
      <c r="T1682" s="39" t="str">
        <f aca="false">IF(J1682="Belum ditukar",ROW(),"")</f>
        <v/>
      </c>
    </row>
    <row r="1683" customFormat="false" ht="15" hidden="false" customHeight="false" outlineLevel="0" collapsed="false">
      <c r="A1683" s="50" t="s">
        <v>1968</v>
      </c>
      <c r="B1683" s="51" t="n">
        <v>46009</v>
      </c>
      <c r="C1683" s="50" t="s">
        <v>382</v>
      </c>
      <c r="D1683" s="39" t="str">
        <f aca="false">INDEX(Master_Customer!$B$2:$B$126,MATCH(C1683,Master_Customer!$A$2:$A$126,0))</f>
        <v>BERKAH SPAREPART</v>
      </c>
      <c r="E1683" s="50" t="s">
        <v>29</v>
      </c>
      <c r="F1683" s="52" t="n">
        <f aca="false">SUMIFS(Data_Penjualan!$G$2:$G$5998,Data_Penjualan!$A$2:$A$5998,A1683)</f>
        <v>2214000</v>
      </c>
      <c r="G1683" s="39" t="n">
        <f aca="false">IF(E1683="KANTOR",0,INDEX(Master_Customer!$C$2:$C$126,MATCH(C1683,Master_Customer!$A$2:$A$126,0)))</f>
        <v>30</v>
      </c>
      <c r="H1683" s="53" t="n">
        <f aca="false">B1683+G1683</f>
        <v>46039</v>
      </c>
      <c r="I1683" s="51" t="n">
        <v>46013</v>
      </c>
      <c r="J1683" s="39" t="str">
        <f aca="false">IF(G1683=0,"Tunai",IF(I1683="","Belum ditukar","Sudah ditukar"))</f>
        <v>Sudah ditukar</v>
      </c>
      <c r="K1683" s="54" t="n">
        <v>0</v>
      </c>
      <c r="M1683" s="52" t="n">
        <f aca="false">F1683-K1683</f>
        <v>2214000</v>
      </c>
      <c r="N1683" s="39" t="str">
        <f aca="false">IF(M1683&lt;=0,"Lunas",IF(K1683&gt;0,"Sebagian","Belum Bayar"))</f>
        <v>Belum Bayar</v>
      </c>
      <c r="O1683" s="39" t="n">
        <f aca="false">IF(M1683&gt;0,MAX(0,Catatan!$B$3-H1683),0)</f>
        <v>0</v>
      </c>
      <c r="P1683" s="39" t="str">
        <f aca="false">IF(M1683&lt;=0,"Lunas",IF(Catatan!$B$3&lt;=H1683,"Belum Jatuh Tempo",IF(O1683&lt;=30,"1-30 hari",IF(O1683&lt;=60,"31-60 hari",IF(O1683&lt;=90,"61-90 hari","90+ hari")))))</f>
        <v>Belum Jatuh Tempo</v>
      </c>
      <c r="Q1683" s="50"/>
      <c r="R1683" s="39" t="str">
        <f aca="false">IF(M1683&lt;=0,"",IF(O1683&gt;60,"1-Tinggi",IF(O1683&gt;30,"2-Sedang",IF(O1683&gt;0,"3-Rendah","4-Pantau"))))</f>
        <v>4-Pantau</v>
      </c>
      <c r="S1683" s="39" t="str">
        <f aca="false">IF(AND(M1683&gt;0,O1683&gt;0),O1683+M1683/1000000000000+ROW()/1000000000000000,"")</f>
        <v/>
      </c>
      <c r="T1683" s="39" t="str">
        <f aca="false">IF(J1683="Belum ditukar",ROW(),"")</f>
        <v/>
      </c>
    </row>
    <row r="1684" customFormat="false" ht="15" hidden="false" customHeight="false" outlineLevel="0" collapsed="false">
      <c r="A1684" s="50" t="s">
        <v>1969</v>
      </c>
      <c r="B1684" s="51" t="n">
        <v>46009</v>
      </c>
      <c r="C1684" s="50" t="s">
        <v>408</v>
      </c>
      <c r="D1684" s="39" t="str">
        <f aca="false">INDEX(Master_Customer!$B$2:$B$126,MATCH(C1684,Master_Customer!$A$2:$A$126,0))</f>
        <v>SURYA GARAGE</v>
      </c>
      <c r="E1684" s="50" t="s">
        <v>32</v>
      </c>
      <c r="F1684" s="52" t="n">
        <f aca="false">SUMIFS(Data_Penjualan!$G$2:$G$5998,Data_Penjualan!$A$2:$A$5998,A1684)</f>
        <v>8626400</v>
      </c>
      <c r="G1684" s="39" t="n">
        <f aca="false">IF(E1684="KANTOR",0,INDEX(Master_Customer!$C$2:$C$126,MATCH(C1684,Master_Customer!$A$2:$A$126,0)))</f>
        <v>0</v>
      </c>
      <c r="H1684" s="53" t="n">
        <f aca="false">B1684+G1684</f>
        <v>46009</v>
      </c>
      <c r="J1684" s="39" t="str">
        <f aca="false">IF(G1684=0,"Tunai",IF(I1684="","Belum ditukar","Sudah ditukar"))</f>
        <v>Tunai</v>
      </c>
      <c r="K1684" s="54" t="n">
        <v>8626400</v>
      </c>
      <c r="L1684" s="51" t="n">
        <v>46009</v>
      </c>
      <c r="M1684" s="52" t="n">
        <f aca="false">F1684-K1684</f>
        <v>0</v>
      </c>
      <c r="N1684" s="39" t="str">
        <f aca="false">IF(M1684&lt;=0,"Lunas",IF(K1684&gt;0,"Sebagian","Belum Bayar"))</f>
        <v>Lunas</v>
      </c>
      <c r="O1684" s="39" t="n">
        <f aca="false">IF(M1684&gt;0,MAX(0,Catatan!$B$3-H1684),0)</f>
        <v>0</v>
      </c>
      <c r="P1684" s="39" t="str">
        <f aca="false">IF(M1684&lt;=0,"Lunas",IF(Catatan!$B$3&lt;=H1684,"Belum Jatuh Tempo",IF(O1684&lt;=30,"1-30 hari",IF(O1684&lt;=60,"31-60 hari",IF(O1684&lt;=90,"61-90 hari","90+ hari")))))</f>
        <v>Lunas</v>
      </c>
      <c r="Q1684" s="50"/>
      <c r="R1684" s="39" t="str">
        <f aca="false">IF(M1684&lt;=0,"",IF(O1684&gt;60,"1-Tinggi",IF(O1684&gt;30,"2-Sedang",IF(O1684&gt;0,"3-Rendah","4-Pantau"))))</f>
        <v/>
      </c>
      <c r="S1684" s="39" t="str">
        <f aca="false">IF(AND(M1684&gt;0,O1684&gt;0),O1684+M1684/1000000000000+ROW()/1000000000000000,"")</f>
        <v/>
      </c>
      <c r="T1684" s="39" t="str">
        <f aca="false">IF(J1684="Belum ditukar",ROW(),"")</f>
        <v/>
      </c>
    </row>
    <row r="1685" customFormat="false" ht="15" hidden="false" customHeight="false" outlineLevel="0" collapsed="false">
      <c r="A1685" s="50" t="s">
        <v>149</v>
      </c>
      <c r="B1685" s="51" t="n">
        <v>46009</v>
      </c>
      <c r="C1685" s="50" t="s">
        <v>416</v>
      </c>
      <c r="D1685" s="39" t="str">
        <f aca="false">INDEX(Master_Customer!$B$2:$B$126,MATCH(C1685,Master_Customer!$A$2:$A$126,0))</f>
        <v>KARYA SERVICE</v>
      </c>
      <c r="E1685" s="50" t="s">
        <v>30</v>
      </c>
      <c r="F1685" s="52" t="n">
        <f aca="false">SUMIFS(Data_Penjualan!$G$2:$G$5998,Data_Penjualan!$A$2:$A$5998,A1685)</f>
        <v>6253900</v>
      </c>
      <c r="G1685" s="39" t="n">
        <f aca="false">IF(E1685="KANTOR",0,INDEX(Master_Customer!$C$2:$C$126,MATCH(C1685,Master_Customer!$A$2:$A$126,0)))</f>
        <v>0</v>
      </c>
      <c r="H1685" s="53" t="n">
        <f aca="false">B1685+G1685</f>
        <v>46009</v>
      </c>
      <c r="J1685" s="39" t="str">
        <f aca="false">IF(G1685=0,"Tunai",IF(I1685="","Belum ditukar","Sudah ditukar"))</f>
        <v>Tunai</v>
      </c>
      <c r="K1685" s="54" t="n">
        <v>3205100</v>
      </c>
      <c r="L1685" s="51" t="n">
        <v>46013</v>
      </c>
      <c r="M1685" s="52" t="n">
        <f aca="false">F1685-K1685</f>
        <v>3048800</v>
      </c>
      <c r="N1685" s="39" t="str">
        <f aca="false">IF(M1685&lt;=0,"Lunas",IF(K1685&gt;0,"Sebagian","Belum Bayar"))</f>
        <v>Sebagian</v>
      </c>
      <c r="O1685" s="39" t="n">
        <f aca="false">IF(M1685&gt;0,MAX(0,Catatan!$B$3-H1685),0)</f>
        <v>13</v>
      </c>
      <c r="P1685" s="39" t="str">
        <f aca="false">IF(M1685&lt;=0,"Lunas",IF(Catatan!$B$3&lt;=H1685,"Belum Jatuh Tempo",IF(O1685&lt;=30,"1-30 hari",IF(O1685&lt;=60,"31-60 hari",IF(O1685&lt;=90,"61-90 hari","90+ hari")))))</f>
        <v>1-30 hari</v>
      </c>
      <c r="Q1685" s="50" t="s">
        <v>1797</v>
      </c>
      <c r="R1685" s="39" t="str">
        <f aca="false">IF(M1685&lt;=0,"",IF(O1685&gt;60,"1-Tinggi",IF(O1685&gt;30,"2-Sedang",IF(O1685&gt;0,"3-Rendah","4-Pantau"))))</f>
        <v>3-Rendah</v>
      </c>
      <c r="S1685" s="39" t="n">
        <f aca="false">IF(AND(M1685&gt;0,O1685&gt;0),O1685+M1685/1000000000000+ROW()/1000000000000000,"")</f>
        <v>13.0000030488017</v>
      </c>
      <c r="T1685" s="39" t="str">
        <f aca="false">IF(J1685="Belum ditukar",ROW(),"")</f>
        <v/>
      </c>
    </row>
    <row r="1686" customFormat="false" ht="15" hidden="false" customHeight="false" outlineLevel="0" collapsed="false">
      <c r="A1686" s="50" t="s">
        <v>1970</v>
      </c>
      <c r="B1686" s="51" t="n">
        <v>46009</v>
      </c>
      <c r="C1686" s="50" t="s">
        <v>188</v>
      </c>
      <c r="D1686" s="39" t="str">
        <f aca="false">INDEX(Master_Customer!$B$2:$B$126,MATCH(C1686,Master_Customer!$A$2:$A$126,0))</f>
        <v>MAJU GARAGE TIRTA</v>
      </c>
      <c r="E1686" s="50" t="s">
        <v>31</v>
      </c>
      <c r="F1686" s="52" t="n">
        <f aca="false">SUMIFS(Data_Penjualan!$G$2:$G$5998,Data_Penjualan!$A$2:$A$5998,A1686)</f>
        <v>4861200</v>
      </c>
      <c r="G1686" s="39" t="n">
        <f aca="false">IF(E1686="KANTOR",0,INDEX(Master_Customer!$C$2:$C$126,MATCH(C1686,Master_Customer!$A$2:$A$126,0)))</f>
        <v>45</v>
      </c>
      <c r="H1686" s="53" t="n">
        <f aca="false">B1686+G1686</f>
        <v>46054</v>
      </c>
      <c r="I1686" s="51" t="n">
        <v>46011</v>
      </c>
      <c r="J1686" s="39" t="str">
        <f aca="false">IF(G1686=0,"Tunai",IF(I1686="","Belum ditukar","Sudah ditukar"))</f>
        <v>Sudah ditukar</v>
      </c>
      <c r="K1686" s="54" t="n">
        <v>0</v>
      </c>
      <c r="M1686" s="52" t="n">
        <f aca="false">F1686-K1686</f>
        <v>4861200</v>
      </c>
      <c r="N1686" s="39" t="str">
        <f aca="false">IF(M1686&lt;=0,"Lunas",IF(K1686&gt;0,"Sebagian","Belum Bayar"))</f>
        <v>Belum Bayar</v>
      </c>
      <c r="O1686" s="39" t="n">
        <f aca="false">IF(M1686&gt;0,MAX(0,Catatan!$B$3-H1686),0)</f>
        <v>0</v>
      </c>
      <c r="P1686" s="39" t="str">
        <f aca="false">IF(M1686&lt;=0,"Lunas",IF(Catatan!$B$3&lt;=H1686,"Belum Jatuh Tempo",IF(O1686&lt;=30,"1-30 hari",IF(O1686&lt;=60,"31-60 hari",IF(O1686&lt;=90,"61-90 hari","90+ hari")))))</f>
        <v>Belum Jatuh Tempo</v>
      </c>
      <c r="Q1686" s="50"/>
      <c r="R1686" s="39" t="str">
        <f aca="false">IF(M1686&lt;=0,"",IF(O1686&gt;60,"1-Tinggi",IF(O1686&gt;30,"2-Sedang",IF(O1686&gt;0,"3-Rendah","4-Pantau"))))</f>
        <v>4-Pantau</v>
      </c>
      <c r="S1686" s="39" t="str">
        <f aca="false">IF(AND(M1686&gt;0,O1686&gt;0),O1686+M1686/1000000000000+ROW()/1000000000000000,"")</f>
        <v/>
      </c>
      <c r="T1686" s="39" t="str">
        <f aca="false">IF(J1686="Belum ditukar",ROW(),"")</f>
        <v/>
      </c>
    </row>
    <row r="1687" customFormat="false" ht="15" hidden="false" customHeight="false" outlineLevel="0" collapsed="false">
      <c r="A1687" s="50" t="s">
        <v>1971</v>
      </c>
      <c r="B1687" s="51" t="n">
        <v>46009</v>
      </c>
      <c r="C1687" s="50" t="s">
        <v>234</v>
      </c>
      <c r="D1687" s="39" t="str">
        <f aca="false">INDEX(Master_Customer!$B$2:$B$126,MATCH(C1687,Master_Customer!$A$2:$A$126,0))</f>
        <v>CAHAYA OLI</v>
      </c>
      <c r="E1687" s="50" t="s">
        <v>28</v>
      </c>
      <c r="F1687" s="52" t="n">
        <f aca="false">SUMIFS(Data_Penjualan!$G$2:$G$5998,Data_Penjualan!$A$2:$A$5998,A1687)</f>
        <v>20966300</v>
      </c>
      <c r="G1687" s="39" t="n">
        <f aca="false">IF(E1687="KANTOR",0,INDEX(Master_Customer!$C$2:$C$126,MATCH(C1687,Master_Customer!$A$2:$A$126,0)))</f>
        <v>30</v>
      </c>
      <c r="H1687" s="53" t="n">
        <f aca="false">B1687+G1687</f>
        <v>46039</v>
      </c>
      <c r="I1687" s="51" t="n">
        <v>46013</v>
      </c>
      <c r="J1687" s="39" t="str">
        <f aca="false">IF(G1687=0,"Tunai",IF(I1687="","Belum ditukar","Sudah ditukar"))</f>
        <v>Sudah ditukar</v>
      </c>
      <c r="K1687" s="54" t="n">
        <v>0</v>
      </c>
      <c r="M1687" s="52" t="n">
        <f aca="false">F1687-K1687</f>
        <v>20966300</v>
      </c>
      <c r="N1687" s="39" t="str">
        <f aca="false">IF(M1687&lt;=0,"Lunas",IF(K1687&gt;0,"Sebagian","Belum Bayar"))</f>
        <v>Belum Bayar</v>
      </c>
      <c r="O1687" s="39" t="n">
        <f aca="false">IF(M1687&gt;0,MAX(0,Catatan!$B$3-H1687),0)</f>
        <v>0</v>
      </c>
      <c r="P1687" s="39" t="str">
        <f aca="false">IF(M1687&lt;=0,"Lunas",IF(Catatan!$B$3&lt;=H1687,"Belum Jatuh Tempo",IF(O1687&lt;=30,"1-30 hari",IF(O1687&lt;=60,"31-60 hari",IF(O1687&lt;=90,"61-90 hari","90+ hari")))))</f>
        <v>Belum Jatuh Tempo</v>
      </c>
      <c r="Q1687" s="50"/>
      <c r="R1687" s="39" t="str">
        <f aca="false">IF(M1687&lt;=0,"",IF(O1687&gt;60,"1-Tinggi",IF(O1687&gt;30,"2-Sedang",IF(O1687&gt;0,"3-Rendah","4-Pantau"))))</f>
        <v>4-Pantau</v>
      </c>
      <c r="S1687" s="39" t="str">
        <f aca="false">IF(AND(M1687&gt;0,O1687&gt;0),O1687+M1687/1000000000000+ROW()/1000000000000000,"")</f>
        <v/>
      </c>
      <c r="T1687" s="39" t="str">
        <f aca="false">IF(J1687="Belum ditukar",ROW(),"")</f>
        <v/>
      </c>
    </row>
    <row r="1688" customFormat="false" ht="15" hidden="false" customHeight="false" outlineLevel="0" collapsed="false">
      <c r="A1688" s="50" t="s">
        <v>1972</v>
      </c>
      <c r="B1688" s="51" t="n">
        <v>46009</v>
      </c>
      <c r="C1688" s="50" t="s">
        <v>693</v>
      </c>
      <c r="D1688" s="39" t="str">
        <f aca="false">INDEX(Master_Customer!$B$2:$B$126,MATCH(C1688,Master_Customer!$A$2:$A$126,0))</f>
        <v>SUMBER OLI GEMILANG</v>
      </c>
      <c r="E1688" s="50" t="s">
        <v>30</v>
      </c>
      <c r="F1688" s="52" t="n">
        <f aca="false">SUMIFS(Data_Penjualan!$G$2:$G$5998,Data_Penjualan!$A$2:$A$5998,A1688)</f>
        <v>28566400</v>
      </c>
      <c r="G1688" s="39" t="n">
        <f aca="false">IF(E1688="KANTOR",0,INDEX(Master_Customer!$C$2:$C$126,MATCH(C1688,Master_Customer!$A$2:$A$126,0)))</f>
        <v>30</v>
      </c>
      <c r="H1688" s="53" t="n">
        <f aca="false">B1688+G1688</f>
        <v>46039</v>
      </c>
      <c r="I1688" s="51" t="n">
        <v>46011</v>
      </c>
      <c r="J1688" s="39" t="str">
        <f aca="false">IF(G1688=0,"Tunai",IF(I1688="","Belum ditukar","Sudah ditukar"))</f>
        <v>Sudah ditukar</v>
      </c>
      <c r="K1688" s="54" t="n">
        <v>0</v>
      </c>
      <c r="M1688" s="52" t="n">
        <f aca="false">F1688-K1688</f>
        <v>28566400</v>
      </c>
      <c r="N1688" s="39" t="str">
        <f aca="false">IF(M1688&lt;=0,"Lunas",IF(K1688&gt;0,"Sebagian","Belum Bayar"))</f>
        <v>Belum Bayar</v>
      </c>
      <c r="O1688" s="39" t="n">
        <f aca="false">IF(M1688&gt;0,MAX(0,Catatan!$B$3-H1688),0)</f>
        <v>0</v>
      </c>
      <c r="P1688" s="39" t="str">
        <f aca="false">IF(M1688&lt;=0,"Lunas",IF(Catatan!$B$3&lt;=H1688,"Belum Jatuh Tempo",IF(O1688&lt;=30,"1-30 hari",IF(O1688&lt;=60,"31-60 hari",IF(O1688&lt;=90,"61-90 hari","90+ hari")))))</f>
        <v>Belum Jatuh Tempo</v>
      </c>
      <c r="Q1688" s="50"/>
      <c r="R1688" s="39" t="str">
        <f aca="false">IF(M1688&lt;=0,"",IF(O1688&gt;60,"1-Tinggi",IF(O1688&gt;30,"2-Sedang",IF(O1688&gt;0,"3-Rendah","4-Pantau"))))</f>
        <v>4-Pantau</v>
      </c>
      <c r="S1688" s="39" t="str">
        <f aca="false">IF(AND(M1688&gt;0,O1688&gt;0),O1688+M1688/1000000000000+ROW()/1000000000000000,"")</f>
        <v/>
      </c>
      <c r="T1688" s="39" t="str">
        <f aca="false">IF(J1688="Belum ditukar",ROW(),"")</f>
        <v/>
      </c>
    </row>
    <row r="1689" customFormat="false" ht="15" hidden="false" customHeight="false" outlineLevel="0" collapsed="false">
      <c r="A1689" s="50" t="s">
        <v>1973</v>
      </c>
      <c r="B1689" s="51" t="n">
        <v>46009</v>
      </c>
      <c r="C1689" s="50" t="s">
        <v>523</v>
      </c>
      <c r="D1689" s="39" t="str">
        <f aca="false">INDEX(Master_Customer!$B$2:$B$126,MATCH(C1689,Master_Customer!$A$2:$A$126,0))</f>
        <v>PRIMA OLI MAKMUR</v>
      </c>
      <c r="E1689" s="50" t="s">
        <v>30</v>
      </c>
      <c r="F1689" s="52" t="n">
        <f aca="false">SUMIFS(Data_Penjualan!$G$2:$G$5998,Data_Penjualan!$A$2:$A$5998,A1689)</f>
        <v>12075000</v>
      </c>
      <c r="G1689" s="39" t="n">
        <f aca="false">IF(E1689="KANTOR",0,INDEX(Master_Customer!$C$2:$C$126,MATCH(C1689,Master_Customer!$A$2:$A$126,0)))</f>
        <v>45</v>
      </c>
      <c r="H1689" s="53" t="n">
        <f aca="false">B1689+G1689</f>
        <v>46054</v>
      </c>
      <c r="I1689" s="51" t="n">
        <v>46011</v>
      </c>
      <c r="J1689" s="39" t="str">
        <f aca="false">IF(G1689=0,"Tunai",IF(I1689="","Belum ditukar","Sudah ditukar"))</f>
        <v>Sudah ditukar</v>
      </c>
      <c r="K1689" s="54" t="n">
        <v>0</v>
      </c>
      <c r="M1689" s="52" t="n">
        <f aca="false">F1689-K1689</f>
        <v>12075000</v>
      </c>
      <c r="N1689" s="39" t="str">
        <f aca="false">IF(M1689&lt;=0,"Lunas",IF(K1689&gt;0,"Sebagian","Belum Bayar"))</f>
        <v>Belum Bayar</v>
      </c>
      <c r="O1689" s="39" t="n">
        <f aca="false">IF(M1689&gt;0,MAX(0,Catatan!$B$3-H1689),0)</f>
        <v>0</v>
      </c>
      <c r="P1689" s="39" t="str">
        <f aca="false">IF(M1689&lt;=0,"Lunas",IF(Catatan!$B$3&lt;=H1689,"Belum Jatuh Tempo",IF(O1689&lt;=30,"1-30 hari",IF(O1689&lt;=60,"31-60 hari",IF(O1689&lt;=90,"61-90 hari","90+ hari")))))</f>
        <v>Belum Jatuh Tempo</v>
      </c>
      <c r="Q1689" s="50"/>
      <c r="R1689" s="39" t="str">
        <f aca="false">IF(M1689&lt;=0,"",IF(O1689&gt;60,"1-Tinggi",IF(O1689&gt;30,"2-Sedang",IF(O1689&gt;0,"3-Rendah","4-Pantau"))))</f>
        <v>4-Pantau</v>
      </c>
      <c r="S1689" s="39" t="str">
        <f aca="false">IF(AND(M1689&gt;0,O1689&gt;0),O1689+M1689/1000000000000+ROW()/1000000000000000,"")</f>
        <v/>
      </c>
      <c r="T1689" s="39" t="str">
        <f aca="false">IF(J1689="Belum ditukar",ROW(),"")</f>
        <v/>
      </c>
    </row>
    <row r="1690" customFormat="false" ht="15" hidden="false" customHeight="false" outlineLevel="0" collapsed="false">
      <c r="A1690" s="50" t="s">
        <v>1974</v>
      </c>
      <c r="B1690" s="51" t="n">
        <v>46010</v>
      </c>
      <c r="C1690" s="50" t="s">
        <v>174</v>
      </c>
      <c r="D1690" s="39" t="str">
        <f aca="false">INDEX(Master_Customer!$B$2:$B$126,MATCH(C1690,Master_Customer!$A$2:$A$126,0))</f>
        <v>SUMBER TEKNIK SURYA</v>
      </c>
      <c r="E1690" s="50" t="s">
        <v>31</v>
      </c>
      <c r="F1690" s="52" t="n">
        <f aca="false">SUMIFS(Data_Penjualan!$G$2:$G$5998,Data_Penjualan!$A$2:$A$5998,A1690)</f>
        <v>6258700</v>
      </c>
      <c r="G1690" s="39" t="n">
        <f aca="false">IF(E1690="KANTOR",0,INDEX(Master_Customer!$C$2:$C$126,MATCH(C1690,Master_Customer!$A$2:$A$126,0)))</f>
        <v>30</v>
      </c>
      <c r="H1690" s="53" t="n">
        <f aca="false">B1690+G1690</f>
        <v>46040</v>
      </c>
      <c r="I1690" s="51" t="n">
        <v>46013</v>
      </c>
      <c r="J1690" s="39" t="str">
        <f aca="false">IF(G1690=0,"Tunai",IF(I1690="","Belum ditukar","Sudah ditukar"))</f>
        <v>Sudah ditukar</v>
      </c>
      <c r="K1690" s="54" t="n">
        <v>0</v>
      </c>
      <c r="M1690" s="52" t="n">
        <f aca="false">F1690-K1690</f>
        <v>6258700</v>
      </c>
      <c r="N1690" s="39" t="str">
        <f aca="false">IF(M1690&lt;=0,"Lunas",IF(K1690&gt;0,"Sebagian","Belum Bayar"))</f>
        <v>Belum Bayar</v>
      </c>
      <c r="O1690" s="39" t="n">
        <f aca="false">IF(M1690&gt;0,MAX(0,Catatan!$B$3-H1690),0)</f>
        <v>0</v>
      </c>
      <c r="P1690" s="39" t="str">
        <f aca="false">IF(M1690&lt;=0,"Lunas",IF(Catatan!$B$3&lt;=H1690,"Belum Jatuh Tempo",IF(O1690&lt;=30,"1-30 hari",IF(O1690&lt;=60,"31-60 hari",IF(O1690&lt;=90,"61-90 hari","90+ hari")))))</f>
        <v>Belum Jatuh Tempo</v>
      </c>
      <c r="Q1690" s="50"/>
      <c r="R1690" s="39" t="str">
        <f aca="false">IF(M1690&lt;=0,"",IF(O1690&gt;60,"1-Tinggi",IF(O1690&gt;30,"2-Sedang",IF(O1690&gt;0,"3-Rendah","4-Pantau"))))</f>
        <v>4-Pantau</v>
      </c>
      <c r="S1690" s="39" t="str">
        <f aca="false">IF(AND(M1690&gt;0,O1690&gt;0),O1690+M1690/1000000000000+ROW()/1000000000000000,"")</f>
        <v/>
      </c>
      <c r="T1690" s="39" t="str">
        <f aca="false">IF(J1690="Belum ditukar",ROW(),"")</f>
        <v/>
      </c>
    </row>
    <row r="1691" customFormat="false" ht="15" hidden="false" customHeight="false" outlineLevel="0" collapsed="false">
      <c r="A1691" s="50" t="s">
        <v>1975</v>
      </c>
      <c r="B1691" s="51" t="n">
        <v>46010</v>
      </c>
      <c r="C1691" s="50" t="s">
        <v>358</v>
      </c>
      <c r="D1691" s="39" t="str">
        <f aca="false">INDEX(Master_Customer!$B$2:$B$126,MATCH(C1691,Master_Customer!$A$2:$A$126,0))</f>
        <v>HARAPAN TEKNIK</v>
      </c>
      <c r="E1691" s="50" t="s">
        <v>31</v>
      </c>
      <c r="F1691" s="52" t="n">
        <f aca="false">SUMIFS(Data_Penjualan!$G$2:$G$5998,Data_Penjualan!$A$2:$A$5998,A1691)</f>
        <v>7791500</v>
      </c>
      <c r="G1691" s="39" t="n">
        <f aca="false">IF(E1691="KANTOR",0,INDEX(Master_Customer!$C$2:$C$126,MATCH(C1691,Master_Customer!$A$2:$A$126,0)))</f>
        <v>0</v>
      </c>
      <c r="H1691" s="53" t="n">
        <f aca="false">B1691+G1691</f>
        <v>46010</v>
      </c>
      <c r="J1691" s="39" t="str">
        <f aca="false">IF(G1691=0,"Tunai",IF(I1691="","Belum ditukar","Sudah ditukar"))</f>
        <v>Tunai</v>
      </c>
      <c r="K1691" s="54" t="n">
        <v>7791500</v>
      </c>
      <c r="L1691" s="51" t="n">
        <v>46010</v>
      </c>
      <c r="M1691" s="52" t="n">
        <f aca="false">F1691-K1691</f>
        <v>0</v>
      </c>
      <c r="N1691" s="39" t="str">
        <f aca="false">IF(M1691&lt;=0,"Lunas",IF(K1691&gt;0,"Sebagian","Belum Bayar"))</f>
        <v>Lunas</v>
      </c>
      <c r="O1691" s="39" t="n">
        <f aca="false">IF(M1691&gt;0,MAX(0,Catatan!$B$3-H1691),0)</f>
        <v>0</v>
      </c>
      <c r="P1691" s="39" t="str">
        <f aca="false">IF(M1691&lt;=0,"Lunas",IF(Catatan!$B$3&lt;=H1691,"Belum Jatuh Tempo",IF(O1691&lt;=30,"1-30 hari",IF(O1691&lt;=60,"31-60 hari",IF(O1691&lt;=90,"61-90 hari","90+ hari")))))</f>
        <v>Lunas</v>
      </c>
      <c r="Q1691" s="50"/>
      <c r="R1691" s="39" t="str">
        <f aca="false">IF(M1691&lt;=0,"",IF(O1691&gt;60,"1-Tinggi",IF(O1691&gt;30,"2-Sedang",IF(O1691&gt;0,"3-Rendah","4-Pantau"))))</f>
        <v/>
      </c>
      <c r="S1691" s="39" t="str">
        <f aca="false">IF(AND(M1691&gt;0,O1691&gt;0),O1691+M1691/1000000000000+ROW()/1000000000000000,"")</f>
        <v/>
      </c>
      <c r="T1691" s="39" t="str">
        <f aca="false">IF(J1691="Belum ditukar",ROW(),"")</f>
        <v/>
      </c>
    </row>
    <row r="1692" customFormat="false" ht="15" hidden="false" customHeight="false" outlineLevel="0" collapsed="false">
      <c r="A1692" s="50" t="s">
        <v>1976</v>
      </c>
      <c r="B1692" s="51" t="n">
        <v>46010</v>
      </c>
      <c r="C1692" s="50" t="s">
        <v>278</v>
      </c>
      <c r="D1692" s="39" t="str">
        <f aca="false">INDEX(Master_Customer!$B$2:$B$126,MATCH(C1692,Master_Customer!$A$2:$A$126,0))</f>
        <v>SURYA MOTOR</v>
      </c>
      <c r="E1692" s="50" t="s">
        <v>31</v>
      </c>
      <c r="F1692" s="52" t="n">
        <f aca="false">SUMIFS(Data_Penjualan!$G$2:$G$5998,Data_Penjualan!$A$2:$A$5998,A1692)</f>
        <v>15652600</v>
      </c>
      <c r="G1692" s="39" t="n">
        <f aca="false">IF(E1692="KANTOR",0,INDEX(Master_Customer!$C$2:$C$126,MATCH(C1692,Master_Customer!$A$2:$A$126,0)))</f>
        <v>14</v>
      </c>
      <c r="H1692" s="53" t="n">
        <f aca="false">B1692+G1692</f>
        <v>46024</v>
      </c>
      <c r="I1692" s="51" t="n">
        <v>46014</v>
      </c>
      <c r="J1692" s="39" t="str">
        <f aca="false">IF(G1692=0,"Tunai",IF(I1692="","Belum ditukar","Sudah ditukar"))</f>
        <v>Sudah ditukar</v>
      </c>
      <c r="K1692" s="54" t="n">
        <v>15652600</v>
      </c>
      <c r="L1692" s="51" t="n">
        <v>46014</v>
      </c>
      <c r="M1692" s="52" t="n">
        <f aca="false">F1692-K1692</f>
        <v>0</v>
      </c>
      <c r="N1692" s="39" t="str">
        <f aca="false">IF(M1692&lt;=0,"Lunas",IF(K1692&gt;0,"Sebagian","Belum Bayar"))</f>
        <v>Lunas</v>
      </c>
      <c r="O1692" s="39" t="n">
        <f aca="false">IF(M1692&gt;0,MAX(0,Catatan!$B$3-H1692),0)</f>
        <v>0</v>
      </c>
      <c r="P1692" s="39" t="str">
        <f aca="false">IF(M1692&lt;=0,"Lunas",IF(Catatan!$B$3&lt;=H1692,"Belum Jatuh Tempo",IF(O1692&lt;=30,"1-30 hari",IF(O1692&lt;=60,"31-60 hari",IF(O1692&lt;=90,"61-90 hari","90+ hari")))))</f>
        <v>Lunas</v>
      </c>
      <c r="Q1692" s="50"/>
      <c r="R1692" s="39" t="str">
        <f aca="false">IF(M1692&lt;=0,"",IF(O1692&gt;60,"1-Tinggi",IF(O1692&gt;30,"2-Sedang",IF(O1692&gt;0,"3-Rendah","4-Pantau"))))</f>
        <v/>
      </c>
      <c r="S1692" s="39" t="str">
        <f aca="false">IF(AND(M1692&gt;0,O1692&gt;0),O1692+M1692/1000000000000+ROW()/1000000000000000,"")</f>
        <v/>
      </c>
      <c r="T1692" s="39" t="str">
        <f aca="false">IF(J1692="Belum ditukar",ROW(),"")</f>
        <v/>
      </c>
    </row>
    <row r="1693" customFormat="false" ht="15" hidden="false" customHeight="false" outlineLevel="0" collapsed="false">
      <c r="A1693" s="50" t="s">
        <v>1977</v>
      </c>
      <c r="B1693" s="51" t="n">
        <v>46010</v>
      </c>
      <c r="C1693" s="50" t="s">
        <v>354</v>
      </c>
      <c r="D1693" s="39" t="str">
        <f aca="false">INDEX(Master_Customer!$B$2:$B$126,MATCH(C1693,Master_Customer!$A$2:$A$126,0))</f>
        <v>SUMBER SERVICE MAKMUR</v>
      </c>
      <c r="E1693" s="50" t="s">
        <v>31</v>
      </c>
      <c r="F1693" s="52" t="n">
        <f aca="false">SUMIFS(Data_Penjualan!$G$2:$G$5998,Data_Penjualan!$A$2:$A$5998,A1693)</f>
        <v>6090500</v>
      </c>
      <c r="G1693" s="39" t="n">
        <f aca="false">IF(E1693="KANTOR",0,INDEX(Master_Customer!$C$2:$C$126,MATCH(C1693,Master_Customer!$A$2:$A$126,0)))</f>
        <v>30</v>
      </c>
      <c r="H1693" s="53" t="n">
        <f aca="false">B1693+G1693</f>
        <v>46040</v>
      </c>
      <c r="I1693" s="51" t="n">
        <v>46012</v>
      </c>
      <c r="J1693" s="39" t="str">
        <f aca="false">IF(G1693=0,"Tunai",IF(I1693="","Belum ditukar","Sudah ditukar"))</f>
        <v>Sudah ditukar</v>
      </c>
      <c r="K1693" s="54" t="n">
        <v>0</v>
      </c>
      <c r="M1693" s="52" t="n">
        <f aca="false">F1693-K1693</f>
        <v>6090500</v>
      </c>
      <c r="N1693" s="39" t="str">
        <f aca="false">IF(M1693&lt;=0,"Lunas",IF(K1693&gt;0,"Sebagian","Belum Bayar"))</f>
        <v>Belum Bayar</v>
      </c>
      <c r="O1693" s="39" t="n">
        <f aca="false">IF(M1693&gt;0,MAX(0,Catatan!$B$3-H1693),0)</f>
        <v>0</v>
      </c>
      <c r="P1693" s="39" t="str">
        <f aca="false">IF(M1693&lt;=0,"Lunas",IF(Catatan!$B$3&lt;=H1693,"Belum Jatuh Tempo",IF(O1693&lt;=30,"1-30 hari",IF(O1693&lt;=60,"31-60 hari",IF(O1693&lt;=90,"61-90 hari","90+ hari")))))</f>
        <v>Belum Jatuh Tempo</v>
      </c>
      <c r="Q1693" s="50"/>
      <c r="R1693" s="39" t="str">
        <f aca="false">IF(M1693&lt;=0,"",IF(O1693&gt;60,"1-Tinggi",IF(O1693&gt;30,"2-Sedang",IF(O1693&gt;0,"3-Rendah","4-Pantau"))))</f>
        <v>4-Pantau</v>
      </c>
      <c r="S1693" s="39" t="str">
        <f aca="false">IF(AND(M1693&gt;0,O1693&gt;0),O1693+M1693/1000000000000+ROW()/1000000000000000,"")</f>
        <v/>
      </c>
      <c r="T1693" s="39" t="str">
        <f aca="false">IF(J1693="Belum ditukar",ROW(),"")</f>
        <v/>
      </c>
    </row>
    <row r="1694" customFormat="false" ht="15" hidden="false" customHeight="false" outlineLevel="0" collapsed="false">
      <c r="A1694" s="50" t="s">
        <v>1978</v>
      </c>
      <c r="B1694" s="51" t="n">
        <v>46010</v>
      </c>
      <c r="C1694" s="50" t="s">
        <v>249</v>
      </c>
      <c r="D1694" s="39" t="str">
        <f aca="false">INDEX(Master_Customer!$B$2:$B$126,MATCH(C1694,Master_Customer!$A$2:$A$126,0))</f>
        <v>SENTOSA MOTOR</v>
      </c>
      <c r="E1694" s="50" t="s">
        <v>31</v>
      </c>
      <c r="F1694" s="52" t="n">
        <f aca="false">SUMIFS(Data_Penjualan!$G$2:$G$5998,Data_Penjualan!$A$2:$A$5998,A1694)</f>
        <v>11630400</v>
      </c>
      <c r="G1694" s="39" t="n">
        <f aca="false">IF(E1694="KANTOR",0,INDEX(Master_Customer!$C$2:$C$126,MATCH(C1694,Master_Customer!$A$2:$A$126,0)))</f>
        <v>45</v>
      </c>
      <c r="H1694" s="53" t="n">
        <f aca="false">B1694+G1694</f>
        <v>46055</v>
      </c>
      <c r="I1694" s="51" t="n">
        <v>46015</v>
      </c>
      <c r="J1694" s="39" t="str">
        <f aca="false">IF(G1694=0,"Tunai",IF(I1694="","Belum ditukar","Sudah ditukar"))</f>
        <v>Sudah ditukar</v>
      </c>
      <c r="K1694" s="54" t="n">
        <v>0</v>
      </c>
      <c r="M1694" s="52" t="n">
        <f aca="false">F1694-K1694</f>
        <v>11630400</v>
      </c>
      <c r="N1694" s="39" t="str">
        <f aca="false">IF(M1694&lt;=0,"Lunas",IF(K1694&gt;0,"Sebagian","Belum Bayar"))</f>
        <v>Belum Bayar</v>
      </c>
      <c r="O1694" s="39" t="n">
        <f aca="false">IF(M1694&gt;0,MAX(0,Catatan!$B$3-H1694),0)</f>
        <v>0</v>
      </c>
      <c r="P1694" s="39" t="str">
        <f aca="false">IF(M1694&lt;=0,"Lunas",IF(Catatan!$B$3&lt;=H1694,"Belum Jatuh Tempo",IF(O1694&lt;=30,"1-30 hari",IF(O1694&lt;=60,"31-60 hari",IF(O1694&lt;=90,"61-90 hari","90+ hari")))))</f>
        <v>Belum Jatuh Tempo</v>
      </c>
      <c r="Q1694" s="50"/>
      <c r="R1694" s="39" t="str">
        <f aca="false">IF(M1694&lt;=0,"",IF(O1694&gt;60,"1-Tinggi",IF(O1694&gt;30,"2-Sedang",IF(O1694&gt;0,"3-Rendah","4-Pantau"))))</f>
        <v>4-Pantau</v>
      </c>
      <c r="S1694" s="39" t="str">
        <f aca="false">IF(AND(M1694&gt;0,O1694&gt;0),O1694+M1694/1000000000000+ROW()/1000000000000000,"")</f>
        <v/>
      </c>
      <c r="T1694" s="39" t="str">
        <f aca="false">IF(J1694="Belum ditukar",ROW(),"")</f>
        <v/>
      </c>
    </row>
    <row r="1695" customFormat="false" ht="15" hidden="false" customHeight="false" outlineLevel="0" collapsed="false">
      <c r="A1695" s="50" t="s">
        <v>1979</v>
      </c>
      <c r="B1695" s="51" t="n">
        <v>46011</v>
      </c>
      <c r="C1695" s="50" t="s">
        <v>166</v>
      </c>
      <c r="D1695" s="39" t="str">
        <f aca="false">INDEX(Master_Customer!$B$2:$B$126,MATCH(C1695,Master_Customer!$A$2:$A$126,0))</f>
        <v>SENTOSA SERVICE</v>
      </c>
      <c r="E1695" s="50" t="s">
        <v>30</v>
      </c>
      <c r="F1695" s="52" t="n">
        <f aca="false">SUMIFS(Data_Penjualan!$G$2:$G$5998,Data_Penjualan!$A$2:$A$5998,A1695)</f>
        <v>4334700</v>
      </c>
      <c r="G1695" s="39" t="n">
        <f aca="false">IF(E1695="KANTOR",0,INDEX(Master_Customer!$C$2:$C$126,MATCH(C1695,Master_Customer!$A$2:$A$126,0)))</f>
        <v>0</v>
      </c>
      <c r="H1695" s="53" t="n">
        <f aca="false">B1695+G1695</f>
        <v>46011</v>
      </c>
      <c r="J1695" s="39" t="str">
        <f aca="false">IF(G1695=0,"Tunai",IF(I1695="","Belum ditukar","Sudah ditukar"))</f>
        <v>Tunai</v>
      </c>
      <c r="K1695" s="54" t="n">
        <v>4334700</v>
      </c>
      <c r="L1695" s="51" t="n">
        <v>46011</v>
      </c>
      <c r="M1695" s="52" t="n">
        <f aca="false">F1695-K1695</f>
        <v>0</v>
      </c>
      <c r="N1695" s="39" t="str">
        <f aca="false">IF(M1695&lt;=0,"Lunas",IF(K1695&gt;0,"Sebagian","Belum Bayar"))</f>
        <v>Lunas</v>
      </c>
      <c r="O1695" s="39" t="n">
        <f aca="false">IF(M1695&gt;0,MAX(0,Catatan!$B$3-H1695),0)</f>
        <v>0</v>
      </c>
      <c r="P1695" s="39" t="str">
        <f aca="false">IF(M1695&lt;=0,"Lunas",IF(Catatan!$B$3&lt;=H1695,"Belum Jatuh Tempo",IF(O1695&lt;=30,"1-30 hari",IF(O1695&lt;=60,"31-60 hari",IF(O1695&lt;=90,"61-90 hari","90+ hari")))))</f>
        <v>Lunas</v>
      </c>
      <c r="Q1695" s="50"/>
      <c r="R1695" s="39" t="str">
        <f aca="false">IF(M1695&lt;=0,"",IF(O1695&gt;60,"1-Tinggi",IF(O1695&gt;30,"2-Sedang",IF(O1695&gt;0,"3-Rendah","4-Pantau"))))</f>
        <v/>
      </c>
      <c r="S1695" s="39" t="str">
        <f aca="false">IF(AND(M1695&gt;0,O1695&gt;0),O1695+M1695/1000000000000+ROW()/1000000000000000,"")</f>
        <v/>
      </c>
      <c r="T1695" s="39" t="str">
        <f aca="false">IF(J1695="Belum ditukar",ROW(),"")</f>
        <v/>
      </c>
    </row>
    <row r="1696" customFormat="false" ht="15" hidden="false" customHeight="false" outlineLevel="0" collapsed="false">
      <c r="A1696" s="50" t="s">
        <v>1980</v>
      </c>
      <c r="B1696" s="51" t="n">
        <v>46011</v>
      </c>
      <c r="C1696" s="50" t="s">
        <v>195</v>
      </c>
      <c r="D1696" s="39" t="str">
        <f aca="false">INDEX(Master_Customer!$B$2:$B$126,MATCH(C1696,Master_Customer!$A$2:$A$126,0))</f>
        <v>KARYA LUBRICANT BINTANG</v>
      </c>
      <c r="E1696" s="50" t="s">
        <v>30</v>
      </c>
      <c r="F1696" s="52" t="n">
        <f aca="false">SUMIFS(Data_Penjualan!$G$2:$G$5998,Data_Penjualan!$A$2:$A$5998,A1696)</f>
        <v>1436000</v>
      </c>
      <c r="G1696" s="39" t="n">
        <f aca="false">IF(E1696="KANTOR",0,INDEX(Master_Customer!$C$2:$C$126,MATCH(C1696,Master_Customer!$A$2:$A$126,0)))</f>
        <v>14</v>
      </c>
      <c r="H1696" s="53" t="n">
        <f aca="false">B1696+G1696</f>
        <v>46025</v>
      </c>
      <c r="I1696" s="51" t="n">
        <v>46014</v>
      </c>
      <c r="J1696" s="39" t="str">
        <f aca="false">IF(G1696=0,"Tunai",IF(I1696="","Belum ditukar","Sudah ditukar"))</f>
        <v>Sudah ditukar</v>
      </c>
      <c r="K1696" s="54" t="n">
        <v>1436000</v>
      </c>
      <c r="L1696" s="51" t="n">
        <v>46022</v>
      </c>
      <c r="M1696" s="52" t="n">
        <f aca="false">F1696-K1696</f>
        <v>0</v>
      </c>
      <c r="N1696" s="39" t="str">
        <f aca="false">IF(M1696&lt;=0,"Lunas",IF(K1696&gt;0,"Sebagian","Belum Bayar"))</f>
        <v>Lunas</v>
      </c>
      <c r="O1696" s="39" t="n">
        <f aca="false">IF(M1696&gt;0,MAX(0,Catatan!$B$3-H1696),0)</f>
        <v>0</v>
      </c>
      <c r="P1696" s="39" t="str">
        <f aca="false">IF(M1696&lt;=0,"Lunas",IF(Catatan!$B$3&lt;=H1696,"Belum Jatuh Tempo",IF(O1696&lt;=30,"1-30 hari",IF(O1696&lt;=60,"31-60 hari",IF(O1696&lt;=90,"61-90 hari","90+ hari")))))</f>
        <v>Lunas</v>
      </c>
      <c r="Q1696" s="50"/>
      <c r="R1696" s="39" t="str">
        <f aca="false">IF(M1696&lt;=0,"",IF(O1696&gt;60,"1-Tinggi",IF(O1696&gt;30,"2-Sedang",IF(O1696&gt;0,"3-Rendah","4-Pantau"))))</f>
        <v/>
      </c>
      <c r="S1696" s="39" t="str">
        <f aca="false">IF(AND(M1696&gt;0,O1696&gt;0),O1696+M1696/1000000000000+ROW()/1000000000000000,"")</f>
        <v/>
      </c>
      <c r="T1696" s="39" t="str">
        <f aca="false">IF(J1696="Belum ditukar",ROW(),"")</f>
        <v/>
      </c>
    </row>
    <row r="1697" customFormat="false" ht="15" hidden="false" customHeight="false" outlineLevel="0" collapsed="false">
      <c r="A1697" s="50" t="s">
        <v>1981</v>
      </c>
      <c r="B1697" s="51" t="n">
        <v>46011</v>
      </c>
      <c r="C1697" s="50" t="s">
        <v>681</v>
      </c>
      <c r="D1697" s="39" t="str">
        <f aca="false">INDEX(Master_Customer!$B$2:$B$126,MATCH(C1697,Master_Customer!$A$2:$A$126,0))</f>
        <v>GEMILANG TEKNIK</v>
      </c>
      <c r="E1697" s="50" t="s">
        <v>32</v>
      </c>
      <c r="F1697" s="52" t="n">
        <f aca="false">SUMIFS(Data_Penjualan!$G$2:$G$5998,Data_Penjualan!$A$2:$A$5998,A1697)</f>
        <v>20420800</v>
      </c>
      <c r="G1697" s="39" t="n">
        <f aca="false">IF(E1697="KANTOR",0,INDEX(Master_Customer!$C$2:$C$126,MATCH(C1697,Master_Customer!$A$2:$A$126,0)))</f>
        <v>0</v>
      </c>
      <c r="H1697" s="53" t="n">
        <f aca="false">B1697+G1697</f>
        <v>46011</v>
      </c>
      <c r="J1697" s="39" t="str">
        <f aca="false">IF(G1697=0,"Tunai",IF(I1697="","Belum ditukar","Sudah ditukar"))</f>
        <v>Tunai</v>
      </c>
      <c r="K1697" s="54" t="n">
        <v>20420800</v>
      </c>
      <c r="L1697" s="51" t="n">
        <v>46011</v>
      </c>
      <c r="M1697" s="52" t="n">
        <f aca="false">F1697-K1697</f>
        <v>0</v>
      </c>
      <c r="N1697" s="39" t="str">
        <f aca="false">IF(M1697&lt;=0,"Lunas",IF(K1697&gt;0,"Sebagian","Belum Bayar"))</f>
        <v>Lunas</v>
      </c>
      <c r="O1697" s="39" t="n">
        <f aca="false">IF(M1697&gt;0,MAX(0,Catatan!$B$3-H1697),0)</f>
        <v>0</v>
      </c>
      <c r="P1697" s="39" t="str">
        <f aca="false">IF(M1697&lt;=0,"Lunas",IF(Catatan!$B$3&lt;=H1697,"Belum Jatuh Tempo",IF(O1697&lt;=30,"1-30 hari",IF(O1697&lt;=60,"31-60 hari",IF(O1697&lt;=90,"61-90 hari","90+ hari")))))</f>
        <v>Lunas</v>
      </c>
      <c r="Q1697" s="50"/>
      <c r="R1697" s="39" t="str">
        <f aca="false">IF(M1697&lt;=0,"",IF(O1697&gt;60,"1-Tinggi",IF(O1697&gt;30,"2-Sedang",IF(O1697&gt;0,"3-Rendah","4-Pantau"))))</f>
        <v/>
      </c>
      <c r="S1697" s="39" t="str">
        <f aca="false">IF(AND(M1697&gt;0,O1697&gt;0),O1697+M1697/1000000000000+ROW()/1000000000000000,"")</f>
        <v/>
      </c>
      <c r="T1697" s="39" t="str">
        <f aca="false">IF(J1697="Belum ditukar",ROW(),"")</f>
        <v/>
      </c>
    </row>
    <row r="1698" customFormat="false" ht="15" hidden="false" customHeight="false" outlineLevel="0" collapsed="false">
      <c r="A1698" s="50" t="s">
        <v>1982</v>
      </c>
      <c r="B1698" s="51" t="n">
        <v>46011</v>
      </c>
      <c r="C1698" s="50" t="s">
        <v>199</v>
      </c>
      <c r="D1698" s="39" t="str">
        <f aca="false">INDEX(Master_Customer!$B$2:$B$126,MATCH(C1698,Master_Customer!$A$2:$A$126,0))</f>
        <v>KARYA SPAREPART</v>
      </c>
      <c r="E1698" s="50" t="s">
        <v>29</v>
      </c>
      <c r="F1698" s="52" t="n">
        <f aca="false">SUMIFS(Data_Penjualan!$G$2:$G$5998,Data_Penjualan!$A$2:$A$5998,A1698)</f>
        <v>10077500</v>
      </c>
      <c r="G1698" s="39" t="n">
        <f aca="false">IF(E1698="KANTOR",0,INDEX(Master_Customer!$C$2:$C$126,MATCH(C1698,Master_Customer!$A$2:$A$126,0)))</f>
        <v>45</v>
      </c>
      <c r="H1698" s="53" t="n">
        <f aca="false">B1698+G1698</f>
        <v>46056</v>
      </c>
      <c r="I1698" s="51" t="n">
        <v>46014</v>
      </c>
      <c r="J1698" s="39" t="str">
        <f aca="false">IF(G1698=0,"Tunai",IF(I1698="","Belum ditukar","Sudah ditukar"))</f>
        <v>Sudah ditukar</v>
      </c>
      <c r="K1698" s="54" t="n">
        <v>0</v>
      </c>
      <c r="M1698" s="52" t="n">
        <f aca="false">F1698-K1698</f>
        <v>10077500</v>
      </c>
      <c r="N1698" s="39" t="str">
        <f aca="false">IF(M1698&lt;=0,"Lunas",IF(K1698&gt;0,"Sebagian","Belum Bayar"))</f>
        <v>Belum Bayar</v>
      </c>
      <c r="O1698" s="39" t="n">
        <f aca="false">IF(M1698&gt;0,MAX(0,Catatan!$B$3-H1698),0)</f>
        <v>0</v>
      </c>
      <c r="P1698" s="39" t="str">
        <f aca="false">IF(M1698&lt;=0,"Lunas",IF(Catatan!$B$3&lt;=H1698,"Belum Jatuh Tempo",IF(O1698&lt;=30,"1-30 hari",IF(O1698&lt;=60,"31-60 hari",IF(O1698&lt;=90,"61-90 hari","90+ hari")))))</f>
        <v>Belum Jatuh Tempo</v>
      </c>
      <c r="Q1698" s="50"/>
      <c r="R1698" s="39" t="str">
        <f aca="false">IF(M1698&lt;=0,"",IF(O1698&gt;60,"1-Tinggi",IF(O1698&gt;30,"2-Sedang",IF(O1698&gt;0,"3-Rendah","4-Pantau"))))</f>
        <v>4-Pantau</v>
      </c>
      <c r="S1698" s="39" t="str">
        <f aca="false">IF(AND(M1698&gt;0,O1698&gt;0),O1698+M1698/1000000000000+ROW()/1000000000000000,"")</f>
        <v/>
      </c>
      <c r="T1698" s="39" t="str">
        <f aca="false">IF(J1698="Belum ditukar",ROW(),"")</f>
        <v/>
      </c>
    </row>
    <row r="1699" customFormat="false" ht="15" hidden="false" customHeight="false" outlineLevel="0" collapsed="false">
      <c r="A1699" s="50" t="s">
        <v>1983</v>
      </c>
      <c r="B1699" s="51" t="n">
        <v>46013</v>
      </c>
      <c r="C1699" s="50" t="s">
        <v>846</v>
      </c>
      <c r="D1699" s="39" t="str">
        <f aca="false">INDEX(Master_Customer!$B$2:$B$126,MATCH(C1699,Master_Customer!$A$2:$A$126,0))</f>
        <v>UTAMA MOBIL</v>
      </c>
      <c r="E1699" s="50" t="s">
        <v>29</v>
      </c>
      <c r="F1699" s="52" t="n">
        <f aca="false">SUMIFS(Data_Penjualan!$G$2:$G$5998,Data_Penjualan!$A$2:$A$5998,A1699)</f>
        <v>11909300</v>
      </c>
      <c r="G1699" s="39" t="n">
        <f aca="false">IF(E1699="KANTOR",0,INDEX(Master_Customer!$C$2:$C$126,MATCH(C1699,Master_Customer!$A$2:$A$126,0)))</f>
        <v>14</v>
      </c>
      <c r="H1699" s="53" t="n">
        <f aca="false">B1699+G1699</f>
        <v>46027</v>
      </c>
      <c r="I1699" s="51" t="n">
        <v>46017</v>
      </c>
      <c r="J1699" s="39" t="str">
        <f aca="false">IF(G1699=0,"Tunai",IF(I1699="","Belum ditukar","Sudah ditukar"))</f>
        <v>Sudah ditukar</v>
      </c>
      <c r="K1699" s="54" t="n">
        <v>0</v>
      </c>
      <c r="M1699" s="52" t="n">
        <f aca="false">F1699-K1699</f>
        <v>11909300</v>
      </c>
      <c r="N1699" s="39" t="str">
        <f aca="false">IF(M1699&lt;=0,"Lunas",IF(K1699&gt;0,"Sebagian","Belum Bayar"))</f>
        <v>Belum Bayar</v>
      </c>
      <c r="O1699" s="39" t="n">
        <f aca="false">IF(M1699&gt;0,MAX(0,Catatan!$B$3-H1699),0)</f>
        <v>0</v>
      </c>
      <c r="P1699" s="39" t="str">
        <f aca="false">IF(M1699&lt;=0,"Lunas",IF(Catatan!$B$3&lt;=H1699,"Belum Jatuh Tempo",IF(O1699&lt;=30,"1-30 hari",IF(O1699&lt;=60,"31-60 hari",IF(O1699&lt;=90,"61-90 hari","90+ hari")))))</f>
        <v>Belum Jatuh Tempo</v>
      </c>
      <c r="Q1699" s="50"/>
      <c r="R1699" s="39" t="str">
        <f aca="false">IF(M1699&lt;=0,"",IF(O1699&gt;60,"1-Tinggi",IF(O1699&gt;30,"2-Sedang",IF(O1699&gt;0,"3-Rendah","4-Pantau"))))</f>
        <v>4-Pantau</v>
      </c>
      <c r="S1699" s="39" t="str">
        <f aca="false">IF(AND(M1699&gt;0,O1699&gt;0),O1699+M1699/1000000000000+ROW()/1000000000000000,"")</f>
        <v/>
      </c>
      <c r="T1699" s="39" t="str">
        <f aca="false">IF(J1699="Belum ditukar",ROW(),"")</f>
        <v/>
      </c>
    </row>
    <row r="1700" customFormat="false" ht="15" hidden="false" customHeight="false" outlineLevel="0" collapsed="false">
      <c r="A1700" s="50" t="s">
        <v>1984</v>
      </c>
      <c r="B1700" s="51" t="n">
        <v>46014</v>
      </c>
      <c r="C1700" s="50" t="s">
        <v>315</v>
      </c>
      <c r="D1700" s="39" t="str">
        <f aca="false">INDEX(Master_Customer!$B$2:$B$126,MATCH(C1700,Master_Customer!$A$2:$A$126,0))</f>
        <v>CAHAYA SERVICE</v>
      </c>
      <c r="E1700" s="50" t="s">
        <v>31</v>
      </c>
      <c r="F1700" s="52" t="n">
        <f aca="false">SUMIFS(Data_Penjualan!$G$2:$G$5998,Data_Penjualan!$A$2:$A$5998,A1700)</f>
        <v>5942200</v>
      </c>
      <c r="G1700" s="39" t="n">
        <f aca="false">IF(E1700="KANTOR",0,INDEX(Master_Customer!$C$2:$C$126,MATCH(C1700,Master_Customer!$A$2:$A$126,0)))</f>
        <v>30</v>
      </c>
      <c r="H1700" s="53" t="n">
        <f aca="false">B1700+G1700</f>
        <v>46044</v>
      </c>
      <c r="I1700" s="51" t="n">
        <v>46019</v>
      </c>
      <c r="J1700" s="39" t="str">
        <f aca="false">IF(G1700=0,"Tunai",IF(I1700="","Belum ditukar","Sudah ditukar"))</f>
        <v>Sudah ditukar</v>
      </c>
      <c r="K1700" s="54" t="n">
        <v>0</v>
      </c>
      <c r="M1700" s="52" t="n">
        <f aca="false">F1700-K1700</f>
        <v>5942200</v>
      </c>
      <c r="N1700" s="39" t="str">
        <f aca="false">IF(M1700&lt;=0,"Lunas",IF(K1700&gt;0,"Sebagian","Belum Bayar"))</f>
        <v>Belum Bayar</v>
      </c>
      <c r="O1700" s="39" t="n">
        <f aca="false">IF(M1700&gt;0,MAX(0,Catatan!$B$3-H1700),0)</f>
        <v>0</v>
      </c>
      <c r="P1700" s="39" t="str">
        <f aca="false">IF(M1700&lt;=0,"Lunas",IF(Catatan!$B$3&lt;=H1700,"Belum Jatuh Tempo",IF(O1700&lt;=30,"1-30 hari",IF(O1700&lt;=60,"31-60 hari",IF(O1700&lt;=90,"61-90 hari","90+ hari")))))</f>
        <v>Belum Jatuh Tempo</v>
      </c>
      <c r="Q1700" s="50"/>
      <c r="R1700" s="39" t="str">
        <f aca="false">IF(M1700&lt;=0,"",IF(O1700&gt;60,"1-Tinggi",IF(O1700&gt;30,"2-Sedang",IF(O1700&gt;0,"3-Rendah","4-Pantau"))))</f>
        <v>4-Pantau</v>
      </c>
      <c r="S1700" s="39" t="str">
        <f aca="false">IF(AND(M1700&gt;0,O1700&gt;0),O1700+M1700/1000000000000+ROW()/1000000000000000,"")</f>
        <v/>
      </c>
      <c r="T1700" s="39" t="str">
        <f aca="false">IF(J1700="Belum ditukar",ROW(),"")</f>
        <v/>
      </c>
    </row>
    <row r="1701" customFormat="false" ht="15" hidden="false" customHeight="false" outlineLevel="0" collapsed="false">
      <c r="A1701" s="50" t="s">
        <v>1985</v>
      </c>
      <c r="B1701" s="51" t="n">
        <v>46014</v>
      </c>
      <c r="C1701" s="50" t="s">
        <v>693</v>
      </c>
      <c r="D1701" s="39" t="str">
        <f aca="false">INDEX(Master_Customer!$B$2:$B$126,MATCH(C1701,Master_Customer!$A$2:$A$126,0))</f>
        <v>SUMBER OLI GEMILANG</v>
      </c>
      <c r="E1701" s="50" t="s">
        <v>30</v>
      </c>
      <c r="F1701" s="52" t="n">
        <f aca="false">SUMIFS(Data_Penjualan!$G$2:$G$5998,Data_Penjualan!$A$2:$A$5998,A1701)</f>
        <v>4460900</v>
      </c>
      <c r="G1701" s="39" t="n">
        <f aca="false">IF(E1701="KANTOR",0,INDEX(Master_Customer!$C$2:$C$126,MATCH(C1701,Master_Customer!$A$2:$A$126,0)))</f>
        <v>30</v>
      </c>
      <c r="H1701" s="53" t="n">
        <f aca="false">B1701+G1701</f>
        <v>46044</v>
      </c>
      <c r="I1701" s="51" t="n">
        <v>46017</v>
      </c>
      <c r="J1701" s="39" t="str">
        <f aca="false">IF(G1701=0,"Tunai",IF(I1701="","Belum ditukar","Sudah ditukar"))</f>
        <v>Sudah ditukar</v>
      </c>
      <c r="K1701" s="54" t="n">
        <v>0</v>
      </c>
      <c r="M1701" s="52" t="n">
        <f aca="false">F1701-K1701</f>
        <v>4460900</v>
      </c>
      <c r="N1701" s="39" t="str">
        <f aca="false">IF(M1701&lt;=0,"Lunas",IF(K1701&gt;0,"Sebagian","Belum Bayar"))</f>
        <v>Belum Bayar</v>
      </c>
      <c r="O1701" s="39" t="n">
        <f aca="false">IF(M1701&gt;0,MAX(0,Catatan!$B$3-H1701),0)</f>
        <v>0</v>
      </c>
      <c r="P1701" s="39" t="str">
        <f aca="false">IF(M1701&lt;=0,"Lunas",IF(Catatan!$B$3&lt;=H1701,"Belum Jatuh Tempo",IF(O1701&lt;=30,"1-30 hari",IF(O1701&lt;=60,"31-60 hari",IF(O1701&lt;=90,"61-90 hari","90+ hari")))))</f>
        <v>Belum Jatuh Tempo</v>
      </c>
      <c r="Q1701" s="50"/>
      <c r="R1701" s="39" t="str">
        <f aca="false">IF(M1701&lt;=0,"",IF(O1701&gt;60,"1-Tinggi",IF(O1701&gt;30,"2-Sedang",IF(O1701&gt;0,"3-Rendah","4-Pantau"))))</f>
        <v>4-Pantau</v>
      </c>
      <c r="S1701" s="39" t="str">
        <f aca="false">IF(AND(M1701&gt;0,O1701&gt;0),O1701+M1701/1000000000000+ROW()/1000000000000000,"")</f>
        <v/>
      </c>
      <c r="T1701" s="39" t="str">
        <f aca="false">IF(J1701="Belum ditukar",ROW(),"")</f>
        <v/>
      </c>
    </row>
    <row r="1702" customFormat="false" ht="15" hidden="false" customHeight="false" outlineLevel="0" collapsed="false">
      <c r="A1702" s="50" t="s">
        <v>1986</v>
      </c>
      <c r="B1702" s="51" t="n">
        <v>46014</v>
      </c>
      <c r="C1702" s="50" t="s">
        <v>436</v>
      </c>
      <c r="D1702" s="39" t="str">
        <f aca="false">INDEX(Master_Customer!$B$2:$B$126,MATCH(C1702,Master_Customer!$A$2:$A$126,0))</f>
        <v>TIRTA AUTO</v>
      </c>
      <c r="E1702" s="50" t="s">
        <v>30</v>
      </c>
      <c r="F1702" s="52" t="n">
        <f aca="false">SUMIFS(Data_Penjualan!$G$2:$G$5998,Data_Penjualan!$A$2:$A$5998,A1702)</f>
        <v>3010300</v>
      </c>
      <c r="G1702" s="39" t="n">
        <f aca="false">IF(E1702="KANTOR",0,INDEX(Master_Customer!$C$2:$C$126,MATCH(C1702,Master_Customer!$A$2:$A$126,0)))</f>
        <v>14</v>
      </c>
      <c r="H1702" s="53" t="n">
        <f aca="false">B1702+G1702</f>
        <v>46028</v>
      </c>
      <c r="I1702" s="51" t="n">
        <v>46015</v>
      </c>
      <c r="J1702" s="39" t="str">
        <f aca="false">IF(G1702=0,"Tunai",IF(I1702="","Belum ditukar","Sudah ditukar"))</f>
        <v>Sudah ditukar</v>
      </c>
      <c r="K1702" s="54" t="n">
        <v>0</v>
      </c>
      <c r="M1702" s="52" t="n">
        <f aca="false">F1702-K1702</f>
        <v>3010300</v>
      </c>
      <c r="N1702" s="39" t="str">
        <f aca="false">IF(M1702&lt;=0,"Lunas",IF(K1702&gt;0,"Sebagian","Belum Bayar"))</f>
        <v>Belum Bayar</v>
      </c>
      <c r="O1702" s="39" t="n">
        <f aca="false">IF(M1702&gt;0,MAX(0,Catatan!$B$3-H1702),0)</f>
        <v>0</v>
      </c>
      <c r="P1702" s="39" t="str">
        <f aca="false">IF(M1702&lt;=0,"Lunas",IF(Catatan!$B$3&lt;=H1702,"Belum Jatuh Tempo",IF(O1702&lt;=30,"1-30 hari",IF(O1702&lt;=60,"31-60 hari",IF(O1702&lt;=90,"61-90 hari","90+ hari")))))</f>
        <v>Belum Jatuh Tempo</v>
      </c>
      <c r="Q1702" s="50"/>
      <c r="R1702" s="39" t="str">
        <f aca="false">IF(M1702&lt;=0,"",IF(O1702&gt;60,"1-Tinggi",IF(O1702&gt;30,"2-Sedang",IF(O1702&gt;0,"3-Rendah","4-Pantau"))))</f>
        <v>4-Pantau</v>
      </c>
      <c r="S1702" s="39" t="str">
        <f aca="false">IF(AND(M1702&gt;0,O1702&gt;0),O1702+M1702/1000000000000+ROW()/1000000000000000,"")</f>
        <v/>
      </c>
      <c r="T1702" s="39" t="str">
        <f aca="false">IF(J1702="Belum ditukar",ROW(),"")</f>
        <v/>
      </c>
    </row>
    <row r="1703" customFormat="false" ht="15" hidden="false" customHeight="false" outlineLevel="0" collapsed="false">
      <c r="A1703" s="50" t="s">
        <v>1987</v>
      </c>
      <c r="B1703" s="51" t="n">
        <v>46014</v>
      </c>
      <c r="C1703" s="50" t="s">
        <v>174</v>
      </c>
      <c r="D1703" s="39" t="str">
        <f aca="false">INDEX(Master_Customer!$B$2:$B$126,MATCH(C1703,Master_Customer!$A$2:$A$126,0))</f>
        <v>SUMBER TEKNIK SURYA</v>
      </c>
      <c r="E1703" s="50" t="s">
        <v>31</v>
      </c>
      <c r="F1703" s="52" t="n">
        <f aca="false">SUMIFS(Data_Penjualan!$G$2:$G$5998,Data_Penjualan!$A$2:$A$5998,A1703)</f>
        <v>15316500</v>
      </c>
      <c r="G1703" s="39" t="n">
        <f aca="false">IF(E1703="KANTOR",0,INDEX(Master_Customer!$C$2:$C$126,MATCH(C1703,Master_Customer!$A$2:$A$126,0)))</f>
        <v>30</v>
      </c>
      <c r="H1703" s="53" t="n">
        <f aca="false">B1703+G1703</f>
        <v>46044</v>
      </c>
      <c r="I1703" s="51" t="n">
        <v>46016</v>
      </c>
      <c r="J1703" s="39" t="str">
        <f aca="false">IF(G1703=0,"Tunai",IF(I1703="","Belum ditukar","Sudah ditukar"))</f>
        <v>Sudah ditukar</v>
      </c>
      <c r="K1703" s="54" t="n">
        <v>0</v>
      </c>
      <c r="M1703" s="52" t="n">
        <f aca="false">F1703-K1703</f>
        <v>15316500</v>
      </c>
      <c r="N1703" s="39" t="str">
        <f aca="false">IF(M1703&lt;=0,"Lunas",IF(K1703&gt;0,"Sebagian","Belum Bayar"))</f>
        <v>Belum Bayar</v>
      </c>
      <c r="O1703" s="39" t="n">
        <f aca="false">IF(M1703&gt;0,MAX(0,Catatan!$B$3-H1703),0)</f>
        <v>0</v>
      </c>
      <c r="P1703" s="39" t="str">
        <f aca="false">IF(M1703&lt;=0,"Lunas",IF(Catatan!$B$3&lt;=H1703,"Belum Jatuh Tempo",IF(O1703&lt;=30,"1-30 hari",IF(O1703&lt;=60,"31-60 hari",IF(O1703&lt;=90,"61-90 hari","90+ hari")))))</f>
        <v>Belum Jatuh Tempo</v>
      </c>
      <c r="Q1703" s="50"/>
      <c r="R1703" s="39" t="str">
        <f aca="false">IF(M1703&lt;=0,"",IF(O1703&gt;60,"1-Tinggi",IF(O1703&gt;30,"2-Sedang",IF(O1703&gt;0,"3-Rendah","4-Pantau"))))</f>
        <v>4-Pantau</v>
      </c>
      <c r="S1703" s="39" t="str">
        <f aca="false">IF(AND(M1703&gt;0,O1703&gt;0),O1703+M1703/1000000000000+ROW()/1000000000000000,"")</f>
        <v/>
      </c>
      <c r="T1703" s="39" t="str">
        <f aca="false">IF(J1703="Belum ditukar",ROW(),"")</f>
        <v/>
      </c>
    </row>
    <row r="1704" customFormat="false" ht="15" hidden="false" customHeight="false" outlineLevel="0" collapsed="false">
      <c r="A1704" s="50" t="s">
        <v>1988</v>
      </c>
      <c r="B1704" s="51" t="n">
        <v>46015</v>
      </c>
      <c r="C1704" s="50" t="s">
        <v>693</v>
      </c>
      <c r="D1704" s="39" t="str">
        <f aca="false">INDEX(Master_Customer!$B$2:$B$126,MATCH(C1704,Master_Customer!$A$2:$A$126,0))</f>
        <v>SUMBER OLI GEMILANG</v>
      </c>
      <c r="E1704" s="50" t="s">
        <v>30</v>
      </c>
      <c r="F1704" s="52" t="n">
        <f aca="false">SUMIFS(Data_Penjualan!$G$2:$G$5998,Data_Penjualan!$A$2:$A$5998,A1704)</f>
        <v>18743300</v>
      </c>
      <c r="G1704" s="39" t="n">
        <f aca="false">IF(E1704="KANTOR",0,INDEX(Master_Customer!$C$2:$C$126,MATCH(C1704,Master_Customer!$A$2:$A$126,0)))</f>
        <v>30</v>
      </c>
      <c r="H1704" s="53" t="n">
        <f aca="false">B1704+G1704</f>
        <v>46045</v>
      </c>
      <c r="I1704" s="51" t="n">
        <v>46018</v>
      </c>
      <c r="J1704" s="39" t="str">
        <f aca="false">IF(G1704=0,"Tunai",IF(I1704="","Belum ditukar","Sudah ditukar"))</f>
        <v>Sudah ditukar</v>
      </c>
      <c r="K1704" s="54" t="n">
        <v>0</v>
      </c>
      <c r="M1704" s="52" t="n">
        <f aca="false">F1704-K1704</f>
        <v>18743300</v>
      </c>
      <c r="N1704" s="39" t="str">
        <f aca="false">IF(M1704&lt;=0,"Lunas",IF(K1704&gt;0,"Sebagian","Belum Bayar"))</f>
        <v>Belum Bayar</v>
      </c>
      <c r="O1704" s="39" t="n">
        <f aca="false">IF(M1704&gt;0,MAX(0,Catatan!$B$3-H1704),0)</f>
        <v>0</v>
      </c>
      <c r="P1704" s="39" t="str">
        <f aca="false">IF(M1704&lt;=0,"Lunas",IF(Catatan!$B$3&lt;=H1704,"Belum Jatuh Tempo",IF(O1704&lt;=30,"1-30 hari",IF(O1704&lt;=60,"31-60 hari",IF(O1704&lt;=90,"61-90 hari","90+ hari")))))</f>
        <v>Belum Jatuh Tempo</v>
      </c>
      <c r="Q1704" s="50"/>
      <c r="R1704" s="39" t="str">
        <f aca="false">IF(M1704&lt;=0,"",IF(O1704&gt;60,"1-Tinggi",IF(O1704&gt;30,"2-Sedang",IF(O1704&gt;0,"3-Rendah","4-Pantau"))))</f>
        <v>4-Pantau</v>
      </c>
      <c r="S1704" s="39" t="str">
        <f aca="false">IF(AND(M1704&gt;0,O1704&gt;0),O1704+M1704/1000000000000+ROW()/1000000000000000,"")</f>
        <v/>
      </c>
      <c r="T1704" s="39" t="str">
        <f aca="false">IF(J1704="Belum ditukar",ROW(),"")</f>
        <v/>
      </c>
    </row>
    <row r="1705" customFormat="false" ht="15" hidden="false" customHeight="false" outlineLevel="0" collapsed="false">
      <c r="A1705" s="50" t="s">
        <v>1989</v>
      </c>
      <c r="B1705" s="51" t="n">
        <v>46015</v>
      </c>
      <c r="C1705" s="50" t="s">
        <v>562</v>
      </c>
      <c r="D1705" s="39" t="str">
        <f aca="false">INDEX(Master_Customer!$B$2:$B$126,MATCH(C1705,Master_Customer!$A$2:$A$126,0))</f>
        <v>BERKAH SERVICE SENTOSA</v>
      </c>
      <c r="E1705" s="50" t="s">
        <v>28</v>
      </c>
      <c r="F1705" s="52" t="n">
        <f aca="false">SUMIFS(Data_Penjualan!$G$2:$G$5998,Data_Penjualan!$A$2:$A$5998,A1705)</f>
        <v>15035800</v>
      </c>
      <c r="G1705" s="39" t="n">
        <f aca="false">IF(E1705="KANTOR",0,INDEX(Master_Customer!$C$2:$C$126,MATCH(C1705,Master_Customer!$A$2:$A$126,0)))</f>
        <v>14</v>
      </c>
      <c r="H1705" s="53" t="n">
        <f aca="false">B1705+G1705</f>
        <v>46029</v>
      </c>
      <c r="I1705" s="51" t="n">
        <v>46019</v>
      </c>
      <c r="J1705" s="39" t="str">
        <f aca="false">IF(G1705=0,"Tunai",IF(I1705="","Belum ditukar","Sudah ditukar"))</f>
        <v>Sudah ditukar</v>
      </c>
      <c r="K1705" s="54" t="n">
        <v>0</v>
      </c>
      <c r="M1705" s="52" t="n">
        <f aca="false">F1705-K1705</f>
        <v>15035800</v>
      </c>
      <c r="N1705" s="39" t="str">
        <f aca="false">IF(M1705&lt;=0,"Lunas",IF(K1705&gt;0,"Sebagian","Belum Bayar"))</f>
        <v>Belum Bayar</v>
      </c>
      <c r="O1705" s="39" t="n">
        <f aca="false">IF(M1705&gt;0,MAX(0,Catatan!$B$3-H1705),0)</f>
        <v>0</v>
      </c>
      <c r="P1705" s="39" t="str">
        <f aca="false">IF(M1705&lt;=0,"Lunas",IF(Catatan!$B$3&lt;=H1705,"Belum Jatuh Tempo",IF(O1705&lt;=30,"1-30 hari",IF(O1705&lt;=60,"31-60 hari",IF(O1705&lt;=90,"61-90 hari","90+ hari")))))</f>
        <v>Belum Jatuh Tempo</v>
      </c>
      <c r="Q1705" s="50"/>
      <c r="R1705" s="39" t="str">
        <f aca="false">IF(M1705&lt;=0,"",IF(O1705&gt;60,"1-Tinggi",IF(O1705&gt;30,"2-Sedang",IF(O1705&gt;0,"3-Rendah","4-Pantau"))))</f>
        <v>4-Pantau</v>
      </c>
      <c r="S1705" s="39" t="str">
        <f aca="false">IF(AND(M1705&gt;0,O1705&gt;0),O1705+M1705/1000000000000+ROW()/1000000000000000,"")</f>
        <v/>
      </c>
      <c r="T1705" s="39" t="str">
        <f aca="false">IF(J1705="Belum ditukar",ROW(),"")</f>
        <v/>
      </c>
    </row>
    <row r="1706" customFormat="false" ht="15" hidden="false" customHeight="false" outlineLevel="0" collapsed="false">
      <c r="A1706" s="50" t="s">
        <v>1990</v>
      </c>
      <c r="B1706" s="51" t="n">
        <v>46015</v>
      </c>
      <c r="C1706" s="50" t="s">
        <v>168</v>
      </c>
      <c r="D1706" s="39" t="str">
        <f aca="false">INDEX(Master_Customer!$B$2:$B$126,MATCH(C1706,Master_Customer!$A$2:$A$126,0))</f>
        <v>JAYA LUBRICANT</v>
      </c>
      <c r="E1706" s="50" t="s">
        <v>29</v>
      </c>
      <c r="F1706" s="52" t="n">
        <f aca="false">SUMIFS(Data_Penjualan!$G$2:$G$5998,Data_Penjualan!$A$2:$A$5998,A1706)</f>
        <v>4651700</v>
      </c>
      <c r="G1706" s="39" t="n">
        <f aca="false">IF(E1706="KANTOR",0,INDEX(Master_Customer!$C$2:$C$126,MATCH(C1706,Master_Customer!$A$2:$A$126,0)))</f>
        <v>0</v>
      </c>
      <c r="H1706" s="53" t="n">
        <f aca="false">B1706+G1706</f>
        <v>46015</v>
      </c>
      <c r="J1706" s="39" t="str">
        <f aca="false">IF(G1706=0,"Tunai",IF(I1706="","Belum ditukar","Sudah ditukar"))</f>
        <v>Tunai</v>
      </c>
      <c r="K1706" s="54" t="n">
        <v>4651700</v>
      </c>
      <c r="L1706" s="51" t="n">
        <v>46015</v>
      </c>
      <c r="M1706" s="52" t="n">
        <f aca="false">F1706-K1706</f>
        <v>0</v>
      </c>
      <c r="N1706" s="39" t="str">
        <f aca="false">IF(M1706&lt;=0,"Lunas",IF(K1706&gt;0,"Sebagian","Belum Bayar"))</f>
        <v>Lunas</v>
      </c>
      <c r="O1706" s="39" t="n">
        <f aca="false">IF(M1706&gt;0,MAX(0,Catatan!$B$3-H1706),0)</f>
        <v>0</v>
      </c>
      <c r="P1706" s="39" t="str">
        <f aca="false">IF(M1706&lt;=0,"Lunas",IF(Catatan!$B$3&lt;=H1706,"Belum Jatuh Tempo",IF(O1706&lt;=30,"1-30 hari",IF(O1706&lt;=60,"31-60 hari",IF(O1706&lt;=90,"61-90 hari","90+ hari")))))</f>
        <v>Lunas</v>
      </c>
      <c r="Q1706" s="50"/>
      <c r="R1706" s="39" t="str">
        <f aca="false">IF(M1706&lt;=0,"",IF(O1706&gt;60,"1-Tinggi",IF(O1706&gt;30,"2-Sedang",IF(O1706&gt;0,"3-Rendah","4-Pantau"))))</f>
        <v/>
      </c>
      <c r="S1706" s="39" t="str">
        <f aca="false">IF(AND(M1706&gt;0,O1706&gt;0),O1706+M1706/1000000000000+ROW()/1000000000000000,"")</f>
        <v/>
      </c>
      <c r="T1706" s="39" t="str">
        <f aca="false">IF(J1706="Belum ditukar",ROW(),"")</f>
        <v/>
      </c>
    </row>
    <row r="1707" customFormat="false" ht="15" hidden="false" customHeight="false" outlineLevel="0" collapsed="false">
      <c r="A1707" s="50" t="s">
        <v>1991</v>
      </c>
      <c r="B1707" s="51" t="n">
        <v>46015</v>
      </c>
      <c r="C1707" s="50" t="s">
        <v>766</v>
      </c>
      <c r="D1707" s="39" t="str">
        <f aca="false">INDEX(Master_Customer!$B$2:$B$126,MATCH(C1707,Master_Customer!$A$2:$A$126,0))</f>
        <v>TIRTA SPAREPART BINTANG</v>
      </c>
      <c r="E1707" s="50" t="s">
        <v>29</v>
      </c>
      <c r="F1707" s="52" t="n">
        <f aca="false">SUMIFS(Data_Penjualan!$G$2:$G$5998,Data_Penjualan!$A$2:$A$5998,A1707)</f>
        <v>21922900</v>
      </c>
      <c r="G1707" s="39" t="n">
        <f aca="false">IF(E1707="KANTOR",0,INDEX(Master_Customer!$C$2:$C$126,MATCH(C1707,Master_Customer!$A$2:$A$126,0)))</f>
        <v>30</v>
      </c>
      <c r="H1707" s="53" t="n">
        <f aca="false">B1707+G1707</f>
        <v>46045</v>
      </c>
      <c r="I1707" s="51" t="n">
        <v>46018</v>
      </c>
      <c r="J1707" s="39" t="str">
        <f aca="false">IF(G1707=0,"Tunai",IF(I1707="","Belum ditukar","Sudah ditukar"))</f>
        <v>Sudah ditukar</v>
      </c>
      <c r="K1707" s="54" t="n">
        <v>0</v>
      </c>
      <c r="M1707" s="52" t="n">
        <f aca="false">F1707-K1707</f>
        <v>21922900</v>
      </c>
      <c r="N1707" s="39" t="str">
        <f aca="false">IF(M1707&lt;=0,"Lunas",IF(K1707&gt;0,"Sebagian","Belum Bayar"))</f>
        <v>Belum Bayar</v>
      </c>
      <c r="O1707" s="39" t="n">
        <f aca="false">IF(M1707&gt;0,MAX(0,Catatan!$B$3-H1707),0)</f>
        <v>0</v>
      </c>
      <c r="P1707" s="39" t="str">
        <f aca="false">IF(M1707&lt;=0,"Lunas",IF(Catatan!$B$3&lt;=H1707,"Belum Jatuh Tempo",IF(O1707&lt;=30,"1-30 hari",IF(O1707&lt;=60,"31-60 hari",IF(O1707&lt;=90,"61-90 hari","90+ hari")))))</f>
        <v>Belum Jatuh Tempo</v>
      </c>
      <c r="Q1707" s="50"/>
      <c r="R1707" s="39" t="str">
        <f aca="false">IF(M1707&lt;=0,"",IF(O1707&gt;60,"1-Tinggi",IF(O1707&gt;30,"2-Sedang",IF(O1707&gt;0,"3-Rendah","4-Pantau"))))</f>
        <v>4-Pantau</v>
      </c>
      <c r="S1707" s="39" t="str">
        <f aca="false">IF(AND(M1707&gt;0,O1707&gt;0),O1707+M1707/1000000000000+ROW()/1000000000000000,"")</f>
        <v/>
      </c>
      <c r="T1707" s="39" t="str">
        <f aca="false">IF(J1707="Belum ditukar",ROW(),"")</f>
        <v/>
      </c>
    </row>
    <row r="1708" customFormat="false" ht="15" hidden="false" customHeight="false" outlineLevel="0" collapsed="false">
      <c r="A1708" s="50" t="s">
        <v>1992</v>
      </c>
      <c r="B1708" s="51" t="n">
        <v>46015</v>
      </c>
      <c r="C1708" s="50" t="s">
        <v>967</v>
      </c>
      <c r="D1708" s="39" t="str">
        <f aca="false">INDEX(Master_Customer!$B$2:$B$126,MATCH(C1708,Master_Customer!$A$2:$A$126,0))</f>
        <v>MAKMUR SPAREPART GEMILANG</v>
      </c>
      <c r="E1708" s="50" t="s">
        <v>29</v>
      </c>
      <c r="F1708" s="52" t="n">
        <f aca="false">SUMIFS(Data_Penjualan!$G$2:$G$5998,Data_Penjualan!$A$2:$A$5998,A1708)</f>
        <v>3454800</v>
      </c>
      <c r="G1708" s="39" t="n">
        <f aca="false">IF(E1708="KANTOR",0,INDEX(Master_Customer!$C$2:$C$126,MATCH(C1708,Master_Customer!$A$2:$A$126,0)))</f>
        <v>14</v>
      </c>
      <c r="H1708" s="53" t="n">
        <f aca="false">B1708+G1708</f>
        <v>46029</v>
      </c>
      <c r="I1708" s="51" t="n">
        <v>46018</v>
      </c>
      <c r="J1708" s="39" t="str">
        <f aca="false">IF(G1708=0,"Tunai",IF(I1708="","Belum ditukar","Sudah ditukar"))</f>
        <v>Sudah ditukar</v>
      </c>
      <c r="K1708" s="54" t="n">
        <v>0</v>
      </c>
      <c r="M1708" s="52" t="n">
        <f aca="false">F1708-K1708</f>
        <v>3454800</v>
      </c>
      <c r="N1708" s="39" t="str">
        <f aca="false">IF(M1708&lt;=0,"Lunas",IF(K1708&gt;0,"Sebagian","Belum Bayar"))</f>
        <v>Belum Bayar</v>
      </c>
      <c r="O1708" s="39" t="n">
        <f aca="false">IF(M1708&gt;0,MAX(0,Catatan!$B$3-H1708),0)</f>
        <v>0</v>
      </c>
      <c r="P1708" s="39" t="str">
        <f aca="false">IF(M1708&lt;=0,"Lunas",IF(Catatan!$B$3&lt;=H1708,"Belum Jatuh Tempo",IF(O1708&lt;=30,"1-30 hari",IF(O1708&lt;=60,"31-60 hari",IF(O1708&lt;=90,"61-90 hari","90+ hari")))))</f>
        <v>Belum Jatuh Tempo</v>
      </c>
      <c r="Q1708" s="50"/>
      <c r="R1708" s="39" t="str">
        <f aca="false">IF(M1708&lt;=0,"",IF(O1708&gt;60,"1-Tinggi",IF(O1708&gt;30,"2-Sedang",IF(O1708&gt;0,"3-Rendah","4-Pantau"))))</f>
        <v>4-Pantau</v>
      </c>
      <c r="S1708" s="39" t="str">
        <f aca="false">IF(AND(M1708&gt;0,O1708&gt;0),O1708+M1708/1000000000000+ROW()/1000000000000000,"")</f>
        <v/>
      </c>
      <c r="T1708" s="39" t="str">
        <f aca="false">IF(J1708="Belum ditukar",ROW(),"")</f>
        <v/>
      </c>
    </row>
    <row r="1709" customFormat="false" ht="15" hidden="false" customHeight="false" outlineLevel="0" collapsed="false">
      <c r="A1709" s="50" t="s">
        <v>1993</v>
      </c>
      <c r="B1709" s="51" t="n">
        <v>46015</v>
      </c>
      <c r="C1709" s="50" t="s">
        <v>199</v>
      </c>
      <c r="D1709" s="39" t="str">
        <f aca="false">INDEX(Master_Customer!$B$2:$B$126,MATCH(C1709,Master_Customer!$A$2:$A$126,0))</f>
        <v>KARYA SPAREPART</v>
      </c>
      <c r="E1709" s="50" t="s">
        <v>29</v>
      </c>
      <c r="F1709" s="52" t="n">
        <f aca="false">SUMIFS(Data_Penjualan!$G$2:$G$5998,Data_Penjualan!$A$2:$A$5998,A1709)</f>
        <v>8016400</v>
      </c>
      <c r="G1709" s="39" t="n">
        <f aca="false">IF(E1709="KANTOR",0,INDEX(Master_Customer!$C$2:$C$126,MATCH(C1709,Master_Customer!$A$2:$A$126,0)))</f>
        <v>45</v>
      </c>
      <c r="H1709" s="53" t="n">
        <f aca="false">B1709+G1709</f>
        <v>46060</v>
      </c>
      <c r="I1709" s="51" t="n">
        <v>46016</v>
      </c>
      <c r="J1709" s="39" t="str">
        <f aca="false">IF(G1709=0,"Tunai",IF(I1709="","Belum ditukar","Sudah ditukar"))</f>
        <v>Sudah ditukar</v>
      </c>
      <c r="K1709" s="54" t="n">
        <v>0</v>
      </c>
      <c r="M1709" s="52" t="n">
        <f aca="false">F1709-K1709</f>
        <v>8016400</v>
      </c>
      <c r="N1709" s="39" t="str">
        <f aca="false">IF(M1709&lt;=0,"Lunas",IF(K1709&gt;0,"Sebagian","Belum Bayar"))</f>
        <v>Belum Bayar</v>
      </c>
      <c r="O1709" s="39" t="n">
        <f aca="false">IF(M1709&gt;0,MAX(0,Catatan!$B$3-H1709),0)</f>
        <v>0</v>
      </c>
      <c r="P1709" s="39" t="str">
        <f aca="false">IF(M1709&lt;=0,"Lunas",IF(Catatan!$B$3&lt;=H1709,"Belum Jatuh Tempo",IF(O1709&lt;=30,"1-30 hari",IF(O1709&lt;=60,"31-60 hari",IF(O1709&lt;=90,"61-90 hari","90+ hari")))))</f>
        <v>Belum Jatuh Tempo</v>
      </c>
      <c r="Q1709" s="50"/>
      <c r="R1709" s="39" t="str">
        <f aca="false">IF(M1709&lt;=0,"",IF(O1709&gt;60,"1-Tinggi",IF(O1709&gt;30,"2-Sedang",IF(O1709&gt;0,"3-Rendah","4-Pantau"))))</f>
        <v>4-Pantau</v>
      </c>
      <c r="S1709" s="39" t="str">
        <f aca="false">IF(AND(M1709&gt;0,O1709&gt;0),O1709+M1709/1000000000000+ROW()/1000000000000000,"")</f>
        <v/>
      </c>
      <c r="T1709" s="39" t="str">
        <f aca="false">IF(J1709="Belum ditukar",ROW(),"")</f>
        <v/>
      </c>
    </row>
    <row r="1710" customFormat="false" ht="15" hidden="false" customHeight="false" outlineLevel="0" collapsed="false">
      <c r="A1710" s="50" t="s">
        <v>1994</v>
      </c>
      <c r="B1710" s="51" t="n">
        <v>46015</v>
      </c>
      <c r="C1710" s="50" t="s">
        <v>174</v>
      </c>
      <c r="D1710" s="39" t="str">
        <f aca="false">INDEX(Master_Customer!$B$2:$B$126,MATCH(C1710,Master_Customer!$A$2:$A$126,0))</f>
        <v>SUMBER TEKNIK SURYA</v>
      </c>
      <c r="E1710" s="50" t="s">
        <v>31</v>
      </c>
      <c r="F1710" s="52" t="n">
        <f aca="false">SUMIFS(Data_Penjualan!$G$2:$G$5998,Data_Penjualan!$A$2:$A$5998,A1710)</f>
        <v>9510400</v>
      </c>
      <c r="G1710" s="39" t="n">
        <f aca="false">IF(E1710="KANTOR",0,INDEX(Master_Customer!$C$2:$C$126,MATCH(C1710,Master_Customer!$A$2:$A$126,0)))</f>
        <v>30</v>
      </c>
      <c r="H1710" s="53" t="n">
        <f aca="false">B1710+G1710</f>
        <v>46045</v>
      </c>
      <c r="I1710" s="51" t="n">
        <v>46020</v>
      </c>
      <c r="J1710" s="39" t="str">
        <f aca="false">IF(G1710=0,"Tunai",IF(I1710="","Belum ditukar","Sudah ditukar"))</f>
        <v>Sudah ditukar</v>
      </c>
      <c r="K1710" s="54" t="n">
        <v>0</v>
      </c>
      <c r="M1710" s="52" t="n">
        <f aca="false">F1710-K1710</f>
        <v>9510400</v>
      </c>
      <c r="N1710" s="39" t="str">
        <f aca="false">IF(M1710&lt;=0,"Lunas",IF(K1710&gt;0,"Sebagian","Belum Bayar"))</f>
        <v>Belum Bayar</v>
      </c>
      <c r="O1710" s="39" t="n">
        <f aca="false">IF(M1710&gt;0,MAX(0,Catatan!$B$3-H1710),0)</f>
        <v>0</v>
      </c>
      <c r="P1710" s="39" t="str">
        <f aca="false">IF(M1710&lt;=0,"Lunas",IF(Catatan!$B$3&lt;=H1710,"Belum Jatuh Tempo",IF(O1710&lt;=30,"1-30 hari",IF(O1710&lt;=60,"31-60 hari",IF(O1710&lt;=90,"61-90 hari","90+ hari")))))</f>
        <v>Belum Jatuh Tempo</v>
      </c>
      <c r="Q1710" s="50"/>
      <c r="R1710" s="39" t="str">
        <f aca="false">IF(M1710&lt;=0,"",IF(O1710&gt;60,"1-Tinggi",IF(O1710&gt;30,"2-Sedang",IF(O1710&gt;0,"3-Rendah","4-Pantau"))))</f>
        <v>4-Pantau</v>
      </c>
      <c r="S1710" s="39" t="str">
        <f aca="false">IF(AND(M1710&gt;0,O1710&gt;0),O1710+M1710/1000000000000+ROW()/1000000000000000,"")</f>
        <v/>
      </c>
      <c r="T1710" s="39" t="str">
        <f aca="false">IF(J1710="Belum ditukar",ROW(),"")</f>
        <v/>
      </c>
    </row>
    <row r="1711" customFormat="false" ht="15" hidden="false" customHeight="false" outlineLevel="0" collapsed="false">
      <c r="A1711" s="50" t="s">
        <v>1995</v>
      </c>
      <c r="B1711" s="51" t="n">
        <v>46015</v>
      </c>
      <c r="C1711" s="50" t="s">
        <v>1200</v>
      </c>
      <c r="D1711" s="39" t="str">
        <f aca="false">INDEX(Master_Customer!$B$2:$B$126,MATCH(C1711,Master_Customer!$A$2:$A$126,0))</f>
        <v>MITRA SPAREPART CAHAYA</v>
      </c>
      <c r="E1711" s="50" t="s">
        <v>32</v>
      </c>
      <c r="F1711" s="52" t="n">
        <f aca="false">SUMIFS(Data_Penjualan!$G$2:$G$5998,Data_Penjualan!$A$2:$A$5998,A1711)</f>
        <v>15320400</v>
      </c>
      <c r="G1711" s="39" t="n">
        <f aca="false">IF(E1711="KANTOR",0,INDEX(Master_Customer!$C$2:$C$126,MATCH(C1711,Master_Customer!$A$2:$A$126,0)))</f>
        <v>0</v>
      </c>
      <c r="H1711" s="53" t="n">
        <f aca="false">B1711+G1711</f>
        <v>46015</v>
      </c>
      <c r="J1711" s="39" t="str">
        <f aca="false">IF(G1711=0,"Tunai",IF(I1711="","Belum ditukar","Sudah ditukar"))</f>
        <v>Tunai</v>
      </c>
      <c r="K1711" s="54" t="n">
        <v>15320400</v>
      </c>
      <c r="L1711" s="51" t="n">
        <v>46015</v>
      </c>
      <c r="M1711" s="52" t="n">
        <f aca="false">F1711-K1711</f>
        <v>0</v>
      </c>
      <c r="N1711" s="39" t="str">
        <f aca="false">IF(M1711&lt;=0,"Lunas",IF(K1711&gt;0,"Sebagian","Belum Bayar"))</f>
        <v>Lunas</v>
      </c>
      <c r="O1711" s="39" t="n">
        <f aca="false">IF(M1711&gt;0,MAX(0,Catatan!$B$3-H1711),0)</f>
        <v>0</v>
      </c>
      <c r="P1711" s="39" t="str">
        <f aca="false">IF(M1711&lt;=0,"Lunas",IF(Catatan!$B$3&lt;=H1711,"Belum Jatuh Tempo",IF(O1711&lt;=30,"1-30 hari",IF(O1711&lt;=60,"31-60 hari",IF(O1711&lt;=90,"61-90 hari","90+ hari")))))</f>
        <v>Lunas</v>
      </c>
      <c r="Q1711" s="50"/>
      <c r="R1711" s="39" t="str">
        <f aca="false">IF(M1711&lt;=0,"",IF(O1711&gt;60,"1-Tinggi",IF(O1711&gt;30,"2-Sedang",IF(O1711&gt;0,"3-Rendah","4-Pantau"))))</f>
        <v/>
      </c>
      <c r="S1711" s="39" t="str">
        <f aca="false">IF(AND(M1711&gt;0,O1711&gt;0),O1711+M1711/1000000000000+ROW()/1000000000000000,"")</f>
        <v/>
      </c>
      <c r="T1711" s="39" t="str">
        <f aca="false">IF(J1711="Belum ditukar",ROW(),"")</f>
        <v/>
      </c>
    </row>
    <row r="1712" customFormat="false" ht="15" hidden="false" customHeight="false" outlineLevel="0" collapsed="false">
      <c r="A1712" s="50" t="s">
        <v>1996</v>
      </c>
      <c r="B1712" s="51" t="n">
        <v>46015</v>
      </c>
      <c r="C1712" s="50" t="s">
        <v>329</v>
      </c>
      <c r="D1712" s="39" t="str">
        <f aca="false">INDEX(Master_Customer!$B$2:$B$126,MATCH(C1712,Master_Customer!$A$2:$A$126,0))</f>
        <v>MAKMUR OLI</v>
      </c>
      <c r="E1712" s="50" t="s">
        <v>28</v>
      </c>
      <c r="F1712" s="52" t="n">
        <f aca="false">SUMIFS(Data_Penjualan!$G$2:$G$5998,Data_Penjualan!$A$2:$A$5998,A1712)</f>
        <v>12666000</v>
      </c>
      <c r="G1712" s="39" t="n">
        <f aca="false">IF(E1712="KANTOR",0,INDEX(Master_Customer!$C$2:$C$126,MATCH(C1712,Master_Customer!$A$2:$A$126,0)))</f>
        <v>45</v>
      </c>
      <c r="H1712" s="53" t="n">
        <f aca="false">B1712+G1712</f>
        <v>46060</v>
      </c>
      <c r="I1712" s="51" t="n">
        <v>46020</v>
      </c>
      <c r="J1712" s="39" t="str">
        <f aca="false">IF(G1712=0,"Tunai",IF(I1712="","Belum ditukar","Sudah ditukar"))</f>
        <v>Sudah ditukar</v>
      </c>
      <c r="K1712" s="54" t="n">
        <v>0</v>
      </c>
      <c r="M1712" s="52" t="n">
        <f aca="false">F1712-K1712</f>
        <v>12666000</v>
      </c>
      <c r="N1712" s="39" t="str">
        <f aca="false">IF(M1712&lt;=0,"Lunas",IF(K1712&gt;0,"Sebagian","Belum Bayar"))</f>
        <v>Belum Bayar</v>
      </c>
      <c r="O1712" s="39" t="n">
        <f aca="false">IF(M1712&gt;0,MAX(0,Catatan!$B$3-H1712),0)</f>
        <v>0</v>
      </c>
      <c r="P1712" s="39" t="str">
        <f aca="false">IF(M1712&lt;=0,"Lunas",IF(Catatan!$B$3&lt;=H1712,"Belum Jatuh Tempo",IF(O1712&lt;=30,"1-30 hari",IF(O1712&lt;=60,"31-60 hari",IF(O1712&lt;=90,"61-90 hari","90+ hari")))))</f>
        <v>Belum Jatuh Tempo</v>
      </c>
      <c r="Q1712" s="50"/>
      <c r="R1712" s="39" t="str">
        <f aca="false">IF(M1712&lt;=0,"",IF(O1712&gt;60,"1-Tinggi",IF(O1712&gt;30,"2-Sedang",IF(O1712&gt;0,"3-Rendah","4-Pantau"))))</f>
        <v>4-Pantau</v>
      </c>
      <c r="S1712" s="39" t="str">
        <f aca="false">IF(AND(M1712&gt;0,O1712&gt;0),O1712+M1712/1000000000000+ROW()/1000000000000000,"")</f>
        <v/>
      </c>
      <c r="T1712" s="39" t="str">
        <f aca="false">IF(J1712="Belum ditukar",ROW(),"")</f>
        <v/>
      </c>
    </row>
    <row r="1713" customFormat="false" ht="15" hidden="false" customHeight="false" outlineLevel="0" collapsed="false">
      <c r="A1713" s="50" t="s">
        <v>1997</v>
      </c>
      <c r="B1713" s="51" t="n">
        <v>46016</v>
      </c>
      <c r="C1713" s="50" t="s">
        <v>251</v>
      </c>
      <c r="D1713" s="39" t="str">
        <f aca="false">INDEX(Master_Customer!$B$2:$B$126,MATCH(C1713,Master_Customer!$A$2:$A$126,0))</f>
        <v>MAJU SPAREPART</v>
      </c>
      <c r="E1713" s="50" t="s">
        <v>29</v>
      </c>
      <c r="F1713" s="52" t="n">
        <f aca="false">SUMIFS(Data_Penjualan!$G$2:$G$5998,Data_Penjualan!$A$2:$A$5998,A1713)</f>
        <v>8581700</v>
      </c>
      <c r="G1713" s="39" t="n">
        <f aca="false">IF(E1713="KANTOR",0,INDEX(Master_Customer!$C$2:$C$126,MATCH(C1713,Master_Customer!$A$2:$A$126,0)))</f>
        <v>45</v>
      </c>
      <c r="H1713" s="53" t="n">
        <f aca="false">B1713+G1713</f>
        <v>46061</v>
      </c>
      <c r="I1713" s="51" t="n">
        <v>46021</v>
      </c>
      <c r="J1713" s="39" t="str">
        <f aca="false">IF(G1713=0,"Tunai",IF(I1713="","Belum ditukar","Sudah ditukar"))</f>
        <v>Sudah ditukar</v>
      </c>
      <c r="K1713" s="54" t="n">
        <v>0</v>
      </c>
      <c r="M1713" s="52" t="n">
        <f aca="false">F1713-K1713</f>
        <v>8581700</v>
      </c>
      <c r="N1713" s="39" t="str">
        <f aca="false">IF(M1713&lt;=0,"Lunas",IF(K1713&gt;0,"Sebagian","Belum Bayar"))</f>
        <v>Belum Bayar</v>
      </c>
      <c r="O1713" s="39" t="n">
        <f aca="false">IF(M1713&gt;0,MAX(0,Catatan!$B$3-H1713),0)</f>
        <v>0</v>
      </c>
      <c r="P1713" s="39" t="str">
        <f aca="false">IF(M1713&lt;=0,"Lunas",IF(Catatan!$B$3&lt;=H1713,"Belum Jatuh Tempo",IF(O1713&lt;=30,"1-30 hari",IF(O1713&lt;=60,"31-60 hari",IF(O1713&lt;=90,"61-90 hari","90+ hari")))))</f>
        <v>Belum Jatuh Tempo</v>
      </c>
      <c r="Q1713" s="50"/>
      <c r="R1713" s="39" t="str">
        <f aca="false">IF(M1713&lt;=0,"",IF(O1713&gt;60,"1-Tinggi",IF(O1713&gt;30,"2-Sedang",IF(O1713&gt;0,"3-Rendah","4-Pantau"))))</f>
        <v>4-Pantau</v>
      </c>
      <c r="S1713" s="39" t="str">
        <f aca="false">IF(AND(M1713&gt;0,O1713&gt;0),O1713+M1713/1000000000000+ROW()/1000000000000000,"")</f>
        <v/>
      </c>
      <c r="T1713" s="39" t="str">
        <f aca="false">IF(J1713="Belum ditukar",ROW(),"")</f>
        <v/>
      </c>
    </row>
    <row r="1714" customFormat="false" ht="15" hidden="false" customHeight="false" outlineLevel="0" collapsed="false">
      <c r="A1714" s="50" t="s">
        <v>1998</v>
      </c>
      <c r="B1714" s="51" t="n">
        <v>46016</v>
      </c>
      <c r="C1714" s="50" t="s">
        <v>166</v>
      </c>
      <c r="D1714" s="39" t="str">
        <f aca="false">INDEX(Master_Customer!$B$2:$B$126,MATCH(C1714,Master_Customer!$A$2:$A$126,0))</f>
        <v>SENTOSA SERVICE</v>
      </c>
      <c r="E1714" s="50" t="s">
        <v>30</v>
      </c>
      <c r="F1714" s="52" t="n">
        <f aca="false">SUMIFS(Data_Penjualan!$G$2:$G$5998,Data_Penjualan!$A$2:$A$5998,A1714)</f>
        <v>18057900</v>
      </c>
      <c r="G1714" s="39" t="n">
        <f aca="false">IF(E1714="KANTOR",0,INDEX(Master_Customer!$C$2:$C$126,MATCH(C1714,Master_Customer!$A$2:$A$126,0)))</f>
        <v>0</v>
      </c>
      <c r="H1714" s="53" t="n">
        <f aca="false">B1714+G1714</f>
        <v>46016</v>
      </c>
      <c r="J1714" s="39" t="str">
        <f aca="false">IF(G1714=0,"Tunai",IF(I1714="","Belum ditukar","Sudah ditukar"))</f>
        <v>Tunai</v>
      </c>
      <c r="K1714" s="54" t="n">
        <v>18057900</v>
      </c>
      <c r="L1714" s="51" t="n">
        <v>46017</v>
      </c>
      <c r="M1714" s="52" t="n">
        <f aca="false">F1714-K1714</f>
        <v>0</v>
      </c>
      <c r="N1714" s="39" t="str">
        <f aca="false">IF(M1714&lt;=0,"Lunas",IF(K1714&gt;0,"Sebagian","Belum Bayar"))</f>
        <v>Lunas</v>
      </c>
      <c r="O1714" s="39" t="n">
        <f aca="false">IF(M1714&gt;0,MAX(0,Catatan!$B$3-H1714),0)</f>
        <v>0</v>
      </c>
      <c r="P1714" s="39" t="str">
        <f aca="false">IF(M1714&lt;=0,"Lunas",IF(Catatan!$B$3&lt;=H1714,"Belum Jatuh Tempo",IF(O1714&lt;=30,"1-30 hari",IF(O1714&lt;=60,"31-60 hari",IF(O1714&lt;=90,"61-90 hari","90+ hari")))))</f>
        <v>Lunas</v>
      </c>
      <c r="Q1714" s="50"/>
      <c r="R1714" s="39" t="str">
        <f aca="false">IF(M1714&lt;=0,"",IF(O1714&gt;60,"1-Tinggi",IF(O1714&gt;30,"2-Sedang",IF(O1714&gt;0,"3-Rendah","4-Pantau"))))</f>
        <v/>
      </c>
      <c r="S1714" s="39" t="str">
        <f aca="false">IF(AND(M1714&gt;0,O1714&gt;0),O1714+M1714/1000000000000+ROW()/1000000000000000,"")</f>
        <v/>
      </c>
      <c r="T1714" s="39" t="str">
        <f aca="false">IF(J1714="Belum ditukar",ROW(),"")</f>
        <v/>
      </c>
    </row>
    <row r="1715" customFormat="false" ht="15" hidden="false" customHeight="false" outlineLevel="0" collapsed="false">
      <c r="A1715" s="50" t="s">
        <v>1999</v>
      </c>
      <c r="B1715" s="51" t="n">
        <v>46016</v>
      </c>
      <c r="C1715" s="50" t="s">
        <v>465</v>
      </c>
      <c r="D1715" s="39" t="str">
        <f aca="false">INDEX(Master_Customer!$B$2:$B$126,MATCH(C1715,Master_Customer!$A$2:$A$126,0))</f>
        <v>CAHAYA SERVICE BINTANG</v>
      </c>
      <c r="E1715" s="50" t="s">
        <v>28</v>
      </c>
      <c r="F1715" s="52" t="n">
        <f aca="false">SUMIFS(Data_Penjualan!$G$2:$G$5998,Data_Penjualan!$A$2:$A$5998,A1715)</f>
        <v>8191100</v>
      </c>
      <c r="G1715" s="39" t="n">
        <f aca="false">IF(E1715="KANTOR",0,INDEX(Master_Customer!$C$2:$C$126,MATCH(C1715,Master_Customer!$A$2:$A$126,0)))</f>
        <v>30</v>
      </c>
      <c r="H1715" s="53" t="n">
        <f aca="false">B1715+G1715</f>
        <v>46046</v>
      </c>
      <c r="I1715" s="51" t="n">
        <v>46017</v>
      </c>
      <c r="J1715" s="39" t="str">
        <f aca="false">IF(G1715=0,"Tunai",IF(I1715="","Belum ditukar","Sudah ditukar"))</f>
        <v>Sudah ditukar</v>
      </c>
      <c r="K1715" s="54" t="n">
        <v>0</v>
      </c>
      <c r="M1715" s="52" t="n">
        <f aca="false">F1715-K1715</f>
        <v>8191100</v>
      </c>
      <c r="N1715" s="39" t="str">
        <f aca="false">IF(M1715&lt;=0,"Lunas",IF(K1715&gt;0,"Sebagian","Belum Bayar"))</f>
        <v>Belum Bayar</v>
      </c>
      <c r="O1715" s="39" t="n">
        <f aca="false">IF(M1715&gt;0,MAX(0,Catatan!$B$3-H1715),0)</f>
        <v>0</v>
      </c>
      <c r="P1715" s="39" t="str">
        <f aca="false">IF(M1715&lt;=0,"Lunas",IF(Catatan!$B$3&lt;=H1715,"Belum Jatuh Tempo",IF(O1715&lt;=30,"1-30 hari",IF(O1715&lt;=60,"31-60 hari",IF(O1715&lt;=90,"61-90 hari","90+ hari")))))</f>
        <v>Belum Jatuh Tempo</v>
      </c>
      <c r="Q1715" s="50"/>
      <c r="R1715" s="39" t="str">
        <f aca="false">IF(M1715&lt;=0,"",IF(O1715&gt;60,"1-Tinggi",IF(O1715&gt;30,"2-Sedang",IF(O1715&gt;0,"3-Rendah","4-Pantau"))))</f>
        <v>4-Pantau</v>
      </c>
      <c r="S1715" s="39" t="str">
        <f aca="false">IF(AND(M1715&gt;0,O1715&gt;0),O1715+M1715/1000000000000+ROW()/1000000000000000,"")</f>
        <v/>
      </c>
      <c r="T1715" s="39" t="str">
        <f aca="false">IF(J1715="Belum ditukar",ROW(),"")</f>
        <v/>
      </c>
    </row>
    <row r="1716" customFormat="false" ht="15" hidden="false" customHeight="false" outlineLevel="0" collapsed="false">
      <c r="A1716" s="50" t="s">
        <v>2000</v>
      </c>
      <c r="B1716" s="51" t="n">
        <v>46016</v>
      </c>
      <c r="C1716" s="50" t="s">
        <v>365</v>
      </c>
      <c r="D1716" s="39" t="str">
        <f aca="false">INDEX(Master_Customer!$B$2:$B$126,MATCH(C1716,Master_Customer!$A$2:$A$126,0))</f>
        <v>MAKMUR GARAGE</v>
      </c>
      <c r="E1716" s="50" t="s">
        <v>28</v>
      </c>
      <c r="F1716" s="52" t="n">
        <f aca="false">SUMIFS(Data_Penjualan!$G$2:$G$5998,Data_Penjualan!$A$2:$A$5998,A1716)</f>
        <v>10531300</v>
      </c>
      <c r="G1716" s="39" t="n">
        <f aca="false">IF(E1716="KANTOR",0,INDEX(Master_Customer!$C$2:$C$126,MATCH(C1716,Master_Customer!$A$2:$A$126,0)))</f>
        <v>14</v>
      </c>
      <c r="H1716" s="53" t="n">
        <f aca="false">B1716+G1716</f>
        <v>46030</v>
      </c>
      <c r="I1716" s="51" t="n">
        <v>46020</v>
      </c>
      <c r="J1716" s="39" t="str">
        <f aca="false">IF(G1716=0,"Tunai",IF(I1716="","Belum ditukar","Sudah ditukar"))</f>
        <v>Sudah ditukar</v>
      </c>
      <c r="K1716" s="54" t="n">
        <v>0</v>
      </c>
      <c r="M1716" s="52" t="n">
        <f aca="false">F1716-K1716</f>
        <v>10531300</v>
      </c>
      <c r="N1716" s="39" t="str">
        <f aca="false">IF(M1716&lt;=0,"Lunas",IF(K1716&gt;0,"Sebagian","Belum Bayar"))</f>
        <v>Belum Bayar</v>
      </c>
      <c r="O1716" s="39" t="n">
        <f aca="false">IF(M1716&gt;0,MAX(0,Catatan!$B$3-H1716),0)</f>
        <v>0</v>
      </c>
      <c r="P1716" s="39" t="str">
        <f aca="false">IF(M1716&lt;=0,"Lunas",IF(Catatan!$B$3&lt;=H1716,"Belum Jatuh Tempo",IF(O1716&lt;=30,"1-30 hari",IF(O1716&lt;=60,"31-60 hari",IF(O1716&lt;=90,"61-90 hari","90+ hari")))))</f>
        <v>Belum Jatuh Tempo</v>
      </c>
      <c r="Q1716" s="50"/>
      <c r="R1716" s="39" t="str">
        <f aca="false">IF(M1716&lt;=0,"",IF(O1716&gt;60,"1-Tinggi",IF(O1716&gt;30,"2-Sedang",IF(O1716&gt;0,"3-Rendah","4-Pantau"))))</f>
        <v>4-Pantau</v>
      </c>
      <c r="S1716" s="39" t="str">
        <f aca="false">IF(AND(M1716&gt;0,O1716&gt;0),O1716+M1716/1000000000000+ROW()/1000000000000000,"")</f>
        <v/>
      </c>
      <c r="T1716" s="39" t="str">
        <f aca="false">IF(J1716="Belum ditukar",ROW(),"")</f>
        <v/>
      </c>
    </row>
    <row r="1717" customFormat="false" ht="15" hidden="false" customHeight="false" outlineLevel="0" collapsed="false">
      <c r="A1717" s="50" t="s">
        <v>2001</v>
      </c>
      <c r="B1717" s="51" t="n">
        <v>46016</v>
      </c>
      <c r="C1717" s="50" t="s">
        <v>286</v>
      </c>
      <c r="D1717" s="39" t="str">
        <f aca="false">INDEX(Master_Customer!$B$2:$B$126,MATCH(C1717,Master_Customer!$A$2:$A$126,0))</f>
        <v>CAHAYA AUTO</v>
      </c>
      <c r="E1717" s="50" t="s">
        <v>29</v>
      </c>
      <c r="F1717" s="52" t="n">
        <f aca="false">SUMIFS(Data_Penjualan!$G$2:$G$5998,Data_Penjualan!$A$2:$A$5998,A1717)</f>
        <v>15556100</v>
      </c>
      <c r="G1717" s="39" t="n">
        <f aca="false">IF(E1717="KANTOR",0,INDEX(Master_Customer!$C$2:$C$126,MATCH(C1717,Master_Customer!$A$2:$A$126,0)))</f>
        <v>0</v>
      </c>
      <c r="H1717" s="53" t="n">
        <f aca="false">B1717+G1717</f>
        <v>46016</v>
      </c>
      <c r="J1717" s="39" t="str">
        <f aca="false">IF(G1717=0,"Tunai",IF(I1717="","Belum ditukar","Sudah ditukar"))</f>
        <v>Tunai</v>
      </c>
      <c r="K1717" s="54" t="n">
        <v>15556100</v>
      </c>
      <c r="L1717" s="51" t="n">
        <v>46016</v>
      </c>
      <c r="M1717" s="52" t="n">
        <f aca="false">F1717-K1717</f>
        <v>0</v>
      </c>
      <c r="N1717" s="39" t="str">
        <f aca="false">IF(M1717&lt;=0,"Lunas",IF(K1717&gt;0,"Sebagian","Belum Bayar"))</f>
        <v>Lunas</v>
      </c>
      <c r="O1717" s="39" t="n">
        <f aca="false">IF(M1717&gt;0,MAX(0,Catatan!$B$3-H1717),0)</f>
        <v>0</v>
      </c>
      <c r="P1717" s="39" t="str">
        <f aca="false">IF(M1717&lt;=0,"Lunas",IF(Catatan!$B$3&lt;=H1717,"Belum Jatuh Tempo",IF(O1717&lt;=30,"1-30 hari",IF(O1717&lt;=60,"31-60 hari",IF(O1717&lt;=90,"61-90 hari","90+ hari")))))</f>
        <v>Lunas</v>
      </c>
      <c r="Q1717" s="50"/>
      <c r="R1717" s="39" t="str">
        <f aca="false">IF(M1717&lt;=0,"",IF(O1717&gt;60,"1-Tinggi",IF(O1717&gt;30,"2-Sedang",IF(O1717&gt;0,"3-Rendah","4-Pantau"))))</f>
        <v/>
      </c>
      <c r="S1717" s="39" t="str">
        <f aca="false">IF(AND(M1717&gt;0,O1717&gt;0),O1717+M1717/1000000000000+ROW()/1000000000000000,"")</f>
        <v/>
      </c>
      <c r="T1717" s="39" t="str">
        <f aca="false">IF(J1717="Belum ditukar",ROW(),"")</f>
        <v/>
      </c>
    </row>
    <row r="1718" customFormat="false" ht="15" hidden="false" customHeight="false" outlineLevel="0" collapsed="false">
      <c r="A1718" s="50" t="s">
        <v>2002</v>
      </c>
      <c r="B1718" s="51" t="n">
        <v>46016</v>
      </c>
      <c r="C1718" s="50" t="s">
        <v>177</v>
      </c>
      <c r="D1718" s="39" t="str">
        <f aca="false">INDEX(Master_Customer!$B$2:$B$126,MATCH(C1718,Master_Customer!$A$2:$A$126,0))</f>
        <v>PRIMA MOTOR LANCAR</v>
      </c>
      <c r="E1718" s="50" t="s">
        <v>32</v>
      </c>
      <c r="F1718" s="52" t="n">
        <f aca="false">SUMIFS(Data_Penjualan!$G$2:$G$5998,Data_Penjualan!$A$2:$A$5998,A1718)</f>
        <v>10435800</v>
      </c>
      <c r="G1718" s="39" t="n">
        <f aca="false">IF(E1718="KANTOR",0,INDEX(Master_Customer!$C$2:$C$126,MATCH(C1718,Master_Customer!$A$2:$A$126,0)))</f>
        <v>0</v>
      </c>
      <c r="H1718" s="53" t="n">
        <f aca="false">B1718+G1718</f>
        <v>46016</v>
      </c>
      <c r="J1718" s="39" t="str">
        <f aca="false">IF(G1718=0,"Tunai",IF(I1718="","Belum ditukar","Sudah ditukar"))</f>
        <v>Tunai</v>
      </c>
      <c r="K1718" s="54" t="n">
        <v>10435800</v>
      </c>
      <c r="L1718" s="51" t="n">
        <v>46017</v>
      </c>
      <c r="M1718" s="52" t="n">
        <f aca="false">F1718-K1718</f>
        <v>0</v>
      </c>
      <c r="N1718" s="39" t="str">
        <f aca="false">IF(M1718&lt;=0,"Lunas",IF(K1718&gt;0,"Sebagian","Belum Bayar"))</f>
        <v>Lunas</v>
      </c>
      <c r="O1718" s="39" t="n">
        <f aca="false">IF(M1718&gt;0,MAX(0,Catatan!$B$3-H1718),0)</f>
        <v>0</v>
      </c>
      <c r="P1718" s="39" t="str">
        <f aca="false">IF(M1718&lt;=0,"Lunas",IF(Catatan!$B$3&lt;=H1718,"Belum Jatuh Tempo",IF(O1718&lt;=30,"1-30 hari",IF(O1718&lt;=60,"31-60 hari",IF(O1718&lt;=90,"61-90 hari","90+ hari")))))</f>
        <v>Lunas</v>
      </c>
      <c r="Q1718" s="50"/>
      <c r="R1718" s="39" t="str">
        <f aca="false">IF(M1718&lt;=0,"",IF(O1718&gt;60,"1-Tinggi",IF(O1718&gt;30,"2-Sedang",IF(O1718&gt;0,"3-Rendah","4-Pantau"))))</f>
        <v/>
      </c>
      <c r="S1718" s="39" t="str">
        <f aca="false">IF(AND(M1718&gt;0,O1718&gt;0),O1718+M1718/1000000000000+ROW()/1000000000000000,"")</f>
        <v/>
      </c>
      <c r="T1718" s="39" t="str">
        <f aca="false">IF(J1718="Belum ditukar",ROW(),"")</f>
        <v/>
      </c>
    </row>
    <row r="1719" customFormat="false" ht="15" hidden="false" customHeight="false" outlineLevel="0" collapsed="false">
      <c r="A1719" s="50" t="s">
        <v>2003</v>
      </c>
      <c r="B1719" s="51" t="n">
        <v>46016</v>
      </c>
      <c r="C1719" s="50" t="s">
        <v>177</v>
      </c>
      <c r="D1719" s="39" t="str">
        <f aca="false">INDEX(Master_Customer!$B$2:$B$126,MATCH(C1719,Master_Customer!$A$2:$A$126,0))</f>
        <v>PRIMA MOTOR LANCAR</v>
      </c>
      <c r="E1719" s="50" t="s">
        <v>32</v>
      </c>
      <c r="F1719" s="52" t="n">
        <f aca="false">SUMIFS(Data_Penjualan!$G$2:$G$5998,Data_Penjualan!$A$2:$A$5998,A1719)</f>
        <v>3699500</v>
      </c>
      <c r="G1719" s="39" t="n">
        <f aca="false">IF(E1719="KANTOR",0,INDEX(Master_Customer!$C$2:$C$126,MATCH(C1719,Master_Customer!$A$2:$A$126,0)))</f>
        <v>0</v>
      </c>
      <c r="H1719" s="53" t="n">
        <f aca="false">B1719+G1719</f>
        <v>46016</v>
      </c>
      <c r="J1719" s="39" t="str">
        <f aca="false">IF(G1719=0,"Tunai",IF(I1719="","Belum ditukar","Sudah ditukar"))</f>
        <v>Tunai</v>
      </c>
      <c r="K1719" s="54" t="n">
        <v>3699500</v>
      </c>
      <c r="L1719" s="51" t="n">
        <v>46016</v>
      </c>
      <c r="M1719" s="52" t="n">
        <f aca="false">F1719-K1719</f>
        <v>0</v>
      </c>
      <c r="N1719" s="39" t="str">
        <f aca="false">IF(M1719&lt;=0,"Lunas",IF(K1719&gt;0,"Sebagian","Belum Bayar"))</f>
        <v>Lunas</v>
      </c>
      <c r="O1719" s="39" t="n">
        <f aca="false">IF(M1719&gt;0,MAX(0,Catatan!$B$3-H1719),0)</f>
        <v>0</v>
      </c>
      <c r="P1719" s="39" t="str">
        <f aca="false">IF(M1719&lt;=0,"Lunas",IF(Catatan!$B$3&lt;=H1719,"Belum Jatuh Tempo",IF(O1719&lt;=30,"1-30 hari",IF(O1719&lt;=60,"31-60 hari",IF(O1719&lt;=90,"61-90 hari","90+ hari")))))</f>
        <v>Lunas</v>
      </c>
      <c r="Q1719" s="50"/>
      <c r="R1719" s="39" t="str">
        <f aca="false">IF(M1719&lt;=0,"",IF(O1719&gt;60,"1-Tinggi",IF(O1719&gt;30,"2-Sedang",IF(O1719&gt;0,"3-Rendah","4-Pantau"))))</f>
        <v/>
      </c>
      <c r="S1719" s="39" t="str">
        <f aca="false">IF(AND(M1719&gt;0,O1719&gt;0),O1719+M1719/1000000000000+ROW()/1000000000000000,"")</f>
        <v/>
      </c>
      <c r="T1719" s="39" t="str">
        <f aca="false">IF(J1719="Belum ditukar",ROW(),"")</f>
        <v/>
      </c>
    </row>
    <row r="1720" customFormat="false" ht="15" hidden="false" customHeight="false" outlineLevel="0" collapsed="false">
      <c r="A1720" s="50" t="s">
        <v>2004</v>
      </c>
      <c r="B1720" s="51" t="n">
        <v>46017</v>
      </c>
      <c r="C1720" s="50" t="s">
        <v>179</v>
      </c>
      <c r="D1720" s="39" t="str">
        <f aca="false">INDEX(Master_Customer!$B$2:$B$126,MATCH(C1720,Master_Customer!$A$2:$A$126,0))</f>
        <v>BINTANG TEKNIK SURYA</v>
      </c>
      <c r="E1720" s="50" t="s">
        <v>29</v>
      </c>
      <c r="F1720" s="52" t="n">
        <f aca="false">SUMIFS(Data_Penjualan!$G$2:$G$5998,Data_Penjualan!$A$2:$A$5998,A1720)</f>
        <v>7151000</v>
      </c>
      <c r="G1720" s="39" t="n">
        <f aca="false">IF(E1720="KANTOR",0,INDEX(Master_Customer!$C$2:$C$126,MATCH(C1720,Master_Customer!$A$2:$A$126,0)))</f>
        <v>45</v>
      </c>
      <c r="H1720" s="53" t="n">
        <f aca="false">B1720+G1720</f>
        <v>46062</v>
      </c>
      <c r="I1720" s="51" t="n">
        <v>46020</v>
      </c>
      <c r="J1720" s="39" t="str">
        <f aca="false">IF(G1720=0,"Tunai",IF(I1720="","Belum ditukar","Sudah ditukar"))</f>
        <v>Sudah ditukar</v>
      </c>
      <c r="K1720" s="54" t="n">
        <v>0</v>
      </c>
      <c r="M1720" s="52" t="n">
        <f aca="false">F1720-K1720</f>
        <v>7151000</v>
      </c>
      <c r="N1720" s="39" t="str">
        <f aca="false">IF(M1720&lt;=0,"Lunas",IF(K1720&gt;0,"Sebagian","Belum Bayar"))</f>
        <v>Belum Bayar</v>
      </c>
      <c r="O1720" s="39" t="n">
        <f aca="false">IF(M1720&gt;0,MAX(0,Catatan!$B$3-H1720),0)</f>
        <v>0</v>
      </c>
      <c r="P1720" s="39" t="str">
        <f aca="false">IF(M1720&lt;=0,"Lunas",IF(Catatan!$B$3&lt;=H1720,"Belum Jatuh Tempo",IF(O1720&lt;=30,"1-30 hari",IF(O1720&lt;=60,"31-60 hari",IF(O1720&lt;=90,"61-90 hari","90+ hari")))))</f>
        <v>Belum Jatuh Tempo</v>
      </c>
      <c r="Q1720" s="50"/>
      <c r="R1720" s="39" t="str">
        <f aca="false">IF(M1720&lt;=0,"",IF(O1720&gt;60,"1-Tinggi",IF(O1720&gt;30,"2-Sedang",IF(O1720&gt;0,"3-Rendah","4-Pantau"))))</f>
        <v>4-Pantau</v>
      </c>
      <c r="S1720" s="39" t="str">
        <f aca="false">IF(AND(M1720&gt;0,O1720&gt;0),O1720+M1720/1000000000000+ROW()/1000000000000000,"")</f>
        <v/>
      </c>
      <c r="T1720" s="39" t="str">
        <f aca="false">IF(J1720="Belum ditukar",ROW(),"")</f>
        <v/>
      </c>
    </row>
    <row r="1721" customFormat="false" ht="15" hidden="false" customHeight="false" outlineLevel="0" collapsed="false">
      <c r="A1721" s="50" t="s">
        <v>2005</v>
      </c>
      <c r="B1721" s="51" t="n">
        <v>46017</v>
      </c>
      <c r="C1721" s="50" t="s">
        <v>714</v>
      </c>
      <c r="D1721" s="39" t="str">
        <f aca="false">INDEX(Master_Customer!$B$2:$B$126,MATCH(C1721,Master_Customer!$A$2:$A$126,0))</f>
        <v>KARYA MOBIL CAHAYA</v>
      </c>
      <c r="E1721" s="50" t="s">
        <v>31</v>
      </c>
      <c r="F1721" s="52" t="n">
        <f aca="false">SUMIFS(Data_Penjualan!$G$2:$G$5998,Data_Penjualan!$A$2:$A$5998,A1721)</f>
        <v>8400100</v>
      </c>
      <c r="G1721" s="39" t="n">
        <f aca="false">IF(E1721="KANTOR",0,INDEX(Master_Customer!$C$2:$C$126,MATCH(C1721,Master_Customer!$A$2:$A$126,0)))</f>
        <v>30</v>
      </c>
      <c r="H1721" s="53" t="n">
        <f aca="false">B1721+G1721</f>
        <v>46047</v>
      </c>
      <c r="I1721" s="51" t="n">
        <v>46020</v>
      </c>
      <c r="J1721" s="39" t="str">
        <f aca="false">IF(G1721=0,"Tunai",IF(I1721="","Belum ditukar","Sudah ditukar"))</f>
        <v>Sudah ditukar</v>
      </c>
      <c r="K1721" s="54" t="n">
        <v>0</v>
      </c>
      <c r="M1721" s="52" t="n">
        <f aca="false">F1721-K1721</f>
        <v>8400100</v>
      </c>
      <c r="N1721" s="39" t="str">
        <f aca="false">IF(M1721&lt;=0,"Lunas",IF(K1721&gt;0,"Sebagian","Belum Bayar"))</f>
        <v>Belum Bayar</v>
      </c>
      <c r="O1721" s="39" t="n">
        <f aca="false">IF(M1721&gt;0,MAX(0,Catatan!$B$3-H1721),0)</f>
        <v>0</v>
      </c>
      <c r="P1721" s="39" t="str">
        <f aca="false">IF(M1721&lt;=0,"Lunas",IF(Catatan!$B$3&lt;=H1721,"Belum Jatuh Tempo",IF(O1721&lt;=30,"1-30 hari",IF(O1721&lt;=60,"31-60 hari",IF(O1721&lt;=90,"61-90 hari","90+ hari")))))</f>
        <v>Belum Jatuh Tempo</v>
      </c>
      <c r="Q1721" s="50"/>
      <c r="R1721" s="39" t="str">
        <f aca="false">IF(M1721&lt;=0,"",IF(O1721&gt;60,"1-Tinggi",IF(O1721&gt;30,"2-Sedang",IF(O1721&gt;0,"3-Rendah","4-Pantau"))))</f>
        <v>4-Pantau</v>
      </c>
      <c r="S1721" s="39" t="str">
        <f aca="false">IF(AND(M1721&gt;0,O1721&gt;0),O1721+M1721/1000000000000+ROW()/1000000000000000,"")</f>
        <v/>
      </c>
      <c r="T1721" s="39" t="str">
        <f aca="false">IF(J1721="Belum ditukar",ROW(),"")</f>
        <v/>
      </c>
    </row>
    <row r="1722" customFormat="false" ht="15" hidden="false" customHeight="false" outlineLevel="0" collapsed="false">
      <c r="A1722" s="50" t="s">
        <v>2006</v>
      </c>
      <c r="B1722" s="51" t="n">
        <v>46017</v>
      </c>
      <c r="C1722" s="50" t="s">
        <v>286</v>
      </c>
      <c r="D1722" s="39" t="str">
        <f aca="false">INDEX(Master_Customer!$B$2:$B$126,MATCH(C1722,Master_Customer!$A$2:$A$126,0))</f>
        <v>CAHAYA AUTO</v>
      </c>
      <c r="E1722" s="50" t="s">
        <v>32</v>
      </c>
      <c r="F1722" s="52" t="n">
        <f aca="false">SUMIFS(Data_Penjualan!$G$2:$G$5998,Data_Penjualan!$A$2:$A$5998,A1722)</f>
        <v>18166800</v>
      </c>
      <c r="G1722" s="39" t="n">
        <f aca="false">IF(E1722="KANTOR",0,INDEX(Master_Customer!$C$2:$C$126,MATCH(C1722,Master_Customer!$A$2:$A$126,0)))</f>
        <v>0</v>
      </c>
      <c r="H1722" s="53" t="n">
        <f aca="false">B1722+G1722</f>
        <v>46017</v>
      </c>
      <c r="J1722" s="39" t="str">
        <f aca="false">IF(G1722=0,"Tunai",IF(I1722="","Belum ditukar","Sudah ditukar"))</f>
        <v>Tunai</v>
      </c>
      <c r="K1722" s="54" t="n">
        <v>18166800</v>
      </c>
      <c r="L1722" s="51" t="n">
        <v>46017</v>
      </c>
      <c r="M1722" s="52" t="n">
        <f aca="false">F1722-K1722</f>
        <v>0</v>
      </c>
      <c r="N1722" s="39" t="str">
        <f aca="false">IF(M1722&lt;=0,"Lunas",IF(K1722&gt;0,"Sebagian","Belum Bayar"))</f>
        <v>Lunas</v>
      </c>
      <c r="O1722" s="39" t="n">
        <f aca="false">IF(M1722&gt;0,MAX(0,Catatan!$B$3-H1722),0)</f>
        <v>0</v>
      </c>
      <c r="P1722" s="39" t="str">
        <f aca="false">IF(M1722&lt;=0,"Lunas",IF(Catatan!$B$3&lt;=H1722,"Belum Jatuh Tempo",IF(O1722&lt;=30,"1-30 hari",IF(O1722&lt;=60,"31-60 hari",IF(O1722&lt;=90,"61-90 hari","90+ hari")))))</f>
        <v>Lunas</v>
      </c>
      <c r="Q1722" s="50"/>
      <c r="R1722" s="39" t="str">
        <f aca="false">IF(M1722&lt;=0,"",IF(O1722&gt;60,"1-Tinggi",IF(O1722&gt;30,"2-Sedang",IF(O1722&gt;0,"3-Rendah","4-Pantau"))))</f>
        <v/>
      </c>
      <c r="S1722" s="39" t="str">
        <f aca="false">IF(AND(M1722&gt;0,O1722&gt;0),O1722+M1722/1000000000000+ROW()/1000000000000000,"")</f>
        <v/>
      </c>
      <c r="T1722" s="39" t="str">
        <f aca="false">IF(J1722="Belum ditukar",ROW(),"")</f>
        <v/>
      </c>
    </row>
    <row r="1723" customFormat="false" ht="15" hidden="false" customHeight="false" outlineLevel="0" collapsed="false">
      <c r="A1723" s="50" t="s">
        <v>2007</v>
      </c>
      <c r="B1723" s="51" t="n">
        <v>46017</v>
      </c>
      <c r="C1723" s="50" t="s">
        <v>174</v>
      </c>
      <c r="D1723" s="39" t="str">
        <f aca="false">INDEX(Master_Customer!$B$2:$B$126,MATCH(C1723,Master_Customer!$A$2:$A$126,0))</f>
        <v>SUMBER TEKNIK SURYA</v>
      </c>
      <c r="E1723" s="50" t="s">
        <v>31</v>
      </c>
      <c r="F1723" s="52" t="n">
        <f aca="false">SUMIFS(Data_Penjualan!$G$2:$G$5998,Data_Penjualan!$A$2:$A$5998,A1723)</f>
        <v>15178200</v>
      </c>
      <c r="G1723" s="39" t="n">
        <f aca="false">IF(E1723="KANTOR",0,INDEX(Master_Customer!$C$2:$C$126,MATCH(C1723,Master_Customer!$A$2:$A$126,0)))</f>
        <v>30</v>
      </c>
      <c r="H1723" s="53" t="n">
        <f aca="false">B1723+G1723</f>
        <v>46047</v>
      </c>
      <c r="I1723" s="51" t="n">
        <v>46022</v>
      </c>
      <c r="J1723" s="39" t="str">
        <f aca="false">IF(G1723=0,"Tunai",IF(I1723="","Belum ditukar","Sudah ditukar"))</f>
        <v>Sudah ditukar</v>
      </c>
      <c r="K1723" s="54" t="n">
        <v>0</v>
      </c>
      <c r="M1723" s="52" t="n">
        <f aca="false">F1723-K1723</f>
        <v>15178200</v>
      </c>
      <c r="N1723" s="39" t="str">
        <f aca="false">IF(M1723&lt;=0,"Lunas",IF(K1723&gt;0,"Sebagian","Belum Bayar"))</f>
        <v>Belum Bayar</v>
      </c>
      <c r="O1723" s="39" t="n">
        <f aca="false">IF(M1723&gt;0,MAX(0,Catatan!$B$3-H1723),0)</f>
        <v>0</v>
      </c>
      <c r="P1723" s="39" t="str">
        <f aca="false">IF(M1723&lt;=0,"Lunas",IF(Catatan!$B$3&lt;=H1723,"Belum Jatuh Tempo",IF(O1723&lt;=30,"1-30 hari",IF(O1723&lt;=60,"31-60 hari",IF(O1723&lt;=90,"61-90 hari","90+ hari")))))</f>
        <v>Belum Jatuh Tempo</v>
      </c>
      <c r="Q1723" s="50"/>
      <c r="R1723" s="39" t="str">
        <f aca="false">IF(M1723&lt;=0,"",IF(O1723&gt;60,"1-Tinggi",IF(O1723&gt;30,"2-Sedang",IF(O1723&gt;0,"3-Rendah","4-Pantau"))))</f>
        <v>4-Pantau</v>
      </c>
      <c r="S1723" s="39" t="str">
        <f aca="false">IF(AND(M1723&gt;0,O1723&gt;0),O1723+M1723/1000000000000+ROW()/1000000000000000,"")</f>
        <v/>
      </c>
      <c r="T1723" s="39" t="str">
        <f aca="false">IF(J1723="Belum ditukar",ROW(),"")</f>
        <v/>
      </c>
    </row>
    <row r="1724" customFormat="false" ht="15" hidden="false" customHeight="false" outlineLevel="0" collapsed="false">
      <c r="A1724" s="50" t="s">
        <v>2008</v>
      </c>
      <c r="B1724" s="51" t="n">
        <v>46017</v>
      </c>
      <c r="C1724" s="50" t="s">
        <v>286</v>
      </c>
      <c r="D1724" s="39" t="str">
        <f aca="false">INDEX(Master_Customer!$B$2:$B$126,MATCH(C1724,Master_Customer!$A$2:$A$126,0))</f>
        <v>CAHAYA AUTO</v>
      </c>
      <c r="E1724" s="50" t="s">
        <v>32</v>
      </c>
      <c r="F1724" s="52" t="n">
        <f aca="false">SUMIFS(Data_Penjualan!$G$2:$G$5998,Data_Penjualan!$A$2:$A$5998,A1724)</f>
        <v>5246800</v>
      </c>
      <c r="G1724" s="39" t="n">
        <f aca="false">IF(E1724="KANTOR",0,INDEX(Master_Customer!$C$2:$C$126,MATCH(C1724,Master_Customer!$A$2:$A$126,0)))</f>
        <v>0</v>
      </c>
      <c r="H1724" s="53" t="n">
        <f aca="false">B1724+G1724</f>
        <v>46017</v>
      </c>
      <c r="J1724" s="39" t="str">
        <f aca="false">IF(G1724=0,"Tunai",IF(I1724="","Belum ditukar","Sudah ditukar"))</f>
        <v>Tunai</v>
      </c>
      <c r="K1724" s="54" t="n">
        <v>5246800</v>
      </c>
      <c r="L1724" s="51" t="n">
        <v>46018</v>
      </c>
      <c r="M1724" s="52" t="n">
        <f aca="false">F1724-K1724</f>
        <v>0</v>
      </c>
      <c r="N1724" s="39" t="str">
        <f aca="false">IF(M1724&lt;=0,"Lunas",IF(K1724&gt;0,"Sebagian","Belum Bayar"))</f>
        <v>Lunas</v>
      </c>
      <c r="O1724" s="39" t="n">
        <f aca="false">IF(M1724&gt;0,MAX(0,Catatan!$B$3-H1724),0)</f>
        <v>0</v>
      </c>
      <c r="P1724" s="39" t="str">
        <f aca="false">IF(M1724&lt;=0,"Lunas",IF(Catatan!$B$3&lt;=H1724,"Belum Jatuh Tempo",IF(O1724&lt;=30,"1-30 hari",IF(O1724&lt;=60,"31-60 hari",IF(O1724&lt;=90,"61-90 hari","90+ hari")))))</f>
        <v>Lunas</v>
      </c>
      <c r="Q1724" s="50"/>
      <c r="R1724" s="39" t="str">
        <f aca="false">IF(M1724&lt;=0,"",IF(O1724&gt;60,"1-Tinggi",IF(O1724&gt;30,"2-Sedang",IF(O1724&gt;0,"3-Rendah","4-Pantau"))))</f>
        <v/>
      </c>
      <c r="S1724" s="39" t="str">
        <f aca="false">IF(AND(M1724&gt;0,O1724&gt;0),O1724+M1724/1000000000000+ROW()/1000000000000000,"")</f>
        <v/>
      </c>
      <c r="T1724" s="39" t="str">
        <f aca="false">IF(J1724="Belum ditukar",ROW(),"")</f>
        <v/>
      </c>
    </row>
    <row r="1725" customFormat="false" ht="15" hidden="false" customHeight="false" outlineLevel="0" collapsed="false">
      <c r="A1725" s="50" t="s">
        <v>2009</v>
      </c>
      <c r="B1725" s="51" t="n">
        <v>46017</v>
      </c>
      <c r="C1725" s="50" t="s">
        <v>174</v>
      </c>
      <c r="D1725" s="39" t="str">
        <f aca="false">INDEX(Master_Customer!$B$2:$B$126,MATCH(C1725,Master_Customer!$A$2:$A$126,0))</f>
        <v>SUMBER TEKNIK SURYA</v>
      </c>
      <c r="E1725" s="50" t="s">
        <v>31</v>
      </c>
      <c r="F1725" s="52" t="n">
        <f aca="false">SUMIFS(Data_Penjualan!$G$2:$G$5998,Data_Penjualan!$A$2:$A$5998,A1725)</f>
        <v>10604000</v>
      </c>
      <c r="G1725" s="39" t="n">
        <f aca="false">IF(E1725="KANTOR",0,INDEX(Master_Customer!$C$2:$C$126,MATCH(C1725,Master_Customer!$A$2:$A$126,0)))</f>
        <v>30</v>
      </c>
      <c r="H1725" s="53" t="n">
        <f aca="false">B1725+G1725</f>
        <v>46047</v>
      </c>
      <c r="I1725" s="51" t="n">
        <v>46019</v>
      </c>
      <c r="J1725" s="39" t="str">
        <f aca="false">IF(G1725=0,"Tunai",IF(I1725="","Belum ditukar","Sudah ditukar"))</f>
        <v>Sudah ditukar</v>
      </c>
      <c r="K1725" s="54" t="n">
        <v>0</v>
      </c>
      <c r="M1725" s="52" t="n">
        <f aca="false">F1725-K1725</f>
        <v>10604000</v>
      </c>
      <c r="N1725" s="39" t="str">
        <f aca="false">IF(M1725&lt;=0,"Lunas",IF(K1725&gt;0,"Sebagian","Belum Bayar"))</f>
        <v>Belum Bayar</v>
      </c>
      <c r="O1725" s="39" t="n">
        <f aca="false">IF(M1725&gt;0,MAX(0,Catatan!$B$3-H1725),0)</f>
        <v>0</v>
      </c>
      <c r="P1725" s="39" t="str">
        <f aca="false">IF(M1725&lt;=0,"Lunas",IF(Catatan!$B$3&lt;=H1725,"Belum Jatuh Tempo",IF(O1725&lt;=30,"1-30 hari",IF(O1725&lt;=60,"31-60 hari",IF(O1725&lt;=90,"61-90 hari","90+ hari")))))</f>
        <v>Belum Jatuh Tempo</v>
      </c>
      <c r="Q1725" s="50"/>
      <c r="R1725" s="39" t="str">
        <f aca="false">IF(M1725&lt;=0,"",IF(O1725&gt;60,"1-Tinggi",IF(O1725&gt;30,"2-Sedang",IF(O1725&gt;0,"3-Rendah","4-Pantau"))))</f>
        <v>4-Pantau</v>
      </c>
      <c r="S1725" s="39" t="str">
        <f aca="false">IF(AND(M1725&gt;0,O1725&gt;0),O1725+M1725/1000000000000+ROW()/1000000000000000,"")</f>
        <v/>
      </c>
      <c r="T1725" s="39" t="str">
        <f aca="false">IF(J1725="Belum ditukar",ROW(),"")</f>
        <v/>
      </c>
    </row>
    <row r="1726" customFormat="false" ht="15" hidden="false" customHeight="false" outlineLevel="0" collapsed="false">
      <c r="A1726" s="50" t="s">
        <v>2010</v>
      </c>
      <c r="B1726" s="51" t="n">
        <v>46017</v>
      </c>
      <c r="C1726" s="50" t="s">
        <v>177</v>
      </c>
      <c r="D1726" s="39" t="str">
        <f aca="false">INDEX(Master_Customer!$B$2:$B$126,MATCH(C1726,Master_Customer!$A$2:$A$126,0))</f>
        <v>PRIMA MOTOR LANCAR</v>
      </c>
      <c r="E1726" s="50" t="s">
        <v>29</v>
      </c>
      <c r="F1726" s="52" t="n">
        <f aca="false">SUMIFS(Data_Penjualan!$G$2:$G$5998,Data_Penjualan!$A$2:$A$5998,A1726)</f>
        <v>6883200</v>
      </c>
      <c r="G1726" s="39" t="n">
        <f aca="false">IF(E1726="KANTOR",0,INDEX(Master_Customer!$C$2:$C$126,MATCH(C1726,Master_Customer!$A$2:$A$126,0)))</f>
        <v>14</v>
      </c>
      <c r="H1726" s="53" t="n">
        <f aca="false">B1726+G1726</f>
        <v>46031</v>
      </c>
      <c r="I1726" s="51" t="n">
        <v>46020</v>
      </c>
      <c r="J1726" s="39" t="str">
        <f aca="false">IF(G1726=0,"Tunai",IF(I1726="","Belum ditukar","Sudah ditukar"))</f>
        <v>Sudah ditukar</v>
      </c>
      <c r="K1726" s="54" t="n">
        <v>0</v>
      </c>
      <c r="M1726" s="52" t="n">
        <f aca="false">F1726-K1726</f>
        <v>6883200</v>
      </c>
      <c r="N1726" s="39" t="str">
        <f aca="false">IF(M1726&lt;=0,"Lunas",IF(K1726&gt;0,"Sebagian","Belum Bayar"))</f>
        <v>Belum Bayar</v>
      </c>
      <c r="O1726" s="39" t="n">
        <f aca="false">IF(M1726&gt;0,MAX(0,Catatan!$B$3-H1726),0)</f>
        <v>0</v>
      </c>
      <c r="P1726" s="39" t="str">
        <f aca="false">IF(M1726&lt;=0,"Lunas",IF(Catatan!$B$3&lt;=H1726,"Belum Jatuh Tempo",IF(O1726&lt;=30,"1-30 hari",IF(O1726&lt;=60,"31-60 hari",IF(O1726&lt;=90,"61-90 hari","90+ hari")))))</f>
        <v>Belum Jatuh Tempo</v>
      </c>
      <c r="Q1726" s="50"/>
      <c r="R1726" s="39" t="str">
        <f aca="false">IF(M1726&lt;=0,"",IF(O1726&gt;60,"1-Tinggi",IF(O1726&gt;30,"2-Sedang",IF(O1726&gt;0,"3-Rendah","4-Pantau"))))</f>
        <v>4-Pantau</v>
      </c>
      <c r="S1726" s="39" t="str">
        <f aca="false">IF(AND(M1726&gt;0,O1726&gt;0),O1726+M1726/1000000000000+ROW()/1000000000000000,"")</f>
        <v/>
      </c>
      <c r="T1726" s="39" t="str">
        <f aca="false">IF(J1726="Belum ditukar",ROW(),"")</f>
        <v/>
      </c>
    </row>
    <row r="1727" customFormat="false" ht="15" hidden="false" customHeight="false" outlineLevel="0" collapsed="false">
      <c r="A1727" s="50" t="s">
        <v>2011</v>
      </c>
      <c r="B1727" s="51" t="n">
        <v>46018</v>
      </c>
      <c r="C1727" s="50" t="s">
        <v>166</v>
      </c>
      <c r="D1727" s="39" t="str">
        <f aca="false">INDEX(Master_Customer!$B$2:$B$126,MATCH(C1727,Master_Customer!$A$2:$A$126,0))</f>
        <v>SENTOSA SERVICE</v>
      </c>
      <c r="E1727" s="50" t="s">
        <v>30</v>
      </c>
      <c r="F1727" s="52" t="n">
        <f aca="false">SUMIFS(Data_Penjualan!$G$2:$G$5998,Data_Penjualan!$A$2:$A$5998,A1727)</f>
        <v>14168100</v>
      </c>
      <c r="G1727" s="39" t="n">
        <f aca="false">IF(E1727="KANTOR",0,INDEX(Master_Customer!$C$2:$C$126,MATCH(C1727,Master_Customer!$A$2:$A$126,0)))</f>
        <v>0</v>
      </c>
      <c r="H1727" s="53" t="n">
        <f aca="false">B1727+G1727</f>
        <v>46018</v>
      </c>
      <c r="J1727" s="39" t="str">
        <f aca="false">IF(G1727=0,"Tunai",IF(I1727="","Belum ditukar","Sudah ditukar"))</f>
        <v>Tunai</v>
      </c>
      <c r="K1727" s="54" t="n">
        <v>14168100</v>
      </c>
      <c r="L1727" s="51" t="n">
        <v>46018</v>
      </c>
      <c r="M1727" s="52" t="n">
        <f aca="false">F1727-K1727</f>
        <v>0</v>
      </c>
      <c r="N1727" s="39" t="str">
        <f aca="false">IF(M1727&lt;=0,"Lunas",IF(K1727&gt;0,"Sebagian","Belum Bayar"))</f>
        <v>Lunas</v>
      </c>
      <c r="O1727" s="39" t="n">
        <f aca="false">IF(M1727&gt;0,MAX(0,Catatan!$B$3-H1727),0)</f>
        <v>0</v>
      </c>
      <c r="P1727" s="39" t="str">
        <f aca="false">IF(M1727&lt;=0,"Lunas",IF(Catatan!$B$3&lt;=H1727,"Belum Jatuh Tempo",IF(O1727&lt;=30,"1-30 hari",IF(O1727&lt;=60,"31-60 hari",IF(O1727&lt;=90,"61-90 hari","90+ hari")))))</f>
        <v>Lunas</v>
      </c>
      <c r="Q1727" s="50"/>
      <c r="R1727" s="39" t="str">
        <f aca="false">IF(M1727&lt;=0,"",IF(O1727&gt;60,"1-Tinggi",IF(O1727&gt;30,"2-Sedang",IF(O1727&gt;0,"3-Rendah","4-Pantau"))))</f>
        <v/>
      </c>
      <c r="S1727" s="39" t="str">
        <f aca="false">IF(AND(M1727&gt;0,O1727&gt;0),O1727+M1727/1000000000000+ROW()/1000000000000000,"")</f>
        <v/>
      </c>
      <c r="T1727" s="39" t="str">
        <f aca="false">IF(J1727="Belum ditukar",ROW(),"")</f>
        <v/>
      </c>
    </row>
    <row r="1728" customFormat="false" ht="15" hidden="false" customHeight="false" outlineLevel="0" collapsed="false">
      <c r="A1728" s="50" t="s">
        <v>2012</v>
      </c>
      <c r="B1728" s="51" t="n">
        <v>46018</v>
      </c>
      <c r="C1728" s="50" t="s">
        <v>286</v>
      </c>
      <c r="D1728" s="39" t="str">
        <f aca="false">INDEX(Master_Customer!$B$2:$B$126,MATCH(C1728,Master_Customer!$A$2:$A$126,0))</f>
        <v>CAHAYA AUTO</v>
      </c>
      <c r="E1728" s="50" t="s">
        <v>32</v>
      </c>
      <c r="F1728" s="52" t="n">
        <f aca="false">SUMIFS(Data_Penjualan!$G$2:$G$5998,Data_Penjualan!$A$2:$A$5998,A1728)</f>
        <v>14243800</v>
      </c>
      <c r="G1728" s="39" t="n">
        <f aca="false">IF(E1728="KANTOR",0,INDEX(Master_Customer!$C$2:$C$126,MATCH(C1728,Master_Customer!$A$2:$A$126,0)))</f>
        <v>0</v>
      </c>
      <c r="H1728" s="53" t="n">
        <f aca="false">B1728+G1728</f>
        <v>46018</v>
      </c>
      <c r="J1728" s="39" t="str">
        <f aca="false">IF(G1728=0,"Tunai",IF(I1728="","Belum ditukar","Sudah ditukar"))</f>
        <v>Tunai</v>
      </c>
      <c r="K1728" s="54" t="n">
        <v>14243800</v>
      </c>
      <c r="L1728" s="51" t="n">
        <v>46019</v>
      </c>
      <c r="M1728" s="52" t="n">
        <f aca="false">F1728-K1728</f>
        <v>0</v>
      </c>
      <c r="N1728" s="39" t="str">
        <f aca="false">IF(M1728&lt;=0,"Lunas",IF(K1728&gt;0,"Sebagian","Belum Bayar"))</f>
        <v>Lunas</v>
      </c>
      <c r="O1728" s="39" t="n">
        <f aca="false">IF(M1728&gt;0,MAX(0,Catatan!$B$3-H1728),0)</f>
        <v>0</v>
      </c>
      <c r="P1728" s="39" t="str">
        <f aca="false">IF(M1728&lt;=0,"Lunas",IF(Catatan!$B$3&lt;=H1728,"Belum Jatuh Tempo",IF(O1728&lt;=30,"1-30 hari",IF(O1728&lt;=60,"31-60 hari",IF(O1728&lt;=90,"61-90 hari","90+ hari")))))</f>
        <v>Lunas</v>
      </c>
      <c r="Q1728" s="50"/>
      <c r="R1728" s="39" t="str">
        <f aca="false">IF(M1728&lt;=0,"",IF(O1728&gt;60,"1-Tinggi",IF(O1728&gt;30,"2-Sedang",IF(O1728&gt;0,"3-Rendah","4-Pantau"))))</f>
        <v/>
      </c>
      <c r="S1728" s="39" t="str">
        <f aca="false">IF(AND(M1728&gt;0,O1728&gt;0),O1728+M1728/1000000000000+ROW()/1000000000000000,"")</f>
        <v/>
      </c>
      <c r="T1728" s="39" t="str">
        <f aca="false">IF(J1728="Belum ditukar",ROW(),"")</f>
        <v/>
      </c>
    </row>
    <row r="1729" customFormat="false" ht="15" hidden="false" customHeight="false" outlineLevel="0" collapsed="false">
      <c r="A1729" s="50" t="s">
        <v>2013</v>
      </c>
      <c r="B1729" s="51" t="n">
        <v>46018</v>
      </c>
      <c r="C1729" s="50" t="s">
        <v>505</v>
      </c>
      <c r="D1729" s="39" t="str">
        <f aca="false">INDEX(Master_Customer!$B$2:$B$126,MATCH(C1729,Master_Customer!$A$2:$A$126,0))</f>
        <v>GEMILANG OLI CAHAYA</v>
      </c>
      <c r="E1729" s="50" t="s">
        <v>31</v>
      </c>
      <c r="F1729" s="52" t="n">
        <f aca="false">SUMIFS(Data_Penjualan!$G$2:$G$5998,Data_Penjualan!$A$2:$A$5998,A1729)</f>
        <v>19066500</v>
      </c>
      <c r="G1729" s="39" t="n">
        <f aca="false">IF(E1729="KANTOR",0,INDEX(Master_Customer!$C$2:$C$126,MATCH(C1729,Master_Customer!$A$2:$A$126,0)))</f>
        <v>0</v>
      </c>
      <c r="H1729" s="53" t="n">
        <f aca="false">B1729+G1729</f>
        <v>46018</v>
      </c>
      <c r="J1729" s="39" t="str">
        <f aca="false">IF(G1729=0,"Tunai",IF(I1729="","Belum ditukar","Sudah ditukar"))</f>
        <v>Tunai</v>
      </c>
      <c r="K1729" s="54" t="n">
        <v>19066500</v>
      </c>
      <c r="L1729" s="51" t="n">
        <v>46018</v>
      </c>
      <c r="M1729" s="52" t="n">
        <f aca="false">F1729-K1729</f>
        <v>0</v>
      </c>
      <c r="N1729" s="39" t="str">
        <f aca="false">IF(M1729&lt;=0,"Lunas",IF(K1729&gt;0,"Sebagian","Belum Bayar"))</f>
        <v>Lunas</v>
      </c>
      <c r="O1729" s="39" t="n">
        <f aca="false">IF(M1729&gt;0,MAX(0,Catatan!$B$3-H1729),0)</f>
        <v>0</v>
      </c>
      <c r="P1729" s="39" t="str">
        <f aca="false">IF(M1729&lt;=0,"Lunas",IF(Catatan!$B$3&lt;=H1729,"Belum Jatuh Tempo",IF(O1729&lt;=30,"1-30 hari",IF(O1729&lt;=60,"31-60 hari",IF(O1729&lt;=90,"61-90 hari","90+ hari")))))</f>
        <v>Lunas</v>
      </c>
      <c r="Q1729" s="50"/>
      <c r="R1729" s="39" t="str">
        <f aca="false">IF(M1729&lt;=0,"",IF(O1729&gt;60,"1-Tinggi",IF(O1729&gt;30,"2-Sedang",IF(O1729&gt;0,"3-Rendah","4-Pantau"))))</f>
        <v/>
      </c>
      <c r="S1729" s="39" t="str">
        <f aca="false">IF(AND(M1729&gt;0,O1729&gt;0),O1729+M1729/1000000000000+ROW()/1000000000000000,"")</f>
        <v/>
      </c>
      <c r="T1729" s="39" t="str">
        <f aca="false">IF(J1729="Belum ditukar",ROW(),"")</f>
        <v/>
      </c>
    </row>
    <row r="1730" customFormat="false" ht="15" hidden="false" customHeight="false" outlineLevel="0" collapsed="false">
      <c r="A1730" s="50" t="s">
        <v>2014</v>
      </c>
      <c r="B1730" s="51" t="n">
        <v>46018</v>
      </c>
      <c r="C1730" s="50" t="s">
        <v>223</v>
      </c>
      <c r="D1730" s="39" t="str">
        <f aca="false">INDEX(Master_Customer!$B$2:$B$126,MATCH(C1730,Master_Customer!$A$2:$A$126,0))</f>
        <v>ABADI AUTO UTAMA</v>
      </c>
      <c r="E1730" s="50" t="s">
        <v>31</v>
      </c>
      <c r="F1730" s="52" t="n">
        <f aca="false">SUMIFS(Data_Penjualan!$G$2:$G$5998,Data_Penjualan!$A$2:$A$5998,A1730)</f>
        <v>5777200</v>
      </c>
      <c r="G1730" s="39" t="n">
        <f aca="false">IF(E1730="KANTOR",0,INDEX(Master_Customer!$C$2:$C$126,MATCH(C1730,Master_Customer!$A$2:$A$126,0)))</f>
        <v>14</v>
      </c>
      <c r="H1730" s="53" t="n">
        <f aca="false">B1730+G1730</f>
        <v>46032</v>
      </c>
      <c r="I1730" s="51" t="n">
        <v>46022</v>
      </c>
      <c r="J1730" s="39" t="str">
        <f aca="false">IF(G1730=0,"Tunai",IF(I1730="","Belum ditukar","Sudah ditukar"))</f>
        <v>Sudah ditukar</v>
      </c>
      <c r="K1730" s="54" t="n">
        <v>0</v>
      </c>
      <c r="M1730" s="52" t="n">
        <f aca="false">F1730-K1730</f>
        <v>5777200</v>
      </c>
      <c r="N1730" s="39" t="str">
        <f aca="false">IF(M1730&lt;=0,"Lunas",IF(K1730&gt;0,"Sebagian","Belum Bayar"))</f>
        <v>Belum Bayar</v>
      </c>
      <c r="O1730" s="39" t="n">
        <f aca="false">IF(M1730&gt;0,MAX(0,Catatan!$B$3-H1730),0)</f>
        <v>0</v>
      </c>
      <c r="P1730" s="39" t="str">
        <f aca="false">IF(M1730&lt;=0,"Lunas",IF(Catatan!$B$3&lt;=H1730,"Belum Jatuh Tempo",IF(O1730&lt;=30,"1-30 hari",IF(O1730&lt;=60,"31-60 hari",IF(O1730&lt;=90,"61-90 hari","90+ hari")))))</f>
        <v>Belum Jatuh Tempo</v>
      </c>
      <c r="Q1730" s="50"/>
      <c r="R1730" s="39" t="str">
        <f aca="false">IF(M1730&lt;=0,"",IF(O1730&gt;60,"1-Tinggi",IF(O1730&gt;30,"2-Sedang",IF(O1730&gt;0,"3-Rendah","4-Pantau"))))</f>
        <v>4-Pantau</v>
      </c>
      <c r="S1730" s="39" t="str">
        <f aca="false">IF(AND(M1730&gt;0,O1730&gt;0),O1730+M1730/1000000000000+ROW()/1000000000000000,"")</f>
        <v/>
      </c>
      <c r="T1730" s="39" t="str">
        <f aca="false">IF(J1730="Belum ditukar",ROW(),"")</f>
        <v/>
      </c>
    </row>
    <row r="1731" customFormat="false" ht="15" hidden="false" customHeight="false" outlineLevel="0" collapsed="false">
      <c r="A1731" s="50" t="s">
        <v>2015</v>
      </c>
      <c r="B1731" s="51" t="n">
        <v>46020</v>
      </c>
      <c r="C1731" s="50" t="s">
        <v>203</v>
      </c>
      <c r="D1731" s="39" t="str">
        <f aca="false">INDEX(Master_Customer!$B$2:$B$126,MATCH(C1731,Master_Customer!$A$2:$A$126,0))</f>
        <v>BINTANG TEKNIK</v>
      </c>
      <c r="E1731" s="50" t="s">
        <v>28</v>
      </c>
      <c r="F1731" s="52" t="n">
        <f aca="false">SUMIFS(Data_Penjualan!$G$2:$G$5998,Data_Penjualan!$A$2:$A$5998,A1731)</f>
        <v>12035400</v>
      </c>
      <c r="G1731" s="39" t="n">
        <f aca="false">IF(E1731="KANTOR",0,INDEX(Master_Customer!$C$2:$C$126,MATCH(C1731,Master_Customer!$A$2:$A$126,0)))</f>
        <v>45</v>
      </c>
      <c r="H1731" s="53" t="n">
        <f aca="false">B1731+G1731</f>
        <v>46065</v>
      </c>
      <c r="J1731" s="39" t="str">
        <f aca="false">IF(G1731=0,"Tunai",IF(I1731="","Belum ditukar","Sudah ditukar"))</f>
        <v>Belum ditukar</v>
      </c>
      <c r="K1731" s="54" t="n">
        <v>8218900</v>
      </c>
      <c r="L1731" s="51" t="n">
        <v>46021</v>
      </c>
      <c r="M1731" s="52" t="n">
        <f aca="false">F1731-K1731</f>
        <v>3816500</v>
      </c>
      <c r="N1731" s="39" t="str">
        <f aca="false">IF(M1731&lt;=0,"Lunas",IF(K1731&gt;0,"Sebagian","Belum Bayar"))</f>
        <v>Sebagian</v>
      </c>
      <c r="O1731" s="39" t="n">
        <f aca="false">IF(M1731&gt;0,MAX(0,Catatan!$B$3-H1731),0)</f>
        <v>0</v>
      </c>
      <c r="P1731" s="39" t="str">
        <f aca="false">IF(M1731&lt;=0,"Lunas",IF(Catatan!$B$3&lt;=H1731,"Belum Jatuh Tempo",IF(O1731&lt;=30,"1-30 hari",IF(O1731&lt;=60,"31-60 hari",IF(O1731&lt;=90,"61-90 hari","90+ hari")))))</f>
        <v>Belum Jatuh Tempo</v>
      </c>
      <c r="Q1731" s="50"/>
      <c r="R1731" s="39" t="str">
        <f aca="false">IF(M1731&lt;=0,"",IF(O1731&gt;60,"1-Tinggi",IF(O1731&gt;30,"2-Sedang",IF(O1731&gt;0,"3-Rendah","4-Pantau"))))</f>
        <v>4-Pantau</v>
      </c>
      <c r="S1731" s="39" t="str">
        <f aca="false">IF(AND(M1731&gt;0,O1731&gt;0),O1731+M1731/1000000000000+ROW()/1000000000000000,"")</f>
        <v/>
      </c>
      <c r="T1731" s="39" t="n">
        <f aca="false">IF(J1731="Belum ditukar",ROW(),"")</f>
        <v>1731</v>
      </c>
    </row>
    <row r="1732" customFormat="false" ht="15" hidden="false" customHeight="false" outlineLevel="0" collapsed="false">
      <c r="A1732" s="50" t="s">
        <v>2016</v>
      </c>
      <c r="B1732" s="51" t="n">
        <v>46020</v>
      </c>
      <c r="C1732" s="50" t="s">
        <v>467</v>
      </c>
      <c r="D1732" s="39" t="str">
        <f aca="false">INDEX(Master_Customer!$B$2:$B$126,MATCH(C1732,Master_Customer!$A$2:$A$126,0))</f>
        <v>LANCAR GARAGE UTAMA</v>
      </c>
      <c r="E1732" s="50" t="s">
        <v>31</v>
      </c>
      <c r="F1732" s="52" t="n">
        <f aca="false">SUMIFS(Data_Penjualan!$G$2:$G$5998,Data_Penjualan!$A$2:$A$5998,A1732)</f>
        <v>6857200</v>
      </c>
      <c r="G1732" s="39" t="n">
        <f aca="false">IF(E1732="KANTOR",0,INDEX(Master_Customer!$C$2:$C$126,MATCH(C1732,Master_Customer!$A$2:$A$126,0)))</f>
        <v>14</v>
      </c>
      <c r="H1732" s="53" t="n">
        <f aca="false">B1732+G1732</f>
        <v>46034</v>
      </c>
      <c r="I1732" s="51" t="n">
        <v>46021</v>
      </c>
      <c r="J1732" s="39" t="str">
        <f aca="false">IF(G1732=0,"Tunai",IF(I1732="","Belum ditukar","Sudah ditukar"))</f>
        <v>Sudah ditukar</v>
      </c>
      <c r="K1732" s="54" t="n">
        <v>0</v>
      </c>
      <c r="M1732" s="52" t="n">
        <f aca="false">F1732-K1732</f>
        <v>6857200</v>
      </c>
      <c r="N1732" s="39" t="str">
        <f aca="false">IF(M1732&lt;=0,"Lunas",IF(K1732&gt;0,"Sebagian","Belum Bayar"))</f>
        <v>Belum Bayar</v>
      </c>
      <c r="O1732" s="39" t="n">
        <f aca="false">IF(M1732&gt;0,MAX(0,Catatan!$B$3-H1732),0)</f>
        <v>0</v>
      </c>
      <c r="P1732" s="39" t="str">
        <f aca="false">IF(M1732&lt;=0,"Lunas",IF(Catatan!$B$3&lt;=H1732,"Belum Jatuh Tempo",IF(O1732&lt;=30,"1-30 hari",IF(O1732&lt;=60,"31-60 hari",IF(O1732&lt;=90,"61-90 hari","90+ hari")))))</f>
        <v>Belum Jatuh Tempo</v>
      </c>
      <c r="Q1732" s="50"/>
      <c r="R1732" s="39" t="str">
        <f aca="false">IF(M1732&lt;=0,"",IF(O1732&gt;60,"1-Tinggi",IF(O1732&gt;30,"2-Sedang",IF(O1732&gt;0,"3-Rendah","4-Pantau"))))</f>
        <v>4-Pantau</v>
      </c>
      <c r="S1732" s="39" t="str">
        <f aca="false">IF(AND(M1732&gt;0,O1732&gt;0),O1732+M1732/1000000000000+ROW()/1000000000000000,"")</f>
        <v/>
      </c>
      <c r="T1732" s="39" t="str">
        <f aca="false">IF(J1732="Belum ditukar",ROW(),"")</f>
        <v/>
      </c>
    </row>
    <row r="1733" customFormat="false" ht="15" hidden="false" customHeight="false" outlineLevel="0" collapsed="false">
      <c r="A1733" s="50" t="s">
        <v>2017</v>
      </c>
      <c r="B1733" s="51" t="n">
        <v>46020</v>
      </c>
      <c r="C1733" s="50" t="s">
        <v>419</v>
      </c>
      <c r="D1733" s="39" t="str">
        <f aca="false">INDEX(Master_Customer!$B$2:$B$126,MATCH(C1733,Master_Customer!$A$2:$A$126,0))</f>
        <v>UTAMA MOTOR</v>
      </c>
      <c r="E1733" s="50" t="s">
        <v>30</v>
      </c>
      <c r="F1733" s="52" t="n">
        <f aca="false">SUMIFS(Data_Penjualan!$G$2:$G$5998,Data_Penjualan!$A$2:$A$5998,A1733)</f>
        <v>375700</v>
      </c>
      <c r="G1733" s="39" t="n">
        <f aca="false">IF(E1733="KANTOR",0,INDEX(Master_Customer!$C$2:$C$126,MATCH(C1733,Master_Customer!$A$2:$A$126,0)))</f>
        <v>14</v>
      </c>
      <c r="H1733" s="53" t="n">
        <f aca="false">B1733+G1733</f>
        <v>46034</v>
      </c>
      <c r="J1733" s="39" t="str">
        <f aca="false">IF(G1733=0,"Tunai",IF(I1733="","Belum ditukar","Sudah ditukar"))</f>
        <v>Belum ditukar</v>
      </c>
      <c r="K1733" s="54" t="n">
        <v>0</v>
      </c>
      <c r="M1733" s="52" t="n">
        <f aca="false">F1733-K1733</f>
        <v>375700</v>
      </c>
      <c r="N1733" s="39" t="str">
        <f aca="false">IF(M1733&lt;=0,"Lunas",IF(K1733&gt;0,"Sebagian","Belum Bayar"))</f>
        <v>Belum Bayar</v>
      </c>
      <c r="O1733" s="39" t="n">
        <f aca="false">IF(M1733&gt;0,MAX(0,Catatan!$B$3-H1733),0)</f>
        <v>0</v>
      </c>
      <c r="P1733" s="39" t="str">
        <f aca="false">IF(M1733&lt;=0,"Lunas",IF(Catatan!$B$3&lt;=H1733,"Belum Jatuh Tempo",IF(O1733&lt;=30,"1-30 hari",IF(O1733&lt;=60,"31-60 hari",IF(O1733&lt;=90,"61-90 hari","90+ hari")))))</f>
        <v>Belum Jatuh Tempo</v>
      </c>
      <c r="Q1733" s="50"/>
      <c r="R1733" s="39" t="str">
        <f aca="false">IF(M1733&lt;=0,"",IF(O1733&gt;60,"1-Tinggi",IF(O1733&gt;30,"2-Sedang",IF(O1733&gt;0,"3-Rendah","4-Pantau"))))</f>
        <v>4-Pantau</v>
      </c>
      <c r="S1733" s="39" t="str">
        <f aca="false">IF(AND(M1733&gt;0,O1733&gt;0),O1733+M1733/1000000000000+ROW()/1000000000000000,"")</f>
        <v/>
      </c>
      <c r="T1733" s="39" t="n">
        <f aca="false">IF(J1733="Belum ditukar",ROW(),"")</f>
        <v>1733</v>
      </c>
    </row>
    <row r="1734" customFormat="false" ht="15" hidden="false" customHeight="false" outlineLevel="0" collapsed="false">
      <c r="A1734" s="50" t="s">
        <v>2018</v>
      </c>
      <c r="B1734" s="51" t="n">
        <v>46020</v>
      </c>
      <c r="C1734" s="50" t="s">
        <v>271</v>
      </c>
      <c r="D1734" s="39" t="str">
        <f aca="false">INDEX(Master_Customer!$B$2:$B$126,MATCH(C1734,Master_Customer!$A$2:$A$126,0))</f>
        <v>CAHAYA MOTOR</v>
      </c>
      <c r="E1734" s="50" t="s">
        <v>28</v>
      </c>
      <c r="F1734" s="52" t="n">
        <f aca="false">SUMIFS(Data_Penjualan!$G$2:$G$5998,Data_Penjualan!$A$2:$A$5998,A1734)</f>
        <v>5431600</v>
      </c>
      <c r="G1734" s="39" t="n">
        <f aca="false">IF(E1734="KANTOR",0,INDEX(Master_Customer!$C$2:$C$126,MATCH(C1734,Master_Customer!$A$2:$A$126,0)))</f>
        <v>14</v>
      </c>
      <c r="H1734" s="53" t="n">
        <f aca="false">B1734+G1734</f>
        <v>46034</v>
      </c>
      <c r="J1734" s="39" t="str">
        <f aca="false">IF(G1734=0,"Tunai",IF(I1734="","Belum ditukar","Sudah ditukar"))</f>
        <v>Belum ditukar</v>
      </c>
      <c r="K1734" s="54" t="n">
        <v>0</v>
      </c>
      <c r="M1734" s="52" t="n">
        <f aca="false">F1734-K1734</f>
        <v>5431600</v>
      </c>
      <c r="N1734" s="39" t="str">
        <f aca="false">IF(M1734&lt;=0,"Lunas",IF(K1734&gt;0,"Sebagian","Belum Bayar"))</f>
        <v>Belum Bayar</v>
      </c>
      <c r="O1734" s="39" t="n">
        <f aca="false">IF(M1734&gt;0,MAX(0,Catatan!$B$3-H1734),0)</f>
        <v>0</v>
      </c>
      <c r="P1734" s="39" t="str">
        <f aca="false">IF(M1734&lt;=0,"Lunas",IF(Catatan!$B$3&lt;=H1734,"Belum Jatuh Tempo",IF(O1734&lt;=30,"1-30 hari",IF(O1734&lt;=60,"31-60 hari",IF(O1734&lt;=90,"61-90 hari","90+ hari")))))</f>
        <v>Belum Jatuh Tempo</v>
      </c>
      <c r="Q1734" s="50"/>
      <c r="R1734" s="39" t="str">
        <f aca="false">IF(M1734&lt;=0,"",IF(O1734&gt;60,"1-Tinggi",IF(O1734&gt;30,"2-Sedang",IF(O1734&gt;0,"3-Rendah","4-Pantau"))))</f>
        <v>4-Pantau</v>
      </c>
      <c r="S1734" s="39" t="str">
        <f aca="false">IF(AND(M1734&gt;0,O1734&gt;0),O1734+M1734/1000000000000+ROW()/1000000000000000,"")</f>
        <v/>
      </c>
      <c r="T1734" s="39" t="n">
        <f aca="false">IF(J1734="Belum ditukar",ROW(),"")</f>
        <v>1734</v>
      </c>
    </row>
    <row r="1735" customFormat="false" ht="15" hidden="false" customHeight="false" outlineLevel="0" collapsed="false">
      <c r="A1735" s="50" t="s">
        <v>2019</v>
      </c>
      <c r="B1735" s="51" t="n">
        <v>46020</v>
      </c>
      <c r="C1735" s="50" t="s">
        <v>207</v>
      </c>
      <c r="D1735" s="39" t="str">
        <f aca="false">INDEX(Master_Customer!$B$2:$B$126,MATCH(C1735,Master_Customer!$A$2:$A$126,0))</f>
        <v>MAKMUR AUTO HARAPAN</v>
      </c>
      <c r="E1735" s="50" t="s">
        <v>32</v>
      </c>
      <c r="F1735" s="52" t="n">
        <f aca="false">SUMIFS(Data_Penjualan!$G$2:$G$5998,Data_Penjualan!$A$2:$A$5998,A1735)</f>
        <v>32822400</v>
      </c>
      <c r="G1735" s="39" t="n">
        <f aca="false">IF(E1735="KANTOR",0,INDEX(Master_Customer!$C$2:$C$126,MATCH(C1735,Master_Customer!$A$2:$A$126,0)))</f>
        <v>0</v>
      </c>
      <c r="H1735" s="53" t="n">
        <f aca="false">B1735+G1735</f>
        <v>46020</v>
      </c>
      <c r="J1735" s="39" t="str">
        <f aca="false">IF(G1735=0,"Tunai",IF(I1735="","Belum ditukar","Sudah ditukar"))</f>
        <v>Tunai</v>
      </c>
      <c r="K1735" s="54" t="n">
        <v>32822400</v>
      </c>
      <c r="L1735" s="51" t="n">
        <v>46020</v>
      </c>
      <c r="M1735" s="52" t="n">
        <f aca="false">F1735-K1735</f>
        <v>0</v>
      </c>
      <c r="N1735" s="39" t="str">
        <f aca="false">IF(M1735&lt;=0,"Lunas",IF(K1735&gt;0,"Sebagian","Belum Bayar"))</f>
        <v>Lunas</v>
      </c>
      <c r="O1735" s="39" t="n">
        <f aca="false">IF(M1735&gt;0,MAX(0,Catatan!$B$3-H1735),0)</f>
        <v>0</v>
      </c>
      <c r="P1735" s="39" t="str">
        <f aca="false">IF(M1735&lt;=0,"Lunas",IF(Catatan!$B$3&lt;=H1735,"Belum Jatuh Tempo",IF(O1735&lt;=30,"1-30 hari",IF(O1735&lt;=60,"31-60 hari",IF(O1735&lt;=90,"61-90 hari","90+ hari")))))</f>
        <v>Lunas</v>
      </c>
      <c r="Q1735" s="50"/>
      <c r="R1735" s="39" t="str">
        <f aca="false">IF(M1735&lt;=0,"",IF(O1735&gt;60,"1-Tinggi",IF(O1735&gt;30,"2-Sedang",IF(O1735&gt;0,"3-Rendah","4-Pantau"))))</f>
        <v/>
      </c>
      <c r="S1735" s="39" t="str">
        <f aca="false">IF(AND(M1735&gt;0,O1735&gt;0),O1735+M1735/1000000000000+ROW()/1000000000000000,"")</f>
        <v/>
      </c>
      <c r="T1735" s="39" t="str">
        <f aca="false">IF(J1735="Belum ditukar",ROW(),"")</f>
        <v/>
      </c>
    </row>
    <row r="1736" customFormat="false" ht="15" hidden="false" customHeight="false" outlineLevel="0" collapsed="false">
      <c r="A1736" s="50" t="s">
        <v>2020</v>
      </c>
      <c r="B1736" s="51" t="n">
        <v>46020</v>
      </c>
      <c r="C1736" s="50" t="s">
        <v>168</v>
      </c>
      <c r="D1736" s="39" t="str">
        <f aca="false">INDEX(Master_Customer!$B$2:$B$126,MATCH(C1736,Master_Customer!$A$2:$A$126,0))</f>
        <v>JAYA LUBRICANT</v>
      </c>
      <c r="E1736" s="50" t="s">
        <v>29</v>
      </c>
      <c r="F1736" s="52" t="n">
        <f aca="false">SUMIFS(Data_Penjualan!$G$2:$G$5998,Data_Penjualan!$A$2:$A$5998,A1736)</f>
        <v>2825200</v>
      </c>
      <c r="G1736" s="39" t="n">
        <f aca="false">IF(E1736="KANTOR",0,INDEX(Master_Customer!$C$2:$C$126,MATCH(C1736,Master_Customer!$A$2:$A$126,0)))</f>
        <v>0</v>
      </c>
      <c r="H1736" s="53" t="n">
        <f aca="false">B1736+G1736</f>
        <v>46020</v>
      </c>
      <c r="J1736" s="39" t="str">
        <f aca="false">IF(G1736=0,"Tunai",IF(I1736="","Belum ditukar","Sudah ditukar"))</f>
        <v>Tunai</v>
      </c>
      <c r="K1736" s="54" t="n">
        <v>2825200</v>
      </c>
      <c r="L1736" s="51" t="n">
        <v>46020</v>
      </c>
      <c r="M1736" s="52" t="n">
        <f aca="false">F1736-K1736</f>
        <v>0</v>
      </c>
      <c r="N1736" s="39" t="str">
        <f aca="false">IF(M1736&lt;=0,"Lunas",IF(K1736&gt;0,"Sebagian","Belum Bayar"))</f>
        <v>Lunas</v>
      </c>
      <c r="O1736" s="39" t="n">
        <f aca="false">IF(M1736&gt;0,MAX(0,Catatan!$B$3-H1736),0)</f>
        <v>0</v>
      </c>
      <c r="P1736" s="39" t="str">
        <f aca="false">IF(M1736&lt;=0,"Lunas",IF(Catatan!$B$3&lt;=H1736,"Belum Jatuh Tempo",IF(O1736&lt;=30,"1-30 hari",IF(O1736&lt;=60,"31-60 hari",IF(O1736&lt;=90,"61-90 hari","90+ hari")))))</f>
        <v>Lunas</v>
      </c>
      <c r="Q1736" s="50"/>
      <c r="R1736" s="39" t="str">
        <f aca="false">IF(M1736&lt;=0,"",IF(O1736&gt;60,"1-Tinggi",IF(O1736&gt;30,"2-Sedang",IF(O1736&gt;0,"3-Rendah","4-Pantau"))))</f>
        <v/>
      </c>
      <c r="S1736" s="39" t="str">
        <f aca="false">IF(AND(M1736&gt;0,O1736&gt;0),O1736+M1736/1000000000000+ROW()/1000000000000000,"")</f>
        <v/>
      </c>
      <c r="T1736" s="39" t="str">
        <f aca="false">IF(J1736="Belum ditukar",ROW(),"")</f>
        <v/>
      </c>
    </row>
    <row r="1737" customFormat="false" ht="15" hidden="false" customHeight="false" outlineLevel="0" collapsed="false">
      <c r="A1737" s="50" t="s">
        <v>2021</v>
      </c>
      <c r="B1737" s="51" t="n">
        <v>46020</v>
      </c>
      <c r="C1737" s="50" t="s">
        <v>199</v>
      </c>
      <c r="D1737" s="39" t="str">
        <f aca="false">INDEX(Master_Customer!$B$2:$B$126,MATCH(C1737,Master_Customer!$A$2:$A$126,0))</f>
        <v>KARYA SPAREPART</v>
      </c>
      <c r="E1737" s="50" t="s">
        <v>29</v>
      </c>
      <c r="F1737" s="52" t="n">
        <f aca="false">SUMIFS(Data_Penjualan!$G$2:$G$5998,Data_Penjualan!$A$2:$A$5998,A1737)</f>
        <v>8626200</v>
      </c>
      <c r="G1737" s="39" t="n">
        <f aca="false">IF(E1737="KANTOR",0,INDEX(Master_Customer!$C$2:$C$126,MATCH(C1737,Master_Customer!$A$2:$A$126,0)))</f>
        <v>45</v>
      </c>
      <c r="H1737" s="53" t="n">
        <f aca="false">B1737+G1737</f>
        <v>46065</v>
      </c>
      <c r="J1737" s="39" t="str">
        <f aca="false">IF(G1737=0,"Tunai",IF(I1737="","Belum ditukar","Sudah ditukar"))</f>
        <v>Belum ditukar</v>
      </c>
      <c r="K1737" s="54" t="n">
        <v>0</v>
      </c>
      <c r="M1737" s="52" t="n">
        <f aca="false">F1737-K1737</f>
        <v>8626200</v>
      </c>
      <c r="N1737" s="39" t="str">
        <f aca="false">IF(M1737&lt;=0,"Lunas",IF(K1737&gt;0,"Sebagian","Belum Bayar"))</f>
        <v>Belum Bayar</v>
      </c>
      <c r="O1737" s="39" t="n">
        <f aca="false">IF(M1737&gt;0,MAX(0,Catatan!$B$3-H1737),0)</f>
        <v>0</v>
      </c>
      <c r="P1737" s="39" t="str">
        <f aca="false">IF(M1737&lt;=0,"Lunas",IF(Catatan!$B$3&lt;=H1737,"Belum Jatuh Tempo",IF(O1737&lt;=30,"1-30 hari",IF(O1737&lt;=60,"31-60 hari",IF(O1737&lt;=90,"61-90 hari","90+ hari")))))</f>
        <v>Belum Jatuh Tempo</v>
      </c>
      <c r="Q1737" s="50"/>
      <c r="R1737" s="39" t="str">
        <f aca="false">IF(M1737&lt;=0,"",IF(O1737&gt;60,"1-Tinggi",IF(O1737&gt;30,"2-Sedang",IF(O1737&gt;0,"3-Rendah","4-Pantau"))))</f>
        <v>4-Pantau</v>
      </c>
      <c r="S1737" s="39" t="str">
        <f aca="false">IF(AND(M1737&gt;0,O1737&gt;0),O1737+M1737/1000000000000+ROW()/1000000000000000,"")</f>
        <v/>
      </c>
      <c r="T1737" s="39" t="n">
        <f aca="false">IF(J1737="Belum ditukar",ROW(),"")</f>
        <v>1737</v>
      </c>
    </row>
    <row r="1738" customFormat="false" ht="15" hidden="false" customHeight="false" outlineLevel="0" collapsed="false">
      <c r="A1738" s="50" t="s">
        <v>2022</v>
      </c>
      <c r="B1738" s="51" t="n">
        <v>46020</v>
      </c>
      <c r="C1738" s="50" t="s">
        <v>256</v>
      </c>
      <c r="D1738" s="39" t="str">
        <f aca="false">INDEX(Master_Customer!$B$2:$B$126,MATCH(C1738,Master_Customer!$A$2:$A$126,0))</f>
        <v>HARAPAN SPAREPART</v>
      </c>
      <c r="E1738" s="50" t="s">
        <v>31</v>
      </c>
      <c r="F1738" s="52" t="n">
        <f aca="false">SUMIFS(Data_Penjualan!$G$2:$G$5998,Data_Penjualan!$A$2:$A$5998,A1738)</f>
        <v>6958600</v>
      </c>
      <c r="G1738" s="39" t="n">
        <f aca="false">IF(E1738="KANTOR",0,INDEX(Master_Customer!$C$2:$C$126,MATCH(C1738,Master_Customer!$A$2:$A$126,0)))</f>
        <v>45</v>
      </c>
      <c r="H1738" s="53" t="n">
        <f aca="false">B1738+G1738</f>
        <v>46065</v>
      </c>
      <c r="I1738" s="51" t="n">
        <v>46021</v>
      </c>
      <c r="J1738" s="39" t="str">
        <f aca="false">IF(G1738=0,"Tunai",IF(I1738="","Belum ditukar","Sudah ditukar"))</f>
        <v>Sudah ditukar</v>
      </c>
      <c r="K1738" s="54" t="n">
        <v>0</v>
      </c>
      <c r="M1738" s="52" t="n">
        <f aca="false">F1738-K1738</f>
        <v>6958600</v>
      </c>
      <c r="N1738" s="39" t="str">
        <f aca="false">IF(M1738&lt;=0,"Lunas",IF(K1738&gt;0,"Sebagian","Belum Bayar"))</f>
        <v>Belum Bayar</v>
      </c>
      <c r="O1738" s="39" t="n">
        <f aca="false">IF(M1738&gt;0,MAX(0,Catatan!$B$3-H1738),0)</f>
        <v>0</v>
      </c>
      <c r="P1738" s="39" t="str">
        <f aca="false">IF(M1738&lt;=0,"Lunas",IF(Catatan!$B$3&lt;=H1738,"Belum Jatuh Tempo",IF(O1738&lt;=30,"1-30 hari",IF(O1738&lt;=60,"31-60 hari",IF(O1738&lt;=90,"61-90 hari","90+ hari")))))</f>
        <v>Belum Jatuh Tempo</v>
      </c>
      <c r="Q1738" s="50"/>
      <c r="R1738" s="39" t="str">
        <f aca="false">IF(M1738&lt;=0,"",IF(O1738&gt;60,"1-Tinggi",IF(O1738&gt;30,"2-Sedang",IF(O1738&gt;0,"3-Rendah","4-Pantau"))))</f>
        <v>4-Pantau</v>
      </c>
      <c r="S1738" s="39" t="str">
        <f aca="false">IF(AND(M1738&gt;0,O1738&gt;0),O1738+M1738/1000000000000+ROW()/1000000000000000,"")</f>
        <v/>
      </c>
      <c r="T1738" s="39" t="str">
        <f aca="false">IF(J1738="Belum ditukar",ROW(),"")</f>
        <v/>
      </c>
    </row>
    <row r="1739" customFormat="false" ht="15" hidden="false" customHeight="false" outlineLevel="0" collapsed="false">
      <c r="A1739" s="50" t="s">
        <v>2023</v>
      </c>
      <c r="B1739" s="51" t="n">
        <v>46020</v>
      </c>
      <c r="C1739" s="50" t="s">
        <v>320</v>
      </c>
      <c r="D1739" s="39" t="str">
        <f aca="false">INDEX(Master_Customer!$B$2:$B$126,MATCH(C1739,Master_Customer!$A$2:$A$126,0))</f>
        <v>BINTANG OLI</v>
      </c>
      <c r="E1739" s="50" t="s">
        <v>31</v>
      </c>
      <c r="F1739" s="52" t="n">
        <f aca="false">SUMIFS(Data_Penjualan!$G$2:$G$5998,Data_Penjualan!$A$2:$A$5998,A1739)</f>
        <v>22228000</v>
      </c>
      <c r="G1739" s="39" t="n">
        <f aca="false">IF(E1739="KANTOR",0,INDEX(Master_Customer!$C$2:$C$126,MATCH(C1739,Master_Customer!$A$2:$A$126,0)))</f>
        <v>14</v>
      </c>
      <c r="H1739" s="53" t="n">
        <f aca="false">B1739+G1739</f>
        <v>46034</v>
      </c>
      <c r="J1739" s="39" t="str">
        <f aca="false">IF(G1739=0,"Tunai",IF(I1739="","Belum ditukar","Sudah ditukar"))</f>
        <v>Belum ditukar</v>
      </c>
      <c r="K1739" s="54" t="n">
        <v>0</v>
      </c>
      <c r="M1739" s="52" t="n">
        <f aca="false">F1739-K1739</f>
        <v>22228000</v>
      </c>
      <c r="N1739" s="39" t="str">
        <f aca="false">IF(M1739&lt;=0,"Lunas",IF(K1739&gt;0,"Sebagian","Belum Bayar"))</f>
        <v>Belum Bayar</v>
      </c>
      <c r="O1739" s="39" t="n">
        <f aca="false">IF(M1739&gt;0,MAX(0,Catatan!$B$3-H1739),0)</f>
        <v>0</v>
      </c>
      <c r="P1739" s="39" t="str">
        <f aca="false">IF(M1739&lt;=0,"Lunas",IF(Catatan!$B$3&lt;=H1739,"Belum Jatuh Tempo",IF(O1739&lt;=30,"1-30 hari",IF(O1739&lt;=60,"31-60 hari",IF(O1739&lt;=90,"61-90 hari","90+ hari")))))</f>
        <v>Belum Jatuh Tempo</v>
      </c>
      <c r="Q1739" s="50"/>
      <c r="R1739" s="39" t="str">
        <f aca="false">IF(M1739&lt;=0,"",IF(O1739&gt;60,"1-Tinggi",IF(O1739&gt;30,"2-Sedang",IF(O1739&gt;0,"3-Rendah","4-Pantau"))))</f>
        <v>4-Pantau</v>
      </c>
      <c r="S1739" s="39" t="str">
        <f aca="false">IF(AND(M1739&gt;0,O1739&gt;0),O1739+M1739/1000000000000+ROW()/1000000000000000,"")</f>
        <v/>
      </c>
      <c r="T1739" s="39" t="n">
        <f aca="false">IF(J1739="Belum ditukar",ROW(),"")</f>
        <v>1739</v>
      </c>
    </row>
    <row r="1740" customFormat="false" ht="15" hidden="false" customHeight="false" outlineLevel="0" collapsed="false">
      <c r="A1740" s="50" t="s">
        <v>2024</v>
      </c>
      <c r="B1740" s="51" t="n">
        <v>46021</v>
      </c>
      <c r="C1740" s="50" t="s">
        <v>256</v>
      </c>
      <c r="D1740" s="39" t="str">
        <f aca="false">INDEX(Master_Customer!$B$2:$B$126,MATCH(C1740,Master_Customer!$A$2:$A$126,0))</f>
        <v>HARAPAN SPAREPART</v>
      </c>
      <c r="E1740" s="50" t="s">
        <v>32</v>
      </c>
      <c r="F1740" s="52" t="n">
        <f aca="false">SUMIFS(Data_Penjualan!$G$2:$G$5998,Data_Penjualan!$A$2:$A$5998,A1740)</f>
        <v>1342400</v>
      </c>
      <c r="G1740" s="39" t="n">
        <f aca="false">IF(E1740="KANTOR",0,INDEX(Master_Customer!$C$2:$C$126,MATCH(C1740,Master_Customer!$A$2:$A$126,0)))</f>
        <v>0</v>
      </c>
      <c r="H1740" s="53" t="n">
        <f aca="false">B1740+G1740</f>
        <v>46021</v>
      </c>
      <c r="J1740" s="39" t="str">
        <f aca="false">IF(G1740=0,"Tunai",IF(I1740="","Belum ditukar","Sudah ditukar"))</f>
        <v>Tunai</v>
      </c>
      <c r="K1740" s="54" t="n">
        <v>1342400</v>
      </c>
      <c r="L1740" s="51" t="n">
        <v>46021</v>
      </c>
      <c r="M1740" s="52" t="n">
        <f aca="false">F1740-K1740</f>
        <v>0</v>
      </c>
      <c r="N1740" s="39" t="str">
        <f aca="false">IF(M1740&lt;=0,"Lunas",IF(K1740&gt;0,"Sebagian","Belum Bayar"))</f>
        <v>Lunas</v>
      </c>
      <c r="O1740" s="39" t="n">
        <f aca="false">IF(M1740&gt;0,MAX(0,Catatan!$B$3-H1740),0)</f>
        <v>0</v>
      </c>
      <c r="P1740" s="39" t="str">
        <f aca="false">IF(M1740&lt;=0,"Lunas",IF(Catatan!$B$3&lt;=H1740,"Belum Jatuh Tempo",IF(O1740&lt;=30,"1-30 hari",IF(O1740&lt;=60,"31-60 hari",IF(O1740&lt;=90,"61-90 hari","90+ hari")))))</f>
        <v>Lunas</v>
      </c>
      <c r="Q1740" s="50"/>
      <c r="R1740" s="39" t="str">
        <f aca="false">IF(M1740&lt;=0,"",IF(O1740&gt;60,"1-Tinggi",IF(O1740&gt;30,"2-Sedang",IF(O1740&gt;0,"3-Rendah","4-Pantau"))))</f>
        <v/>
      </c>
      <c r="S1740" s="39" t="str">
        <f aca="false">IF(AND(M1740&gt;0,O1740&gt;0),O1740+M1740/1000000000000+ROW()/1000000000000000,"")</f>
        <v/>
      </c>
      <c r="T1740" s="39" t="str">
        <f aca="false">IF(J1740="Belum ditukar",ROW(),"")</f>
        <v/>
      </c>
    </row>
    <row r="1741" customFormat="false" ht="15" hidden="false" customHeight="false" outlineLevel="0" collapsed="false">
      <c r="A1741" s="50" t="s">
        <v>2025</v>
      </c>
      <c r="B1741" s="51" t="n">
        <v>46021</v>
      </c>
      <c r="C1741" s="50" t="s">
        <v>174</v>
      </c>
      <c r="D1741" s="39" t="str">
        <f aca="false">INDEX(Master_Customer!$B$2:$B$126,MATCH(C1741,Master_Customer!$A$2:$A$126,0))</f>
        <v>SUMBER TEKNIK SURYA</v>
      </c>
      <c r="E1741" s="50" t="s">
        <v>31</v>
      </c>
      <c r="F1741" s="52" t="n">
        <f aca="false">SUMIFS(Data_Penjualan!$G$2:$G$5998,Data_Penjualan!$A$2:$A$5998,A1741)</f>
        <v>15094500</v>
      </c>
      <c r="G1741" s="39" t="n">
        <f aca="false">IF(E1741="KANTOR",0,INDEX(Master_Customer!$C$2:$C$126,MATCH(C1741,Master_Customer!$A$2:$A$126,0)))</f>
        <v>30</v>
      </c>
      <c r="H1741" s="53" t="n">
        <f aca="false">B1741+G1741</f>
        <v>46051</v>
      </c>
      <c r="I1741" s="51" t="n">
        <v>46022</v>
      </c>
      <c r="J1741" s="39" t="str">
        <f aca="false">IF(G1741=0,"Tunai",IF(I1741="","Belum ditukar","Sudah ditukar"))</f>
        <v>Sudah ditukar</v>
      </c>
      <c r="K1741" s="54" t="n">
        <v>0</v>
      </c>
      <c r="M1741" s="52" t="n">
        <f aca="false">F1741-K1741</f>
        <v>15094500</v>
      </c>
      <c r="N1741" s="39" t="str">
        <f aca="false">IF(M1741&lt;=0,"Lunas",IF(K1741&gt;0,"Sebagian","Belum Bayar"))</f>
        <v>Belum Bayar</v>
      </c>
      <c r="O1741" s="39" t="n">
        <f aca="false">IF(M1741&gt;0,MAX(0,Catatan!$B$3-H1741),0)</f>
        <v>0</v>
      </c>
      <c r="P1741" s="39" t="str">
        <f aca="false">IF(M1741&lt;=0,"Lunas",IF(Catatan!$B$3&lt;=H1741,"Belum Jatuh Tempo",IF(O1741&lt;=30,"1-30 hari",IF(O1741&lt;=60,"31-60 hari",IF(O1741&lt;=90,"61-90 hari","90+ hari")))))</f>
        <v>Belum Jatuh Tempo</v>
      </c>
      <c r="Q1741" s="50"/>
      <c r="R1741" s="39" t="str">
        <f aca="false">IF(M1741&lt;=0,"",IF(O1741&gt;60,"1-Tinggi",IF(O1741&gt;30,"2-Sedang",IF(O1741&gt;0,"3-Rendah","4-Pantau"))))</f>
        <v>4-Pantau</v>
      </c>
      <c r="S1741" s="39" t="str">
        <f aca="false">IF(AND(M1741&gt;0,O1741&gt;0),O1741+M1741/1000000000000+ROW()/1000000000000000,"")</f>
        <v/>
      </c>
      <c r="T1741" s="39" t="str">
        <f aca="false">IF(J1741="Belum ditukar",ROW(),"")</f>
        <v/>
      </c>
    </row>
    <row r="1742" customFormat="false" ht="15" hidden="false" customHeight="false" outlineLevel="0" collapsed="false">
      <c r="A1742" s="50" t="s">
        <v>2026</v>
      </c>
      <c r="B1742" s="51" t="n">
        <v>46021</v>
      </c>
      <c r="C1742" s="50" t="s">
        <v>714</v>
      </c>
      <c r="D1742" s="39" t="str">
        <f aca="false">INDEX(Master_Customer!$B$2:$B$126,MATCH(C1742,Master_Customer!$A$2:$A$126,0))</f>
        <v>KARYA MOBIL CAHAYA</v>
      </c>
      <c r="E1742" s="50" t="s">
        <v>32</v>
      </c>
      <c r="F1742" s="52" t="n">
        <f aca="false">SUMIFS(Data_Penjualan!$G$2:$G$5998,Data_Penjualan!$A$2:$A$5998,A1742)</f>
        <v>10987200</v>
      </c>
      <c r="G1742" s="39" t="n">
        <f aca="false">IF(E1742="KANTOR",0,INDEX(Master_Customer!$C$2:$C$126,MATCH(C1742,Master_Customer!$A$2:$A$126,0)))</f>
        <v>0</v>
      </c>
      <c r="H1742" s="53" t="n">
        <f aca="false">B1742+G1742</f>
        <v>46021</v>
      </c>
      <c r="J1742" s="39" t="str">
        <f aca="false">IF(G1742=0,"Tunai",IF(I1742="","Belum ditukar","Sudah ditukar"))</f>
        <v>Tunai</v>
      </c>
      <c r="K1742" s="54" t="n">
        <v>10987200</v>
      </c>
      <c r="L1742" s="51" t="n">
        <v>46021</v>
      </c>
      <c r="M1742" s="52" t="n">
        <f aca="false">F1742-K1742</f>
        <v>0</v>
      </c>
      <c r="N1742" s="39" t="str">
        <f aca="false">IF(M1742&lt;=0,"Lunas",IF(K1742&gt;0,"Sebagian","Belum Bayar"))</f>
        <v>Lunas</v>
      </c>
      <c r="O1742" s="39" t="n">
        <f aca="false">IF(M1742&gt;0,MAX(0,Catatan!$B$3-H1742),0)</f>
        <v>0</v>
      </c>
      <c r="P1742" s="39" t="str">
        <f aca="false">IF(M1742&lt;=0,"Lunas",IF(Catatan!$B$3&lt;=H1742,"Belum Jatuh Tempo",IF(O1742&lt;=30,"1-30 hari",IF(O1742&lt;=60,"31-60 hari",IF(O1742&lt;=90,"61-90 hari","90+ hari")))))</f>
        <v>Lunas</v>
      </c>
      <c r="Q1742" s="50"/>
      <c r="R1742" s="39" t="str">
        <f aca="false">IF(M1742&lt;=0,"",IF(O1742&gt;60,"1-Tinggi",IF(O1742&gt;30,"2-Sedang",IF(O1742&gt;0,"3-Rendah","4-Pantau"))))</f>
        <v/>
      </c>
      <c r="S1742" s="39" t="str">
        <f aca="false">IF(AND(M1742&gt;0,O1742&gt;0),O1742+M1742/1000000000000+ROW()/1000000000000000,"")</f>
        <v/>
      </c>
      <c r="T1742" s="39" t="str">
        <f aca="false">IF(J1742="Belum ditukar",ROW(),"")</f>
        <v/>
      </c>
    </row>
    <row r="1743" customFormat="false" ht="15" hidden="false" customHeight="false" outlineLevel="0" collapsed="false">
      <c r="A1743" s="50" t="s">
        <v>2027</v>
      </c>
      <c r="B1743" s="51" t="n">
        <v>46021</v>
      </c>
      <c r="C1743" s="50" t="s">
        <v>571</v>
      </c>
      <c r="D1743" s="39" t="str">
        <f aca="false">INDEX(Master_Customer!$B$2:$B$126,MATCH(C1743,Master_Customer!$A$2:$A$126,0))</f>
        <v>HARAPAN OLI TIRTA</v>
      </c>
      <c r="E1743" s="50" t="s">
        <v>28</v>
      </c>
      <c r="F1743" s="52" t="n">
        <f aca="false">SUMIFS(Data_Penjualan!$G$2:$G$5998,Data_Penjualan!$A$2:$A$5998,A1743)</f>
        <v>2781500</v>
      </c>
      <c r="G1743" s="39" t="n">
        <f aca="false">IF(E1743="KANTOR",0,INDEX(Master_Customer!$C$2:$C$126,MATCH(C1743,Master_Customer!$A$2:$A$126,0)))</f>
        <v>14</v>
      </c>
      <c r="H1743" s="53" t="n">
        <f aca="false">B1743+G1743</f>
        <v>46035</v>
      </c>
      <c r="J1743" s="39" t="str">
        <f aca="false">IF(G1743=0,"Tunai",IF(I1743="","Belum ditukar","Sudah ditukar"))</f>
        <v>Belum ditukar</v>
      </c>
      <c r="K1743" s="54" t="n">
        <v>0</v>
      </c>
      <c r="M1743" s="52" t="n">
        <f aca="false">F1743-K1743</f>
        <v>2781500</v>
      </c>
      <c r="N1743" s="39" t="str">
        <f aca="false">IF(M1743&lt;=0,"Lunas",IF(K1743&gt;0,"Sebagian","Belum Bayar"))</f>
        <v>Belum Bayar</v>
      </c>
      <c r="O1743" s="39" t="n">
        <f aca="false">IF(M1743&gt;0,MAX(0,Catatan!$B$3-H1743),0)</f>
        <v>0</v>
      </c>
      <c r="P1743" s="39" t="str">
        <f aca="false">IF(M1743&lt;=0,"Lunas",IF(Catatan!$B$3&lt;=H1743,"Belum Jatuh Tempo",IF(O1743&lt;=30,"1-30 hari",IF(O1743&lt;=60,"31-60 hari",IF(O1743&lt;=90,"61-90 hari","90+ hari")))))</f>
        <v>Belum Jatuh Tempo</v>
      </c>
      <c r="Q1743" s="50"/>
      <c r="R1743" s="39" t="str">
        <f aca="false">IF(M1743&lt;=0,"",IF(O1743&gt;60,"1-Tinggi",IF(O1743&gt;30,"2-Sedang",IF(O1743&gt;0,"3-Rendah","4-Pantau"))))</f>
        <v>4-Pantau</v>
      </c>
      <c r="S1743" s="39" t="str">
        <f aca="false">IF(AND(M1743&gt;0,O1743&gt;0),O1743+M1743/1000000000000+ROW()/1000000000000000,"")</f>
        <v/>
      </c>
      <c r="T1743" s="39" t="n">
        <f aca="false">IF(J1743="Belum ditukar",ROW(),"")</f>
        <v>1743</v>
      </c>
    </row>
    <row r="1744" customFormat="false" ht="15" hidden="false" customHeight="false" outlineLevel="0" collapsed="false">
      <c r="A1744" s="50" t="s">
        <v>2028</v>
      </c>
      <c r="B1744" s="51" t="n">
        <v>46021</v>
      </c>
      <c r="C1744" s="50" t="s">
        <v>174</v>
      </c>
      <c r="D1744" s="39" t="str">
        <f aca="false">INDEX(Master_Customer!$B$2:$B$126,MATCH(C1744,Master_Customer!$A$2:$A$126,0))</f>
        <v>SUMBER TEKNIK SURYA</v>
      </c>
      <c r="E1744" s="50" t="s">
        <v>31</v>
      </c>
      <c r="F1744" s="52" t="n">
        <f aca="false">SUMIFS(Data_Penjualan!$G$2:$G$5998,Data_Penjualan!$A$2:$A$5998,A1744)</f>
        <v>5306400</v>
      </c>
      <c r="G1744" s="39" t="n">
        <f aca="false">IF(E1744="KANTOR",0,INDEX(Master_Customer!$C$2:$C$126,MATCH(C1744,Master_Customer!$A$2:$A$126,0)))</f>
        <v>30</v>
      </c>
      <c r="H1744" s="53" t="n">
        <f aca="false">B1744+G1744</f>
        <v>46051</v>
      </c>
      <c r="J1744" s="39" t="str">
        <f aca="false">IF(G1744=0,"Tunai",IF(I1744="","Belum ditukar","Sudah ditukar"))</f>
        <v>Belum ditukar</v>
      </c>
      <c r="K1744" s="54" t="n">
        <v>0</v>
      </c>
      <c r="M1744" s="52" t="n">
        <f aca="false">F1744-K1744</f>
        <v>5306400</v>
      </c>
      <c r="N1744" s="39" t="str">
        <f aca="false">IF(M1744&lt;=0,"Lunas",IF(K1744&gt;0,"Sebagian","Belum Bayar"))</f>
        <v>Belum Bayar</v>
      </c>
      <c r="O1744" s="39" t="n">
        <f aca="false">IF(M1744&gt;0,MAX(0,Catatan!$B$3-H1744),0)</f>
        <v>0</v>
      </c>
      <c r="P1744" s="39" t="str">
        <f aca="false">IF(M1744&lt;=0,"Lunas",IF(Catatan!$B$3&lt;=H1744,"Belum Jatuh Tempo",IF(O1744&lt;=30,"1-30 hari",IF(O1744&lt;=60,"31-60 hari",IF(O1744&lt;=90,"61-90 hari","90+ hari")))))</f>
        <v>Belum Jatuh Tempo</v>
      </c>
      <c r="Q1744" s="50"/>
      <c r="R1744" s="39" t="str">
        <f aca="false">IF(M1744&lt;=0,"",IF(O1744&gt;60,"1-Tinggi",IF(O1744&gt;30,"2-Sedang",IF(O1744&gt;0,"3-Rendah","4-Pantau"))))</f>
        <v>4-Pantau</v>
      </c>
      <c r="S1744" s="39" t="str">
        <f aca="false">IF(AND(M1744&gt;0,O1744&gt;0),O1744+M1744/1000000000000+ROW()/1000000000000000,"")</f>
        <v/>
      </c>
      <c r="T1744" s="39" t="n">
        <f aca="false">IF(J1744="Belum ditukar",ROW(),"")</f>
        <v>1744</v>
      </c>
    </row>
    <row r="1745" customFormat="false" ht="15" hidden="false" customHeight="false" outlineLevel="0" collapsed="false">
      <c r="A1745" s="50" t="s">
        <v>2029</v>
      </c>
      <c r="B1745" s="51" t="n">
        <v>46022</v>
      </c>
      <c r="C1745" s="50" t="s">
        <v>199</v>
      </c>
      <c r="D1745" s="39" t="str">
        <f aca="false">INDEX(Master_Customer!$B$2:$B$126,MATCH(C1745,Master_Customer!$A$2:$A$126,0))</f>
        <v>KARYA SPAREPART</v>
      </c>
      <c r="E1745" s="50" t="s">
        <v>32</v>
      </c>
      <c r="F1745" s="52" t="n">
        <f aca="false">SUMIFS(Data_Penjualan!$G$2:$G$5998,Data_Penjualan!$A$2:$A$5998,A1745)</f>
        <v>16782300</v>
      </c>
      <c r="G1745" s="39" t="n">
        <f aca="false">IF(E1745="KANTOR",0,INDEX(Master_Customer!$C$2:$C$126,MATCH(C1745,Master_Customer!$A$2:$A$126,0)))</f>
        <v>0</v>
      </c>
      <c r="H1745" s="53" t="n">
        <f aca="false">B1745+G1745</f>
        <v>46022</v>
      </c>
      <c r="J1745" s="39" t="str">
        <f aca="false">IF(G1745=0,"Tunai",IF(I1745="","Belum ditukar","Sudah ditukar"))</f>
        <v>Tunai</v>
      </c>
      <c r="K1745" s="54" t="n">
        <v>16782300</v>
      </c>
      <c r="L1745" s="51" t="n">
        <v>46022</v>
      </c>
      <c r="M1745" s="52" t="n">
        <f aca="false">F1745-K1745</f>
        <v>0</v>
      </c>
      <c r="N1745" s="39" t="str">
        <f aca="false">IF(M1745&lt;=0,"Lunas",IF(K1745&gt;0,"Sebagian","Belum Bayar"))</f>
        <v>Lunas</v>
      </c>
      <c r="O1745" s="39" t="n">
        <f aca="false">IF(M1745&gt;0,MAX(0,Catatan!$B$3-H1745),0)</f>
        <v>0</v>
      </c>
      <c r="P1745" s="39" t="str">
        <f aca="false">IF(M1745&lt;=0,"Lunas",IF(Catatan!$B$3&lt;=H1745,"Belum Jatuh Tempo",IF(O1745&lt;=30,"1-30 hari",IF(O1745&lt;=60,"31-60 hari",IF(O1745&lt;=90,"61-90 hari","90+ hari")))))</f>
        <v>Lunas</v>
      </c>
      <c r="Q1745" s="50"/>
      <c r="R1745" s="39" t="str">
        <f aca="false">IF(M1745&lt;=0,"",IF(O1745&gt;60,"1-Tinggi",IF(O1745&gt;30,"2-Sedang",IF(O1745&gt;0,"3-Rendah","4-Pantau"))))</f>
        <v/>
      </c>
      <c r="S1745" s="39" t="str">
        <f aca="false">IF(AND(M1745&gt;0,O1745&gt;0),O1745+M1745/1000000000000+ROW()/1000000000000000,"")</f>
        <v/>
      </c>
      <c r="T1745" s="39" t="str">
        <f aca="false">IF(J1745="Belum ditukar",ROW(),"")</f>
        <v/>
      </c>
    </row>
    <row r="1746" customFormat="false" ht="15" hidden="false" customHeight="false" outlineLevel="0" collapsed="false">
      <c r="A1746" s="50" t="s">
        <v>2030</v>
      </c>
      <c r="B1746" s="51" t="n">
        <v>46022</v>
      </c>
      <c r="C1746" s="50" t="s">
        <v>166</v>
      </c>
      <c r="D1746" s="39" t="str">
        <f aca="false">INDEX(Master_Customer!$B$2:$B$126,MATCH(C1746,Master_Customer!$A$2:$A$126,0))</f>
        <v>SENTOSA SERVICE</v>
      </c>
      <c r="E1746" s="50" t="s">
        <v>30</v>
      </c>
      <c r="F1746" s="52" t="n">
        <f aca="false">SUMIFS(Data_Penjualan!$G$2:$G$5998,Data_Penjualan!$A$2:$A$5998,A1746)</f>
        <v>2858300</v>
      </c>
      <c r="G1746" s="39" t="n">
        <f aca="false">IF(E1746="KANTOR",0,INDEX(Master_Customer!$C$2:$C$126,MATCH(C1746,Master_Customer!$A$2:$A$126,0)))</f>
        <v>0</v>
      </c>
      <c r="H1746" s="53" t="n">
        <f aca="false">B1746+G1746</f>
        <v>46022</v>
      </c>
      <c r="J1746" s="39" t="str">
        <f aca="false">IF(G1746=0,"Tunai",IF(I1746="","Belum ditukar","Sudah ditukar"))</f>
        <v>Tunai</v>
      </c>
      <c r="K1746" s="54" t="n">
        <v>2858300</v>
      </c>
      <c r="L1746" s="51" t="n">
        <v>46022</v>
      </c>
      <c r="M1746" s="52" t="n">
        <f aca="false">F1746-K1746</f>
        <v>0</v>
      </c>
      <c r="N1746" s="39" t="str">
        <f aca="false">IF(M1746&lt;=0,"Lunas",IF(K1746&gt;0,"Sebagian","Belum Bayar"))</f>
        <v>Lunas</v>
      </c>
      <c r="O1746" s="39" t="n">
        <f aca="false">IF(M1746&gt;0,MAX(0,Catatan!$B$3-H1746),0)</f>
        <v>0</v>
      </c>
      <c r="P1746" s="39" t="str">
        <f aca="false">IF(M1746&lt;=0,"Lunas",IF(Catatan!$B$3&lt;=H1746,"Belum Jatuh Tempo",IF(O1746&lt;=30,"1-30 hari",IF(O1746&lt;=60,"31-60 hari",IF(O1746&lt;=90,"61-90 hari","90+ hari")))))</f>
        <v>Lunas</v>
      </c>
      <c r="Q1746" s="50"/>
      <c r="R1746" s="39" t="str">
        <f aca="false">IF(M1746&lt;=0,"",IF(O1746&gt;60,"1-Tinggi",IF(O1746&gt;30,"2-Sedang",IF(O1746&gt;0,"3-Rendah","4-Pantau"))))</f>
        <v/>
      </c>
      <c r="S1746" s="39" t="str">
        <f aca="false">IF(AND(M1746&gt;0,O1746&gt;0),O1746+M1746/1000000000000+ROW()/1000000000000000,"")</f>
        <v/>
      </c>
      <c r="T1746" s="39" t="str">
        <f aca="false">IF(J1746="Belum ditukar",ROW(),"")</f>
        <v/>
      </c>
    </row>
    <row r="1747" customFormat="false" ht="15" hidden="false" customHeight="false" outlineLevel="0" collapsed="false">
      <c r="A1747" s="50" t="s">
        <v>2031</v>
      </c>
      <c r="B1747" s="51" t="n">
        <v>46022</v>
      </c>
      <c r="C1747" s="50" t="s">
        <v>174</v>
      </c>
      <c r="D1747" s="39" t="str">
        <f aca="false">INDEX(Master_Customer!$B$2:$B$126,MATCH(C1747,Master_Customer!$A$2:$A$126,0))</f>
        <v>SUMBER TEKNIK SURYA</v>
      </c>
      <c r="E1747" s="50" t="s">
        <v>31</v>
      </c>
      <c r="F1747" s="52" t="n">
        <f aca="false">SUMIFS(Data_Penjualan!$G$2:$G$5998,Data_Penjualan!$A$2:$A$5998,A1747)</f>
        <v>8565500</v>
      </c>
      <c r="G1747" s="39" t="n">
        <f aca="false">IF(E1747="KANTOR",0,INDEX(Master_Customer!$C$2:$C$126,MATCH(C1747,Master_Customer!$A$2:$A$126,0)))</f>
        <v>30</v>
      </c>
      <c r="H1747" s="53" t="n">
        <f aca="false">B1747+G1747</f>
        <v>46052</v>
      </c>
      <c r="J1747" s="39" t="str">
        <f aca="false">IF(G1747=0,"Tunai",IF(I1747="","Belum ditukar","Sudah ditukar"))</f>
        <v>Belum ditukar</v>
      </c>
      <c r="K1747" s="54" t="n">
        <v>0</v>
      </c>
      <c r="M1747" s="52" t="n">
        <f aca="false">F1747-K1747</f>
        <v>8565500</v>
      </c>
      <c r="N1747" s="39" t="str">
        <f aca="false">IF(M1747&lt;=0,"Lunas",IF(K1747&gt;0,"Sebagian","Belum Bayar"))</f>
        <v>Belum Bayar</v>
      </c>
      <c r="O1747" s="39" t="n">
        <f aca="false">IF(M1747&gt;0,MAX(0,Catatan!$B$3-H1747),0)</f>
        <v>0</v>
      </c>
      <c r="P1747" s="39" t="str">
        <f aca="false">IF(M1747&lt;=0,"Lunas",IF(Catatan!$B$3&lt;=H1747,"Belum Jatuh Tempo",IF(O1747&lt;=30,"1-30 hari",IF(O1747&lt;=60,"31-60 hari",IF(O1747&lt;=90,"61-90 hari","90+ hari")))))</f>
        <v>Belum Jatuh Tempo</v>
      </c>
      <c r="Q1747" s="50"/>
      <c r="R1747" s="39" t="str">
        <f aca="false">IF(M1747&lt;=0,"",IF(O1747&gt;60,"1-Tinggi",IF(O1747&gt;30,"2-Sedang",IF(O1747&gt;0,"3-Rendah","4-Pantau"))))</f>
        <v>4-Pantau</v>
      </c>
      <c r="S1747" s="39" t="str">
        <f aca="false">IF(AND(M1747&gt;0,O1747&gt;0),O1747+M1747/1000000000000+ROW()/1000000000000000,"")</f>
        <v/>
      </c>
      <c r="T1747" s="39" t="n">
        <f aca="false">IF(J1747="Belum ditukar",ROW(),"")</f>
        <v>1747</v>
      </c>
    </row>
    <row r="1748" customFormat="false" ht="15" hidden="false" customHeight="false" outlineLevel="0" collapsed="false">
      <c r="A1748" s="50" t="s">
        <v>2032</v>
      </c>
      <c r="B1748" s="51" t="n">
        <v>46022</v>
      </c>
      <c r="C1748" s="50" t="s">
        <v>527</v>
      </c>
      <c r="D1748" s="39" t="str">
        <f aca="false">INDEX(Master_Customer!$B$2:$B$126,MATCH(C1748,Master_Customer!$A$2:$A$126,0))</f>
        <v>BINTANG SPAREPART PRIMA</v>
      </c>
      <c r="E1748" s="50" t="s">
        <v>30</v>
      </c>
      <c r="F1748" s="52" t="n">
        <f aca="false">SUMIFS(Data_Penjualan!$G$2:$G$5998,Data_Penjualan!$A$2:$A$5998,A1748)</f>
        <v>8688500</v>
      </c>
      <c r="G1748" s="39" t="n">
        <f aca="false">IF(E1748="KANTOR",0,INDEX(Master_Customer!$C$2:$C$126,MATCH(C1748,Master_Customer!$A$2:$A$126,0)))</f>
        <v>14</v>
      </c>
      <c r="H1748" s="53" t="n">
        <f aca="false">B1748+G1748</f>
        <v>46036</v>
      </c>
      <c r="J1748" s="39" t="str">
        <f aca="false">IF(G1748=0,"Tunai",IF(I1748="","Belum ditukar","Sudah ditukar"))</f>
        <v>Belum ditukar</v>
      </c>
      <c r="K1748" s="54" t="n">
        <v>0</v>
      </c>
      <c r="M1748" s="52" t="n">
        <f aca="false">F1748-K1748</f>
        <v>8688500</v>
      </c>
      <c r="N1748" s="39" t="str">
        <f aca="false">IF(M1748&lt;=0,"Lunas",IF(K1748&gt;0,"Sebagian","Belum Bayar"))</f>
        <v>Belum Bayar</v>
      </c>
      <c r="O1748" s="39" t="n">
        <f aca="false">IF(M1748&gt;0,MAX(0,Catatan!$B$3-H1748),0)</f>
        <v>0</v>
      </c>
      <c r="P1748" s="39" t="str">
        <f aca="false">IF(M1748&lt;=0,"Lunas",IF(Catatan!$B$3&lt;=H1748,"Belum Jatuh Tempo",IF(O1748&lt;=30,"1-30 hari",IF(O1748&lt;=60,"31-60 hari",IF(O1748&lt;=90,"61-90 hari","90+ hari")))))</f>
        <v>Belum Jatuh Tempo</v>
      </c>
      <c r="Q1748" s="50"/>
      <c r="R1748" s="39" t="str">
        <f aca="false">IF(M1748&lt;=0,"",IF(O1748&gt;60,"1-Tinggi",IF(O1748&gt;30,"2-Sedang",IF(O1748&gt;0,"3-Rendah","4-Pantau"))))</f>
        <v>4-Pantau</v>
      </c>
      <c r="S1748" s="39" t="str">
        <f aca="false">IF(AND(M1748&gt;0,O1748&gt;0),O1748+M1748/1000000000000+ROW()/1000000000000000,"")</f>
        <v/>
      </c>
      <c r="T1748" s="39" t="n">
        <f aca="false">IF(J1748="Belum ditukar",ROW(),"")</f>
        <v>1748</v>
      </c>
    </row>
    <row r="1749" customFormat="false" ht="15" hidden="false" customHeight="false" outlineLevel="0" collapsed="false">
      <c r="A1749" s="50" t="s">
        <v>2033</v>
      </c>
      <c r="B1749" s="51" t="n">
        <v>46022</v>
      </c>
      <c r="C1749" s="50" t="s">
        <v>166</v>
      </c>
      <c r="D1749" s="39" t="str">
        <f aca="false">INDEX(Master_Customer!$B$2:$B$126,MATCH(C1749,Master_Customer!$A$2:$A$126,0))</f>
        <v>SENTOSA SERVICE</v>
      </c>
      <c r="E1749" s="50" t="s">
        <v>30</v>
      </c>
      <c r="F1749" s="52" t="n">
        <f aca="false">SUMIFS(Data_Penjualan!$G$2:$G$5998,Data_Penjualan!$A$2:$A$5998,A1749)</f>
        <v>13260200</v>
      </c>
      <c r="G1749" s="39" t="n">
        <f aca="false">IF(E1749="KANTOR",0,INDEX(Master_Customer!$C$2:$C$126,MATCH(C1749,Master_Customer!$A$2:$A$126,0)))</f>
        <v>0</v>
      </c>
      <c r="H1749" s="53" t="n">
        <f aca="false">B1749+G1749</f>
        <v>46022</v>
      </c>
      <c r="J1749" s="39" t="str">
        <f aca="false">IF(G1749=0,"Tunai",IF(I1749="","Belum ditukar","Sudah ditukar"))</f>
        <v>Tunai</v>
      </c>
      <c r="K1749" s="54" t="n">
        <v>13260200</v>
      </c>
      <c r="L1749" s="51" t="n">
        <v>46022</v>
      </c>
      <c r="M1749" s="52" t="n">
        <f aca="false">F1749-K1749</f>
        <v>0</v>
      </c>
      <c r="N1749" s="39" t="str">
        <f aca="false">IF(M1749&lt;=0,"Lunas",IF(K1749&gt;0,"Sebagian","Belum Bayar"))</f>
        <v>Lunas</v>
      </c>
      <c r="O1749" s="39" t="n">
        <f aca="false">IF(M1749&gt;0,MAX(0,Catatan!$B$3-H1749),0)</f>
        <v>0</v>
      </c>
      <c r="P1749" s="39" t="str">
        <f aca="false">IF(M1749&lt;=0,"Lunas",IF(Catatan!$B$3&lt;=H1749,"Belum Jatuh Tempo",IF(O1749&lt;=30,"1-30 hari",IF(O1749&lt;=60,"31-60 hari",IF(O1749&lt;=90,"61-90 hari","90+ hari")))))</f>
        <v>Lunas</v>
      </c>
      <c r="Q1749" s="50"/>
      <c r="R1749" s="39" t="str">
        <f aca="false">IF(M1749&lt;=0,"",IF(O1749&gt;60,"1-Tinggi",IF(O1749&gt;30,"2-Sedang",IF(O1749&gt;0,"3-Rendah","4-Pantau"))))</f>
        <v/>
      </c>
      <c r="S1749" s="39" t="str">
        <f aca="false">IF(AND(M1749&gt;0,O1749&gt;0),O1749+M1749/1000000000000+ROW()/1000000000000000,"")</f>
        <v/>
      </c>
      <c r="T1749" s="39" t="str">
        <f aca="false">IF(J1749="Belum ditukar",ROW(),"")</f>
        <v/>
      </c>
    </row>
    <row r="1750" customFormat="false" ht="15" hidden="false" customHeight="false" outlineLevel="0" collapsed="false">
      <c r="A1750" s="50" t="s">
        <v>2034</v>
      </c>
      <c r="B1750" s="51" t="n">
        <v>46022</v>
      </c>
      <c r="C1750" s="50" t="s">
        <v>234</v>
      </c>
      <c r="D1750" s="39" t="str">
        <f aca="false">INDEX(Master_Customer!$B$2:$B$126,MATCH(C1750,Master_Customer!$A$2:$A$126,0))</f>
        <v>CAHAYA OLI</v>
      </c>
      <c r="E1750" s="50" t="s">
        <v>32</v>
      </c>
      <c r="F1750" s="52" t="n">
        <f aca="false">SUMIFS(Data_Penjualan!$G$2:$G$5998,Data_Penjualan!$A$2:$A$5998,A1750)</f>
        <v>5428700</v>
      </c>
      <c r="G1750" s="39" t="n">
        <f aca="false">IF(E1750="KANTOR",0,INDEX(Master_Customer!$C$2:$C$126,MATCH(C1750,Master_Customer!$A$2:$A$126,0)))</f>
        <v>0</v>
      </c>
      <c r="H1750" s="53" t="n">
        <f aca="false">B1750+G1750</f>
        <v>46022</v>
      </c>
      <c r="J1750" s="39" t="str">
        <f aca="false">IF(G1750=0,"Tunai",IF(I1750="","Belum ditukar","Sudah ditukar"))</f>
        <v>Tunai</v>
      </c>
      <c r="K1750" s="54" t="n">
        <v>5428700</v>
      </c>
      <c r="L1750" s="51" t="n">
        <v>46022</v>
      </c>
      <c r="M1750" s="52" t="n">
        <f aca="false">F1750-K1750</f>
        <v>0</v>
      </c>
      <c r="N1750" s="39" t="str">
        <f aca="false">IF(M1750&lt;=0,"Lunas",IF(K1750&gt;0,"Sebagian","Belum Bayar"))</f>
        <v>Lunas</v>
      </c>
      <c r="O1750" s="39" t="n">
        <f aca="false">IF(M1750&gt;0,MAX(0,Catatan!$B$3-H1750),0)</f>
        <v>0</v>
      </c>
      <c r="P1750" s="39" t="str">
        <f aca="false">IF(M1750&lt;=0,"Lunas",IF(Catatan!$B$3&lt;=H1750,"Belum Jatuh Tempo",IF(O1750&lt;=30,"1-30 hari",IF(O1750&lt;=60,"31-60 hari",IF(O1750&lt;=90,"61-90 hari","90+ hari")))))</f>
        <v>Lunas</v>
      </c>
      <c r="Q1750" s="50"/>
      <c r="R1750" s="39" t="str">
        <f aca="false">IF(M1750&lt;=0,"",IF(O1750&gt;60,"1-Tinggi",IF(O1750&gt;30,"2-Sedang",IF(O1750&gt;0,"3-Rendah","4-Pantau"))))</f>
        <v/>
      </c>
      <c r="S1750" s="39" t="str">
        <f aca="false">IF(AND(M1750&gt;0,O1750&gt;0),O1750+M1750/1000000000000+ROW()/1000000000000000,"")</f>
        <v/>
      </c>
      <c r="T1750" s="39" t="str">
        <f aca="false">IF(J1750="Belum ditukar",ROW(),"")</f>
        <v/>
      </c>
    </row>
    <row r="1751" customFormat="false" ht="15" hidden="false" customHeight="false" outlineLevel="0" collapsed="false">
      <c r="A1751" s="50" t="s">
        <v>2035</v>
      </c>
      <c r="B1751" s="51" t="n">
        <v>46022</v>
      </c>
      <c r="C1751" s="50" t="s">
        <v>205</v>
      </c>
      <c r="D1751" s="39" t="str">
        <f aca="false">INDEX(Master_Customer!$B$2:$B$126,MATCH(C1751,Master_Customer!$A$2:$A$126,0))</f>
        <v>BERKAH OLI</v>
      </c>
      <c r="E1751" s="50" t="s">
        <v>28</v>
      </c>
      <c r="F1751" s="52" t="n">
        <f aca="false">SUMIFS(Data_Penjualan!$G$2:$G$5998,Data_Penjualan!$A$2:$A$5998,A1751)</f>
        <v>12652900</v>
      </c>
      <c r="G1751" s="39" t="n">
        <f aca="false">IF(E1751="KANTOR",0,INDEX(Master_Customer!$C$2:$C$126,MATCH(C1751,Master_Customer!$A$2:$A$126,0)))</f>
        <v>0</v>
      </c>
      <c r="H1751" s="53" t="n">
        <f aca="false">B1751+G1751</f>
        <v>46022</v>
      </c>
      <c r="J1751" s="39" t="str">
        <f aca="false">IF(G1751=0,"Tunai",IF(I1751="","Belum ditukar","Sudah ditukar"))</f>
        <v>Tunai</v>
      </c>
      <c r="K1751" s="54" t="n">
        <v>12652900</v>
      </c>
      <c r="L1751" s="51" t="n">
        <v>46022</v>
      </c>
      <c r="M1751" s="52" t="n">
        <f aca="false">F1751-K1751</f>
        <v>0</v>
      </c>
      <c r="N1751" s="39" t="str">
        <f aca="false">IF(M1751&lt;=0,"Lunas",IF(K1751&gt;0,"Sebagian","Belum Bayar"))</f>
        <v>Lunas</v>
      </c>
      <c r="O1751" s="39" t="n">
        <f aca="false">IF(M1751&gt;0,MAX(0,Catatan!$B$3-H1751),0)</f>
        <v>0</v>
      </c>
      <c r="P1751" s="39" t="str">
        <f aca="false">IF(M1751&lt;=0,"Lunas",IF(Catatan!$B$3&lt;=H1751,"Belum Jatuh Tempo",IF(O1751&lt;=30,"1-30 hari",IF(O1751&lt;=60,"31-60 hari",IF(O1751&lt;=90,"61-90 hari","90+ hari")))))</f>
        <v>Lunas</v>
      </c>
      <c r="Q1751" s="50"/>
      <c r="R1751" s="39" t="str">
        <f aca="false">IF(M1751&lt;=0,"",IF(O1751&gt;60,"1-Tinggi",IF(O1751&gt;30,"2-Sedang",IF(O1751&gt;0,"3-Rendah","4-Pantau"))))</f>
        <v/>
      </c>
      <c r="S1751" s="39" t="str">
        <f aca="false">IF(AND(M1751&gt;0,O1751&gt;0),O1751+M1751/1000000000000+ROW()/1000000000000000,"")</f>
        <v/>
      </c>
      <c r="T1751" s="39" t="str">
        <f aca="false">IF(J1751="Belum ditukar",ROW(),"")</f>
        <v/>
      </c>
    </row>
  </sheetData>
  <autoFilter ref="A1:T1751"/>
  <conditionalFormatting sqref="P2:P1751">
    <cfRule type="cellIs" priority="2" operator="equal" aboveAverage="0" equalAverage="0" bottom="0" percent="0" rank="0" text="" dxfId="0">
      <formula>"90+ hari"</formula>
    </cfRule>
    <cfRule type="cellIs" priority="3" operator="equal" aboveAverage="0" equalAverage="0" bottom="0" percent="0" rank="0" text="" dxfId="11">
      <formula>"61-90 hari"</formula>
    </cfRule>
    <cfRule type="cellIs" priority="4" operator="equal" aboveAverage="0" equalAverage="0" bottom="0" percent="0" rank="0" text="" dxfId="1">
      <formula>"31-60 hari"</formula>
    </cfRule>
  </conditionalFormatting>
  <conditionalFormatting sqref="N2:N1751">
    <cfRule type="cellIs" priority="5" operator="equal" aboveAverage="0" equalAverage="0" bottom="0" percent="0" rank="0" text="" dxfId="12">
      <formula>"Lunas"</formula>
    </cfRule>
  </conditionalFormatting>
  <conditionalFormatting sqref="J2:J1751">
    <cfRule type="cellIs" priority="6" operator="equal" aboveAverage="0" equalAverage="0" bottom="0" percent="0" rank="0" text="" dxfId="1">
      <formula>"Belum ditukar"</formula>
    </cfRule>
  </conditionalFormatting>
  <conditionalFormatting sqref="R2:R1751">
    <cfRule type="cellIs" priority="7" operator="equal" aboveAverage="0" equalAverage="0" bottom="0" percent="0" rank="0" text="" dxfId="0">
      <formula>"1-Tinggi"</formula>
    </cfRule>
    <cfRule type="cellIs" priority="8" operator="equal" aboveAverage="0" equalAverage="0" bottom="0" percent="0" rank="0" text="" dxfId="1">
      <formula>"2-Sedang"</formula>
    </cfRule>
  </conditionalFormatting>
  <printOptions headings="false" gridLines="false" gridLinesSet="true" horizontalCentered="false" verticalCentered="false"/>
  <pageMargins left="0.5" right="0.5" top="0.6" bottom="0.6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Data sintetis - portofolio&amp;C&amp;8 Halaman &amp;P dari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4"/>
    <col collapsed="false" customWidth="true" hidden="false" outlineLevel="0" max="3" min="3" style="0" width="9"/>
    <col collapsed="false" customWidth="true" hidden="false" outlineLevel="0" max="5" min="4" style="0" width="16"/>
    <col collapsed="false" customWidth="true" hidden="false" outlineLevel="0" max="9" min="6" style="0" width="14"/>
    <col collapsed="false" customWidth="true" hidden="false" outlineLevel="0" max="10" min="10" style="0" width="16"/>
    <col collapsed="false" customWidth="true" hidden="false" outlineLevel="0" max="11" min="11" style="0" width="10"/>
  </cols>
  <sheetData>
    <row r="1" customFormat="false" ht="31.5" hidden="false" customHeight="true" outlineLevel="0" collapsed="false">
      <c r="A1" s="3" t="s">
        <v>156</v>
      </c>
      <c r="B1" s="3" t="s">
        <v>35</v>
      </c>
      <c r="C1" s="3" t="s">
        <v>52</v>
      </c>
      <c r="D1" s="3" t="s">
        <v>36</v>
      </c>
      <c r="E1" s="3" t="s">
        <v>8</v>
      </c>
      <c r="F1" s="3" t="s">
        <v>10</v>
      </c>
      <c r="G1" s="3" t="s">
        <v>12</v>
      </c>
      <c r="H1" s="3" t="s">
        <v>14</v>
      </c>
      <c r="I1" s="3" t="s">
        <v>16</v>
      </c>
      <c r="J1" s="3" t="s">
        <v>2036</v>
      </c>
      <c r="K1" s="3" t="s">
        <v>25</v>
      </c>
    </row>
    <row r="2" customFormat="false" ht="15" hidden="false" customHeight="false" outlineLevel="0" collapsed="false">
      <c r="A2" s="50" t="s">
        <v>174</v>
      </c>
      <c r="B2" s="39" t="str">
        <f aca="false">INDEX(Master_Customer!$B$2:$B$126,MATCH(A2,Master_Customer!$A$2:$A$126,0))</f>
        <v>SUMBER TEKNIK SURYA</v>
      </c>
      <c r="C2" s="39" t="n">
        <f aca="false">INDEX(Master_Customer!$C$2:$C$126,MATCH(A2,Master_Customer!$A$2:$A$126,0))</f>
        <v>30</v>
      </c>
      <c r="D2" s="52" t="n">
        <f aca="false">SUM(E2:I2)</f>
        <v>183313200</v>
      </c>
      <c r="E2" s="52" t="n">
        <f aca="false">SUMIFS(Piutang!$M$2:$M$1751,Piutang!$C$2:$C$1751,$A2,Piutang!$P$2:$P$1751,"Belum Jatuh Tempo")</f>
        <v>148872300</v>
      </c>
      <c r="F2" s="52" t="n">
        <f aca="false">SUMIFS(Piutang!$M$2:$M$1751,Piutang!$C$2:$C$1751,$A2,Piutang!$P$2:$P$1751,"1-30 hari")</f>
        <v>0</v>
      </c>
      <c r="G2" s="52" t="n">
        <f aca="false">SUMIFS(Piutang!$M$2:$M$1751,Piutang!$C$2:$C$1751,$A2,Piutang!$P$2:$P$1751,"31-60 hari")</f>
        <v>0</v>
      </c>
      <c r="H2" s="52" t="n">
        <f aca="false">SUMIFS(Piutang!$M$2:$M$1751,Piutang!$C$2:$C$1751,$A2,Piutang!$P$2:$P$1751,"61-90 hari")</f>
        <v>3675800</v>
      </c>
      <c r="I2" s="52" t="n">
        <f aca="false">SUMIFS(Piutang!$M$2:$M$1751,Piutang!$C$2:$C$1751,$A2,Piutang!$P$2:$P$1751,"90+ hari")</f>
        <v>30765100</v>
      </c>
      <c r="J2" s="52" t="n">
        <f aca="false">SUM(F2:I2)</f>
        <v>34440900</v>
      </c>
      <c r="K2" s="55" t="n">
        <f aca="false">IF(D2=0,0,J2/D2)</f>
        <v>0.18788008719503</v>
      </c>
    </row>
    <row r="3" customFormat="false" ht="15" hidden="false" customHeight="false" outlineLevel="0" collapsed="false">
      <c r="A3" s="50" t="s">
        <v>693</v>
      </c>
      <c r="B3" s="39" t="str">
        <f aca="false">INDEX(Master_Customer!$B$2:$B$126,MATCH(A3,Master_Customer!$A$2:$A$126,0))</f>
        <v>SUMBER OLI GEMILANG</v>
      </c>
      <c r="C3" s="39" t="n">
        <f aca="false">INDEX(Master_Customer!$C$2:$C$126,MATCH(A3,Master_Customer!$A$2:$A$126,0))</f>
        <v>30</v>
      </c>
      <c r="D3" s="52" t="n">
        <f aca="false">SUM(E3:I3)</f>
        <v>60858700</v>
      </c>
      <c r="E3" s="52" t="n">
        <f aca="false">SUMIFS(Piutang!$M$2:$M$1751,Piutang!$C$2:$C$1751,$A3,Piutang!$P$2:$P$1751,"Belum Jatuh Tempo")</f>
        <v>51770600</v>
      </c>
      <c r="F3" s="52" t="n">
        <f aca="false">SUMIFS(Piutang!$M$2:$M$1751,Piutang!$C$2:$C$1751,$A3,Piutang!$P$2:$P$1751,"1-30 hari")</f>
        <v>9088100</v>
      </c>
      <c r="G3" s="52" t="n">
        <f aca="false">SUMIFS(Piutang!$M$2:$M$1751,Piutang!$C$2:$C$1751,$A3,Piutang!$P$2:$P$1751,"31-60 hari")</f>
        <v>0</v>
      </c>
      <c r="H3" s="52" t="n">
        <f aca="false">SUMIFS(Piutang!$M$2:$M$1751,Piutang!$C$2:$C$1751,$A3,Piutang!$P$2:$P$1751,"61-90 hari")</f>
        <v>0</v>
      </c>
      <c r="I3" s="52" t="n">
        <f aca="false">SUMIFS(Piutang!$M$2:$M$1751,Piutang!$C$2:$C$1751,$A3,Piutang!$P$2:$P$1751,"90+ hari")</f>
        <v>0</v>
      </c>
      <c r="J3" s="52" t="n">
        <f aca="false">SUM(F3:I3)</f>
        <v>9088100</v>
      </c>
      <c r="K3" s="55" t="n">
        <f aca="false">IF(D3=0,0,J3/D3)</f>
        <v>0.149331155611277</v>
      </c>
    </row>
    <row r="4" customFormat="false" ht="15" hidden="false" customHeight="false" outlineLevel="0" collapsed="false">
      <c r="A4" s="50" t="s">
        <v>188</v>
      </c>
      <c r="B4" s="39" t="str">
        <f aca="false">INDEX(Master_Customer!$B$2:$B$126,MATCH(A4,Master_Customer!$A$2:$A$126,0))</f>
        <v>MAJU GARAGE TIRTA</v>
      </c>
      <c r="C4" s="39" t="n">
        <f aca="false">INDEX(Master_Customer!$C$2:$C$126,MATCH(A4,Master_Customer!$A$2:$A$126,0))</f>
        <v>45</v>
      </c>
      <c r="D4" s="52" t="n">
        <f aca="false">SUM(E4:I4)</f>
        <v>56207000</v>
      </c>
      <c r="E4" s="52" t="n">
        <f aca="false">SUMIFS(Piutang!$M$2:$M$1751,Piutang!$C$2:$C$1751,$A4,Piutang!$P$2:$P$1751,"Belum Jatuh Tempo")</f>
        <v>51794600</v>
      </c>
      <c r="F4" s="52" t="n">
        <f aca="false">SUMIFS(Piutang!$M$2:$M$1751,Piutang!$C$2:$C$1751,$A4,Piutang!$P$2:$P$1751,"1-30 hari")</f>
        <v>0</v>
      </c>
      <c r="G4" s="52" t="n">
        <f aca="false">SUMIFS(Piutang!$M$2:$M$1751,Piutang!$C$2:$C$1751,$A4,Piutang!$P$2:$P$1751,"31-60 hari")</f>
        <v>0</v>
      </c>
      <c r="H4" s="52" t="n">
        <f aca="false">SUMIFS(Piutang!$M$2:$M$1751,Piutang!$C$2:$C$1751,$A4,Piutang!$P$2:$P$1751,"61-90 hari")</f>
        <v>0</v>
      </c>
      <c r="I4" s="52" t="n">
        <f aca="false">SUMIFS(Piutang!$M$2:$M$1751,Piutang!$C$2:$C$1751,$A4,Piutang!$P$2:$P$1751,"90+ hari")</f>
        <v>4412400</v>
      </c>
      <c r="J4" s="52" t="n">
        <f aca="false">SUM(F4:I4)</f>
        <v>4412400</v>
      </c>
      <c r="K4" s="55" t="n">
        <f aca="false">IF(D4=0,0,J4/D4)</f>
        <v>0.0785026776024339</v>
      </c>
    </row>
    <row r="5" customFormat="false" ht="15" hidden="false" customHeight="false" outlineLevel="0" collapsed="false">
      <c r="A5" s="50" t="s">
        <v>191</v>
      </c>
      <c r="B5" s="39" t="str">
        <f aca="false">INDEX(Master_Customer!$B$2:$B$126,MATCH(A5,Master_Customer!$A$2:$A$126,0))</f>
        <v>SINAR AUTO BERKAH</v>
      </c>
      <c r="C5" s="39" t="n">
        <f aca="false">INDEX(Master_Customer!$C$2:$C$126,MATCH(A5,Master_Customer!$A$2:$A$126,0))</f>
        <v>30</v>
      </c>
      <c r="D5" s="52" t="n">
        <f aca="false">SUM(E5:I5)</f>
        <v>54601400</v>
      </c>
      <c r="E5" s="52" t="n">
        <f aca="false">SUMIFS(Piutang!$M$2:$M$1751,Piutang!$C$2:$C$1751,$A5,Piutang!$P$2:$P$1751,"Belum Jatuh Tempo")</f>
        <v>4477700</v>
      </c>
      <c r="F5" s="52" t="n">
        <f aca="false">SUMIFS(Piutang!$M$2:$M$1751,Piutang!$C$2:$C$1751,$A5,Piutang!$P$2:$P$1751,"1-30 hari")</f>
        <v>27854000</v>
      </c>
      <c r="G5" s="52" t="n">
        <f aca="false">SUMIFS(Piutang!$M$2:$M$1751,Piutang!$C$2:$C$1751,$A5,Piutang!$P$2:$P$1751,"31-60 hari")</f>
        <v>13821600</v>
      </c>
      <c r="H5" s="52" t="n">
        <f aca="false">SUMIFS(Piutang!$M$2:$M$1751,Piutang!$C$2:$C$1751,$A5,Piutang!$P$2:$P$1751,"61-90 hari")</f>
        <v>0</v>
      </c>
      <c r="I5" s="52" t="n">
        <f aca="false">SUMIFS(Piutang!$M$2:$M$1751,Piutang!$C$2:$C$1751,$A5,Piutang!$P$2:$P$1751,"90+ hari")</f>
        <v>8448100</v>
      </c>
      <c r="J5" s="52" t="n">
        <f aca="false">SUM(F5:I5)</f>
        <v>50123700</v>
      </c>
      <c r="K5" s="55" t="n">
        <f aca="false">IF(D5=0,0,J5/D5)</f>
        <v>0.917992945235836</v>
      </c>
    </row>
    <row r="6" customFormat="false" ht="15" hidden="false" customHeight="false" outlineLevel="0" collapsed="false">
      <c r="A6" s="50" t="s">
        <v>199</v>
      </c>
      <c r="B6" s="39" t="str">
        <f aca="false">INDEX(Master_Customer!$B$2:$B$126,MATCH(A6,Master_Customer!$A$2:$A$126,0))</f>
        <v>KARYA SPAREPART</v>
      </c>
      <c r="C6" s="39" t="n">
        <f aca="false">INDEX(Master_Customer!$C$2:$C$126,MATCH(A6,Master_Customer!$A$2:$A$126,0))</f>
        <v>45</v>
      </c>
      <c r="D6" s="52" t="n">
        <f aca="false">SUM(E6:I6)</f>
        <v>53142400</v>
      </c>
      <c r="E6" s="52" t="n">
        <f aca="false">SUMIFS(Piutang!$M$2:$M$1751,Piutang!$C$2:$C$1751,$A6,Piutang!$P$2:$P$1751,"Belum Jatuh Tempo")</f>
        <v>48877600</v>
      </c>
      <c r="F6" s="52" t="n">
        <f aca="false">SUMIFS(Piutang!$M$2:$M$1751,Piutang!$C$2:$C$1751,$A6,Piutang!$P$2:$P$1751,"1-30 hari")</f>
        <v>1215900</v>
      </c>
      <c r="G6" s="52" t="n">
        <f aca="false">SUMIFS(Piutang!$M$2:$M$1751,Piutang!$C$2:$C$1751,$A6,Piutang!$P$2:$P$1751,"31-60 hari")</f>
        <v>1316300</v>
      </c>
      <c r="H6" s="52" t="n">
        <f aca="false">SUMIFS(Piutang!$M$2:$M$1751,Piutang!$C$2:$C$1751,$A6,Piutang!$P$2:$P$1751,"61-90 hari")</f>
        <v>0</v>
      </c>
      <c r="I6" s="52" t="n">
        <f aca="false">SUMIFS(Piutang!$M$2:$M$1751,Piutang!$C$2:$C$1751,$A6,Piutang!$P$2:$P$1751,"90+ hari")</f>
        <v>1732600</v>
      </c>
      <c r="J6" s="52" t="n">
        <f aca="false">SUM(F6:I6)</f>
        <v>4264800</v>
      </c>
      <c r="K6" s="55" t="n">
        <f aca="false">IF(D6=0,0,J6/D6)</f>
        <v>0.0802523032456193</v>
      </c>
    </row>
    <row r="7" customFormat="false" ht="15" hidden="false" customHeight="false" outlineLevel="0" collapsed="false">
      <c r="A7" s="50" t="s">
        <v>320</v>
      </c>
      <c r="B7" s="39" t="str">
        <f aca="false">INDEX(Master_Customer!$B$2:$B$126,MATCH(A7,Master_Customer!$A$2:$A$126,0))</f>
        <v>BINTANG OLI</v>
      </c>
      <c r="C7" s="39" t="n">
        <f aca="false">INDEX(Master_Customer!$C$2:$C$126,MATCH(A7,Master_Customer!$A$2:$A$126,0))</f>
        <v>14</v>
      </c>
      <c r="D7" s="52" t="n">
        <f aca="false">SUM(E7:I7)</f>
        <v>43609000</v>
      </c>
      <c r="E7" s="52" t="n">
        <f aca="false">SUMIFS(Piutang!$M$2:$M$1751,Piutang!$C$2:$C$1751,$A7,Piutang!$P$2:$P$1751,"Belum Jatuh Tempo")</f>
        <v>22228000</v>
      </c>
      <c r="F7" s="52" t="n">
        <f aca="false">SUMIFS(Piutang!$M$2:$M$1751,Piutang!$C$2:$C$1751,$A7,Piutang!$P$2:$P$1751,"1-30 hari")</f>
        <v>21381000</v>
      </c>
      <c r="G7" s="52" t="n">
        <f aca="false">SUMIFS(Piutang!$M$2:$M$1751,Piutang!$C$2:$C$1751,$A7,Piutang!$P$2:$P$1751,"31-60 hari")</f>
        <v>0</v>
      </c>
      <c r="H7" s="52" t="n">
        <f aca="false">SUMIFS(Piutang!$M$2:$M$1751,Piutang!$C$2:$C$1751,$A7,Piutang!$P$2:$P$1751,"61-90 hari")</f>
        <v>0</v>
      </c>
      <c r="I7" s="52" t="n">
        <f aca="false">SUMIFS(Piutang!$M$2:$M$1751,Piutang!$C$2:$C$1751,$A7,Piutang!$P$2:$P$1751,"90+ hari")</f>
        <v>0</v>
      </c>
      <c r="J7" s="52" t="n">
        <f aca="false">SUM(F7:I7)</f>
        <v>21381000</v>
      </c>
      <c r="K7" s="55" t="n">
        <f aca="false">IF(D7=0,0,J7/D7)</f>
        <v>0.490288701873466</v>
      </c>
    </row>
    <row r="8" customFormat="false" ht="15" hidden="false" customHeight="false" outlineLevel="0" collapsed="false">
      <c r="A8" s="50" t="s">
        <v>467</v>
      </c>
      <c r="B8" s="39" t="str">
        <f aca="false">INDEX(Master_Customer!$B$2:$B$126,MATCH(A8,Master_Customer!$A$2:$A$126,0))</f>
        <v>LANCAR GARAGE UTAMA</v>
      </c>
      <c r="C8" s="39" t="n">
        <f aca="false">INDEX(Master_Customer!$C$2:$C$126,MATCH(A8,Master_Customer!$A$2:$A$126,0))</f>
        <v>14</v>
      </c>
      <c r="D8" s="52" t="n">
        <f aca="false">SUM(E8:I8)</f>
        <v>40914700</v>
      </c>
      <c r="E8" s="52" t="n">
        <f aca="false">SUMIFS(Piutang!$M$2:$M$1751,Piutang!$C$2:$C$1751,$A8,Piutang!$P$2:$P$1751,"Belum Jatuh Tempo")</f>
        <v>6857200</v>
      </c>
      <c r="F8" s="52" t="n">
        <f aca="false">SUMIFS(Piutang!$M$2:$M$1751,Piutang!$C$2:$C$1751,$A8,Piutang!$P$2:$P$1751,"1-30 hari")</f>
        <v>17519100</v>
      </c>
      <c r="G8" s="52" t="n">
        <f aca="false">SUMIFS(Piutang!$M$2:$M$1751,Piutang!$C$2:$C$1751,$A8,Piutang!$P$2:$P$1751,"31-60 hari")</f>
        <v>16538400</v>
      </c>
      <c r="H8" s="52" t="n">
        <f aca="false">SUMIFS(Piutang!$M$2:$M$1751,Piutang!$C$2:$C$1751,$A8,Piutang!$P$2:$P$1751,"61-90 hari")</f>
        <v>0</v>
      </c>
      <c r="I8" s="52" t="n">
        <f aca="false">SUMIFS(Piutang!$M$2:$M$1751,Piutang!$C$2:$C$1751,$A8,Piutang!$P$2:$P$1751,"90+ hari")</f>
        <v>0</v>
      </c>
      <c r="J8" s="52" t="n">
        <f aca="false">SUM(F8:I8)</f>
        <v>34057500</v>
      </c>
      <c r="K8" s="55" t="n">
        <f aca="false">IF(D8=0,0,J8/D8)</f>
        <v>0.832402535030197</v>
      </c>
    </row>
    <row r="9" customFormat="false" ht="15" hidden="false" customHeight="false" outlineLevel="0" collapsed="false">
      <c r="A9" s="50" t="s">
        <v>170</v>
      </c>
      <c r="B9" s="39" t="str">
        <f aca="false">INDEX(Master_Customer!$B$2:$B$126,MATCH(A9,Master_Customer!$A$2:$A$126,0))</f>
        <v>HARAPAN MOTOR</v>
      </c>
      <c r="C9" s="39" t="n">
        <f aca="false">INDEX(Master_Customer!$C$2:$C$126,MATCH(A9,Master_Customer!$A$2:$A$126,0))</f>
        <v>45</v>
      </c>
      <c r="D9" s="52" t="n">
        <f aca="false">SUM(E9:I9)</f>
        <v>35866500</v>
      </c>
      <c r="E9" s="52" t="n">
        <f aca="false">SUMIFS(Piutang!$M$2:$M$1751,Piutang!$C$2:$C$1751,$A9,Piutang!$P$2:$P$1751,"Belum Jatuh Tempo")</f>
        <v>24083500</v>
      </c>
      <c r="F9" s="52" t="n">
        <f aca="false">SUMIFS(Piutang!$M$2:$M$1751,Piutang!$C$2:$C$1751,$A9,Piutang!$P$2:$P$1751,"1-30 hari")</f>
        <v>0</v>
      </c>
      <c r="G9" s="52" t="n">
        <f aca="false">SUMIFS(Piutang!$M$2:$M$1751,Piutang!$C$2:$C$1751,$A9,Piutang!$P$2:$P$1751,"31-60 hari")</f>
        <v>0</v>
      </c>
      <c r="H9" s="52" t="n">
        <f aca="false">SUMIFS(Piutang!$M$2:$M$1751,Piutang!$C$2:$C$1751,$A9,Piutang!$P$2:$P$1751,"61-90 hari")</f>
        <v>0</v>
      </c>
      <c r="I9" s="52" t="n">
        <f aca="false">SUMIFS(Piutang!$M$2:$M$1751,Piutang!$C$2:$C$1751,$A9,Piutang!$P$2:$P$1751,"90+ hari")</f>
        <v>11783000</v>
      </c>
      <c r="J9" s="52" t="n">
        <f aca="false">SUM(F9:I9)</f>
        <v>11783000</v>
      </c>
      <c r="K9" s="55" t="n">
        <f aca="false">IF(D9=0,0,J9/D9)</f>
        <v>0.328523831430443</v>
      </c>
    </row>
    <row r="10" customFormat="false" ht="15" hidden="false" customHeight="false" outlineLevel="0" collapsed="false">
      <c r="A10" s="50" t="s">
        <v>223</v>
      </c>
      <c r="B10" s="39" t="str">
        <f aca="false">INDEX(Master_Customer!$B$2:$B$126,MATCH(A10,Master_Customer!$A$2:$A$126,0))</f>
        <v>ABADI AUTO UTAMA</v>
      </c>
      <c r="C10" s="39" t="n">
        <f aca="false">INDEX(Master_Customer!$C$2:$C$126,MATCH(A10,Master_Customer!$A$2:$A$126,0))</f>
        <v>14</v>
      </c>
      <c r="D10" s="52" t="n">
        <f aca="false">SUM(E10:I10)</f>
        <v>31764600</v>
      </c>
      <c r="E10" s="52" t="n">
        <f aca="false">SUMIFS(Piutang!$M$2:$M$1751,Piutang!$C$2:$C$1751,$A10,Piutang!$P$2:$P$1751,"Belum Jatuh Tempo")</f>
        <v>5777200</v>
      </c>
      <c r="F10" s="52" t="n">
        <f aca="false">SUMIFS(Piutang!$M$2:$M$1751,Piutang!$C$2:$C$1751,$A10,Piutang!$P$2:$P$1751,"1-30 hari")</f>
        <v>25987400</v>
      </c>
      <c r="G10" s="52" t="n">
        <f aca="false">SUMIFS(Piutang!$M$2:$M$1751,Piutang!$C$2:$C$1751,$A10,Piutang!$P$2:$P$1751,"31-60 hari")</f>
        <v>0</v>
      </c>
      <c r="H10" s="52" t="n">
        <f aca="false">SUMIFS(Piutang!$M$2:$M$1751,Piutang!$C$2:$C$1751,$A10,Piutang!$P$2:$P$1751,"61-90 hari")</f>
        <v>0</v>
      </c>
      <c r="I10" s="52" t="n">
        <f aca="false">SUMIFS(Piutang!$M$2:$M$1751,Piutang!$C$2:$C$1751,$A10,Piutang!$P$2:$P$1751,"90+ hari")</f>
        <v>0</v>
      </c>
      <c r="J10" s="52" t="n">
        <f aca="false">SUM(F10:I10)</f>
        <v>25987400</v>
      </c>
      <c r="K10" s="55" t="n">
        <f aca="false">IF(D10=0,0,J10/D10)</f>
        <v>0.818124578933782</v>
      </c>
    </row>
    <row r="11" customFormat="false" ht="15" hidden="false" customHeight="false" outlineLevel="0" collapsed="false">
      <c r="A11" s="50" t="s">
        <v>234</v>
      </c>
      <c r="B11" s="39" t="str">
        <f aca="false">INDEX(Master_Customer!$B$2:$B$126,MATCH(A11,Master_Customer!$A$2:$A$126,0))</f>
        <v>CAHAYA OLI</v>
      </c>
      <c r="C11" s="39" t="n">
        <f aca="false">INDEX(Master_Customer!$C$2:$C$126,MATCH(A11,Master_Customer!$A$2:$A$126,0))</f>
        <v>30</v>
      </c>
      <c r="D11" s="52" t="n">
        <f aca="false">SUM(E11:I11)</f>
        <v>31585100</v>
      </c>
      <c r="E11" s="52" t="n">
        <f aca="false">SUMIFS(Piutang!$M$2:$M$1751,Piutang!$C$2:$C$1751,$A11,Piutang!$P$2:$P$1751,"Belum Jatuh Tempo")</f>
        <v>20966300</v>
      </c>
      <c r="F11" s="52" t="n">
        <f aca="false">SUMIFS(Piutang!$M$2:$M$1751,Piutang!$C$2:$C$1751,$A11,Piutang!$P$2:$P$1751,"1-30 hari")</f>
        <v>8670700</v>
      </c>
      <c r="G11" s="52" t="n">
        <f aca="false">SUMIFS(Piutang!$M$2:$M$1751,Piutang!$C$2:$C$1751,$A11,Piutang!$P$2:$P$1751,"31-60 hari")</f>
        <v>0</v>
      </c>
      <c r="H11" s="52" t="n">
        <f aca="false">SUMIFS(Piutang!$M$2:$M$1751,Piutang!$C$2:$C$1751,$A11,Piutang!$P$2:$P$1751,"61-90 hari")</f>
        <v>0</v>
      </c>
      <c r="I11" s="52" t="n">
        <f aca="false">SUMIFS(Piutang!$M$2:$M$1751,Piutang!$C$2:$C$1751,$A11,Piutang!$P$2:$P$1751,"90+ hari")</f>
        <v>1948100</v>
      </c>
      <c r="J11" s="52" t="n">
        <f aca="false">SUM(F11:I11)</f>
        <v>10618800</v>
      </c>
      <c r="K11" s="55" t="n">
        <f aca="false">IF(D11=0,0,J11/D11)</f>
        <v>0.336196497715695</v>
      </c>
    </row>
    <row r="12" customFormat="false" ht="15" hidden="false" customHeight="false" outlineLevel="0" collapsed="false">
      <c r="A12" s="50" t="s">
        <v>289</v>
      </c>
      <c r="B12" s="39" t="str">
        <f aca="false">INDEX(Master_Customer!$B$2:$B$126,MATCH(A12,Master_Customer!$A$2:$A$126,0))</f>
        <v>SINAR GARAGE</v>
      </c>
      <c r="C12" s="39" t="n">
        <f aca="false">INDEX(Master_Customer!$C$2:$C$126,MATCH(A12,Master_Customer!$A$2:$A$126,0))</f>
        <v>30</v>
      </c>
      <c r="D12" s="52" t="n">
        <f aca="false">SUM(E12:I12)</f>
        <v>25292200</v>
      </c>
      <c r="E12" s="52" t="n">
        <f aca="false">SUMIFS(Piutang!$M$2:$M$1751,Piutang!$C$2:$C$1751,$A12,Piutang!$P$2:$P$1751,"Belum Jatuh Tempo")</f>
        <v>23762500</v>
      </c>
      <c r="F12" s="52" t="n">
        <f aca="false">SUMIFS(Piutang!$M$2:$M$1751,Piutang!$C$2:$C$1751,$A12,Piutang!$P$2:$P$1751,"1-30 hari")</f>
        <v>0</v>
      </c>
      <c r="G12" s="52" t="n">
        <f aca="false">SUMIFS(Piutang!$M$2:$M$1751,Piutang!$C$2:$C$1751,$A12,Piutang!$P$2:$P$1751,"31-60 hari")</f>
        <v>0</v>
      </c>
      <c r="H12" s="52" t="n">
        <f aca="false">SUMIFS(Piutang!$M$2:$M$1751,Piutang!$C$2:$C$1751,$A12,Piutang!$P$2:$P$1751,"61-90 hari")</f>
        <v>0</v>
      </c>
      <c r="I12" s="52" t="n">
        <f aca="false">SUMIFS(Piutang!$M$2:$M$1751,Piutang!$C$2:$C$1751,$A12,Piutang!$P$2:$P$1751,"90+ hari")</f>
        <v>1529700</v>
      </c>
      <c r="J12" s="52" t="n">
        <f aca="false">SUM(F12:I12)</f>
        <v>1529700</v>
      </c>
      <c r="K12" s="55" t="n">
        <f aca="false">IF(D12=0,0,J12/D12)</f>
        <v>0.0604810969389772</v>
      </c>
    </row>
    <row r="13" customFormat="false" ht="15" hidden="false" customHeight="false" outlineLevel="0" collapsed="false">
      <c r="A13" s="50" t="s">
        <v>207</v>
      </c>
      <c r="B13" s="39" t="str">
        <f aca="false">INDEX(Master_Customer!$B$2:$B$126,MATCH(A13,Master_Customer!$A$2:$A$126,0))</f>
        <v>MAKMUR AUTO HARAPAN</v>
      </c>
      <c r="C13" s="39" t="n">
        <f aca="false">INDEX(Master_Customer!$C$2:$C$126,MATCH(A13,Master_Customer!$A$2:$A$126,0))</f>
        <v>30</v>
      </c>
      <c r="D13" s="52" t="n">
        <f aca="false">SUM(E13:I13)</f>
        <v>22546700</v>
      </c>
      <c r="E13" s="52" t="n">
        <f aca="false">SUMIFS(Piutang!$M$2:$M$1751,Piutang!$C$2:$C$1751,$A13,Piutang!$P$2:$P$1751,"Belum Jatuh Tempo")</f>
        <v>22546700</v>
      </c>
      <c r="F13" s="52" t="n">
        <f aca="false">SUMIFS(Piutang!$M$2:$M$1751,Piutang!$C$2:$C$1751,$A13,Piutang!$P$2:$P$1751,"1-30 hari")</f>
        <v>0</v>
      </c>
      <c r="G13" s="52" t="n">
        <f aca="false">SUMIFS(Piutang!$M$2:$M$1751,Piutang!$C$2:$C$1751,$A13,Piutang!$P$2:$P$1751,"31-60 hari")</f>
        <v>0</v>
      </c>
      <c r="H13" s="52" t="n">
        <f aca="false">SUMIFS(Piutang!$M$2:$M$1751,Piutang!$C$2:$C$1751,$A13,Piutang!$P$2:$P$1751,"61-90 hari")</f>
        <v>0</v>
      </c>
      <c r="I13" s="52" t="n">
        <f aca="false">SUMIFS(Piutang!$M$2:$M$1751,Piutang!$C$2:$C$1751,$A13,Piutang!$P$2:$P$1751,"90+ hari")</f>
        <v>0</v>
      </c>
      <c r="J13" s="52" t="n">
        <f aca="false">SUM(F13:I13)</f>
        <v>0</v>
      </c>
      <c r="K13" s="55" t="n">
        <f aca="false">IF(D13=0,0,J13/D13)</f>
        <v>0</v>
      </c>
    </row>
    <row r="14" customFormat="false" ht="15" hidden="false" customHeight="false" outlineLevel="0" collapsed="false">
      <c r="A14" s="50" t="s">
        <v>228</v>
      </c>
      <c r="B14" s="39" t="str">
        <f aca="false">INDEX(Master_Customer!$B$2:$B$126,MATCH(A14,Master_Customer!$A$2:$A$126,0))</f>
        <v>MAKMUR SERVICE JAYA</v>
      </c>
      <c r="C14" s="39" t="n">
        <f aca="false">INDEX(Master_Customer!$C$2:$C$126,MATCH(A14,Master_Customer!$A$2:$A$126,0))</f>
        <v>30</v>
      </c>
      <c r="D14" s="52" t="n">
        <f aca="false">SUM(E14:I14)</f>
        <v>22410900</v>
      </c>
      <c r="E14" s="52" t="n">
        <f aca="false">SUMIFS(Piutang!$M$2:$M$1751,Piutang!$C$2:$C$1751,$A14,Piutang!$P$2:$P$1751,"Belum Jatuh Tempo")</f>
        <v>7617900</v>
      </c>
      <c r="F14" s="52" t="n">
        <f aca="false">SUMIFS(Piutang!$M$2:$M$1751,Piutang!$C$2:$C$1751,$A14,Piutang!$P$2:$P$1751,"1-30 hari")</f>
        <v>1858900</v>
      </c>
      <c r="G14" s="52" t="n">
        <f aca="false">SUMIFS(Piutang!$M$2:$M$1751,Piutang!$C$2:$C$1751,$A14,Piutang!$P$2:$P$1751,"31-60 hari")</f>
        <v>12934100</v>
      </c>
      <c r="H14" s="52" t="n">
        <f aca="false">SUMIFS(Piutang!$M$2:$M$1751,Piutang!$C$2:$C$1751,$A14,Piutang!$P$2:$P$1751,"61-90 hari")</f>
        <v>0</v>
      </c>
      <c r="I14" s="52" t="n">
        <f aca="false">SUMIFS(Piutang!$M$2:$M$1751,Piutang!$C$2:$C$1751,$A14,Piutang!$P$2:$P$1751,"90+ hari")</f>
        <v>0</v>
      </c>
      <c r="J14" s="52" t="n">
        <f aca="false">SUM(F14:I14)</f>
        <v>14793000</v>
      </c>
      <c r="K14" s="55" t="n">
        <f aca="false">IF(D14=0,0,J14/D14)</f>
        <v>0.660080585786381</v>
      </c>
    </row>
    <row r="15" customFormat="false" ht="15" hidden="false" customHeight="false" outlineLevel="0" collapsed="false">
      <c r="A15" s="50" t="s">
        <v>766</v>
      </c>
      <c r="B15" s="39" t="str">
        <f aca="false">INDEX(Master_Customer!$B$2:$B$126,MATCH(A15,Master_Customer!$A$2:$A$126,0))</f>
        <v>TIRTA SPAREPART BINTANG</v>
      </c>
      <c r="C15" s="39" t="n">
        <f aca="false">INDEX(Master_Customer!$C$2:$C$126,MATCH(A15,Master_Customer!$A$2:$A$126,0))</f>
        <v>30</v>
      </c>
      <c r="D15" s="52" t="n">
        <f aca="false">SUM(E15:I15)</f>
        <v>21922900</v>
      </c>
      <c r="E15" s="52" t="n">
        <f aca="false">SUMIFS(Piutang!$M$2:$M$1751,Piutang!$C$2:$C$1751,$A15,Piutang!$P$2:$P$1751,"Belum Jatuh Tempo")</f>
        <v>21922900</v>
      </c>
      <c r="F15" s="52" t="n">
        <f aca="false">SUMIFS(Piutang!$M$2:$M$1751,Piutang!$C$2:$C$1751,$A15,Piutang!$P$2:$P$1751,"1-30 hari")</f>
        <v>0</v>
      </c>
      <c r="G15" s="52" t="n">
        <f aca="false">SUMIFS(Piutang!$M$2:$M$1751,Piutang!$C$2:$C$1751,$A15,Piutang!$P$2:$P$1751,"31-60 hari")</f>
        <v>0</v>
      </c>
      <c r="H15" s="52" t="n">
        <f aca="false">SUMIFS(Piutang!$M$2:$M$1751,Piutang!$C$2:$C$1751,$A15,Piutang!$P$2:$P$1751,"61-90 hari")</f>
        <v>0</v>
      </c>
      <c r="I15" s="52" t="n">
        <f aca="false">SUMIFS(Piutang!$M$2:$M$1751,Piutang!$C$2:$C$1751,$A15,Piutang!$P$2:$P$1751,"90+ hari")</f>
        <v>0</v>
      </c>
      <c r="J15" s="52" t="n">
        <f aca="false">SUM(F15:I15)</f>
        <v>0</v>
      </c>
      <c r="K15" s="55" t="n">
        <f aca="false">IF(D15=0,0,J15/D15)</f>
        <v>0</v>
      </c>
    </row>
    <row r="16" customFormat="false" ht="15" hidden="false" customHeight="false" outlineLevel="0" collapsed="false">
      <c r="A16" s="50" t="s">
        <v>382</v>
      </c>
      <c r="B16" s="39" t="str">
        <f aca="false">INDEX(Master_Customer!$B$2:$B$126,MATCH(A16,Master_Customer!$A$2:$A$126,0))</f>
        <v>BERKAH SPAREPART</v>
      </c>
      <c r="C16" s="39" t="n">
        <f aca="false">INDEX(Master_Customer!$C$2:$C$126,MATCH(A16,Master_Customer!$A$2:$A$126,0))</f>
        <v>30</v>
      </c>
      <c r="D16" s="52" t="n">
        <f aca="false">SUM(E16:I16)</f>
        <v>21754200</v>
      </c>
      <c r="E16" s="52" t="n">
        <f aca="false">SUMIFS(Piutang!$M$2:$M$1751,Piutang!$C$2:$C$1751,$A16,Piutang!$P$2:$P$1751,"Belum Jatuh Tempo")</f>
        <v>2214000</v>
      </c>
      <c r="F16" s="52" t="n">
        <f aca="false">SUMIFS(Piutang!$M$2:$M$1751,Piutang!$C$2:$C$1751,$A16,Piutang!$P$2:$P$1751,"1-30 hari")</f>
        <v>6184800</v>
      </c>
      <c r="G16" s="52" t="n">
        <f aca="false">SUMIFS(Piutang!$M$2:$M$1751,Piutang!$C$2:$C$1751,$A16,Piutang!$P$2:$P$1751,"31-60 hari")</f>
        <v>13355400</v>
      </c>
      <c r="H16" s="52" t="n">
        <f aca="false">SUMIFS(Piutang!$M$2:$M$1751,Piutang!$C$2:$C$1751,$A16,Piutang!$P$2:$P$1751,"61-90 hari")</f>
        <v>0</v>
      </c>
      <c r="I16" s="52" t="n">
        <f aca="false">SUMIFS(Piutang!$M$2:$M$1751,Piutang!$C$2:$C$1751,$A16,Piutang!$P$2:$P$1751,"90+ hari")</f>
        <v>0</v>
      </c>
      <c r="J16" s="52" t="n">
        <f aca="false">SUM(F16:I16)</f>
        <v>19540200</v>
      </c>
      <c r="K16" s="55" t="n">
        <f aca="false">IF(D16=0,0,J16/D16)</f>
        <v>0.898226549355986</v>
      </c>
    </row>
    <row r="17" customFormat="false" ht="15" hidden="false" customHeight="false" outlineLevel="0" collapsed="false">
      <c r="A17" s="50" t="s">
        <v>197</v>
      </c>
      <c r="B17" s="39" t="str">
        <f aca="false">INDEX(Master_Customer!$B$2:$B$126,MATCH(A17,Master_Customer!$A$2:$A$126,0))</f>
        <v>UTAMA LUBRICANT HARAPAN</v>
      </c>
      <c r="C17" s="39" t="n">
        <f aca="false">INDEX(Master_Customer!$C$2:$C$126,MATCH(A17,Master_Customer!$A$2:$A$126,0))</f>
        <v>30</v>
      </c>
      <c r="D17" s="52" t="n">
        <f aca="false">SUM(E17:I17)</f>
        <v>21279800</v>
      </c>
      <c r="E17" s="52" t="n">
        <f aca="false">SUMIFS(Piutang!$M$2:$M$1751,Piutang!$C$2:$C$1751,$A17,Piutang!$P$2:$P$1751,"Belum Jatuh Tempo")</f>
        <v>15306400</v>
      </c>
      <c r="F17" s="52" t="n">
        <f aca="false">SUMIFS(Piutang!$M$2:$M$1751,Piutang!$C$2:$C$1751,$A17,Piutang!$P$2:$P$1751,"1-30 hari")</f>
        <v>5973400</v>
      </c>
      <c r="G17" s="52" t="n">
        <f aca="false">SUMIFS(Piutang!$M$2:$M$1751,Piutang!$C$2:$C$1751,$A17,Piutang!$P$2:$P$1751,"31-60 hari")</f>
        <v>0</v>
      </c>
      <c r="H17" s="52" t="n">
        <f aca="false">SUMIFS(Piutang!$M$2:$M$1751,Piutang!$C$2:$C$1751,$A17,Piutang!$P$2:$P$1751,"61-90 hari")</f>
        <v>0</v>
      </c>
      <c r="I17" s="52" t="n">
        <f aca="false">SUMIFS(Piutang!$M$2:$M$1751,Piutang!$C$2:$C$1751,$A17,Piutang!$P$2:$P$1751,"90+ hari")</f>
        <v>0</v>
      </c>
      <c r="J17" s="52" t="n">
        <f aca="false">SUM(F17:I17)</f>
        <v>5973400</v>
      </c>
      <c r="K17" s="55" t="n">
        <f aca="false">IF(D17=0,0,J17/D17)</f>
        <v>0.280707525446668</v>
      </c>
    </row>
    <row r="18" customFormat="false" ht="15" hidden="false" customHeight="false" outlineLevel="0" collapsed="false">
      <c r="A18" s="50" t="s">
        <v>251</v>
      </c>
      <c r="B18" s="39" t="str">
        <f aca="false">INDEX(Master_Customer!$B$2:$B$126,MATCH(A18,Master_Customer!$A$2:$A$126,0))</f>
        <v>MAJU SPAREPART</v>
      </c>
      <c r="C18" s="39" t="n">
        <f aca="false">INDEX(Master_Customer!$C$2:$C$126,MATCH(A18,Master_Customer!$A$2:$A$126,0))</f>
        <v>45</v>
      </c>
      <c r="D18" s="52" t="n">
        <f aca="false">SUM(E18:I18)</f>
        <v>19837200</v>
      </c>
      <c r="E18" s="52" t="n">
        <f aca="false">SUMIFS(Piutang!$M$2:$M$1751,Piutang!$C$2:$C$1751,$A18,Piutang!$P$2:$P$1751,"Belum Jatuh Tempo")</f>
        <v>19837200</v>
      </c>
      <c r="F18" s="52" t="n">
        <f aca="false">SUMIFS(Piutang!$M$2:$M$1751,Piutang!$C$2:$C$1751,$A18,Piutang!$P$2:$P$1751,"1-30 hari")</f>
        <v>0</v>
      </c>
      <c r="G18" s="52" t="n">
        <f aca="false">SUMIFS(Piutang!$M$2:$M$1751,Piutang!$C$2:$C$1751,$A18,Piutang!$P$2:$P$1751,"31-60 hari")</f>
        <v>0</v>
      </c>
      <c r="H18" s="52" t="n">
        <f aca="false">SUMIFS(Piutang!$M$2:$M$1751,Piutang!$C$2:$C$1751,$A18,Piutang!$P$2:$P$1751,"61-90 hari")</f>
        <v>0</v>
      </c>
      <c r="I18" s="52" t="n">
        <f aca="false">SUMIFS(Piutang!$M$2:$M$1751,Piutang!$C$2:$C$1751,$A18,Piutang!$P$2:$P$1751,"90+ hari")</f>
        <v>0</v>
      </c>
      <c r="J18" s="52" t="n">
        <f aca="false">SUM(F18:I18)</f>
        <v>0</v>
      </c>
      <c r="K18" s="55" t="n">
        <f aca="false">IF(D18=0,0,J18/D18)</f>
        <v>0</v>
      </c>
    </row>
    <row r="19" customFormat="false" ht="15" hidden="false" customHeight="false" outlineLevel="0" collapsed="false">
      <c r="A19" s="50" t="s">
        <v>293</v>
      </c>
      <c r="B19" s="39" t="str">
        <f aca="false">INDEX(Master_Customer!$B$2:$B$126,MATCH(A19,Master_Customer!$A$2:$A$126,0))</f>
        <v>SINAR LUBRICANT</v>
      </c>
      <c r="C19" s="39" t="n">
        <f aca="false">INDEX(Master_Customer!$C$2:$C$126,MATCH(A19,Master_Customer!$A$2:$A$126,0))</f>
        <v>30</v>
      </c>
      <c r="D19" s="52" t="n">
        <f aca="false">SUM(E19:I19)</f>
        <v>17885500</v>
      </c>
      <c r="E19" s="52" t="n">
        <f aca="false">SUMIFS(Piutang!$M$2:$M$1751,Piutang!$C$2:$C$1751,$A19,Piutang!$P$2:$P$1751,"Belum Jatuh Tempo")</f>
        <v>7348000</v>
      </c>
      <c r="F19" s="52" t="n">
        <f aca="false">SUMIFS(Piutang!$M$2:$M$1751,Piutang!$C$2:$C$1751,$A19,Piutang!$P$2:$P$1751,"1-30 hari")</f>
        <v>10537500</v>
      </c>
      <c r="G19" s="52" t="n">
        <f aca="false">SUMIFS(Piutang!$M$2:$M$1751,Piutang!$C$2:$C$1751,$A19,Piutang!$P$2:$P$1751,"31-60 hari")</f>
        <v>0</v>
      </c>
      <c r="H19" s="52" t="n">
        <f aca="false">SUMIFS(Piutang!$M$2:$M$1751,Piutang!$C$2:$C$1751,$A19,Piutang!$P$2:$P$1751,"61-90 hari")</f>
        <v>0</v>
      </c>
      <c r="I19" s="52" t="n">
        <f aca="false">SUMIFS(Piutang!$M$2:$M$1751,Piutang!$C$2:$C$1751,$A19,Piutang!$P$2:$P$1751,"90+ hari")</f>
        <v>0</v>
      </c>
      <c r="J19" s="52" t="n">
        <f aca="false">SUM(F19:I19)</f>
        <v>10537500</v>
      </c>
      <c r="K19" s="55" t="n">
        <f aca="false">IF(D19=0,0,J19/D19)</f>
        <v>0.589164406921808</v>
      </c>
    </row>
    <row r="20" customFormat="false" ht="15" hidden="false" customHeight="false" outlineLevel="0" collapsed="false">
      <c r="A20" s="50" t="s">
        <v>349</v>
      </c>
      <c r="B20" s="39" t="str">
        <f aca="false">INDEX(Master_Customer!$B$2:$B$126,MATCH(A20,Master_Customer!$A$2:$A$126,0))</f>
        <v>MITRA GARAGE MULIA</v>
      </c>
      <c r="C20" s="39" t="n">
        <f aca="false">INDEX(Master_Customer!$C$2:$C$126,MATCH(A20,Master_Customer!$A$2:$A$126,0))</f>
        <v>14</v>
      </c>
      <c r="D20" s="52" t="n">
        <f aca="false">SUM(E20:I20)</f>
        <v>17735600</v>
      </c>
      <c r="E20" s="52" t="n">
        <f aca="false">SUMIFS(Piutang!$M$2:$M$1751,Piutang!$C$2:$C$1751,$A20,Piutang!$P$2:$P$1751,"Belum Jatuh Tempo")</f>
        <v>0</v>
      </c>
      <c r="F20" s="52" t="n">
        <f aca="false">SUMIFS(Piutang!$M$2:$M$1751,Piutang!$C$2:$C$1751,$A20,Piutang!$P$2:$P$1751,"1-30 hari")</f>
        <v>488600</v>
      </c>
      <c r="G20" s="52" t="n">
        <f aca="false">SUMIFS(Piutang!$M$2:$M$1751,Piutang!$C$2:$C$1751,$A20,Piutang!$P$2:$P$1751,"31-60 hari")</f>
        <v>1199000</v>
      </c>
      <c r="H20" s="52" t="n">
        <f aca="false">SUMIFS(Piutang!$M$2:$M$1751,Piutang!$C$2:$C$1751,$A20,Piutang!$P$2:$P$1751,"61-90 hari")</f>
        <v>11978600</v>
      </c>
      <c r="I20" s="52" t="n">
        <f aca="false">SUMIFS(Piutang!$M$2:$M$1751,Piutang!$C$2:$C$1751,$A20,Piutang!$P$2:$P$1751,"90+ hari")</f>
        <v>4069400</v>
      </c>
      <c r="J20" s="52" t="n">
        <f aca="false">SUM(F20:I20)</f>
        <v>17735600</v>
      </c>
      <c r="K20" s="55" t="n">
        <f aca="false">IF(D20=0,0,J20/D20)</f>
        <v>1</v>
      </c>
    </row>
    <row r="21" customFormat="false" ht="15" hidden="false" customHeight="false" outlineLevel="0" collapsed="false">
      <c r="A21" s="50" t="s">
        <v>179</v>
      </c>
      <c r="B21" s="39" t="str">
        <f aca="false">INDEX(Master_Customer!$B$2:$B$126,MATCH(A21,Master_Customer!$A$2:$A$126,0))</f>
        <v>BINTANG TEKNIK SURYA</v>
      </c>
      <c r="C21" s="39" t="n">
        <f aca="false">INDEX(Master_Customer!$C$2:$C$126,MATCH(A21,Master_Customer!$A$2:$A$126,0))</f>
        <v>45</v>
      </c>
      <c r="D21" s="52" t="n">
        <f aca="false">SUM(E21:I21)</f>
        <v>17640900</v>
      </c>
      <c r="E21" s="52" t="n">
        <f aca="false">SUMIFS(Piutang!$M$2:$M$1751,Piutang!$C$2:$C$1751,$A21,Piutang!$P$2:$P$1751,"Belum Jatuh Tempo")</f>
        <v>14894700</v>
      </c>
      <c r="F21" s="52" t="n">
        <f aca="false">SUMIFS(Piutang!$M$2:$M$1751,Piutang!$C$2:$C$1751,$A21,Piutang!$P$2:$P$1751,"1-30 hari")</f>
        <v>729100</v>
      </c>
      <c r="G21" s="52" t="n">
        <f aca="false">SUMIFS(Piutang!$M$2:$M$1751,Piutang!$C$2:$C$1751,$A21,Piutang!$P$2:$P$1751,"31-60 hari")</f>
        <v>0</v>
      </c>
      <c r="H21" s="52" t="n">
        <f aca="false">SUMIFS(Piutang!$M$2:$M$1751,Piutang!$C$2:$C$1751,$A21,Piutang!$P$2:$P$1751,"61-90 hari")</f>
        <v>0</v>
      </c>
      <c r="I21" s="52" t="n">
        <f aca="false">SUMIFS(Piutang!$M$2:$M$1751,Piutang!$C$2:$C$1751,$A21,Piutang!$P$2:$P$1751,"90+ hari")</f>
        <v>2017100</v>
      </c>
      <c r="J21" s="52" t="n">
        <f aca="false">SUM(F21:I21)</f>
        <v>2746200</v>
      </c>
      <c r="K21" s="55" t="n">
        <f aca="false">IF(D21=0,0,J21/D21)</f>
        <v>0.155672329643045</v>
      </c>
    </row>
    <row r="22" customFormat="false" ht="15" hidden="false" customHeight="false" outlineLevel="0" collapsed="false">
      <c r="A22" s="50" t="s">
        <v>193</v>
      </c>
      <c r="B22" s="39" t="str">
        <f aca="false">INDEX(Master_Customer!$B$2:$B$126,MATCH(A22,Master_Customer!$A$2:$A$126,0))</f>
        <v>BINTANG BENGKEL</v>
      </c>
      <c r="C22" s="39" t="n">
        <f aca="false">INDEX(Master_Customer!$C$2:$C$126,MATCH(A22,Master_Customer!$A$2:$A$126,0))</f>
        <v>14</v>
      </c>
      <c r="D22" s="52" t="n">
        <f aca="false">SUM(E22:I22)</f>
        <v>16598500</v>
      </c>
      <c r="E22" s="52" t="n">
        <f aca="false">SUMIFS(Piutang!$M$2:$M$1751,Piutang!$C$2:$C$1751,$A22,Piutang!$P$2:$P$1751,"Belum Jatuh Tempo")</f>
        <v>0</v>
      </c>
      <c r="F22" s="52" t="n">
        <f aca="false">SUMIFS(Piutang!$M$2:$M$1751,Piutang!$C$2:$C$1751,$A22,Piutang!$P$2:$P$1751,"1-30 hari")</f>
        <v>16598500</v>
      </c>
      <c r="G22" s="52" t="n">
        <f aca="false">SUMIFS(Piutang!$M$2:$M$1751,Piutang!$C$2:$C$1751,$A22,Piutang!$P$2:$P$1751,"31-60 hari")</f>
        <v>0</v>
      </c>
      <c r="H22" s="52" t="n">
        <f aca="false">SUMIFS(Piutang!$M$2:$M$1751,Piutang!$C$2:$C$1751,$A22,Piutang!$P$2:$P$1751,"61-90 hari")</f>
        <v>0</v>
      </c>
      <c r="I22" s="52" t="n">
        <f aca="false">SUMIFS(Piutang!$M$2:$M$1751,Piutang!$C$2:$C$1751,$A22,Piutang!$P$2:$P$1751,"90+ hari")</f>
        <v>0</v>
      </c>
      <c r="J22" s="52" t="n">
        <f aca="false">SUM(F22:I22)</f>
        <v>16598500</v>
      </c>
      <c r="K22" s="55" t="n">
        <f aca="false">IF(D22=0,0,J22/D22)</f>
        <v>1</v>
      </c>
    </row>
    <row r="23" customFormat="false" ht="15" hidden="false" customHeight="false" outlineLevel="0" collapsed="false">
      <c r="A23" s="50" t="s">
        <v>825</v>
      </c>
      <c r="B23" s="39" t="str">
        <f aca="false">INDEX(Master_Customer!$B$2:$B$126,MATCH(A23,Master_Customer!$A$2:$A$126,0))</f>
        <v>MULIA BENGKEL UTAMA</v>
      </c>
      <c r="C23" s="39" t="n">
        <f aca="false">INDEX(Master_Customer!$C$2:$C$126,MATCH(A23,Master_Customer!$A$2:$A$126,0))</f>
        <v>14</v>
      </c>
      <c r="D23" s="52" t="n">
        <f aca="false">SUM(E23:I23)</f>
        <v>16281200</v>
      </c>
      <c r="E23" s="52" t="n">
        <f aca="false">SUMIFS(Piutang!$M$2:$M$1751,Piutang!$C$2:$C$1751,$A23,Piutang!$P$2:$P$1751,"Belum Jatuh Tempo")</f>
        <v>0</v>
      </c>
      <c r="F23" s="52" t="n">
        <f aca="false">SUMIFS(Piutang!$M$2:$M$1751,Piutang!$C$2:$C$1751,$A23,Piutang!$P$2:$P$1751,"1-30 hari")</f>
        <v>0</v>
      </c>
      <c r="G23" s="52" t="n">
        <f aca="false">SUMIFS(Piutang!$M$2:$M$1751,Piutang!$C$2:$C$1751,$A23,Piutang!$P$2:$P$1751,"31-60 hari")</f>
        <v>16281200</v>
      </c>
      <c r="H23" s="52" t="n">
        <f aca="false">SUMIFS(Piutang!$M$2:$M$1751,Piutang!$C$2:$C$1751,$A23,Piutang!$P$2:$P$1751,"61-90 hari")</f>
        <v>0</v>
      </c>
      <c r="I23" s="52" t="n">
        <f aca="false">SUMIFS(Piutang!$M$2:$M$1751,Piutang!$C$2:$C$1751,$A23,Piutang!$P$2:$P$1751,"90+ hari")</f>
        <v>0</v>
      </c>
      <c r="J23" s="52" t="n">
        <f aca="false">SUM(F23:I23)</f>
        <v>16281200</v>
      </c>
      <c r="K23" s="55" t="n">
        <f aca="false">IF(D23=0,0,J23/D23)</f>
        <v>1</v>
      </c>
    </row>
    <row r="24" customFormat="false" ht="15" hidden="false" customHeight="false" outlineLevel="0" collapsed="false">
      <c r="A24" s="50" t="s">
        <v>249</v>
      </c>
      <c r="B24" s="39" t="str">
        <f aca="false">INDEX(Master_Customer!$B$2:$B$126,MATCH(A24,Master_Customer!$A$2:$A$126,0))</f>
        <v>SENTOSA MOTOR</v>
      </c>
      <c r="C24" s="39" t="n">
        <f aca="false">INDEX(Master_Customer!$C$2:$C$126,MATCH(A24,Master_Customer!$A$2:$A$126,0))</f>
        <v>45</v>
      </c>
      <c r="D24" s="52" t="n">
        <f aca="false">SUM(E24:I24)</f>
        <v>16103100</v>
      </c>
      <c r="E24" s="52" t="n">
        <f aca="false">SUMIFS(Piutang!$M$2:$M$1751,Piutang!$C$2:$C$1751,$A24,Piutang!$P$2:$P$1751,"Belum Jatuh Tempo")</f>
        <v>16103100</v>
      </c>
      <c r="F24" s="52" t="n">
        <f aca="false">SUMIFS(Piutang!$M$2:$M$1751,Piutang!$C$2:$C$1751,$A24,Piutang!$P$2:$P$1751,"1-30 hari")</f>
        <v>0</v>
      </c>
      <c r="G24" s="52" t="n">
        <f aca="false">SUMIFS(Piutang!$M$2:$M$1751,Piutang!$C$2:$C$1751,$A24,Piutang!$P$2:$P$1751,"31-60 hari")</f>
        <v>0</v>
      </c>
      <c r="H24" s="52" t="n">
        <f aca="false">SUMIFS(Piutang!$M$2:$M$1751,Piutang!$C$2:$C$1751,$A24,Piutang!$P$2:$P$1751,"61-90 hari")</f>
        <v>0</v>
      </c>
      <c r="I24" s="52" t="n">
        <f aca="false">SUMIFS(Piutang!$M$2:$M$1751,Piutang!$C$2:$C$1751,$A24,Piutang!$P$2:$P$1751,"90+ hari")</f>
        <v>0</v>
      </c>
      <c r="J24" s="52" t="n">
        <f aca="false">SUM(F24:I24)</f>
        <v>0</v>
      </c>
      <c r="K24" s="55" t="n">
        <f aca="false">IF(D24=0,0,J24/D24)</f>
        <v>0</v>
      </c>
    </row>
    <row r="25" customFormat="false" ht="15" hidden="false" customHeight="false" outlineLevel="0" collapsed="false">
      <c r="A25" s="50" t="s">
        <v>298</v>
      </c>
      <c r="B25" s="39" t="str">
        <f aca="false">INDEX(Master_Customer!$B$2:$B$126,MATCH(A25,Master_Customer!$A$2:$A$126,0))</f>
        <v>BERKAH MOBIL MAKMUR</v>
      </c>
      <c r="C25" s="39" t="n">
        <f aca="false">INDEX(Master_Customer!$C$2:$C$126,MATCH(A25,Master_Customer!$A$2:$A$126,0))</f>
        <v>14</v>
      </c>
      <c r="D25" s="52" t="n">
        <f aca="false">SUM(E25:I25)</f>
        <v>16047200</v>
      </c>
      <c r="E25" s="52" t="n">
        <f aca="false">SUMIFS(Piutang!$M$2:$M$1751,Piutang!$C$2:$C$1751,$A25,Piutang!$P$2:$P$1751,"Belum Jatuh Tempo")</f>
        <v>0</v>
      </c>
      <c r="F25" s="52" t="n">
        <f aca="false">SUMIFS(Piutang!$M$2:$M$1751,Piutang!$C$2:$C$1751,$A25,Piutang!$P$2:$P$1751,"1-30 hari")</f>
        <v>0</v>
      </c>
      <c r="G25" s="52" t="n">
        <f aca="false">SUMIFS(Piutang!$M$2:$M$1751,Piutang!$C$2:$C$1751,$A25,Piutang!$P$2:$P$1751,"31-60 hari")</f>
        <v>0</v>
      </c>
      <c r="H25" s="52" t="n">
        <f aca="false">SUMIFS(Piutang!$M$2:$M$1751,Piutang!$C$2:$C$1751,$A25,Piutang!$P$2:$P$1751,"61-90 hari")</f>
        <v>0</v>
      </c>
      <c r="I25" s="52" t="n">
        <f aca="false">SUMIFS(Piutang!$M$2:$M$1751,Piutang!$C$2:$C$1751,$A25,Piutang!$P$2:$P$1751,"90+ hari")</f>
        <v>16047200</v>
      </c>
      <c r="J25" s="52" t="n">
        <f aca="false">SUM(F25:I25)</f>
        <v>16047200</v>
      </c>
      <c r="K25" s="55" t="n">
        <f aca="false">IF(D25=0,0,J25/D25)</f>
        <v>1</v>
      </c>
    </row>
    <row r="26" customFormat="false" ht="15" hidden="false" customHeight="false" outlineLevel="0" collapsed="false">
      <c r="A26" s="50" t="s">
        <v>421</v>
      </c>
      <c r="B26" s="39" t="str">
        <f aca="false">INDEX(Master_Customer!$B$2:$B$126,MATCH(A26,Master_Customer!$A$2:$A$126,0))</f>
        <v>MITRA BENGKEL</v>
      </c>
      <c r="C26" s="39" t="n">
        <f aca="false">INDEX(Master_Customer!$C$2:$C$126,MATCH(A26,Master_Customer!$A$2:$A$126,0))</f>
        <v>30</v>
      </c>
      <c r="D26" s="52" t="n">
        <f aca="false">SUM(E26:I26)</f>
        <v>15985400</v>
      </c>
      <c r="E26" s="52" t="n">
        <f aca="false">SUMIFS(Piutang!$M$2:$M$1751,Piutang!$C$2:$C$1751,$A26,Piutang!$P$2:$P$1751,"Belum Jatuh Tempo")</f>
        <v>0</v>
      </c>
      <c r="F26" s="52" t="n">
        <f aca="false">SUMIFS(Piutang!$M$2:$M$1751,Piutang!$C$2:$C$1751,$A26,Piutang!$P$2:$P$1751,"1-30 hari")</f>
        <v>0</v>
      </c>
      <c r="G26" s="52" t="n">
        <f aca="false">SUMIFS(Piutang!$M$2:$M$1751,Piutang!$C$2:$C$1751,$A26,Piutang!$P$2:$P$1751,"31-60 hari")</f>
        <v>0</v>
      </c>
      <c r="H26" s="52" t="n">
        <f aca="false">SUMIFS(Piutang!$M$2:$M$1751,Piutang!$C$2:$C$1751,$A26,Piutang!$P$2:$P$1751,"61-90 hari")</f>
        <v>7080600</v>
      </c>
      <c r="I26" s="52" t="n">
        <f aca="false">SUMIFS(Piutang!$M$2:$M$1751,Piutang!$C$2:$C$1751,$A26,Piutang!$P$2:$P$1751,"90+ hari")</f>
        <v>8904800</v>
      </c>
      <c r="J26" s="52" t="n">
        <f aca="false">SUM(F26:I26)</f>
        <v>15985400</v>
      </c>
      <c r="K26" s="55" t="n">
        <f aca="false">IF(D26=0,0,J26/D26)</f>
        <v>1</v>
      </c>
    </row>
    <row r="27" customFormat="false" ht="15" hidden="false" customHeight="false" outlineLevel="0" collapsed="false">
      <c r="A27" s="50" t="s">
        <v>562</v>
      </c>
      <c r="B27" s="39" t="str">
        <f aca="false">INDEX(Master_Customer!$B$2:$B$126,MATCH(A27,Master_Customer!$A$2:$A$126,0))</f>
        <v>BERKAH SERVICE SENTOSA</v>
      </c>
      <c r="C27" s="39" t="n">
        <f aca="false">INDEX(Master_Customer!$C$2:$C$126,MATCH(A27,Master_Customer!$A$2:$A$126,0))</f>
        <v>14</v>
      </c>
      <c r="D27" s="52" t="n">
        <f aca="false">SUM(E27:I27)</f>
        <v>15035800</v>
      </c>
      <c r="E27" s="52" t="n">
        <f aca="false">SUMIFS(Piutang!$M$2:$M$1751,Piutang!$C$2:$C$1751,$A27,Piutang!$P$2:$P$1751,"Belum Jatuh Tempo")</f>
        <v>15035800</v>
      </c>
      <c r="F27" s="52" t="n">
        <f aca="false">SUMIFS(Piutang!$M$2:$M$1751,Piutang!$C$2:$C$1751,$A27,Piutang!$P$2:$P$1751,"1-30 hari")</f>
        <v>0</v>
      </c>
      <c r="G27" s="52" t="n">
        <f aca="false">SUMIFS(Piutang!$M$2:$M$1751,Piutang!$C$2:$C$1751,$A27,Piutang!$P$2:$P$1751,"31-60 hari")</f>
        <v>0</v>
      </c>
      <c r="H27" s="52" t="n">
        <f aca="false">SUMIFS(Piutang!$M$2:$M$1751,Piutang!$C$2:$C$1751,$A27,Piutang!$P$2:$P$1751,"61-90 hari")</f>
        <v>0</v>
      </c>
      <c r="I27" s="52" t="n">
        <f aca="false">SUMIFS(Piutang!$M$2:$M$1751,Piutang!$C$2:$C$1751,$A27,Piutang!$P$2:$P$1751,"90+ hari")</f>
        <v>0</v>
      </c>
      <c r="J27" s="52" t="n">
        <f aca="false">SUM(F27:I27)</f>
        <v>0</v>
      </c>
      <c r="K27" s="55" t="n">
        <f aca="false">IF(D27=0,0,J27/D27)</f>
        <v>0</v>
      </c>
    </row>
    <row r="28" customFormat="false" ht="15" hidden="false" customHeight="false" outlineLevel="0" collapsed="false">
      <c r="A28" s="50" t="s">
        <v>329</v>
      </c>
      <c r="B28" s="39" t="str">
        <f aca="false">INDEX(Master_Customer!$B$2:$B$126,MATCH(A28,Master_Customer!$A$2:$A$126,0))</f>
        <v>MAKMUR OLI</v>
      </c>
      <c r="C28" s="39" t="n">
        <f aca="false">INDEX(Master_Customer!$C$2:$C$126,MATCH(A28,Master_Customer!$A$2:$A$126,0))</f>
        <v>45</v>
      </c>
      <c r="D28" s="52" t="n">
        <f aca="false">SUM(E28:I28)</f>
        <v>14930100</v>
      </c>
      <c r="E28" s="52" t="n">
        <f aca="false">SUMIFS(Piutang!$M$2:$M$1751,Piutang!$C$2:$C$1751,$A28,Piutang!$P$2:$P$1751,"Belum Jatuh Tempo")</f>
        <v>12666000</v>
      </c>
      <c r="F28" s="52" t="n">
        <f aca="false">SUMIFS(Piutang!$M$2:$M$1751,Piutang!$C$2:$C$1751,$A28,Piutang!$P$2:$P$1751,"1-30 hari")</f>
        <v>0</v>
      </c>
      <c r="G28" s="52" t="n">
        <f aca="false">SUMIFS(Piutang!$M$2:$M$1751,Piutang!$C$2:$C$1751,$A28,Piutang!$P$2:$P$1751,"31-60 hari")</f>
        <v>0</v>
      </c>
      <c r="H28" s="52" t="n">
        <f aca="false">SUMIFS(Piutang!$M$2:$M$1751,Piutang!$C$2:$C$1751,$A28,Piutang!$P$2:$P$1751,"61-90 hari")</f>
        <v>0</v>
      </c>
      <c r="I28" s="52" t="n">
        <f aca="false">SUMIFS(Piutang!$M$2:$M$1751,Piutang!$C$2:$C$1751,$A28,Piutang!$P$2:$P$1751,"90+ hari")</f>
        <v>2264100</v>
      </c>
      <c r="J28" s="52" t="n">
        <f aca="false">SUM(F28:I28)</f>
        <v>2264100</v>
      </c>
      <c r="K28" s="55" t="n">
        <f aca="false">IF(D28=0,0,J28/D28)</f>
        <v>0.151646673498503</v>
      </c>
    </row>
    <row r="29" customFormat="false" ht="15" hidden="false" customHeight="false" outlineLevel="0" collapsed="false">
      <c r="A29" s="50" t="s">
        <v>523</v>
      </c>
      <c r="B29" s="39" t="str">
        <f aca="false">INDEX(Master_Customer!$B$2:$B$126,MATCH(A29,Master_Customer!$A$2:$A$126,0))</f>
        <v>PRIMA OLI MAKMUR</v>
      </c>
      <c r="C29" s="39" t="n">
        <f aca="false">INDEX(Master_Customer!$C$2:$C$126,MATCH(A29,Master_Customer!$A$2:$A$126,0))</f>
        <v>45</v>
      </c>
      <c r="D29" s="52" t="n">
        <f aca="false">SUM(E29:I29)</f>
        <v>14463000</v>
      </c>
      <c r="E29" s="52" t="n">
        <f aca="false">SUMIFS(Piutang!$M$2:$M$1751,Piutang!$C$2:$C$1751,$A29,Piutang!$P$2:$P$1751,"Belum Jatuh Tempo")</f>
        <v>12075000</v>
      </c>
      <c r="F29" s="52" t="n">
        <f aca="false">SUMIFS(Piutang!$M$2:$M$1751,Piutang!$C$2:$C$1751,$A29,Piutang!$P$2:$P$1751,"1-30 hari")</f>
        <v>0</v>
      </c>
      <c r="G29" s="52" t="n">
        <f aca="false">SUMIFS(Piutang!$M$2:$M$1751,Piutang!$C$2:$C$1751,$A29,Piutang!$P$2:$P$1751,"31-60 hari")</f>
        <v>2388000</v>
      </c>
      <c r="H29" s="52" t="n">
        <f aca="false">SUMIFS(Piutang!$M$2:$M$1751,Piutang!$C$2:$C$1751,$A29,Piutang!$P$2:$P$1751,"61-90 hari")</f>
        <v>0</v>
      </c>
      <c r="I29" s="52" t="n">
        <f aca="false">SUMIFS(Piutang!$M$2:$M$1751,Piutang!$C$2:$C$1751,$A29,Piutang!$P$2:$P$1751,"90+ hari")</f>
        <v>0</v>
      </c>
      <c r="J29" s="52" t="n">
        <f aca="false">SUM(F29:I29)</f>
        <v>2388000</v>
      </c>
      <c r="K29" s="55" t="n">
        <f aca="false">IF(D29=0,0,J29/D29)</f>
        <v>0.165110972827214</v>
      </c>
    </row>
    <row r="30" customFormat="false" ht="15" hidden="false" customHeight="false" outlineLevel="0" collapsed="false">
      <c r="A30" s="50" t="s">
        <v>469</v>
      </c>
      <c r="B30" s="39" t="str">
        <f aca="false">INDEX(Master_Customer!$B$2:$B$126,MATCH(A30,Master_Customer!$A$2:$A$126,0))</f>
        <v>MULIA AUTO CAHAYA</v>
      </c>
      <c r="C30" s="39" t="n">
        <f aca="false">INDEX(Master_Customer!$C$2:$C$126,MATCH(A30,Master_Customer!$A$2:$A$126,0))</f>
        <v>45</v>
      </c>
      <c r="D30" s="52" t="n">
        <f aca="false">SUM(E30:I30)</f>
        <v>14324000</v>
      </c>
      <c r="E30" s="52" t="n">
        <f aca="false">SUMIFS(Piutang!$M$2:$M$1751,Piutang!$C$2:$C$1751,$A30,Piutang!$P$2:$P$1751,"Belum Jatuh Tempo")</f>
        <v>2344000</v>
      </c>
      <c r="F30" s="52" t="n">
        <f aca="false">SUMIFS(Piutang!$M$2:$M$1751,Piutang!$C$2:$C$1751,$A30,Piutang!$P$2:$P$1751,"1-30 hari")</f>
        <v>11980000</v>
      </c>
      <c r="G30" s="52" t="n">
        <f aca="false">SUMIFS(Piutang!$M$2:$M$1751,Piutang!$C$2:$C$1751,$A30,Piutang!$P$2:$P$1751,"31-60 hari")</f>
        <v>0</v>
      </c>
      <c r="H30" s="52" t="n">
        <f aca="false">SUMIFS(Piutang!$M$2:$M$1751,Piutang!$C$2:$C$1751,$A30,Piutang!$P$2:$P$1751,"61-90 hari")</f>
        <v>0</v>
      </c>
      <c r="I30" s="52" t="n">
        <f aca="false">SUMIFS(Piutang!$M$2:$M$1751,Piutang!$C$2:$C$1751,$A30,Piutang!$P$2:$P$1751,"90+ hari")</f>
        <v>0</v>
      </c>
      <c r="J30" s="52" t="n">
        <f aca="false">SUM(F30:I30)</f>
        <v>11980000</v>
      </c>
      <c r="K30" s="55" t="n">
        <f aca="false">IF(D30=0,0,J30/D30)</f>
        <v>0.836358559061715</v>
      </c>
    </row>
    <row r="31" customFormat="false" ht="15" hidden="false" customHeight="false" outlineLevel="0" collapsed="false">
      <c r="A31" s="50" t="s">
        <v>681</v>
      </c>
      <c r="B31" s="39" t="str">
        <f aca="false">INDEX(Master_Customer!$B$2:$B$126,MATCH(A31,Master_Customer!$A$2:$A$126,0))</f>
        <v>GEMILANG TEKNIK</v>
      </c>
      <c r="C31" s="39" t="n">
        <f aca="false">INDEX(Master_Customer!$C$2:$C$126,MATCH(A31,Master_Customer!$A$2:$A$126,0))</f>
        <v>30</v>
      </c>
      <c r="D31" s="52" t="n">
        <f aca="false">SUM(E31:I31)</f>
        <v>14114700</v>
      </c>
      <c r="E31" s="52" t="n">
        <f aca="false">SUMIFS(Piutang!$M$2:$M$1751,Piutang!$C$2:$C$1751,$A31,Piutang!$P$2:$P$1751,"Belum Jatuh Tempo")</f>
        <v>6220300</v>
      </c>
      <c r="F31" s="52" t="n">
        <f aca="false">SUMIFS(Piutang!$M$2:$M$1751,Piutang!$C$2:$C$1751,$A31,Piutang!$P$2:$P$1751,"1-30 hari")</f>
        <v>0</v>
      </c>
      <c r="G31" s="52" t="n">
        <f aca="false">SUMIFS(Piutang!$M$2:$M$1751,Piutang!$C$2:$C$1751,$A31,Piutang!$P$2:$P$1751,"31-60 hari")</f>
        <v>0</v>
      </c>
      <c r="H31" s="52" t="n">
        <f aca="false">SUMIFS(Piutang!$M$2:$M$1751,Piutang!$C$2:$C$1751,$A31,Piutang!$P$2:$P$1751,"61-90 hari")</f>
        <v>0</v>
      </c>
      <c r="I31" s="52" t="n">
        <f aca="false">SUMIFS(Piutang!$M$2:$M$1751,Piutang!$C$2:$C$1751,$A31,Piutang!$P$2:$P$1751,"90+ hari")</f>
        <v>7894400</v>
      </c>
      <c r="J31" s="52" t="n">
        <f aca="false">SUM(F31:I31)</f>
        <v>7894400</v>
      </c>
      <c r="K31" s="55" t="n">
        <f aca="false">IF(D31=0,0,J31/D31)</f>
        <v>0.559303421255854</v>
      </c>
    </row>
    <row r="32" customFormat="false" ht="15" hidden="false" customHeight="false" outlineLevel="0" collapsed="false">
      <c r="A32" s="50" t="s">
        <v>1099</v>
      </c>
      <c r="B32" s="39" t="str">
        <f aca="false">INDEX(Master_Customer!$B$2:$B$126,MATCH(A32,Master_Customer!$A$2:$A$126,0))</f>
        <v>SENTOSA SPAREPART</v>
      </c>
      <c r="C32" s="39" t="n">
        <f aca="false">INDEX(Master_Customer!$C$2:$C$126,MATCH(A32,Master_Customer!$A$2:$A$126,0))</f>
        <v>30</v>
      </c>
      <c r="D32" s="52" t="n">
        <f aca="false">SUM(E32:I32)</f>
        <v>13742000</v>
      </c>
      <c r="E32" s="52" t="n">
        <f aca="false">SUMIFS(Piutang!$M$2:$M$1751,Piutang!$C$2:$C$1751,$A32,Piutang!$P$2:$P$1751,"Belum Jatuh Tempo")</f>
        <v>0</v>
      </c>
      <c r="F32" s="52" t="n">
        <f aca="false">SUMIFS(Piutang!$M$2:$M$1751,Piutang!$C$2:$C$1751,$A32,Piutang!$P$2:$P$1751,"1-30 hari")</f>
        <v>13742000</v>
      </c>
      <c r="G32" s="52" t="n">
        <f aca="false">SUMIFS(Piutang!$M$2:$M$1751,Piutang!$C$2:$C$1751,$A32,Piutang!$P$2:$P$1751,"31-60 hari")</f>
        <v>0</v>
      </c>
      <c r="H32" s="52" t="n">
        <f aca="false">SUMIFS(Piutang!$M$2:$M$1751,Piutang!$C$2:$C$1751,$A32,Piutang!$P$2:$P$1751,"61-90 hari")</f>
        <v>0</v>
      </c>
      <c r="I32" s="52" t="n">
        <f aca="false">SUMIFS(Piutang!$M$2:$M$1751,Piutang!$C$2:$C$1751,$A32,Piutang!$P$2:$P$1751,"90+ hari")</f>
        <v>0</v>
      </c>
      <c r="J32" s="52" t="n">
        <f aca="false">SUM(F32:I32)</f>
        <v>13742000</v>
      </c>
      <c r="K32" s="55" t="n">
        <f aca="false">IF(D32=0,0,J32/D32)</f>
        <v>1</v>
      </c>
    </row>
    <row r="33" customFormat="false" ht="15" hidden="false" customHeight="false" outlineLevel="0" collapsed="false">
      <c r="A33" s="50" t="s">
        <v>177</v>
      </c>
      <c r="B33" s="39" t="str">
        <f aca="false">INDEX(Master_Customer!$B$2:$B$126,MATCH(A33,Master_Customer!$A$2:$A$126,0))</f>
        <v>PRIMA MOTOR LANCAR</v>
      </c>
      <c r="C33" s="39" t="n">
        <f aca="false">INDEX(Master_Customer!$C$2:$C$126,MATCH(A33,Master_Customer!$A$2:$A$126,0))</f>
        <v>14</v>
      </c>
      <c r="D33" s="52" t="n">
        <f aca="false">SUM(E33:I33)</f>
        <v>12834000</v>
      </c>
      <c r="E33" s="52" t="n">
        <f aca="false">SUMIFS(Piutang!$M$2:$M$1751,Piutang!$C$2:$C$1751,$A33,Piutang!$P$2:$P$1751,"Belum Jatuh Tempo")</f>
        <v>6883200</v>
      </c>
      <c r="F33" s="52" t="n">
        <f aca="false">SUMIFS(Piutang!$M$2:$M$1751,Piutang!$C$2:$C$1751,$A33,Piutang!$P$2:$P$1751,"1-30 hari")</f>
        <v>0</v>
      </c>
      <c r="G33" s="52" t="n">
        <f aca="false">SUMIFS(Piutang!$M$2:$M$1751,Piutang!$C$2:$C$1751,$A33,Piutang!$P$2:$P$1751,"31-60 hari")</f>
        <v>0</v>
      </c>
      <c r="H33" s="52" t="n">
        <f aca="false">SUMIFS(Piutang!$M$2:$M$1751,Piutang!$C$2:$C$1751,$A33,Piutang!$P$2:$P$1751,"61-90 hari")</f>
        <v>0</v>
      </c>
      <c r="I33" s="52" t="n">
        <f aca="false">SUMIFS(Piutang!$M$2:$M$1751,Piutang!$C$2:$C$1751,$A33,Piutang!$P$2:$P$1751,"90+ hari")</f>
        <v>5950800</v>
      </c>
      <c r="J33" s="52" t="n">
        <f aca="false">SUM(F33:I33)</f>
        <v>5950800</v>
      </c>
      <c r="K33" s="55" t="n">
        <f aca="false">IF(D33=0,0,J33/D33)</f>
        <v>0.46367461430575</v>
      </c>
    </row>
    <row r="34" customFormat="false" ht="15" hidden="false" customHeight="false" outlineLevel="0" collapsed="false">
      <c r="A34" s="50" t="s">
        <v>256</v>
      </c>
      <c r="B34" s="39" t="str">
        <f aca="false">INDEX(Master_Customer!$B$2:$B$126,MATCH(A34,Master_Customer!$A$2:$A$126,0))</f>
        <v>HARAPAN SPAREPART</v>
      </c>
      <c r="C34" s="39" t="n">
        <f aca="false">INDEX(Master_Customer!$C$2:$C$126,MATCH(A34,Master_Customer!$A$2:$A$126,0))</f>
        <v>45</v>
      </c>
      <c r="D34" s="52" t="n">
        <f aca="false">SUM(E34:I34)</f>
        <v>12590400</v>
      </c>
      <c r="E34" s="52" t="n">
        <f aca="false">SUMIFS(Piutang!$M$2:$M$1751,Piutang!$C$2:$C$1751,$A34,Piutang!$P$2:$P$1751,"Belum Jatuh Tempo")</f>
        <v>6958600</v>
      </c>
      <c r="F34" s="52" t="n">
        <f aca="false">SUMIFS(Piutang!$M$2:$M$1751,Piutang!$C$2:$C$1751,$A34,Piutang!$P$2:$P$1751,"1-30 hari")</f>
        <v>0</v>
      </c>
      <c r="G34" s="52" t="n">
        <f aca="false">SUMIFS(Piutang!$M$2:$M$1751,Piutang!$C$2:$C$1751,$A34,Piutang!$P$2:$P$1751,"31-60 hari")</f>
        <v>0</v>
      </c>
      <c r="H34" s="52" t="n">
        <f aca="false">SUMIFS(Piutang!$M$2:$M$1751,Piutang!$C$2:$C$1751,$A34,Piutang!$P$2:$P$1751,"61-90 hari")</f>
        <v>0</v>
      </c>
      <c r="I34" s="52" t="n">
        <f aca="false">SUMIFS(Piutang!$M$2:$M$1751,Piutang!$C$2:$C$1751,$A34,Piutang!$P$2:$P$1751,"90+ hari")</f>
        <v>5631800</v>
      </c>
      <c r="J34" s="52" t="n">
        <f aca="false">SUM(F34:I34)</f>
        <v>5631800</v>
      </c>
      <c r="K34" s="55" t="n">
        <f aca="false">IF(D34=0,0,J34/D34)</f>
        <v>0.447309060871775</v>
      </c>
    </row>
    <row r="35" customFormat="false" ht="15" hidden="false" customHeight="false" outlineLevel="0" collapsed="false">
      <c r="A35" s="50" t="s">
        <v>846</v>
      </c>
      <c r="B35" s="39" t="str">
        <f aca="false">INDEX(Master_Customer!$B$2:$B$126,MATCH(A35,Master_Customer!$A$2:$A$126,0))</f>
        <v>UTAMA MOBIL</v>
      </c>
      <c r="C35" s="39" t="n">
        <f aca="false">INDEX(Master_Customer!$C$2:$C$126,MATCH(A35,Master_Customer!$A$2:$A$126,0))</f>
        <v>14</v>
      </c>
      <c r="D35" s="52" t="n">
        <f aca="false">SUM(E35:I35)</f>
        <v>11909300</v>
      </c>
      <c r="E35" s="52" t="n">
        <f aca="false">SUMIFS(Piutang!$M$2:$M$1751,Piutang!$C$2:$C$1751,$A35,Piutang!$P$2:$P$1751,"Belum Jatuh Tempo")</f>
        <v>11909300</v>
      </c>
      <c r="F35" s="52" t="n">
        <f aca="false">SUMIFS(Piutang!$M$2:$M$1751,Piutang!$C$2:$C$1751,$A35,Piutang!$P$2:$P$1751,"1-30 hari")</f>
        <v>0</v>
      </c>
      <c r="G35" s="52" t="n">
        <f aca="false">SUMIFS(Piutang!$M$2:$M$1751,Piutang!$C$2:$C$1751,$A35,Piutang!$P$2:$P$1751,"31-60 hari")</f>
        <v>0</v>
      </c>
      <c r="H35" s="52" t="n">
        <f aca="false">SUMIFS(Piutang!$M$2:$M$1751,Piutang!$C$2:$C$1751,$A35,Piutang!$P$2:$P$1751,"61-90 hari")</f>
        <v>0</v>
      </c>
      <c r="I35" s="52" t="n">
        <f aca="false">SUMIFS(Piutang!$M$2:$M$1751,Piutang!$C$2:$C$1751,$A35,Piutang!$P$2:$P$1751,"90+ hari")</f>
        <v>0</v>
      </c>
      <c r="J35" s="52" t="n">
        <f aca="false">SUM(F35:I35)</f>
        <v>0</v>
      </c>
      <c r="K35" s="55" t="n">
        <f aca="false">IF(D35=0,0,J35/D35)</f>
        <v>0</v>
      </c>
    </row>
    <row r="36" customFormat="false" ht="15" hidden="false" customHeight="false" outlineLevel="0" collapsed="false">
      <c r="A36" s="50" t="s">
        <v>203</v>
      </c>
      <c r="B36" s="39" t="str">
        <f aca="false">INDEX(Master_Customer!$B$2:$B$126,MATCH(A36,Master_Customer!$A$2:$A$126,0))</f>
        <v>BINTANG TEKNIK</v>
      </c>
      <c r="C36" s="39" t="n">
        <f aca="false">INDEX(Master_Customer!$C$2:$C$126,MATCH(A36,Master_Customer!$A$2:$A$126,0))</f>
        <v>45</v>
      </c>
      <c r="D36" s="52" t="n">
        <f aca="false">SUM(E36:I36)</f>
        <v>11239600</v>
      </c>
      <c r="E36" s="52" t="n">
        <f aca="false">SUMIFS(Piutang!$M$2:$M$1751,Piutang!$C$2:$C$1751,$A36,Piutang!$P$2:$P$1751,"Belum Jatuh Tempo")</f>
        <v>11239600</v>
      </c>
      <c r="F36" s="52" t="n">
        <f aca="false">SUMIFS(Piutang!$M$2:$M$1751,Piutang!$C$2:$C$1751,$A36,Piutang!$P$2:$P$1751,"1-30 hari")</f>
        <v>0</v>
      </c>
      <c r="G36" s="52" t="n">
        <f aca="false">SUMIFS(Piutang!$M$2:$M$1751,Piutang!$C$2:$C$1751,$A36,Piutang!$P$2:$P$1751,"31-60 hari")</f>
        <v>0</v>
      </c>
      <c r="H36" s="52" t="n">
        <f aca="false">SUMIFS(Piutang!$M$2:$M$1751,Piutang!$C$2:$C$1751,$A36,Piutang!$P$2:$P$1751,"61-90 hari")</f>
        <v>0</v>
      </c>
      <c r="I36" s="52" t="n">
        <f aca="false">SUMIFS(Piutang!$M$2:$M$1751,Piutang!$C$2:$C$1751,$A36,Piutang!$P$2:$P$1751,"90+ hari")</f>
        <v>0</v>
      </c>
      <c r="J36" s="52" t="n">
        <f aca="false">SUM(F36:I36)</f>
        <v>0</v>
      </c>
      <c r="K36" s="55" t="n">
        <f aca="false">IF(D36=0,0,J36/D36)</f>
        <v>0</v>
      </c>
    </row>
    <row r="37" customFormat="false" ht="15" hidden="false" customHeight="false" outlineLevel="0" collapsed="false">
      <c r="A37" s="50" t="s">
        <v>243</v>
      </c>
      <c r="B37" s="39" t="str">
        <f aca="false">INDEX(Master_Customer!$B$2:$B$126,MATCH(A37,Master_Customer!$A$2:$A$126,0))</f>
        <v>SENTOSA LUBRICANT MULIA</v>
      </c>
      <c r="C37" s="39" t="n">
        <f aca="false">INDEX(Master_Customer!$C$2:$C$126,MATCH(A37,Master_Customer!$A$2:$A$126,0))</f>
        <v>45</v>
      </c>
      <c r="D37" s="52" t="n">
        <f aca="false">SUM(E37:I37)</f>
        <v>10944000</v>
      </c>
      <c r="E37" s="52" t="n">
        <f aca="false">SUMIFS(Piutang!$M$2:$M$1751,Piutang!$C$2:$C$1751,$A37,Piutang!$P$2:$P$1751,"Belum Jatuh Tempo")</f>
        <v>10944000</v>
      </c>
      <c r="F37" s="52" t="n">
        <f aca="false">SUMIFS(Piutang!$M$2:$M$1751,Piutang!$C$2:$C$1751,$A37,Piutang!$P$2:$P$1751,"1-30 hari")</f>
        <v>0</v>
      </c>
      <c r="G37" s="52" t="n">
        <f aca="false">SUMIFS(Piutang!$M$2:$M$1751,Piutang!$C$2:$C$1751,$A37,Piutang!$P$2:$P$1751,"31-60 hari")</f>
        <v>0</v>
      </c>
      <c r="H37" s="52" t="n">
        <f aca="false">SUMIFS(Piutang!$M$2:$M$1751,Piutang!$C$2:$C$1751,$A37,Piutang!$P$2:$P$1751,"61-90 hari")</f>
        <v>0</v>
      </c>
      <c r="I37" s="52" t="n">
        <f aca="false">SUMIFS(Piutang!$M$2:$M$1751,Piutang!$C$2:$C$1751,$A37,Piutang!$P$2:$P$1751,"90+ hari")</f>
        <v>0</v>
      </c>
      <c r="J37" s="52" t="n">
        <f aca="false">SUM(F37:I37)</f>
        <v>0</v>
      </c>
      <c r="K37" s="55" t="n">
        <f aca="false">IF(D37=0,0,J37/D37)</f>
        <v>0</v>
      </c>
    </row>
    <row r="38" customFormat="false" ht="15" hidden="false" customHeight="false" outlineLevel="0" collapsed="false">
      <c r="A38" s="50" t="s">
        <v>814</v>
      </c>
      <c r="B38" s="39" t="str">
        <f aca="false">INDEX(Master_Customer!$B$2:$B$126,MATCH(A38,Master_Customer!$A$2:$A$126,0))</f>
        <v>SENTOSA TEKNIK</v>
      </c>
      <c r="C38" s="39" t="n">
        <f aca="false">INDEX(Master_Customer!$C$2:$C$126,MATCH(A38,Master_Customer!$A$2:$A$126,0))</f>
        <v>30</v>
      </c>
      <c r="D38" s="52" t="n">
        <f aca="false">SUM(E38:I38)</f>
        <v>10812000</v>
      </c>
      <c r="E38" s="52" t="n">
        <f aca="false">SUMIFS(Piutang!$M$2:$M$1751,Piutang!$C$2:$C$1751,$A38,Piutang!$P$2:$P$1751,"Belum Jatuh Tempo")</f>
        <v>10812000</v>
      </c>
      <c r="F38" s="52" t="n">
        <f aca="false">SUMIFS(Piutang!$M$2:$M$1751,Piutang!$C$2:$C$1751,$A38,Piutang!$P$2:$P$1751,"1-30 hari")</f>
        <v>0</v>
      </c>
      <c r="G38" s="52" t="n">
        <f aca="false">SUMIFS(Piutang!$M$2:$M$1751,Piutang!$C$2:$C$1751,$A38,Piutang!$P$2:$P$1751,"31-60 hari")</f>
        <v>0</v>
      </c>
      <c r="H38" s="52" t="n">
        <f aca="false">SUMIFS(Piutang!$M$2:$M$1751,Piutang!$C$2:$C$1751,$A38,Piutang!$P$2:$P$1751,"61-90 hari")</f>
        <v>0</v>
      </c>
      <c r="I38" s="52" t="n">
        <f aca="false">SUMIFS(Piutang!$M$2:$M$1751,Piutang!$C$2:$C$1751,$A38,Piutang!$P$2:$P$1751,"90+ hari")</f>
        <v>0</v>
      </c>
      <c r="J38" s="52" t="n">
        <f aca="false">SUM(F38:I38)</f>
        <v>0</v>
      </c>
      <c r="K38" s="55" t="n">
        <f aca="false">IF(D38=0,0,J38/D38)</f>
        <v>0</v>
      </c>
    </row>
    <row r="39" customFormat="false" ht="15" hidden="false" customHeight="false" outlineLevel="0" collapsed="false">
      <c r="A39" s="50" t="s">
        <v>365</v>
      </c>
      <c r="B39" s="39" t="str">
        <f aca="false">INDEX(Master_Customer!$B$2:$B$126,MATCH(A39,Master_Customer!$A$2:$A$126,0))</f>
        <v>MAKMUR GARAGE</v>
      </c>
      <c r="C39" s="39" t="n">
        <f aca="false">INDEX(Master_Customer!$C$2:$C$126,MATCH(A39,Master_Customer!$A$2:$A$126,0))</f>
        <v>14</v>
      </c>
      <c r="D39" s="52" t="n">
        <f aca="false">SUM(E39:I39)</f>
        <v>10531300</v>
      </c>
      <c r="E39" s="52" t="n">
        <f aca="false">SUMIFS(Piutang!$M$2:$M$1751,Piutang!$C$2:$C$1751,$A39,Piutang!$P$2:$P$1751,"Belum Jatuh Tempo")</f>
        <v>10531300</v>
      </c>
      <c r="F39" s="52" t="n">
        <f aca="false">SUMIFS(Piutang!$M$2:$M$1751,Piutang!$C$2:$C$1751,$A39,Piutang!$P$2:$P$1751,"1-30 hari")</f>
        <v>0</v>
      </c>
      <c r="G39" s="52" t="n">
        <f aca="false">SUMIFS(Piutang!$M$2:$M$1751,Piutang!$C$2:$C$1751,$A39,Piutang!$P$2:$P$1751,"31-60 hari")</f>
        <v>0</v>
      </c>
      <c r="H39" s="52" t="n">
        <f aca="false">SUMIFS(Piutang!$M$2:$M$1751,Piutang!$C$2:$C$1751,$A39,Piutang!$P$2:$P$1751,"61-90 hari")</f>
        <v>0</v>
      </c>
      <c r="I39" s="52" t="n">
        <f aca="false">SUMIFS(Piutang!$M$2:$M$1751,Piutang!$C$2:$C$1751,$A39,Piutang!$P$2:$P$1751,"90+ hari")</f>
        <v>0</v>
      </c>
      <c r="J39" s="52" t="n">
        <f aca="false">SUM(F39:I39)</f>
        <v>0</v>
      </c>
      <c r="K39" s="55" t="n">
        <f aca="false">IF(D39=0,0,J39/D39)</f>
        <v>0</v>
      </c>
    </row>
    <row r="40" customFormat="false" ht="15" hidden="false" customHeight="false" outlineLevel="0" collapsed="false">
      <c r="A40" s="50" t="s">
        <v>419</v>
      </c>
      <c r="B40" s="39" t="str">
        <f aca="false">INDEX(Master_Customer!$B$2:$B$126,MATCH(A40,Master_Customer!$A$2:$A$126,0))</f>
        <v>UTAMA MOTOR</v>
      </c>
      <c r="C40" s="39" t="n">
        <f aca="false">INDEX(Master_Customer!$C$2:$C$126,MATCH(A40,Master_Customer!$A$2:$A$126,0))</f>
        <v>14</v>
      </c>
      <c r="D40" s="52" t="n">
        <f aca="false">SUM(E40:I40)</f>
        <v>10093200</v>
      </c>
      <c r="E40" s="52" t="n">
        <f aca="false">SUMIFS(Piutang!$M$2:$M$1751,Piutang!$C$2:$C$1751,$A40,Piutang!$P$2:$P$1751,"Belum Jatuh Tempo")</f>
        <v>375700</v>
      </c>
      <c r="F40" s="52" t="n">
        <f aca="false">SUMIFS(Piutang!$M$2:$M$1751,Piutang!$C$2:$C$1751,$A40,Piutang!$P$2:$P$1751,"1-30 hari")</f>
        <v>0</v>
      </c>
      <c r="G40" s="52" t="n">
        <f aca="false">SUMIFS(Piutang!$M$2:$M$1751,Piutang!$C$2:$C$1751,$A40,Piutang!$P$2:$P$1751,"31-60 hari")</f>
        <v>0</v>
      </c>
      <c r="H40" s="52" t="n">
        <f aca="false">SUMIFS(Piutang!$M$2:$M$1751,Piutang!$C$2:$C$1751,$A40,Piutang!$P$2:$P$1751,"61-90 hari")</f>
        <v>0</v>
      </c>
      <c r="I40" s="52" t="n">
        <f aca="false">SUMIFS(Piutang!$M$2:$M$1751,Piutang!$C$2:$C$1751,$A40,Piutang!$P$2:$P$1751,"90+ hari")</f>
        <v>9717500</v>
      </c>
      <c r="J40" s="52" t="n">
        <f aca="false">SUM(F40:I40)</f>
        <v>9717500</v>
      </c>
      <c r="K40" s="55" t="n">
        <f aca="false">IF(D40=0,0,J40/D40)</f>
        <v>0.962776919113859</v>
      </c>
    </row>
    <row r="41" customFormat="false" ht="15" hidden="false" customHeight="false" outlineLevel="0" collapsed="false">
      <c r="A41" s="50" t="s">
        <v>280</v>
      </c>
      <c r="B41" s="39" t="str">
        <f aca="false">INDEX(Master_Customer!$B$2:$B$126,MATCH(A41,Master_Customer!$A$2:$A$126,0))</f>
        <v>CAHAYA TEKNIK SURYA</v>
      </c>
      <c r="C41" s="39" t="n">
        <f aca="false">INDEX(Master_Customer!$C$2:$C$126,MATCH(A41,Master_Customer!$A$2:$A$126,0))</f>
        <v>30</v>
      </c>
      <c r="D41" s="52" t="n">
        <f aca="false">SUM(E41:I41)</f>
        <v>9927100</v>
      </c>
      <c r="E41" s="52" t="n">
        <f aca="false">SUMIFS(Piutang!$M$2:$M$1751,Piutang!$C$2:$C$1751,$A41,Piutang!$P$2:$P$1751,"Belum Jatuh Tempo")</f>
        <v>9927100</v>
      </c>
      <c r="F41" s="52" t="n">
        <f aca="false">SUMIFS(Piutang!$M$2:$M$1751,Piutang!$C$2:$C$1751,$A41,Piutang!$P$2:$P$1751,"1-30 hari")</f>
        <v>0</v>
      </c>
      <c r="G41" s="52" t="n">
        <f aca="false">SUMIFS(Piutang!$M$2:$M$1751,Piutang!$C$2:$C$1751,$A41,Piutang!$P$2:$P$1751,"31-60 hari")</f>
        <v>0</v>
      </c>
      <c r="H41" s="52" t="n">
        <f aca="false">SUMIFS(Piutang!$M$2:$M$1751,Piutang!$C$2:$C$1751,$A41,Piutang!$P$2:$P$1751,"61-90 hari")</f>
        <v>0</v>
      </c>
      <c r="I41" s="52" t="n">
        <f aca="false">SUMIFS(Piutang!$M$2:$M$1751,Piutang!$C$2:$C$1751,$A41,Piutang!$P$2:$P$1751,"90+ hari")</f>
        <v>0</v>
      </c>
      <c r="J41" s="52" t="n">
        <f aca="false">SUM(F41:I41)</f>
        <v>0</v>
      </c>
      <c r="K41" s="55" t="n">
        <f aca="false">IF(D41=0,0,J41/D41)</f>
        <v>0</v>
      </c>
    </row>
    <row r="42" customFormat="false" ht="15" hidden="false" customHeight="false" outlineLevel="0" collapsed="false">
      <c r="A42" s="50" t="s">
        <v>798</v>
      </c>
      <c r="B42" s="39" t="str">
        <f aca="false">INDEX(Master_Customer!$B$2:$B$126,MATCH(A42,Master_Customer!$A$2:$A$126,0))</f>
        <v>HARAPAN LUBRICANT</v>
      </c>
      <c r="C42" s="39" t="n">
        <f aca="false">INDEX(Master_Customer!$C$2:$C$126,MATCH(A42,Master_Customer!$A$2:$A$126,0))</f>
        <v>30</v>
      </c>
      <c r="D42" s="52" t="n">
        <f aca="false">SUM(E42:I42)</f>
        <v>9714500</v>
      </c>
      <c r="E42" s="52" t="n">
        <f aca="false">SUMIFS(Piutang!$M$2:$M$1751,Piutang!$C$2:$C$1751,$A42,Piutang!$P$2:$P$1751,"Belum Jatuh Tempo")</f>
        <v>0</v>
      </c>
      <c r="F42" s="52" t="n">
        <f aca="false">SUMIFS(Piutang!$M$2:$M$1751,Piutang!$C$2:$C$1751,$A42,Piutang!$P$2:$P$1751,"1-30 hari")</f>
        <v>0</v>
      </c>
      <c r="G42" s="52" t="n">
        <f aca="false">SUMIFS(Piutang!$M$2:$M$1751,Piutang!$C$2:$C$1751,$A42,Piutang!$P$2:$P$1751,"31-60 hari")</f>
        <v>9714500</v>
      </c>
      <c r="H42" s="52" t="n">
        <f aca="false">SUMIFS(Piutang!$M$2:$M$1751,Piutang!$C$2:$C$1751,$A42,Piutang!$P$2:$P$1751,"61-90 hari")</f>
        <v>0</v>
      </c>
      <c r="I42" s="52" t="n">
        <f aca="false">SUMIFS(Piutang!$M$2:$M$1751,Piutang!$C$2:$C$1751,$A42,Piutang!$P$2:$P$1751,"90+ hari")</f>
        <v>0</v>
      </c>
      <c r="J42" s="52" t="n">
        <f aca="false">SUM(F42:I42)</f>
        <v>9714500</v>
      </c>
      <c r="K42" s="55" t="n">
        <f aca="false">IF(D42=0,0,J42/D42)</f>
        <v>1</v>
      </c>
    </row>
    <row r="43" customFormat="false" ht="15" hidden="false" customHeight="false" outlineLevel="0" collapsed="false">
      <c r="A43" s="50" t="s">
        <v>209</v>
      </c>
      <c r="B43" s="39" t="str">
        <f aca="false">INDEX(Master_Customer!$B$2:$B$126,MATCH(A43,Master_Customer!$A$2:$A$126,0))</f>
        <v>PRIMA TEKNIK</v>
      </c>
      <c r="C43" s="39" t="n">
        <f aca="false">INDEX(Master_Customer!$C$2:$C$126,MATCH(A43,Master_Customer!$A$2:$A$126,0))</f>
        <v>30</v>
      </c>
      <c r="D43" s="52" t="n">
        <f aca="false">SUM(E43:I43)</f>
        <v>9600500</v>
      </c>
      <c r="E43" s="52" t="n">
        <f aca="false">SUMIFS(Piutang!$M$2:$M$1751,Piutang!$C$2:$C$1751,$A43,Piutang!$P$2:$P$1751,"Belum Jatuh Tempo")</f>
        <v>3920400</v>
      </c>
      <c r="F43" s="52" t="n">
        <f aca="false">SUMIFS(Piutang!$M$2:$M$1751,Piutang!$C$2:$C$1751,$A43,Piutang!$P$2:$P$1751,"1-30 hari")</f>
        <v>0</v>
      </c>
      <c r="G43" s="52" t="n">
        <f aca="false">SUMIFS(Piutang!$M$2:$M$1751,Piutang!$C$2:$C$1751,$A43,Piutang!$P$2:$P$1751,"31-60 hari")</f>
        <v>0</v>
      </c>
      <c r="H43" s="52" t="n">
        <f aca="false">SUMIFS(Piutang!$M$2:$M$1751,Piutang!$C$2:$C$1751,$A43,Piutang!$P$2:$P$1751,"61-90 hari")</f>
        <v>0</v>
      </c>
      <c r="I43" s="52" t="n">
        <f aca="false">SUMIFS(Piutang!$M$2:$M$1751,Piutang!$C$2:$C$1751,$A43,Piutang!$P$2:$P$1751,"90+ hari")</f>
        <v>5680100</v>
      </c>
      <c r="J43" s="52" t="n">
        <f aca="false">SUM(F43:I43)</f>
        <v>5680100</v>
      </c>
      <c r="K43" s="55" t="n">
        <f aca="false">IF(D43=0,0,J43/D43)</f>
        <v>0.59164626842352</v>
      </c>
    </row>
    <row r="44" customFormat="false" ht="15" hidden="false" customHeight="false" outlineLevel="0" collapsed="false">
      <c r="A44" s="50" t="s">
        <v>315</v>
      </c>
      <c r="B44" s="39" t="str">
        <f aca="false">INDEX(Master_Customer!$B$2:$B$126,MATCH(A44,Master_Customer!$A$2:$A$126,0))</f>
        <v>CAHAYA SERVICE</v>
      </c>
      <c r="C44" s="39" t="n">
        <f aca="false">INDEX(Master_Customer!$C$2:$C$126,MATCH(A44,Master_Customer!$A$2:$A$126,0))</f>
        <v>30</v>
      </c>
      <c r="D44" s="52" t="n">
        <f aca="false">SUM(E44:I44)</f>
        <v>9032200</v>
      </c>
      <c r="E44" s="52" t="n">
        <f aca="false">SUMIFS(Piutang!$M$2:$M$1751,Piutang!$C$2:$C$1751,$A44,Piutang!$P$2:$P$1751,"Belum Jatuh Tempo")</f>
        <v>5942200</v>
      </c>
      <c r="F44" s="52" t="n">
        <f aca="false">SUMIFS(Piutang!$M$2:$M$1751,Piutang!$C$2:$C$1751,$A44,Piutang!$P$2:$P$1751,"1-30 hari")</f>
        <v>0</v>
      </c>
      <c r="G44" s="52" t="n">
        <f aca="false">SUMIFS(Piutang!$M$2:$M$1751,Piutang!$C$2:$C$1751,$A44,Piutang!$P$2:$P$1751,"31-60 hari")</f>
        <v>0</v>
      </c>
      <c r="H44" s="52" t="n">
        <f aca="false">SUMIFS(Piutang!$M$2:$M$1751,Piutang!$C$2:$C$1751,$A44,Piutang!$P$2:$P$1751,"61-90 hari")</f>
        <v>3090000</v>
      </c>
      <c r="I44" s="52" t="n">
        <f aca="false">SUMIFS(Piutang!$M$2:$M$1751,Piutang!$C$2:$C$1751,$A44,Piutang!$P$2:$P$1751,"90+ hari")</f>
        <v>0</v>
      </c>
      <c r="J44" s="52" t="n">
        <f aca="false">SUM(F44:I44)</f>
        <v>3090000</v>
      </c>
      <c r="K44" s="55" t="n">
        <f aca="false">IF(D44=0,0,J44/D44)</f>
        <v>0.342109342131485</v>
      </c>
    </row>
    <row r="45" customFormat="false" ht="15" hidden="false" customHeight="false" outlineLevel="0" collapsed="false">
      <c r="A45" s="50" t="s">
        <v>527</v>
      </c>
      <c r="B45" s="39" t="str">
        <f aca="false">INDEX(Master_Customer!$B$2:$B$126,MATCH(A45,Master_Customer!$A$2:$A$126,0))</f>
        <v>BINTANG SPAREPART PRIMA</v>
      </c>
      <c r="C45" s="39" t="n">
        <f aca="false">INDEX(Master_Customer!$C$2:$C$126,MATCH(A45,Master_Customer!$A$2:$A$126,0))</f>
        <v>14</v>
      </c>
      <c r="D45" s="52" t="n">
        <f aca="false">SUM(E45:I45)</f>
        <v>8688500</v>
      </c>
      <c r="E45" s="52" t="n">
        <f aca="false">SUMIFS(Piutang!$M$2:$M$1751,Piutang!$C$2:$C$1751,$A45,Piutang!$P$2:$P$1751,"Belum Jatuh Tempo")</f>
        <v>8688500</v>
      </c>
      <c r="F45" s="52" t="n">
        <f aca="false">SUMIFS(Piutang!$M$2:$M$1751,Piutang!$C$2:$C$1751,$A45,Piutang!$P$2:$P$1751,"1-30 hari")</f>
        <v>0</v>
      </c>
      <c r="G45" s="52" t="n">
        <f aca="false">SUMIFS(Piutang!$M$2:$M$1751,Piutang!$C$2:$C$1751,$A45,Piutang!$P$2:$P$1751,"31-60 hari")</f>
        <v>0</v>
      </c>
      <c r="H45" s="52" t="n">
        <f aca="false">SUMIFS(Piutang!$M$2:$M$1751,Piutang!$C$2:$C$1751,$A45,Piutang!$P$2:$P$1751,"61-90 hari")</f>
        <v>0</v>
      </c>
      <c r="I45" s="52" t="n">
        <f aca="false">SUMIFS(Piutang!$M$2:$M$1751,Piutang!$C$2:$C$1751,$A45,Piutang!$P$2:$P$1751,"90+ hari")</f>
        <v>0</v>
      </c>
      <c r="J45" s="52" t="n">
        <f aca="false">SUM(F45:I45)</f>
        <v>0</v>
      </c>
      <c r="K45" s="55" t="n">
        <f aca="false">IF(D45=0,0,J45/D45)</f>
        <v>0</v>
      </c>
    </row>
    <row r="46" customFormat="false" ht="15" hidden="false" customHeight="false" outlineLevel="0" collapsed="false">
      <c r="A46" s="50" t="s">
        <v>714</v>
      </c>
      <c r="B46" s="39" t="str">
        <f aca="false">INDEX(Master_Customer!$B$2:$B$126,MATCH(A46,Master_Customer!$A$2:$A$126,0))</f>
        <v>KARYA MOBIL CAHAYA</v>
      </c>
      <c r="C46" s="39" t="n">
        <f aca="false">INDEX(Master_Customer!$C$2:$C$126,MATCH(A46,Master_Customer!$A$2:$A$126,0))</f>
        <v>30</v>
      </c>
      <c r="D46" s="52" t="n">
        <f aca="false">SUM(E46:I46)</f>
        <v>8400100</v>
      </c>
      <c r="E46" s="52" t="n">
        <f aca="false">SUMIFS(Piutang!$M$2:$M$1751,Piutang!$C$2:$C$1751,$A46,Piutang!$P$2:$P$1751,"Belum Jatuh Tempo")</f>
        <v>8400100</v>
      </c>
      <c r="F46" s="52" t="n">
        <f aca="false">SUMIFS(Piutang!$M$2:$M$1751,Piutang!$C$2:$C$1751,$A46,Piutang!$P$2:$P$1751,"1-30 hari")</f>
        <v>0</v>
      </c>
      <c r="G46" s="52" t="n">
        <f aca="false">SUMIFS(Piutang!$M$2:$M$1751,Piutang!$C$2:$C$1751,$A46,Piutang!$P$2:$P$1751,"31-60 hari")</f>
        <v>0</v>
      </c>
      <c r="H46" s="52" t="n">
        <f aca="false">SUMIFS(Piutang!$M$2:$M$1751,Piutang!$C$2:$C$1751,$A46,Piutang!$P$2:$P$1751,"61-90 hari")</f>
        <v>0</v>
      </c>
      <c r="I46" s="52" t="n">
        <f aca="false">SUMIFS(Piutang!$M$2:$M$1751,Piutang!$C$2:$C$1751,$A46,Piutang!$P$2:$P$1751,"90+ hari")</f>
        <v>0</v>
      </c>
      <c r="J46" s="52" t="n">
        <f aca="false">SUM(F46:I46)</f>
        <v>0</v>
      </c>
      <c r="K46" s="55" t="n">
        <f aca="false">IF(D46=0,0,J46/D46)</f>
        <v>0</v>
      </c>
    </row>
    <row r="47" customFormat="false" ht="15" hidden="false" customHeight="false" outlineLevel="0" collapsed="false">
      <c r="A47" s="50" t="s">
        <v>465</v>
      </c>
      <c r="B47" s="39" t="str">
        <f aca="false">INDEX(Master_Customer!$B$2:$B$126,MATCH(A47,Master_Customer!$A$2:$A$126,0))</f>
        <v>CAHAYA SERVICE BINTANG</v>
      </c>
      <c r="C47" s="39" t="n">
        <f aca="false">INDEX(Master_Customer!$C$2:$C$126,MATCH(A47,Master_Customer!$A$2:$A$126,0))</f>
        <v>30</v>
      </c>
      <c r="D47" s="52" t="n">
        <f aca="false">SUM(E47:I47)</f>
        <v>8191100</v>
      </c>
      <c r="E47" s="52" t="n">
        <f aca="false">SUMIFS(Piutang!$M$2:$M$1751,Piutang!$C$2:$C$1751,$A47,Piutang!$P$2:$P$1751,"Belum Jatuh Tempo")</f>
        <v>8191100</v>
      </c>
      <c r="F47" s="52" t="n">
        <f aca="false">SUMIFS(Piutang!$M$2:$M$1751,Piutang!$C$2:$C$1751,$A47,Piutang!$P$2:$P$1751,"1-30 hari")</f>
        <v>0</v>
      </c>
      <c r="G47" s="52" t="n">
        <f aca="false">SUMIFS(Piutang!$M$2:$M$1751,Piutang!$C$2:$C$1751,$A47,Piutang!$P$2:$P$1751,"31-60 hari")</f>
        <v>0</v>
      </c>
      <c r="H47" s="52" t="n">
        <f aca="false">SUMIFS(Piutang!$M$2:$M$1751,Piutang!$C$2:$C$1751,$A47,Piutang!$P$2:$P$1751,"61-90 hari")</f>
        <v>0</v>
      </c>
      <c r="I47" s="52" t="n">
        <f aca="false">SUMIFS(Piutang!$M$2:$M$1751,Piutang!$C$2:$C$1751,$A47,Piutang!$P$2:$P$1751,"90+ hari")</f>
        <v>0</v>
      </c>
      <c r="J47" s="52" t="n">
        <f aca="false">SUM(F47:I47)</f>
        <v>0</v>
      </c>
      <c r="K47" s="55" t="n">
        <f aca="false">IF(D47=0,0,J47/D47)</f>
        <v>0</v>
      </c>
    </row>
    <row r="48" customFormat="false" ht="15" hidden="false" customHeight="false" outlineLevel="0" collapsed="false">
      <c r="A48" s="50" t="s">
        <v>408</v>
      </c>
      <c r="B48" s="39" t="str">
        <f aca="false">INDEX(Master_Customer!$B$2:$B$126,MATCH(A48,Master_Customer!$A$2:$A$126,0))</f>
        <v>SURYA GARAGE</v>
      </c>
      <c r="C48" s="39" t="n">
        <f aca="false">INDEX(Master_Customer!$C$2:$C$126,MATCH(A48,Master_Customer!$A$2:$A$126,0))</f>
        <v>45</v>
      </c>
      <c r="D48" s="52" t="n">
        <f aca="false">SUM(E48:I48)</f>
        <v>6782400</v>
      </c>
      <c r="E48" s="52" t="n">
        <f aca="false">SUMIFS(Piutang!$M$2:$M$1751,Piutang!$C$2:$C$1751,$A48,Piutang!$P$2:$P$1751,"Belum Jatuh Tempo")</f>
        <v>6782400</v>
      </c>
      <c r="F48" s="52" t="n">
        <f aca="false">SUMIFS(Piutang!$M$2:$M$1751,Piutang!$C$2:$C$1751,$A48,Piutang!$P$2:$P$1751,"1-30 hari")</f>
        <v>0</v>
      </c>
      <c r="G48" s="52" t="n">
        <f aca="false">SUMIFS(Piutang!$M$2:$M$1751,Piutang!$C$2:$C$1751,$A48,Piutang!$P$2:$P$1751,"31-60 hari")</f>
        <v>0</v>
      </c>
      <c r="H48" s="52" t="n">
        <f aca="false">SUMIFS(Piutang!$M$2:$M$1751,Piutang!$C$2:$C$1751,$A48,Piutang!$P$2:$P$1751,"61-90 hari")</f>
        <v>0</v>
      </c>
      <c r="I48" s="52" t="n">
        <f aca="false">SUMIFS(Piutang!$M$2:$M$1751,Piutang!$C$2:$C$1751,$A48,Piutang!$P$2:$P$1751,"90+ hari")</f>
        <v>0</v>
      </c>
      <c r="J48" s="52" t="n">
        <f aca="false">SUM(F48:I48)</f>
        <v>0</v>
      </c>
      <c r="K48" s="55" t="n">
        <f aca="false">IF(D48=0,0,J48/D48)</f>
        <v>0</v>
      </c>
    </row>
    <row r="49" customFormat="false" ht="15" hidden="false" customHeight="false" outlineLevel="0" collapsed="false">
      <c r="A49" s="50" t="s">
        <v>237</v>
      </c>
      <c r="B49" s="39" t="str">
        <f aca="false">INDEX(Master_Customer!$B$2:$B$126,MATCH(A49,Master_Customer!$A$2:$A$126,0))</f>
        <v>SINAR SPAREPART</v>
      </c>
      <c r="C49" s="39" t="n">
        <f aca="false">INDEX(Master_Customer!$C$2:$C$126,MATCH(A49,Master_Customer!$A$2:$A$126,0))</f>
        <v>45</v>
      </c>
      <c r="D49" s="52" t="n">
        <f aca="false">SUM(E49:I49)</f>
        <v>6660800</v>
      </c>
      <c r="E49" s="52" t="n">
        <f aca="false">SUMIFS(Piutang!$M$2:$M$1751,Piutang!$C$2:$C$1751,$A49,Piutang!$P$2:$P$1751,"Belum Jatuh Tempo")</f>
        <v>6660800</v>
      </c>
      <c r="F49" s="52" t="n">
        <f aca="false">SUMIFS(Piutang!$M$2:$M$1751,Piutang!$C$2:$C$1751,$A49,Piutang!$P$2:$P$1751,"1-30 hari")</f>
        <v>0</v>
      </c>
      <c r="G49" s="52" t="n">
        <f aca="false">SUMIFS(Piutang!$M$2:$M$1751,Piutang!$C$2:$C$1751,$A49,Piutang!$P$2:$P$1751,"31-60 hari")</f>
        <v>0</v>
      </c>
      <c r="H49" s="52" t="n">
        <f aca="false">SUMIFS(Piutang!$M$2:$M$1751,Piutang!$C$2:$C$1751,$A49,Piutang!$P$2:$P$1751,"61-90 hari")</f>
        <v>0</v>
      </c>
      <c r="I49" s="52" t="n">
        <f aca="false">SUMIFS(Piutang!$M$2:$M$1751,Piutang!$C$2:$C$1751,$A49,Piutang!$P$2:$P$1751,"90+ hari")</f>
        <v>0</v>
      </c>
      <c r="J49" s="52" t="n">
        <f aca="false">SUM(F49:I49)</f>
        <v>0</v>
      </c>
      <c r="K49" s="55" t="n">
        <f aca="false">IF(D49=0,0,J49/D49)</f>
        <v>0</v>
      </c>
    </row>
    <row r="50" customFormat="false" ht="15" hidden="false" customHeight="false" outlineLevel="0" collapsed="false">
      <c r="A50" s="50" t="s">
        <v>259</v>
      </c>
      <c r="B50" s="39" t="str">
        <f aca="false">INDEX(Master_Customer!$B$2:$B$126,MATCH(A50,Master_Customer!$A$2:$A$126,0))</f>
        <v>LANCAR OLI</v>
      </c>
      <c r="C50" s="39" t="n">
        <f aca="false">INDEX(Master_Customer!$C$2:$C$126,MATCH(A50,Master_Customer!$A$2:$A$126,0))</f>
        <v>30</v>
      </c>
      <c r="D50" s="52" t="n">
        <f aca="false">SUM(E50:I50)</f>
        <v>6387900</v>
      </c>
      <c r="E50" s="52" t="n">
        <f aca="false">SUMIFS(Piutang!$M$2:$M$1751,Piutang!$C$2:$C$1751,$A50,Piutang!$P$2:$P$1751,"Belum Jatuh Tempo")</f>
        <v>0</v>
      </c>
      <c r="F50" s="52" t="n">
        <f aca="false">SUMIFS(Piutang!$M$2:$M$1751,Piutang!$C$2:$C$1751,$A50,Piutang!$P$2:$P$1751,"1-30 hari")</f>
        <v>6387900</v>
      </c>
      <c r="G50" s="52" t="n">
        <f aca="false">SUMIFS(Piutang!$M$2:$M$1751,Piutang!$C$2:$C$1751,$A50,Piutang!$P$2:$P$1751,"31-60 hari")</f>
        <v>0</v>
      </c>
      <c r="H50" s="52" t="n">
        <f aca="false">SUMIFS(Piutang!$M$2:$M$1751,Piutang!$C$2:$C$1751,$A50,Piutang!$P$2:$P$1751,"61-90 hari")</f>
        <v>0</v>
      </c>
      <c r="I50" s="52" t="n">
        <f aca="false">SUMIFS(Piutang!$M$2:$M$1751,Piutang!$C$2:$C$1751,$A50,Piutang!$P$2:$P$1751,"90+ hari")</f>
        <v>0</v>
      </c>
      <c r="J50" s="52" t="n">
        <f aca="false">SUM(F50:I50)</f>
        <v>6387900</v>
      </c>
      <c r="K50" s="55" t="n">
        <f aca="false">IF(D50=0,0,J50/D50)</f>
        <v>1</v>
      </c>
    </row>
    <row r="51" customFormat="false" ht="15" hidden="false" customHeight="false" outlineLevel="0" collapsed="false">
      <c r="A51" s="50" t="s">
        <v>737</v>
      </c>
      <c r="B51" s="39" t="str">
        <f aca="false">INDEX(Master_Customer!$B$2:$B$126,MATCH(A51,Master_Customer!$A$2:$A$126,0))</f>
        <v>MAJU GARAGE</v>
      </c>
      <c r="C51" s="39" t="n">
        <f aca="false">INDEX(Master_Customer!$C$2:$C$126,MATCH(A51,Master_Customer!$A$2:$A$126,0))</f>
        <v>45</v>
      </c>
      <c r="D51" s="52" t="n">
        <f aca="false">SUM(E51:I51)</f>
        <v>6191700</v>
      </c>
      <c r="E51" s="52" t="n">
        <f aca="false">SUMIFS(Piutang!$M$2:$M$1751,Piutang!$C$2:$C$1751,$A51,Piutang!$P$2:$P$1751,"Belum Jatuh Tempo")</f>
        <v>0</v>
      </c>
      <c r="F51" s="52" t="n">
        <f aca="false">SUMIFS(Piutang!$M$2:$M$1751,Piutang!$C$2:$C$1751,$A51,Piutang!$P$2:$P$1751,"1-30 hari")</f>
        <v>0</v>
      </c>
      <c r="G51" s="52" t="n">
        <f aca="false">SUMIFS(Piutang!$M$2:$M$1751,Piutang!$C$2:$C$1751,$A51,Piutang!$P$2:$P$1751,"31-60 hari")</f>
        <v>0</v>
      </c>
      <c r="H51" s="52" t="n">
        <f aca="false">SUMIFS(Piutang!$M$2:$M$1751,Piutang!$C$2:$C$1751,$A51,Piutang!$P$2:$P$1751,"61-90 hari")</f>
        <v>0</v>
      </c>
      <c r="I51" s="52" t="n">
        <f aca="false">SUMIFS(Piutang!$M$2:$M$1751,Piutang!$C$2:$C$1751,$A51,Piutang!$P$2:$P$1751,"90+ hari")</f>
        <v>6191700</v>
      </c>
      <c r="J51" s="52" t="n">
        <f aca="false">SUM(F51:I51)</f>
        <v>6191700</v>
      </c>
      <c r="K51" s="55" t="n">
        <f aca="false">IF(D51=0,0,J51/D51)</f>
        <v>1</v>
      </c>
    </row>
    <row r="52" customFormat="false" ht="15" hidden="false" customHeight="false" outlineLevel="0" collapsed="false">
      <c r="A52" s="50" t="s">
        <v>354</v>
      </c>
      <c r="B52" s="39" t="str">
        <f aca="false">INDEX(Master_Customer!$B$2:$B$126,MATCH(A52,Master_Customer!$A$2:$A$126,0))</f>
        <v>SUMBER SERVICE MAKMUR</v>
      </c>
      <c r="C52" s="39" t="n">
        <f aca="false">INDEX(Master_Customer!$C$2:$C$126,MATCH(A52,Master_Customer!$A$2:$A$126,0))</f>
        <v>30</v>
      </c>
      <c r="D52" s="52" t="n">
        <f aca="false">SUM(E52:I52)</f>
        <v>6090500</v>
      </c>
      <c r="E52" s="52" t="n">
        <f aca="false">SUMIFS(Piutang!$M$2:$M$1751,Piutang!$C$2:$C$1751,$A52,Piutang!$P$2:$P$1751,"Belum Jatuh Tempo")</f>
        <v>6090500</v>
      </c>
      <c r="F52" s="52" t="n">
        <f aca="false">SUMIFS(Piutang!$M$2:$M$1751,Piutang!$C$2:$C$1751,$A52,Piutang!$P$2:$P$1751,"1-30 hari")</f>
        <v>0</v>
      </c>
      <c r="G52" s="52" t="n">
        <f aca="false">SUMIFS(Piutang!$M$2:$M$1751,Piutang!$C$2:$C$1751,$A52,Piutang!$P$2:$P$1751,"31-60 hari")</f>
        <v>0</v>
      </c>
      <c r="H52" s="52" t="n">
        <f aca="false">SUMIFS(Piutang!$M$2:$M$1751,Piutang!$C$2:$C$1751,$A52,Piutang!$P$2:$P$1751,"61-90 hari")</f>
        <v>0</v>
      </c>
      <c r="I52" s="52" t="n">
        <f aca="false">SUMIFS(Piutang!$M$2:$M$1751,Piutang!$C$2:$C$1751,$A52,Piutang!$P$2:$P$1751,"90+ hari")</f>
        <v>0</v>
      </c>
      <c r="J52" s="52" t="n">
        <f aca="false">SUM(F52:I52)</f>
        <v>0</v>
      </c>
      <c r="K52" s="55" t="n">
        <f aca="false">IF(D52=0,0,J52/D52)</f>
        <v>0</v>
      </c>
    </row>
    <row r="53" customFormat="false" ht="15" hidden="false" customHeight="false" outlineLevel="0" collapsed="false">
      <c r="A53" s="50" t="s">
        <v>369</v>
      </c>
      <c r="B53" s="39" t="str">
        <f aca="false">INDEX(Master_Customer!$B$2:$B$126,MATCH(A53,Master_Customer!$A$2:$A$126,0))</f>
        <v>UTAMA TEKNIK</v>
      </c>
      <c r="C53" s="39" t="n">
        <f aca="false">INDEX(Master_Customer!$C$2:$C$126,MATCH(A53,Master_Customer!$A$2:$A$126,0))</f>
        <v>30</v>
      </c>
      <c r="D53" s="52" t="n">
        <f aca="false">SUM(E53:I53)</f>
        <v>5945000</v>
      </c>
      <c r="E53" s="52" t="n">
        <f aca="false">SUMIFS(Piutang!$M$2:$M$1751,Piutang!$C$2:$C$1751,$A53,Piutang!$P$2:$P$1751,"Belum Jatuh Tempo")</f>
        <v>0</v>
      </c>
      <c r="F53" s="52" t="n">
        <f aca="false">SUMIFS(Piutang!$M$2:$M$1751,Piutang!$C$2:$C$1751,$A53,Piutang!$P$2:$P$1751,"1-30 hari")</f>
        <v>5945000</v>
      </c>
      <c r="G53" s="52" t="n">
        <f aca="false">SUMIFS(Piutang!$M$2:$M$1751,Piutang!$C$2:$C$1751,$A53,Piutang!$P$2:$P$1751,"31-60 hari")</f>
        <v>0</v>
      </c>
      <c r="H53" s="52" t="n">
        <f aca="false">SUMIFS(Piutang!$M$2:$M$1751,Piutang!$C$2:$C$1751,$A53,Piutang!$P$2:$P$1751,"61-90 hari")</f>
        <v>0</v>
      </c>
      <c r="I53" s="52" t="n">
        <f aca="false">SUMIFS(Piutang!$M$2:$M$1751,Piutang!$C$2:$C$1751,$A53,Piutang!$P$2:$P$1751,"90+ hari")</f>
        <v>0</v>
      </c>
      <c r="J53" s="52" t="n">
        <f aca="false">SUM(F53:I53)</f>
        <v>5945000</v>
      </c>
      <c r="K53" s="55" t="n">
        <f aca="false">IF(D53=0,0,J53/D53)</f>
        <v>1</v>
      </c>
    </row>
    <row r="54" customFormat="false" ht="15" hidden="false" customHeight="false" outlineLevel="0" collapsed="false">
      <c r="A54" s="50" t="s">
        <v>271</v>
      </c>
      <c r="B54" s="39" t="str">
        <f aca="false">INDEX(Master_Customer!$B$2:$B$126,MATCH(A54,Master_Customer!$A$2:$A$126,0))</f>
        <v>CAHAYA MOTOR</v>
      </c>
      <c r="C54" s="39" t="n">
        <f aca="false">INDEX(Master_Customer!$C$2:$C$126,MATCH(A54,Master_Customer!$A$2:$A$126,0))</f>
        <v>14</v>
      </c>
      <c r="D54" s="52" t="n">
        <f aca="false">SUM(E54:I54)</f>
        <v>5431600</v>
      </c>
      <c r="E54" s="52" t="n">
        <f aca="false">SUMIFS(Piutang!$M$2:$M$1751,Piutang!$C$2:$C$1751,$A54,Piutang!$P$2:$P$1751,"Belum Jatuh Tempo")</f>
        <v>5431600</v>
      </c>
      <c r="F54" s="52" t="n">
        <f aca="false">SUMIFS(Piutang!$M$2:$M$1751,Piutang!$C$2:$C$1751,$A54,Piutang!$P$2:$P$1751,"1-30 hari")</f>
        <v>0</v>
      </c>
      <c r="G54" s="52" t="n">
        <f aca="false">SUMIFS(Piutang!$M$2:$M$1751,Piutang!$C$2:$C$1751,$A54,Piutang!$P$2:$P$1751,"31-60 hari")</f>
        <v>0</v>
      </c>
      <c r="H54" s="52" t="n">
        <f aca="false">SUMIFS(Piutang!$M$2:$M$1751,Piutang!$C$2:$C$1751,$A54,Piutang!$P$2:$P$1751,"61-90 hari")</f>
        <v>0</v>
      </c>
      <c r="I54" s="52" t="n">
        <f aca="false">SUMIFS(Piutang!$M$2:$M$1751,Piutang!$C$2:$C$1751,$A54,Piutang!$P$2:$P$1751,"90+ hari")</f>
        <v>0</v>
      </c>
      <c r="J54" s="52" t="n">
        <f aca="false">SUM(F54:I54)</f>
        <v>0</v>
      </c>
      <c r="K54" s="55" t="n">
        <f aca="false">IF(D54=0,0,J54/D54)</f>
        <v>0</v>
      </c>
    </row>
    <row r="55" customFormat="false" ht="15" hidden="false" customHeight="false" outlineLevel="0" collapsed="false">
      <c r="A55" s="50" t="s">
        <v>239</v>
      </c>
      <c r="B55" s="39" t="str">
        <f aca="false">INDEX(Master_Customer!$B$2:$B$126,MATCH(A55,Master_Customer!$A$2:$A$126,0))</f>
        <v>MAJU SPAREPART UTAMA</v>
      </c>
      <c r="C55" s="39" t="n">
        <f aca="false">INDEX(Master_Customer!$C$2:$C$126,MATCH(A55,Master_Customer!$A$2:$A$126,0))</f>
        <v>30</v>
      </c>
      <c r="D55" s="52" t="n">
        <f aca="false">SUM(E55:I55)</f>
        <v>5247700</v>
      </c>
      <c r="E55" s="52" t="n">
        <f aca="false">SUMIFS(Piutang!$M$2:$M$1751,Piutang!$C$2:$C$1751,$A55,Piutang!$P$2:$P$1751,"Belum Jatuh Tempo")</f>
        <v>0</v>
      </c>
      <c r="F55" s="52" t="n">
        <f aca="false">SUMIFS(Piutang!$M$2:$M$1751,Piutang!$C$2:$C$1751,$A55,Piutang!$P$2:$P$1751,"1-30 hari")</f>
        <v>5247700</v>
      </c>
      <c r="G55" s="52" t="n">
        <f aca="false">SUMIFS(Piutang!$M$2:$M$1751,Piutang!$C$2:$C$1751,$A55,Piutang!$P$2:$P$1751,"31-60 hari")</f>
        <v>0</v>
      </c>
      <c r="H55" s="52" t="n">
        <f aca="false">SUMIFS(Piutang!$M$2:$M$1751,Piutang!$C$2:$C$1751,$A55,Piutang!$P$2:$P$1751,"61-90 hari")</f>
        <v>0</v>
      </c>
      <c r="I55" s="52" t="n">
        <f aca="false">SUMIFS(Piutang!$M$2:$M$1751,Piutang!$C$2:$C$1751,$A55,Piutang!$P$2:$P$1751,"90+ hari")</f>
        <v>0</v>
      </c>
      <c r="J55" s="52" t="n">
        <f aca="false">SUM(F55:I55)</f>
        <v>5247700</v>
      </c>
      <c r="K55" s="55" t="n">
        <f aca="false">IF(D55=0,0,J55/D55)</f>
        <v>1</v>
      </c>
    </row>
    <row r="56" customFormat="false" ht="15" hidden="false" customHeight="false" outlineLevel="0" collapsed="false">
      <c r="A56" s="50" t="s">
        <v>221</v>
      </c>
      <c r="B56" s="39" t="str">
        <f aca="false">INDEX(Master_Customer!$B$2:$B$126,MATCH(A56,Master_Customer!$A$2:$A$126,0))</f>
        <v>ABADI AUTO SURYA</v>
      </c>
      <c r="C56" s="39" t="n">
        <f aca="false">INDEX(Master_Customer!$C$2:$C$126,MATCH(A56,Master_Customer!$A$2:$A$126,0))</f>
        <v>14</v>
      </c>
      <c r="D56" s="52" t="n">
        <f aca="false">SUM(E56:I56)</f>
        <v>4237200</v>
      </c>
      <c r="E56" s="52" t="n">
        <f aca="false">SUMIFS(Piutang!$M$2:$M$1751,Piutang!$C$2:$C$1751,$A56,Piutang!$P$2:$P$1751,"Belum Jatuh Tempo")</f>
        <v>0</v>
      </c>
      <c r="F56" s="52" t="n">
        <f aca="false">SUMIFS(Piutang!$M$2:$M$1751,Piutang!$C$2:$C$1751,$A56,Piutang!$P$2:$P$1751,"1-30 hari")</f>
        <v>0</v>
      </c>
      <c r="G56" s="52" t="n">
        <f aca="false">SUMIFS(Piutang!$M$2:$M$1751,Piutang!$C$2:$C$1751,$A56,Piutang!$P$2:$P$1751,"31-60 hari")</f>
        <v>0</v>
      </c>
      <c r="H56" s="52" t="n">
        <f aca="false">SUMIFS(Piutang!$M$2:$M$1751,Piutang!$C$2:$C$1751,$A56,Piutang!$P$2:$P$1751,"61-90 hari")</f>
        <v>0</v>
      </c>
      <c r="I56" s="52" t="n">
        <f aca="false">SUMIFS(Piutang!$M$2:$M$1751,Piutang!$C$2:$C$1751,$A56,Piutang!$P$2:$P$1751,"90+ hari")</f>
        <v>4237200</v>
      </c>
      <c r="J56" s="52" t="n">
        <f aca="false">SUM(F56:I56)</f>
        <v>4237200</v>
      </c>
      <c r="K56" s="55" t="n">
        <f aca="false">IF(D56=0,0,J56/D56)</f>
        <v>1</v>
      </c>
    </row>
    <row r="57" customFormat="false" ht="15" hidden="false" customHeight="false" outlineLevel="0" collapsed="false">
      <c r="A57" s="50" t="s">
        <v>376</v>
      </c>
      <c r="B57" s="39" t="str">
        <f aca="false">INDEX(Master_Customer!$B$2:$B$126,MATCH(A57,Master_Customer!$A$2:$A$126,0))</f>
        <v>JAYA SPAREPART</v>
      </c>
      <c r="C57" s="39" t="n">
        <f aca="false">INDEX(Master_Customer!$C$2:$C$126,MATCH(A57,Master_Customer!$A$2:$A$126,0))</f>
        <v>30</v>
      </c>
      <c r="D57" s="52" t="n">
        <f aca="false">SUM(E57:I57)</f>
        <v>4208400</v>
      </c>
      <c r="E57" s="52" t="n">
        <f aca="false">SUMIFS(Piutang!$M$2:$M$1751,Piutang!$C$2:$C$1751,$A57,Piutang!$P$2:$P$1751,"Belum Jatuh Tempo")</f>
        <v>0</v>
      </c>
      <c r="F57" s="52" t="n">
        <f aca="false">SUMIFS(Piutang!$M$2:$M$1751,Piutang!$C$2:$C$1751,$A57,Piutang!$P$2:$P$1751,"1-30 hari")</f>
        <v>0</v>
      </c>
      <c r="G57" s="52" t="n">
        <f aca="false">SUMIFS(Piutang!$M$2:$M$1751,Piutang!$C$2:$C$1751,$A57,Piutang!$P$2:$P$1751,"31-60 hari")</f>
        <v>4208400</v>
      </c>
      <c r="H57" s="52" t="n">
        <f aca="false">SUMIFS(Piutang!$M$2:$M$1751,Piutang!$C$2:$C$1751,$A57,Piutang!$P$2:$P$1751,"61-90 hari")</f>
        <v>0</v>
      </c>
      <c r="I57" s="52" t="n">
        <f aca="false">SUMIFS(Piutang!$M$2:$M$1751,Piutang!$C$2:$C$1751,$A57,Piutang!$P$2:$P$1751,"90+ hari")</f>
        <v>0</v>
      </c>
      <c r="J57" s="52" t="n">
        <f aca="false">SUM(F57:I57)</f>
        <v>4208400</v>
      </c>
      <c r="K57" s="55" t="n">
        <f aca="false">IF(D57=0,0,J57/D57)</f>
        <v>1</v>
      </c>
    </row>
    <row r="58" customFormat="false" ht="15" hidden="false" customHeight="false" outlineLevel="0" collapsed="false">
      <c r="A58" s="50" t="s">
        <v>1147</v>
      </c>
      <c r="B58" s="39" t="str">
        <f aca="false">INDEX(Master_Customer!$B$2:$B$126,MATCH(A58,Master_Customer!$A$2:$A$126,0))</f>
        <v>BINTANG GARAGE UTAMA</v>
      </c>
      <c r="C58" s="39" t="n">
        <f aca="false">INDEX(Master_Customer!$C$2:$C$126,MATCH(A58,Master_Customer!$A$2:$A$126,0))</f>
        <v>30</v>
      </c>
      <c r="D58" s="52" t="n">
        <f aca="false">SUM(E58:I58)</f>
        <v>3594600</v>
      </c>
      <c r="E58" s="52" t="n">
        <f aca="false">SUMIFS(Piutang!$M$2:$M$1751,Piutang!$C$2:$C$1751,$A58,Piutang!$P$2:$P$1751,"Belum Jatuh Tempo")</f>
        <v>3594600</v>
      </c>
      <c r="F58" s="52" t="n">
        <f aca="false">SUMIFS(Piutang!$M$2:$M$1751,Piutang!$C$2:$C$1751,$A58,Piutang!$P$2:$P$1751,"1-30 hari")</f>
        <v>0</v>
      </c>
      <c r="G58" s="52" t="n">
        <f aca="false">SUMIFS(Piutang!$M$2:$M$1751,Piutang!$C$2:$C$1751,$A58,Piutang!$P$2:$P$1751,"31-60 hari")</f>
        <v>0</v>
      </c>
      <c r="H58" s="52" t="n">
        <f aca="false">SUMIFS(Piutang!$M$2:$M$1751,Piutang!$C$2:$C$1751,$A58,Piutang!$P$2:$P$1751,"61-90 hari")</f>
        <v>0</v>
      </c>
      <c r="I58" s="52" t="n">
        <f aca="false">SUMIFS(Piutang!$M$2:$M$1751,Piutang!$C$2:$C$1751,$A58,Piutang!$P$2:$P$1751,"90+ hari")</f>
        <v>0</v>
      </c>
      <c r="J58" s="52" t="n">
        <f aca="false">SUM(F58:I58)</f>
        <v>0</v>
      </c>
      <c r="K58" s="55" t="n">
        <f aca="false">IF(D58=0,0,J58/D58)</f>
        <v>0</v>
      </c>
    </row>
    <row r="59" customFormat="false" ht="15" hidden="false" customHeight="false" outlineLevel="0" collapsed="false">
      <c r="A59" s="50" t="s">
        <v>967</v>
      </c>
      <c r="B59" s="39" t="str">
        <f aca="false">INDEX(Master_Customer!$B$2:$B$126,MATCH(A59,Master_Customer!$A$2:$A$126,0))</f>
        <v>MAKMUR SPAREPART GEMILANG</v>
      </c>
      <c r="C59" s="39" t="n">
        <f aca="false">INDEX(Master_Customer!$C$2:$C$126,MATCH(A59,Master_Customer!$A$2:$A$126,0))</f>
        <v>14</v>
      </c>
      <c r="D59" s="52" t="n">
        <f aca="false">SUM(E59:I59)</f>
        <v>3454800</v>
      </c>
      <c r="E59" s="52" t="n">
        <f aca="false">SUMIFS(Piutang!$M$2:$M$1751,Piutang!$C$2:$C$1751,$A59,Piutang!$P$2:$P$1751,"Belum Jatuh Tempo")</f>
        <v>3454800</v>
      </c>
      <c r="F59" s="52" t="n">
        <f aca="false">SUMIFS(Piutang!$M$2:$M$1751,Piutang!$C$2:$C$1751,$A59,Piutang!$P$2:$P$1751,"1-30 hari")</f>
        <v>0</v>
      </c>
      <c r="G59" s="52" t="n">
        <f aca="false">SUMIFS(Piutang!$M$2:$M$1751,Piutang!$C$2:$C$1751,$A59,Piutang!$P$2:$P$1751,"31-60 hari")</f>
        <v>0</v>
      </c>
      <c r="H59" s="52" t="n">
        <f aca="false">SUMIFS(Piutang!$M$2:$M$1751,Piutang!$C$2:$C$1751,$A59,Piutang!$P$2:$P$1751,"61-90 hari")</f>
        <v>0</v>
      </c>
      <c r="I59" s="52" t="n">
        <f aca="false">SUMIFS(Piutang!$M$2:$M$1751,Piutang!$C$2:$C$1751,$A59,Piutang!$P$2:$P$1751,"90+ hari")</f>
        <v>0</v>
      </c>
      <c r="J59" s="52" t="n">
        <f aca="false">SUM(F59:I59)</f>
        <v>0</v>
      </c>
      <c r="K59" s="55" t="n">
        <f aca="false">IF(D59=0,0,J59/D59)</f>
        <v>0</v>
      </c>
    </row>
    <row r="60" customFormat="false" ht="15" hidden="false" customHeight="false" outlineLevel="0" collapsed="false">
      <c r="A60" s="50" t="s">
        <v>540</v>
      </c>
      <c r="B60" s="39" t="str">
        <f aca="false">INDEX(Master_Customer!$B$2:$B$126,MATCH(A60,Master_Customer!$A$2:$A$126,0))</f>
        <v>SURYA MOBIL</v>
      </c>
      <c r="C60" s="39" t="n">
        <f aca="false">INDEX(Master_Customer!$C$2:$C$126,MATCH(A60,Master_Customer!$A$2:$A$126,0))</f>
        <v>30</v>
      </c>
      <c r="D60" s="52" t="n">
        <f aca="false">SUM(E60:I60)</f>
        <v>3432200</v>
      </c>
      <c r="E60" s="52" t="n">
        <f aca="false">SUMIFS(Piutang!$M$2:$M$1751,Piutang!$C$2:$C$1751,$A60,Piutang!$P$2:$P$1751,"Belum Jatuh Tempo")</f>
        <v>0</v>
      </c>
      <c r="F60" s="52" t="n">
        <f aca="false">SUMIFS(Piutang!$M$2:$M$1751,Piutang!$C$2:$C$1751,$A60,Piutang!$P$2:$P$1751,"1-30 hari")</f>
        <v>0</v>
      </c>
      <c r="G60" s="52" t="n">
        <f aca="false">SUMIFS(Piutang!$M$2:$M$1751,Piutang!$C$2:$C$1751,$A60,Piutang!$P$2:$P$1751,"31-60 hari")</f>
        <v>0</v>
      </c>
      <c r="H60" s="52" t="n">
        <f aca="false">SUMIFS(Piutang!$M$2:$M$1751,Piutang!$C$2:$C$1751,$A60,Piutang!$P$2:$P$1751,"61-90 hari")</f>
        <v>0</v>
      </c>
      <c r="I60" s="52" t="n">
        <f aca="false">SUMIFS(Piutang!$M$2:$M$1751,Piutang!$C$2:$C$1751,$A60,Piutang!$P$2:$P$1751,"90+ hari")</f>
        <v>3432200</v>
      </c>
      <c r="J60" s="52" t="n">
        <f aca="false">SUM(F60:I60)</f>
        <v>3432200</v>
      </c>
      <c r="K60" s="55" t="n">
        <f aca="false">IF(D60=0,0,J60/D60)</f>
        <v>1</v>
      </c>
    </row>
    <row r="61" customFormat="false" ht="15" hidden="false" customHeight="false" outlineLevel="0" collapsed="false">
      <c r="A61" s="50" t="s">
        <v>475</v>
      </c>
      <c r="B61" s="39" t="str">
        <f aca="false">INDEX(Master_Customer!$B$2:$B$126,MATCH(A61,Master_Customer!$A$2:$A$126,0))</f>
        <v>CAHAYA BENGKEL</v>
      </c>
      <c r="C61" s="39" t="n">
        <f aca="false">INDEX(Master_Customer!$C$2:$C$126,MATCH(A61,Master_Customer!$A$2:$A$126,0))</f>
        <v>30</v>
      </c>
      <c r="D61" s="52" t="n">
        <f aca="false">SUM(E61:I61)</f>
        <v>3164900</v>
      </c>
      <c r="E61" s="52" t="n">
        <f aca="false">SUMIFS(Piutang!$M$2:$M$1751,Piutang!$C$2:$C$1751,$A61,Piutang!$P$2:$P$1751,"Belum Jatuh Tempo")</f>
        <v>0</v>
      </c>
      <c r="F61" s="52" t="n">
        <f aca="false">SUMIFS(Piutang!$M$2:$M$1751,Piutang!$C$2:$C$1751,$A61,Piutang!$P$2:$P$1751,"1-30 hari")</f>
        <v>0</v>
      </c>
      <c r="G61" s="52" t="n">
        <f aca="false">SUMIFS(Piutang!$M$2:$M$1751,Piutang!$C$2:$C$1751,$A61,Piutang!$P$2:$P$1751,"31-60 hari")</f>
        <v>0</v>
      </c>
      <c r="H61" s="52" t="n">
        <f aca="false">SUMIFS(Piutang!$M$2:$M$1751,Piutang!$C$2:$C$1751,$A61,Piutang!$P$2:$P$1751,"61-90 hari")</f>
        <v>3164900</v>
      </c>
      <c r="I61" s="52" t="n">
        <f aca="false">SUMIFS(Piutang!$M$2:$M$1751,Piutang!$C$2:$C$1751,$A61,Piutang!$P$2:$P$1751,"90+ hari")</f>
        <v>0</v>
      </c>
      <c r="J61" s="52" t="n">
        <f aca="false">SUM(F61:I61)</f>
        <v>3164900</v>
      </c>
      <c r="K61" s="55" t="n">
        <f aca="false">IF(D61=0,0,J61/D61)</f>
        <v>1</v>
      </c>
    </row>
    <row r="62" customFormat="false" ht="15" hidden="false" customHeight="false" outlineLevel="0" collapsed="false">
      <c r="A62" s="50" t="s">
        <v>416</v>
      </c>
      <c r="B62" s="39" t="str">
        <f aca="false">INDEX(Master_Customer!$B$2:$B$126,MATCH(A62,Master_Customer!$A$2:$A$126,0))</f>
        <v>KARYA SERVICE</v>
      </c>
      <c r="C62" s="39" t="n">
        <f aca="false">INDEX(Master_Customer!$C$2:$C$126,MATCH(A62,Master_Customer!$A$2:$A$126,0))</f>
        <v>0</v>
      </c>
      <c r="D62" s="52" t="n">
        <f aca="false">SUM(E62:I62)</f>
        <v>3048800</v>
      </c>
      <c r="E62" s="52" t="n">
        <f aca="false">SUMIFS(Piutang!$M$2:$M$1751,Piutang!$C$2:$C$1751,$A62,Piutang!$P$2:$P$1751,"Belum Jatuh Tempo")</f>
        <v>0</v>
      </c>
      <c r="F62" s="52" t="n">
        <f aca="false">SUMIFS(Piutang!$M$2:$M$1751,Piutang!$C$2:$C$1751,$A62,Piutang!$P$2:$P$1751,"1-30 hari")</f>
        <v>3048800</v>
      </c>
      <c r="G62" s="52" t="n">
        <f aca="false">SUMIFS(Piutang!$M$2:$M$1751,Piutang!$C$2:$C$1751,$A62,Piutang!$P$2:$P$1751,"31-60 hari")</f>
        <v>0</v>
      </c>
      <c r="H62" s="52" t="n">
        <f aca="false">SUMIFS(Piutang!$M$2:$M$1751,Piutang!$C$2:$C$1751,$A62,Piutang!$P$2:$P$1751,"61-90 hari")</f>
        <v>0</v>
      </c>
      <c r="I62" s="52" t="n">
        <f aca="false">SUMIFS(Piutang!$M$2:$M$1751,Piutang!$C$2:$C$1751,$A62,Piutang!$P$2:$P$1751,"90+ hari")</f>
        <v>0</v>
      </c>
      <c r="J62" s="52" t="n">
        <f aca="false">SUM(F62:I62)</f>
        <v>3048800</v>
      </c>
      <c r="K62" s="55" t="n">
        <f aca="false">IF(D62=0,0,J62/D62)</f>
        <v>1</v>
      </c>
    </row>
    <row r="63" customFormat="false" ht="15" hidden="false" customHeight="false" outlineLevel="0" collapsed="false">
      <c r="A63" s="50" t="s">
        <v>436</v>
      </c>
      <c r="B63" s="39" t="str">
        <f aca="false">INDEX(Master_Customer!$B$2:$B$126,MATCH(A63,Master_Customer!$A$2:$A$126,0))</f>
        <v>TIRTA AUTO</v>
      </c>
      <c r="C63" s="39" t="n">
        <f aca="false">INDEX(Master_Customer!$C$2:$C$126,MATCH(A63,Master_Customer!$A$2:$A$126,0))</f>
        <v>14</v>
      </c>
      <c r="D63" s="52" t="n">
        <f aca="false">SUM(E63:I63)</f>
        <v>3010300</v>
      </c>
      <c r="E63" s="52" t="n">
        <f aca="false">SUMIFS(Piutang!$M$2:$M$1751,Piutang!$C$2:$C$1751,$A63,Piutang!$P$2:$P$1751,"Belum Jatuh Tempo")</f>
        <v>3010300</v>
      </c>
      <c r="F63" s="52" t="n">
        <f aca="false">SUMIFS(Piutang!$M$2:$M$1751,Piutang!$C$2:$C$1751,$A63,Piutang!$P$2:$P$1751,"1-30 hari")</f>
        <v>0</v>
      </c>
      <c r="G63" s="52" t="n">
        <f aca="false">SUMIFS(Piutang!$M$2:$M$1751,Piutang!$C$2:$C$1751,$A63,Piutang!$P$2:$P$1751,"31-60 hari")</f>
        <v>0</v>
      </c>
      <c r="H63" s="52" t="n">
        <f aca="false">SUMIFS(Piutang!$M$2:$M$1751,Piutang!$C$2:$C$1751,$A63,Piutang!$P$2:$P$1751,"61-90 hari")</f>
        <v>0</v>
      </c>
      <c r="I63" s="52" t="n">
        <f aca="false">SUMIFS(Piutang!$M$2:$M$1751,Piutang!$C$2:$C$1751,$A63,Piutang!$P$2:$P$1751,"90+ hari")</f>
        <v>0</v>
      </c>
      <c r="J63" s="52" t="n">
        <f aca="false">SUM(F63:I63)</f>
        <v>0</v>
      </c>
      <c r="K63" s="55" t="n">
        <f aca="false">IF(D63=0,0,J63/D63)</f>
        <v>0</v>
      </c>
    </row>
    <row r="64" customFormat="false" ht="15" hidden="false" customHeight="false" outlineLevel="0" collapsed="false">
      <c r="A64" s="50" t="s">
        <v>571</v>
      </c>
      <c r="B64" s="39" t="str">
        <f aca="false">INDEX(Master_Customer!$B$2:$B$126,MATCH(A64,Master_Customer!$A$2:$A$126,0))</f>
        <v>HARAPAN OLI TIRTA</v>
      </c>
      <c r="C64" s="39" t="n">
        <f aca="false">INDEX(Master_Customer!$C$2:$C$126,MATCH(A64,Master_Customer!$A$2:$A$126,0))</f>
        <v>14</v>
      </c>
      <c r="D64" s="52" t="n">
        <f aca="false">SUM(E64:I64)</f>
        <v>2781500</v>
      </c>
      <c r="E64" s="52" t="n">
        <f aca="false">SUMIFS(Piutang!$M$2:$M$1751,Piutang!$C$2:$C$1751,$A64,Piutang!$P$2:$P$1751,"Belum Jatuh Tempo")</f>
        <v>2781500</v>
      </c>
      <c r="F64" s="52" t="n">
        <f aca="false">SUMIFS(Piutang!$M$2:$M$1751,Piutang!$C$2:$C$1751,$A64,Piutang!$P$2:$P$1751,"1-30 hari")</f>
        <v>0</v>
      </c>
      <c r="G64" s="52" t="n">
        <f aca="false">SUMIFS(Piutang!$M$2:$M$1751,Piutang!$C$2:$C$1751,$A64,Piutang!$P$2:$P$1751,"31-60 hari")</f>
        <v>0</v>
      </c>
      <c r="H64" s="52" t="n">
        <f aca="false">SUMIFS(Piutang!$M$2:$M$1751,Piutang!$C$2:$C$1751,$A64,Piutang!$P$2:$P$1751,"61-90 hari")</f>
        <v>0</v>
      </c>
      <c r="I64" s="52" t="n">
        <f aca="false">SUMIFS(Piutang!$M$2:$M$1751,Piutang!$C$2:$C$1751,$A64,Piutang!$P$2:$P$1751,"90+ hari")</f>
        <v>0</v>
      </c>
      <c r="J64" s="52" t="n">
        <f aca="false">SUM(F64:I64)</f>
        <v>0</v>
      </c>
      <c r="K64" s="55" t="n">
        <f aca="false">IF(D64=0,0,J64/D64)</f>
        <v>0</v>
      </c>
    </row>
    <row r="65" customFormat="false" ht="15" hidden="false" customHeight="false" outlineLevel="0" collapsed="false">
      <c r="A65" s="50" t="s">
        <v>1200</v>
      </c>
      <c r="B65" s="39" t="str">
        <f aca="false">INDEX(Master_Customer!$B$2:$B$126,MATCH(A65,Master_Customer!$A$2:$A$126,0))</f>
        <v>MITRA SPAREPART CAHAYA</v>
      </c>
      <c r="C65" s="39" t="n">
        <f aca="false">INDEX(Master_Customer!$C$2:$C$126,MATCH(A65,Master_Customer!$A$2:$A$126,0))</f>
        <v>14</v>
      </c>
      <c r="D65" s="52" t="n">
        <f aca="false">SUM(E65:I65)</f>
        <v>2364100</v>
      </c>
      <c r="E65" s="52" t="n">
        <f aca="false">SUMIFS(Piutang!$M$2:$M$1751,Piutang!$C$2:$C$1751,$A65,Piutang!$P$2:$P$1751,"Belum Jatuh Tempo")</f>
        <v>0</v>
      </c>
      <c r="F65" s="52" t="n">
        <f aca="false">SUMIFS(Piutang!$M$2:$M$1751,Piutang!$C$2:$C$1751,$A65,Piutang!$P$2:$P$1751,"1-30 hari")</f>
        <v>2364100</v>
      </c>
      <c r="G65" s="52" t="n">
        <f aca="false">SUMIFS(Piutang!$M$2:$M$1751,Piutang!$C$2:$C$1751,$A65,Piutang!$P$2:$P$1751,"31-60 hari")</f>
        <v>0</v>
      </c>
      <c r="H65" s="52" t="n">
        <f aca="false">SUMIFS(Piutang!$M$2:$M$1751,Piutang!$C$2:$C$1751,$A65,Piutang!$P$2:$P$1751,"61-90 hari")</f>
        <v>0</v>
      </c>
      <c r="I65" s="52" t="n">
        <f aca="false">SUMIFS(Piutang!$M$2:$M$1751,Piutang!$C$2:$C$1751,$A65,Piutang!$P$2:$P$1751,"90+ hari")</f>
        <v>0</v>
      </c>
      <c r="J65" s="52" t="n">
        <f aca="false">SUM(F65:I65)</f>
        <v>2364100</v>
      </c>
      <c r="K65" s="55" t="n">
        <f aca="false">IF(D65=0,0,J65/D65)</f>
        <v>1</v>
      </c>
    </row>
    <row r="66" customFormat="false" ht="15" hidden="false" customHeight="false" outlineLevel="0" collapsed="false">
      <c r="A66" s="50" t="s">
        <v>481</v>
      </c>
      <c r="B66" s="39" t="str">
        <f aca="false">INDEX(Master_Customer!$B$2:$B$126,MATCH(A66,Master_Customer!$A$2:$A$126,0))</f>
        <v>MITRA GARAGE</v>
      </c>
      <c r="C66" s="39" t="n">
        <f aca="false">INDEX(Master_Customer!$C$2:$C$126,MATCH(A66,Master_Customer!$A$2:$A$126,0))</f>
        <v>45</v>
      </c>
      <c r="D66" s="52" t="n">
        <f aca="false">SUM(E66:I66)</f>
        <v>2209000</v>
      </c>
      <c r="E66" s="52" t="n">
        <f aca="false">SUMIFS(Piutang!$M$2:$M$1751,Piutang!$C$2:$C$1751,$A66,Piutang!$P$2:$P$1751,"Belum Jatuh Tempo")</f>
        <v>0</v>
      </c>
      <c r="F66" s="52" t="n">
        <f aca="false">SUMIFS(Piutang!$M$2:$M$1751,Piutang!$C$2:$C$1751,$A66,Piutang!$P$2:$P$1751,"1-30 hari")</f>
        <v>0</v>
      </c>
      <c r="G66" s="52" t="n">
        <f aca="false">SUMIFS(Piutang!$M$2:$M$1751,Piutang!$C$2:$C$1751,$A66,Piutang!$P$2:$P$1751,"31-60 hari")</f>
        <v>0</v>
      </c>
      <c r="H66" s="52" t="n">
        <f aca="false">SUMIFS(Piutang!$M$2:$M$1751,Piutang!$C$2:$C$1751,$A66,Piutang!$P$2:$P$1751,"61-90 hari")</f>
        <v>0</v>
      </c>
      <c r="I66" s="52" t="n">
        <f aca="false">SUMIFS(Piutang!$M$2:$M$1751,Piutang!$C$2:$C$1751,$A66,Piutang!$P$2:$P$1751,"90+ hari")</f>
        <v>2209000</v>
      </c>
      <c r="J66" s="52" t="n">
        <f aca="false">SUM(F66:I66)</f>
        <v>2209000</v>
      </c>
      <c r="K66" s="55" t="n">
        <f aca="false">IF(D66=0,0,J66/D66)</f>
        <v>1</v>
      </c>
    </row>
    <row r="67" customFormat="false" ht="15" hidden="false" customHeight="false" outlineLevel="0" collapsed="false">
      <c r="A67" s="50" t="s">
        <v>232</v>
      </c>
      <c r="B67" s="39" t="str">
        <f aca="false">INDEX(Master_Customer!$B$2:$B$126,MATCH(A67,Master_Customer!$A$2:$A$126,0))</f>
        <v>ABADI LUBRICANT KARYA</v>
      </c>
      <c r="C67" s="39" t="n">
        <f aca="false">INDEX(Master_Customer!$C$2:$C$126,MATCH(A67,Master_Customer!$A$2:$A$126,0))</f>
        <v>14</v>
      </c>
      <c r="D67" s="52" t="n">
        <f aca="false">SUM(E67:I67)</f>
        <v>2004700</v>
      </c>
      <c r="E67" s="52" t="n">
        <f aca="false">SUMIFS(Piutang!$M$2:$M$1751,Piutang!$C$2:$C$1751,$A67,Piutang!$P$2:$P$1751,"Belum Jatuh Tempo")</f>
        <v>0</v>
      </c>
      <c r="F67" s="52" t="n">
        <f aca="false">SUMIFS(Piutang!$M$2:$M$1751,Piutang!$C$2:$C$1751,$A67,Piutang!$P$2:$P$1751,"1-30 hari")</f>
        <v>2004700</v>
      </c>
      <c r="G67" s="52" t="n">
        <f aca="false">SUMIFS(Piutang!$M$2:$M$1751,Piutang!$C$2:$C$1751,$A67,Piutang!$P$2:$P$1751,"31-60 hari")</f>
        <v>0</v>
      </c>
      <c r="H67" s="52" t="n">
        <f aca="false">SUMIFS(Piutang!$M$2:$M$1751,Piutang!$C$2:$C$1751,$A67,Piutang!$P$2:$P$1751,"61-90 hari")</f>
        <v>0</v>
      </c>
      <c r="I67" s="52" t="n">
        <f aca="false">SUMIFS(Piutang!$M$2:$M$1751,Piutang!$C$2:$C$1751,$A67,Piutang!$P$2:$P$1751,"90+ hari")</f>
        <v>0</v>
      </c>
      <c r="J67" s="52" t="n">
        <f aca="false">SUM(F67:I67)</f>
        <v>2004700</v>
      </c>
      <c r="K67" s="55" t="n">
        <f aca="false">IF(D67=0,0,J67/D67)</f>
        <v>1</v>
      </c>
    </row>
    <row r="68" customFormat="false" ht="15" hidden="false" customHeight="false" outlineLevel="0" collapsed="false">
      <c r="A68" s="50" t="s">
        <v>367</v>
      </c>
      <c r="B68" s="39" t="str">
        <f aca="false">INDEX(Master_Customer!$B$2:$B$126,MATCH(A68,Master_Customer!$A$2:$A$126,0))</f>
        <v>JAYA MOBIL SUMBER</v>
      </c>
      <c r="C68" s="39" t="n">
        <f aca="false">INDEX(Master_Customer!$C$2:$C$126,MATCH(A68,Master_Customer!$A$2:$A$126,0))</f>
        <v>0</v>
      </c>
      <c r="D68" s="52" t="n">
        <f aca="false">SUM(E68:I68)</f>
        <v>0</v>
      </c>
      <c r="E68" s="52" t="n">
        <f aca="false">SUMIFS(Piutang!$M$2:$M$1751,Piutang!$C$2:$C$1751,$A68,Piutang!$P$2:$P$1751,"Belum Jatuh Tempo")</f>
        <v>0</v>
      </c>
      <c r="F68" s="52" t="n">
        <f aca="false">SUMIFS(Piutang!$M$2:$M$1751,Piutang!$C$2:$C$1751,$A68,Piutang!$P$2:$P$1751,"1-30 hari")</f>
        <v>0</v>
      </c>
      <c r="G68" s="52" t="n">
        <f aca="false">SUMIFS(Piutang!$M$2:$M$1751,Piutang!$C$2:$C$1751,$A68,Piutang!$P$2:$P$1751,"31-60 hari")</f>
        <v>0</v>
      </c>
      <c r="H68" s="52" t="n">
        <f aca="false">SUMIFS(Piutang!$M$2:$M$1751,Piutang!$C$2:$C$1751,$A68,Piutang!$P$2:$P$1751,"61-90 hari")</f>
        <v>0</v>
      </c>
      <c r="I68" s="52" t="n">
        <f aca="false">SUMIFS(Piutang!$M$2:$M$1751,Piutang!$C$2:$C$1751,$A68,Piutang!$P$2:$P$1751,"90+ hari")</f>
        <v>0</v>
      </c>
      <c r="J68" s="52" t="n">
        <f aca="false">SUM(F68:I68)</f>
        <v>0</v>
      </c>
      <c r="K68" s="55" t="n">
        <f aca="false">IF(D68=0,0,J68/D68)</f>
        <v>0</v>
      </c>
    </row>
    <row r="69" customFormat="false" ht="15" hidden="false" customHeight="false" outlineLevel="0" collapsed="false">
      <c r="A69" s="50" t="s">
        <v>284</v>
      </c>
      <c r="B69" s="39" t="str">
        <f aca="false">INDEX(Master_Customer!$B$2:$B$126,MATCH(A69,Master_Customer!$A$2:$A$126,0))</f>
        <v>CAHAYA SPAREPART</v>
      </c>
      <c r="C69" s="39" t="n">
        <f aca="false">INDEX(Master_Customer!$C$2:$C$126,MATCH(A69,Master_Customer!$A$2:$A$126,0))</f>
        <v>14</v>
      </c>
      <c r="D69" s="52" t="n">
        <f aca="false">SUM(E69:I69)</f>
        <v>0</v>
      </c>
      <c r="E69" s="52" t="n">
        <f aca="false">SUMIFS(Piutang!$M$2:$M$1751,Piutang!$C$2:$C$1751,$A69,Piutang!$P$2:$P$1751,"Belum Jatuh Tempo")</f>
        <v>0</v>
      </c>
      <c r="F69" s="52" t="n">
        <f aca="false">SUMIFS(Piutang!$M$2:$M$1751,Piutang!$C$2:$C$1751,$A69,Piutang!$P$2:$P$1751,"1-30 hari")</f>
        <v>0</v>
      </c>
      <c r="G69" s="52" t="n">
        <f aca="false">SUMIFS(Piutang!$M$2:$M$1751,Piutang!$C$2:$C$1751,$A69,Piutang!$P$2:$P$1751,"31-60 hari")</f>
        <v>0</v>
      </c>
      <c r="H69" s="52" t="n">
        <f aca="false">SUMIFS(Piutang!$M$2:$M$1751,Piutang!$C$2:$C$1751,$A69,Piutang!$P$2:$P$1751,"61-90 hari")</f>
        <v>0</v>
      </c>
      <c r="I69" s="52" t="n">
        <f aca="false">SUMIFS(Piutang!$M$2:$M$1751,Piutang!$C$2:$C$1751,$A69,Piutang!$P$2:$P$1751,"90+ hari")</f>
        <v>0</v>
      </c>
      <c r="J69" s="52" t="n">
        <f aca="false">SUM(F69:I69)</f>
        <v>0</v>
      </c>
      <c r="K69" s="55" t="n">
        <f aca="false">IF(D69=0,0,J69/D69)</f>
        <v>0</v>
      </c>
    </row>
    <row r="70" customFormat="false" ht="15" hidden="false" customHeight="false" outlineLevel="0" collapsed="false">
      <c r="A70" s="50" t="s">
        <v>666</v>
      </c>
      <c r="B70" s="39" t="str">
        <f aca="false">INDEX(Master_Customer!$B$2:$B$126,MATCH(A70,Master_Customer!$A$2:$A$126,0))</f>
        <v>SUMBER MOTOR</v>
      </c>
      <c r="C70" s="39" t="n">
        <f aca="false">INDEX(Master_Customer!$C$2:$C$126,MATCH(A70,Master_Customer!$A$2:$A$126,0))</f>
        <v>30</v>
      </c>
      <c r="D70" s="52" t="n">
        <f aca="false">SUM(E70:I70)</f>
        <v>0</v>
      </c>
      <c r="E70" s="52" t="n">
        <f aca="false">SUMIFS(Piutang!$M$2:$M$1751,Piutang!$C$2:$C$1751,$A70,Piutang!$P$2:$P$1751,"Belum Jatuh Tempo")</f>
        <v>0</v>
      </c>
      <c r="F70" s="52" t="n">
        <f aca="false">SUMIFS(Piutang!$M$2:$M$1751,Piutang!$C$2:$C$1751,$A70,Piutang!$P$2:$P$1751,"1-30 hari")</f>
        <v>0</v>
      </c>
      <c r="G70" s="52" t="n">
        <f aca="false">SUMIFS(Piutang!$M$2:$M$1751,Piutang!$C$2:$C$1751,$A70,Piutang!$P$2:$P$1751,"31-60 hari")</f>
        <v>0</v>
      </c>
      <c r="H70" s="52" t="n">
        <f aca="false">SUMIFS(Piutang!$M$2:$M$1751,Piutang!$C$2:$C$1751,$A70,Piutang!$P$2:$P$1751,"61-90 hari")</f>
        <v>0</v>
      </c>
      <c r="I70" s="52" t="n">
        <f aca="false">SUMIFS(Piutang!$M$2:$M$1751,Piutang!$C$2:$C$1751,$A70,Piutang!$P$2:$P$1751,"90+ hari")</f>
        <v>0</v>
      </c>
      <c r="J70" s="52" t="n">
        <f aca="false">SUM(F70:I70)</f>
        <v>0</v>
      </c>
      <c r="K70" s="55" t="n">
        <f aca="false">IF(D70=0,0,J70/D70)</f>
        <v>0</v>
      </c>
    </row>
    <row r="71" customFormat="false" ht="15" hidden="false" customHeight="false" outlineLevel="0" collapsed="false">
      <c r="A71" s="50" t="s">
        <v>634</v>
      </c>
      <c r="B71" s="39" t="str">
        <f aca="false">INDEX(Master_Customer!$B$2:$B$126,MATCH(A71,Master_Customer!$A$2:$A$126,0))</f>
        <v>TIRTA GARAGE</v>
      </c>
      <c r="C71" s="39" t="n">
        <f aca="false">INDEX(Master_Customer!$C$2:$C$126,MATCH(A71,Master_Customer!$A$2:$A$126,0))</f>
        <v>30</v>
      </c>
      <c r="D71" s="52" t="n">
        <f aca="false">SUM(E71:I71)</f>
        <v>0</v>
      </c>
      <c r="E71" s="52" t="n">
        <f aca="false">SUMIFS(Piutang!$M$2:$M$1751,Piutang!$C$2:$C$1751,$A71,Piutang!$P$2:$P$1751,"Belum Jatuh Tempo")</f>
        <v>0</v>
      </c>
      <c r="F71" s="52" t="n">
        <f aca="false">SUMIFS(Piutang!$M$2:$M$1751,Piutang!$C$2:$C$1751,$A71,Piutang!$P$2:$P$1751,"1-30 hari")</f>
        <v>0</v>
      </c>
      <c r="G71" s="52" t="n">
        <f aca="false">SUMIFS(Piutang!$M$2:$M$1751,Piutang!$C$2:$C$1751,$A71,Piutang!$P$2:$P$1751,"31-60 hari")</f>
        <v>0</v>
      </c>
      <c r="H71" s="52" t="n">
        <f aca="false">SUMIFS(Piutang!$M$2:$M$1751,Piutang!$C$2:$C$1751,$A71,Piutang!$P$2:$P$1751,"61-90 hari")</f>
        <v>0</v>
      </c>
      <c r="I71" s="52" t="n">
        <f aca="false">SUMIFS(Piutang!$M$2:$M$1751,Piutang!$C$2:$C$1751,$A71,Piutang!$P$2:$P$1751,"90+ hari")</f>
        <v>0</v>
      </c>
      <c r="J71" s="52" t="n">
        <f aca="false">SUM(F71:I71)</f>
        <v>0</v>
      </c>
      <c r="K71" s="55" t="n">
        <f aca="false">IF(D71=0,0,J71/D71)</f>
        <v>0</v>
      </c>
    </row>
    <row r="72" customFormat="false" ht="15" hidden="false" customHeight="false" outlineLevel="0" collapsed="false">
      <c r="A72" s="50" t="s">
        <v>1399</v>
      </c>
      <c r="B72" s="39" t="str">
        <f aca="false">INDEX(Master_Customer!$B$2:$B$126,MATCH(A72,Master_Customer!$A$2:$A$126,0))</f>
        <v>SENTOSA GARAGE</v>
      </c>
      <c r="C72" s="39" t="n">
        <f aca="false">INDEX(Master_Customer!$C$2:$C$126,MATCH(A72,Master_Customer!$A$2:$A$126,0))</f>
        <v>30</v>
      </c>
      <c r="D72" s="52" t="n">
        <f aca="false">SUM(E72:I72)</f>
        <v>0</v>
      </c>
      <c r="E72" s="52" t="n">
        <f aca="false">SUMIFS(Piutang!$M$2:$M$1751,Piutang!$C$2:$C$1751,$A72,Piutang!$P$2:$P$1751,"Belum Jatuh Tempo")</f>
        <v>0</v>
      </c>
      <c r="F72" s="52" t="n">
        <f aca="false">SUMIFS(Piutang!$M$2:$M$1751,Piutang!$C$2:$C$1751,$A72,Piutang!$P$2:$P$1751,"1-30 hari")</f>
        <v>0</v>
      </c>
      <c r="G72" s="52" t="n">
        <f aca="false">SUMIFS(Piutang!$M$2:$M$1751,Piutang!$C$2:$C$1751,$A72,Piutang!$P$2:$P$1751,"31-60 hari")</f>
        <v>0</v>
      </c>
      <c r="H72" s="52" t="n">
        <f aca="false">SUMIFS(Piutang!$M$2:$M$1751,Piutang!$C$2:$C$1751,$A72,Piutang!$P$2:$P$1751,"61-90 hari")</f>
        <v>0</v>
      </c>
      <c r="I72" s="52" t="n">
        <f aca="false">SUMIFS(Piutang!$M$2:$M$1751,Piutang!$C$2:$C$1751,$A72,Piutang!$P$2:$P$1751,"90+ hari")</f>
        <v>0</v>
      </c>
      <c r="J72" s="52" t="n">
        <f aca="false">SUM(F72:I72)</f>
        <v>0</v>
      </c>
      <c r="K72" s="55" t="n">
        <f aca="false">IF(D72=0,0,J72/D72)</f>
        <v>0</v>
      </c>
    </row>
    <row r="73" customFormat="false" ht="15" hidden="false" customHeight="false" outlineLevel="0" collapsed="false">
      <c r="A73" s="50" t="s">
        <v>216</v>
      </c>
      <c r="B73" s="39" t="str">
        <f aca="false">INDEX(Master_Customer!$B$2:$B$126,MATCH(A73,Master_Customer!$A$2:$A$126,0))</f>
        <v>SINAR MOTOR UTAMA</v>
      </c>
      <c r="C73" s="39" t="n">
        <f aca="false">INDEX(Master_Customer!$C$2:$C$126,MATCH(A73,Master_Customer!$A$2:$A$126,0))</f>
        <v>0</v>
      </c>
      <c r="D73" s="52" t="n">
        <f aca="false">SUM(E73:I73)</f>
        <v>0</v>
      </c>
      <c r="E73" s="52" t="n">
        <f aca="false">SUMIFS(Piutang!$M$2:$M$1751,Piutang!$C$2:$C$1751,$A73,Piutang!$P$2:$P$1751,"Belum Jatuh Tempo")</f>
        <v>0</v>
      </c>
      <c r="F73" s="52" t="n">
        <f aca="false">SUMIFS(Piutang!$M$2:$M$1751,Piutang!$C$2:$C$1751,$A73,Piutang!$P$2:$P$1751,"1-30 hari")</f>
        <v>0</v>
      </c>
      <c r="G73" s="52" t="n">
        <f aca="false">SUMIFS(Piutang!$M$2:$M$1751,Piutang!$C$2:$C$1751,$A73,Piutang!$P$2:$P$1751,"31-60 hari")</f>
        <v>0</v>
      </c>
      <c r="H73" s="52" t="n">
        <f aca="false">SUMIFS(Piutang!$M$2:$M$1751,Piutang!$C$2:$C$1751,$A73,Piutang!$P$2:$P$1751,"61-90 hari")</f>
        <v>0</v>
      </c>
      <c r="I73" s="52" t="n">
        <f aca="false">SUMIFS(Piutang!$M$2:$M$1751,Piutang!$C$2:$C$1751,$A73,Piutang!$P$2:$P$1751,"90+ hari")</f>
        <v>0</v>
      </c>
      <c r="J73" s="52" t="n">
        <f aca="false">SUM(F73:I73)</f>
        <v>0</v>
      </c>
      <c r="K73" s="55" t="n">
        <f aca="false">IF(D73=0,0,J73/D73)</f>
        <v>0</v>
      </c>
    </row>
    <row r="74" customFormat="false" ht="15" hidden="false" customHeight="false" outlineLevel="0" collapsed="false">
      <c r="A74" s="50" t="s">
        <v>269</v>
      </c>
      <c r="B74" s="39" t="str">
        <f aca="false">INDEX(Master_Customer!$B$2:$B$126,MATCH(A74,Master_Customer!$A$2:$A$126,0))</f>
        <v>KARYA BENGKEL</v>
      </c>
      <c r="C74" s="39" t="n">
        <f aca="false">INDEX(Master_Customer!$C$2:$C$126,MATCH(A74,Master_Customer!$A$2:$A$126,0))</f>
        <v>14</v>
      </c>
      <c r="D74" s="52" t="n">
        <f aca="false">SUM(E74:I74)</f>
        <v>0</v>
      </c>
      <c r="E74" s="52" t="n">
        <f aca="false">SUMIFS(Piutang!$M$2:$M$1751,Piutang!$C$2:$C$1751,$A74,Piutang!$P$2:$P$1751,"Belum Jatuh Tempo")</f>
        <v>0</v>
      </c>
      <c r="F74" s="52" t="n">
        <f aca="false">SUMIFS(Piutang!$M$2:$M$1751,Piutang!$C$2:$C$1751,$A74,Piutang!$P$2:$P$1751,"1-30 hari")</f>
        <v>0</v>
      </c>
      <c r="G74" s="52" t="n">
        <f aca="false">SUMIFS(Piutang!$M$2:$M$1751,Piutang!$C$2:$C$1751,$A74,Piutang!$P$2:$P$1751,"31-60 hari")</f>
        <v>0</v>
      </c>
      <c r="H74" s="52" t="n">
        <f aca="false">SUMIFS(Piutang!$M$2:$M$1751,Piutang!$C$2:$C$1751,$A74,Piutang!$P$2:$P$1751,"61-90 hari")</f>
        <v>0</v>
      </c>
      <c r="I74" s="52" t="n">
        <f aca="false">SUMIFS(Piutang!$M$2:$M$1751,Piutang!$C$2:$C$1751,$A74,Piutang!$P$2:$P$1751,"90+ hari")</f>
        <v>0</v>
      </c>
      <c r="J74" s="52" t="n">
        <f aca="false">SUM(F74:I74)</f>
        <v>0</v>
      </c>
      <c r="K74" s="55" t="n">
        <f aca="false">IF(D74=0,0,J74/D74)</f>
        <v>0</v>
      </c>
    </row>
    <row r="75" customFormat="false" ht="15" hidden="false" customHeight="false" outlineLevel="0" collapsed="false">
      <c r="A75" s="50" t="s">
        <v>166</v>
      </c>
      <c r="B75" s="39" t="str">
        <f aca="false">INDEX(Master_Customer!$B$2:$B$126,MATCH(A75,Master_Customer!$A$2:$A$126,0))</f>
        <v>SENTOSA SERVICE</v>
      </c>
      <c r="C75" s="39" t="n">
        <f aca="false">INDEX(Master_Customer!$C$2:$C$126,MATCH(A75,Master_Customer!$A$2:$A$126,0))</f>
        <v>0</v>
      </c>
      <c r="D75" s="52" t="n">
        <f aca="false">SUM(E75:I75)</f>
        <v>0</v>
      </c>
      <c r="E75" s="52" t="n">
        <f aca="false">SUMIFS(Piutang!$M$2:$M$1751,Piutang!$C$2:$C$1751,$A75,Piutang!$P$2:$P$1751,"Belum Jatuh Tempo")</f>
        <v>0</v>
      </c>
      <c r="F75" s="52" t="n">
        <f aca="false">SUMIFS(Piutang!$M$2:$M$1751,Piutang!$C$2:$C$1751,$A75,Piutang!$P$2:$P$1751,"1-30 hari")</f>
        <v>0</v>
      </c>
      <c r="G75" s="52" t="n">
        <f aca="false">SUMIFS(Piutang!$M$2:$M$1751,Piutang!$C$2:$C$1751,$A75,Piutang!$P$2:$P$1751,"31-60 hari")</f>
        <v>0</v>
      </c>
      <c r="H75" s="52" t="n">
        <f aca="false">SUMIFS(Piutang!$M$2:$M$1751,Piutang!$C$2:$C$1751,$A75,Piutang!$P$2:$P$1751,"61-90 hari")</f>
        <v>0</v>
      </c>
      <c r="I75" s="52" t="n">
        <f aca="false">SUMIFS(Piutang!$M$2:$M$1751,Piutang!$C$2:$C$1751,$A75,Piutang!$P$2:$P$1751,"90+ hari")</f>
        <v>0</v>
      </c>
      <c r="J75" s="52" t="n">
        <f aca="false">SUM(F75:I75)</f>
        <v>0</v>
      </c>
      <c r="K75" s="55" t="n">
        <f aca="false">IF(D75=0,0,J75/D75)</f>
        <v>0</v>
      </c>
    </row>
    <row r="76" customFormat="false" ht="15" hidden="false" customHeight="false" outlineLevel="0" collapsed="false">
      <c r="A76" s="50" t="s">
        <v>358</v>
      </c>
      <c r="B76" s="39" t="str">
        <f aca="false">INDEX(Master_Customer!$B$2:$B$126,MATCH(A76,Master_Customer!$A$2:$A$126,0))</f>
        <v>HARAPAN TEKNIK</v>
      </c>
      <c r="C76" s="39" t="n">
        <f aca="false">INDEX(Master_Customer!$C$2:$C$126,MATCH(A76,Master_Customer!$A$2:$A$126,0))</f>
        <v>0</v>
      </c>
      <c r="D76" s="52" t="n">
        <f aca="false">SUM(E76:I76)</f>
        <v>0</v>
      </c>
      <c r="E76" s="52" t="n">
        <f aca="false">SUMIFS(Piutang!$M$2:$M$1751,Piutang!$C$2:$C$1751,$A76,Piutang!$P$2:$P$1751,"Belum Jatuh Tempo")</f>
        <v>0</v>
      </c>
      <c r="F76" s="52" t="n">
        <f aca="false">SUMIFS(Piutang!$M$2:$M$1751,Piutang!$C$2:$C$1751,$A76,Piutang!$P$2:$P$1751,"1-30 hari")</f>
        <v>0</v>
      </c>
      <c r="G76" s="52" t="n">
        <f aca="false">SUMIFS(Piutang!$M$2:$M$1751,Piutang!$C$2:$C$1751,$A76,Piutang!$P$2:$P$1751,"31-60 hari")</f>
        <v>0</v>
      </c>
      <c r="H76" s="52" t="n">
        <f aca="false">SUMIFS(Piutang!$M$2:$M$1751,Piutang!$C$2:$C$1751,$A76,Piutang!$P$2:$P$1751,"61-90 hari")</f>
        <v>0</v>
      </c>
      <c r="I76" s="52" t="n">
        <f aca="false">SUMIFS(Piutang!$M$2:$M$1751,Piutang!$C$2:$C$1751,$A76,Piutang!$P$2:$P$1751,"90+ hari")</f>
        <v>0</v>
      </c>
      <c r="J76" s="52" t="n">
        <f aca="false">SUM(F76:I76)</f>
        <v>0</v>
      </c>
      <c r="K76" s="55" t="n">
        <f aca="false">IF(D76=0,0,J76/D76)</f>
        <v>0</v>
      </c>
    </row>
    <row r="77" customFormat="false" ht="15" hidden="false" customHeight="false" outlineLevel="0" collapsed="false">
      <c r="A77" s="50" t="s">
        <v>247</v>
      </c>
      <c r="B77" s="39" t="str">
        <f aca="false">INDEX(Master_Customer!$B$2:$B$126,MATCH(A77,Master_Customer!$A$2:$A$126,0))</f>
        <v>BINTANG LUBRICANT SURYA</v>
      </c>
      <c r="C77" s="39" t="n">
        <f aca="false">INDEX(Master_Customer!$C$2:$C$126,MATCH(A77,Master_Customer!$A$2:$A$126,0))</f>
        <v>30</v>
      </c>
      <c r="D77" s="52" t="n">
        <f aca="false">SUM(E77:I77)</f>
        <v>0</v>
      </c>
      <c r="E77" s="52" t="n">
        <f aca="false">SUMIFS(Piutang!$M$2:$M$1751,Piutang!$C$2:$C$1751,$A77,Piutang!$P$2:$P$1751,"Belum Jatuh Tempo")</f>
        <v>0</v>
      </c>
      <c r="F77" s="52" t="n">
        <f aca="false">SUMIFS(Piutang!$M$2:$M$1751,Piutang!$C$2:$C$1751,$A77,Piutang!$P$2:$P$1751,"1-30 hari")</f>
        <v>0</v>
      </c>
      <c r="G77" s="52" t="n">
        <f aca="false">SUMIFS(Piutang!$M$2:$M$1751,Piutang!$C$2:$C$1751,$A77,Piutang!$P$2:$P$1751,"31-60 hari")</f>
        <v>0</v>
      </c>
      <c r="H77" s="52" t="n">
        <f aca="false">SUMIFS(Piutang!$M$2:$M$1751,Piutang!$C$2:$C$1751,$A77,Piutang!$P$2:$P$1751,"61-90 hari")</f>
        <v>0</v>
      </c>
      <c r="I77" s="52" t="n">
        <f aca="false">SUMIFS(Piutang!$M$2:$M$1751,Piutang!$C$2:$C$1751,$A77,Piutang!$P$2:$P$1751,"90+ hari")</f>
        <v>0</v>
      </c>
      <c r="J77" s="52" t="n">
        <f aca="false">SUM(F77:I77)</f>
        <v>0</v>
      </c>
      <c r="K77" s="55" t="n">
        <f aca="false">IF(D77=0,0,J77/D77)</f>
        <v>0</v>
      </c>
    </row>
    <row r="78" customFormat="false" ht="15" hidden="false" customHeight="false" outlineLevel="0" collapsed="false">
      <c r="A78" s="50" t="s">
        <v>296</v>
      </c>
      <c r="B78" s="39" t="str">
        <f aca="false">INDEX(Master_Customer!$B$2:$B$126,MATCH(A78,Master_Customer!$A$2:$A$126,0))</f>
        <v>KARYA LUBRICANT MAJU</v>
      </c>
      <c r="C78" s="39" t="n">
        <f aca="false">INDEX(Master_Customer!$C$2:$C$126,MATCH(A78,Master_Customer!$A$2:$A$126,0))</f>
        <v>14</v>
      </c>
      <c r="D78" s="52" t="n">
        <f aca="false">SUM(E78:I78)</f>
        <v>0</v>
      </c>
      <c r="E78" s="52" t="n">
        <f aca="false">SUMIFS(Piutang!$M$2:$M$1751,Piutang!$C$2:$C$1751,$A78,Piutang!$P$2:$P$1751,"Belum Jatuh Tempo")</f>
        <v>0</v>
      </c>
      <c r="F78" s="52" t="n">
        <f aca="false">SUMIFS(Piutang!$M$2:$M$1751,Piutang!$C$2:$C$1751,$A78,Piutang!$P$2:$P$1751,"1-30 hari")</f>
        <v>0</v>
      </c>
      <c r="G78" s="52" t="n">
        <f aca="false">SUMIFS(Piutang!$M$2:$M$1751,Piutang!$C$2:$C$1751,$A78,Piutang!$P$2:$P$1751,"31-60 hari")</f>
        <v>0</v>
      </c>
      <c r="H78" s="52" t="n">
        <f aca="false">SUMIFS(Piutang!$M$2:$M$1751,Piutang!$C$2:$C$1751,$A78,Piutang!$P$2:$P$1751,"61-90 hari")</f>
        <v>0</v>
      </c>
      <c r="I78" s="52" t="n">
        <f aca="false">SUMIFS(Piutang!$M$2:$M$1751,Piutang!$C$2:$C$1751,$A78,Piutang!$P$2:$P$1751,"90+ hari")</f>
        <v>0</v>
      </c>
      <c r="J78" s="52" t="n">
        <f aca="false">SUM(F78:I78)</f>
        <v>0</v>
      </c>
      <c r="K78" s="55" t="n">
        <f aca="false">IF(D78=0,0,J78/D78)</f>
        <v>0</v>
      </c>
    </row>
    <row r="79" customFormat="false" ht="15" hidden="false" customHeight="false" outlineLevel="0" collapsed="false">
      <c r="A79" s="50" t="s">
        <v>317</v>
      </c>
      <c r="B79" s="39" t="str">
        <f aca="false">INDEX(Master_Customer!$B$2:$B$126,MATCH(A79,Master_Customer!$A$2:$A$126,0))</f>
        <v>MAKMUR MOTOR JAYA</v>
      </c>
      <c r="C79" s="39" t="n">
        <f aca="false">INDEX(Master_Customer!$C$2:$C$126,MATCH(A79,Master_Customer!$A$2:$A$126,0))</f>
        <v>0</v>
      </c>
      <c r="D79" s="52" t="n">
        <f aca="false">SUM(E79:I79)</f>
        <v>0</v>
      </c>
      <c r="E79" s="52" t="n">
        <f aca="false">SUMIFS(Piutang!$M$2:$M$1751,Piutang!$C$2:$C$1751,$A79,Piutang!$P$2:$P$1751,"Belum Jatuh Tempo")</f>
        <v>0</v>
      </c>
      <c r="F79" s="52" t="n">
        <f aca="false">SUMIFS(Piutang!$M$2:$M$1751,Piutang!$C$2:$C$1751,$A79,Piutang!$P$2:$P$1751,"1-30 hari")</f>
        <v>0</v>
      </c>
      <c r="G79" s="52" t="n">
        <f aca="false">SUMIFS(Piutang!$M$2:$M$1751,Piutang!$C$2:$C$1751,$A79,Piutang!$P$2:$P$1751,"31-60 hari")</f>
        <v>0</v>
      </c>
      <c r="H79" s="52" t="n">
        <f aca="false">SUMIFS(Piutang!$M$2:$M$1751,Piutang!$C$2:$C$1751,$A79,Piutang!$P$2:$P$1751,"61-90 hari")</f>
        <v>0</v>
      </c>
      <c r="I79" s="52" t="n">
        <f aca="false">SUMIFS(Piutang!$M$2:$M$1751,Piutang!$C$2:$C$1751,$A79,Piutang!$P$2:$P$1751,"90+ hari")</f>
        <v>0</v>
      </c>
      <c r="J79" s="52" t="n">
        <f aca="false">SUM(F79:I79)</f>
        <v>0</v>
      </c>
      <c r="K79" s="55" t="n">
        <f aca="false">IF(D79=0,0,J79/D79)</f>
        <v>0</v>
      </c>
    </row>
    <row r="80" customFormat="false" ht="15" hidden="false" customHeight="false" outlineLevel="0" collapsed="false">
      <c r="A80" s="50" t="s">
        <v>1170</v>
      </c>
      <c r="B80" s="39" t="str">
        <f aca="false">INDEX(Master_Customer!$B$2:$B$126,MATCH(A80,Master_Customer!$A$2:$A$126,0))</f>
        <v>LANCAR SERVICE</v>
      </c>
      <c r="C80" s="39" t="n">
        <f aca="false">INDEX(Master_Customer!$C$2:$C$126,MATCH(A80,Master_Customer!$A$2:$A$126,0))</f>
        <v>30</v>
      </c>
      <c r="D80" s="52" t="n">
        <f aca="false">SUM(E80:I80)</f>
        <v>0</v>
      </c>
      <c r="E80" s="52" t="n">
        <f aca="false">SUMIFS(Piutang!$M$2:$M$1751,Piutang!$C$2:$C$1751,$A80,Piutang!$P$2:$P$1751,"Belum Jatuh Tempo")</f>
        <v>0</v>
      </c>
      <c r="F80" s="52" t="n">
        <f aca="false">SUMIFS(Piutang!$M$2:$M$1751,Piutang!$C$2:$C$1751,$A80,Piutang!$P$2:$P$1751,"1-30 hari")</f>
        <v>0</v>
      </c>
      <c r="G80" s="52" t="n">
        <f aca="false">SUMIFS(Piutang!$M$2:$M$1751,Piutang!$C$2:$C$1751,$A80,Piutang!$P$2:$P$1751,"31-60 hari")</f>
        <v>0</v>
      </c>
      <c r="H80" s="52" t="n">
        <f aca="false">SUMIFS(Piutang!$M$2:$M$1751,Piutang!$C$2:$C$1751,$A80,Piutang!$P$2:$P$1751,"61-90 hari")</f>
        <v>0</v>
      </c>
      <c r="I80" s="52" t="n">
        <f aca="false">SUMIFS(Piutang!$M$2:$M$1751,Piutang!$C$2:$C$1751,$A80,Piutang!$P$2:$P$1751,"90+ hari")</f>
        <v>0</v>
      </c>
      <c r="J80" s="52" t="n">
        <f aca="false">SUM(F80:I80)</f>
        <v>0</v>
      </c>
      <c r="K80" s="55" t="n">
        <f aca="false">IF(D80=0,0,J80/D80)</f>
        <v>0</v>
      </c>
    </row>
    <row r="81" customFormat="false" ht="15" hidden="false" customHeight="false" outlineLevel="0" collapsed="false">
      <c r="A81" s="50" t="s">
        <v>186</v>
      </c>
      <c r="B81" s="39" t="str">
        <f aca="false">INDEX(Master_Customer!$B$2:$B$126,MATCH(A81,Master_Customer!$A$2:$A$126,0))</f>
        <v>MULIA SPAREPART</v>
      </c>
      <c r="C81" s="39" t="n">
        <f aca="false">INDEX(Master_Customer!$C$2:$C$126,MATCH(A81,Master_Customer!$A$2:$A$126,0))</f>
        <v>30</v>
      </c>
      <c r="D81" s="52" t="n">
        <f aca="false">SUM(E81:I81)</f>
        <v>0</v>
      </c>
      <c r="E81" s="52" t="n">
        <f aca="false">SUMIFS(Piutang!$M$2:$M$1751,Piutang!$C$2:$C$1751,$A81,Piutang!$P$2:$P$1751,"Belum Jatuh Tempo")</f>
        <v>0</v>
      </c>
      <c r="F81" s="52" t="n">
        <f aca="false">SUMIFS(Piutang!$M$2:$M$1751,Piutang!$C$2:$C$1751,$A81,Piutang!$P$2:$P$1751,"1-30 hari")</f>
        <v>0</v>
      </c>
      <c r="G81" s="52" t="n">
        <f aca="false">SUMIFS(Piutang!$M$2:$M$1751,Piutang!$C$2:$C$1751,$A81,Piutang!$P$2:$P$1751,"31-60 hari")</f>
        <v>0</v>
      </c>
      <c r="H81" s="52" t="n">
        <f aca="false">SUMIFS(Piutang!$M$2:$M$1751,Piutang!$C$2:$C$1751,$A81,Piutang!$P$2:$P$1751,"61-90 hari")</f>
        <v>0</v>
      </c>
      <c r="I81" s="52" t="n">
        <f aca="false">SUMIFS(Piutang!$M$2:$M$1751,Piutang!$C$2:$C$1751,$A81,Piutang!$P$2:$P$1751,"90+ hari")</f>
        <v>0</v>
      </c>
      <c r="J81" s="52" t="n">
        <f aca="false">SUM(F81:I81)</f>
        <v>0</v>
      </c>
      <c r="K81" s="55" t="n">
        <f aca="false">IF(D81=0,0,J81/D81)</f>
        <v>0</v>
      </c>
    </row>
    <row r="82" customFormat="false" ht="15" hidden="false" customHeight="false" outlineLevel="0" collapsed="false">
      <c r="A82" s="50" t="s">
        <v>325</v>
      </c>
      <c r="B82" s="39" t="str">
        <f aca="false">INDEX(Master_Customer!$B$2:$B$126,MATCH(A82,Master_Customer!$A$2:$A$126,0))</f>
        <v>KARYA TEKNIK TIRTA</v>
      </c>
      <c r="C82" s="39" t="n">
        <f aca="false">INDEX(Master_Customer!$C$2:$C$126,MATCH(A82,Master_Customer!$A$2:$A$126,0))</f>
        <v>14</v>
      </c>
      <c r="D82" s="52" t="n">
        <f aca="false">SUM(E82:I82)</f>
        <v>0</v>
      </c>
      <c r="E82" s="52" t="n">
        <f aca="false">SUMIFS(Piutang!$M$2:$M$1751,Piutang!$C$2:$C$1751,$A82,Piutang!$P$2:$P$1751,"Belum Jatuh Tempo")</f>
        <v>0</v>
      </c>
      <c r="F82" s="52" t="n">
        <f aca="false">SUMIFS(Piutang!$M$2:$M$1751,Piutang!$C$2:$C$1751,$A82,Piutang!$P$2:$P$1751,"1-30 hari")</f>
        <v>0</v>
      </c>
      <c r="G82" s="52" t="n">
        <f aca="false">SUMIFS(Piutang!$M$2:$M$1751,Piutang!$C$2:$C$1751,$A82,Piutang!$P$2:$P$1751,"31-60 hari")</f>
        <v>0</v>
      </c>
      <c r="H82" s="52" t="n">
        <f aca="false">SUMIFS(Piutang!$M$2:$M$1751,Piutang!$C$2:$C$1751,$A82,Piutang!$P$2:$P$1751,"61-90 hari")</f>
        <v>0</v>
      </c>
      <c r="I82" s="52" t="n">
        <f aca="false">SUMIFS(Piutang!$M$2:$M$1751,Piutang!$C$2:$C$1751,$A82,Piutang!$P$2:$P$1751,"90+ hari")</f>
        <v>0</v>
      </c>
      <c r="J82" s="52" t="n">
        <f aca="false">SUM(F82:I82)</f>
        <v>0</v>
      </c>
      <c r="K82" s="55" t="n">
        <f aca="false">IF(D82=0,0,J82/D82)</f>
        <v>0</v>
      </c>
    </row>
    <row r="83" customFormat="false" ht="15" hidden="false" customHeight="false" outlineLevel="0" collapsed="false">
      <c r="A83" s="50" t="s">
        <v>403</v>
      </c>
      <c r="B83" s="39" t="str">
        <f aca="false">INDEX(Master_Customer!$B$2:$B$126,MATCH(A83,Master_Customer!$A$2:$A$126,0))</f>
        <v>BINTANG TEKNIK HARAPAN</v>
      </c>
      <c r="C83" s="39" t="n">
        <f aca="false">INDEX(Master_Customer!$C$2:$C$126,MATCH(A83,Master_Customer!$A$2:$A$126,0))</f>
        <v>14</v>
      </c>
      <c r="D83" s="52" t="n">
        <f aca="false">SUM(E83:I83)</f>
        <v>0</v>
      </c>
      <c r="E83" s="52" t="n">
        <f aca="false">SUMIFS(Piutang!$M$2:$M$1751,Piutang!$C$2:$C$1751,$A83,Piutang!$P$2:$P$1751,"Belum Jatuh Tempo")</f>
        <v>0</v>
      </c>
      <c r="F83" s="52" t="n">
        <f aca="false">SUMIFS(Piutang!$M$2:$M$1751,Piutang!$C$2:$C$1751,$A83,Piutang!$P$2:$P$1751,"1-30 hari")</f>
        <v>0</v>
      </c>
      <c r="G83" s="52" t="n">
        <f aca="false">SUMIFS(Piutang!$M$2:$M$1751,Piutang!$C$2:$C$1751,$A83,Piutang!$P$2:$P$1751,"31-60 hari")</f>
        <v>0</v>
      </c>
      <c r="H83" s="52" t="n">
        <f aca="false">SUMIFS(Piutang!$M$2:$M$1751,Piutang!$C$2:$C$1751,$A83,Piutang!$P$2:$P$1751,"61-90 hari")</f>
        <v>0</v>
      </c>
      <c r="I83" s="52" t="n">
        <f aca="false">SUMIFS(Piutang!$M$2:$M$1751,Piutang!$C$2:$C$1751,$A83,Piutang!$P$2:$P$1751,"90+ hari")</f>
        <v>0</v>
      </c>
      <c r="J83" s="52" t="n">
        <f aca="false">SUM(F83:I83)</f>
        <v>0</v>
      </c>
      <c r="K83" s="55" t="n">
        <f aca="false">IF(D83=0,0,J83/D83)</f>
        <v>0</v>
      </c>
    </row>
    <row r="84" customFormat="false" ht="15" hidden="false" customHeight="false" outlineLevel="0" collapsed="false">
      <c r="A84" s="50" t="s">
        <v>308</v>
      </c>
      <c r="B84" s="39" t="str">
        <f aca="false">INDEX(Master_Customer!$B$2:$B$126,MATCH(A84,Master_Customer!$A$2:$A$126,0))</f>
        <v>CAHAYA MOBIL</v>
      </c>
      <c r="C84" s="39" t="n">
        <f aca="false">INDEX(Master_Customer!$C$2:$C$126,MATCH(A84,Master_Customer!$A$2:$A$126,0))</f>
        <v>14</v>
      </c>
      <c r="D84" s="52" t="n">
        <f aca="false">SUM(E84:I84)</f>
        <v>0</v>
      </c>
      <c r="E84" s="52" t="n">
        <f aca="false">SUMIFS(Piutang!$M$2:$M$1751,Piutang!$C$2:$C$1751,$A84,Piutang!$P$2:$P$1751,"Belum Jatuh Tempo")</f>
        <v>0</v>
      </c>
      <c r="F84" s="52" t="n">
        <f aca="false">SUMIFS(Piutang!$M$2:$M$1751,Piutang!$C$2:$C$1751,$A84,Piutang!$P$2:$P$1751,"1-30 hari")</f>
        <v>0</v>
      </c>
      <c r="G84" s="52" t="n">
        <f aca="false">SUMIFS(Piutang!$M$2:$M$1751,Piutang!$C$2:$C$1751,$A84,Piutang!$P$2:$P$1751,"31-60 hari")</f>
        <v>0</v>
      </c>
      <c r="H84" s="52" t="n">
        <f aca="false">SUMIFS(Piutang!$M$2:$M$1751,Piutang!$C$2:$C$1751,$A84,Piutang!$P$2:$P$1751,"61-90 hari")</f>
        <v>0</v>
      </c>
      <c r="I84" s="52" t="n">
        <f aca="false">SUMIFS(Piutang!$M$2:$M$1751,Piutang!$C$2:$C$1751,$A84,Piutang!$P$2:$P$1751,"90+ hari")</f>
        <v>0</v>
      </c>
      <c r="J84" s="52" t="n">
        <f aca="false">SUM(F84:I84)</f>
        <v>0</v>
      </c>
      <c r="K84" s="55" t="n">
        <f aca="false">IF(D84=0,0,J84/D84)</f>
        <v>0</v>
      </c>
    </row>
    <row r="85" customFormat="false" ht="15" hidden="false" customHeight="false" outlineLevel="0" collapsed="false">
      <c r="A85" s="50" t="s">
        <v>373</v>
      </c>
      <c r="B85" s="39" t="str">
        <f aca="false">INDEX(Master_Customer!$B$2:$B$126,MATCH(A85,Master_Customer!$A$2:$A$126,0))</f>
        <v>BINTANG SPAREPART BERKAH</v>
      </c>
      <c r="C85" s="39" t="n">
        <f aca="false">INDEX(Master_Customer!$C$2:$C$126,MATCH(A85,Master_Customer!$A$2:$A$126,0))</f>
        <v>14</v>
      </c>
      <c r="D85" s="52" t="n">
        <f aca="false">SUM(E85:I85)</f>
        <v>0</v>
      </c>
      <c r="E85" s="52" t="n">
        <f aca="false">SUMIFS(Piutang!$M$2:$M$1751,Piutang!$C$2:$C$1751,$A85,Piutang!$P$2:$P$1751,"Belum Jatuh Tempo")</f>
        <v>0</v>
      </c>
      <c r="F85" s="52" t="n">
        <f aca="false">SUMIFS(Piutang!$M$2:$M$1751,Piutang!$C$2:$C$1751,$A85,Piutang!$P$2:$P$1751,"1-30 hari")</f>
        <v>0</v>
      </c>
      <c r="G85" s="52" t="n">
        <f aca="false">SUMIFS(Piutang!$M$2:$M$1751,Piutang!$C$2:$C$1751,$A85,Piutang!$P$2:$P$1751,"31-60 hari")</f>
        <v>0</v>
      </c>
      <c r="H85" s="52" t="n">
        <f aca="false">SUMIFS(Piutang!$M$2:$M$1751,Piutang!$C$2:$C$1751,$A85,Piutang!$P$2:$P$1751,"61-90 hari")</f>
        <v>0</v>
      </c>
      <c r="I85" s="52" t="n">
        <f aca="false">SUMIFS(Piutang!$M$2:$M$1751,Piutang!$C$2:$C$1751,$A85,Piutang!$P$2:$P$1751,"90+ hari")</f>
        <v>0</v>
      </c>
      <c r="J85" s="52" t="n">
        <f aca="false">SUM(F85:I85)</f>
        <v>0</v>
      </c>
      <c r="K85" s="55" t="n">
        <f aca="false">IF(D85=0,0,J85/D85)</f>
        <v>0</v>
      </c>
    </row>
    <row r="86" customFormat="false" ht="15" hidden="false" customHeight="false" outlineLevel="0" collapsed="false">
      <c r="A86" s="50" t="s">
        <v>278</v>
      </c>
      <c r="B86" s="39" t="str">
        <f aca="false">INDEX(Master_Customer!$B$2:$B$126,MATCH(A86,Master_Customer!$A$2:$A$126,0))</f>
        <v>SURYA MOTOR</v>
      </c>
      <c r="C86" s="39" t="n">
        <f aca="false">INDEX(Master_Customer!$C$2:$C$126,MATCH(A86,Master_Customer!$A$2:$A$126,0))</f>
        <v>14</v>
      </c>
      <c r="D86" s="52" t="n">
        <f aca="false">SUM(E86:I86)</f>
        <v>0</v>
      </c>
      <c r="E86" s="52" t="n">
        <f aca="false">SUMIFS(Piutang!$M$2:$M$1751,Piutang!$C$2:$C$1751,$A86,Piutang!$P$2:$P$1751,"Belum Jatuh Tempo")</f>
        <v>0</v>
      </c>
      <c r="F86" s="52" t="n">
        <f aca="false">SUMIFS(Piutang!$M$2:$M$1751,Piutang!$C$2:$C$1751,$A86,Piutang!$P$2:$P$1751,"1-30 hari")</f>
        <v>0</v>
      </c>
      <c r="G86" s="52" t="n">
        <f aca="false">SUMIFS(Piutang!$M$2:$M$1751,Piutang!$C$2:$C$1751,$A86,Piutang!$P$2:$P$1751,"31-60 hari")</f>
        <v>0</v>
      </c>
      <c r="H86" s="52" t="n">
        <f aca="false">SUMIFS(Piutang!$M$2:$M$1751,Piutang!$C$2:$C$1751,$A86,Piutang!$P$2:$P$1751,"61-90 hari")</f>
        <v>0</v>
      </c>
      <c r="I86" s="52" t="n">
        <f aca="false">SUMIFS(Piutang!$M$2:$M$1751,Piutang!$C$2:$C$1751,$A86,Piutang!$P$2:$P$1751,"90+ hari")</f>
        <v>0</v>
      </c>
      <c r="J86" s="52" t="n">
        <f aca="false">SUM(F86:I86)</f>
        <v>0</v>
      </c>
      <c r="K86" s="55" t="n">
        <f aca="false">IF(D86=0,0,J86/D86)</f>
        <v>0</v>
      </c>
    </row>
    <row r="87" customFormat="false" ht="15" hidden="false" customHeight="false" outlineLevel="0" collapsed="false">
      <c r="A87" s="50" t="s">
        <v>447</v>
      </c>
      <c r="B87" s="39" t="str">
        <f aca="false">INDEX(Master_Customer!$B$2:$B$126,MATCH(A87,Master_Customer!$A$2:$A$126,0))</f>
        <v>PRIMA LUBRICANT</v>
      </c>
      <c r="C87" s="39" t="n">
        <f aca="false">INDEX(Master_Customer!$C$2:$C$126,MATCH(A87,Master_Customer!$A$2:$A$126,0))</f>
        <v>30</v>
      </c>
      <c r="D87" s="52" t="n">
        <f aca="false">SUM(E87:I87)</f>
        <v>0</v>
      </c>
      <c r="E87" s="52" t="n">
        <f aca="false">SUMIFS(Piutang!$M$2:$M$1751,Piutang!$C$2:$C$1751,$A87,Piutang!$P$2:$P$1751,"Belum Jatuh Tempo")</f>
        <v>0</v>
      </c>
      <c r="F87" s="52" t="n">
        <f aca="false">SUMIFS(Piutang!$M$2:$M$1751,Piutang!$C$2:$C$1751,$A87,Piutang!$P$2:$P$1751,"1-30 hari")</f>
        <v>0</v>
      </c>
      <c r="G87" s="52" t="n">
        <f aca="false">SUMIFS(Piutang!$M$2:$M$1751,Piutang!$C$2:$C$1751,$A87,Piutang!$P$2:$P$1751,"31-60 hari")</f>
        <v>0</v>
      </c>
      <c r="H87" s="52" t="n">
        <f aca="false">SUMIFS(Piutang!$M$2:$M$1751,Piutang!$C$2:$C$1751,$A87,Piutang!$P$2:$P$1751,"61-90 hari")</f>
        <v>0</v>
      </c>
      <c r="I87" s="52" t="n">
        <f aca="false">SUMIFS(Piutang!$M$2:$M$1751,Piutang!$C$2:$C$1751,$A87,Piutang!$P$2:$P$1751,"90+ hari")</f>
        <v>0</v>
      </c>
      <c r="J87" s="52" t="n">
        <f aca="false">SUM(F87:I87)</f>
        <v>0</v>
      </c>
      <c r="K87" s="55" t="n">
        <f aca="false">IF(D87=0,0,J87/D87)</f>
        <v>0</v>
      </c>
    </row>
    <row r="88" customFormat="false" ht="15" hidden="false" customHeight="false" outlineLevel="0" collapsed="false">
      <c r="A88" s="50" t="s">
        <v>395</v>
      </c>
      <c r="B88" s="39" t="str">
        <f aca="false">INDEX(Master_Customer!$B$2:$B$126,MATCH(A88,Master_Customer!$A$2:$A$126,0))</f>
        <v>TIRTA SERVICE</v>
      </c>
      <c r="C88" s="39" t="n">
        <f aca="false">INDEX(Master_Customer!$C$2:$C$126,MATCH(A88,Master_Customer!$A$2:$A$126,0))</f>
        <v>0</v>
      </c>
      <c r="D88" s="52" t="n">
        <f aca="false">SUM(E88:I88)</f>
        <v>0</v>
      </c>
      <c r="E88" s="52" t="n">
        <f aca="false">SUMIFS(Piutang!$M$2:$M$1751,Piutang!$C$2:$C$1751,$A88,Piutang!$P$2:$P$1751,"Belum Jatuh Tempo")</f>
        <v>0</v>
      </c>
      <c r="F88" s="52" t="n">
        <f aca="false">SUMIFS(Piutang!$M$2:$M$1751,Piutang!$C$2:$C$1751,$A88,Piutang!$P$2:$P$1751,"1-30 hari")</f>
        <v>0</v>
      </c>
      <c r="G88" s="52" t="n">
        <f aca="false">SUMIFS(Piutang!$M$2:$M$1751,Piutang!$C$2:$C$1751,$A88,Piutang!$P$2:$P$1751,"31-60 hari")</f>
        <v>0</v>
      </c>
      <c r="H88" s="52" t="n">
        <f aca="false">SUMIFS(Piutang!$M$2:$M$1751,Piutang!$C$2:$C$1751,$A88,Piutang!$P$2:$P$1751,"61-90 hari")</f>
        <v>0</v>
      </c>
      <c r="I88" s="52" t="n">
        <f aca="false">SUMIFS(Piutang!$M$2:$M$1751,Piutang!$C$2:$C$1751,$A88,Piutang!$P$2:$P$1751,"90+ hari")</f>
        <v>0</v>
      </c>
      <c r="J88" s="52" t="n">
        <f aca="false">SUM(F88:I88)</f>
        <v>0</v>
      </c>
      <c r="K88" s="55" t="n">
        <f aca="false">IF(D88=0,0,J88/D88)</f>
        <v>0</v>
      </c>
    </row>
    <row r="89" customFormat="false" ht="15" hidden="false" customHeight="false" outlineLevel="0" collapsed="false">
      <c r="A89" s="50" t="s">
        <v>286</v>
      </c>
      <c r="B89" s="39" t="str">
        <f aca="false">INDEX(Master_Customer!$B$2:$B$126,MATCH(A89,Master_Customer!$A$2:$A$126,0))</f>
        <v>CAHAYA AUTO</v>
      </c>
      <c r="C89" s="39" t="n">
        <f aca="false">INDEX(Master_Customer!$C$2:$C$126,MATCH(A89,Master_Customer!$A$2:$A$126,0))</f>
        <v>0</v>
      </c>
      <c r="D89" s="52" t="n">
        <f aca="false">SUM(E89:I89)</f>
        <v>0</v>
      </c>
      <c r="E89" s="52" t="n">
        <f aca="false">SUMIFS(Piutang!$M$2:$M$1751,Piutang!$C$2:$C$1751,$A89,Piutang!$P$2:$P$1751,"Belum Jatuh Tempo")</f>
        <v>0</v>
      </c>
      <c r="F89" s="52" t="n">
        <f aca="false">SUMIFS(Piutang!$M$2:$M$1751,Piutang!$C$2:$C$1751,$A89,Piutang!$P$2:$P$1751,"1-30 hari")</f>
        <v>0</v>
      </c>
      <c r="G89" s="52" t="n">
        <f aca="false">SUMIFS(Piutang!$M$2:$M$1751,Piutang!$C$2:$C$1751,$A89,Piutang!$P$2:$P$1751,"31-60 hari")</f>
        <v>0</v>
      </c>
      <c r="H89" s="52" t="n">
        <f aca="false">SUMIFS(Piutang!$M$2:$M$1751,Piutang!$C$2:$C$1751,$A89,Piutang!$P$2:$P$1751,"61-90 hari")</f>
        <v>0</v>
      </c>
      <c r="I89" s="52" t="n">
        <f aca="false">SUMIFS(Piutang!$M$2:$M$1751,Piutang!$C$2:$C$1751,$A89,Piutang!$P$2:$P$1751,"90+ hari")</f>
        <v>0</v>
      </c>
      <c r="J89" s="52" t="n">
        <f aca="false">SUM(F89:I89)</f>
        <v>0</v>
      </c>
      <c r="K89" s="55" t="n">
        <f aca="false">IF(D89=0,0,J89/D89)</f>
        <v>0</v>
      </c>
    </row>
    <row r="90" customFormat="false" ht="15" hidden="false" customHeight="false" outlineLevel="0" collapsed="false">
      <c r="A90" s="50" t="s">
        <v>241</v>
      </c>
      <c r="B90" s="39" t="str">
        <f aca="false">INDEX(Master_Customer!$B$2:$B$126,MATCH(A90,Master_Customer!$A$2:$A$126,0))</f>
        <v>GEMILANG GARAGE TIRTA</v>
      </c>
      <c r="C90" s="39" t="n">
        <f aca="false">INDEX(Master_Customer!$C$2:$C$126,MATCH(A90,Master_Customer!$A$2:$A$126,0))</f>
        <v>14</v>
      </c>
      <c r="D90" s="52" t="n">
        <f aca="false">SUM(E90:I90)</f>
        <v>0</v>
      </c>
      <c r="E90" s="52" t="n">
        <f aca="false">SUMIFS(Piutang!$M$2:$M$1751,Piutang!$C$2:$C$1751,$A90,Piutang!$P$2:$P$1751,"Belum Jatuh Tempo")</f>
        <v>0</v>
      </c>
      <c r="F90" s="52" t="n">
        <f aca="false">SUMIFS(Piutang!$M$2:$M$1751,Piutang!$C$2:$C$1751,$A90,Piutang!$P$2:$P$1751,"1-30 hari")</f>
        <v>0</v>
      </c>
      <c r="G90" s="52" t="n">
        <f aca="false">SUMIFS(Piutang!$M$2:$M$1751,Piutang!$C$2:$C$1751,$A90,Piutang!$P$2:$P$1751,"31-60 hari")</f>
        <v>0</v>
      </c>
      <c r="H90" s="52" t="n">
        <f aca="false">SUMIFS(Piutang!$M$2:$M$1751,Piutang!$C$2:$C$1751,$A90,Piutang!$P$2:$P$1751,"61-90 hari")</f>
        <v>0</v>
      </c>
      <c r="I90" s="52" t="n">
        <f aca="false">SUMIFS(Piutang!$M$2:$M$1751,Piutang!$C$2:$C$1751,$A90,Piutang!$P$2:$P$1751,"90+ hari")</f>
        <v>0</v>
      </c>
      <c r="J90" s="52" t="n">
        <f aca="false">SUM(F90:I90)</f>
        <v>0</v>
      </c>
      <c r="K90" s="55" t="n">
        <f aca="false">IF(D90=0,0,J90/D90)</f>
        <v>0</v>
      </c>
    </row>
    <row r="91" customFormat="false" ht="15" hidden="false" customHeight="false" outlineLevel="0" collapsed="false">
      <c r="A91" s="50" t="s">
        <v>266</v>
      </c>
      <c r="B91" s="39" t="str">
        <f aca="false">INDEX(Master_Customer!$B$2:$B$126,MATCH(A91,Master_Customer!$A$2:$A$126,0))</f>
        <v>BERKAH LUBRICANT SURYA</v>
      </c>
      <c r="C91" s="39" t="n">
        <f aca="false">INDEX(Master_Customer!$C$2:$C$126,MATCH(A91,Master_Customer!$A$2:$A$126,0))</f>
        <v>30</v>
      </c>
      <c r="D91" s="52" t="n">
        <f aca="false">SUM(E91:I91)</f>
        <v>0</v>
      </c>
      <c r="E91" s="52" t="n">
        <f aca="false">SUMIFS(Piutang!$M$2:$M$1751,Piutang!$C$2:$C$1751,$A91,Piutang!$P$2:$P$1751,"Belum Jatuh Tempo")</f>
        <v>0</v>
      </c>
      <c r="F91" s="52" t="n">
        <f aca="false">SUMIFS(Piutang!$M$2:$M$1751,Piutang!$C$2:$C$1751,$A91,Piutang!$P$2:$P$1751,"1-30 hari")</f>
        <v>0</v>
      </c>
      <c r="G91" s="52" t="n">
        <f aca="false">SUMIFS(Piutang!$M$2:$M$1751,Piutang!$C$2:$C$1751,$A91,Piutang!$P$2:$P$1751,"31-60 hari")</f>
        <v>0</v>
      </c>
      <c r="H91" s="52" t="n">
        <f aca="false">SUMIFS(Piutang!$M$2:$M$1751,Piutang!$C$2:$C$1751,$A91,Piutang!$P$2:$P$1751,"61-90 hari")</f>
        <v>0</v>
      </c>
      <c r="I91" s="52" t="n">
        <f aca="false">SUMIFS(Piutang!$M$2:$M$1751,Piutang!$C$2:$C$1751,$A91,Piutang!$P$2:$P$1751,"90+ hari")</f>
        <v>0</v>
      </c>
      <c r="J91" s="52" t="n">
        <f aca="false">SUM(F91:I91)</f>
        <v>0</v>
      </c>
      <c r="K91" s="55" t="n">
        <f aca="false">IF(D91=0,0,J91/D91)</f>
        <v>0</v>
      </c>
    </row>
    <row r="92" customFormat="false" ht="15" hidden="false" customHeight="false" outlineLevel="0" collapsed="false">
      <c r="A92" s="50" t="s">
        <v>405</v>
      </c>
      <c r="B92" s="39" t="str">
        <f aca="false">INDEX(Master_Customer!$B$2:$B$126,MATCH(A92,Master_Customer!$A$2:$A$126,0))</f>
        <v>BINTANG BENGKEL HARAPAN</v>
      </c>
      <c r="C92" s="39" t="n">
        <f aca="false">INDEX(Master_Customer!$C$2:$C$126,MATCH(A92,Master_Customer!$A$2:$A$126,0))</f>
        <v>14</v>
      </c>
      <c r="D92" s="52" t="n">
        <f aca="false">SUM(E92:I92)</f>
        <v>0</v>
      </c>
      <c r="E92" s="52" t="n">
        <f aca="false">SUMIFS(Piutang!$M$2:$M$1751,Piutang!$C$2:$C$1751,$A92,Piutang!$P$2:$P$1751,"Belum Jatuh Tempo")</f>
        <v>0</v>
      </c>
      <c r="F92" s="52" t="n">
        <f aca="false">SUMIFS(Piutang!$M$2:$M$1751,Piutang!$C$2:$C$1751,$A92,Piutang!$P$2:$P$1751,"1-30 hari")</f>
        <v>0</v>
      </c>
      <c r="G92" s="52" t="n">
        <f aca="false">SUMIFS(Piutang!$M$2:$M$1751,Piutang!$C$2:$C$1751,$A92,Piutang!$P$2:$P$1751,"31-60 hari")</f>
        <v>0</v>
      </c>
      <c r="H92" s="52" t="n">
        <f aca="false">SUMIFS(Piutang!$M$2:$M$1751,Piutang!$C$2:$C$1751,$A92,Piutang!$P$2:$P$1751,"61-90 hari")</f>
        <v>0</v>
      </c>
      <c r="I92" s="52" t="n">
        <f aca="false">SUMIFS(Piutang!$M$2:$M$1751,Piutang!$C$2:$C$1751,$A92,Piutang!$P$2:$P$1751,"90+ hari")</f>
        <v>0</v>
      </c>
      <c r="J92" s="52" t="n">
        <f aca="false">SUM(F92:I92)</f>
        <v>0</v>
      </c>
      <c r="K92" s="55" t="n">
        <f aca="false">IF(D92=0,0,J92/D92)</f>
        <v>0</v>
      </c>
    </row>
    <row r="93" customFormat="false" ht="15" hidden="false" customHeight="false" outlineLevel="0" collapsed="false">
      <c r="A93" s="50" t="s">
        <v>261</v>
      </c>
      <c r="B93" s="39" t="str">
        <f aca="false">INDEX(Master_Customer!$B$2:$B$126,MATCH(A93,Master_Customer!$A$2:$A$126,0))</f>
        <v>SUMBER MOTOR UTAMA</v>
      </c>
      <c r="C93" s="39" t="n">
        <f aca="false">INDEX(Master_Customer!$C$2:$C$126,MATCH(A93,Master_Customer!$A$2:$A$126,0))</f>
        <v>0</v>
      </c>
      <c r="D93" s="52" t="n">
        <f aca="false">SUM(E93:I93)</f>
        <v>0</v>
      </c>
      <c r="E93" s="52" t="n">
        <f aca="false">SUMIFS(Piutang!$M$2:$M$1751,Piutang!$C$2:$C$1751,$A93,Piutang!$P$2:$P$1751,"Belum Jatuh Tempo")</f>
        <v>0</v>
      </c>
      <c r="F93" s="52" t="n">
        <f aca="false">SUMIFS(Piutang!$M$2:$M$1751,Piutang!$C$2:$C$1751,$A93,Piutang!$P$2:$P$1751,"1-30 hari")</f>
        <v>0</v>
      </c>
      <c r="G93" s="52" t="n">
        <f aca="false">SUMIFS(Piutang!$M$2:$M$1751,Piutang!$C$2:$C$1751,$A93,Piutang!$P$2:$P$1751,"31-60 hari")</f>
        <v>0</v>
      </c>
      <c r="H93" s="52" t="n">
        <f aca="false">SUMIFS(Piutang!$M$2:$M$1751,Piutang!$C$2:$C$1751,$A93,Piutang!$P$2:$P$1751,"61-90 hari")</f>
        <v>0</v>
      </c>
      <c r="I93" s="52" t="n">
        <f aca="false">SUMIFS(Piutang!$M$2:$M$1751,Piutang!$C$2:$C$1751,$A93,Piutang!$P$2:$P$1751,"90+ hari")</f>
        <v>0</v>
      </c>
      <c r="J93" s="52" t="n">
        <f aca="false">SUM(F93:I93)</f>
        <v>0</v>
      </c>
      <c r="K93" s="55" t="n">
        <f aca="false">IF(D93=0,0,J93/D93)</f>
        <v>0</v>
      </c>
    </row>
    <row r="94" customFormat="false" ht="15" hidden="false" customHeight="false" outlineLevel="0" collapsed="false">
      <c r="A94" s="50" t="s">
        <v>1738</v>
      </c>
      <c r="B94" s="39" t="str">
        <f aca="false">INDEX(Master_Customer!$B$2:$B$126,MATCH(A94,Master_Customer!$A$2:$A$126,0))</f>
        <v>HARAPAN OLI</v>
      </c>
      <c r="C94" s="39" t="n">
        <f aca="false">INDEX(Master_Customer!$C$2:$C$126,MATCH(A94,Master_Customer!$A$2:$A$126,0))</f>
        <v>45</v>
      </c>
      <c r="D94" s="52" t="n">
        <f aca="false">SUM(E94:I94)</f>
        <v>0</v>
      </c>
      <c r="E94" s="52" t="n">
        <f aca="false">SUMIFS(Piutang!$M$2:$M$1751,Piutang!$C$2:$C$1751,$A94,Piutang!$P$2:$P$1751,"Belum Jatuh Tempo")</f>
        <v>0</v>
      </c>
      <c r="F94" s="52" t="n">
        <f aca="false">SUMIFS(Piutang!$M$2:$M$1751,Piutang!$C$2:$C$1751,$A94,Piutang!$P$2:$P$1751,"1-30 hari")</f>
        <v>0</v>
      </c>
      <c r="G94" s="52" t="n">
        <f aca="false">SUMIFS(Piutang!$M$2:$M$1751,Piutang!$C$2:$C$1751,$A94,Piutang!$P$2:$P$1751,"31-60 hari")</f>
        <v>0</v>
      </c>
      <c r="H94" s="52" t="n">
        <f aca="false">SUMIFS(Piutang!$M$2:$M$1751,Piutang!$C$2:$C$1751,$A94,Piutang!$P$2:$P$1751,"61-90 hari")</f>
        <v>0</v>
      </c>
      <c r="I94" s="52" t="n">
        <f aca="false">SUMIFS(Piutang!$M$2:$M$1751,Piutang!$C$2:$C$1751,$A94,Piutang!$P$2:$P$1751,"90+ hari")</f>
        <v>0</v>
      </c>
      <c r="J94" s="52" t="n">
        <f aca="false">SUM(F94:I94)</f>
        <v>0</v>
      </c>
      <c r="K94" s="55" t="n">
        <f aca="false">IF(D94=0,0,J94/D94)</f>
        <v>0</v>
      </c>
    </row>
    <row r="95" customFormat="false" ht="15" hidden="false" customHeight="false" outlineLevel="0" collapsed="false">
      <c r="A95" s="50" t="s">
        <v>566</v>
      </c>
      <c r="B95" s="39" t="str">
        <f aca="false">INDEX(Master_Customer!$B$2:$B$126,MATCH(A95,Master_Customer!$A$2:$A$126,0))</f>
        <v>UTAMA OLI SUMBER</v>
      </c>
      <c r="C95" s="39" t="n">
        <f aca="false">INDEX(Master_Customer!$C$2:$C$126,MATCH(A95,Master_Customer!$A$2:$A$126,0))</f>
        <v>14</v>
      </c>
      <c r="D95" s="52" t="n">
        <f aca="false">SUM(E95:I95)</f>
        <v>0</v>
      </c>
      <c r="E95" s="52" t="n">
        <f aca="false">SUMIFS(Piutang!$M$2:$M$1751,Piutang!$C$2:$C$1751,$A95,Piutang!$P$2:$P$1751,"Belum Jatuh Tempo")</f>
        <v>0</v>
      </c>
      <c r="F95" s="52" t="n">
        <f aca="false">SUMIFS(Piutang!$M$2:$M$1751,Piutang!$C$2:$C$1751,$A95,Piutang!$P$2:$P$1751,"1-30 hari")</f>
        <v>0</v>
      </c>
      <c r="G95" s="52" t="n">
        <f aca="false">SUMIFS(Piutang!$M$2:$M$1751,Piutang!$C$2:$C$1751,$A95,Piutang!$P$2:$P$1751,"31-60 hari")</f>
        <v>0</v>
      </c>
      <c r="H95" s="52" t="n">
        <f aca="false">SUMIFS(Piutang!$M$2:$M$1751,Piutang!$C$2:$C$1751,$A95,Piutang!$P$2:$P$1751,"61-90 hari")</f>
        <v>0</v>
      </c>
      <c r="I95" s="52" t="n">
        <f aca="false">SUMIFS(Piutang!$M$2:$M$1751,Piutang!$C$2:$C$1751,$A95,Piutang!$P$2:$P$1751,"90+ hari")</f>
        <v>0</v>
      </c>
      <c r="J95" s="52" t="n">
        <f aca="false">SUM(F95:I95)</f>
        <v>0</v>
      </c>
      <c r="K95" s="55" t="n">
        <f aca="false">IF(D95=0,0,J95/D95)</f>
        <v>0</v>
      </c>
    </row>
    <row r="96" customFormat="false" ht="15" hidden="false" customHeight="false" outlineLevel="0" collapsed="false">
      <c r="A96" s="50" t="s">
        <v>310</v>
      </c>
      <c r="B96" s="39" t="str">
        <f aca="false">INDEX(Master_Customer!$B$2:$B$126,MATCH(A96,Master_Customer!$A$2:$A$126,0))</f>
        <v>UTAMA OLI BINTANG</v>
      </c>
      <c r="C96" s="39" t="n">
        <f aca="false">INDEX(Master_Customer!$C$2:$C$126,MATCH(A96,Master_Customer!$A$2:$A$126,0))</f>
        <v>14</v>
      </c>
      <c r="D96" s="52" t="n">
        <f aca="false">SUM(E96:I96)</f>
        <v>0</v>
      </c>
      <c r="E96" s="52" t="n">
        <f aca="false">SUMIFS(Piutang!$M$2:$M$1751,Piutang!$C$2:$C$1751,$A96,Piutang!$P$2:$P$1751,"Belum Jatuh Tempo")</f>
        <v>0</v>
      </c>
      <c r="F96" s="52" t="n">
        <f aca="false">SUMIFS(Piutang!$M$2:$M$1751,Piutang!$C$2:$C$1751,$A96,Piutang!$P$2:$P$1751,"1-30 hari")</f>
        <v>0</v>
      </c>
      <c r="G96" s="52" t="n">
        <f aca="false">SUMIFS(Piutang!$M$2:$M$1751,Piutang!$C$2:$C$1751,$A96,Piutang!$P$2:$P$1751,"31-60 hari")</f>
        <v>0</v>
      </c>
      <c r="H96" s="52" t="n">
        <f aca="false">SUMIFS(Piutang!$M$2:$M$1751,Piutang!$C$2:$C$1751,$A96,Piutang!$P$2:$P$1751,"61-90 hari")</f>
        <v>0</v>
      </c>
      <c r="I96" s="52" t="n">
        <f aca="false">SUMIFS(Piutang!$M$2:$M$1751,Piutang!$C$2:$C$1751,$A96,Piutang!$P$2:$P$1751,"90+ hari")</f>
        <v>0</v>
      </c>
      <c r="J96" s="52" t="n">
        <f aca="false">SUM(F96:I96)</f>
        <v>0</v>
      </c>
      <c r="K96" s="55" t="n">
        <f aca="false">IF(D96=0,0,J96/D96)</f>
        <v>0</v>
      </c>
    </row>
    <row r="97" customFormat="false" ht="15" hidden="false" customHeight="false" outlineLevel="0" collapsed="false">
      <c r="A97" s="50" t="s">
        <v>611</v>
      </c>
      <c r="B97" s="39" t="str">
        <f aca="false">INDEX(Master_Customer!$B$2:$B$126,MATCH(A97,Master_Customer!$A$2:$A$126,0))</f>
        <v>MULIA MOBIL MITRA</v>
      </c>
      <c r="C97" s="39" t="n">
        <f aca="false">INDEX(Master_Customer!$C$2:$C$126,MATCH(A97,Master_Customer!$A$2:$A$126,0))</f>
        <v>14</v>
      </c>
      <c r="D97" s="52" t="n">
        <f aca="false">SUM(E97:I97)</f>
        <v>0</v>
      </c>
      <c r="E97" s="52" t="n">
        <f aca="false">SUMIFS(Piutang!$M$2:$M$1751,Piutang!$C$2:$C$1751,$A97,Piutang!$P$2:$P$1751,"Belum Jatuh Tempo")</f>
        <v>0</v>
      </c>
      <c r="F97" s="52" t="n">
        <f aca="false">SUMIFS(Piutang!$M$2:$M$1751,Piutang!$C$2:$C$1751,$A97,Piutang!$P$2:$P$1751,"1-30 hari")</f>
        <v>0</v>
      </c>
      <c r="G97" s="52" t="n">
        <f aca="false">SUMIFS(Piutang!$M$2:$M$1751,Piutang!$C$2:$C$1751,$A97,Piutang!$P$2:$P$1751,"31-60 hari")</f>
        <v>0</v>
      </c>
      <c r="H97" s="52" t="n">
        <f aca="false">SUMIFS(Piutang!$M$2:$M$1751,Piutang!$C$2:$C$1751,$A97,Piutang!$P$2:$P$1751,"61-90 hari")</f>
        <v>0</v>
      </c>
      <c r="I97" s="52" t="n">
        <f aca="false">SUMIFS(Piutang!$M$2:$M$1751,Piutang!$C$2:$C$1751,$A97,Piutang!$P$2:$P$1751,"90+ hari")</f>
        <v>0</v>
      </c>
      <c r="J97" s="52" t="n">
        <f aca="false">SUM(F97:I97)</f>
        <v>0</v>
      </c>
      <c r="K97" s="55" t="n">
        <f aca="false">IF(D97=0,0,J97/D97)</f>
        <v>0</v>
      </c>
    </row>
    <row r="98" customFormat="false" ht="15" hidden="false" customHeight="false" outlineLevel="0" collapsed="false">
      <c r="A98" s="50" t="s">
        <v>955</v>
      </c>
      <c r="B98" s="39" t="str">
        <f aca="false">INDEX(Master_Customer!$B$2:$B$126,MATCH(A98,Master_Customer!$A$2:$A$126,0))</f>
        <v>GEMILANG BENGKEL SUMBER</v>
      </c>
      <c r="C98" s="39" t="n">
        <f aca="false">INDEX(Master_Customer!$C$2:$C$126,MATCH(A98,Master_Customer!$A$2:$A$126,0))</f>
        <v>30</v>
      </c>
      <c r="D98" s="52" t="n">
        <f aca="false">SUM(E98:I98)</f>
        <v>0</v>
      </c>
      <c r="E98" s="52" t="n">
        <f aca="false">SUMIFS(Piutang!$M$2:$M$1751,Piutang!$C$2:$C$1751,$A98,Piutang!$P$2:$P$1751,"Belum Jatuh Tempo")</f>
        <v>0</v>
      </c>
      <c r="F98" s="52" t="n">
        <f aca="false">SUMIFS(Piutang!$M$2:$M$1751,Piutang!$C$2:$C$1751,$A98,Piutang!$P$2:$P$1751,"1-30 hari")</f>
        <v>0</v>
      </c>
      <c r="G98" s="52" t="n">
        <f aca="false">SUMIFS(Piutang!$M$2:$M$1751,Piutang!$C$2:$C$1751,$A98,Piutang!$P$2:$P$1751,"31-60 hari")</f>
        <v>0</v>
      </c>
      <c r="H98" s="52" t="n">
        <f aca="false">SUMIFS(Piutang!$M$2:$M$1751,Piutang!$C$2:$C$1751,$A98,Piutang!$P$2:$P$1751,"61-90 hari")</f>
        <v>0</v>
      </c>
      <c r="I98" s="52" t="n">
        <f aca="false">SUMIFS(Piutang!$M$2:$M$1751,Piutang!$C$2:$C$1751,$A98,Piutang!$P$2:$P$1751,"90+ hari")</f>
        <v>0</v>
      </c>
      <c r="J98" s="52" t="n">
        <f aca="false">SUM(F98:I98)</f>
        <v>0</v>
      </c>
      <c r="K98" s="55" t="n">
        <f aca="false">IF(D98=0,0,J98/D98)</f>
        <v>0</v>
      </c>
    </row>
    <row r="99" customFormat="false" ht="15" hidden="false" customHeight="false" outlineLevel="0" collapsed="false">
      <c r="A99" s="50" t="s">
        <v>1048</v>
      </c>
      <c r="B99" s="39" t="str">
        <f aca="false">INDEX(Master_Customer!$B$2:$B$126,MATCH(A99,Master_Customer!$A$2:$A$126,0))</f>
        <v>ABADI LUBRICANT</v>
      </c>
      <c r="C99" s="39" t="n">
        <f aca="false">INDEX(Master_Customer!$C$2:$C$126,MATCH(A99,Master_Customer!$A$2:$A$126,0))</f>
        <v>30</v>
      </c>
      <c r="D99" s="52" t="n">
        <f aca="false">SUM(E99:I99)</f>
        <v>0</v>
      </c>
      <c r="E99" s="52" t="n">
        <f aca="false">SUMIFS(Piutang!$M$2:$M$1751,Piutang!$C$2:$C$1751,$A99,Piutang!$P$2:$P$1751,"Belum Jatuh Tempo")</f>
        <v>0</v>
      </c>
      <c r="F99" s="52" t="n">
        <f aca="false">SUMIFS(Piutang!$M$2:$M$1751,Piutang!$C$2:$C$1751,$A99,Piutang!$P$2:$P$1751,"1-30 hari")</f>
        <v>0</v>
      </c>
      <c r="G99" s="52" t="n">
        <f aca="false">SUMIFS(Piutang!$M$2:$M$1751,Piutang!$C$2:$C$1751,$A99,Piutang!$P$2:$P$1751,"31-60 hari")</f>
        <v>0</v>
      </c>
      <c r="H99" s="52" t="n">
        <f aca="false">SUMIFS(Piutang!$M$2:$M$1751,Piutang!$C$2:$C$1751,$A99,Piutang!$P$2:$P$1751,"61-90 hari")</f>
        <v>0</v>
      </c>
      <c r="I99" s="52" t="n">
        <f aca="false">SUMIFS(Piutang!$M$2:$M$1751,Piutang!$C$2:$C$1751,$A99,Piutang!$P$2:$P$1751,"90+ hari")</f>
        <v>0</v>
      </c>
      <c r="J99" s="52" t="n">
        <f aca="false">SUM(F99:I99)</f>
        <v>0</v>
      </c>
      <c r="K99" s="55" t="n">
        <f aca="false">IF(D99=0,0,J99/D99)</f>
        <v>0</v>
      </c>
    </row>
    <row r="100" customFormat="false" ht="15" hidden="false" customHeight="false" outlineLevel="0" collapsed="false">
      <c r="A100" s="50" t="s">
        <v>230</v>
      </c>
      <c r="B100" s="39" t="str">
        <f aca="false">INDEX(Master_Customer!$B$2:$B$126,MATCH(A100,Master_Customer!$A$2:$A$126,0))</f>
        <v>BINTANG MOBIL JAYA</v>
      </c>
      <c r="C100" s="39" t="n">
        <f aca="false">INDEX(Master_Customer!$C$2:$C$126,MATCH(A100,Master_Customer!$A$2:$A$126,0))</f>
        <v>45</v>
      </c>
      <c r="D100" s="52" t="n">
        <f aca="false">SUM(E100:I100)</f>
        <v>0</v>
      </c>
      <c r="E100" s="52" t="n">
        <f aca="false">SUMIFS(Piutang!$M$2:$M$1751,Piutang!$C$2:$C$1751,$A100,Piutang!$P$2:$P$1751,"Belum Jatuh Tempo")</f>
        <v>0</v>
      </c>
      <c r="F100" s="52" t="n">
        <f aca="false">SUMIFS(Piutang!$M$2:$M$1751,Piutang!$C$2:$C$1751,$A100,Piutang!$P$2:$P$1751,"1-30 hari")</f>
        <v>0</v>
      </c>
      <c r="G100" s="52" t="n">
        <f aca="false">SUMIFS(Piutang!$M$2:$M$1751,Piutang!$C$2:$C$1751,$A100,Piutang!$P$2:$P$1751,"31-60 hari")</f>
        <v>0</v>
      </c>
      <c r="H100" s="52" t="n">
        <f aca="false">SUMIFS(Piutang!$M$2:$M$1751,Piutang!$C$2:$C$1751,$A100,Piutang!$P$2:$P$1751,"61-90 hari")</f>
        <v>0</v>
      </c>
      <c r="I100" s="52" t="n">
        <f aca="false">SUMIFS(Piutang!$M$2:$M$1751,Piutang!$C$2:$C$1751,$A100,Piutang!$P$2:$P$1751,"90+ hari")</f>
        <v>0</v>
      </c>
      <c r="J100" s="52" t="n">
        <f aca="false">SUM(F100:I100)</f>
        <v>0</v>
      </c>
      <c r="K100" s="55" t="n">
        <f aca="false">IF(D100=0,0,J100/D100)</f>
        <v>0</v>
      </c>
    </row>
    <row r="101" customFormat="false" ht="15" hidden="false" customHeight="false" outlineLevel="0" collapsed="false">
      <c r="A101" s="50" t="s">
        <v>410</v>
      </c>
      <c r="B101" s="39" t="str">
        <f aca="false">INDEX(Master_Customer!$B$2:$B$126,MATCH(A101,Master_Customer!$A$2:$A$126,0))</f>
        <v>BINTANG SERVICE</v>
      </c>
      <c r="C101" s="39" t="n">
        <f aca="false">INDEX(Master_Customer!$C$2:$C$126,MATCH(A101,Master_Customer!$A$2:$A$126,0))</f>
        <v>14</v>
      </c>
      <c r="D101" s="52" t="n">
        <f aca="false">SUM(E101:I101)</f>
        <v>0</v>
      </c>
      <c r="E101" s="52" t="n">
        <f aca="false">SUMIFS(Piutang!$M$2:$M$1751,Piutang!$C$2:$C$1751,$A101,Piutang!$P$2:$P$1751,"Belum Jatuh Tempo")</f>
        <v>0</v>
      </c>
      <c r="F101" s="52" t="n">
        <f aca="false">SUMIFS(Piutang!$M$2:$M$1751,Piutang!$C$2:$C$1751,$A101,Piutang!$P$2:$P$1751,"1-30 hari")</f>
        <v>0</v>
      </c>
      <c r="G101" s="52" t="n">
        <f aca="false">SUMIFS(Piutang!$M$2:$M$1751,Piutang!$C$2:$C$1751,$A101,Piutang!$P$2:$P$1751,"31-60 hari")</f>
        <v>0</v>
      </c>
      <c r="H101" s="52" t="n">
        <f aca="false">SUMIFS(Piutang!$M$2:$M$1751,Piutang!$C$2:$C$1751,$A101,Piutang!$P$2:$P$1751,"61-90 hari")</f>
        <v>0</v>
      </c>
      <c r="I101" s="52" t="n">
        <f aca="false">SUMIFS(Piutang!$M$2:$M$1751,Piutang!$C$2:$C$1751,$A101,Piutang!$P$2:$P$1751,"90+ hari")</f>
        <v>0</v>
      </c>
      <c r="J101" s="52" t="n">
        <f aca="false">SUM(F101:I101)</f>
        <v>0</v>
      </c>
      <c r="K101" s="55" t="n">
        <f aca="false">IF(D101=0,0,J101/D101)</f>
        <v>0</v>
      </c>
    </row>
    <row r="102" customFormat="false" ht="15" hidden="false" customHeight="false" outlineLevel="0" collapsed="false">
      <c r="A102" s="50" t="s">
        <v>505</v>
      </c>
      <c r="B102" s="39" t="str">
        <f aca="false">INDEX(Master_Customer!$B$2:$B$126,MATCH(A102,Master_Customer!$A$2:$A$126,0))</f>
        <v>GEMILANG OLI CAHAYA</v>
      </c>
      <c r="C102" s="39" t="n">
        <f aca="false">INDEX(Master_Customer!$C$2:$C$126,MATCH(A102,Master_Customer!$A$2:$A$126,0))</f>
        <v>0</v>
      </c>
      <c r="D102" s="52" t="n">
        <f aca="false">SUM(E102:I102)</f>
        <v>0</v>
      </c>
      <c r="E102" s="52" t="n">
        <f aca="false">SUMIFS(Piutang!$M$2:$M$1751,Piutang!$C$2:$C$1751,$A102,Piutang!$P$2:$P$1751,"Belum Jatuh Tempo")</f>
        <v>0</v>
      </c>
      <c r="F102" s="52" t="n">
        <f aca="false">SUMIFS(Piutang!$M$2:$M$1751,Piutang!$C$2:$C$1751,$A102,Piutang!$P$2:$P$1751,"1-30 hari")</f>
        <v>0</v>
      </c>
      <c r="G102" s="52" t="n">
        <f aca="false">SUMIFS(Piutang!$M$2:$M$1751,Piutang!$C$2:$C$1751,$A102,Piutang!$P$2:$P$1751,"31-60 hari")</f>
        <v>0</v>
      </c>
      <c r="H102" s="52" t="n">
        <f aca="false">SUMIFS(Piutang!$M$2:$M$1751,Piutang!$C$2:$C$1751,$A102,Piutang!$P$2:$P$1751,"61-90 hari")</f>
        <v>0</v>
      </c>
      <c r="I102" s="52" t="n">
        <f aca="false">SUMIFS(Piutang!$M$2:$M$1751,Piutang!$C$2:$C$1751,$A102,Piutang!$P$2:$P$1751,"90+ hari")</f>
        <v>0</v>
      </c>
      <c r="J102" s="52" t="n">
        <f aca="false">SUM(F102:I102)</f>
        <v>0</v>
      </c>
      <c r="K102" s="55" t="n">
        <f aca="false">IF(D102=0,0,J102/D102)</f>
        <v>0</v>
      </c>
    </row>
    <row r="103" customFormat="false" ht="15" hidden="false" customHeight="false" outlineLevel="0" collapsed="false">
      <c r="A103" s="50" t="s">
        <v>640</v>
      </c>
      <c r="B103" s="39" t="str">
        <f aca="false">INDEX(Master_Customer!$B$2:$B$126,MATCH(A103,Master_Customer!$A$2:$A$126,0))</f>
        <v>MULIA AUTO</v>
      </c>
      <c r="C103" s="39" t="n">
        <f aca="false">INDEX(Master_Customer!$C$2:$C$126,MATCH(A103,Master_Customer!$A$2:$A$126,0))</f>
        <v>30</v>
      </c>
      <c r="D103" s="52" t="n">
        <f aca="false">SUM(E103:I103)</f>
        <v>0</v>
      </c>
      <c r="E103" s="52" t="n">
        <f aca="false">SUMIFS(Piutang!$M$2:$M$1751,Piutang!$C$2:$C$1751,$A103,Piutang!$P$2:$P$1751,"Belum Jatuh Tempo")</f>
        <v>0</v>
      </c>
      <c r="F103" s="52" t="n">
        <f aca="false">SUMIFS(Piutang!$M$2:$M$1751,Piutang!$C$2:$C$1751,$A103,Piutang!$P$2:$P$1751,"1-30 hari")</f>
        <v>0</v>
      </c>
      <c r="G103" s="52" t="n">
        <f aca="false">SUMIFS(Piutang!$M$2:$M$1751,Piutang!$C$2:$C$1751,$A103,Piutang!$P$2:$P$1751,"31-60 hari")</f>
        <v>0</v>
      </c>
      <c r="H103" s="52" t="n">
        <f aca="false">SUMIFS(Piutang!$M$2:$M$1751,Piutang!$C$2:$C$1751,$A103,Piutang!$P$2:$P$1751,"61-90 hari")</f>
        <v>0</v>
      </c>
      <c r="I103" s="52" t="n">
        <f aca="false">SUMIFS(Piutang!$M$2:$M$1751,Piutang!$C$2:$C$1751,$A103,Piutang!$P$2:$P$1751,"90+ hari")</f>
        <v>0</v>
      </c>
      <c r="J103" s="52" t="n">
        <f aca="false">SUM(F103:I103)</f>
        <v>0</v>
      </c>
      <c r="K103" s="55" t="n">
        <f aca="false">IF(D103=0,0,J103/D103)</f>
        <v>0</v>
      </c>
    </row>
    <row r="104" customFormat="false" ht="15" hidden="false" customHeight="false" outlineLevel="0" collapsed="false">
      <c r="A104" s="50" t="s">
        <v>432</v>
      </c>
      <c r="B104" s="39" t="str">
        <f aca="false">INDEX(Master_Customer!$B$2:$B$126,MATCH(A104,Master_Customer!$A$2:$A$126,0))</f>
        <v>MAKMUR SERVICE</v>
      </c>
      <c r="C104" s="39" t="n">
        <f aca="false">INDEX(Master_Customer!$C$2:$C$126,MATCH(A104,Master_Customer!$A$2:$A$126,0))</f>
        <v>30</v>
      </c>
      <c r="D104" s="52" t="n">
        <f aca="false">SUM(E104:I104)</f>
        <v>0</v>
      </c>
      <c r="E104" s="52" t="n">
        <f aca="false">SUMIFS(Piutang!$M$2:$M$1751,Piutang!$C$2:$C$1751,$A104,Piutang!$P$2:$P$1751,"Belum Jatuh Tempo")</f>
        <v>0</v>
      </c>
      <c r="F104" s="52" t="n">
        <f aca="false">SUMIFS(Piutang!$M$2:$M$1751,Piutang!$C$2:$C$1751,$A104,Piutang!$P$2:$P$1751,"1-30 hari")</f>
        <v>0</v>
      </c>
      <c r="G104" s="52" t="n">
        <f aca="false">SUMIFS(Piutang!$M$2:$M$1751,Piutang!$C$2:$C$1751,$A104,Piutang!$P$2:$P$1751,"31-60 hari")</f>
        <v>0</v>
      </c>
      <c r="H104" s="52" t="n">
        <f aca="false">SUMIFS(Piutang!$M$2:$M$1751,Piutang!$C$2:$C$1751,$A104,Piutang!$P$2:$P$1751,"61-90 hari")</f>
        <v>0</v>
      </c>
      <c r="I104" s="52" t="n">
        <f aca="false">SUMIFS(Piutang!$M$2:$M$1751,Piutang!$C$2:$C$1751,$A104,Piutang!$P$2:$P$1751,"90+ hari")</f>
        <v>0</v>
      </c>
      <c r="J104" s="52" t="n">
        <f aca="false">SUM(F104:I104)</f>
        <v>0</v>
      </c>
      <c r="K104" s="55" t="n">
        <f aca="false">IF(D104=0,0,J104/D104)</f>
        <v>0</v>
      </c>
    </row>
    <row r="105" customFormat="false" ht="15" hidden="false" customHeight="false" outlineLevel="0" collapsed="false">
      <c r="A105" s="50" t="s">
        <v>181</v>
      </c>
      <c r="B105" s="39" t="str">
        <f aca="false">INDEX(Master_Customer!$B$2:$B$126,MATCH(A105,Master_Customer!$A$2:$A$126,0))</f>
        <v>PRIMA GARAGE</v>
      </c>
      <c r="C105" s="39" t="n">
        <f aca="false">INDEX(Master_Customer!$C$2:$C$126,MATCH(A105,Master_Customer!$A$2:$A$126,0))</f>
        <v>14</v>
      </c>
      <c r="D105" s="52" t="n">
        <f aca="false">SUM(E105:I105)</f>
        <v>0</v>
      </c>
      <c r="E105" s="52" t="n">
        <f aca="false">SUMIFS(Piutang!$M$2:$M$1751,Piutang!$C$2:$C$1751,$A105,Piutang!$P$2:$P$1751,"Belum Jatuh Tempo")</f>
        <v>0</v>
      </c>
      <c r="F105" s="52" t="n">
        <f aca="false">SUMIFS(Piutang!$M$2:$M$1751,Piutang!$C$2:$C$1751,$A105,Piutang!$P$2:$P$1751,"1-30 hari")</f>
        <v>0</v>
      </c>
      <c r="G105" s="52" t="n">
        <f aca="false">SUMIFS(Piutang!$M$2:$M$1751,Piutang!$C$2:$C$1751,$A105,Piutang!$P$2:$P$1751,"31-60 hari")</f>
        <v>0</v>
      </c>
      <c r="H105" s="52" t="n">
        <f aca="false">SUMIFS(Piutang!$M$2:$M$1751,Piutang!$C$2:$C$1751,$A105,Piutang!$P$2:$P$1751,"61-90 hari")</f>
        <v>0</v>
      </c>
      <c r="I105" s="52" t="n">
        <f aca="false">SUMIFS(Piutang!$M$2:$M$1751,Piutang!$C$2:$C$1751,$A105,Piutang!$P$2:$P$1751,"90+ hari")</f>
        <v>0</v>
      </c>
      <c r="J105" s="52" t="n">
        <f aca="false">SUM(F105:I105)</f>
        <v>0</v>
      </c>
      <c r="K105" s="55" t="n">
        <f aca="false">IF(D105=0,0,J105/D105)</f>
        <v>0</v>
      </c>
    </row>
    <row r="106" customFormat="false" ht="15" hidden="false" customHeight="false" outlineLevel="0" collapsed="false">
      <c r="A106" s="50" t="s">
        <v>838</v>
      </c>
      <c r="B106" s="39" t="str">
        <f aca="false">INDEX(Master_Customer!$B$2:$B$126,MATCH(A106,Master_Customer!$A$2:$A$126,0))</f>
        <v>HARAPAN AUTO</v>
      </c>
      <c r="C106" s="39" t="n">
        <f aca="false">INDEX(Master_Customer!$C$2:$C$126,MATCH(A106,Master_Customer!$A$2:$A$126,0))</f>
        <v>30</v>
      </c>
      <c r="D106" s="52" t="n">
        <f aca="false">SUM(E106:I106)</f>
        <v>0</v>
      </c>
      <c r="E106" s="52" t="n">
        <f aca="false">SUMIFS(Piutang!$M$2:$M$1751,Piutang!$C$2:$C$1751,$A106,Piutang!$P$2:$P$1751,"Belum Jatuh Tempo")</f>
        <v>0</v>
      </c>
      <c r="F106" s="52" t="n">
        <f aca="false">SUMIFS(Piutang!$M$2:$M$1751,Piutang!$C$2:$C$1751,$A106,Piutang!$P$2:$P$1751,"1-30 hari")</f>
        <v>0</v>
      </c>
      <c r="G106" s="52" t="n">
        <f aca="false">SUMIFS(Piutang!$M$2:$M$1751,Piutang!$C$2:$C$1751,$A106,Piutang!$P$2:$P$1751,"31-60 hari")</f>
        <v>0</v>
      </c>
      <c r="H106" s="52" t="n">
        <f aca="false">SUMIFS(Piutang!$M$2:$M$1751,Piutang!$C$2:$C$1751,$A106,Piutang!$P$2:$P$1751,"61-90 hari")</f>
        <v>0</v>
      </c>
      <c r="I106" s="52" t="n">
        <f aca="false">SUMIFS(Piutang!$M$2:$M$1751,Piutang!$C$2:$C$1751,$A106,Piutang!$P$2:$P$1751,"90+ hari")</f>
        <v>0</v>
      </c>
      <c r="J106" s="52" t="n">
        <f aca="false">SUM(F106:I106)</f>
        <v>0</v>
      </c>
      <c r="K106" s="55" t="n">
        <f aca="false">IF(D106=0,0,J106/D106)</f>
        <v>0</v>
      </c>
    </row>
    <row r="107" customFormat="false" ht="15" hidden="false" customHeight="false" outlineLevel="0" collapsed="false">
      <c r="A107" s="50" t="s">
        <v>1307</v>
      </c>
      <c r="B107" s="39" t="str">
        <f aca="false">INDEX(Master_Customer!$B$2:$B$126,MATCH(A107,Master_Customer!$A$2:$A$126,0))</f>
        <v>HARAPAN TEKNIK HARAPAN</v>
      </c>
      <c r="C107" s="39" t="n">
        <f aca="false">INDEX(Master_Customer!$C$2:$C$126,MATCH(A107,Master_Customer!$A$2:$A$126,0))</f>
        <v>0</v>
      </c>
      <c r="D107" s="52" t="n">
        <f aca="false">SUM(E107:I107)</f>
        <v>0</v>
      </c>
      <c r="E107" s="52" t="n">
        <f aca="false">SUMIFS(Piutang!$M$2:$M$1751,Piutang!$C$2:$C$1751,$A107,Piutang!$P$2:$P$1751,"Belum Jatuh Tempo")</f>
        <v>0</v>
      </c>
      <c r="F107" s="52" t="n">
        <f aca="false">SUMIFS(Piutang!$M$2:$M$1751,Piutang!$C$2:$C$1751,$A107,Piutang!$P$2:$P$1751,"1-30 hari")</f>
        <v>0</v>
      </c>
      <c r="G107" s="52" t="n">
        <f aca="false">SUMIFS(Piutang!$M$2:$M$1751,Piutang!$C$2:$C$1751,$A107,Piutang!$P$2:$P$1751,"31-60 hari")</f>
        <v>0</v>
      </c>
      <c r="H107" s="52" t="n">
        <f aca="false">SUMIFS(Piutang!$M$2:$M$1751,Piutang!$C$2:$C$1751,$A107,Piutang!$P$2:$P$1751,"61-90 hari")</f>
        <v>0</v>
      </c>
      <c r="I107" s="52" t="n">
        <f aca="false">SUMIFS(Piutang!$M$2:$M$1751,Piutang!$C$2:$C$1751,$A107,Piutang!$P$2:$P$1751,"90+ hari")</f>
        <v>0</v>
      </c>
      <c r="J107" s="52" t="n">
        <f aca="false">SUM(F107:I107)</f>
        <v>0</v>
      </c>
      <c r="K107" s="55" t="n">
        <f aca="false">IF(D107=0,0,J107/D107)</f>
        <v>0</v>
      </c>
    </row>
    <row r="108" customFormat="false" ht="15" hidden="false" customHeight="false" outlineLevel="0" collapsed="false">
      <c r="A108" s="50" t="s">
        <v>574</v>
      </c>
      <c r="B108" s="39" t="str">
        <f aca="false">INDEX(Master_Customer!$B$2:$B$126,MATCH(A108,Master_Customer!$A$2:$A$126,0))</f>
        <v>ABADI SERVICE ABADI</v>
      </c>
      <c r="C108" s="39" t="n">
        <f aca="false">INDEX(Master_Customer!$C$2:$C$126,MATCH(A108,Master_Customer!$A$2:$A$126,0))</f>
        <v>30</v>
      </c>
      <c r="D108" s="52" t="n">
        <f aca="false">SUM(E108:I108)</f>
        <v>0</v>
      </c>
      <c r="E108" s="52" t="n">
        <f aca="false">SUMIFS(Piutang!$M$2:$M$1751,Piutang!$C$2:$C$1751,$A108,Piutang!$P$2:$P$1751,"Belum Jatuh Tempo")</f>
        <v>0</v>
      </c>
      <c r="F108" s="52" t="n">
        <f aca="false">SUMIFS(Piutang!$M$2:$M$1751,Piutang!$C$2:$C$1751,$A108,Piutang!$P$2:$P$1751,"1-30 hari")</f>
        <v>0</v>
      </c>
      <c r="G108" s="52" t="n">
        <f aca="false">SUMIFS(Piutang!$M$2:$M$1751,Piutang!$C$2:$C$1751,$A108,Piutang!$P$2:$P$1751,"31-60 hari")</f>
        <v>0</v>
      </c>
      <c r="H108" s="52" t="n">
        <f aca="false">SUMIFS(Piutang!$M$2:$M$1751,Piutang!$C$2:$C$1751,$A108,Piutang!$P$2:$P$1751,"61-90 hari")</f>
        <v>0</v>
      </c>
      <c r="I108" s="52" t="n">
        <f aca="false">SUMIFS(Piutang!$M$2:$M$1751,Piutang!$C$2:$C$1751,$A108,Piutang!$P$2:$P$1751,"90+ hari")</f>
        <v>0</v>
      </c>
      <c r="J108" s="52" t="n">
        <f aca="false">SUM(F108:I108)</f>
        <v>0</v>
      </c>
      <c r="K108" s="55" t="n">
        <f aca="false">IF(D108=0,0,J108/D108)</f>
        <v>0</v>
      </c>
    </row>
    <row r="109" customFormat="false" ht="15" hidden="false" customHeight="false" outlineLevel="0" collapsed="false">
      <c r="A109" s="50" t="s">
        <v>205</v>
      </c>
      <c r="B109" s="39" t="str">
        <f aca="false">INDEX(Master_Customer!$B$2:$B$126,MATCH(A109,Master_Customer!$A$2:$A$126,0))</f>
        <v>BERKAH OLI</v>
      </c>
      <c r="C109" s="39" t="n">
        <f aca="false">INDEX(Master_Customer!$C$2:$C$126,MATCH(A109,Master_Customer!$A$2:$A$126,0))</f>
        <v>0</v>
      </c>
      <c r="D109" s="52" t="n">
        <f aca="false">SUM(E109:I109)</f>
        <v>0</v>
      </c>
      <c r="E109" s="52" t="n">
        <f aca="false">SUMIFS(Piutang!$M$2:$M$1751,Piutang!$C$2:$C$1751,$A109,Piutang!$P$2:$P$1751,"Belum Jatuh Tempo")</f>
        <v>0</v>
      </c>
      <c r="F109" s="52" t="n">
        <f aca="false">SUMIFS(Piutang!$M$2:$M$1751,Piutang!$C$2:$C$1751,$A109,Piutang!$P$2:$P$1751,"1-30 hari")</f>
        <v>0</v>
      </c>
      <c r="G109" s="52" t="n">
        <f aca="false">SUMIFS(Piutang!$M$2:$M$1751,Piutang!$C$2:$C$1751,$A109,Piutang!$P$2:$P$1751,"31-60 hari")</f>
        <v>0</v>
      </c>
      <c r="H109" s="52" t="n">
        <f aca="false">SUMIFS(Piutang!$M$2:$M$1751,Piutang!$C$2:$C$1751,$A109,Piutang!$P$2:$P$1751,"61-90 hari")</f>
        <v>0</v>
      </c>
      <c r="I109" s="52" t="n">
        <f aca="false">SUMIFS(Piutang!$M$2:$M$1751,Piutang!$C$2:$C$1751,$A109,Piutang!$P$2:$P$1751,"90+ hari")</f>
        <v>0</v>
      </c>
      <c r="J109" s="52" t="n">
        <f aca="false">SUM(F109:I109)</f>
        <v>0</v>
      </c>
      <c r="K109" s="55" t="n">
        <f aca="false">IF(D109=0,0,J109/D109)</f>
        <v>0</v>
      </c>
    </row>
    <row r="110" customFormat="false" ht="15" hidden="false" customHeight="false" outlineLevel="0" collapsed="false">
      <c r="A110" s="50" t="s">
        <v>590</v>
      </c>
      <c r="B110" s="39" t="str">
        <f aca="false">INDEX(Master_Customer!$B$2:$B$126,MATCH(A110,Master_Customer!$A$2:$A$126,0))</f>
        <v>BINTANG MOTOR</v>
      </c>
      <c r="C110" s="39" t="n">
        <f aca="false">INDEX(Master_Customer!$C$2:$C$126,MATCH(A110,Master_Customer!$A$2:$A$126,0))</f>
        <v>30</v>
      </c>
      <c r="D110" s="52" t="n">
        <f aca="false">SUM(E110:I110)</f>
        <v>0</v>
      </c>
      <c r="E110" s="52" t="n">
        <f aca="false">SUMIFS(Piutang!$M$2:$M$1751,Piutang!$C$2:$C$1751,$A110,Piutang!$P$2:$P$1751,"Belum Jatuh Tempo")</f>
        <v>0</v>
      </c>
      <c r="F110" s="52" t="n">
        <f aca="false">SUMIFS(Piutang!$M$2:$M$1751,Piutang!$C$2:$C$1751,$A110,Piutang!$P$2:$P$1751,"1-30 hari")</f>
        <v>0</v>
      </c>
      <c r="G110" s="52" t="n">
        <f aca="false">SUMIFS(Piutang!$M$2:$M$1751,Piutang!$C$2:$C$1751,$A110,Piutang!$P$2:$P$1751,"31-60 hari")</f>
        <v>0</v>
      </c>
      <c r="H110" s="52" t="n">
        <f aca="false">SUMIFS(Piutang!$M$2:$M$1751,Piutang!$C$2:$C$1751,$A110,Piutang!$P$2:$P$1751,"61-90 hari")</f>
        <v>0</v>
      </c>
      <c r="I110" s="52" t="n">
        <f aca="false">SUMIFS(Piutang!$M$2:$M$1751,Piutang!$C$2:$C$1751,$A110,Piutang!$P$2:$P$1751,"90+ hari")</f>
        <v>0</v>
      </c>
      <c r="J110" s="52" t="n">
        <f aca="false">SUM(F110:I110)</f>
        <v>0</v>
      </c>
      <c r="K110" s="55" t="n">
        <f aca="false">IF(D110=0,0,J110/D110)</f>
        <v>0</v>
      </c>
    </row>
    <row r="111" customFormat="false" ht="15" hidden="false" customHeight="false" outlineLevel="0" collapsed="false">
      <c r="A111" s="50" t="s">
        <v>1487</v>
      </c>
      <c r="B111" s="39" t="str">
        <f aca="false">INDEX(Master_Customer!$B$2:$B$126,MATCH(A111,Master_Customer!$A$2:$A$126,0))</f>
        <v>PRIMA SERVICE</v>
      </c>
      <c r="C111" s="39" t="n">
        <f aca="false">INDEX(Master_Customer!$C$2:$C$126,MATCH(A111,Master_Customer!$A$2:$A$126,0))</f>
        <v>0</v>
      </c>
      <c r="D111" s="52" t="n">
        <f aca="false">SUM(E111:I111)</f>
        <v>0</v>
      </c>
      <c r="E111" s="52" t="n">
        <f aca="false">SUMIFS(Piutang!$M$2:$M$1751,Piutang!$C$2:$C$1751,$A111,Piutang!$P$2:$P$1751,"Belum Jatuh Tempo")</f>
        <v>0</v>
      </c>
      <c r="F111" s="52" t="n">
        <f aca="false">SUMIFS(Piutang!$M$2:$M$1751,Piutang!$C$2:$C$1751,$A111,Piutang!$P$2:$P$1751,"1-30 hari")</f>
        <v>0</v>
      </c>
      <c r="G111" s="52" t="n">
        <f aca="false">SUMIFS(Piutang!$M$2:$M$1751,Piutang!$C$2:$C$1751,$A111,Piutang!$P$2:$P$1751,"31-60 hari")</f>
        <v>0</v>
      </c>
      <c r="H111" s="52" t="n">
        <f aca="false">SUMIFS(Piutang!$M$2:$M$1751,Piutang!$C$2:$C$1751,$A111,Piutang!$P$2:$P$1751,"61-90 hari")</f>
        <v>0</v>
      </c>
      <c r="I111" s="52" t="n">
        <f aca="false">SUMIFS(Piutang!$M$2:$M$1751,Piutang!$C$2:$C$1751,$A111,Piutang!$P$2:$P$1751,"90+ hari")</f>
        <v>0</v>
      </c>
      <c r="J111" s="52" t="n">
        <f aca="false">SUM(F111:I111)</f>
        <v>0</v>
      </c>
      <c r="K111" s="55" t="n">
        <f aca="false">IF(D111=0,0,J111/D111)</f>
        <v>0</v>
      </c>
    </row>
    <row r="112" customFormat="false" ht="15" hidden="false" customHeight="false" outlineLevel="0" collapsed="false">
      <c r="A112" s="50" t="s">
        <v>218</v>
      </c>
      <c r="B112" s="39" t="str">
        <f aca="false">INDEX(Master_Customer!$B$2:$B$126,MATCH(A112,Master_Customer!$A$2:$A$126,0))</f>
        <v>SURYA SERVICE LANCAR</v>
      </c>
      <c r="C112" s="39" t="n">
        <f aca="false">INDEX(Master_Customer!$C$2:$C$126,MATCH(A112,Master_Customer!$A$2:$A$126,0))</f>
        <v>0</v>
      </c>
      <c r="D112" s="52" t="n">
        <f aca="false">SUM(E112:I112)</f>
        <v>0</v>
      </c>
      <c r="E112" s="52" t="n">
        <f aca="false">SUMIFS(Piutang!$M$2:$M$1751,Piutang!$C$2:$C$1751,$A112,Piutang!$P$2:$P$1751,"Belum Jatuh Tempo")</f>
        <v>0</v>
      </c>
      <c r="F112" s="52" t="n">
        <f aca="false">SUMIFS(Piutang!$M$2:$M$1751,Piutang!$C$2:$C$1751,$A112,Piutang!$P$2:$P$1751,"1-30 hari")</f>
        <v>0</v>
      </c>
      <c r="G112" s="52" t="n">
        <f aca="false">SUMIFS(Piutang!$M$2:$M$1751,Piutang!$C$2:$C$1751,$A112,Piutang!$P$2:$P$1751,"31-60 hari")</f>
        <v>0</v>
      </c>
      <c r="H112" s="52" t="n">
        <f aca="false">SUMIFS(Piutang!$M$2:$M$1751,Piutang!$C$2:$C$1751,$A112,Piutang!$P$2:$P$1751,"61-90 hari")</f>
        <v>0</v>
      </c>
      <c r="I112" s="52" t="n">
        <f aca="false">SUMIFS(Piutang!$M$2:$M$1751,Piutang!$C$2:$C$1751,$A112,Piutang!$P$2:$P$1751,"90+ hari")</f>
        <v>0</v>
      </c>
      <c r="J112" s="52" t="n">
        <f aca="false">SUM(F112:I112)</f>
        <v>0</v>
      </c>
      <c r="K112" s="55" t="n">
        <f aca="false">IF(D112=0,0,J112/D112)</f>
        <v>0</v>
      </c>
    </row>
    <row r="113" customFormat="false" ht="15" hidden="false" customHeight="false" outlineLevel="0" collapsed="false">
      <c r="A113" s="50" t="s">
        <v>327</v>
      </c>
      <c r="B113" s="39" t="str">
        <f aca="false">INDEX(Master_Customer!$B$2:$B$126,MATCH(A113,Master_Customer!$A$2:$A$126,0))</f>
        <v>UTAMA AUTO</v>
      </c>
      <c r="C113" s="39" t="n">
        <f aca="false">INDEX(Master_Customer!$C$2:$C$126,MATCH(A113,Master_Customer!$A$2:$A$126,0))</f>
        <v>14</v>
      </c>
      <c r="D113" s="52" t="n">
        <f aca="false">SUM(E113:I113)</f>
        <v>0</v>
      </c>
      <c r="E113" s="52" t="n">
        <f aca="false">SUMIFS(Piutang!$M$2:$M$1751,Piutang!$C$2:$C$1751,$A113,Piutang!$P$2:$P$1751,"Belum Jatuh Tempo")</f>
        <v>0</v>
      </c>
      <c r="F113" s="52" t="n">
        <f aca="false">SUMIFS(Piutang!$M$2:$M$1751,Piutang!$C$2:$C$1751,$A113,Piutang!$P$2:$P$1751,"1-30 hari")</f>
        <v>0</v>
      </c>
      <c r="G113" s="52" t="n">
        <f aca="false">SUMIFS(Piutang!$M$2:$M$1751,Piutang!$C$2:$C$1751,$A113,Piutang!$P$2:$P$1751,"31-60 hari")</f>
        <v>0</v>
      </c>
      <c r="H113" s="52" t="n">
        <f aca="false">SUMIFS(Piutang!$M$2:$M$1751,Piutang!$C$2:$C$1751,$A113,Piutang!$P$2:$P$1751,"61-90 hari")</f>
        <v>0</v>
      </c>
      <c r="I113" s="52" t="n">
        <f aca="false">SUMIFS(Piutang!$M$2:$M$1751,Piutang!$C$2:$C$1751,$A113,Piutang!$P$2:$P$1751,"90+ hari")</f>
        <v>0</v>
      </c>
      <c r="J113" s="52" t="n">
        <f aca="false">SUM(F113:I113)</f>
        <v>0</v>
      </c>
      <c r="K113" s="55" t="n">
        <f aca="false">IF(D113=0,0,J113/D113)</f>
        <v>0</v>
      </c>
    </row>
    <row r="114" customFormat="false" ht="15" hidden="false" customHeight="false" outlineLevel="0" collapsed="false">
      <c r="A114" s="50" t="s">
        <v>463</v>
      </c>
      <c r="B114" s="39" t="str">
        <f aca="false">INDEX(Master_Customer!$B$2:$B$126,MATCH(A114,Master_Customer!$A$2:$A$126,0))</f>
        <v>UTAMA TEKNIK ABADI</v>
      </c>
      <c r="C114" s="39" t="n">
        <f aca="false">INDEX(Master_Customer!$C$2:$C$126,MATCH(A114,Master_Customer!$A$2:$A$126,0))</f>
        <v>30</v>
      </c>
      <c r="D114" s="52" t="n">
        <f aca="false">SUM(E114:I114)</f>
        <v>0</v>
      </c>
      <c r="E114" s="52" t="n">
        <f aca="false">SUMIFS(Piutang!$M$2:$M$1751,Piutang!$C$2:$C$1751,$A114,Piutang!$P$2:$P$1751,"Belum Jatuh Tempo")</f>
        <v>0</v>
      </c>
      <c r="F114" s="52" t="n">
        <f aca="false">SUMIFS(Piutang!$M$2:$M$1751,Piutang!$C$2:$C$1751,$A114,Piutang!$P$2:$P$1751,"1-30 hari")</f>
        <v>0</v>
      </c>
      <c r="G114" s="52" t="n">
        <f aca="false">SUMIFS(Piutang!$M$2:$M$1751,Piutang!$C$2:$C$1751,$A114,Piutang!$P$2:$P$1751,"31-60 hari")</f>
        <v>0</v>
      </c>
      <c r="H114" s="52" t="n">
        <f aca="false">SUMIFS(Piutang!$M$2:$M$1751,Piutang!$C$2:$C$1751,$A114,Piutang!$P$2:$P$1751,"61-90 hari")</f>
        <v>0</v>
      </c>
      <c r="I114" s="52" t="n">
        <f aca="false">SUMIFS(Piutang!$M$2:$M$1751,Piutang!$C$2:$C$1751,$A114,Piutang!$P$2:$P$1751,"90+ hari")</f>
        <v>0</v>
      </c>
      <c r="J114" s="52" t="n">
        <f aca="false">SUM(F114:I114)</f>
        <v>0</v>
      </c>
      <c r="K114" s="55" t="n">
        <f aca="false">IF(D114=0,0,J114/D114)</f>
        <v>0</v>
      </c>
    </row>
    <row r="115" customFormat="false" ht="15" hidden="false" customHeight="false" outlineLevel="0" collapsed="false">
      <c r="A115" s="50" t="s">
        <v>172</v>
      </c>
      <c r="B115" s="39" t="str">
        <f aca="false">INDEX(Master_Customer!$B$2:$B$126,MATCH(A115,Master_Customer!$A$2:$A$126,0))</f>
        <v>SURYA GARAGE MITRA</v>
      </c>
      <c r="C115" s="39" t="n">
        <f aca="false">INDEX(Master_Customer!$C$2:$C$126,MATCH(A115,Master_Customer!$A$2:$A$126,0))</f>
        <v>30</v>
      </c>
      <c r="D115" s="52" t="n">
        <f aca="false">SUM(E115:I115)</f>
        <v>0</v>
      </c>
      <c r="E115" s="52" t="n">
        <f aca="false">SUMIFS(Piutang!$M$2:$M$1751,Piutang!$C$2:$C$1751,$A115,Piutang!$P$2:$P$1751,"Belum Jatuh Tempo")</f>
        <v>0</v>
      </c>
      <c r="F115" s="52" t="n">
        <f aca="false">SUMIFS(Piutang!$M$2:$M$1751,Piutang!$C$2:$C$1751,$A115,Piutang!$P$2:$P$1751,"1-30 hari")</f>
        <v>0</v>
      </c>
      <c r="G115" s="52" t="n">
        <f aca="false">SUMIFS(Piutang!$M$2:$M$1751,Piutang!$C$2:$C$1751,$A115,Piutang!$P$2:$P$1751,"31-60 hari")</f>
        <v>0</v>
      </c>
      <c r="H115" s="52" t="n">
        <f aca="false">SUMIFS(Piutang!$M$2:$M$1751,Piutang!$C$2:$C$1751,$A115,Piutang!$P$2:$P$1751,"61-90 hari")</f>
        <v>0</v>
      </c>
      <c r="I115" s="52" t="n">
        <f aca="false">SUMIFS(Piutang!$M$2:$M$1751,Piutang!$C$2:$C$1751,$A115,Piutang!$P$2:$P$1751,"90+ hari")</f>
        <v>0</v>
      </c>
      <c r="J115" s="52" t="n">
        <f aca="false">SUM(F115:I115)</f>
        <v>0</v>
      </c>
      <c r="K115" s="55" t="n">
        <f aca="false">IF(D115=0,0,J115/D115)</f>
        <v>0</v>
      </c>
    </row>
    <row r="116" customFormat="false" ht="15" hidden="false" customHeight="false" outlineLevel="0" collapsed="false">
      <c r="A116" s="50" t="s">
        <v>225</v>
      </c>
      <c r="B116" s="39" t="str">
        <f aca="false">INDEX(Master_Customer!$B$2:$B$126,MATCH(A116,Master_Customer!$A$2:$A$126,0))</f>
        <v>KARYA LUBRICANT ABADI</v>
      </c>
      <c r="C116" s="39" t="n">
        <f aca="false">INDEX(Master_Customer!$C$2:$C$126,MATCH(A116,Master_Customer!$A$2:$A$126,0))</f>
        <v>0</v>
      </c>
      <c r="D116" s="52" t="n">
        <f aca="false">SUM(E116:I116)</f>
        <v>0</v>
      </c>
      <c r="E116" s="52" t="n">
        <f aca="false">SUMIFS(Piutang!$M$2:$M$1751,Piutang!$C$2:$C$1751,$A116,Piutang!$P$2:$P$1751,"Belum Jatuh Tempo")</f>
        <v>0</v>
      </c>
      <c r="F116" s="52" t="n">
        <f aca="false">SUMIFS(Piutang!$M$2:$M$1751,Piutang!$C$2:$C$1751,$A116,Piutang!$P$2:$P$1751,"1-30 hari")</f>
        <v>0</v>
      </c>
      <c r="G116" s="52" t="n">
        <f aca="false">SUMIFS(Piutang!$M$2:$M$1751,Piutang!$C$2:$C$1751,$A116,Piutang!$P$2:$P$1751,"31-60 hari")</f>
        <v>0</v>
      </c>
      <c r="H116" s="52" t="n">
        <f aca="false">SUMIFS(Piutang!$M$2:$M$1751,Piutang!$C$2:$C$1751,$A116,Piutang!$P$2:$P$1751,"61-90 hari")</f>
        <v>0</v>
      </c>
      <c r="I116" s="52" t="n">
        <f aca="false">SUMIFS(Piutang!$M$2:$M$1751,Piutang!$C$2:$C$1751,$A116,Piutang!$P$2:$P$1751,"90+ hari")</f>
        <v>0</v>
      </c>
      <c r="J116" s="52" t="n">
        <f aca="false">SUM(F116:I116)</f>
        <v>0</v>
      </c>
      <c r="K116" s="55" t="n">
        <f aca="false">IF(D116=0,0,J116/D116)</f>
        <v>0</v>
      </c>
    </row>
    <row r="117" customFormat="false" ht="15" hidden="false" customHeight="false" outlineLevel="0" collapsed="false">
      <c r="A117" s="50" t="s">
        <v>962</v>
      </c>
      <c r="B117" s="39" t="str">
        <f aca="false">INDEX(Master_Customer!$B$2:$B$126,MATCH(A117,Master_Customer!$A$2:$A$126,0))</f>
        <v>ABADI OLI</v>
      </c>
      <c r="C117" s="39" t="n">
        <f aca="false">INDEX(Master_Customer!$C$2:$C$126,MATCH(A117,Master_Customer!$A$2:$A$126,0))</f>
        <v>14</v>
      </c>
      <c r="D117" s="52" t="n">
        <f aca="false">SUM(E117:I117)</f>
        <v>0</v>
      </c>
      <c r="E117" s="52" t="n">
        <f aca="false">SUMIFS(Piutang!$M$2:$M$1751,Piutang!$C$2:$C$1751,$A117,Piutang!$P$2:$P$1751,"Belum Jatuh Tempo")</f>
        <v>0</v>
      </c>
      <c r="F117" s="52" t="n">
        <f aca="false">SUMIFS(Piutang!$M$2:$M$1751,Piutang!$C$2:$C$1751,$A117,Piutang!$P$2:$P$1751,"1-30 hari")</f>
        <v>0</v>
      </c>
      <c r="G117" s="52" t="n">
        <f aca="false">SUMIFS(Piutang!$M$2:$M$1751,Piutang!$C$2:$C$1751,$A117,Piutang!$P$2:$P$1751,"31-60 hari")</f>
        <v>0</v>
      </c>
      <c r="H117" s="52" t="n">
        <f aca="false">SUMIFS(Piutang!$M$2:$M$1751,Piutang!$C$2:$C$1751,$A117,Piutang!$P$2:$P$1751,"61-90 hari")</f>
        <v>0</v>
      </c>
      <c r="I117" s="52" t="n">
        <f aca="false">SUMIFS(Piutang!$M$2:$M$1751,Piutang!$C$2:$C$1751,$A117,Piutang!$P$2:$P$1751,"90+ hari")</f>
        <v>0</v>
      </c>
      <c r="J117" s="52" t="n">
        <f aca="false">SUM(F117:I117)</f>
        <v>0</v>
      </c>
      <c r="K117" s="55" t="n">
        <f aca="false">IF(D117=0,0,J117/D117)</f>
        <v>0</v>
      </c>
    </row>
    <row r="118" customFormat="false" ht="15" hidden="false" customHeight="false" outlineLevel="0" collapsed="false">
      <c r="A118" s="50" t="s">
        <v>560</v>
      </c>
      <c r="B118" s="39" t="str">
        <f aca="false">INDEX(Master_Customer!$B$2:$B$126,MATCH(A118,Master_Customer!$A$2:$A$126,0))</f>
        <v>UTAMA TEKNIK MITRA</v>
      </c>
      <c r="C118" s="39" t="n">
        <f aca="false">INDEX(Master_Customer!$C$2:$C$126,MATCH(A118,Master_Customer!$A$2:$A$126,0))</f>
        <v>30</v>
      </c>
      <c r="D118" s="52" t="n">
        <f aca="false">SUM(E118:I118)</f>
        <v>0</v>
      </c>
      <c r="E118" s="52" t="n">
        <f aca="false">SUMIFS(Piutang!$M$2:$M$1751,Piutang!$C$2:$C$1751,$A118,Piutang!$P$2:$P$1751,"Belum Jatuh Tempo")</f>
        <v>0</v>
      </c>
      <c r="F118" s="52" t="n">
        <f aca="false">SUMIFS(Piutang!$M$2:$M$1751,Piutang!$C$2:$C$1751,$A118,Piutang!$P$2:$P$1751,"1-30 hari")</f>
        <v>0</v>
      </c>
      <c r="G118" s="52" t="n">
        <f aca="false">SUMIFS(Piutang!$M$2:$M$1751,Piutang!$C$2:$C$1751,$A118,Piutang!$P$2:$P$1751,"31-60 hari")</f>
        <v>0</v>
      </c>
      <c r="H118" s="52" t="n">
        <f aca="false">SUMIFS(Piutang!$M$2:$M$1751,Piutang!$C$2:$C$1751,$A118,Piutang!$P$2:$P$1751,"61-90 hari")</f>
        <v>0</v>
      </c>
      <c r="I118" s="52" t="n">
        <f aca="false">SUMIFS(Piutang!$M$2:$M$1751,Piutang!$C$2:$C$1751,$A118,Piutang!$P$2:$P$1751,"90+ hari")</f>
        <v>0</v>
      </c>
      <c r="J118" s="52" t="n">
        <f aca="false">SUM(F118:I118)</f>
        <v>0</v>
      </c>
      <c r="K118" s="55" t="n">
        <f aca="false">IF(D118=0,0,J118/D118)</f>
        <v>0</v>
      </c>
    </row>
    <row r="119" customFormat="false" ht="15" hidden="false" customHeight="false" outlineLevel="0" collapsed="false">
      <c r="A119" s="50" t="s">
        <v>195</v>
      </c>
      <c r="B119" s="39" t="str">
        <f aca="false">INDEX(Master_Customer!$B$2:$B$126,MATCH(A119,Master_Customer!$A$2:$A$126,0))</f>
        <v>KARYA LUBRICANT BINTANG</v>
      </c>
      <c r="C119" s="39" t="n">
        <f aca="false">INDEX(Master_Customer!$C$2:$C$126,MATCH(A119,Master_Customer!$A$2:$A$126,0))</f>
        <v>14</v>
      </c>
      <c r="D119" s="52" t="n">
        <f aca="false">SUM(E119:I119)</f>
        <v>0</v>
      </c>
      <c r="E119" s="52" t="n">
        <f aca="false">SUMIFS(Piutang!$M$2:$M$1751,Piutang!$C$2:$C$1751,$A119,Piutang!$P$2:$P$1751,"Belum Jatuh Tempo")</f>
        <v>0</v>
      </c>
      <c r="F119" s="52" t="n">
        <f aca="false">SUMIFS(Piutang!$M$2:$M$1751,Piutang!$C$2:$C$1751,$A119,Piutang!$P$2:$P$1751,"1-30 hari")</f>
        <v>0</v>
      </c>
      <c r="G119" s="52" t="n">
        <f aca="false">SUMIFS(Piutang!$M$2:$M$1751,Piutang!$C$2:$C$1751,$A119,Piutang!$P$2:$P$1751,"31-60 hari")</f>
        <v>0</v>
      </c>
      <c r="H119" s="52" t="n">
        <f aca="false">SUMIFS(Piutang!$M$2:$M$1751,Piutang!$C$2:$C$1751,$A119,Piutang!$P$2:$P$1751,"61-90 hari")</f>
        <v>0</v>
      </c>
      <c r="I119" s="52" t="n">
        <f aca="false">SUMIFS(Piutang!$M$2:$M$1751,Piutang!$C$2:$C$1751,$A119,Piutang!$P$2:$P$1751,"90+ hari")</f>
        <v>0</v>
      </c>
      <c r="J119" s="52" t="n">
        <f aca="false">SUM(F119:I119)</f>
        <v>0</v>
      </c>
      <c r="K119" s="55" t="n">
        <f aca="false">IF(D119=0,0,J119/D119)</f>
        <v>0</v>
      </c>
    </row>
    <row r="120" customFormat="false" ht="15" hidden="false" customHeight="false" outlineLevel="0" collapsed="false">
      <c r="A120" s="50" t="s">
        <v>213</v>
      </c>
      <c r="B120" s="39" t="str">
        <f aca="false">INDEX(Master_Customer!$B$2:$B$126,MATCH(A120,Master_Customer!$A$2:$A$126,0))</f>
        <v>ABADI AUTO MAKMUR</v>
      </c>
      <c r="C120" s="39" t="n">
        <f aca="false">INDEX(Master_Customer!$C$2:$C$126,MATCH(A120,Master_Customer!$A$2:$A$126,0))</f>
        <v>30</v>
      </c>
      <c r="D120" s="52" t="n">
        <f aca="false">SUM(E120:I120)</f>
        <v>0</v>
      </c>
      <c r="E120" s="52" t="n">
        <f aca="false">SUMIFS(Piutang!$M$2:$M$1751,Piutang!$C$2:$C$1751,$A120,Piutang!$P$2:$P$1751,"Belum Jatuh Tempo")</f>
        <v>0</v>
      </c>
      <c r="F120" s="52" t="n">
        <f aca="false">SUMIFS(Piutang!$M$2:$M$1751,Piutang!$C$2:$C$1751,$A120,Piutang!$P$2:$P$1751,"1-30 hari")</f>
        <v>0</v>
      </c>
      <c r="G120" s="52" t="n">
        <f aca="false">SUMIFS(Piutang!$M$2:$M$1751,Piutang!$C$2:$C$1751,$A120,Piutang!$P$2:$P$1751,"31-60 hari")</f>
        <v>0</v>
      </c>
      <c r="H120" s="52" t="n">
        <f aca="false">SUMIFS(Piutang!$M$2:$M$1751,Piutang!$C$2:$C$1751,$A120,Piutang!$P$2:$P$1751,"61-90 hari")</f>
        <v>0</v>
      </c>
      <c r="I120" s="52" t="n">
        <f aca="false">SUMIFS(Piutang!$M$2:$M$1751,Piutang!$C$2:$C$1751,$A120,Piutang!$P$2:$P$1751,"90+ hari")</f>
        <v>0</v>
      </c>
      <c r="J120" s="52" t="n">
        <f aca="false">SUM(F120:I120)</f>
        <v>0</v>
      </c>
      <c r="K120" s="55" t="n">
        <f aca="false">IF(D120=0,0,J120/D120)</f>
        <v>0</v>
      </c>
    </row>
    <row r="121" customFormat="false" ht="15" hidden="false" customHeight="false" outlineLevel="0" collapsed="false">
      <c r="A121" s="50" t="s">
        <v>430</v>
      </c>
      <c r="B121" s="39" t="str">
        <f aca="false">INDEX(Master_Customer!$B$2:$B$126,MATCH(A121,Master_Customer!$A$2:$A$126,0))</f>
        <v>TIRTA MOBIL</v>
      </c>
      <c r="C121" s="39" t="n">
        <f aca="false">INDEX(Master_Customer!$C$2:$C$126,MATCH(A121,Master_Customer!$A$2:$A$126,0))</f>
        <v>30</v>
      </c>
      <c r="D121" s="52" t="n">
        <f aca="false">SUM(E121:I121)</f>
        <v>0</v>
      </c>
      <c r="E121" s="52" t="n">
        <f aca="false">SUMIFS(Piutang!$M$2:$M$1751,Piutang!$C$2:$C$1751,$A121,Piutang!$P$2:$P$1751,"Belum Jatuh Tempo")</f>
        <v>0</v>
      </c>
      <c r="F121" s="52" t="n">
        <f aca="false">SUMIFS(Piutang!$M$2:$M$1751,Piutang!$C$2:$C$1751,$A121,Piutang!$P$2:$P$1751,"1-30 hari")</f>
        <v>0</v>
      </c>
      <c r="G121" s="52" t="n">
        <f aca="false">SUMIFS(Piutang!$M$2:$M$1751,Piutang!$C$2:$C$1751,$A121,Piutang!$P$2:$P$1751,"31-60 hari")</f>
        <v>0</v>
      </c>
      <c r="H121" s="52" t="n">
        <f aca="false">SUMIFS(Piutang!$M$2:$M$1751,Piutang!$C$2:$C$1751,$A121,Piutang!$P$2:$P$1751,"61-90 hari")</f>
        <v>0</v>
      </c>
      <c r="I121" s="52" t="n">
        <f aca="false">SUMIFS(Piutang!$M$2:$M$1751,Piutang!$C$2:$C$1751,$A121,Piutang!$P$2:$P$1751,"90+ hari")</f>
        <v>0</v>
      </c>
      <c r="J121" s="52" t="n">
        <f aca="false">SUM(F121:I121)</f>
        <v>0</v>
      </c>
      <c r="K121" s="55" t="n">
        <f aca="false">IF(D121=0,0,J121/D121)</f>
        <v>0</v>
      </c>
    </row>
    <row r="122" customFormat="false" ht="15" hidden="false" customHeight="false" outlineLevel="0" collapsed="false">
      <c r="A122" s="50" t="s">
        <v>491</v>
      </c>
      <c r="B122" s="39" t="str">
        <f aca="false">INDEX(Master_Customer!$B$2:$B$126,MATCH(A122,Master_Customer!$A$2:$A$126,0))</f>
        <v>SINAR SERVICE</v>
      </c>
      <c r="C122" s="39" t="n">
        <f aca="false">INDEX(Master_Customer!$C$2:$C$126,MATCH(A122,Master_Customer!$A$2:$A$126,0))</f>
        <v>0</v>
      </c>
      <c r="D122" s="52" t="n">
        <f aca="false">SUM(E122:I122)</f>
        <v>0</v>
      </c>
      <c r="E122" s="52" t="n">
        <f aca="false">SUMIFS(Piutang!$M$2:$M$1751,Piutang!$C$2:$C$1751,$A122,Piutang!$P$2:$P$1751,"Belum Jatuh Tempo")</f>
        <v>0</v>
      </c>
      <c r="F122" s="52" t="n">
        <f aca="false">SUMIFS(Piutang!$M$2:$M$1751,Piutang!$C$2:$C$1751,$A122,Piutang!$P$2:$P$1751,"1-30 hari")</f>
        <v>0</v>
      </c>
      <c r="G122" s="52" t="n">
        <f aca="false">SUMIFS(Piutang!$M$2:$M$1751,Piutang!$C$2:$C$1751,$A122,Piutang!$P$2:$P$1751,"31-60 hari")</f>
        <v>0</v>
      </c>
      <c r="H122" s="52" t="n">
        <f aca="false">SUMIFS(Piutang!$M$2:$M$1751,Piutang!$C$2:$C$1751,$A122,Piutang!$P$2:$P$1751,"61-90 hari")</f>
        <v>0</v>
      </c>
      <c r="I122" s="52" t="n">
        <f aca="false">SUMIFS(Piutang!$M$2:$M$1751,Piutang!$C$2:$C$1751,$A122,Piutang!$P$2:$P$1751,"90+ hari")</f>
        <v>0</v>
      </c>
      <c r="J122" s="52" t="n">
        <f aca="false">SUM(F122:I122)</f>
        <v>0</v>
      </c>
      <c r="K122" s="55" t="n">
        <f aca="false">IF(D122=0,0,J122/D122)</f>
        <v>0</v>
      </c>
    </row>
    <row r="123" customFormat="false" ht="15" hidden="false" customHeight="false" outlineLevel="0" collapsed="false">
      <c r="A123" s="50" t="s">
        <v>211</v>
      </c>
      <c r="B123" s="39" t="str">
        <f aca="false">INDEX(Master_Customer!$B$2:$B$126,MATCH(A123,Master_Customer!$A$2:$A$126,0))</f>
        <v>PRIMA MOBIL</v>
      </c>
      <c r="C123" s="39" t="n">
        <f aca="false">INDEX(Master_Customer!$C$2:$C$126,MATCH(A123,Master_Customer!$A$2:$A$126,0))</f>
        <v>0</v>
      </c>
      <c r="D123" s="52" t="n">
        <f aca="false">SUM(E123:I123)</f>
        <v>0</v>
      </c>
      <c r="E123" s="52" t="n">
        <f aca="false">SUMIFS(Piutang!$M$2:$M$1751,Piutang!$C$2:$C$1751,$A123,Piutang!$P$2:$P$1751,"Belum Jatuh Tempo")</f>
        <v>0</v>
      </c>
      <c r="F123" s="52" t="n">
        <f aca="false">SUMIFS(Piutang!$M$2:$M$1751,Piutang!$C$2:$C$1751,$A123,Piutang!$P$2:$P$1751,"1-30 hari")</f>
        <v>0</v>
      </c>
      <c r="G123" s="52" t="n">
        <f aca="false">SUMIFS(Piutang!$M$2:$M$1751,Piutang!$C$2:$C$1751,$A123,Piutang!$P$2:$P$1751,"31-60 hari")</f>
        <v>0</v>
      </c>
      <c r="H123" s="52" t="n">
        <f aca="false">SUMIFS(Piutang!$M$2:$M$1751,Piutang!$C$2:$C$1751,$A123,Piutang!$P$2:$P$1751,"61-90 hari")</f>
        <v>0</v>
      </c>
      <c r="I123" s="52" t="n">
        <f aca="false">SUMIFS(Piutang!$M$2:$M$1751,Piutang!$C$2:$C$1751,$A123,Piutang!$P$2:$P$1751,"90+ hari")</f>
        <v>0</v>
      </c>
      <c r="J123" s="52" t="n">
        <f aca="false">SUM(F123:I123)</f>
        <v>0</v>
      </c>
      <c r="K123" s="55" t="n">
        <f aca="false">IF(D123=0,0,J123/D123)</f>
        <v>0</v>
      </c>
    </row>
    <row r="124" customFormat="false" ht="15" hidden="false" customHeight="false" outlineLevel="0" collapsed="false">
      <c r="A124" s="50" t="s">
        <v>479</v>
      </c>
      <c r="B124" s="39" t="str">
        <f aca="false">INDEX(Master_Customer!$B$2:$B$126,MATCH(A124,Master_Customer!$A$2:$A$126,0))</f>
        <v>TIRTA TEKNIK TIRTA</v>
      </c>
      <c r="C124" s="39" t="n">
        <f aca="false">INDEX(Master_Customer!$C$2:$C$126,MATCH(A124,Master_Customer!$A$2:$A$126,0))</f>
        <v>30</v>
      </c>
      <c r="D124" s="52" t="n">
        <f aca="false">SUM(E124:I124)</f>
        <v>0</v>
      </c>
      <c r="E124" s="52" t="n">
        <f aca="false">SUMIFS(Piutang!$M$2:$M$1751,Piutang!$C$2:$C$1751,$A124,Piutang!$P$2:$P$1751,"Belum Jatuh Tempo")</f>
        <v>0</v>
      </c>
      <c r="F124" s="52" t="n">
        <f aca="false">SUMIFS(Piutang!$M$2:$M$1751,Piutang!$C$2:$C$1751,$A124,Piutang!$P$2:$P$1751,"1-30 hari")</f>
        <v>0</v>
      </c>
      <c r="G124" s="52" t="n">
        <f aca="false">SUMIFS(Piutang!$M$2:$M$1751,Piutang!$C$2:$C$1751,$A124,Piutang!$P$2:$P$1751,"31-60 hari")</f>
        <v>0</v>
      </c>
      <c r="H124" s="52" t="n">
        <f aca="false">SUMIFS(Piutang!$M$2:$M$1751,Piutang!$C$2:$C$1751,$A124,Piutang!$P$2:$P$1751,"61-90 hari")</f>
        <v>0</v>
      </c>
      <c r="I124" s="52" t="n">
        <f aca="false">SUMIFS(Piutang!$M$2:$M$1751,Piutang!$C$2:$C$1751,$A124,Piutang!$P$2:$P$1751,"90+ hari")</f>
        <v>0</v>
      </c>
      <c r="J124" s="52" t="n">
        <f aca="false">SUM(F124:I124)</f>
        <v>0</v>
      </c>
      <c r="K124" s="55" t="n">
        <f aca="false">IF(D124=0,0,J124/D124)</f>
        <v>0</v>
      </c>
    </row>
    <row r="125" customFormat="false" ht="15" hidden="false" customHeight="false" outlineLevel="0" collapsed="false">
      <c r="A125" s="50" t="s">
        <v>168</v>
      </c>
      <c r="B125" s="39" t="str">
        <f aca="false">INDEX(Master_Customer!$B$2:$B$126,MATCH(A125,Master_Customer!$A$2:$A$126,0))</f>
        <v>JAYA LUBRICANT</v>
      </c>
      <c r="C125" s="39" t="n">
        <f aca="false">INDEX(Master_Customer!$C$2:$C$126,MATCH(A125,Master_Customer!$A$2:$A$126,0))</f>
        <v>0</v>
      </c>
      <c r="D125" s="52" t="n">
        <f aca="false">SUM(E125:I125)</f>
        <v>0</v>
      </c>
      <c r="E125" s="52" t="n">
        <f aca="false">SUMIFS(Piutang!$M$2:$M$1751,Piutang!$C$2:$C$1751,$A125,Piutang!$P$2:$P$1751,"Belum Jatuh Tempo")</f>
        <v>0</v>
      </c>
      <c r="F125" s="52" t="n">
        <f aca="false">SUMIFS(Piutang!$M$2:$M$1751,Piutang!$C$2:$C$1751,$A125,Piutang!$P$2:$P$1751,"1-30 hari")</f>
        <v>0</v>
      </c>
      <c r="G125" s="52" t="n">
        <f aca="false">SUMIFS(Piutang!$M$2:$M$1751,Piutang!$C$2:$C$1751,$A125,Piutang!$P$2:$P$1751,"31-60 hari")</f>
        <v>0</v>
      </c>
      <c r="H125" s="52" t="n">
        <f aca="false">SUMIFS(Piutang!$M$2:$M$1751,Piutang!$C$2:$C$1751,$A125,Piutang!$P$2:$P$1751,"61-90 hari")</f>
        <v>0</v>
      </c>
      <c r="I125" s="52" t="n">
        <f aca="false">SUMIFS(Piutang!$M$2:$M$1751,Piutang!$C$2:$C$1751,$A125,Piutang!$P$2:$P$1751,"90+ hari")</f>
        <v>0</v>
      </c>
      <c r="J125" s="52" t="n">
        <f aca="false">SUM(F125:I125)</f>
        <v>0</v>
      </c>
      <c r="K125" s="55" t="n">
        <f aca="false">IF(D125=0,0,J125/D125)</f>
        <v>0</v>
      </c>
    </row>
    <row r="126" customFormat="false" ht="15" hidden="false" customHeight="false" outlineLevel="0" collapsed="false">
      <c r="A126" s="50" t="s">
        <v>778</v>
      </c>
      <c r="B126" s="39" t="str">
        <f aca="false">INDEX(Master_Customer!$B$2:$B$126,MATCH(A126,Master_Customer!$A$2:$A$126,0))</f>
        <v>BINTANG SERVICE MULIA</v>
      </c>
      <c r="C126" s="39" t="n">
        <f aca="false">INDEX(Master_Customer!$C$2:$C$126,MATCH(A126,Master_Customer!$A$2:$A$126,0))</f>
        <v>30</v>
      </c>
      <c r="D126" s="52" t="n">
        <f aca="false">SUM(E126:I126)</f>
        <v>0</v>
      </c>
      <c r="E126" s="52" t="n">
        <f aca="false">SUMIFS(Piutang!$M$2:$M$1751,Piutang!$C$2:$C$1751,$A126,Piutang!$P$2:$P$1751,"Belum Jatuh Tempo")</f>
        <v>0</v>
      </c>
      <c r="F126" s="52" t="n">
        <f aca="false">SUMIFS(Piutang!$M$2:$M$1751,Piutang!$C$2:$C$1751,$A126,Piutang!$P$2:$P$1751,"1-30 hari")</f>
        <v>0</v>
      </c>
      <c r="G126" s="52" t="n">
        <f aca="false">SUMIFS(Piutang!$M$2:$M$1751,Piutang!$C$2:$C$1751,$A126,Piutang!$P$2:$P$1751,"31-60 hari")</f>
        <v>0</v>
      </c>
      <c r="H126" s="52" t="n">
        <f aca="false">SUMIFS(Piutang!$M$2:$M$1751,Piutang!$C$2:$C$1751,$A126,Piutang!$P$2:$P$1751,"61-90 hari")</f>
        <v>0</v>
      </c>
      <c r="I126" s="52" t="n">
        <f aca="false">SUMIFS(Piutang!$M$2:$M$1751,Piutang!$C$2:$C$1751,$A126,Piutang!$P$2:$P$1751,"90+ hari")</f>
        <v>0</v>
      </c>
      <c r="J126" s="52" t="n">
        <f aca="false">SUM(F126:I126)</f>
        <v>0</v>
      </c>
      <c r="K126" s="55" t="n">
        <f aca="false">IF(D126=0,0,J126/D126)</f>
        <v>0</v>
      </c>
    </row>
    <row r="127" customFormat="false" ht="15" hidden="false" customHeight="false" outlineLevel="0" collapsed="false">
      <c r="A127" s="19" t="s">
        <v>18</v>
      </c>
      <c r="D127" s="46" t="n">
        <f aca="false">SUM(D2:D126)</f>
        <v>1208549400</v>
      </c>
      <c r="E127" s="46" t="n">
        <f aca="false">SUM(E2:E126)</f>
        <v>738129100</v>
      </c>
      <c r="F127" s="46" t="n">
        <f aca="false">SUM(F2:F126)</f>
        <v>204807200</v>
      </c>
      <c r="G127" s="46" t="n">
        <f aca="false">SUM(G2:G126)</f>
        <v>91756900</v>
      </c>
      <c r="H127" s="46" t="n">
        <f aca="false">SUM(H2:H126)</f>
        <v>28989900</v>
      </c>
      <c r="I127" s="46" t="n">
        <f aca="false">SUM(I2:I126)</f>
        <v>144866300</v>
      </c>
      <c r="J127" s="46" t="n">
        <f aca="false">SUM(J2:J126)</f>
        <v>470420300</v>
      </c>
      <c r="K127" s="56" t="n">
        <f aca="false">IF(D127=0,0,J127/D127)</f>
        <v>0.389243749572835</v>
      </c>
    </row>
  </sheetData>
  <autoFilter ref="A1:K126"/>
  <printOptions headings="false" gridLines="false" gridLinesSet="true" horizontalCentered="false" verticalCentered="false"/>
  <pageMargins left="0.5" right="0.5" top="0.6" bottom="0.6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Data sintetis - portofolio&amp;C&amp;8 Halaman &amp;P dari &amp;N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6"/>
    <col collapsed="false" customWidth="true" hidden="false" outlineLevel="0" max="3" min="3" style="0" width="13"/>
  </cols>
  <sheetData>
    <row r="1" customFormat="false" ht="31.5" hidden="false" customHeight="true" outlineLevel="0" collapsed="false">
      <c r="A1" s="3" t="s">
        <v>156</v>
      </c>
      <c r="B1" s="3" t="s">
        <v>35</v>
      </c>
      <c r="C1" s="3" t="s">
        <v>52</v>
      </c>
      <c r="E1" s="42" t="s">
        <v>2037</v>
      </c>
    </row>
    <row r="2" customFormat="false" ht="15" hidden="false" customHeight="false" outlineLevel="0" collapsed="false">
      <c r="A2" s="50" t="s">
        <v>373</v>
      </c>
      <c r="B2" s="50" t="s">
        <v>2038</v>
      </c>
      <c r="C2" s="50" t="n">
        <v>14</v>
      </c>
    </row>
    <row r="3" customFormat="false" ht="15" hidden="false" customHeight="false" outlineLevel="0" collapsed="false">
      <c r="A3" s="50" t="s">
        <v>237</v>
      </c>
      <c r="B3" s="50" t="s">
        <v>2039</v>
      </c>
      <c r="C3" s="50" t="n">
        <v>45</v>
      </c>
    </row>
    <row r="4" customFormat="false" ht="15" hidden="false" customHeight="false" outlineLevel="0" collapsed="false">
      <c r="A4" s="50" t="s">
        <v>191</v>
      </c>
      <c r="B4" s="50" t="s">
        <v>2040</v>
      </c>
      <c r="C4" s="50" t="n">
        <v>30</v>
      </c>
    </row>
    <row r="5" customFormat="false" ht="15" hidden="false" customHeight="false" outlineLevel="0" collapsed="false">
      <c r="A5" s="50" t="s">
        <v>278</v>
      </c>
      <c r="B5" s="50" t="s">
        <v>2041</v>
      </c>
      <c r="C5" s="50" t="n">
        <v>14</v>
      </c>
    </row>
    <row r="6" customFormat="false" ht="15" hidden="false" customHeight="false" outlineLevel="0" collapsed="false">
      <c r="A6" s="50" t="s">
        <v>416</v>
      </c>
      <c r="B6" s="50" t="s">
        <v>2042</v>
      </c>
      <c r="C6" s="50" t="n">
        <v>0</v>
      </c>
    </row>
    <row r="7" customFormat="false" ht="15" hidden="false" customHeight="false" outlineLevel="0" collapsed="false">
      <c r="A7" s="50" t="s">
        <v>465</v>
      </c>
      <c r="B7" s="50" t="s">
        <v>2043</v>
      </c>
      <c r="C7" s="50" t="n">
        <v>30</v>
      </c>
    </row>
    <row r="8" customFormat="false" ht="15" hidden="false" customHeight="false" outlineLevel="0" collapsed="false">
      <c r="A8" s="50" t="s">
        <v>1099</v>
      </c>
      <c r="B8" s="50" t="s">
        <v>2044</v>
      </c>
      <c r="C8" s="50" t="n">
        <v>30</v>
      </c>
    </row>
    <row r="9" customFormat="false" ht="15" hidden="false" customHeight="false" outlineLevel="0" collapsed="false">
      <c r="A9" s="50" t="s">
        <v>349</v>
      </c>
      <c r="B9" s="50" t="s">
        <v>2045</v>
      </c>
      <c r="C9" s="50" t="n">
        <v>14</v>
      </c>
    </row>
    <row r="10" customFormat="false" ht="15" hidden="false" customHeight="false" outlineLevel="0" collapsed="false">
      <c r="A10" s="50" t="s">
        <v>308</v>
      </c>
      <c r="B10" s="50" t="s">
        <v>2046</v>
      </c>
      <c r="C10" s="50" t="n">
        <v>14</v>
      </c>
    </row>
    <row r="11" customFormat="false" ht="15" hidden="false" customHeight="false" outlineLevel="0" collapsed="false">
      <c r="A11" s="50" t="s">
        <v>467</v>
      </c>
      <c r="B11" s="50" t="s">
        <v>2047</v>
      </c>
      <c r="C11" s="50" t="n">
        <v>14</v>
      </c>
    </row>
    <row r="12" customFormat="false" ht="15" hidden="false" customHeight="false" outlineLevel="0" collapsed="false">
      <c r="A12" s="50" t="s">
        <v>256</v>
      </c>
      <c r="B12" s="50" t="s">
        <v>2048</v>
      </c>
      <c r="C12" s="50" t="n">
        <v>45</v>
      </c>
    </row>
    <row r="13" customFormat="false" ht="15" hidden="false" customHeight="false" outlineLevel="0" collapsed="false">
      <c r="A13" s="50" t="s">
        <v>403</v>
      </c>
      <c r="B13" s="50" t="s">
        <v>2049</v>
      </c>
      <c r="C13" s="50" t="n">
        <v>14</v>
      </c>
    </row>
    <row r="14" customFormat="false" ht="15" hidden="false" customHeight="false" outlineLevel="0" collapsed="false">
      <c r="A14" s="50" t="s">
        <v>737</v>
      </c>
      <c r="B14" s="50" t="s">
        <v>2050</v>
      </c>
      <c r="C14" s="50" t="n">
        <v>45</v>
      </c>
    </row>
    <row r="15" customFormat="false" ht="15" hidden="false" customHeight="false" outlineLevel="0" collapsed="false">
      <c r="A15" s="50" t="s">
        <v>376</v>
      </c>
      <c r="B15" s="50" t="s">
        <v>2051</v>
      </c>
      <c r="C15" s="50" t="n">
        <v>30</v>
      </c>
    </row>
    <row r="16" customFormat="false" ht="15" hidden="false" customHeight="false" outlineLevel="0" collapsed="false">
      <c r="A16" s="50" t="s">
        <v>798</v>
      </c>
      <c r="B16" s="50" t="s">
        <v>2052</v>
      </c>
      <c r="C16" s="50" t="n">
        <v>30</v>
      </c>
    </row>
    <row r="17" customFormat="false" ht="15" hidden="false" customHeight="false" outlineLevel="0" collapsed="false">
      <c r="A17" s="50" t="s">
        <v>221</v>
      </c>
      <c r="B17" s="50" t="s">
        <v>2053</v>
      </c>
      <c r="C17" s="50" t="n">
        <v>14</v>
      </c>
    </row>
    <row r="18" customFormat="false" ht="15" hidden="false" customHeight="false" outlineLevel="0" collapsed="false">
      <c r="A18" s="50" t="s">
        <v>369</v>
      </c>
      <c r="B18" s="50" t="s">
        <v>2054</v>
      </c>
      <c r="C18" s="50" t="n">
        <v>30</v>
      </c>
    </row>
    <row r="19" customFormat="false" ht="15" hidden="false" customHeight="false" outlineLevel="0" collapsed="false">
      <c r="A19" s="50" t="s">
        <v>186</v>
      </c>
      <c r="B19" s="50" t="s">
        <v>2055</v>
      </c>
      <c r="C19" s="50" t="n">
        <v>30</v>
      </c>
    </row>
    <row r="20" customFormat="false" ht="15" hidden="false" customHeight="false" outlineLevel="0" collapsed="false">
      <c r="A20" s="50" t="s">
        <v>1170</v>
      </c>
      <c r="B20" s="50" t="s">
        <v>2056</v>
      </c>
      <c r="C20" s="50" t="n">
        <v>30</v>
      </c>
    </row>
    <row r="21" customFormat="false" ht="15" hidden="false" customHeight="false" outlineLevel="0" collapsed="false">
      <c r="A21" s="50" t="s">
        <v>317</v>
      </c>
      <c r="B21" s="50" t="s">
        <v>2057</v>
      </c>
      <c r="C21" s="50" t="n">
        <v>0</v>
      </c>
    </row>
    <row r="22" customFormat="false" ht="15" hidden="false" customHeight="false" outlineLevel="0" collapsed="false">
      <c r="A22" s="50" t="s">
        <v>293</v>
      </c>
      <c r="B22" s="50" t="s">
        <v>2058</v>
      </c>
      <c r="C22" s="50" t="n">
        <v>30</v>
      </c>
    </row>
    <row r="23" customFormat="false" ht="15" hidden="false" customHeight="false" outlineLevel="0" collapsed="false">
      <c r="A23" s="50" t="s">
        <v>325</v>
      </c>
      <c r="B23" s="50" t="s">
        <v>2059</v>
      </c>
      <c r="C23" s="50" t="n">
        <v>14</v>
      </c>
    </row>
    <row r="24" customFormat="false" ht="15" hidden="false" customHeight="false" outlineLevel="0" collapsed="false">
      <c r="A24" s="50" t="s">
        <v>395</v>
      </c>
      <c r="B24" s="50" t="s">
        <v>2060</v>
      </c>
      <c r="C24" s="50" t="n">
        <v>0</v>
      </c>
    </row>
    <row r="25" customFormat="false" ht="15" hidden="false" customHeight="false" outlineLevel="0" collapsed="false">
      <c r="A25" s="50" t="s">
        <v>447</v>
      </c>
      <c r="B25" s="50" t="s">
        <v>2061</v>
      </c>
      <c r="C25" s="50" t="n">
        <v>30</v>
      </c>
    </row>
    <row r="26" customFormat="false" ht="15" hidden="false" customHeight="false" outlineLevel="0" collapsed="false">
      <c r="A26" s="50" t="s">
        <v>179</v>
      </c>
      <c r="B26" s="50" t="s">
        <v>2062</v>
      </c>
      <c r="C26" s="50" t="n">
        <v>45</v>
      </c>
    </row>
    <row r="27" customFormat="false" ht="15" hidden="false" customHeight="false" outlineLevel="0" collapsed="false">
      <c r="A27" s="50" t="s">
        <v>436</v>
      </c>
      <c r="B27" s="50" t="s">
        <v>2063</v>
      </c>
      <c r="C27" s="50" t="n">
        <v>14</v>
      </c>
    </row>
    <row r="28" customFormat="false" ht="15" hidden="false" customHeight="false" outlineLevel="0" collapsed="false">
      <c r="A28" s="50" t="s">
        <v>286</v>
      </c>
      <c r="B28" s="50" t="s">
        <v>2064</v>
      </c>
      <c r="C28" s="50" t="n">
        <v>0</v>
      </c>
    </row>
    <row r="29" customFormat="false" ht="15" hidden="false" customHeight="false" outlineLevel="0" collapsed="false">
      <c r="A29" s="50" t="s">
        <v>1738</v>
      </c>
      <c r="B29" s="50" t="s">
        <v>2065</v>
      </c>
      <c r="C29" s="50" t="n">
        <v>45</v>
      </c>
    </row>
    <row r="30" customFormat="false" ht="15" hidden="false" customHeight="false" outlineLevel="0" collapsed="false">
      <c r="A30" s="50" t="s">
        <v>249</v>
      </c>
      <c r="B30" s="50" t="s">
        <v>2066</v>
      </c>
      <c r="C30" s="50" t="n">
        <v>45</v>
      </c>
    </row>
    <row r="31" customFormat="false" ht="15" hidden="false" customHeight="false" outlineLevel="0" collapsed="false">
      <c r="A31" s="50" t="s">
        <v>1399</v>
      </c>
      <c r="B31" s="50" t="s">
        <v>2067</v>
      </c>
      <c r="C31" s="50" t="n">
        <v>30</v>
      </c>
    </row>
    <row r="32" customFormat="false" ht="15" hidden="false" customHeight="false" outlineLevel="0" collapsed="false">
      <c r="A32" s="50" t="s">
        <v>216</v>
      </c>
      <c r="B32" s="50" t="s">
        <v>2068</v>
      </c>
      <c r="C32" s="50" t="n">
        <v>0</v>
      </c>
    </row>
    <row r="33" customFormat="false" ht="15" hidden="false" customHeight="false" outlineLevel="0" collapsed="false">
      <c r="A33" s="50" t="s">
        <v>234</v>
      </c>
      <c r="B33" s="50" t="s">
        <v>2069</v>
      </c>
      <c r="C33" s="50" t="n">
        <v>30</v>
      </c>
    </row>
    <row r="34" customFormat="false" ht="15" hidden="false" customHeight="false" outlineLevel="0" collapsed="false">
      <c r="A34" s="50" t="s">
        <v>241</v>
      </c>
      <c r="B34" s="50" t="s">
        <v>2070</v>
      </c>
      <c r="C34" s="50" t="n">
        <v>14</v>
      </c>
    </row>
    <row r="35" customFormat="false" ht="15" hidden="false" customHeight="false" outlineLevel="0" collapsed="false">
      <c r="A35" s="50" t="s">
        <v>634</v>
      </c>
      <c r="B35" s="50" t="s">
        <v>2071</v>
      </c>
      <c r="C35" s="50" t="n">
        <v>30</v>
      </c>
    </row>
    <row r="36" customFormat="false" ht="15" hidden="false" customHeight="false" outlineLevel="0" collapsed="false">
      <c r="A36" s="50" t="s">
        <v>203</v>
      </c>
      <c r="B36" s="50" t="s">
        <v>2072</v>
      </c>
      <c r="C36" s="50" t="n">
        <v>45</v>
      </c>
    </row>
    <row r="37" customFormat="false" ht="15" hidden="false" customHeight="false" outlineLevel="0" collapsed="false">
      <c r="A37" s="50" t="s">
        <v>693</v>
      </c>
      <c r="B37" s="50" t="s">
        <v>2073</v>
      </c>
      <c r="C37" s="50" t="n">
        <v>30</v>
      </c>
    </row>
    <row r="38" customFormat="false" ht="15" hidden="false" customHeight="false" outlineLevel="0" collapsed="false">
      <c r="A38" s="50" t="s">
        <v>259</v>
      </c>
      <c r="B38" s="50" t="s">
        <v>2074</v>
      </c>
      <c r="C38" s="50" t="n">
        <v>30</v>
      </c>
    </row>
    <row r="39" customFormat="false" ht="15" hidden="false" customHeight="false" outlineLevel="0" collapsed="false">
      <c r="A39" s="50" t="s">
        <v>562</v>
      </c>
      <c r="B39" s="50" t="s">
        <v>2075</v>
      </c>
      <c r="C39" s="50" t="n">
        <v>14</v>
      </c>
    </row>
    <row r="40" customFormat="false" ht="15" hidden="false" customHeight="false" outlineLevel="0" collapsed="false">
      <c r="A40" s="50" t="s">
        <v>271</v>
      </c>
      <c r="B40" s="50" t="s">
        <v>2076</v>
      </c>
      <c r="C40" s="50" t="n">
        <v>14</v>
      </c>
    </row>
    <row r="41" customFormat="false" ht="15" hidden="false" customHeight="false" outlineLevel="0" collapsed="false">
      <c r="A41" s="50" t="s">
        <v>209</v>
      </c>
      <c r="B41" s="50" t="s">
        <v>2077</v>
      </c>
      <c r="C41" s="50" t="n">
        <v>30</v>
      </c>
    </row>
    <row r="42" customFormat="false" ht="15" hidden="false" customHeight="false" outlineLevel="0" collapsed="false">
      <c r="A42" s="50" t="s">
        <v>266</v>
      </c>
      <c r="B42" s="50" t="s">
        <v>2078</v>
      </c>
      <c r="C42" s="50" t="n">
        <v>30</v>
      </c>
    </row>
    <row r="43" customFormat="false" ht="15" hidden="false" customHeight="false" outlineLevel="0" collapsed="false">
      <c r="A43" s="50" t="s">
        <v>405</v>
      </c>
      <c r="B43" s="50" t="s">
        <v>2079</v>
      </c>
      <c r="C43" s="50" t="n">
        <v>14</v>
      </c>
    </row>
    <row r="44" customFormat="false" ht="15" hidden="false" customHeight="false" outlineLevel="0" collapsed="false">
      <c r="A44" s="50" t="s">
        <v>223</v>
      </c>
      <c r="B44" s="50" t="s">
        <v>2080</v>
      </c>
      <c r="C44" s="50" t="n">
        <v>14</v>
      </c>
    </row>
    <row r="45" customFormat="false" ht="15" hidden="false" customHeight="false" outlineLevel="0" collapsed="false">
      <c r="A45" s="50" t="s">
        <v>261</v>
      </c>
      <c r="B45" s="50" t="s">
        <v>2081</v>
      </c>
      <c r="C45" s="50" t="n">
        <v>0</v>
      </c>
    </row>
    <row r="46" customFormat="false" ht="15" hidden="false" customHeight="false" outlineLevel="0" collapsed="false">
      <c r="A46" s="50" t="s">
        <v>296</v>
      </c>
      <c r="B46" s="50" t="s">
        <v>2082</v>
      </c>
      <c r="C46" s="50" t="n">
        <v>14</v>
      </c>
    </row>
    <row r="47" customFormat="false" ht="15" hidden="false" customHeight="false" outlineLevel="0" collapsed="false">
      <c r="A47" s="50" t="s">
        <v>199</v>
      </c>
      <c r="B47" s="50" t="s">
        <v>2083</v>
      </c>
      <c r="C47" s="50" t="n">
        <v>45</v>
      </c>
    </row>
    <row r="48" customFormat="false" ht="15" hidden="false" customHeight="false" outlineLevel="0" collapsed="false">
      <c r="A48" s="50" t="s">
        <v>354</v>
      </c>
      <c r="B48" s="50" t="s">
        <v>2084</v>
      </c>
      <c r="C48" s="50" t="n">
        <v>30</v>
      </c>
    </row>
    <row r="49" customFormat="false" ht="15" hidden="false" customHeight="false" outlineLevel="0" collapsed="false">
      <c r="A49" s="50" t="s">
        <v>166</v>
      </c>
      <c r="B49" s="50" t="s">
        <v>2085</v>
      </c>
      <c r="C49" s="50" t="n">
        <v>0</v>
      </c>
    </row>
    <row r="50" customFormat="false" ht="15" hidden="false" customHeight="false" outlineLevel="0" collapsed="false">
      <c r="A50" s="50" t="s">
        <v>174</v>
      </c>
      <c r="B50" s="50" t="s">
        <v>2086</v>
      </c>
      <c r="C50" s="50" t="n">
        <v>30</v>
      </c>
    </row>
    <row r="51" customFormat="false" ht="15" hidden="false" customHeight="false" outlineLevel="0" collapsed="false">
      <c r="A51" s="50" t="s">
        <v>358</v>
      </c>
      <c r="B51" s="50" t="s">
        <v>2087</v>
      </c>
      <c r="C51" s="50" t="n">
        <v>0</v>
      </c>
    </row>
    <row r="52" customFormat="false" ht="15" hidden="false" customHeight="false" outlineLevel="0" collapsed="false">
      <c r="A52" s="50" t="s">
        <v>247</v>
      </c>
      <c r="B52" s="50" t="s">
        <v>2088</v>
      </c>
      <c r="C52" s="50" t="n">
        <v>30</v>
      </c>
    </row>
    <row r="53" customFormat="false" ht="15" hidden="false" customHeight="false" outlineLevel="0" collapsed="false">
      <c r="A53" s="50" t="s">
        <v>269</v>
      </c>
      <c r="B53" s="50" t="s">
        <v>2089</v>
      </c>
      <c r="C53" s="50" t="n">
        <v>14</v>
      </c>
    </row>
    <row r="54" customFormat="false" ht="15" hidden="false" customHeight="false" outlineLevel="0" collapsed="false">
      <c r="A54" s="50" t="s">
        <v>540</v>
      </c>
      <c r="B54" s="50" t="s">
        <v>2090</v>
      </c>
      <c r="C54" s="50" t="n">
        <v>30</v>
      </c>
    </row>
    <row r="55" customFormat="false" ht="15" hidden="false" customHeight="false" outlineLevel="0" collapsed="false">
      <c r="A55" s="50" t="s">
        <v>666</v>
      </c>
      <c r="B55" s="50" t="s">
        <v>2091</v>
      </c>
      <c r="C55" s="50" t="n">
        <v>30</v>
      </c>
    </row>
    <row r="56" customFormat="false" ht="15" hidden="false" customHeight="false" outlineLevel="0" collapsed="false">
      <c r="A56" s="50" t="s">
        <v>284</v>
      </c>
      <c r="B56" s="50" t="s">
        <v>2092</v>
      </c>
      <c r="C56" s="50" t="n">
        <v>14</v>
      </c>
    </row>
    <row r="57" customFormat="false" ht="15" hidden="false" customHeight="false" outlineLevel="0" collapsed="false">
      <c r="A57" s="50" t="s">
        <v>967</v>
      </c>
      <c r="B57" s="50" t="s">
        <v>2093</v>
      </c>
      <c r="C57" s="50" t="n">
        <v>14</v>
      </c>
    </row>
    <row r="58" customFormat="false" ht="15" hidden="false" customHeight="false" outlineLevel="0" collapsed="false">
      <c r="A58" s="50" t="s">
        <v>681</v>
      </c>
      <c r="B58" s="50" t="s">
        <v>2094</v>
      </c>
      <c r="C58" s="50" t="n">
        <v>30</v>
      </c>
    </row>
    <row r="59" customFormat="false" ht="15" hidden="false" customHeight="false" outlineLevel="0" collapsed="false">
      <c r="A59" s="50" t="s">
        <v>207</v>
      </c>
      <c r="B59" s="50" t="s">
        <v>2095</v>
      </c>
      <c r="C59" s="50" t="n">
        <v>30</v>
      </c>
    </row>
    <row r="60" customFormat="false" ht="15" hidden="false" customHeight="false" outlineLevel="0" collapsed="false">
      <c r="A60" s="50" t="s">
        <v>367</v>
      </c>
      <c r="B60" s="50" t="s">
        <v>2096</v>
      </c>
      <c r="C60" s="50" t="n">
        <v>0</v>
      </c>
    </row>
    <row r="61" customFormat="false" ht="15" hidden="false" customHeight="false" outlineLevel="0" collapsed="false">
      <c r="A61" s="50" t="s">
        <v>365</v>
      </c>
      <c r="B61" s="50" t="s">
        <v>2097</v>
      </c>
      <c r="C61" s="50" t="n">
        <v>14</v>
      </c>
    </row>
    <row r="62" customFormat="false" ht="15" hidden="false" customHeight="false" outlineLevel="0" collapsed="false">
      <c r="A62" s="50" t="s">
        <v>523</v>
      </c>
      <c r="B62" s="50" t="s">
        <v>2098</v>
      </c>
      <c r="C62" s="50" t="n">
        <v>45</v>
      </c>
    </row>
    <row r="63" customFormat="false" ht="15" hidden="false" customHeight="false" outlineLevel="0" collapsed="false">
      <c r="A63" s="50" t="s">
        <v>1307</v>
      </c>
      <c r="B63" s="50" t="s">
        <v>2099</v>
      </c>
      <c r="C63" s="50" t="n">
        <v>0</v>
      </c>
    </row>
    <row r="64" customFormat="false" ht="15" hidden="false" customHeight="false" outlineLevel="0" collapsed="false">
      <c r="A64" s="50" t="s">
        <v>289</v>
      </c>
      <c r="B64" s="50" t="s">
        <v>2100</v>
      </c>
      <c r="C64" s="50" t="n">
        <v>30</v>
      </c>
    </row>
    <row r="65" customFormat="false" ht="15" hidden="false" customHeight="false" outlineLevel="0" collapsed="false">
      <c r="A65" s="50" t="s">
        <v>181</v>
      </c>
      <c r="B65" s="50" t="s">
        <v>2101</v>
      </c>
      <c r="C65" s="50" t="n">
        <v>14</v>
      </c>
    </row>
    <row r="66" customFormat="false" ht="15" hidden="false" customHeight="false" outlineLevel="0" collapsed="false">
      <c r="A66" s="50" t="s">
        <v>838</v>
      </c>
      <c r="B66" s="50" t="s">
        <v>2102</v>
      </c>
      <c r="C66" s="50" t="n">
        <v>30</v>
      </c>
    </row>
    <row r="67" customFormat="false" ht="15" hidden="false" customHeight="false" outlineLevel="0" collapsed="false">
      <c r="A67" s="50" t="s">
        <v>432</v>
      </c>
      <c r="B67" s="50" t="s">
        <v>2103</v>
      </c>
      <c r="C67" s="50" t="n">
        <v>30</v>
      </c>
    </row>
    <row r="68" customFormat="false" ht="15" hidden="false" customHeight="false" outlineLevel="0" collapsed="false">
      <c r="A68" s="50" t="s">
        <v>170</v>
      </c>
      <c r="B68" s="50" t="s">
        <v>2104</v>
      </c>
      <c r="C68" s="50" t="n">
        <v>45</v>
      </c>
    </row>
    <row r="69" customFormat="false" ht="15" hidden="false" customHeight="false" outlineLevel="0" collapsed="false">
      <c r="A69" s="50" t="s">
        <v>640</v>
      </c>
      <c r="B69" s="50" t="s">
        <v>2105</v>
      </c>
      <c r="C69" s="50" t="n">
        <v>30</v>
      </c>
    </row>
    <row r="70" customFormat="false" ht="15" hidden="false" customHeight="false" outlineLevel="0" collapsed="false">
      <c r="A70" s="50" t="s">
        <v>846</v>
      </c>
      <c r="B70" s="50" t="s">
        <v>2106</v>
      </c>
      <c r="C70" s="50" t="n">
        <v>14</v>
      </c>
    </row>
    <row r="71" customFormat="false" ht="15" hidden="false" customHeight="false" outlineLevel="0" collapsed="false">
      <c r="A71" s="50" t="s">
        <v>205</v>
      </c>
      <c r="B71" s="50" t="s">
        <v>2107</v>
      </c>
      <c r="C71" s="50" t="n">
        <v>0</v>
      </c>
    </row>
    <row r="72" customFormat="false" ht="15" hidden="false" customHeight="false" outlineLevel="0" collapsed="false">
      <c r="A72" s="50" t="s">
        <v>1200</v>
      </c>
      <c r="B72" s="50" t="s">
        <v>2108</v>
      </c>
      <c r="C72" s="50" t="n">
        <v>14</v>
      </c>
    </row>
    <row r="73" customFormat="false" ht="15" hidden="false" customHeight="false" outlineLevel="0" collapsed="false">
      <c r="A73" s="50" t="s">
        <v>505</v>
      </c>
      <c r="B73" s="50" t="s">
        <v>2109</v>
      </c>
      <c r="C73" s="50" t="n">
        <v>0</v>
      </c>
    </row>
    <row r="74" customFormat="false" ht="15" hidden="false" customHeight="false" outlineLevel="0" collapsed="false">
      <c r="A74" s="50" t="s">
        <v>574</v>
      </c>
      <c r="B74" s="50" t="s">
        <v>2110</v>
      </c>
      <c r="C74" s="50" t="n">
        <v>30</v>
      </c>
    </row>
    <row r="75" customFormat="false" ht="15" hidden="false" customHeight="false" outlineLevel="0" collapsed="false">
      <c r="A75" s="50" t="s">
        <v>239</v>
      </c>
      <c r="B75" s="50" t="s">
        <v>2111</v>
      </c>
      <c r="C75" s="50" t="n">
        <v>30</v>
      </c>
    </row>
    <row r="76" customFormat="false" ht="15" hidden="false" customHeight="false" outlineLevel="0" collapsed="false">
      <c r="A76" s="50" t="s">
        <v>421</v>
      </c>
      <c r="B76" s="50" t="s">
        <v>2112</v>
      </c>
      <c r="C76" s="50" t="n">
        <v>30</v>
      </c>
    </row>
    <row r="77" customFormat="false" ht="15" hidden="false" customHeight="false" outlineLevel="0" collapsed="false">
      <c r="A77" s="50" t="s">
        <v>197</v>
      </c>
      <c r="B77" s="50" t="s">
        <v>2113</v>
      </c>
      <c r="C77" s="50" t="n">
        <v>30</v>
      </c>
    </row>
    <row r="78" customFormat="false" ht="15" hidden="false" customHeight="false" outlineLevel="0" collapsed="false">
      <c r="A78" s="50" t="s">
        <v>481</v>
      </c>
      <c r="B78" s="50" t="s">
        <v>2114</v>
      </c>
      <c r="C78" s="50" t="n">
        <v>45</v>
      </c>
    </row>
    <row r="79" customFormat="false" ht="15" hidden="false" customHeight="false" outlineLevel="0" collapsed="false">
      <c r="A79" s="50" t="s">
        <v>419</v>
      </c>
      <c r="B79" s="50" t="s">
        <v>2115</v>
      </c>
      <c r="C79" s="50" t="n">
        <v>14</v>
      </c>
    </row>
    <row r="80" customFormat="false" ht="15" hidden="false" customHeight="false" outlineLevel="0" collapsed="false">
      <c r="A80" s="50" t="s">
        <v>230</v>
      </c>
      <c r="B80" s="50" t="s">
        <v>2116</v>
      </c>
      <c r="C80" s="50" t="n">
        <v>45</v>
      </c>
    </row>
    <row r="81" customFormat="false" ht="15" hidden="false" customHeight="false" outlineLevel="0" collapsed="false">
      <c r="A81" s="50" t="s">
        <v>1048</v>
      </c>
      <c r="B81" s="50" t="s">
        <v>2117</v>
      </c>
      <c r="C81" s="50" t="n">
        <v>30</v>
      </c>
    </row>
    <row r="82" customFormat="false" ht="15" hidden="false" customHeight="false" outlineLevel="0" collapsed="false">
      <c r="A82" s="50" t="s">
        <v>320</v>
      </c>
      <c r="B82" s="50" t="s">
        <v>2118</v>
      </c>
      <c r="C82" s="50" t="n">
        <v>14</v>
      </c>
    </row>
    <row r="83" customFormat="false" ht="15" hidden="false" customHeight="false" outlineLevel="0" collapsed="false">
      <c r="A83" s="50" t="s">
        <v>475</v>
      </c>
      <c r="B83" s="50" t="s">
        <v>2119</v>
      </c>
      <c r="C83" s="50" t="n">
        <v>30</v>
      </c>
    </row>
    <row r="84" customFormat="false" ht="15" hidden="false" customHeight="false" outlineLevel="0" collapsed="false">
      <c r="A84" s="50" t="s">
        <v>714</v>
      </c>
      <c r="B84" s="50" t="s">
        <v>2120</v>
      </c>
      <c r="C84" s="50" t="n">
        <v>30</v>
      </c>
    </row>
    <row r="85" customFormat="false" ht="15" hidden="false" customHeight="false" outlineLevel="0" collapsed="false">
      <c r="A85" s="50" t="s">
        <v>571</v>
      </c>
      <c r="B85" s="50" t="s">
        <v>2121</v>
      </c>
      <c r="C85" s="50" t="n">
        <v>14</v>
      </c>
    </row>
    <row r="86" customFormat="false" ht="15" hidden="false" customHeight="false" outlineLevel="0" collapsed="false">
      <c r="A86" s="50" t="s">
        <v>410</v>
      </c>
      <c r="B86" s="50" t="s">
        <v>2122</v>
      </c>
      <c r="C86" s="50" t="n">
        <v>14</v>
      </c>
    </row>
    <row r="87" customFormat="false" ht="15" hidden="false" customHeight="false" outlineLevel="0" collapsed="false">
      <c r="A87" s="50" t="s">
        <v>814</v>
      </c>
      <c r="B87" s="50" t="s">
        <v>2123</v>
      </c>
      <c r="C87" s="50" t="n">
        <v>30</v>
      </c>
    </row>
    <row r="88" customFormat="false" ht="15" hidden="false" customHeight="false" outlineLevel="0" collapsed="false">
      <c r="A88" s="50" t="s">
        <v>329</v>
      </c>
      <c r="B88" s="50" t="s">
        <v>2124</v>
      </c>
      <c r="C88" s="50" t="n">
        <v>45</v>
      </c>
    </row>
    <row r="89" customFormat="false" ht="15" hidden="false" customHeight="false" outlineLevel="0" collapsed="false">
      <c r="A89" s="50" t="s">
        <v>251</v>
      </c>
      <c r="B89" s="50" t="s">
        <v>2125</v>
      </c>
      <c r="C89" s="50" t="n">
        <v>45</v>
      </c>
    </row>
    <row r="90" customFormat="false" ht="15" hidden="false" customHeight="false" outlineLevel="0" collapsed="false">
      <c r="A90" s="50" t="s">
        <v>955</v>
      </c>
      <c r="B90" s="50" t="s">
        <v>2126</v>
      </c>
      <c r="C90" s="50" t="n">
        <v>30</v>
      </c>
    </row>
    <row r="91" customFormat="false" ht="15" hidden="false" customHeight="false" outlineLevel="0" collapsed="false">
      <c r="A91" s="50" t="s">
        <v>611</v>
      </c>
      <c r="B91" s="50" t="s">
        <v>2127</v>
      </c>
      <c r="C91" s="50" t="n">
        <v>14</v>
      </c>
    </row>
    <row r="92" customFormat="false" ht="15" hidden="false" customHeight="false" outlineLevel="0" collapsed="false">
      <c r="A92" s="50" t="s">
        <v>188</v>
      </c>
      <c r="B92" s="50" t="s">
        <v>2128</v>
      </c>
      <c r="C92" s="50" t="n">
        <v>45</v>
      </c>
    </row>
    <row r="93" customFormat="false" ht="15" hidden="false" customHeight="false" outlineLevel="0" collapsed="false">
      <c r="A93" s="50" t="s">
        <v>310</v>
      </c>
      <c r="B93" s="50" t="s">
        <v>2129</v>
      </c>
      <c r="C93" s="50" t="n">
        <v>14</v>
      </c>
    </row>
    <row r="94" customFormat="false" ht="15" hidden="false" customHeight="false" outlineLevel="0" collapsed="false">
      <c r="A94" s="50" t="s">
        <v>566</v>
      </c>
      <c r="B94" s="50" t="s">
        <v>2130</v>
      </c>
      <c r="C94" s="50" t="n">
        <v>14</v>
      </c>
    </row>
    <row r="95" customFormat="false" ht="15" hidden="false" customHeight="false" outlineLevel="0" collapsed="false">
      <c r="A95" s="50" t="s">
        <v>590</v>
      </c>
      <c r="B95" s="50" t="s">
        <v>2131</v>
      </c>
      <c r="C95" s="50" t="n">
        <v>30</v>
      </c>
    </row>
    <row r="96" customFormat="false" ht="15" hidden="false" customHeight="false" outlineLevel="0" collapsed="false">
      <c r="A96" s="50" t="s">
        <v>825</v>
      </c>
      <c r="B96" s="50" t="s">
        <v>2132</v>
      </c>
      <c r="C96" s="50" t="n">
        <v>14</v>
      </c>
    </row>
    <row r="97" customFormat="false" ht="15" hidden="false" customHeight="false" outlineLevel="0" collapsed="false">
      <c r="A97" s="50" t="s">
        <v>962</v>
      </c>
      <c r="B97" s="50" t="s">
        <v>2133</v>
      </c>
      <c r="C97" s="50" t="n">
        <v>14</v>
      </c>
    </row>
    <row r="98" customFormat="false" ht="15" hidden="false" customHeight="false" outlineLevel="0" collapsed="false">
      <c r="A98" s="50" t="s">
        <v>469</v>
      </c>
      <c r="B98" s="50" t="s">
        <v>2134</v>
      </c>
      <c r="C98" s="50" t="n">
        <v>45</v>
      </c>
    </row>
    <row r="99" customFormat="false" ht="15" hidden="false" customHeight="false" outlineLevel="0" collapsed="false">
      <c r="A99" s="50" t="s">
        <v>382</v>
      </c>
      <c r="B99" s="50" t="s">
        <v>2135</v>
      </c>
      <c r="C99" s="50" t="n">
        <v>30</v>
      </c>
    </row>
    <row r="100" customFormat="false" ht="15" hidden="false" customHeight="false" outlineLevel="0" collapsed="false">
      <c r="A100" s="50" t="s">
        <v>408</v>
      </c>
      <c r="B100" s="50" t="s">
        <v>2136</v>
      </c>
      <c r="C100" s="50" t="n">
        <v>45</v>
      </c>
    </row>
    <row r="101" customFormat="false" ht="15" hidden="false" customHeight="false" outlineLevel="0" collapsed="false">
      <c r="A101" s="50" t="s">
        <v>243</v>
      </c>
      <c r="B101" s="50" t="s">
        <v>2137</v>
      </c>
      <c r="C101" s="50" t="n">
        <v>45</v>
      </c>
    </row>
    <row r="102" customFormat="false" ht="15" hidden="false" customHeight="false" outlineLevel="0" collapsed="false">
      <c r="A102" s="50" t="s">
        <v>527</v>
      </c>
      <c r="B102" s="50" t="s">
        <v>2138</v>
      </c>
      <c r="C102" s="50" t="n">
        <v>14</v>
      </c>
    </row>
    <row r="103" customFormat="false" ht="15" hidden="false" customHeight="false" outlineLevel="0" collapsed="false">
      <c r="A103" s="50" t="s">
        <v>225</v>
      </c>
      <c r="B103" s="50" t="s">
        <v>2139</v>
      </c>
      <c r="C103" s="50" t="n">
        <v>0</v>
      </c>
    </row>
    <row r="104" customFormat="false" ht="15" hidden="false" customHeight="false" outlineLevel="0" collapsed="false">
      <c r="A104" s="50" t="s">
        <v>315</v>
      </c>
      <c r="B104" s="50" t="s">
        <v>2140</v>
      </c>
      <c r="C104" s="50" t="n">
        <v>30</v>
      </c>
    </row>
    <row r="105" customFormat="false" ht="15" hidden="false" customHeight="false" outlineLevel="0" collapsed="false">
      <c r="A105" s="50" t="s">
        <v>172</v>
      </c>
      <c r="B105" s="50" t="s">
        <v>2141</v>
      </c>
      <c r="C105" s="50" t="n">
        <v>30</v>
      </c>
    </row>
    <row r="106" customFormat="false" ht="15" hidden="false" customHeight="false" outlineLevel="0" collapsed="false">
      <c r="A106" s="50" t="s">
        <v>298</v>
      </c>
      <c r="B106" s="50" t="s">
        <v>2142</v>
      </c>
      <c r="C106" s="50" t="n">
        <v>14</v>
      </c>
    </row>
    <row r="107" customFormat="false" ht="15" hidden="false" customHeight="false" outlineLevel="0" collapsed="false">
      <c r="A107" s="50" t="s">
        <v>463</v>
      </c>
      <c r="B107" s="50" t="s">
        <v>2143</v>
      </c>
      <c r="C107" s="50" t="n">
        <v>30</v>
      </c>
    </row>
    <row r="108" customFormat="false" ht="15" hidden="false" customHeight="false" outlineLevel="0" collapsed="false">
      <c r="A108" s="50" t="s">
        <v>327</v>
      </c>
      <c r="B108" s="50" t="s">
        <v>2144</v>
      </c>
      <c r="C108" s="50" t="n">
        <v>14</v>
      </c>
    </row>
    <row r="109" customFormat="false" ht="15" hidden="false" customHeight="false" outlineLevel="0" collapsed="false">
      <c r="A109" s="50" t="s">
        <v>218</v>
      </c>
      <c r="B109" s="50" t="s">
        <v>2145</v>
      </c>
      <c r="C109" s="50" t="n">
        <v>0</v>
      </c>
    </row>
    <row r="110" customFormat="false" ht="15" hidden="false" customHeight="false" outlineLevel="0" collapsed="false">
      <c r="A110" s="50" t="s">
        <v>1487</v>
      </c>
      <c r="B110" s="50" t="s">
        <v>2146</v>
      </c>
      <c r="C110" s="50" t="n">
        <v>0</v>
      </c>
    </row>
    <row r="111" customFormat="false" ht="15" hidden="false" customHeight="false" outlineLevel="0" collapsed="false">
      <c r="A111" s="50" t="s">
        <v>766</v>
      </c>
      <c r="B111" s="50" t="s">
        <v>2147</v>
      </c>
      <c r="C111" s="50" t="n">
        <v>30</v>
      </c>
    </row>
    <row r="112" customFormat="false" ht="15" hidden="false" customHeight="false" outlineLevel="0" collapsed="false">
      <c r="A112" s="50" t="s">
        <v>177</v>
      </c>
      <c r="B112" s="50" t="s">
        <v>2148</v>
      </c>
      <c r="C112" s="50" t="n">
        <v>14</v>
      </c>
    </row>
    <row r="113" customFormat="false" ht="15" hidden="false" customHeight="false" outlineLevel="0" collapsed="false">
      <c r="A113" s="50" t="s">
        <v>560</v>
      </c>
      <c r="B113" s="50" t="s">
        <v>2149</v>
      </c>
      <c r="C113" s="50" t="n">
        <v>30</v>
      </c>
    </row>
    <row r="114" customFormat="false" ht="15" hidden="false" customHeight="false" outlineLevel="0" collapsed="false">
      <c r="A114" s="50" t="s">
        <v>491</v>
      </c>
      <c r="B114" s="50" t="s">
        <v>2150</v>
      </c>
      <c r="C114" s="50" t="n">
        <v>0</v>
      </c>
    </row>
    <row r="115" customFormat="false" ht="15" hidden="false" customHeight="false" outlineLevel="0" collapsed="false">
      <c r="A115" s="50" t="s">
        <v>430</v>
      </c>
      <c r="B115" s="50" t="s">
        <v>2151</v>
      </c>
      <c r="C115" s="50" t="n">
        <v>30</v>
      </c>
    </row>
    <row r="116" customFormat="false" ht="15" hidden="false" customHeight="false" outlineLevel="0" collapsed="false">
      <c r="A116" s="50" t="s">
        <v>213</v>
      </c>
      <c r="B116" s="50" t="s">
        <v>2152</v>
      </c>
      <c r="C116" s="50" t="n">
        <v>30</v>
      </c>
    </row>
    <row r="117" customFormat="false" ht="15" hidden="false" customHeight="false" outlineLevel="0" collapsed="false">
      <c r="A117" s="50" t="s">
        <v>195</v>
      </c>
      <c r="B117" s="50" t="s">
        <v>2153</v>
      </c>
      <c r="C117" s="50" t="n">
        <v>14</v>
      </c>
    </row>
    <row r="118" customFormat="false" ht="15" hidden="false" customHeight="false" outlineLevel="0" collapsed="false">
      <c r="A118" s="50" t="s">
        <v>232</v>
      </c>
      <c r="B118" s="50" t="s">
        <v>2154</v>
      </c>
      <c r="C118" s="50" t="n">
        <v>14</v>
      </c>
    </row>
    <row r="119" customFormat="false" ht="15" hidden="false" customHeight="false" outlineLevel="0" collapsed="false">
      <c r="A119" s="50" t="s">
        <v>1147</v>
      </c>
      <c r="B119" s="50" t="s">
        <v>2155</v>
      </c>
      <c r="C119" s="50" t="n">
        <v>30</v>
      </c>
    </row>
    <row r="120" customFormat="false" ht="15" hidden="false" customHeight="false" outlineLevel="0" collapsed="false">
      <c r="A120" s="50" t="s">
        <v>228</v>
      </c>
      <c r="B120" s="50" t="s">
        <v>2156</v>
      </c>
      <c r="C120" s="50" t="n">
        <v>30</v>
      </c>
    </row>
    <row r="121" customFormat="false" ht="15" hidden="false" customHeight="false" outlineLevel="0" collapsed="false">
      <c r="A121" s="50" t="s">
        <v>193</v>
      </c>
      <c r="B121" s="50" t="s">
        <v>2157</v>
      </c>
      <c r="C121" s="50" t="n">
        <v>14</v>
      </c>
    </row>
    <row r="122" customFormat="false" ht="15" hidden="false" customHeight="false" outlineLevel="0" collapsed="false">
      <c r="A122" s="50" t="s">
        <v>211</v>
      </c>
      <c r="B122" s="50" t="s">
        <v>2158</v>
      </c>
      <c r="C122" s="50" t="n">
        <v>0</v>
      </c>
    </row>
    <row r="123" customFormat="false" ht="15" hidden="false" customHeight="false" outlineLevel="0" collapsed="false">
      <c r="A123" s="50" t="s">
        <v>479</v>
      </c>
      <c r="B123" s="50" t="s">
        <v>2159</v>
      </c>
      <c r="C123" s="50" t="n">
        <v>30</v>
      </c>
    </row>
    <row r="124" customFormat="false" ht="15" hidden="false" customHeight="false" outlineLevel="0" collapsed="false">
      <c r="A124" s="50" t="s">
        <v>168</v>
      </c>
      <c r="B124" s="50" t="s">
        <v>2160</v>
      </c>
      <c r="C124" s="50" t="n">
        <v>0</v>
      </c>
    </row>
    <row r="125" customFormat="false" ht="15" hidden="false" customHeight="false" outlineLevel="0" collapsed="false">
      <c r="A125" s="50" t="s">
        <v>280</v>
      </c>
      <c r="B125" s="50" t="s">
        <v>2161</v>
      </c>
      <c r="C125" s="50" t="n">
        <v>30</v>
      </c>
    </row>
    <row r="126" customFormat="false" ht="15" hidden="false" customHeight="false" outlineLevel="0" collapsed="false">
      <c r="A126" s="50" t="s">
        <v>778</v>
      </c>
      <c r="B126" s="50" t="s">
        <v>2162</v>
      </c>
      <c r="C126" s="50" t="n">
        <v>30</v>
      </c>
    </row>
  </sheetData>
  <printOptions headings="false" gridLines="false" gridLinesSet="true" horizontalCentered="false" verticalCentered="false"/>
  <pageMargins left="0.5" right="0.5" top="0.6" bottom="0.6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&amp;L&amp;8 Data sintetis - portofolio&amp;C&amp;8 Halaman &amp;P dari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1"/>
    <col collapsed="false" customWidth="true" hidden="false" outlineLevel="0" max="4" min="4" style="0" width="42"/>
    <col collapsed="false" customWidth="true" hidden="false" outlineLevel="0" max="6" min="5" style="0" width="7"/>
    <col collapsed="false" customWidth="true" hidden="false" outlineLevel="0" max="7" min="7" style="0" width="16"/>
  </cols>
  <sheetData>
    <row r="1" customFormat="false" ht="31.5" hidden="false" customHeight="true" outlineLevel="0" collapsed="false">
      <c r="A1" s="3" t="s">
        <v>103</v>
      </c>
      <c r="B1" s="3" t="s">
        <v>2163</v>
      </c>
      <c r="C1" s="3" t="s">
        <v>156</v>
      </c>
      <c r="D1" s="3" t="s">
        <v>2164</v>
      </c>
      <c r="E1" s="3" t="s">
        <v>91</v>
      </c>
      <c r="F1" s="3" t="s">
        <v>92</v>
      </c>
      <c r="G1" s="3" t="s">
        <v>2165</v>
      </c>
    </row>
    <row r="2" customFormat="false" ht="15" hidden="false" customHeight="false" outlineLevel="0" collapsed="false">
      <c r="A2" s="50" t="s">
        <v>165</v>
      </c>
      <c r="B2" s="51" t="n">
        <v>45659</v>
      </c>
      <c r="C2" s="50" t="s">
        <v>166</v>
      </c>
      <c r="D2" s="50" t="s">
        <v>2166</v>
      </c>
      <c r="E2" s="50" t="n">
        <v>1</v>
      </c>
      <c r="F2" s="50" t="s">
        <v>2167</v>
      </c>
      <c r="G2" s="54" t="n">
        <v>542000</v>
      </c>
    </row>
    <row r="3" customFormat="false" ht="15" hidden="false" customHeight="false" outlineLevel="0" collapsed="false">
      <c r="A3" s="50" t="s">
        <v>165</v>
      </c>
      <c r="B3" s="51" t="n">
        <v>45659</v>
      </c>
      <c r="C3" s="50" t="s">
        <v>166</v>
      </c>
      <c r="D3" s="50" t="s">
        <v>2168</v>
      </c>
      <c r="E3" s="50" t="n">
        <v>2</v>
      </c>
      <c r="F3" s="50" t="s">
        <v>2167</v>
      </c>
      <c r="G3" s="54" t="n">
        <v>842500</v>
      </c>
    </row>
    <row r="4" customFormat="false" ht="15" hidden="false" customHeight="false" outlineLevel="0" collapsed="false">
      <c r="A4" s="50" t="s">
        <v>165</v>
      </c>
      <c r="B4" s="51" t="n">
        <v>45659</v>
      </c>
      <c r="C4" s="50" t="s">
        <v>166</v>
      </c>
      <c r="D4" s="50" t="s">
        <v>2169</v>
      </c>
      <c r="E4" s="50" t="n">
        <v>2</v>
      </c>
      <c r="F4" s="50" t="s">
        <v>2167</v>
      </c>
      <c r="G4" s="54" t="n">
        <v>1253600</v>
      </c>
    </row>
    <row r="5" customFormat="false" ht="15" hidden="false" customHeight="false" outlineLevel="0" collapsed="false">
      <c r="A5" s="50" t="s">
        <v>165</v>
      </c>
      <c r="B5" s="51" t="n">
        <v>45659</v>
      </c>
      <c r="C5" s="50" t="s">
        <v>166</v>
      </c>
      <c r="D5" s="50" t="s">
        <v>2170</v>
      </c>
      <c r="E5" s="50" t="n">
        <v>1</v>
      </c>
      <c r="F5" s="50" t="s">
        <v>2171</v>
      </c>
      <c r="G5" s="54" t="n">
        <v>7313400</v>
      </c>
    </row>
    <row r="6" customFormat="false" ht="15" hidden="false" customHeight="false" outlineLevel="0" collapsed="false">
      <c r="A6" s="50" t="s">
        <v>167</v>
      </c>
      <c r="B6" s="51" t="n">
        <v>45659</v>
      </c>
      <c r="C6" s="50" t="s">
        <v>168</v>
      </c>
      <c r="D6" s="50" t="s">
        <v>2172</v>
      </c>
      <c r="E6" s="50" t="n">
        <v>8</v>
      </c>
      <c r="F6" s="50" t="s">
        <v>2167</v>
      </c>
      <c r="G6" s="54" t="n">
        <v>4042800</v>
      </c>
    </row>
    <row r="7" customFormat="false" ht="15" hidden="false" customHeight="false" outlineLevel="0" collapsed="false">
      <c r="A7" s="50" t="s">
        <v>167</v>
      </c>
      <c r="B7" s="51" t="n">
        <v>45659</v>
      </c>
      <c r="C7" s="50" t="s">
        <v>168</v>
      </c>
      <c r="D7" s="50" t="s">
        <v>2170</v>
      </c>
      <c r="E7" s="50" t="n">
        <v>1</v>
      </c>
      <c r="F7" s="50" t="s">
        <v>2171</v>
      </c>
      <c r="G7" s="54" t="n">
        <v>7696200</v>
      </c>
    </row>
    <row r="8" customFormat="false" ht="15" hidden="false" customHeight="false" outlineLevel="0" collapsed="false">
      <c r="A8" s="50" t="s">
        <v>167</v>
      </c>
      <c r="B8" s="51" t="n">
        <v>45659</v>
      </c>
      <c r="C8" s="50" t="s">
        <v>168</v>
      </c>
      <c r="D8" s="50" t="s">
        <v>2173</v>
      </c>
      <c r="E8" s="50" t="n">
        <v>3</v>
      </c>
      <c r="F8" s="50" t="s">
        <v>2174</v>
      </c>
      <c r="G8" s="54" t="n">
        <v>2482500</v>
      </c>
    </row>
    <row r="9" customFormat="false" ht="15" hidden="false" customHeight="false" outlineLevel="0" collapsed="false">
      <c r="A9" s="50" t="s">
        <v>169</v>
      </c>
      <c r="B9" s="51" t="n">
        <v>45660</v>
      </c>
      <c r="C9" s="50" t="s">
        <v>170</v>
      </c>
      <c r="D9" s="50" t="s">
        <v>2168</v>
      </c>
      <c r="E9" s="50" t="n">
        <v>3</v>
      </c>
      <c r="F9" s="50" t="s">
        <v>2167</v>
      </c>
      <c r="G9" s="54" t="n">
        <v>1271400</v>
      </c>
    </row>
    <row r="10" customFormat="false" ht="15" hidden="false" customHeight="false" outlineLevel="0" collapsed="false">
      <c r="A10" s="50" t="s">
        <v>169</v>
      </c>
      <c r="B10" s="51" t="n">
        <v>45660</v>
      </c>
      <c r="C10" s="50" t="s">
        <v>170</v>
      </c>
      <c r="D10" s="50" t="s">
        <v>2175</v>
      </c>
      <c r="E10" s="50" t="n">
        <v>5</v>
      </c>
      <c r="F10" s="50" t="s">
        <v>2167</v>
      </c>
      <c r="G10" s="54" t="n">
        <v>3242200</v>
      </c>
    </row>
    <row r="11" customFormat="false" ht="15" hidden="false" customHeight="false" outlineLevel="0" collapsed="false">
      <c r="A11" s="50" t="s">
        <v>169</v>
      </c>
      <c r="B11" s="51" t="n">
        <v>45660</v>
      </c>
      <c r="C11" s="50" t="s">
        <v>170</v>
      </c>
      <c r="D11" s="50" t="s">
        <v>2176</v>
      </c>
      <c r="E11" s="50" t="n">
        <v>3</v>
      </c>
      <c r="F11" s="50" t="s">
        <v>2167</v>
      </c>
      <c r="G11" s="54" t="n">
        <v>1279100</v>
      </c>
    </row>
    <row r="12" customFormat="false" ht="15" hidden="false" customHeight="false" outlineLevel="0" collapsed="false">
      <c r="A12" s="50" t="s">
        <v>169</v>
      </c>
      <c r="B12" s="51" t="n">
        <v>45660</v>
      </c>
      <c r="C12" s="50" t="s">
        <v>170</v>
      </c>
      <c r="D12" s="50" t="s">
        <v>2169</v>
      </c>
      <c r="E12" s="50" t="n">
        <v>7</v>
      </c>
      <c r="F12" s="50" t="s">
        <v>2167</v>
      </c>
      <c r="G12" s="54" t="n">
        <v>4321600</v>
      </c>
    </row>
    <row r="13" customFormat="false" ht="15" hidden="false" customHeight="false" outlineLevel="0" collapsed="false">
      <c r="A13" s="50" t="s">
        <v>169</v>
      </c>
      <c r="B13" s="51" t="n">
        <v>45660</v>
      </c>
      <c r="C13" s="50" t="s">
        <v>170</v>
      </c>
      <c r="D13" s="50" t="s">
        <v>2177</v>
      </c>
      <c r="E13" s="50" t="n">
        <v>2</v>
      </c>
      <c r="F13" s="50" t="s">
        <v>2174</v>
      </c>
      <c r="G13" s="54" t="n">
        <v>2258900</v>
      </c>
    </row>
    <row r="14" customFormat="false" ht="15" hidden="false" customHeight="false" outlineLevel="0" collapsed="false">
      <c r="A14" s="50" t="s">
        <v>171</v>
      </c>
      <c r="B14" s="51" t="n">
        <v>45660</v>
      </c>
      <c r="C14" s="50" t="s">
        <v>172</v>
      </c>
      <c r="D14" s="50" t="s">
        <v>2178</v>
      </c>
      <c r="E14" s="50" t="n">
        <v>7</v>
      </c>
      <c r="F14" s="50" t="s">
        <v>2167</v>
      </c>
      <c r="G14" s="54" t="n">
        <v>3321200</v>
      </c>
    </row>
    <row r="15" customFormat="false" ht="15" hidden="false" customHeight="false" outlineLevel="0" collapsed="false">
      <c r="A15" s="50" t="s">
        <v>171</v>
      </c>
      <c r="B15" s="51" t="n">
        <v>45660</v>
      </c>
      <c r="C15" s="50" t="s">
        <v>172</v>
      </c>
      <c r="D15" s="50" t="s">
        <v>2179</v>
      </c>
      <c r="E15" s="50" t="n">
        <v>7</v>
      </c>
      <c r="F15" s="50" t="s">
        <v>2174</v>
      </c>
      <c r="G15" s="54" t="n">
        <v>8474600</v>
      </c>
    </row>
    <row r="16" customFormat="false" ht="15" hidden="false" customHeight="false" outlineLevel="0" collapsed="false">
      <c r="A16" s="50" t="s">
        <v>171</v>
      </c>
      <c r="B16" s="51" t="n">
        <v>45660</v>
      </c>
      <c r="C16" s="50" t="s">
        <v>172</v>
      </c>
      <c r="D16" s="50" t="s">
        <v>2176</v>
      </c>
      <c r="E16" s="50" t="n">
        <v>8</v>
      </c>
      <c r="F16" s="50" t="s">
        <v>2167</v>
      </c>
      <c r="G16" s="54" t="n">
        <v>3228000</v>
      </c>
    </row>
    <row r="17" customFormat="false" ht="15" hidden="false" customHeight="false" outlineLevel="0" collapsed="false">
      <c r="A17" s="50" t="s">
        <v>171</v>
      </c>
      <c r="B17" s="51" t="n">
        <v>45660</v>
      </c>
      <c r="C17" s="50" t="s">
        <v>172</v>
      </c>
      <c r="D17" s="50" t="s">
        <v>2173</v>
      </c>
      <c r="E17" s="50" t="n">
        <v>3</v>
      </c>
      <c r="F17" s="50" t="s">
        <v>2174</v>
      </c>
      <c r="G17" s="54" t="n">
        <v>2342600</v>
      </c>
    </row>
    <row r="18" customFormat="false" ht="15" hidden="false" customHeight="false" outlineLevel="0" collapsed="false">
      <c r="A18" s="50" t="s">
        <v>171</v>
      </c>
      <c r="B18" s="51" t="n">
        <v>45660</v>
      </c>
      <c r="C18" s="50" t="s">
        <v>172</v>
      </c>
      <c r="D18" s="50" t="s">
        <v>2180</v>
      </c>
      <c r="E18" s="50" t="n">
        <v>1</v>
      </c>
      <c r="F18" s="50" t="s">
        <v>2167</v>
      </c>
      <c r="G18" s="54" t="n">
        <v>467100</v>
      </c>
    </row>
    <row r="19" customFormat="false" ht="15" hidden="false" customHeight="false" outlineLevel="0" collapsed="false">
      <c r="A19" s="50" t="s">
        <v>173</v>
      </c>
      <c r="B19" s="51" t="n">
        <v>45660</v>
      </c>
      <c r="C19" s="50" t="s">
        <v>174</v>
      </c>
      <c r="D19" s="50" t="s">
        <v>2176</v>
      </c>
      <c r="E19" s="50" t="n">
        <v>2</v>
      </c>
      <c r="F19" s="50" t="s">
        <v>2167</v>
      </c>
      <c r="G19" s="54" t="n">
        <v>846800</v>
      </c>
    </row>
    <row r="20" customFormat="false" ht="15" hidden="false" customHeight="false" outlineLevel="0" collapsed="false">
      <c r="A20" s="50" t="s">
        <v>175</v>
      </c>
      <c r="B20" s="51" t="n">
        <v>45660</v>
      </c>
      <c r="C20" s="50" t="s">
        <v>166</v>
      </c>
      <c r="D20" s="50" t="s">
        <v>2169</v>
      </c>
      <c r="E20" s="50" t="n">
        <v>6</v>
      </c>
      <c r="F20" s="50" t="s">
        <v>2167</v>
      </c>
      <c r="G20" s="54" t="n">
        <v>3815100</v>
      </c>
    </row>
    <row r="21" customFormat="false" ht="15" hidden="false" customHeight="false" outlineLevel="0" collapsed="false">
      <c r="A21" s="50" t="s">
        <v>175</v>
      </c>
      <c r="B21" s="51" t="n">
        <v>45660</v>
      </c>
      <c r="C21" s="50" t="s">
        <v>166</v>
      </c>
      <c r="D21" s="50" t="s">
        <v>2181</v>
      </c>
      <c r="E21" s="50" t="n">
        <v>1</v>
      </c>
      <c r="F21" s="50" t="s">
        <v>2167</v>
      </c>
      <c r="G21" s="54" t="n">
        <v>1109100</v>
      </c>
    </row>
    <row r="22" customFormat="false" ht="15" hidden="false" customHeight="false" outlineLevel="0" collapsed="false">
      <c r="A22" s="50" t="s">
        <v>175</v>
      </c>
      <c r="B22" s="51" t="n">
        <v>45660</v>
      </c>
      <c r="C22" s="50" t="s">
        <v>166</v>
      </c>
      <c r="D22" s="50" t="s">
        <v>2180</v>
      </c>
      <c r="E22" s="50" t="n">
        <v>5</v>
      </c>
      <c r="F22" s="50" t="s">
        <v>2167</v>
      </c>
      <c r="G22" s="54" t="n">
        <v>2298000</v>
      </c>
    </row>
    <row r="23" customFormat="false" ht="15" hidden="false" customHeight="false" outlineLevel="0" collapsed="false">
      <c r="A23" s="50" t="s">
        <v>175</v>
      </c>
      <c r="B23" s="51" t="n">
        <v>45660</v>
      </c>
      <c r="C23" s="50" t="s">
        <v>166</v>
      </c>
      <c r="D23" s="50" t="s">
        <v>2182</v>
      </c>
      <c r="E23" s="50" t="n">
        <v>5</v>
      </c>
      <c r="F23" s="50" t="s">
        <v>2174</v>
      </c>
      <c r="G23" s="54" t="n">
        <v>4688900</v>
      </c>
    </row>
    <row r="24" customFormat="false" ht="15" hidden="false" customHeight="false" outlineLevel="0" collapsed="false">
      <c r="A24" s="50" t="s">
        <v>176</v>
      </c>
      <c r="B24" s="51" t="n">
        <v>45660</v>
      </c>
      <c r="C24" s="50" t="s">
        <v>177</v>
      </c>
      <c r="D24" s="50" t="s">
        <v>2179</v>
      </c>
      <c r="E24" s="50" t="n">
        <v>7</v>
      </c>
      <c r="F24" s="50" t="s">
        <v>2174</v>
      </c>
      <c r="G24" s="54" t="n">
        <v>8746500</v>
      </c>
    </row>
    <row r="25" customFormat="false" ht="15" hidden="false" customHeight="false" outlineLevel="0" collapsed="false">
      <c r="A25" s="50" t="s">
        <v>176</v>
      </c>
      <c r="B25" s="51" t="n">
        <v>45660</v>
      </c>
      <c r="C25" s="50" t="s">
        <v>177</v>
      </c>
      <c r="D25" s="50" t="s">
        <v>2180</v>
      </c>
      <c r="E25" s="50" t="n">
        <v>8</v>
      </c>
      <c r="F25" s="50" t="s">
        <v>2167</v>
      </c>
      <c r="G25" s="54" t="n">
        <v>3654700</v>
      </c>
    </row>
    <row r="26" customFormat="false" ht="15" hidden="false" customHeight="false" outlineLevel="0" collapsed="false">
      <c r="A26" s="50" t="s">
        <v>176</v>
      </c>
      <c r="B26" s="51" t="n">
        <v>45660</v>
      </c>
      <c r="C26" s="50" t="s">
        <v>177</v>
      </c>
      <c r="D26" s="50" t="s">
        <v>2182</v>
      </c>
      <c r="E26" s="50" t="n">
        <v>4</v>
      </c>
      <c r="F26" s="50" t="s">
        <v>2174</v>
      </c>
      <c r="G26" s="54" t="n">
        <v>3752300</v>
      </c>
    </row>
    <row r="27" customFormat="false" ht="15" hidden="false" customHeight="false" outlineLevel="0" collapsed="false">
      <c r="A27" s="50" t="s">
        <v>178</v>
      </c>
      <c r="B27" s="51" t="n">
        <v>45661</v>
      </c>
      <c r="C27" s="50" t="s">
        <v>179</v>
      </c>
      <c r="D27" s="50" t="s">
        <v>2168</v>
      </c>
      <c r="E27" s="50" t="n">
        <v>6</v>
      </c>
      <c r="F27" s="50" t="s">
        <v>2167</v>
      </c>
      <c r="G27" s="54" t="n">
        <v>2579200</v>
      </c>
    </row>
    <row r="28" customFormat="false" ht="15" hidden="false" customHeight="false" outlineLevel="0" collapsed="false">
      <c r="A28" s="50" t="s">
        <v>178</v>
      </c>
      <c r="B28" s="51" t="n">
        <v>45661</v>
      </c>
      <c r="C28" s="50" t="s">
        <v>179</v>
      </c>
      <c r="D28" s="50" t="s">
        <v>2180</v>
      </c>
      <c r="E28" s="50" t="n">
        <v>5</v>
      </c>
      <c r="F28" s="50" t="s">
        <v>2167</v>
      </c>
      <c r="G28" s="54" t="n">
        <v>2279300</v>
      </c>
    </row>
    <row r="29" customFormat="false" ht="15" hidden="false" customHeight="false" outlineLevel="0" collapsed="false">
      <c r="A29" s="50" t="s">
        <v>178</v>
      </c>
      <c r="B29" s="51" t="n">
        <v>45661</v>
      </c>
      <c r="C29" s="50" t="s">
        <v>179</v>
      </c>
      <c r="D29" s="50" t="s">
        <v>2183</v>
      </c>
      <c r="E29" s="50" t="n">
        <v>8</v>
      </c>
      <c r="F29" s="50" t="s">
        <v>2167</v>
      </c>
      <c r="G29" s="54" t="n">
        <v>3037900</v>
      </c>
    </row>
    <row r="30" customFormat="false" ht="15" hidden="false" customHeight="false" outlineLevel="0" collapsed="false">
      <c r="A30" s="50" t="s">
        <v>178</v>
      </c>
      <c r="B30" s="51" t="n">
        <v>45661</v>
      </c>
      <c r="C30" s="50" t="s">
        <v>179</v>
      </c>
      <c r="D30" s="50" t="s">
        <v>2178</v>
      </c>
      <c r="E30" s="50" t="n">
        <v>6</v>
      </c>
      <c r="F30" s="50" t="s">
        <v>2167</v>
      </c>
      <c r="G30" s="54" t="n">
        <v>2983600</v>
      </c>
    </row>
    <row r="31" customFormat="false" ht="15" hidden="false" customHeight="false" outlineLevel="0" collapsed="false">
      <c r="A31" s="50" t="s">
        <v>180</v>
      </c>
      <c r="B31" s="51" t="n">
        <v>45661</v>
      </c>
      <c r="C31" s="50" t="s">
        <v>181</v>
      </c>
      <c r="D31" s="50" t="s">
        <v>2179</v>
      </c>
      <c r="E31" s="50" t="n">
        <v>7</v>
      </c>
      <c r="F31" s="50" t="s">
        <v>2174</v>
      </c>
      <c r="G31" s="54" t="n">
        <v>8781100</v>
      </c>
    </row>
    <row r="32" customFormat="false" ht="15" hidden="false" customHeight="false" outlineLevel="0" collapsed="false">
      <c r="A32" s="50" t="s">
        <v>180</v>
      </c>
      <c r="B32" s="51" t="n">
        <v>45661</v>
      </c>
      <c r="C32" s="50" t="s">
        <v>181</v>
      </c>
      <c r="D32" s="50" t="s">
        <v>2166</v>
      </c>
      <c r="E32" s="50" t="n">
        <v>1</v>
      </c>
      <c r="F32" s="50" t="s">
        <v>2167</v>
      </c>
      <c r="G32" s="54" t="n">
        <v>529900</v>
      </c>
    </row>
    <row r="33" customFormat="false" ht="15" hidden="false" customHeight="false" outlineLevel="0" collapsed="false">
      <c r="A33" s="50" t="s">
        <v>182</v>
      </c>
      <c r="B33" s="51" t="n">
        <v>45661</v>
      </c>
      <c r="C33" s="50" t="s">
        <v>177</v>
      </c>
      <c r="D33" s="50" t="s">
        <v>2184</v>
      </c>
      <c r="E33" s="50" t="n">
        <v>3</v>
      </c>
      <c r="F33" s="50" t="s">
        <v>2167</v>
      </c>
      <c r="G33" s="54" t="n">
        <v>1709200</v>
      </c>
    </row>
    <row r="34" customFormat="false" ht="15" hidden="false" customHeight="false" outlineLevel="0" collapsed="false">
      <c r="A34" s="50" t="s">
        <v>182</v>
      </c>
      <c r="B34" s="51" t="n">
        <v>45661</v>
      </c>
      <c r="C34" s="50" t="s">
        <v>177</v>
      </c>
      <c r="D34" s="50" t="s">
        <v>2169</v>
      </c>
      <c r="E34" s="50" t="n">
        <v>7</v>
      </c>
      <c r="F34" s="50" t="s">
        <v>2167</v>
      </c>
      <c r="G34" s="54" t="n">
        <v>4401700</v>
      </c>
    </row>
    <row r="35" customFormat="false" ht="15" hidden="false" customHeight="false" outlineLevel="0" collapsed="false">
      <c r="A35" s="50" t="s">
        <v>182</v>
      </c>
      <c r="B35" s="51" t="n">
        <v>45661</v>
      </c>
      <c r="C35" s="50" t="s">
        <v>177</v>
      </c>
      <c r="D35" s="50" t="s">
        <v>2181</v>
      </c>
      <c r="E35" s="50" t="n">
        <v>4</v>
      </c>
      <c r="F35" s="50" t="s">
        <v>2167</v>
      </c>
      <c r="G35" s="54" t="n">
        <v>4673200</v>
      </c>
    </row>
    <row r="36" customFormat="false" ht="15" hidden="false" customHeight="false" outlineLevel="0" collapsed="false">
      <c r="A36" s="50" t="s">
        <v>183</v>
      </c>
      <c r="B36" s="51" t="n">
        <v>45661</v>
      </c>
      <c r="C36" s="50" t="s">
        <v>168</v>
      </c>
      <c r="D36" s="50" t="s">
        <v>2180</v>
      </c>
      <c r="E36" s="50" t="n">
        <v>7</v>
      </c>
      <c r="F36" s="50" t="s">
        <v>2167</v>
      </c>
      <c r="G36" s="54" t="n">
        <v>3030300</v>
      </c>
    </row>
    <row r="37" customFormat="false" ht="15" hidden="false" customHeight="false" outlineLevel="0" collapsed="false">
      <c r="A37" s="50" t="s">
        <v>184</v>
      </c>
      <c r="B37" s="51" t="n">
        <v>45661</v>
      </c>
      <c r="C37" s="50" t="s">
        <v>174</v>
      </c>
      <c r="D37" s="50" t="s">
        <v>2176</v>
      </c>
      <c r="E37" s="50" t="n">
        <v>5</v>
      </c>
      <c r="F37" s="50" t="s">
        <v>2167</v>
      </c>
      <c r="G37" s="54" t="n">
        <v>2173700</v>
      </c>
    </row>
    <row r="38" customFormat="false" ht="15" hidden="false" customHeight="false" outlineLevel="0" collapsed="false">
      <c r="A38" s="50" t="s">
        <v>184</v>
      </c>
      <c r="B38" s="51" t="n">
        <v>45661</v>
      </c>
      <c r="C38" s="50" t="s">
        <v>174</v>
      </c>
      <c r="D38" s="50" t="s">
        <v>2180</v>
      </c>
      <c r="E38" s="50" t="n">
        <v>8</v>
      </c>
      <c r="F38" s="50" t="s">
        <v>2167</v>
      </c>
      <c r="G38" s="54" t="n">
        <v>3726000</v>
      </c>
    </row>
    <row r="39" customFormat="false" ht="15" hidden="false" customHeight="false" outlineLevel="0" collapsed="false">
      <c r="A39" s="50" t="s">
        <v>185</v>
      </c>
      <c r="B39" s="51" t="n">
        <v>45661</v>
      </c>
      <c r="C39" s="50" t="s">
        <v>186</v>
      </c>
      <c r="D39" s="50" t="s">
        <v>2180</v>
      </c>
      <c r="E39" s="50" t="n">
        <v>3</v>
      </c>
      <c r="F39" s="50" t="s">
        <v>2167</v>
      </c>
      <c r="G39" s="54" t="n">
        <v>1310600</v>
      </c>
    </row>
    <row r="40" customFormat="false" ht="15" hidden="false" customHeight="false" outlineLevel="0" collapsed="false">
      <c r="A40" s="50" t="s">
        <v>185</v>
      </c>
      <c r="B40" s="51" t="n">
        <v>45661</v>
      </c>
      <c r="C40" s="50" t="s">
        <v>186</v>
      </c>
      <c r="D40" s="50" t="s">
        <v>2185</v>
      </c>
      <c r="E40" s="50" t="n">
        <v>5</v>
      </c>
      <c r="F40" s="50" t="s">
        <v>2174</v>
      </c>
      <c r="G40" s="54" t="n">
        <v>3870000</v>
      </c>
    </row>
    <row r="41" customFormat="false" ht="15" hidden="false" customHeight="false" outlineLevel="0" collapsed="false">
      <c r="A41" s="50" t="s">
        <v>185</v>
      </c>
      <c r="B41" s="51" t="n">
        <v>45661</v>
      </c>
      <c r="C41" s="50" t="s">
        <v>186</v>
      </c>
      <c r="D41" s="50" t="s">
        <v>2186</v>
      </c>
      <c r="E41" s="50" t="n">
        <v>6</v>
      </c>
      <c r="F41" s="50" t="s">
        <v>2167</v>
      </c>
      <c r="G41" s="54" t="n">
        <v>3546600</v>
      </c>
    </row>
    <row r="42" customFormat="false" ht="15" hidden="false" customHeight="false" outlineLevel="0" collapsed="false">
      <c r="A42" s="50" t="s">
        <v>185</v>
      </c>
      <c r="B42" s="51" t="n">
        <v>45661</v>
      </c>
      <c r="C42" s="50" t="s">
        <v>186</v>
      </c>
      <c r="D42" s="50" t="s">
        <v>2178</v>
      </c>
      <c r="E42" s="50" t="n">
        <v>1</v>
      </c>
      <c r="F42" s="50" t="s">
        <v>2167</v>
      </c>
      <c r="G42" s="54" t="n">
        <v>475100</v>
      </c>
    </row>
    <row r="43" customFormat="false" ht="15" hidden="false" customHeight="false" outlineLevel="0" collapsed="false">
      <c r="A43" s="50" t="s">
        <v>185</v>
      </c>
      <c r="B43" s="51" t="n">
        <v>45661</v>
      </c>
      <c r="C43" s="50" t="s">
        <v>186</v>
      </c>
      <c r="D43" s="50" t="s">
        <v>2181</v>
      </c>
      <c r="E43" s="50" t="n">
        <v>5</v>
      </c>
      <c r="F43" s="50" t="s">
        <v>2167</v>
      </c>
      <c r="G43" s="54" t="n">
        <v>5973500</v>
      </c>
    </row>
    <row r="44" customFormat="false" ht="15" hidden="false" customHeight="false" outlineLevel="0" collapsed="false">
      <c r="A44" s="50" t="s">
        <v>187</v>
      </c>
      <c r="B44" s="51" t="n">
        <v>45661</v>
      </c>
      <c r="C44" s="50" t="s">
        <v>188</v>
      </c>
      <c r="D44" s="50" t="s">
        <v>2169</v>
      </c>
      <c r="E44" s="50" t="n">
        <v>2</v>
      </c>
      <c r="F44" s="50" t="s">
        <v>2167</v>
      </c>
      <c r="G44" s="54" t="n">
        <v>1204300</v>
      </c>
    </row>
    <row r="45" customFormat="false" ht="15" hidden="false" customHeight="false" outlineLevel="0" collapsed="false">
      <c r="A45" s="50" t="s">
        <v>187</v>
      </c>
      <c r="B45" s="51" t="n">
        <v>45661</v>
      </c>
      <c r="C45" s="50" t="s">
        <v>188</v>
      </c>
      <c r="D45" s="50" t="s">
        <v>2166</v>
      </c>
      <c r="E45" s="50" t="n">
        <v>1</v>
      </c>
      <c r="F45" s="50" t="s">
        <v>2167</v>
      </c>
      <c r="G45" s="54" t="n">
        <v>552700</v>
      </c>
    </row>
    <row r="46" customFormat="false" ht="15" hidden="false" customHeight="false" outlineLevel="0" collapsed="false">
      <c r="A46" s="50" t="s">
        <v>189</v>
      </c>
      <c r="B46" s="51" t="n">
        <v>45661</v>
      </c>
      <c r="C46" s="50" t="s">
        <v>174</v>
      </c>
      <c r="D46" s="50" t="s">
        <v>2184</v>
      </c>
      <c r="E46" s="50" t="n">
        <v>8</v>
      </c>
      <c r="F46" s="50" t="s">
        <v>2167</v>
      </c>
      <c r="G46" s="54" t="n">
        <v>4380400</v>
      </c>
    </row>
    <row r="47" customFormat="false" ht="15" hidden="false" customHeight="false" outlineLevel="0" collapsed="false">
      <c r="A47" s="50" t="s">
        <v>189</v>
      </c>
      <c r="B47" s="51" t="n">
        <v>45661</v>
      </c>
      <c r="C47" s="50" t="s">
        <v>174</v>
      </c>
      <c r="D47" s="50" t="s">
        <v>2187</v>
      </c>
      <c r="E47" s="50" t="n">
        <v>6</v>
      </c>
      <c r="F47" s="50" t="s">
        <v>2167</v>
      </c>
      <c r="G47" s="54" t="n">
        <v>2130800</v>
      </c>
    </row>
    <row r="48" customFormat="false" ht="15" hidden="false" customHeight="false" outlineLevel="0" collapsed="false">
      <c r="A48" s="50" t="s">
        <v>190</v>
      </c>
      <c r="B48" s="51" t="n">
        <v>45663</v>
      </c>
      <c r="C48" s="50" t="s">
        <v>191</v>
      </c>
      <c r="D48" s="50" t="s">
        <v>2176</v>
      </c>
      <c r="E48" s="50" t="n">
        <v>7</v>
      </c>
      <c r="F48" s="50" t="s">
        <v>2167</v>
      </c>
      <c r="G48" s="54" t="n">
        <v>2898300</v>
      </c>
    </row>
    <row r="49" customFormat="false" ht="15" hidden="false" customHeight="false" outlineLevel="0" collapsed="false">
      <c r="A49" s="50" t="s">
        <v>190</v>
      </c>
      <c r="B49" s="51" t="n">
        <v>45663</v>
      </c>
      <c r="C49" s="50" t="s">
        <v>191</v>
      </c>
      <c r="D49" s="50" t="s">
        <v>2181</v>
      </c>
      <c r="E49" s="50" t="n">
        <v>7</v>
      </c>
      <c r="F49" s="50" t="s">
        <v>2167</v>
      </c>
      <c r="G49" s="54" t="n">
        <v>8051500</v>
      </c>
    </row>
    <row r="50" customFormat="false" ht="15" hidden="false" customHeight="false" outlineLevel="0" collapsed="false">
      <c r="A50" s="50" t="s">
        <v>190</v>
      </c>
      <c r="B50" s="51" t="n">
        <v>45663</v>
      </c>
      <c r="C50" s="50" t="s">
        <v>191</v>
      </c>
      <c r="D50" s="50" t="s">
        <v>2178</v>
      </c>
      <c r="E50" s="50" t="n">
        <v>8</v>
      </c>
      <c r="F50" s="50" t="s">
        <v>2167</v>
      </c>
      <c r="G50" s="54" t="n">
        <v>3908500</v>
      </c>
    </row>
    <row r="51" customFormat="false" ht="15" hidden="false" customHeight="false" outlineLevel="0" collapsed="false">
      <c r="A51" s="50" t="s">
        <v>190</v>
      </c>
      <c r="B51" s="51" t="n">
        <v>45663</v>
      </c>
      <c r="C51" s="50" t="s">
        <v>191</v>
      </c>
      <c r="D51" s="50" t="s">
        <v>2182</v>
      </c>
      <c r="E51" s="50" t="n">
        <v>5</v>
      </c>
      <c r="F51" s="50" t="s">
        <v>2174</v>
      </c>
      <c r="G51" s="54" t="n">
        <v>4610900</v>
      </c>
    </row>
    <row r="52" customFormat="false" ht="15" hidden="false" customHeight="false" outlineLevel="0" collapsed="false">
      <c r="A52" s="50" t="s">
        <v>190</v>
      </c>
      <c r="B52" s="51" t="n">
        <v>45663</v>
      </c>
      <c r="C52" s="50" t="s">
        <v>191</v>
      </c>
      <c r="D52" s="50" t="s">
        <v>2184</v>
      </c>
      <c r="E52" s="50" t="n">
        <v>3</v>
      </c>
      <c r="F52" s="50" t="s">
        <v>2167</v>
      </c>
      <c r="G52" s="54" t="n">
        <v>1625800</v>
      </c>
    </row>
    <row r="53" customFormat="false" ht="15" hidden="false" customHeight="false" outlineLevel="0" collapsed="false">
      <c r="A53" s="50" t="s">
        <v>190</v>
      </c>
      <c r="B53" s="51" t="n">
        <v>45663</v>
      </c>
      <c r="C53" s="50" t="s">
        <v>191</v>
      </c>
      <c r="D53" s="50" t="s">
        <v>2173</v>
      </c>
      <c r="E53" s="50" t="n">
        <v>7</v>
      </c>
      <c r="F53" s="50" t="s">
        <v>2174</v>
      </c>
      <c r="G53" s="54" t="n">
        <v>5639000</v>
      </c>
    </row>
    <row r="54" customFormat="false" ht="15" hidden="false" customHeight="false" outlineLevel="0" collapsed="false">
      <c r="A54" s="50" t="s">
        <v>192</v>
      </c>
      <c r="B54" s="51" t="n">
        <v>45663</v>
      </c>
      <c r="C54" s="50" t="s">
        <v>193</v>
      </c>
      <c r="D54" s="50" t="s">
        <v>2186</v>
      </c>
      <c r="E54" s="50" t="n">
        <v>2</v>
      </c>
      <c r="F54" s="50" t="s">
        <v>2167</v>
      </c>
      <c r="G54" s="54" t="n">
        <v>1205600</v>
      </c>
    </row>
    <row r="55" customFormat="false" ht="15" hidden="false" customHeight="false" outlineLevel="0" collapsed="false">
      <c r="A55" s="50" t="s">
        <v>192</v>
      </c>
      <c r="B55" s="51" t="n">
        <v>45663</v>
      </c>
      <c r="C55" s="50" t="s">
        <v>193</v>
      </c>
      <c r="D55" s="50" t="s">
        <v>2180</v>
      </c>
      <c r="E55" s="50" t="n">
        <v>5</v>
      </c>
      <c r="F55" s="50" t="s">
        <v>2167</v>
      </c>
      <c r="G55" s="54" t="n">
        <v>2306500</v>
      </c>
    </row>
    <row r="56" customFormat="false" ht="15" hidden="false" customHeight="false" outlineLevel="0" collapsed="false">
      <c r="A56" s="50" t="s">
        <v>192</v>
      </c>
      <c r="B56" s="51" t="n">
        <v>45663</v>
      </c>
      <c r="C56" s="50" t="s">
        <v>193</v>
      </c>
      <c r="D56" s="50" t="s">
        <v>2184</v>
      </c>
      <c r="E56" s="50" t="n">
        <v>8</v>
      </c>
      <c r="F56" s="50" t="s">
        <v>2167</v>
      </c>
      <c r="G56" s="54" t="n">
        <v>4475000</v>
      </c>
    </row>
    <row r="57" customFormat="false" ht="15" hidden="false" customHeight="false" outlineLevel="0" collapsed="false">
      <c r="A57" s="50" t="s">
        <v>194</v>
      </c>
      <c r="B57" s="51" t="n">
        <v>45663</v>
      </c>
      <c r="C57" s="50" t="s">
        <v>195</v>
      </c>
      <c r="D57" s="50" t="s">
        <v>2169</v>
      </c>
      <c r="E57" s="50" t="n">
        <v>8</v>
      </c>
      <c r="F57" s="50" t="s">
        <v>2167</v>
      </c>
      <c r="G57" s="54" t="n">
        <v>4984000</v>
      </c>
    </row>
    <row r="58" customFormat="false" ht="15" hidden="false" customHeight="false" outlineLevel="0" collapsed="false">
      <c r="A58" s="50" t="s">
        <v>194</v>
      </c>
      <c r="B58" s="51" t="n">
        <v>45663</v>
      </c>
      <c r="C58" s="50" t="s">
        <v>195</v>
      </c>
      <c r="D58" s="50" t="s">
        <v>2188</v>
      </c>
      <c r="E58" s="50" t="n">
        <v>4</v>
      </c>
      <c r="F58" s="50" t="s">
        <v>2167</v>
      </c>
      <c r="G58" s="54" t="n">
        <v>4033300</v>
      </c>
    </row>
    <row r="59" customFormat="false" ht="15" hidden="false" customHeight="false" outlineLevel="0" collapsed="false">
      <c r="A59" s="50" t="s">
        <v>196</v>
      </c>
      <c r="B59" s="51" t="n">
        <v>45663</v>
      </c>
      <c r="C59" s="50" t="s">
        <v>197</v>
      </c>
      <c r="D59" s="50" t="s">
        <v>2186</v>
      </c>
      <c r="E59" s="50" t="n">
        <v>2</v>
      </c>
      <c r="F59" s="50" t="s">
        <v>2167</v>
      </c>
      <c r="G59" s="54" t="n">
        <v>1172200</v>
      </c>
    </row>
    <row r="60" customFormat="false" ht="15" hidden="false" customHeight="false" outlineLevel="0" collapsed="false">
      <c r="A60" s="50" t="s">
        <v>196</v>
      </c>
      <c r="B60" s="51" t="n">
        <v>45663</v>
      </c>
      <c r="C60" s="50" t="s">
        <v>197</v>
      </c>
      <c r="D60" s="50" t="s">
        <v>2187</v>
      </c>
      <c r="E60" s="50" t="n">
        <v>5</v>
      </c>
      <c r="F60" s="50" t="s">
        <v>2167</v>
      </c>
      <c r="G60" s="54" t="n">
        <v>1729700</v>
      </c>
    </row>
    <row r="61" customFormat="false" ht="15" hidden="false" customHeight="false" outlineLevel="0" collapsed="false">
      <c r="A61" s="50" t="s">
        <v>196</v>
      </c>
      <c r="B61" s="51" t="n">
        <v>45663</v>
      </c>
      <c r="C61" s="50" t="s">
        <v>197</v>
      </c>
      <c r="D61" s="50" t="s">
        <v>2166</v>
      </c>
      <c r="E61" s="50" t="n">
        <v>1</v>
      </c>
      <c r="F61" s="50" t="s">
        <v>2167</v>
      </c>
      <c r="G61" s="54" t="n">
        <v>553300</v>
      </c>
    </row>
    <row r="62" customFormat="false" ht="15" hidden="false" customHeight="false" outlineLevel="0" collapsed="false">
      <c r="A62" s="50" t="s">
        <v>196</v>
      </c>
      <c r="B62" s="51" t="n">
        <v>45663</v>
      </c>
      <c r="C62" s="50" t="s">
        <v>197</v>
      </c>
      <c r="D62" s="50" t="s">
        <v>2181</v>
      </c>
      <c r="E62" s="50" t="n">
        <v>1</v>
      </c>
      <c r="F62" s="50" t="s">
        <v>2167</v>
      </c>
      <c r="G62" s="54" t="n">
        <v>1178500</v>
      </c>
    </row>
    <row r="63" customFormat="false" ht="15" hidden="false" customHeight="false" outlineLevel="0" collapsed="false">
      <c r="A63" s="50" t="s">
        <v>198</v>
      </c>
      <c r="B63" s="51" t="n">
        <v>45664</v>
      </c>
      <c r="C63" s="50" t="s">
        <v>199</v>
      </c>
      <c r="D63" s="50" t="s">
        <v>2178</v>
      </c>
      <c r="E63" s="50" t="n">
        <v>4</v>
      </c>
      <c r="F63" s="50" t="s">
        <v>2167</v>
      </c>
      <c r="G63" s="54" t="n">
        <v>1906000</v>
      </c>
    </row>
    <row r="64" customFormat="false" ht="15" hidden="false" customHeight="false" outlineLevel="0" collapsed="false">
      <c r="A64" s="50" t="s">
        <v>200</v>
      </c>
      <c r="B64" s="51" t="n">
        <v>45664</v>
      </c>
      <c r="C64" s="50" t="s">
        <v>195</v>
      </c>
      <c r="D64" s="50" t="s">
        <v>2176</v>
      </c>
      <c r="E64" s="50" t="n">
        <v>2</v>
      </c>
      <c r="F64" s="50" t="s">
        <v>2167</v>
      </c>
      <c r="G64" s="54" t="n">
        <v>849600</v>
      </c>
    </row>
    <row r="65" customFormat="false" ht="15" hidden="false" customHeight="false" outlineLevel="0" collapsed="false">
      <c r="A65" s="50" t="s">
        <v>200</v>
      </c>
      <c r="B65" s="51" t="n">
        <v>45664</v>
      </c>
      <c r="C65" s="50" t="s">
        <v>195</v>
      </c>
      <c r="D65" s="50" t="s">
        <v>2172</v>
      </c>
      <c r="E65" s="50" t="n">
        <v>8</v>
      </c>
      <c r="F65" s="50" t="s">
        <v>2167</v>
      </c>
      <c r="G65" s="54" t="n">
        <v>4245000</v>
      </c>
    </row>
    <row r="66" customFormat="false" ht="15" hidden="false" customHeight="false" outlineLevel="0" collapsed="false">
      <c r="A66" s="50" t="s">
        <v>201</v>
      </c>
      <c r="B66" s="51" t="n">
        <v>45664</v>
      </c>
      <c r="C66" s="50" t="s">
        <v>174</v>
      </c>
      <c r="D66" s="50" t="s">
        <v>2166</v>
      </c>
      <c r="E66" s="50" t="n">
        <v>5</v>
      </c>
      <c r="F66" s="50" t="s">
        <v>2167</v>
      </c>
      <c r="G66" s="54" t="n">
        <v>2686600</v>
      </c>
    </row>
    <row r="67" customFormat="false" ht="15" hidden="false" customHeight="false" outlineLevel="0" collapsed="false">
      <c r="A67" s="50" t="s">
        <v>201</v>
      </c>
      <c r="B67" s="51" t="n">
        <v>45664</v>
      </c>
      <c r="C67" s="50" t="s">
        <v>174</v>
      </c>
      <c r="D67" s="50" t="s">
        <v>2183</v>
      </c>
      <c r="E67" s="50" t="n">
        <v>3</v>
      </c>
      <c r="F67" s="50" t="s">
        <v>2167</v>
      </c>
      <c r="G67" s="54" t="n">
        <v>1114100</v>
      </c>
    </row>
    <row r="68" customFormat="false" ht="15" hidden="false" customHeight="false" outlineLevel="0" collapsed="false">
      <c r="A68" s="50" t="s">
        <v>201</v>
      </c>
      <c r="B68" s="51" t="n">
        <v>45664</v>
      </c>
      <c r="C68" s="50" t="s">
        <v>174</v>
      </c>
      <c r="D68" s="50" t="s">
        <v>2169</v>
      </c>
      <c r="E68" s="50" t="n">
        <v>4</v>
      </c>
      <c r="F68" s="50" t="s">
        <v>2167</v>
      </c>
      <c r="G68" s="54" t="n">
        <v>2508900</v>
      </c>
    </row>
    <row r="69" customFormat="false" ht="15" hidden="false" customHeight="false" outlineLevel="0" collapsed="false">
      <c r="A69" s="50" t="s">
        <v>202</v>
      </c>
      <c r="B69" s="51" t="n">
        <v>45664</v>
      </c>
      <c r="C69" s="50" t="s">
        <v>203</v>
      </c>
      <c r="D69" s="50" t="s">
        <v>2168</v>
      </c>
      <c r="E69" s="50" t="n">
        <v>5</v>
      </c>
      <c r="F69" s="50" t="s">
        <v>2167</v>
      </c>
      <c r="G69" s="54" t="n">
        <v>2123500</v>
      </c>
    </row>
    <row r="70" customFormat="false" ht="15" hidden="false" customHeight="false" outlineLevel="0" collapsed="false">
      <c r="A70" s="50" t="s">
        <v>202</v>
      </c>
      <c r="B70" s="51" t="n">
        <v>45664</v>
      </c>
      <c r="C70" s="50" t="s">
        <v>203</v>
      </c>
      <c r="D70" s="50" t="s">
        <v>2181</v>
      </c>
      <c r="E70" s="50" t="n">
        <v>5</v>
      </c>
      <c r="F70" s="50" t="s">
        <v>2167</v>
      </c>
      <c r="G70" s="54" t="n">
        <v>5604700</v>
      </c>
    </row>
    <row r="71" customFormat="false" ht="15" hidden="false" customHeight="false" outlineLevel="0" collapsed="false">
      <c r="A71" s="50" t="s">
        <v>202</v>
      </c>
      <c r="B71" s="51" t="n">
        <v>45664</v>
      </c>
      <c r="C71" s="50" t="s">
        <v>203</v>
      </c>
      <c r="D71" s="50" t="s">
        <v>2182</v>
      </c>
      <c r="E71" s="50" t="n">
        <v>8</v>
      </c>
      <c r="F71" s="50" t="s">
        <v>2174</v>
      </c>
      <c r="G71" s="54" t="n">
        <v>7737500</v>
      </c>
    </row>
    <row r="72" customFormat="false" ht="15" hidden="false" customHeight="false" outlineLevel="0" collapsed="false">
      <c r="A72" s="50" t="s">
        <v>202</v>
      </c>
      <c r="B72" s="51" t="n">
        <v>45664</v>
      </c>
      <c r="C72" s="50" t="s">
        <v>203</v>
      </c>
      <c r="D72" s="50" t="s">
        <v>2187</v>
      </c>
      <c r="E72" s="50" t="n">
        <v>7</v>
      </c>
      <c r="F72" s="50" t="s">
        <v>2167</v>
      </c>
      <c r="G72" s="54" t="n">
        <v>2460200</v>
      </c>
    </row>
    <row r="73" customFormat="false" ht="15" hidden="false" customHeight="false" outlineLevel="0" collapsed="false">
      <c r="A73" s="50" t="s">
        <v>202</v>
      </c>
      <c r="B73" s="51" t="n">
        <v>45664</v>
      </c>
      <c r="C73" s="50" t="s">
        <v>203</v>
      </c>
      <c r="D73" s="50" t="s">
        <v>2177</v>
      </c>
      <c r="E73" s="50" t="n">
        <v>8</v>
      </c>
      <c r="F73" s="50" t="s">
        <v>2174</v>
      </c>
      <c r="G73" s="54" t="n">
        <v>8554000</v>
      </c>
    </row>
    <row r="74" customFormat="false" ht="15" hidden="false" customHeight="false" outlineLevel="0" collapsed="false">
      <c r="A74" s="50" t="s">
        <v>202</v>
      </c>
      <c r="B74" s="51" t="n">
        <v>45664</v>
      </c>
      <c r="C74" s="50" t="s">
        <v>203</v>
      </c>
      <c r="D74" s="50" t="s">
        <v>2172</v>
      </c>
      <c r="E74" s="50" t="n">
        <v>3</v>
      </c>
      <c r="F74" s="50" t="s">
        <v>2167</v>
      </c>
      <c r="G74" s="54" t="n">
        <v>1570900</v>
      </c>
    </row>
    <row r="75" customFormat="false" ht="15" hidden="false" customHeight="false" outlineLevel="0" collapsed="false">
      <c r="A75" s="50" t="s">
        <v>202</v>
      </c>
      <c r="B75" s="51" t="n">
        <v>45664</v>
      </c>
      <c r="C75" s="50" t="s">
        <v>203</v>
      </c>
      <c r="D75" s="50" t="s">
        <v>2170</v>
      </c>
      <c r="E75" s="50" t="n">
        <v>2</v>
      </c>
      <c r="F75" s="50" t="s">
        <v>2171</v>
      </c>
      <c r="G75" s="54" t="n">
        <v>14926800</v>
      </c>
    </row>
    <row r="76" customFormat="false" ht="15" hidden="false" customHeight="false" outlineLevel="0" collapsed="false">
      <c r="A76" s="50" t="s">
        <v>202</v>
      </c>
      <c r="B76" s="51" t="n">
        <v>45664</v>
      </c>
      <c r="C76" s="50" t="s">
        <v>203</v>
      </c>
      <c r="D76" s="50" t="s">
        <v>2180</v>
      </c>
      <c r="E76" s="50" t="n">
        <v>1</v>
      </c>
      <c r="F76" s="50" t="s">
        <v>2167</v>
      </c>
      <c r="G76" s="54" t="n">
        <v>461800</v>
      </c>
    </row>
    <row r="77" customFormat="false" ht="15" hidden="false" customHeight="false" outlineLevel="0" collapsed="false">
      <c r="A77" s="50" t="s">
        <v>202</v>
      </c>
      <c r="B77" s="51" t="n">
        <v>45664</v>
      </c>
      <c r="C77" s="50" t="s">
        <v>203</v>
      </c>
      <c r="D77" s="50" t="s">
        <v>2166</v>
      </c>
      <c r="E77" s="50" t="n">
        <v>8</v>
      </c>
      <c r="F77" s="50" t="s">
        <v>2167</v>
      </c>
      <c r="G77" s="54" t="n">
        <v>4471500</v>
      </c>
    </row>
    <row r="78" customFormat="false" ht="15" hidden="false" customHeight="false" outlineLevel="0" collapsed="false">
      <c r="A78" s="50" t="s">
        <v>202</v>
      </c>
      <c r="B78" s="51" t="n">
        <v>45664</v>
      </c>
      <c r="C78" s="50" t="s">
        <v>203</v>
      </c>
      <c r="D78" s="50" t="s">
        <v>2173</v>
      </c>
      <c r="E78" s="50" t="n">
        <v>5</v>
      </c>
      <c r="F78" s="50" t="s">
        <v>2174</v>
      </c>
      <c r="G78" s="54" t="n">
        <v>3910000</v>
      </c>
    </row>
    <row r="79" customFormat="false" ht="15" hidden="false" customHeight="false" outlineLevel="0" collapsed="false">
      <c r="A79" s="50" t="s">
        <v>204</v>
      </c>
      <c r="B79" s="51" t="n">
        <v>45665</v>
      </c>
      <c r="C79" s="50" t="s">
        <v>205</v>
      </c>
      <c r="D79" s="50" t="s">
        <v>2183</v>
      </c>
      <c r="E79" s="50" t="n">
        <v>6</v>
      </c>
      <c r="F79" s="50" t="s">
        <v>2167</v>
      </c>
      <c r="G79" s="54" t="n">
        <v>2257900</v>
      </c>
    </row>
    <row r="80" customFormat="false" ht="15" hidden="false" customHeight="false" outlineLevel="0" collapsed="false">
      <c r="A80" s="50" t="s">
        <v>204</v>
      </c>
      <c r="B80" s="51" t="n">
        <v>45665</v>
      </c>
      <c r="C80" s="50" t="s">
        <v>205</v>
      </c>
      <c r="D80" s="50" t="s">
        <v>2178</v>
      </c>
      <c r="E80" s="50" t="n">
        <v>5</v>
      </c>
      <c r="F80" s="50" t="s">
        <v>2167</v>
      </c>
      <c r="G80" s="54" t="n">
        <v>2435700</v>
      </c>
    </row>
    <row r="81" customFormat="false" ht="15" hidden="false" customHeight="false" outlineLevel="0" collapsed="false">
      <c r="A81" s="50" t="s">
        <v>206</v>
      </c>
      <c r="B81" s="51" t="n">
        <v>45665</v>
      </c>
      <c r="C81" s="50" t="s">
        <v>207</v>
      </c>
      <c r="D81" s="50" t="s">
        <v>2181</v>
      </c>
      <c r="E81" s="50" t="n">
        <v>4</v>
      </c>
      <c r="F81" s="50" t="s">
        <v>2167</v>
      </c>
      <c r="G81" s="54" t="n">
        <v>4510600</v>
      </c>
    </row>
    <row r="82" customFormat="false" ht="15" hidden="false" customHeight="false" outlineLevel="0" collapsed="false">
      <c r="A82" s="50" t="s">
        <v>206</v>
      </c>
      <c r="B82" s="51" t="n">
        <v>45665</v>
      </c>
      <c r="C82" s="50" t="s">
        <v>207</v>
      </c>
      <c r="D82" s="50" t="s">
        <v>2180</v>
      </c>
      <c r="E82" s="50" t="n">
        <v>2</v>
      </c>
      <c r="F82" s="50" t="s">
        <v>2167</v>
      </c>
      <c r="G82" s="54" t="n">
        <v>880600</v>
      </c>
    </row>
    <row r="83" customFormat="false" ht="15" hidden="false" customHeight="false" outlineLevel="0" collapsed="false">
      <c r="A83" s="50" t="s">
        <v>208</v>
      </c>
      <c r="B83" s="51" t="n">
        <v>45665</v>
      </c>
      <c r="C83" s="50" t="s">
        <v>209</v>
      </c>
      <c r="D83" s="50" t="s">
        <v>2188</v>
      </c>
      <c r="E83" s="50" t="n">
        <v>4</v>
      </c>
      <c r="F83" s="50" t="s">
        <v>2167</v>
      </c>
      <c r="G83" s="54" t="n">
        <v>3959800</v>
      </c>
    </row>
    <row r="84" customFormat="false" ht="15" hidden="false" customHeight="false" outlineLevel="0" collapsed="false">
      <c r="A84" s="50" t="s">
        <v>208</v>
      </c>
      <c r="B84" s="51" t="n">
        <v>45665</v>
      </c>
      <c r="C84" s="50" t="s">
        <v>209</v>
      </c>
      <c r="D84" s="50" t="s">
        <v>2179</v>
      </c>
      <c r="E84" s="50" t="n">
        <v>1</v>
      </c>
      <c r="F84" s="50" t="s">
        <v>2174</v>
      </c>
      <c r="G84" s="54" t="n">
        <v>1218100</v>
      </c>
    </row>
    <row r="85" customFormat="false" ht="15" hidden="false" customHeight="false" outlineLevel="0" collapsed="false">
      <c r="A85" s="50" t="s">
        <v>208</v>
      </c>
      <c r="B85" s="51" t="n">
        <v>45665</v>
      </c>
      <c r="C85" s="50" t="s">
        <v>209</v>
      </c>
      <c r="D85" s="50" t="s">
        <v>2176</v>
      </c>
      <c r="E85" s="50" t="n">
        <v>8</v>
      </c>
      <c r="F85" s="50" t="s">
        <v>2167</v>
      </c>
      <c r="G85" s="54" t="n">
        <v>3257000</v>
      </c>
    </row>
    <row r="86" customFormat="false" ht="15" hidden="false" customHeight="false" outlineLevel="0" collapsed="false">
      <c r="A86" s="50" t="s">
        <v>208</v>
      </c>
      <c r="B86" s="51" t="n">
        <v>45665</v>
      </c>
      <c r="C86" s="50" t="s">
        <v>209</v>
      </c>
      <c r="D86" s="50" t="s">
        <v>2182</v>
      </c>
      <c r="E86" s="50" t="n">
        <v>2</v>
      </c>
      <c r="F86" s="50" t="s">
        <v>2174</v>
      </c>
      <c r="G86" s="54" t="n">
        <v>1871900</v>
      </c>
    </row>
    <row r="87" customFormat="false" ht="15" hidden="false" customHeight="false" outlineLevel="0" collapsed="false">
      <c r="A87" s="50" t="s">
        <v>210</v>
      </c>
      <c r="B87" s="51" t="n">
        <v>45665</v>
      </c>
      <c r="C87" s="50" t="s">
        <v>211</v>
      </c>
      <c r="D87" s="50" t="s">
        <v>2173</v>
      </c>
      <c r="E87" s="50" t="n">
        <v>8</v>
      </c>
      <c r="F87" s="50" t="s">
        <v>2174</v>
      </c>
      <c r="G87" s="54" t="n">
        <v>6290600</v>
      </c>
    </row>
    <row r="88" customFormat="false" ht="15" hidden="false" customHeight="false" outlineLevel="0" collapsed="false">
      <c r="A88" s="50" t="s">
        <v>210</v>
      </c>
      <c r="B88" s="51" t="n">
        <v>45665</v>
      </c>
      <c r="C88" s="50" t="s">
        <v>211</v>
      </c>
      <c r="D88" s="50" t="s">
        <v>2172</v>
      </c>
      <c r="E88" s="50" t="n">
        <v>4</v>
      </c>
      <c r="F88" s="50" t="s">
        <v>2167</v>
      </c>
      <c r="G88" s="54" t="n">
        <v>2065500</v>
      </c>
    </row>
    <row r="89" customFormat="false" ht="15" hidden="false" customHeight="false" outlineLevel="0" collapsed="false">
      <c r="A89" s="50" t="s">
        <v>210</v>
      </c>
      <c r="B89" s="51" t="n">
        <v>45665</v>
      </c>
      <c r="C89" s="50" t="s">
        <v>211</v>
      </c>
      <c r="D89" s="50" t="s">
        <v>2188</v>
      </c>
      <c r="E89" s="50" t="n">
        <v>1</v>
      </c>
      <c r="F89" s="50" t="s">
        <v>2167</v>
      </c>
      <c r="G89" s="54" t="n">
        <v>997000</v>
      </c>
    </row>
    <row r="90" customFormat="false" ht="15" hidden="false" customHeight="false" outlineLevel="0" collapsed="false">
      <c r="A90" s="50" t="s">
        <v>212</v>
      </c>
      <c r="B90" s="51" t="n">
        <v>45666</v>
      </c>
      <c r="C90" s="50" t="s">
        <v>213</v>
      </c>
      <c r="D90" s="50" t="s">
        <v>2182</v>
      </c>
      <c r="E90" s="50" t="n">
        <v>1</v>
      </c>
      <c r="F90" s="50" t="s">
        <v>2174</v>
      </c>
      <c r="G90" s="54" t="n">
        <v>933400</v>
      </c>
    </row>
    <row r="91" customFormat="false" ht="15" hidden="false" customHeight="false" outlineLevel="0" collapsed="false">
      <c r="A91" s="50" t="s">
        <v>212</v>
      </c>
      <c r="B91" s="51" t="n">
        <v>45666</v>
      </c>
      <c r="C91" s="50" t="s">
        <v>213</v>
      </c>
      <c r="D91" s="50" t="s">
        <v>2177</v>
      </c>
      <c r="E91" s="50" t="n">
        <v>1</v>
      </c>
      <c r="F91" s="50" t="s">
        <v>2174</v>
      </c>
      <c r="G91" s="54" t="n">
        <v>1133800</v>
      </c>
    </row>
    <row r="92" customFormat="false" ht="15" hidden="false" customHeight="false" outlineLevel="0" collapsed="false">
      <c r="A92" s="50" t="s">
        <v>212</v>
      </c>
      <c r="B92" s="51" t="n">
        <v>45666</v>
      </c>
      <c r="C92" s="50" t="s">
        <v>213</v>
      </c>
      <c r="D92" s="50" t="s">
        <v>2178</v>
      </c>
      <c r="E92" s="50" t="n">
        <v>6</v>
      </c>
      <c r="F92" s="50" t="s">
        <v>2167</v>
      </c>
      <c r="G92" s="54" t="n">
        <v>2814400</v>
      </c>
    </row>
    <row r="93" customFormat="false" ht="15" hidden="false" customHeight="false" outlineLevel="0" collapsed="false">
      <c r="A93" s="50" t="s">
        <v>212</v>
      </c>
      <c r="B93" s="51" t="n">
        <v>45666</v>
      </c>
      <c r="C93" s="50" t="s">
        <v>213</v>
      </c>
      <c r="D93" s="50" t="s">
        <v>2172</v>
      </c>
      <c r="E93" s="50" t="n">
        <v>6</v>
      </c>
      <c r="F93" s="50" t="s">
        <v>2167</v>
      </c>
      <c r="G93" s="54" t="n">
        <v>3167800</v>
      </c>
    </row>
    <row r="94" customFormat="false" ht="15" hidden="false" customHeight="false" outlineLevel="0" collapsed="false">
      <c r="A94" s="50" t="s">
        <v>214</v>
      </c>
      <c r="B94" s="51" t="n">
        <v>45666</v>
      </c>
      <c r="C94" s="50" t="s">
        <v>170</v>
      </c>
      <c r="D94" s="50" t="s">
        <v>2184</v>
      </c>
      <c r="E94" s="50" t="n">
        <v>6</v>
      </c>
      <c r="F94" s="50" t="s">
        <v>2167</v>
      </c>
      <c r="G94" s="54" t="n">
        <v>3288000</v>
      </c>
    </row>
    <row r="95" customFormat="false" ht="15" hidden="false" customHeight="false" outlineLevel="0" collapsed="false">
      <c r="A95" s="50" t="s">
        <v>214</v>
      </c>
      <c r="B95" s="51" t="n">
        <v>45666</v>
      </c>
      <c r="C95" s="50" t="s">
        <v>170</v>
      </c>
      <c r="D95" s="50" t="s">
        <v>2176</v>
      </c>
      <c r="E95" s="50" t="n">
        <v>3</v>
      </c>
      <c r="F95" s="50" t="s">
        <v>2167</v>
      </c>
      <c r="G95" s="54" t="n">
        <v>1296300</v>
      </c>
    </row>
    <row r="96" customFormat="false" ht="15" hidden="false" customHeight="false" outlineLevel="0" collapsed="false">
      <c r="A96" s="50" t="s">
        <v>214</v>
      </c>
      <c r="B96" s="51" t="n">
        <v>45666</v>
      </c>
      <c r="C96" s="50" t="s">
        <v>170</v>
      </c>
      <c r="D96" s="50" t="s">
        <v>2181</v>
      </c>
      <c r="E96" s="50" t="n">
        <v>5</v>
      </c>
      <c r="F96" s="50" t="s">
        <v>2167</v>
      </c>
      <c r="G96" s="54" t="n">
        <v>5732900</v>
      </c>
    </row>
    <row r="97" customFormat="false" ht="15" hidden="false" customHeight="false" outlineLevel="0" collapsed="false">
      <c r="A97" s="50" t="s">
        <v>214</v>
      </c>
      <c r="B97" s="51" t="n">
        <v>45666</v>
      </c>
      <c r="C97" s="50" t="s">
        <v>170</v>
      </c>
      <c r="D97" s="50" t="s">
        <v>2179</v>
      </c>
      <c r="E97" s="50" t="n">
        <v>1</v>
      </c>
      <c r="F97" s="50" t="s">
        <v>2174</v>
      </c>
      <c r="G97" s="54" t="n">
        <v>1264400</v>
      </c>
    </row>
    <row r="98" customFormat="false" ht="15" hidden="false" customHeight="false" outlineLevel="0" collapsed="false">
      <c r="A98" s="50" t="s">
        <v>215</v>
      </c>
      <c r="B98" s="51" t="n">
        <v>45666</v>
      </c>
      <c r="C98" s="50" t="s">
        <v>216</v>
      </c>
      <c r="D98" s="50" t="s">
        <v>2176</v>
      </c>
      <c r="E98" s="50" t="n">
        <v>1</v>
      </c>
      <c r="F98" s="50" t="s">
        <v>2167</v>
      </c>
      <c r="G98" s="54" t="n">
        <v>420200</v>
      </c>
    </row>
    <row r="99" customFormat="false" ht="15" hidden="false" customHeight="false" outlineLevel="0" collapsed="false">
      <c r="A99" s="50" t="s">
        <v>215</v>
      </c>
      <c r="B99" s="51" t="n">
        <v>45666</v>
      </c>
      <c r="C99" s="50" t="s">
        <v>216</v>
      </c>
      <c r="D99" s="50" t="s">
        <v>2184</v>
      </c>
      <c r="E99" s="50" t="n">
        <v>7</v>
      </c>
      <c r="F99" s="50" t="s">
        <v>2167</v>
      </c>
      <c r="G99" s="54" t="n">
        <v>4065800</v>
      </c>
    </row>
    <row r="100" customFormat="false" ht="15" hidden="false" customHeight="false" outlineLevel="0" collapsed="false">
      <c r="A100" s="50" t="s">
        <v>215</v>
      </c>
      <c r="B100" s="51" t="n">
        <v>45666</v>
      </c>
      <c r="C100" s="50" t="s">
        <v>216</v>
      </c>
      <c r="D100" s="50" t="s">
        <v>2166</v>
      </c>
      <c r="E100" s="50" t="n">
        <v>1</v>
      </c>
      <c r="F100" s="50" t="s">
        <v>2167</v>
      </c>
      <c r="G100" s="54" t="n">
        <v>559600</v>
      </c>
    </row>
    <row r="101" customFormat="false" ht="15" hidden="false" customHeight="false" outlineLevel="0" collapsed="false">
      <c r="A101" s="50" t="s">
        <v>217</v>
      </c>
      <c r="B101" s="51" t="n">
        <v>45666</v>
      </c>
      <c r="C101" s="50" t="s">
        <v>218</v>
      </c>
      <c r="D101" s="50" t="s">
        <v>2182</v>
      </c>
      <c r="E101" s="50" t="n">
        <v>6</v>
      </c>
      <c r="F101" s="50" t="s">
        <v>2174</v>
      </c>
      <c r="G101" s="54" t="n">
        <v>5771900</v>
      </c>
    </row>
    <row r="102" customFormat="false" ht="15" hidden="false" customHeight="false" outlineLevel="0" collapsed="false">
      <c r="A102" s="50" t="s">
        <v>219</v>
      </c>
      <c r="B102" s="51" t="n">
        <v>45666</v>
      </c>
      <c r="C102" s="50" t="s">
        <v>179</v>
      </c>
      <c r="D102" s="50" t="s">
        <v>2176</v>
      </c>
      <c r="E102" s="50" t="n">
        <v>8</v>
      </c>
      <c r="F102" s="50" t="s">
        <v>2167</v>
      </c>
      <c r="G102" s="54" t="n">
        <v>3237500</v>
      </c>
    </row>
    <row r="103" customFormat="false" ht="15" hidden="false" customHeight="false" outlineLevel="0" collapsed="false">
      <c r="A103" s="50" t="s">
        <v>219</v>
      </c>
      <c r="B103" s="51" t="n">
        <v>45666</v>
      </c>
      <c r="C103" s="50" t="s">
        <v>179</v>
      </c>
      <c r="D103" s="50" t="s">
        <v>2184</v>
      </c>
      <c r="E103" s="50" t="n">
        <v>2</v>
      </c>
      <c r="F103" s="50" t="s">
        <v>2167</v>
      </c>
      <c r="G103" s="54" t="n">
        <v>1085000</v>
      </c>
    </row>
    <row r="104" customFormat="false" ht="15" hidden="false" customHeight="false" outlineLevel="0" collapsed="false">
      <c r="A104" s="50" t="s">
        <v>220</v>
      </c>
      <c r="B104" s="51" t="n">
        <v>45666</v>
      </c>
      <c r="C104" s="50" t="s">
        <v>221</v>
      </c>
      <c r="D104" s="50" t="s">
        <v>2166</v>
      </c>
      <c r="E104" s="50" t="n">
        <v>4</v>
      </c>
      <c r="F104" s="50" t="s">
        <v>2167</v>
      </c>
      <c r="G104" s="54" t="n">
        <v>2085200</v>
      </c>
    </row>
    <row r="105" customFormat="false" ht="15" hidden="false" customHeight="false" outlineLevel="0" collapsed="false">
      <c r="A105" s="50" t="s">
        <v>220</v>
      </c>
      <c r="B105" s="51" t="n">
        <v>45666</v>
      </c>
      <c r="C105" s="50" t="s">
        <v>221</v>
      </c>
      <c r="D105" s="50" t="s">
        <v>2184</v>
      </c>
      <c r="E105" s="50" t="n">
        <v>4</v>
      </c>
      <c r="F105" s="50" t="s">
        <v>2167</v>
      </c>
      <c r="G105" s="54" t="n">
        <v>2250100</v>
      </c>
    </row>
    <row r="106" customFormat="false" ht="15" hidden="false" customHeight="false" outlineLevel="0" collapsed="false">
      <c r="A106" s="50" t="s">
        <v>220</v>
      </c>
      <c r="B106" s="51" t="n">
        <v>45666</v>
      </c>
      <c r="C106" s="50" t="s">
        <v>221</v>
      </c>
      <c r="D106" s="50" t="s">
        <v>2180</v>
      </c>
      <c r="E106" s="50" t="n">
        <v>7</v>
      </c>
      <c r="F106" s="50" t="s">
        <v>2167</v>
      </c>
      <c r="G106" s="54" t="n">
        <v>3207000</v>
      </c>
    </row>
    <row r="107" customFormat="false" ht="15" hidden="false" customHeight="false" outlineLevel="0" collapsed="false">
      <c r="A107" s="50" t="s">
        <v>220</v>
      </c>
      <c r="B107" s="51" t="n">
        <v>45666</v>
      </c>
      <c r="C107" s="50" t="s">
        <v>221</v>
      </c>
      <c r="D107" s="50" t="s">
        <v>2176</v>
      </c>
      <c r="E107" s="50" t="n">
        <v>1</v>
      </c>
      <c r="F107" s="50" t="s">
        <v>2167</v>
      </c>
      <c r="G107" s="54" t="n">
        <v>416400</v>
      </c>
    </row>
    <row r="108" customFormat="false" ht="15" hidden="false" customHeight="false" outlineLevel="0" collapsed="false">
      <c r="A108" s="50" t="s">
        <v>220</v>
      </c>
      <c r="B108" s="51" t="n">
        <v>45666</v>
      </c>
      <c r="C108" s="50" t="s">
        <v>221</v>
      </c>
      <c r="D108" s="50" t="s">
        <v>2168</v>
      </c>
      <c r="E108" s="50" t="n">
        <v>4</v>
      </c>
      <c r="F108" s="50" t="s">
        <v>2167</v>
      </c>
      <c r="G108" s="54" t="n">
        <v>1665500</v>
      </c>
    </row>
    <row r="109" customFormat="false" ht="15" hidden="false" customHeight="false" outlineLevel="0" collapsed="false">
      <c r="A109" s="50" t="s">
        <v>220</v>
      </c>
      <c r="B109" s="51" t="n">
        <v>45666</v>
      </c>
      <c r="C109" s="50" t="s">
        <v>221</v>
      </c>
      <c r="D109" s="50" t="s">
        <v>2169</v>
      </c>
      <c r="E109" s="50" t="n">
        <v>7</v>
      </c>
      <c r="F109" s="50" t="s">
        <v>2167</v>
      </c>
      <c r="G109" s="54" t="n">
        <v>4175600</v>
      </c>
    </row>
    <row r="110" customFormat="false" ht="15" hidden="false" customHeight="false" outlineLevel="0" collapsed="false">
      <c r="A110" s="50" t="s">
        <v>220</v>
      </c>
      <c r="B110" s="51" t="n">
        <v>45666</v>
      </c>
      <c r="C110" s="50" t="s">
        <v>221</v>
      </c>
      <c r="D110" s="50" t="s">
        <v>2173</v>
      </c>
      <c r="E110" s="50" t="n">
        <v>2</v>
      </c>
      <c r="F110" s="50" t="s">
        <v>2174</v>
      </c>
      <c r="G110" s="54" t="n">
        <v>1656600</v>
      </c>
    </row>
    <row r="111" customFormat="false" ht="15" hidden="false" customHeight="false" outlineLevel="0" collapsed="false">
      <c r="A111" s="50" t="s">
        <v>222</v>
      </c>
      <c r="B111" s="51" t="n">
        <v>45666</v>
      </c>
      <c r="C111" s="50" t="s">
        <v>223</v>
      </c>
      <c r="D111" s="50" t="s">
        <v>2180</v>
      </c>
      <c r="E111" s="50" t="n">
        <v>1</v>
      </c>
      <c r="F111" s="50" t="s">
        <v>2167</v>
      </c>
      <c r="G111" s="54" t="n">
        <v>448700</v>
      </c>
    </row>
    <row r="112" customFormat="false" ht="15" hidden="false" customHeight="false" outlineLevel="0" collapsed="false">
      <c r="A112" s="50" t="s">
        <v>222</v>
      </c>
      <c r="B112" s="51" t="n">
        <v>45666</v>
      </c>
      <c r="C112" s="50" t="s">
        <v>223</v>
      </c>
      <c r="D112" s="50" t="s">
        <v>2179</v>
      </c>
      <c r="E112" s="50" t="n">
        <v>1</v>
      </c>
      <c r="F112" s="50" t="s">
        <v>2174</v>
      </c>
      <c r="G112" s="54" t="n">
        <v>1282900</v>
      </c>
    </row>
    <row r="113" customFormat="false" ht="15" hidden="false" customHeight="false" outlineLevel="0" collapsed="false">
      <c r="A113" s="50" t="s">
        <v>224</v>
      </c>
      <c r="B113" s="51" t="n">
        <v>45666</v>
      </c>
      <c r="C113" s="50" t="s">
        <v>225</v>
      </c>
      <c r="D113" s="50" t="s">
        <v>2170</v>
      </c>
      <c r="E113" s="50" t="n">
        <v>2</v>
      </c>
      <c r="F113" s="50" t="s">
        <v>2171</v>
      </c>
      <c r="G113" s="54" t="n">
        <v>15113200</v>
      </c>
    </row>
    <row r="114" customFormat="false" ht="15" hidden="false" customHeight="false" outlineLevel="0" collapsed="false">
      <c r="A114" s="50" t="s">
        <v>224</v>
      </c>
      <c r="B114" s="51" t="n">
        <v>45666</v>
      </c>
      <c r="C114" s="50" t="s">
        <v>225</v>
      </c>
      <c r="D114" s="50" t="s">
        <v>2183</v>
      </c>
      <c r="E114" s="50" t="n">
        <v>6</v>
      </c>
      <c r="F114" s="50" t="s">
        <v>2167</v>
      </c>
      <c r="G114" s="54" t="n">
        <v>2204900</v>
      </c>
    </row>
    <row r="115" customFormat="false" ht="15" hidden="false" customHeight="false" outlineLevel="0" collapsed="false">
      <c r="A115" s="50" t="s">
        <v>226</v>
      </c>
      <c r="B115" s="51" t="n">
        <v>45666</v>
      </c>
      <c r="C115" s="50" t="s">
        <v>211</v>
      </c>
      <c r="D115" s="50" t="s">
        <v>2186</v>
      </c>
      <c r="E115" s="50" t="n">
        <v>2</v>
      </c>
      <c r="F115" s="50" t="s">
        <v>2167</v>
      </c>
      <c r="G115" s="54" t="n">
        <v>1176800</v>
      </c>
    </row>
    <row r="116" customFormat="false" ht="15" hidden="false" customHeight="false" outlineLevel="0" collapsed="false">
      <c r="A116" s="50" t="s">
        <v>226</v>
      </c>
      <c r="B116" s="51" t="n">
        <v>45666</v>
      </c>
      <c r="C116" s="50" t="s">
        <v>211</v>
      </c>
      <c r="D116" s="50" t="s">
        <v>2176</v>
      </c>
      <c r="E116" s="50" t="n">
        <v>4</v>
      </c>
      <c r="F116" s="50" t="s">
        <v>2167</v>
      </c>
      <c r="G116" s="54" t="n">
        <v>1722000</v>
      </c>
    </row>
    <row r="117" customFormat="false" ht="15" hidden="false" customHeight="false" outlineLevel="0" collapsed="false">
      <c r="A117" s="50" t="s">
        <v>226</v>
      </c>
      <c r="B117" s="51" t="n">
        <v>45666</v>
      </c>
      <c r="C117" s="50" t="s">
        <v>211</v>
      </c>
      <c r="D117" s="50" t="s">
        <v>2169</v>
      </c>
      <c r="E117" s="50" t="n">
        <v>7</v>
      </c>
      <c r="F117" s="50" t="s">
        <v>2167</v>
      </c>
      <c r="G117" s="54" t="n">
        <v>4189400</v>
      </c>
    </row>
    <row r="118" customFormat="false" ht="15" hidden="false" customHeight="false" outlineLevel="0" collapsed="false">
      <c r="A118" s="50" t="s">
        <v>226</v>
      </c>
      <c r="B118" s="51" t="n">
        <v>45666</v>
      </c>
      <c r="C118" s="50" t="s">
        <v>211</v>
      </c>
      <c r="D118" s="50" t="s">
        <v>2173</v>
      </c>
      <c r="E118" s="50" t="n">
        <v>5</v>
      </c>
      <c r="F118" s="50" t="s">
        <v>2174</v>
      </c>
      <c r="G118" s="54" t="n">
        <v>3887800</v>
      </c>
    </row>
    <row r="119" customFormat="false" ht="15" hidden="false" customHeight="false" outlineLevel="0" collapsed="false">
      <c r="A119" s="50" t="s">
        <v>226</v>
      </c>
      <c r="B119" s="51" t="n">
        <v>45666</v>
      </c>
      <c r="C119" s="50" t="s">
        <v>211</v>
      </c>
      <c r="D119" s="50" t="s">
        <v>2183</v>
      </c>
      <c r="E119" s="50" t="n">
        <v>7</v>
      </c>
      <c r="F119" s="50" t="s">
        <v>2167</v>
      </c>
      <c r="G119" s="54" t="n">
        <v>2693900</v>
      </c>
    </row>
    <row r="120" customFormat="false" ht="15" hidden="false" customHeight="false" outlineLevel="0" collapsed="false">
      <c r="A120" s="50" t="s">
        <v>226</v>
      </c>
      <c r="B120" s="51" t="n">
        <v>45666</v>
      </c>
      <c r="C120" s="50" t="s">
        <v>211</v>
      </c>
      <c r="D120" s="50" t="s">
        <v>2172</v>
      </c>
      <c r="E120" s="50" t="n">
        <v>1</v>
      </c>
      <c r="F120" s="50" t="s">
        <v>2167</v>
      </c>
      <c r="G120" s="54" t="n">
        <v>502600</v>
      </c>
    </row>
    <row r="121" customFormat="false" ht="15" hidden="false" customHeight="false" outlineLevel="0" collapsed="false">
      <c r="A121" s="50" t="s">
        <v>227</v>
      </c>
      <c r="B121" s="51" t="n">
        <v>45667</v>
      </c>
      <c r="C121" s="50" t="s">
        <v>228</v>
      </c>
      <c r="D121" s="50" t="s">
        <v>2181</v>
      </c>
      <c r="E121" s="50" t="n">
        <v>1</v>
      </c>
      <c r="F121" s="50" t="s">
        <v>2167</v>
      </c>
      <c r="G121" s="54" t="n">
        <v>1133900</v>
      </c>
    </row>
    <row r="122" customFormat="false" ht="15" hidden="false" customHeight="false" outlineLevel="0" collapsed="false">
      <c r="A122" s="50" t="s">
        <v>227</v>
      </c>
      <c r="B122" s="51" t="n">
        <v>45667</v>
      </c>
      <c r="C122" s="50" t="s">
        <v>228</v>
      </c>
      <c r="D122" s="50" t="s">
        <v>2169</v>
      </c>
      <c r="E122" s="50" t="n">
        <v>4</v>
      </c>
      <c r="F122" s="50" t="s">
        <v>2167</v>
      </c>
      <c r="G122" s="54" t="n">
        <v>2391700</v>
      </c>
    </row>
    <row r="123" customFormat="false" ht="15" hidden="false" customHeight="false" outlineLevel="0" collapsed="false">
      <c r="A123" s="50" t="s">
        <v>227</v>
      </c>
      <c r="B123" s="51" t="n">
        <v>45667</v>
      </c>
      <c r="C123" s="50" t="s">
        <v>228</v>
      </c>
      <c r="D123" s="50" t="s">
        <v>2176</v>
      </c>
      <c r="E123" s="50" t="n">
        <v>1</v>
      </c>
      <c r="F123" s="50" t="s">
        <v>2167</v>
      </c>
      <c r="G123" s="54" t="n">
        <v>432400</v>
      </c>
    </row>
    <row r="124" customFormat="false" ht="15" hidden="false" customHeight="false" outlineLevel="0" collapsed="false">
      <c r="A124" s="50" t="s">
        <v>229</v>
      </c>
      <c r="B124" s="51" t="n">
        <v>45667</v>
      </c>
      <c r="C124" s="50" t="s">
        <v>230</v>
      </c>
      <c r="D124" s="50" t="s">
        <v>2182</v>
      </c>
      <c r="E124" s="50" t="n">
        <v>4</v>
      </c>
      <c r="F124" s="50" t="s">
        <v>2174</v>
      </c>
      <c r="G124" s="54" t="n">
        <v>3655800</v>
      </c>
    </row>
    <row r="125" customFormat="false" ht="15" hidden="false" customHeight="false" outlineLevel="0" collapsed="false">
      <c r="A125" s="50" t="s">
        <v>229</v>
      </c>
      <c r="B125" s="51" t="n">
        <v>45667</v>
      </c>
      <c r="C125" s="50" t="s">
        <v>230</v>
      </c>
      <c r="D125" s="50" t="s">
        <v>2188</v>
      </c>
      <c r="E125" s="50" t="n">
        <v>6</v>
      </c>
      <c r="F125" s="50" t="s">
        <v>2167</v>
      </c>
      <c r="G125" s="54" t="n">
        <v>5790700</v>
      </c>
    </row>
    <row r="126" customFormat="false" ht="15" hidden="false" customHeight="false" outlineLevel="0" collapsed="false">
      <c r="A126" s="50" t="s">
        <v>229</v>
      </c>
      <c r="B126" s="51" t="n">
        <v>45667</v>
      </c>
      <c r="C126" s="50" t="s">
        <v>230</v>
      </c>
      <c r="D126" s="50" t="s">
        <v>2180</v>
      </c>
      <c r="E126" s="50" t="n">
        <v>6</v>
      </c>
      <c r="F126" s="50" t="s">
        <v>2167</v>
      </c>
      <c r="G126" s="54" t="n">
        <v>2641200</v>
      </c>
    </row>
    <row r="127" customFormat="false" ht="15" hidden="false" customHeight="false" outlineLevel="0" collapsed="false">
      <c r="A127" s="50" t="s">
        <v>229</v>
      </c>
      <c r="B127" s="51" t="n">
        <v>45667</v>
      </c>
      <c r="C127" s="50" t="s">
        <v>230</v>
      </c>
      <c r="D127" s="50" t="s">
        <v>2179</v>
      </c>
      <c r="E127" s="50" t="n">
        <v>4</v>
      </c>
      <c r="F127" s="50" t="s">
        <v>2174</v>
      </c>
      <c r="G127" s="54" t="n">
        <v>5086800</v>
      </c>
    </row>
    <row r="128" customFormat="false" ht="15" hidden="false" customHeight="false" outlineLevel="0" collapsed="false">
      <c r="A128" s="50" t="s">
        <v>229</v>
      </c>
      <c r="B128" s="51" t="n">
        <v>45667</v>
      </c>
      <c r="C128" s="50" t="s">
        <v>230</v>
      </c>
      <c r="D128" s="50" t="s">
        <v>2181</v>
      </c>
      <c r="E128" s="50" t="n">
        <v>4</v>
      </c>
      <c r="F128" s="50" t="s">
        <v>2167</v>
      </c>
      <c r="G128" s="54" t="n">
        <v>4633200</v>
      </c>
    </row>
    <row r="129" customFormat="false" ht="15" hidden="false" customHeight="false" outlineLevel="0" collapsed="false">
      <c r="A129" s="50" t="s">
        <v>229</v>
      </c>
      <c r="B129" s="51" t="n">
        <v>45667</v>
      </c>
      <c r="C129" s="50" t="s">
        <v>230</v>
      </c>
      <c r="D129" s="50" t="s">
        <v>2186</v>
      </c>
      <c r="E129" s="50" t="n">
        <v>2</v>
      </c>
      <c r="F129" s="50" t="s">
        <v>2167</v>
      </c>
      <c r="G129" s="54" t="n">
        <v>1211000</v>
      </c>
    </row>
    <row r="130" customFormat="false" ht="15" hidden="false" customHeight="false" outlineLevel="0" collapsed="false">
      <c r="A130" s="50" t="s">
        <v>231</v>
      </c>
      <c r="B130" s="51" t="n">
        <v>45667</v>
      </c>
      <c r="C130" s="50" t="s">
        <v>232</v>
      </c>
      <c r="D130" s="50" t="s">
        <v>2169</v>
      </c>
      <c r="E130" s="50" t="n">
        <v>2</v>
      </c>
      <c r="F130" s="50" t="s">
        <v>2167</v>
      </c>
      <c r="G130" s="54" t="n">
        <v>1237200</v>
      </c>
    </row>
    <row r="131" customFormat="false" ht="15" hidden="false" customHeight="false" outlineLevel="0" collapsed="false">
      <c r="A131" s="50" t="s">
        <v>231</v>
      </c>
      <c r="B131" s="51" t="n">
        <v>45667</v>
      </c>
      <c r="C131" s="50" t="s">
        <v>232</v>
      </c>
      <c r="D131" s="50" t="s">
        <v>2181</v>
      </c>
      <c r="E131" s="50" t="n">
        <v>6</v>
      </c>
      <c r="F131" s="50" t="s">
        <v>2167</v>
      </c>
      <c r="G131" s="54" t="n">
        <v>6652000</v>
      </c>
    </row>
    <row r="132" customFormat="false" ht="15" hidden="false" customHeight="false" outlineLevel="0" collapsed="false">
      <c r="A132" s="50" t="s">
        <v>233</v>
      </c>
      <c r="B132" s="51" t="n">
        <v>45667</v>
      </c>
      <c r="C132" s="50" t="s">
        <v>234</v>
      </c>
      <c r="D132" s="50" t="s">
        <v>2172</v>
      </c>
      <c r="E132" s="50" t="n">
        <v>7</v>
      </c>
      <c r="F132" s="50" t="s">
        <v>2167</v>
      </c>
      <c r="G132" s="54" t="n">
        <v>3678500</v>
      </c>
    </row>
    <row r="133" customFormat="false" ht="15" hidden="false" customHeight="false" outlineLevel="0" collapsed="false">
      <c r="A133" s="50" t="s">
        <v>233</v>
      </c>
      <c r="B133" s="51" t="n">
        <v>45667</v>
      </c>
      <c r="C133" s="50" t="s">
        <v>234</v>
      </c>
      <c r="D133" s="50" t="s">
        <v>2178</v>
      </c>
      <c r="E133" s="50" t="n">
        <v>2</v>
      </c>
      <c r="F133" s="50" t="s">
        <v>2167</v>
      </c>
      <c r="G133" s="54" t="n">
        <v>948300</v>
      </c>
    </row>
    <row r="134" customFormat="false" ht="15" hidden="false" customHeight="false" outlineLevel="0" collapsed="false">
      <c r="A134" s="50" t="s">
        <v>233</v>
      </c>
      <c r="B134" s="51" t="n">
        <v>45667</v>
      </c>
      <c r="C134" s="50" t="s">
        <v>234</v>
      </c>
      <c r="D134" s="50" t="s">
        <v>2166</v>
      </c>
      <c r="E134" s="50" t="n">
        <v>1</v>
      </c>
      <c r="F134" s="50" t="s">
        <v>2167</v>
      </c>
      <c r="G134" s="54" t="n">
        <v>548600</v>
      </c>
    </row>
    <row r="135" customFormat="false" ht="15" hidden="false" customHeight="false" outlineLevel="0" collapsed="false">
      <c r="A135" s="50" t="s">
        <v>236</v>
      </c>
      <c r="B135" s="51" t="n">
        <v>45667</v>
      </c>
      <c r="C135" s="50" t="s">
        <v>237</v>
      </c>
      <c r="D135" s="50" t="s">
        <v>2181</v>
      </c>
      <c r="E135" s="50" t="n">
        <v>1</v>
      </c>
      <c r="F135" s="50" t="s">
        <v>2167</v>
      </c>
      <c r="G135" s="54" t="n">
        <v>1165600</v>
      </c>
    </row>
    <row r="136" customFormat="false" ht="15" hidden="false" customHeight="false" outlineLevel="0" collapsed="false">
      <c r="A136" s="50" t="s">
        <v>236</v>
      </c>
      <c r="B136" s="51" t="n">
        <v>45667</v>
      </c>
      <c r="C136" s="50" t="s">
        <v>237</v>
      </c>
      <c r="D136" s="50" t="s">
        <v>2179</v>
      </c>
      <c r="E136" s="50" t="n">
        <v>7</v>
      </c>
      <c r="F136" s="50" t="s">
        <v>2174</v>
      </c>
      <c r="G136" s="54" t="n">
        <v>8878200</v>
      </c>
    </row>
    <row r="137" customFormat="false" ht="15" hidden="false" customHeight="false" outlineLevel="0" collapsed="false">
      <c r="A137" s="50" t="s">
        <v>236</v>
      </c>
      <c r="B137" s="51" t="n">
        <v>45667</v>
      </c>
      <c r="C137" s="50" t="s">
        <v>237</v>
      </c>
      <c r="D137" s="50" t="s">
        <v>2176</v>
      </c>
      <c r="E137" s="50" t="n">
        <v>5</v>
      </c>
      <c r="F137" s="50" t="s">
        <v>2167</v>
      </c>
      <c r="G137" s="54" t="n">
        <v>2163500</v>
      </c>
    </row>
    <row r="138" customFormat="false" ht="15" hidden="false" customHeight="false" outlineLevel="0" collapsed="false">
      <c r="A138" s="50" t="s">
        <v>236</v>
      </c>
      <c r="B138" s="51" t="n">
        <v>45667</v>
      </c>
      <c r="C138" s="50" t="s">
        <v>237</v>
      </c>
      <c r="D138" s="50" t="s">
        <v>2169</v>
      </c>
      <c r="E138" s="50" t="n">
        <v>6</v>
      </c>
      <c r="F138" s="50" t="s">
        <v>2167</v>
      </c>
      <c r="G138" s="54" t="n">
        <v>3602200</v>
      </c>
    </row>
    <row r="139" customFormat="false" ht="15" hidden="false" customHeight="false" outlineLevel="0" collapsed="false">
      <c r="A139" s="50" t="s">
        <v>238</v>
      </c>
      <c r="B139" s="51" t="n">
        <v>45667</v>
      </c>
      <c r="C139" s="50" t="s">
        <v>239</v>
      </c>
      <c r="D139" s="50" t="s">
        <v>2180</v>
      </c>
      <c r="E139" s="50" t="n">
        <v>8</v>
      </c>
      <c r="F139" s="50" t="s">
        <v>2167</v>
      </c>
      <c r="G139" s="54" t="n">
        <v>3663700</v>
      </c>
    </row>
    <row r="140" customFormat="false" ht="15" hidden="false" customHeight="false" outlineLevel="0" collapsed="false">
      <c r="A140" s="50" t="s">
        <v>238</v>
      </c>
      <c r="B140" s="51" t="n">
        <v>45667</v>
      </c>
      <c r="C140" s="50" t="s">
        <v>239</v>
      </c>
      <c r="D140" s="50" t="s">
        <v>2188</v>
      </c>
      <c r="E140" s="50" t="n">
        <v>6</v>
      </c>
      <c r="F140" s="50" t="s">
        <v>2167</v>
      </c>
      <c r="G140" s="54" t="n">
        <v>5793600</v>
      </c>
    </row>
    <row r="141" customFormat="false" ht="15" hidden="false" customHeight="false" outlineLevel="0" collapsed="false">
      <c r="A141" s="50" t="s">
        <v>238</v>
      </c>
      <c r="B141" s="51" t="n">
        <v>45667</v>
      </c>
      <c r="C141" s="50" t="s">
        <v>239</v>
      </c>
      <c r="D141" s="50" t="s">
        <v>2182</v>
      </c>
      <c r="E141" s="50" t="n">
        <v>1</v>
      </c>
      <c r="F141" s="50" t="s">
        <v>2174</v>
      </c>
      <c r="G141" s="54" t="n">
        <v>947600</v>
      </c>
    </row>
    <row r="142" customFormat="false" ht="15" hidden="false" customHeight="false" outlineLevel="0" collapsed="false">
      <c r="A142" s="50" t="s">
        <v>238</v>
      </c>
      <c r="B142" s="51" t="n">
        <v>45667</v>
      </c>
      <c r="C142" s="50" t="s">
        <v>239</v>
      </c>
      <c r="D142" s="50" t="s">
        <v>2172</v>
      </c>
      <c r="E142" s="50" t="n">
        <v>4</v>
      </c>
      <c r="F142" s="50" t="s">
        <v>2167</v>
      </c>
      <c r="G142" s="54" t="n">
        <v>2013100</v>
      </c>
    </row>
    <row r="143" customFormat="false" ht="15" hidden="false" customHeight="false" outlineLevel="0" collapsed="false">
      <c r="A143" s="50" t="s">
        <v>240</v>
      </c>
      <c r="B143" s="51" t="n">
        <v>45668</v>
      </c>
      <c r="C143" s="50" t="s">
        <v>241</v>
      </c>
      <c r="D143" s="50" t="s">
        <v>2182</v>
      </c>
      <c r="E143" s="50" t="n">
        <v>7</v>
      </c>
      <c r="F143" s="50" t="s">
        <v>2174</v>
      </c>
      <c r="G143" s="54" t="n">
        <v>6889400</v>
      </c>
    </row>
    <row r="144" customFormat="false" ht="15" hidden="false" customHeight="false" outlineLevel="0" collapsed="false">
      <c r="A144" s="50" t="s">
        <v>240</v>
      </c>
      <c r="B144" s="51" t="n">
        <v>45668</v>
      </c>
      <c r="C144" s="50" t="s">
        <v>241</v>
      </c>
      <c r="D144" s="50" t="s">
        <v>2176</v>
      </c>
      <c r="E144" s="50" t="n">
        <v>4</v>
      </c>
      <c r="F144" s="50" t="s">
        <v>2167</v>
      </c>
      <c r="G144" s="54" t="n">
        <v>1661700</v>
      </c>
    </row>
    <row r="145" customFormat="false" ht="15" hidden="false" customHeight="false" outlineLevel="0" collapsed="false">
      <c r="A145" s="50" t="s">
        <v>240</v>
      </c>
      <c r="B145" s="51" t="n">
        <v>45668</v>
      </c>
      <c r="C145" s="50" t="s">
        <v>241</v>
      </c>
      <c r="D145" s="50" t="s">
        <v>2188</v>
      </c>
      <c r="E145" s="50" t="n">
        <v>6</v>
      </c>
      <c r="F145" s="50" t="s">
        <v>2167</v>
      </c>
      <c r="G145" s="54" t="n">
        <v>6099700</v>
      </c>
    </row>
    <row r="146" customFormat="false" ht="15" hidden="false" customHeight="false" outlineLevel="0" collapsed="false">
      <c r="A146" s="50" t="s">
        <v>242</v>
      </c>
      <c r="B146" s="51" t="n">
        <v>45668</v>
      </c>
      <c r="C146" s="50" t="s">
        <v>243</v>
      </c>
      <c r="D146" s="50" t="s">
        <v>2187</v>
      </c>
      <c r="E146" s="50" t="n">
        <v>5</v>
      </c>
      <c r="F146" s="50" t="s">
        <v>2167</v>
      </c>
      <c r="G146" s="54" t="n">
        <v>1758600</v>
      </c>
    </row>
    <row r="147" customFormat="false" ht="15" hidden="false" customHeight="false" outlineLevel="0" collapsed="false">
      <c r="A147" s="50" t="s">
        <v>242</v>
      </c>
      <c r="B147" s="51" t="n">
        <v>45668</v>
      </c>
      <c r="C147" s="50" t="s">
        <v>243</v>
      </c>
      <c r="D147" s="50" t="s">
        <v>2176</v>
      </c>
      <c r="E147" s="50" t="n">
        <v>1</v>
      </c>
      <c r="F147" s="50" t="s">
        <v>2167</v>
      </c>
      <c r="G147" s="54" t="n">
        <v>436700</v>
      </c>
    </row>
    <row r="148" customFormat="false" ht="15" hidden="false" customHeight="false" outlineLevel="0" collapsed="false">
      <c r="A148" s="50" t="s">
        <v>242</v>
      </c>
      <c r="B148" s="51" t="n">
        <v>45668</v>
      </c>
      <c r="C148" s="50" t="s">
        <v>243</v>
      </c>
      <c r="D148" s="50" t="s">
        <v>2181</v>
      </c>
      <c r="E148" s="50" t="n">
        <v>1</v>
      </c>
      <c r="F148" s="50" t="s">
        <v>2167</v>
      </c>
      <c r="G148" s="54" t="n">
        <v>1132400</v>
      </c>
    </row>
    <row r="149" customFormat="false" ht="15" hidden="false" customHeight="false" outlineLevel="0" collapsed="false">
      <c r="A149" s="50" t="s">
        <v>242</v>
      </c>
      <c r="B149" s="51" t="n">
        <v>45668</v>
      </c>
      <c r="C149" s="50" t="s">
        <v>243</v>
      </c>
      <c r="D149" s="50" t="s">
        <v>2168</v>
      </c>
      <c r="E149" s="50" t="n">
        <v>8</v>
      </c>
      <c r="F149" s="50" t="s">
        <v>2167</v>
      </c>
      <c r="G149" s="54" t="n">
        <v>3371000</v>
      </c>
    </row>
    <row r="150" customFormat="false" ht="15" hidden="false" customHeight="false" outlineLevel="0" collapsed="false">
      <c r="A150" s="50" t="s">
        <v>242</v>
      </c>
      <c r="B150" s="51" t="n">
        <v>45668</v>
      </c>
      <c r="C150" s="50" t="s">
        <v>243</v>
      </c>
      <c r="D150" s="50" t="s">
        <v>2177</v>
      </c>
      <c r="E150" s="50" t="n">
        <v>3</v>
      </c>
      <c r="F150" s="50" t="s">
        <v>2174</v>
      </c>
      <c r="G150" s="54" t="n">
        <v>3225600</v>
      </c>
    </row>
    <row r="151" customFormat="false" ht="15" hidden="false" customHeight="false" outlineLevel="0" collapsed="false">
      <c r="A151" s="50" t="s">
        <v>244</v>
      </c>
      <c r="B151" s="51" t="n">
        <v>45668</v>
      </c>
      <c r="C151" s="50" t="s">
        <v>216</v>
      </c>
      <c r="D151" s="50" t="s">
        <v>2184</v>
      </c>
      <c r="E151" s="50" t="n">
        <v>3</v>
      </c>
      <c r="F151" s="50" t="s">
        <v>2167</v>
      </c>
      <c r="G151" s="54" t="n">
        <v>1615800</v>
      </c>
    </row>
    <row r="152" customFormat="false" ht="15" hidden="false" customHeight="false" outlineLevel="0" collapsed="false">
      <c r="A152" s="50" t="s">
        <v>244</v>
      </c>
      <c r="B152" s="51" t="n">
        <v>45668</v>
      </c>
      <c r="C152" s="50" t="s">
        <v>216</v>
      </c>
      <c r="D152" s="50" t="s">
        <v>2180</v>
      </c>
      <c r="E152" s="50" t="n">
        <v>4</v>
      </c>
      <c r="F152" s="50" t="s">
        <v>2167</v>
      </c>
      <c r="G152" s="54" t="n">
        <v>1772400</v>
      </c>
    </row>
    <row r="153" customFormat="false" ht="15" hidden="false" customHeight="false" outlineLevel="0" collapsed="false">
      <c r="A153" s="50" t="s">
        <v>244</v>
      </c>
      <c r="B153" s="51" t="n">
        <v>45668</v>
      </c>
      <c r="C153" s="50" t="s">
        <v>216</v>
      </c>
      <c r="D153" s="50" t="s">
        <v>2177</v>
      </c>
      <c r="E153" s="50" t="n">
        <v>7</v>
      </c>
      <c r="F153" s="50" t="s">
        <v>2174</v>
      </c>
      <c r="G153" s="54" t="n">
        <v>7773800</v>
      </c>
    </row>
    <row r="154" customFormat="false" ht="15" hidden="false" customHeight="false" outlineLevel="0" collapsed="false">
      <c r="A154" s="50" t="s">
        <v>244</v>
      </c>
      <c r="B154" s="51" t="n">
        <v>45668</v>
      </c>
      <c r="C154" s="50" t="s">
        <v>216</v>
      </c>
      <c r="D154" s="50" t="s">
        <v>2176</v>
      </c>
      <c r="E154" s="50" t="n">
        <v>5</v>
      </c>
      <c r="F154" s="50" t="s">
        <v>2167</v>
      </c>
      <c r="G154" s="54" t="n">
        <v>2183000</v>
      </c>
    </row>
    <row r="155" customFormat="false" ht="15" hidden="false" customHeight="false" outlineLevel="0" collapsed="false">
      <c r="A155" s="50" t="s">
        <v>245</v>
      </c>
      <c r="B155" s="51" t="n">
        <v>45668</v>
      </c>
      <c r="C155" s="50" t="s">
        <v>221</v>
      </c>
      <c r="D155" s="50" t="s">
        <v>2178</v>
      </c>
      <c r="E155" s="50" t="n">
        <v>4</v>
      </c>
      <c r="F155" s="50" t="s">
        <v>2167</v>
      </c>
      <c r="G155" s="54" t="n">
        <v>1926700</v>
      </c>
    </row>
    <row r="156" customFormat="false" ht="15" hidden="false" customHeight="false" outlineLevel="0" collapsed="false">
      <c r="A156" s="50" t="s">
        <v>245</v>
      </c>
      <c r="B156" s="51" t="n">
        <v>45668</v>
      </c>
      <c r="C156" s="50" t="s">
        <v>221</v>
      </c>
      <c r="D156" s="50" t="s">
        <v>2187</v>
      </c>
      <c r="E156" s="50" t="n">
        <v>5</v>
      </c>
      <c r="F156" s="50" t="s">
        <v>2167</v>
      </c>
      <c r="G156" s="54" t="n">
        <v>1756300</v>
      </c>
    </row>
    <row r="157" customFormat="false" ht="15" hidden="false" customHeight="false" outlineLevel="0" collapsed="false">
      <c r="A157" s="50" t="s">
        <v>245</v>
      </c>
      <c r="B157" s="51" t="n">
        <v>45668</v>
      </c>
      <c r="C157" s="50" t="s">
        <v>221</v>
      </c>
      <c r="D157" s="50" t="s">
        <v>2181</v>
      </c>
      <c r="E157" s="50" t="n">
        <v>8</v>
      </c>
      <c r="F157" s="50" t="s">
        <v>2167</v>
      </c>
      <c r="G157" s="54" t="n">
        <v>8843200</v>
      </c>
    </row>
    <row r="158" customFormat="false" ht="15" hidden="false" customHeight="false" outlineLevel="0" collapsed="false">
      <c r="A158" s="50" t="s">
        <v>245</v>
      </c>
      <c r="B158" s="51" t="n">
        <v>45668</v>
      </c>
      <c r="C158" s="50" t="s">
        <v>221</v>
      </c>
      <c r="D158" s="50" t="s">
        <v>2183</v>
      </c>
      <c r="E158" s="50" t="n">
        <v>2</v>
      </c>
      <c r="F158" s="50" t="s">
        <v>2167</v>
      </c>
      <c r="G158" s="54" t="n">
        <v>768000</v>
      </c>
    </row>
    <row r="159" customFormat="false" ht="15" hidden="false" customHeight="false" outlineLevel="0" collapsed="false">
      <c r="A159" s="50" t="s">
        <v>246</v>
      </c>
      <c r="B159" s="51" t="n">
        <v>45670</v>
      </c>
      <c r="C159" s="50" t="s">
        <v>247</v>
      </c>
      <c r="D159" s="50" t="s">
        <v>2177</v>
      </c>
      <c r="E159" s="50" t="n">
        <v>3</v>
      </c>
      <c r="F159" s="50" t="s">
        <v>2174</v>
      </c>
      <c r="G159" s="54" t="n">
        <v>3377400</v>
      </c>
    </row>
    <row r="160" customFormat="false" ht="15" hidden="false" customHeight="false" outlineLevel="0" collapsed="false">
      <c r="A160" s="50" t="s">
        <v>246</v>
      </c>
      <c r="B160" s="51" t="n">
        <v>45670</v>
      </c>
      <c r="C160" s="50" t="s">
        <v>247</v>
      </c>
      <c r="D160" s="50" t="s">
        <v>2170</v>
      </c>
      <c r="E160" s="50" t="n">
        <v>1</v>
      </c>
      <c r="F160" s="50" t="s">
        <v>2171</v>
      </c>
      <c r="G160" s="54" t="n">
        <v>7456500</v>
      </c>
    </row>
    <row r="161" customFormat="false" ht="15" hidden="false" customHeight="false" outlineLevel="0" collapsed="false">
      <c r="A161" s="50" t="s">
        <v>246</v>
      </c>
      <c r="B161" s="51" t="n">
        <v>45670</v>
      </c>
      <c r="C161" s="50" t="s">
        <v>247</v>
      </c>
      <c r="D161" s="50" t="s">
        <v>2180</v>
      </c>
      <c r="E161" s="50" t="n">
        <v>4</v>
      </c>
      <c r="F161" s="50" t="s">
        <v>2167</v>
      </c>
      <c r="G161" s="54" t="n">
        <v>1810800</v>
      </c>
    </row>
    <row r="162" customFormat="false" ht="15" hidden="false" customHeight="false" outlineLevel="0" collapsed="false">
      <c r="A162" s="50" t="s">
        <v>248</v>
      </c>
      <c r="B162" s="51" t="n">
        <v>45670</v>
      </c>
      <c r="C162" s="50" t="s">
        <v>249</v>
      </c>
      <c r="D162" s="50" t="s">
        <v>2186</v>
      </c>
      <c r="E162" s="50" t="n">
        <v>4</v>
      </c>
      <c r="F162" s="50" t="s">
        <v>2167</v>
      </c>
      <c r="G162" s="54" t="n">
        <v>2301200</v>
      </c>
    </row>
    <row r="163" customFormat="false" ht="15" hidden="false" customHeight="false" outlineLevel="0" collapsed="false">
      <c r="A163" s="50" t="s">
        <v>248</v>
      </c>
      <c r="B163" s="51" t="n">
        <v>45670</v>
      </c>
      <c r="C163" s="50" t="s">
        <v>249</v>
      </c>
      <c r="D163" s="50" t="s">
        <v>2173</v>
      </c>
      <c r="E163" s="50" t="n">
        <v>4</v>
      </c>
      <c r="F163" s="50" t="s">
        <v>2174</v>
      </c>
      <c r="G163" s="54" t="n">
        <v>3117100</v>
      </c>
    </row>
    <row r="164" customFormat="false" ht="15" hidden="false" customHeight="false" outlineLevel="0" collapsed="false">
      <c r="A164" s="50" t="s">
        <v>248</v>
      </c>
      <c r="B164" s="51" t="n">
        <v>45670</v>
      </c>
      <c r="C164" s="50" t="s">
        <v>249</v>
      </c>
      <c r="D164" s="50" t="s">
        <v>2183</v>
      </c>
      <c r="E164" s="50" t="n">
        <v>7</v>
      </c>
      <c r="F164" s="50" t="s">
        <v>2167</v>
      </c>
      <c r="G164" s="54" t="n">
        <v>2619000</v>
      </c>
    </row>
    <row r="165" customFormat="false" ht="15" hidden="false" customHeight="false" outlineLevel="0" collapsed="false">
      <c r="A165" s="50" t="s">
        <v>248</v>
      </c>
      <c r="B165" s="51" t="n">
        <v>45670</v>
      </c>
      <c r="C165" s="50" t="s">
        <v>249</v>
      </c>
      <c r="D165" s="50" t="s">
        <v>2180</v>
      </c>
      <c r="E165" s="50" t="n">
        <v>6</v>
      </c>
      <c r="F165" s="50" t="s">
        <v>2167</v>
      </c>
      <c r="G165" s="54" t="n">
        <v>2792400</v>
      </c>
    </row>
    <row r="166" customFormat="false" ht="15" hidden="false" customHeight="false" outlineLevel="0" collapsed="false">
      <c r="A166" s="50" t="s">
        <v>248</v>
      </c>
      <c r="B166" s="51" t="n">
        <v>45670</v>
      </c>
      <c r="C166" s="50" t="s">
        <v>249</v>
      </c>
      <c r="D166" s="50" t="s">
        <v>2169</v>
      </c>
      <c r="E166" s="50" t="n">
        <v>4</v>
      </c>
      <c r="F166" s="50" t="s">
        <v>2167</v>
      </c>
      <c r="G166" s="54" t="n">
        <v>2387400</v>
      </c>
    </row>
    <row r="167" customFormat="false" ht="15" hidden="false" customHeight="false" outlineLevel="0" collapsed="false">
      <c r="A167" s="50" t="s">
        <v>250</v>
      </c>
      <c r="B167" s="51" t="n">
        <v>45670</v>
      </c>
      <c r="C167" s="50" t="s">
        <v>251</v>
      </c>
      <c r="D167" s="50" t="s">
        <v>2175</v>
      </c>
      <c r="E167" s="50" t="n">
        <v>5</v>
      </c>
      <c r="F167" s="50" t="s">
        <v>2167</v>
      </c>
      <c r="G167" s="54" t="n">
        <v>3137500</v>
      </c>
    </row>
    <row r="168" customFormat="false" ht="15" hidden="false" customHeight="false" outlineLevel="0" collapsed="false">
      <c r="A168" s="50" t="s">
        <v>250</v>
      </c>
      <c r="B168" s="51" t="n">
        <v>45670</v>
      </c>
      <c r="C168" s="50" t="s">
        <v>251</v>
      </c>
      <c r="D168" s="50" t="s">
        <v>2181</v>
      </c>
      <c r="E168" s="50" t="n">
        <v>5</v>
      </c>
      <c r="F168" s="50" t="s">
        <v>2167</v>
      </c>
      <c r="G168" s="54" t="n">
        <v>5912000</v>
      </c>
    </row>
    <row r="169" customFormat="false" ht="15" hidden="false" customHeight="false" outlineLevel="0" collapsed="false">
      <c r="A169" s="50" t="s">
        <v>250</v>
      </c>
      <c r="B169" s="51" t="n">
        <v>45670</v>
      </c>
      <c r="C169" s="50" t="s">
        <v>251</v>
      </c>
      <c r="D169" s="50" t="s">
        <v>2177</v>
      </c>
      <c r="E169" s="50" t="n">
        <v>5</v>
      </c>
      <c r="F169" s="50" t="s">
        <v>2174</v>
      </c>
      <c r="G169" s="54" t="n">
        <v>5359200</v>
      </c>
    </row>
    <row r="170" customFormat="false" ht="15" hidden="false" customHeight="false" outlineLevel="0" collapsed="false">
      <c r="A170" s="50" t="s">
        <v>252</v>
      </c>
      <c r="B170" s="51" t="n">
        <v>45670</v>
      </c>
      <c r="C170" s="50" t="s">
        <v>174</v>
      </c>
      <c r="D170" s="50" t="s">
        <v>2187</v>
      </c>
      <c r="E170" s="50" t="n">
        <v>1</v>
      </c>
      <c r="F170" s="50" t="s">
        <v>2167</v>
      </c>
      <c r="G170" s="54" t="n">
        <v>341700</v>
      </c>
    </row>
    <row r="171" customFormat="false" ht="15" hidden="false" customHeight="false" outlineLevel="0" collapsed="false">
      <c r="A171" s="50" t="s">
        <v>252</v>
      </c>
      <c r="B171" s="51" t="n">
        <v>45670</v>
      </c>
      <c r="C171" s="50" t="s">
        <v>174</v>
      </c>
      <c r="D171" s="50" t="s">
        <v>2173</v>
      </c>
      <c r="E171" s="50" t="n">
        <v>5</v>
      </c>
      <c r="F171" s="50" t="s">
        <v>2174</v>
      </c>
      <c r="G171" s="54" t="n">
        <v>3874200</v>
      </c>
    </row>
    <row r="172" customFormat="false" ht="15" hidden="false" customHeight="false" outlineLevel="0" collapsed="false">
      <c r="A172" s="50" t="s">
        <v>253</v>
      </c>
      <c r="B172" s="51" t="n">
        <v>45670</v>
      </c>
      <c r="C172" s="50" t="s">
        <v>177</v>
      </c>
      <c r="D172" s="50" t="s">
        <v>2179</v>
      </c>
      <c r="E172" s="50" t="n">
        <v>7</v>
      </c>
      <c r="F172" s="50" t="s">
        <v>2174</v>
      </c>
      <c r="G172" s="54" t="n">
        <v>8854100</v>
      </c>
    </row>
    <row r="173" customFormat="false" ht="15" hidden="false" customHeight="false" outlineLevel="0" collapsed="false">
      <c r="A173" s="50" t="s">
        <v>253</v>
      </c>
      <c r="B173" s="51" t="n">
        <v>45670</v>
      </c>
      <c r="C173" s="50" t="s">
        <v>177</v>
      </c>
      <c r="D173" s="50" t="s">
        <v>2186</v>
      </c>
      <c r="E173" s="50" t="n">
        <v>4</v>
      </c>
      <c r="F173" s="50" t="s">
        <v>2167</v>
      </c>
      <c r="G173" s="54" t="n">
        <v>2290800</v>
      </c>
    </row>
    <row r="174" customFormat="false" ht="15" hidden="false" customHeight="false" outlineLevel="0" collapsed="false">
      <c r="A174" s="50" t="s">
        <v>253</v>
      </c>
      <c r="B174" s="51" t="n">
        <v>45670</v>
      </c>
      <c r="C174" s="50" t="s">
        <v>177</v>
      </c>
      <c r="D174" s="50" t="s">
        <v>2176</v>
      </c>
      <c r="E174" s="50" t="n">
        <v>5</v>
      </c>
      <c r="F174" s="50" t="s">
        <v>2167</v>
      </c>
      <c r="G174" s="54" t="n">
        <v>2053700</v>
      </c>
    </row>
    <row r="175" customFormat="false" ht="15" hidden="false" customHeight="false" outlineLevel="0" collapsed="false">
      <c r="A175" s="50" t="s">
        <v>254</v>
      </c>
      <c r="B175" s="51" t="n">
        <v>45670</v>
      </c>
      <c r="C175" s="50" t="s">
        <v>188</v>
      </c>
      <c r="D175" s="50" t="s">
        <v>2184</v>
      </c>
      <c r="E175" s="50" t="n">
        <v>3</v>
      </c>
      <c r="F175" s="50" t="s">
        <v>2167</v>
      </c>
      <c r="G175" s="54" t="n">
        <v>1721300</v>
      </c>
    </row>
    <row r="176" customFormat="false" ht="15" hidden="false" customHeight="false" outlineLevel="0" collapsed="false">
      <c r="A176" s="50" t="s">
        <v>254</v>
      </c>
      <c r="B176" s="51" t="n">
        <v>45670</v>
      </c>
      <c r="C176" s="50" t="s">
        <v>188</v>
      </c>
      <c r="D176" s="50" t="s">
        <v>2187</v>
      </c>
      <c r="E176" s="50" t="n">
        <v>8</v>
      </c>
      <c r="F176" s="50" t="s">
        <v>2167</v>
      </c>
      <c r="G176" s="54" t="n">
        <v>2867200</v>
      </c>
    </row>
    <row r="177" customFormat="false" ht="15" hidden="false" customHeight="false" outlineLevel="0" collapsed="false">
      <c r="A177" s="50" t="s">
        <v>254</v>
      </c>
      <c r="B177" s="51" t="n">
        <v>45670</v>
      </c>
      <c r="C177" s="50" t="s">
        <v>188</v>
      </c>
      <c r="D177" s="50" t="s">
        <v>2185</v>
      </c>
      <c r="E177" s="50" t="n">
        <v>1</v>
      </c>
      <c r="F177" s="50" t="s">
        <v>2174</v>
      </c>
      <c r="G177" s="54" t="n">
        <v>798400</v>
      </c>
    </row>
    <row r="178" customFormat="false" ht="15" hidden="false" customHeight="false" outlineLevel="0" collapsed="false">
      <c r="A178" s="50" t="s">
        <v>254</v>
      </c>
      <c r="B178" s="51" t="n">
        <v>45670</v>
      </c>
      <c r="C178" s="50" t="s">
        <v>188</v>
      </c>
      <c r="D178" s="50" t="s">
        <v>2166</v>
      </c>
      <c r="E178" s="50" t="n">
        <v>1</v>
      </c>
      <c r="F178" s="50" t="s">
        <v>2167</v>
      </c>
      <c r="G178" s="54" t="n">
        <v>557900</v>
      </c>
    </row>
    <row r="179" customFormat="false" ht="15" hidden="false" customHeight="false" outlineLevel="0" collapsed="false">
      <c r="A179" s="50" t="s">
        <v>255</v>
      </c>
      <c r="B179" s="51" t="n">
        <v>45671</v>
      </c>
      <c r="C179" s="50" t="s">
        <v>256</v>
      </c>
      <c r="D179" s="50" t="s">
        <v>2173</v>
      </c>
      <c r="E179" s="50" t="n">
        <v>6</v>
      </c>
      <c r="F179" s="50" t="s">
        <v>2174</v>
      </c>
      <c r="G179" s="54" t="n">
        <v>4656200</v>
      </c>
    </row>
    <row r="180" customFormat="false" ht="15" hidden="false" customHeight="false" outlineLevel="0" collapsed="false">
      <c r="A180" s="50" t="s">
        <v>255</v>
      </c>
      <c r="B180" s="51" t="n">
        <v>45671</v>
      </c>
      <c r="C180" s="50" t="s">
        <v>256</v>
      </c>
      <c r="D180" s="50" t="s">
        <v>2184</v>
      </c>
      <c r="E180" s="50" t="n">
        <v>5</v>
      </c>
      <c r="F180" s="50" t="s">
        <v>2167</v>
      </c>
      <c r="G180" s="54" t="n">
        <v>2869900</v>
      </c>
    </row>
    <row r="181" customFormat="false" ht="15" hidden="false" customHeight="false" outlineLevel="0" collapsed="false">
      <c r="A181" s="50" t="s">
        <v>255</v>
      </c>
      <c r="B181" s="51" t="n">
        <v>45671</v>
      </c>
      <c r="C181" s="50" t="s">
        <v>256</v>
      </c>
      <c r="D181" s="50" t="s">
        <v>2180</v>
      </c>
      <c r="E181" s="50" t="n">
        <v>3</v>
      </c>
      <c r="F181" s="50" t="s">
        <v>2167</v>
      </c>
      <c r="G181" s="54" t="n">
        <v>1298500</v>
      </c>
    </row>
    <row r="182" customFormat="false" ht="15" hidden="false" customHeight="false" outlineLevel="0" collapsed="false">
      <c r="A182" s="50" t="s">
        <v>255</v>
      </c>
      <c r="B182" s="51" t="n">
        <v>45671</v>
      </c>
      <c r="C182" s="50" t="s">
        <v>256</v>
      </c>
      <c r="D182" s="50" t="s">
        <v>2168</v>
      </c>
      <c r="E182" s="50" t="n">
        <v>1</v>
      </c>
      <c r="F182" s="50" t="s">
        <v>2167</v>
      </c>
      <c r="G182" s="54" t="n">
        <v>419200</v>
      </c>
    </row>
    <row r="183" customFormat="false" ht="15" hidden="false" customHeight="false" outlineLevel="0" collapsed="false">
      <c r="A183" s="50" t="s">
        <v>255</v>
      </c>
      <c r="B183" s="51" t="n">
        <v>45671</v>
      </c>
      <c r="C183" s="50" t="s">
        <v>256</v>
      </c>
      <c r="D183" s="50" t="s">
        <v>2182</v>
      </c>
      <c r="E183" s="50" t="n">
        <v>1</v>
      </c>
      <c r="F183" s="50" t="s">
        <v>2174</v>
      </c>
      <c r="G183" s="54" t="n">
        <v>982700</v>
      </c>
    </row>
    <row r="184" customFormat="false" ht="15" hidden="false" customHeight="false" outlineLevel="0" collapsed="false">
      <c r="A184" s="50" t="s">
        <v>257</v>
      </c>
      <c r="B184" s="51" t="n">
        <v>45671</v>
      </c>
      <c r="C184" s="50" t="s">
        <v>247</v>
      </c>
      <c r="D184" s="50" t="s">
        <v>2179</v>
      </c>
      <c r="E184" s="50" t="n">
        <v>6</v>
      </c>
      <c r="F184" s="50" t="s">
        <v>2174</v>
      </c>
      <c r="G184" s="54" t="n">
        <v>7786500</v>
      </c>
    </row>
    <row r="185" customFormat="false" ht="15" hidden="false" customHeight="false" outlineLevel="0" collapsed="false">
      <c r="A185" s="50" t="s">
        <v>257</v>
      </c>
      <c r="B185" s="51" t="n">
        <v>45671</v>
      </c>
      <c r="C185" s="50" t="s">
        <v>247</v>
      </c>
      <c r="D185" s="50" t="s">
        <v>2180</v>
      </c>
      <c r="E185" s="50" t="n">
        <v>5</v>
      </c>
      <c r="F185" s="50" t="s">
        <v>2167</v>
      </c>
      <c r="G185" s="54" t="n">
        <v>2271500</v>
      </c>
    </row>
    <row r="186" customFormat="false" ht="15" hidden="false" customHeight="false" outlineLevel="0" collapsed="false">
      <c r="A186" s="50" t="s">
        <v>258</v>
      </c>
      <c r="B186" s="51" t="n">
        <v>45671</v>
      </c>
      <c r="C186" s="50" t="s">
        <v>259</v>
      </c>
      <c r="D186" s="50" t="s">
        <v>2176</v>
      </c>
      <c r="E186" s="50" t="n">
        <v>6</v>
      </c>
      <c r="F186" s="50" t="s">
        <v>2167</v>
      </c>
      <c r="G186" s="54" t="n">
        <v>2499000</v>
      </c>
    </row>
    <row r="187" customFormat="false" ht="15" hidden="false" customHeight="false" outlineLevel="0" collapsed="false">
      <c r="A187" s="50" t="s">
        <v>258</v>
      </c>
      <c r="B187" s="51" t="n">
        <v>45671</v>
      </c>
      <c r="C187" s="50" t="s">
        <v>259</v>
      </c>
      <c r="D187" s="50" t="s">
        <v>2185</v>
      </c>
      <c r="E187" s="50" t="n">
        <v>6</v>
      </c>
      <c r="F187" s="50" t="s">
        <v>2174</v>
      </c>
      <c r="G187" s="54" t="n">
        <v>4577800</v>
      </c>
    </row>
    <row r="188" customFormat="false" ht="15" hidden="false" customHeight="false" outlineLevel="0" collapsed="false">
      <c r="A188" s="50" t="s">
        <v>258</v>
      </c>
      <c r="B188" s="51" t="n">
        <v>45671</v>
      </c>
      <c r="C188" s="50" t="s">
        <v>259</v>
      </c>
      <c r="D188" s="50" t="s">
        <v>2179</v>
      </c>
      <c r="E188" s="50" t="n">
        <v>4</v>
      </c>
      <c r="F188" s="50" t="s">
        <v>2174</v>
      </c>
      <c r="G188" s="54" t="n">
        <v>4966800</v>
      </c>
    </row>
    <row r="189" customFormat="false" ht="15" hidden="false" customHeight="false" outlineLevel="0" collapsed="false">
      <c r="A189" s="50" t="s">
        <v>260</v>
      </c>
      <c r="B189" s="51" t="n">
        <v>45671</v>
      </c>
      <c r="C189" s="50" t="s">
        <v>261</v>
      </c>
      <c r="D189" s="50" t="s">
        <v>2188</v>
      </c>
      <c r="E189" s="50" t="n">
        <v>5</v>
      </c>
      <c r="F189" s="50" t="s">
        <v>2167</v>
      </c>
      <c r="G189" s="54" t="n">
        <v>4864600</v>
      </c>
    </row>
    <row r="190" customFormat="false" ht="15" hidden="false" customHeight="false" outlineLevel="0" collapsed="false">
      <c r="A190" s="50" t="s">
        <v>260</v>
      </c>
      <c r="B190" s="51" t="n">
        <v>45671</v>
      </c>
      <c r="C190" s="50" t="s">
        <v>261</v>
      </c>
      <c r="D190" s="50" t="s">
        <v>2180</v>
      </c>
      <c r="E190" s="50" t="n">
        <v>7</v>
      </c>
      <c r="F190" s="50" t="s">
        <v>2167</v>
      </c>
      <c r="G190" s="54" t="n">
        <v>3091700</v>
      </c>
    </row>
    <row r="191" customFormat="false" ht="15" hidden="false" customHeight="false" outlineLevel="0" collapsed="false">
      <c r="A191" s="50" t="s">
        <v>260</v>
      </c>
      <c r="B191" s="51" t="n">
        <v>45671</v>
      </c>
      <c r="C191" s="50" t="s">
        <v>261</v>
      </c>
      <c r="D191" s="50" t="s">
        <v>2187</v>
      </c>
      <c r="E191" s="50" t="n">
        <v>5</v>
      </c>
      <c r="F191" s="50" t="s">
        <v>2167</v>
      </c>
      <c r="G191" s="54" t="n">
        <v>1702400</v>
      </c>
    </row>
    <row r="192" customFormat="false" ht="15" hidden="false" customHeight="false" outlineLevel="0" collapsed="false">
      <c r="A192" s="50" t="s">
        <v>260</v>
      </c>
      <c r="B192" s="51" t="n">
        <v>45671</v>
      </c>
      <c r="C192" s="50" t="s">
        <v>261</v>
      </c>
      <c r="D192" s="50" t="s">
        <v>2168</v>
      </c>
      <c r="E192" s="50" t="n">
        <v>3</v>
      </c>
      <c r="F192" s="50" t="s">
        <v>2167</v>
      </c>
      <c r="G192" s="54" t="n">
        <v>1307600</v>
      </c>
    </row>
    <row r="193" customFormat="false" ht="15" hidden="false" customHeight="false" outlineLevel="0" collapsed="false">
      <c r="A193" s="50" t="s">
        <v>260</v>
      </c>
      <c r="B193" s="51" t="n">
        <v>45671</v>
      </c>
      <c r="C193" s="50" t="s">
        <v>261</v>
      </c>
      <c r="D193" s="50" t="s">
        <v>2169</v>
      </c>
      <c r="E193" s="50" t="n">
        <v>8</v>
      </c>
      <c r="F193" s="50" t="s">
        <v>2167</v>
      </c>
      <c r="G193" s="54" t="n">
        <v>5152800</v>
      </c>
    </row>
    <row r="194" customFormat="false" ht="15" hidden="false" customHeight="false" outlineLevel="0" collapsed="false">
      <c r="A194" s="50" t="s">
        <v>260</v>
      </c>
      <c r="B194" s="51" t="n">
        <v>45671</v>
      </c>
      <c r="C194" s="50" t="s">
        <v>261</v>
      </c>
      <c r="D194" s="50" t="s">
        <v>2184</v>
      </c>
      <c r="E194" s="50" t="n">
        <v>4</v>
      </c>
      <c r="F194" s="50" t="s">
        <v>2167</v>
      </c>
      <c r="G194" s="54" t="n">
        <v>2208600</v>
      </c>
    </row>
    <row r="195" customFormat="false" ht="15" hidden="false" customHeight="false" outlineLevel="0" collapsed="false">
      <c r="A195" s="50" t="s">
        <v>262</v>
      </c>
      <c r="B195" s="51" t="n">
        <v>45671</v>
      </c>
      <c r="C195" s="50" t="s">
        <v>243</v>
      </c>
      <c r="D195" s="50" t="s">
        <v>2184</v>
      </c>
      <c r="E195" s="50" t="n">
        <v>6</v>
      </c>
      <c r="F195" s="50" t="s">
        <v>2167</v>
      </c>
      <c r="G195" s="54" t="n">
        <v>3325300</v>
      </c>
    </row>
    <row r="196" customFormat="false" ht="15" hidden="false" customHeight="false" outlineLevel="0" collapsed="false">
      <c r="A196" s="50" t="s">
        <v>262</v>
      </c>
      <c r="B196" s="51" t="n">
        <v>45671</v>
      </c>
      <c r="C196" s="50" t="s">
        <v>243</v>
      </c>
      <c r="D196" s="50" t="s">
        <v>2169</v>
      </c>
      <c r="E196" s="50" t="n">
        <v>7</v>
      </c>
      <c r="F196" s="50" t="s">
        <v>2167</v>
      </c>
      <c r="G196" s="54" t="n">
        <v>4273600</v>
      </c>
    </row>
    <row r="197" customFormat="false" ht="15" hidden="false" customHeight="false" outlineLevel="0" collapsed="false">
      <c r="A197" s="50" t="s">
        <v>262</v>
      </c>
      <c r="B197" s="51" t="n">
        <v>45671</v>
      </c>
      <c r="C197" s="50" t="s">
        <v>243</v>
      </c>
      <c r="D197" s="50" t="s">
        <v>2176</v>
      </c>
      <c r="E197" s="50" t="n">
        <v>1</v>
      </c>
      <c r="F197" s="50" t="s">
        <v>2167</v>
      </c>
      <c r="G197" s="54" t="n">
        <v>428000</v>
      </c>
    </row>
    <row r="198" customFormat="false" ht="15" hidden="false" customHeight="false" outlineLevel="0" collapsed="false">
      <c r="A198" s="50" t="s">
        <v>262</v>
      </c>
      <c r="B198" s="51" t="n">
        <v>45671</v>
      </c>
      <c r="C198" s="50" t="s">
        <v>243</v>
      </c>
      <c r="D198" s="50" t="s">
        <v>2179</v>
      </c>
      <c r="E198" s="50" t="n">
        <v>1</v>
      </c>
      <c r="F198" s="50" t="s">
        <v>2174</v>
      </c>
      <c r="G198" s="54" t="n">
        <v>1218500</v>
      </c>
    </row>
    <row r="199" customFormat="false" ht="15" hidden="false" customHeight="false" outlineLevel="0" collapsed="false">
      <c r="A199" s="50" t="s">
        <v>262</v>
      </c>
      <c r="B199" s="51" t="n">
        <v>45671</v>
      </c>
      <c r="C199" s="50" t="s">
        <v>243</v>
      </c>
      <c r="D199" s="50" t="s">
        <v>2186</v>
      </c>
      <c r="E199" s="50" t="n">
        <v>4</v>
      </c>
      <c r="F199" s="50" t="s">
        <v>2167</v>
      </c>
      <c r="G199" s="54" t="n">
        <v>2290600</v>
      </c>
    </row>
    <row r="200" customFormat="false" ht="15" hidden="false" customHeight="false" outlineLevel="0" collapsed="false">
      <c r="A200" s="50" t="s">
        <v>263</v>
      </c>
      <c r="B200" s="51" t="n">
        <v>45671</v>
      </c>
      <c r="C200" s="50" t="s">
        <v>247</v>
      </c>
      <c r="D200" s="50" t="s">
        <v>2181</v>
      </c>
      <c r="E200" s="50" t="n">
        <v>3</v>
      </c>
      <c r="F200" s="50" t="s">
        <v>2167</v>
      </c>
      <c r="G200" s="54" t="n">
        <v>3412900</v>
      </c>
    </row>
    <row r="201" customFormat="false" ht="15" hidden="false" customHeight="false" outlineLevel="0" collapsed="false">
      <c r="A201" s="50" t="s">
        <v>263</v>
      </c>
      <c r="B201" s="51" t="n">
        <v>45671</v>
      </c>
      <c r="C201" s="50" t="s">
        <v>247</v>
      </c>
      <c r="D201" s="50" t="s">
        <v>2177</v>
      </c>
      <c r="E201" s="50" t="n">
        <v>7</v>
      </c>
      <c r="F201" s="50" t="s">
        <v>2174</v>
      </c>
      <c r="G201" s="54" t="n">
        <v>7410300</v>
      </c>
    </row>
    <row r="202" customFormat="false" ht="15" hidden="false" customHeight="false" outlineLevel="0" collapsed="false">
      <c r="A202" s="50" t="s">
        <v>263</v>
      </c>
      <c r="B202" s="51" t="n">
        <v>45671</v>
      </c>
      <c r="C202" s="50" t="s">
        <v>247</v>
      </c>
      <c r="D202" s="50" t="s">
        <v>2176</v>
      </c>
      <c r="E202" s="50" t="n">
        <v>3</v>
      </c>
      <c r="F202" s="50" t="s">
        <v>2167</v>
      </c>
      <c r="G202" s="54" t="n">
        <v>1273600</v>
      </c>
    </row>
    <row r="203" customFormat="false" ht="15" hidden="false" customHeight="false" outlineLevel="0" collapsed="false">
      <c r="A203" s="50" t="s">
        <v>263</v>
      </c>
      <c r="B203" s="51" t="n">
        <v>45671</v>
      </c>
      <c r="C203" s="50" t="s">
        <v>247</v>
      </c>
      <c r="D203" s="50" t="s">
        <v>2166</v>
      </c>
      <c r="E203" s="50" t="n">
        <v>6</v>
      </c>
      <c r="F203" s="50" t="s">
        <v>2167</v>
      </c>
      <c r="G203" s="54" t="n">
        <v>3305700</v>
      </c>
    </row>
    <row r="204" customFormat="false" ht="15" hidden="false" customHeight="false" outlineLevel="0" collapsed="false">
      <c r="A204" s="50" t="s">
        <v>264</v>
      </c>
      <c r="B204" s="51" t="n">
        <v>45672</v>
      </c>
      <c r="C204" s="50" t="s">
        <v>179</v>
      </c>
      <c r="D204" s="50" t="s">
        <v>2172</v>
      </c>
      <c r="E204" s="50" t="n">
        <v>8</v>
      </c>
      <c r="F204" s="50" t="s">
        <v>2167</v>
      </c>
      <c r="G204" s="54" t="n">
        <v>4110700</v>
      </c>
    </row>
    <row r="205" customFormat="false" ht="15" hidden="false" customHeight="false" outlineLevel="0" collapsed="false">
      <c r="A205" s="50" t="s">
        <v>264</v>
      </c>
      <c r="B205" s="51" t="n">
        <v>45672</v>
      </c>
      <c r="C205" s="50" t="s">
        <v>179</v>
      </c>
      <c r="D205" s="50" t="s">
        <v>2186</v>
      </c>
      <c r="E205" s="50" t="n">
        <v>7</v>
      </c>
      <c r="F205" s="50" t="s">
        <v>2167</v>
      </c>
      <c r="G205" s="54" t="n">
        <v>4099800</v>
      </c>
    </row>
    <row r="206" customFormat="false" ht="15" hidden="false" customHeight="false" outlineLevel="0" collapsed="false">
      <c r="A206" s="50" t="s">
        <v>265</v>
      </c>
      <c r="B206" s="51" t="n">
        <v>45672</v>
      </c>
      <c r="C206" s="50" t="s">
        <v>266</v>
      </c>
      <c r="D206" s="50" t="s">
        <v>2168</v>
      </c>
      <c r="E206" s="50" t="n">
        <v>8</v>
      </c>
      <c r="F206" s="50" t="s">
        <v>2167</v>
      </c>
      <c r="G206" s="54" t="n">
        <v>3437000</v>
      </c>
    </row>
    <row r="207" customFormat="false" ht="15" hidden="false" customHeight="false" outlineLevel="0" collapsed="false">
      <c r="A207" s="50" t="s">
        <v>265</v>
      </c>
      <c r="B207" s="51" t="n">
        <v>45672</v>
      </c>
      <c r="C207" s="50" t="s">
        <v>266</v>
      </c>
      <c r="D207" s="50" t="s">
        <v>2173</v>
      </c>
      <c r="E207" s="50" t="n">
        <v>7</v>
      </c>
      <c r="F207" s="50" t="s">
        <v>2174</v>
      </c>
      <c r="G207" s="54" t="n">
        <v>5545300</v>
      </c>
    </row>
    <row r="208" customFormat="false" ht="15" hidden="false" customHeight="false" outlineLevel="0" collapsed="false">
      <c r="A208" s="50" t="s">
        <v>267</v>
      </c>
      <c r="B208" s="51" t="n">
        <v>45672</v>
      </c>
      <c r="C208" s="50" t="s">
        <v>251</v>
      </c>
      <c r="D208" s="50" t="s">
        <v>2173</v>
      </c>
      <c r="E208" s="50" t="n">
        <v>4</v>
      </c>
      <c r="F208" s="50" t="s">
        <v>2174</v>
      </c>
      <c r="G208" s="54" t="n">
        <v>3137100</v>
      </c>
    </row>
    <row r="209" customFormat="false" ht="15" hidden="false" customHeight="false" outlineLevel="0" collapsed="false">
      <c r="A209" s="50" t="s">
        <v>267</v>
      </c>
      <c r="B209" s="51" t="n">
        <v>45672</v>
      </c>
      <c r="C209" s="50" t="s">
        <v>251</v>
      </c>
      <c r="D209" s="50" t="s">
        <v>2184</v>
      </c>
      <c r="E209" s="50" t="n">
        <v>1</v>
      </c>
      <c r="F209" s="50" t="s">
        <v>2167</v>
      </c>
      <c r="G209" s="54" t="n">
        <v>578200</v>
      </c>
    </row>
    <row r="210" customFormat="false" ht="15" hidden="false" customHeight="false" outlineLevel="0" collapsed="false">
      <c r="A210" s="50" t="s">
        <v>268</v>
      </c>
      <c r="B210" s="51" t="n">
        <v>45672</v>
      </c>
      <c r="C210" s="50" t="s">
        <v>269</v>
      </c>
      <c r="D210" s="50" t="s">
        <v>2177</v>
      </c>
      <c r="E210" s="50" t="n">
        <v>7</v>
      </c>
      <c r="F210" s="50" t="s">
        <v>2174</v>
      </c>
      <c r="G210" s="54" t="n">
        <v>7814600</v>
      </c>
    </row>
    <row r="211" customFormat="false" ht="15" hidden="false" customHeight="false" outlineLevel="0" collapsed="false">
      <c r="A211" s="50" t="s">
        <v>268</v>
      </c>
      <c r="B211" s="51" t="n">
        <v>45672</v>
      </c>
      <c r="C211" s="50" t="s">
        <v>269</v>
      </c>
      <c r="D211" s="50" t="s">
        <v>2181</v>
      </c>
      <c r="E211" s="50" t="n">
        <v>2</v>
      </c>
      <c r="F211" s="50" t="s">
        <v>2167</v>
      </c>
      <c r="G211" s="54" t="n">
        <v>2320500</v>
      </c>
    </row>
    <row r="212" customFormat="false" ht="15" hidden="false" customHeight="false" outlineLevel="0" collapsed="false">
      <c r="A212" s="50" t="s">
        <v>270</v>
      </c>
      <c r="B212" s="51" t="n">
        <v>45673</v>
      </c>
      <c r="C212" s="50" t="s">
        <v>271</v>
      </c>
      <c r="D212" s="50" t="s">
        <v>2185</v>
      </c>
      <c r="E212" s="50" t="n">
        <v>1</v>
      </c>
      <c r="F212" s="50" t="s">
        <v>2174</v>
      </c>
      <c r="G212" s="54" t="n">
        <v>778800</v>
      </c>
    </row>
    <row r="213" customFormat="false" ht="15" hidden="false" customHeight="false" outlineLevel="0" collapsed="false">
      <c r="A213" s="50" t="s">
        <v>270</v>
      </c>
      <c r="B213" s="51" t="n">
        <v>45673</v>
      </c>
      <c r="C213" s="50" t="s">
        <v>271</v>
      </c>
      <c r="D213" s="50" t="s">
        <v>2169</v>
      </c>
      <c r="E213" s="50" t="n">
        <v>2</v>
      </c>
      <c r="F213" s="50" t="s">
        <v>2167</v>
      </c>
      <c r="G213" s="54" t="n">
        <v>1266600</v>
      </c>
    </row>
    <row r="214" customFormat="false" ht="15" hidden="false" customHeight="false" outlineLevel="0" collapsed="false">
      <c r="A214" s="50" t="s">
        <v>270</v>
      </c>
      <c r="B214" s="51" t="n">
        <v>45673</v>
      </c>
      <c r="C214" s="50" t="s">
        <v>271</v>
      </c>
      <c r="D214" s="50" t="s">
        <v>2182</v>
      </c>
      <c r="E214" s="50" t="n">
        <v>4</v>
      </c>
      <c r="F214" s="50" t="s">
        <v>2174</v>
      </c>
      <c r="G214" s="54" t="n">
        <v>3849700</v>
      </c>
    </row>
    <row r="215" customFormat="false" ht="15" hidden="false" customHeight="false" outlineLevel="0" collapsed="false">
      <c r="A215" s="50" t="s">
        <v>272</v>
      </c>
      <c r="B215" s="51" t="n">
        <v>45673</v>
      </c>
      <c r="C215" s="50" t="s">
        <v>197</v>
      </c>
      <c r="D215" s="50" t="s">
        <v>2166</v>
      </c>
      <c r="E215" s="50" t="n">
        <v>8</v>
      </c>
      <c r="F215" s="50" t="s">
        <v>2167</v>
      </c>
      <c r="G215" s="54" t="n">
        <v>4349900</v>
      </c>
    </row>
    <row r="216" customFormat="false" ht="15" hidden="false" customHeight="false" outlineLevel="0" collapsed="false">
      <c r="A216" s="50" t="s">
        <v>272</v>
      </c>
      <c r="B216" s="51" t="n">
        <v>45673</v>
      </c>
      <c r="C216" s="50" t="s">
        <v>197</v>
      </c>
      <c r="D216" s="50" t="s">
        <v>2169</v>
      </c>
      <c r="E216" s="50" t="n">
        <v>5</v>
      </c>
      <c r="F216" s="50" t="s">
        <v>2167</v>
      </c>
      <c r="G216" s="54" t="n">
        <v>2993400</v>
      </c>
    </row>
    <row r="217" customFormat="false" ht="15" hidden="false" customHeight="false" outlineLevel="0" collapsed="false">
      <c r="A217" s="50" t="s">
        <v>273</v>
      </c>
      <c r="B217" s="51" t="n">
        <v>45673</v>
      </c>
      <c r="C217" s="50" t="s">
        <v>174</v>
      </c>
      <c r="D217" s="50" t="s">
        <v>2176</v>
      </c>
      <c r="E217" s="50" t="n">
        <v>4</v>
      </c>
      <c r="F217" s="50" t="s">
        <v>2167</v>
      </c>
      <c r="G217" s="54" t="n">
        <v>1624100</v>
      </c>
    </row>
    <row r="218" customFormat="false" ht="15" hidden="false" customHeight="false" outlineLevel="0" collapsed="false">
      <c r="A218" s="50" t="s">
        <v>273</v>
      </c>
      <c r="B218" s="51" t="n">
        <v>45673</v>
      </c>
      <c r="C218" s="50" t="s">
        <v>174</v>
      </c>
      <c r="D218" s="50" t="s">
        <v>2181</v>
      </c>
      <c r="E218" s="50" t="n">
        <v>6</v>
      </c>
      <c r="F218" s="50" t="s">
        <v>2167</v>
      </c>
      <c r="G218" s="54" t="n">
        <v>7024200</v>
      </c>
    </row>
    <row r="219" customFormat="false" ht="15" hidden="false" customHeight="false" outlineLevel="0" collapsed="false">
      <c r="A219" s="50" t="s">
        <v>273</v>
      </c>
      <c r="B219" s="51" t="n">
        <v>45673</v>
      </c>
      <c r="C219" s="50" t="s">
        <v>174</v>
      </c>
      <c r="D219" s="50" t="s">
        <v>2184</v>
      </c>
      <c r="E219" s="50" t="n">
        <v>2</v>
      </c>
      <c r="F219" s="50" t="s">
        <v>2167</v>
      </c>
      <c r="G219" s="54" t="n">
        <v>1119300</v>
      </c>
    </row>
    <row r="220" customFormat="false" ht="15" hidden="false" customHeight="false" outlineLevel="0" collapsed="false">
      <c r="A220" s="50" t="s">
        <v>273</v>
      </c>
      <c r="B220" s="51" t="n">
        <v>45673</v>
      </c>
      <c r="C220" s="50" t="s">
        <v>174</v>
      </c>
      <c r="D220" s="50" t="s">
        <v>2173</v>
      </c>
      <c r="E220" s="50" t="n">
        <v>5</v>
      </c>
      <c r="F220" s="50" t="s">
        <v>2174</v>
      </c>
      <c r="G220" s="54" t="n">
        <v>3885800</v>
      </c>
    </row>
    <row r="221" customFormat="false" ht="15" hidden="false" customHeight="false" outlineLevel="0" collapsed="false">
      <c r="A221" s="50" t="s">
        <v>273</v>
      </c>
      <c r="B221" s="51" t="n">
        <v>45673</v>
      </c>
      <c r="C221" s="50" t="s">
        <v>174</v>
      </c>
      <c r="D221" s="50" t="s">
        <v>2179</v>
      </c>
      <c r="E221" s="50" t="n">
        <v>5</v>
      </c>
      <c r="F221" s="50" t="s">
        <v>2174</v>
      </c>
      <c r="G221" s="54" t="n">
        <v>6290000</v>
      </c>
    </row>
    <row r="222" customFormat="false" ht="15" hidden="false" customHeight="false" outlineLevel="0" collapsed="false">
      <c r="A222" s="50" t="s">
        <v>274</v>
      </c>
      <c r="B222" s="51" t="n">
        <v>45673</v>
      </c>
      <c r="C222" s="50" t="s">
        <v>199</v>
      </c>
      <c r="D222" s="50" t="s">
        <v>2184</v>
      </c>
      <c r="E222" s="50" t="n">
        <v>6</v>
      </c>
      <c r="F222" s="50" t="s">
        <v>2167</v>
      </c>
      <c r="G222" s="54" t="n">
        <v>3273700</v>
      </c>
    </row>
    <row r="223" customFormat="false" ht="15" hidden="false" customHeight="false" outlineLevel="0" collapsed="false">
      <c r="A223" s="50" t="s">
        <v>274</v>
      </c>
      <c r="B223" s="51" t="n">
        <v>45673</v>
      </c>
      <c r="C223" s="50" t="s">
        <v>199</v>
      </c>
      <c r="D223" s="50" t="s">
        <v>2181</v>
      </c>
      <c r="E223" s="50" t="n">
        <v>4</v>
      </c>
      <c r="F223" s="50" t="s">
        <v>2167</v>
      </c>
      <c r="G223" s="54" t="n">
        <v>4499600</v>
      </c>
    </row>
    <row r="224" customFormat="false" ht="15" hidden="false" customHeight="false" outlineLevel="0" collapsed="false">
      <c r="A224" s="50" t="s">
        <v>274</v>
      </c>
      <c r="B224" s="51" t="n">
        <v>45673</v>
      </c>
      <c r="C224" s="50" t="s">
        <v>199</v>
      </c>
      <c r="D224" s="50" t="s">
        <v>2185</v>
      </c>
      <c r="E224" s="50" t="n">
        <v>4</v>
      </c>
      <c r="F224" s="50" t="s">
        <v>2174</v>
      </c>
      <c r="G224" s="54" t="n">
        <v>3067100</v>
      </c>
    </row>
    <row r="225" customFormat="false" ht="15" hidden="false" customHeight="false" outlineLevel="0" collapsed="false">
      <c r="A225" s="50" t="s">
        <v>274</v>
      </c>
      <c r="B225" s="51" t="n">
        <v>45673</v>
      </c>
      <c r="C225" s="50" t="s">
        <v>199</v>
      </c>
      <c r="D225" s="50" t="s">
        <v>2172</v>
      </c>
      <c r="E225" s="50" t="n">
        <v>7</v>
      </c>
      <c r="F225" s="50" t="s">
        <v>2167</v>
      </c>
      <c r="G225" s="54" t="n">
        <v>3697700</v>
      </c>
    </row>
    <row r="226" customFormat="false" ht="15" hidden="false" customHeight="false" outlineLevel="0" collapsed="false">
      <c r="A226" s="50" t="s">
        <v>275</v>
      </c>
      <c r="B226" s="51" t="n">
        <v>45674</v>
      </c>
      <c r="C226" s="50" t="s">
        <v>179</v>
      </c>
      <c r="D226" s="50" t="s">
        <v>2175</v>
      </c>
      <c r="E226" s="50" t="n">
        <v>1</v>
      </c>
      <c r="F226" s="50" t="s">
        <v>2167</v>
      </c>
      <c r="G226" s="54" t="n">
        <v>625800</v>
      </c>
    </row>
    <row r="227" customFormat="false" ht="15" hidden="false" customHeight="false" outlineLevel="0" collapsed="false">
      <c r="A227" s="50" t="s">
        <v>275</v>
      </c>
      <c r="B227" s="51" t="n">
        <v>45674</v>
      </c>
      <c r="C227" s="50" t="s">
        <v>179</v>
      </c>
      <c r="D227" s="50" t="s">
        <v>2170</v>
      </c>
      <c r="E227" s="50" t="n">
        <v>1</v>
      </c>
      <c r="F227" s="50" t="s">
        <v>2171</v>
      </c>
      <c r="G227" s="54" t="n">
        <v>7502100</v>
      </c>
    </row>
    <row r="228" customFormat="false" ht="15" hidden="false" customHeight="false" outlineLevel="0" collapsed="false">
      <c r="A228" s="50" t="s">
        <v>275</v>
      </c>
      <c r="B228" s="51" t="n">
        <v>45674</v>
      </c>
      <c r="C228" s="50" t="s">
        <v>179</v>
      </c>
      <c r="D228" s="50" t="s">
        <v>2186</v>
      </c>
      <c r="E228" s="50" t="n">
        <v>6</v>
      </c>
      <c r="F228" s="50" t="s">
        <v>2167</v>
      </c>
      <c r="G228" s="54" t="n">
        <v>3456100</v>
      </c>
    </row>
    <row r="229" customFormat="false" ht="15" hidden="false" customHeight="false" outlineLevel="0" collapsed="false">
      <c r="A229" s="50" t="s">
        <v>276</v>
      </c>
      <c r="B229" s="51" t="n">
        <v>45674</v>
      </c>
      <c r="C229" s="50" t="s">
        <v>188</v>
      </c>
      <c r="D229" s="50" t="s">
        <v>2183</v>
      </c>
      <c r="E229" s="50" t="n">
        <v>6</v>
      </c>
      <c r="F229" s="50" t="s">
        <v>2167</v>
      </c>
      <c r="G229" s="54" t="n">
        <v>2295700</v>
      </c>
    </row>
    <row r="230" customFormat="false" ht="15" hidden="false" customHeight="false" outlineLevel="0" collapsed="false">
      <c r="A230" s="50" t="s">
        <v>276</v>
      </c>
      <c r="B230" s="51" t="n">
        <v>45674</v>
      </c>
      <c r="C230" s="50" t="s">
        <v>188</v>
      </c>
      <c r="D230" s="50" t="s">
        <v>2178</v>
      </c>
      <c r="E230" s="50" t="n">
        <v>5</v>
      </c>
      <c r="F230" s="50" t="s">
        <v>2167</v>
      </c>
      <c r="G230" s="54" t="n">
        <v>2362100</v>
      </c>
    </row>
    <row r="231" customFormat="false" ht="15" hidden="false" customHeight="false" outlineLevel="0" collapsed="false">
      <c r="A231" s="50" t="s">
        <v>277</v>
      </c>
      <c r="B231" s="51" t="n">
        <v>45674</v>
      </c>
      <c r="C231" s="50" t="s">
        <v>278</v>
      </c>
      <c r="D231" s="50" t="s">
        <v>2166</v>
      </c>
      <c r="E231" s="50" t="n">
        <v>3</v>
      </c>
      <c r="F231" s="50" t="s">
        <v>2167</v>
      </c>
      <c r="G231" s="54" t="n">
        <v>1680600</v>
      </c>
    </row>
    <row r="232" customFormat="false" ht="15" hidden="false" customHeight="false" outlineLevel="0" collapsed="false">
      <c r="A232" s="50" t="s">
        <v>277</v>
      </c>
      <c r="B232" s="51" t="n">
        <v>45674</v>
      </c>
      <c r="C232" s="50" t="s">
        <v>278</v>
      </c>
      <c r="D232" s="50" t="s">
        <v>2168</v>
      </c>
      <c r="E232" s="50" t="n">
        <v>5</v>
      </c>
      <c r="F232" s="50" t="s">
        <v>2167</v>
      </c>
      <c r="G232" s="54" t="n">
        <v>2185900</v>
      </c>
    </row>
    <row r="233" customFormat="false" ht="15" hidden="false" customHeight="false" outlineLevel="0" collapsed="false">
      <c r="A233" s="50" t="s">
        <v>277</v>
      </c>
      <c r="B233" s="51" t="n">
        <v>45674</v>
      </c>
      <c r="C233" s="50" t="s">
        <v>278</v>
      </c>
      <c r="D233" s="50" t="s">
        <v>2175</v>
      </c>
      <c r="E233" s="50" t="n">
        <v>7</v>
      </c>
      <c r="F233" s="50" t="s">
        <v>2167</v>
      </c>
      <c r="G233" s="54" t="n">
        <v>4363900</v>
      </c>
    </row>
    <row r="234" customFormat="false" ht="15" hidden="false" customHeight="false" outlineLevel="0" collapsed="false">
      <c r="A234" s="50" t="s">
        <v>279</v>
      </c>
      <c r="B234" s="51" t="n">
        <v>45674</v>
      </c>
      <c r="C234" s="50" t="s">
        <v>280</v>
      </c>
      <c r="D234" s="50" t="s">
        <v>2183</v>
      </c>
      <c r="E234" s="50" t="n">
        <v>1</v>
      </c>
      <c r="F234" s="50" t="s">
        <v>2167</v>
      </c>
      <c r="G234" s="54" t="n">
        <v>384300</v>
      </c>
    </row>
    <row r="235" customFormat="false" ht="15" hidden="false" customHeight="false" outlineLevel="0" collapsed="false">
      <c r="A235" s="50" t="s">
        <v>279</v>
      </c>
      <c r="B235" s="51" t="n">
        <v>45674</v>
      </c>
      <c r="C235" s="50" t="s">
        <v>280</v>
      </c>
      <c r="D235" s="50" t="s">
        <v>2176</v>
      </c>
      <c r="E235" s="50" t="n">
        <v>6</v>
      </c>
      <c r="F235" s="50" t="s">
        <v>2167</v>
      </c>
      <c r="G235" s="54" t="n">
        <v>2490700</v>
      </c>
    </row>
    <row r="236" customFormat="false" ht="15" hidden="false" customHeight="false" outlineLevel="0" collapsed="false">
      <c r="A236" s="50" t="s">
        <v>279</v>
      </c>
      <c r="B236" s="51" t="n">
        <v>45674</v>
      </c>
      <c r="C236" s="50" t="s">
        <v>280</v>
      </c>
      <c r="D236" s="50" t="s">
        <v>2166</v>
      </c>
      <c r="E236" s="50" t="n">
        <v>5</v>
      </c>
      <c r="F236" s="50" t="s">
        <v>2167</v>
      </c>
      <c r="G236" s="54" t="n">
        <v>2772200</v>
      </c>
    </row>
    <row r="237" customFormat="false" ht="15" hidden="false" customHeight="false" outlineLevel="0" collapsed="false">
      <c r="A237" s="50" t="s">
        <v>279</v>
      </c>
      <c r="B237" s="51" t="n">
        <v>45674</v>
      </c>
      <c r="C237" s="50" t="s">
        <v>280</v>
      </c>
      <c r="D237" s="50" t="s">
        <v>2186</v>
      </c>
      <c r="E237" s="50" t="n">
        <v>2</v>
      </c>
      <c r="F237" s="50" t="s">
        <v>2167</v>
      </c>
      <c r="G237" s="54" t="n">
        <v>1194000</v>
      </c>
    </row>
    <row r="238" customFormat="false" ht="15" hidden="false" customHeight="false" outlineLevel="0" collapsed="false">
      <c r="A238" s="50" t="s">
        <v>279</v>
      </c>
      <c r="B238" s="51" t="n">
        <v>45674</v>
      </c>
      <c r="C238" s="50" t="s">
        <v>280</v>
      </c>
      <c r="D238" s="50" t="s">
        <v>2184</v>
      </c>
      <c r="E238" s="50" t="n">
        <v>8</v>
      </c>
      <c r="F238" s="50" t="s">
        <v>2167</v>
      </c>
      <c r="G238" s="54" t="n">
        <v>4370300</v>
      </c>
    </row>
    <row r="239" customFormat="false" ht="15" hidden="false" customHeight="false" outlineLevel="0" collapsed="false">
      <c r="A239" s="50" t="s">
        <v>279</v>
      </c>
      <c r="B239" s="51" t="n">
        <v>45674</v>
      </c>
      <c r="C239" s="50" t="s">
        <v>280</v>
      </c>
      <c r="D239" s="50" t="s">
        <v>2169</v>
      </c>
      <c r="E239" s="50" t="n">
        <v>8</v>
      </c>
      <c r="F239" s="50" t="s">
        <v>2167</v>
      </c>
      <c r="G239" s="54" t="n">
        <v>5144500</v>
      </c>
    </row>
    <row r="240" customFormat="false" ht="15" hidden="false" customHeight="false" outlineLevel="0" collapsed="false">
      <c r="A240" s="50" t="s">
        <v>281</v>
      </c>
      <c r="B240" s="51" t="n">
        <v>45674</v>
      </c>
      <c r="C240" s="50" t="s">
        <v>193</v>
      </c>
      <c r="D240" s="50" t="s">
        <v>2185</v>
      </c>
      <c r="E240" s="50" t="n">
        <v>4</v>
      </c>
      <c r="F240" s="50" t="s">
        <v>2174</v>
      </c>
      <c r="G240" s="54" t="n">
        <v>3172800</v>
      </c>
    </row>
    <row r="241" customFormat="false" ht="15" hidden="false" customHeight="false" outlineLevel="0" collapsed="false">
      <c r="A241" s="50" t="s">
        <v>281</v>
      </c>
      <c r="B241" s="51" t="n">
        <v>45674</v>
      </c>
      <c r="C241" s="50" t="s">
        <v>193</v>
      </c>
      <c r="D241" s="50" t="s">
        <v>2180</v>
      </c>
      <c r="E241" s="50" t="n">
        <v>6</v>
      </c>
      <c r="F241" s="50" t="s">
        <v>2167</v>
      </c>
      <c r="G241" s="54" t="n">
        <v>2772700</v>
      </c>
    </row>
    <row r="242" customFormat="false" ht="15" hidden="false" customHeight="false" outlineLevel="0" collapsed="false">
      <c r="A242" s="50" t="s">
        <v>281</v>
      </c>
      <c r="B242" s="51" t="n">
        <v>45674</v>
      </c>
      <c r="C242" s="50" t="s">
        <v>193</v>
      </c>
      <c r="D242" s="50" t="s">
        <v>2181</v>
      </c>
      <c r="E242" s="50" t="n">
        <v>1</v>
      </c>
      <c r="F242" s="50" t="s">
        <v>2167</v>
      </c>
      <c r="G242" s="54" t="n">
        <v>1127600</v>
      </c>
    </row>
    <row r="243" customFormat="false" ht="15" hidden="false" customHeight="false" outlineLevel="0" collapsed="false">
      <c r="A243" s="50" t="s">
        <v>281</v>
      </c>
      <c r="B243" s="51" t="n">
        <v>45674</v>
      </c>
      <c r="C243" s="50" t="s">
        <v>193</v>
      </c>
      <c r="D243" s="50" t="s">
        <v>2184</v>
      </c>
      <c r="E243" s="50" t="n">
        <v>8</v>
      </c>
      <c r="F243" s="50" t="s">
        <v>2167</v>
      </c>
      <c r="G243" s="54" t="n">
        <v>4567400</v>
      </c>
    </row>
    <row r="244" customFormat="false" ht="15" hidden="false" customHeight="false" outlineLevel="0" collapsed="false">
      <c r="A244" s="50" t="s">
        <v>281</v>
      </c>
      <c r="B244" s="51" t="n">
        <v>45674</v>
      </c>
      <c r="C244" s="50" t="s">
        <v>193</v>
      </c>
      <c r="D244" s="50" t="s">
        <v>2169</v>
      </c>
      <c r="E244" s="50" t="n">
        <v>6</v>
      </c>
      <c r="F244" s="50" t="s">
        <v>2167</v>
      </c>
      <c r="G244" s="54" t="n">
        <v>3772500</v>
      </c>
    </row>
    <row r="245" customFormat="false" ht="15" hidden="false" customHeight="false" outlineLevel="0" collapsed="false">
      <c r="A245" s="50" t="s">
        <v>282</v>
      </c>
      <c r="B245" s="51" t="n">
        <v>45675</v>
      </c>
      <c r="C245" s="50" t="s">
        <v>191</v>
      </c>
      <c r="D245" s="50" t="s">
        <v>2179</v>
      </c>
      <c r="E245" s="50" t="n">
        <v>2</v>
      </c>
      <c r="F245" s="50" t="s">
        <v>2174</v>
      </c>
      <c r="G245" s="54" t="n">
        <v>2443300</v>
      </c>
    </row>
    <row r="246" customFormat="false" ht="15" hidden="false" customHeight="false" outlineLevel="0" collapsed="false">
      <c r="A246" s="50" t="s">
        <v>282</v>
      </c>
      <c r="B246" s="51" t="n">
        <v>45675</v>
      </c>
      <c r="C246" s="50" t="s">
        <v>191</v>
      </c>
      <c r="D246" s="50" t="s">
        <v>2185</v>
      </c>
      <c r="E246" s="50" t="n">
        <v>8</v>
      </c>
      <c r="F246" s="50" t="s">
        <v>2174</v>
      </c>
      <c r="G246" s="54" t="n">
        <v>6367000</v>
      </c>
    </row>
    <row r="247" customFormat="false" ht="15" hidden="false" customHeight="false" outlineLevel="0" collapsed="false">
      <c r="A247" s="50" t="s">
        <v>282</v>
      </c>
      <c r="B247" s="51" t="n">
        <v>45675</v>
      </c>
      <c r="C247" s="50" t="s">
        <v>191</v>
      </c>
      <c r="D247" s="50" t="s">
        <v>2180</v>
      </c>
      <c r="E247" s="50" t="n">
        <v>5</v>
      </c>
      <c r="F247" s="50" t="s">
        <v>2167</v>
      </c>
      <c r="G247" s="54" t="n">
        <v>2201600</v>
      </c>
    </row>
    <row r="248" customFormat="false" ht="15" hidden="false" customHeight="false" outlineLevel="0" collapsed="false">
      <c r="A248" s="50" t="s">
        <v>282</v>
      </c>
      <c r="B248" s="51" t="n">
        <v>45675</v>
      </c>
      <c r="C248" s="50" t="s">
        <v>191</v>
      </c>
      <c r="D248" s="50" t="s">
        <v>2169</v>
      </c>
      <c r="E248" s="50" t="n">
        <v>4</v>
      </c>
      <c r="F248" s="50" t="s">
        <v>2167</v>
      </c>
      <c r="G248" s="54" t="n">
        <v>2389600</v>
      </c>
    </row>
    <row r="249" customFormat="false" ht="15" hidden="false" customHeight="false" outlineLevel="0" collapsed="false">
      <c r="A249" s="50" t="s">
        <v>282</v>
      </c>
      <c r="B249" s="51" t="n">
        <v>45675</v>
      </c>
      <c r="C249" s="50" t="s">
        <v>191</v>
      </c>
      <c r="D249" s="50" t="s">
        <v>2166</v>
      </c>
      <c r="E249" s="50" t="n">
        <v>3</v>
      </c>
      <c r="F249" s="50" t="s">
        <v>2167</v>
      </c>
      <c r="G249" s="54" t="n">
        <v>1624800</v>
      </c>
    </row>
    <row r="250" customFormat="false" ht="15" hidden="false" customHeight="false" outlineLevel="0" collapsed="false">
      <c r="A250" s="50" t="s">
        <v>283</v>
      </c>
      <c r="B250" s="51" t="n">
        <v>45675</v>
      </c>
      <c r="C250" s="50" t="s">
        <v>284</v>
      </c>
      <c r="D250" s="50" t="s">
        <v>2179</v>
      </c>
      <c r="E250" s="50" t="n">
        <v>5</v>
      </c>
      <c r="F250" s="50" t="s">
        <v>2174</v>
      </c>
      <c r="G250" s="54" t="n">
        <v>6376100</v>
      </c>
    </row>
    <row r="251" customFormat="false" ht="15" hidden="false" customHeight="false" outlineLevel="0" collapsed="false">
      <c r="A251" s="50" t="s">
        <v>283</v>
      </c>
      <c r="B251" s="51" t="n">
        <v>45675</v>
      </c>
      <c r="C251" s="50" t="s">
        <v>284</v>
      </c>
      <c r="D251" s="50" t="s">
        <v>2166</v>
      </c>
      <c r="E251" s="50" t="n">
        <v>2</v>
      </c>
      <c r="F251" s="50" t="s">
        <v>2167</v>
      </c>
      <c r="G251" s="54" t="n">
        <v>1038200</v>
      </c>
    </row>
    <row r="252" customFormat="false" ht="15" hidden="false" customHeight="false" outlineLevel="0" collapsed="false">
      <c r="A252" s="50" t="s">
        <v>283</v>
      </c>
      <c r="B252" s="51" t="n">
        <v>45675</v>
      </c>
      <c r="C252" s="50" t="s">
        <v>284</v>
      </c>
      <c r="D252" s="50" t="s">
        <v>2184</v>
      </c>
      <c r="E252" s="50" t="n">
        <v>4</v>
      </c>
      <c r="F252" s="50" t="s">
        <v>2167</v>
      </c>
      <c r="G252" s="54" t="n">
        <v>2328500</v>
      </c>
    </row>
    <row r="253" customFormat="false" ht="15" hidden="false" customHeight="false" outlineLevel="0" collapsed="false">
      <c r="A253" s="50" t="s">
        <v>283</v>
      </c>
      <c r="B253" s="51" t="n">
        <v>45675</v>
      </c>
      <c r="C253" s="50" t="s">
        <v>284</v>
      </c>
      <c r="D253" s="50" t="s">
        <v>2181</v>
      </c>
      <c r="E253" s="50" t="n">
        <v>5</v>
      </c>
      <c r="F253" s="50" t="s">
        <v>2167</v>
      </c>
      <c r="G253" s="54" t="n">
        <v>5851400</v>
      </c>
    </row>
    <row r="254" customFormat="false" ht="15" hidden="false" customHeight="false" outlineLevel="0" collapsed="false">
      <c r="A254" s="50" t="s">
        <v>285</v>
      </c>
      <c r="B254" s="51" t="n">
        <v>45677</v>
      </c>
      <c r="C254" s="50" t="s">
        <v>286</v>
      </c>
      <c r="D254" s="50" t="s">
        <v>2183</v>
      </c>
      <c r="E254" s="50" t="n">
        <v>2</v>
      </c>
      <c r="F254" s="50" t="s">
        <v>2167</v>
      </c>
      <c r="G254" s="54" t="n">
        <v>766600</v>
      </c>
    </row>
    <row r="255" customFormat="false" ht="15" hidden="false" customHeight="false" outlineLevel="0" collapsed="false">
      <c r="A255" s="50" t="s">
        <v>285</v>
      </c>
      <c r="B255" s="51" t="n">
        <v>45677</v>
      </c>
      <c r="C255" s="50" t="s">
        <v>286</v>
      </c>
      <c r="D255" s="50" t="s">
        <v>2169</v>
      </c>
      <c r="E255" s="50" t="n">
        <v>7</v>
      </c>
      <c r="F255" s="50" t="s">
        <v>2167</v>
      </c>
      <c r="G255" s="54" t="n">
        <v>4320700</v>
      </c>
    </row>
    <row r="256" customFormat="false" ht="15" hidden="false" customHeight="false" outlineLevel="0" collapsed="false">
      <c r="A256" s="50" t="s">
        <v>285</v>
      </c>
      <c r="B256" s="51" t="n">
        <v>45677</v>
      </c>
      <c r="C256" s="50" t="s">
        <v>286</v>
      </c>
      <c r="D256" s="50" t="s">
        <v>2180</v>
      </c>
      <c r="E256" s="50" t="n">
        <v>5</v>
      </c>
      <c r="F256" s="50" t="s">
        <v>2167</v>
      </c>
      <c r="G256" s="54" t="n">
        <v>2329700</v>
      </c>
    </row>
    <row r="257" customFormat="false" ht="15" hidden="false" customHeight="false" outlineLevel="0" collapsed="false">
      <c r="A257" s="50" t="s">
        <v>285</v>
      </c>
      <c r="B257" s="51" t="n">
        <v>45677</v>
      </c>
      <c r="C257" s="50" t="s">
        <v>286</v>
      </c>
      <c r="D257" s="50" t="s">
        <v>2176</v>
      </c>
      <c r="E257" s="50" t="n">
        <v>5</v>
      </c>
      <c r="F257" s="50" t="s">
        <v>2167</v>
      </c>
      <c r="G257" s="54" t="n">
        <v>2081800</v>
      </c>
    </row>
    <row r="258" customFormat="false" ht="15" hidden="false" customHeight="false" outlineLevel="0" collapsed="false">
      <c r="A258" s="50" t="s">
        <v>285</v>
      </c>
      <c r="B258" s="51" t="n">
        <v>45677</v>
      </c>
      <c r="C258" s="50" t="s">
        <v>286</v>
      </c>
      <c r="D258" s="50" t="s">
        <v>2181</v>
      </c>
      <c r="E258" s="50" t="n">
        <v>6</v>
      </c>
      <c r="F258" s="50" t="s">
        <v>2167</v>
      </c>
      <c r="G258" s="54" t="n">
        <v>6721500</v>
      </c>
    </row>
    <row r="259" customFormat="false" ht="15" hidden="false" customHeight="false" outlineLevel="0" collapsed="false">
      <c r="A259" s="50" t="s">
        <v>287</v>
      </c>
      <c r="B259" s="51" t="n">
        <v>45677</v>
      </c>
      <c r="C259" s="50" t="s">
        <v>179</v>
      </c>
      <c r="D259" s="50" t="s">
        <v>2179</v>
      </c>
      <c r="E259" s="50" t="n">
        <v>4</v>
      </c>
      <c r="F259" s="50" t="s">
        <v>2174</v>
      </c>
      <c r="G259" s="54" t="n">
        <v>4843800</v>
      </c>
    </row>
    <row r="260" customFormat="false" ht="15" hidden="false" customHeight="false" outlineLevel="0" collapsed="false">
      <c r="A260" s="50" t="s">
        <v>287</v>
      </c>
      <c r="B260" s="51" t="n">
        <v>45677</v>
      </c>
      <c r="C260" s="50" t="s">
        <v>179</v>
      </c>
      <c r="D260" s="50" t="s">
        <v>2168</v>
      </c>
      <c r="E260" s="50" t="n">
        <v>8</v>
      </c>
      <c r="F260" s="50" t="s">
        <v>2167</v>
      </c>
      <c r="G260" s="54" t="n">
        <v>3398300</v>
      </c>
    </row>
    <row r="261" customFormat="false" ht="15" hidden="false" customHeight="false" outlineLevel="0" collapsed="false">
      <c r="A261" s="50" t="s">
        <v>287</v>
      </c>
      <c r="B261" s="51" t="n">
        <v>45677</v>
      </c>
      <c r="C261" s="50" t="s">
        <v>179</v>
      </c>
      <c r="D261" s="50" t="s">
        <v>2177</v>
      </c>
      <c r="E261" s="50" t="n">
        <v>8</v>
      </c>
      <c r="F261" s="50" t="s">
        <v>2174</v>
      </c>
      <c r="G261" s="54" t="n">
        <v>8570300</v>
      </c>
    </row>
    <row r="262" customFormat="false" ht="15" hidden="false" customHeight="false" outlineLevel="0" collapsed="false">
      <c r="A262" s="50" t="s">
        <v>287</v>
      </c>
      <c r="B262" s="51" t="n">
        <v>45677</v>
      </c>
      <c r="C262" s="50" t="s">
        <v>179</v>
      </c>
      <c r="D262" s="50" t="s">
        <v>2185</v>
      </c>
      <c r="E262" s="50" t="n">
        <v>4</v>
      </c>
      <c r="F262" s="50" t="s">
        <v>2174</v>
      </c>
      <c r="G262" s="54" t="n">
        <v>3025200</v>
      </c>
    </row>
    <row r="263" customFormat="false" ht="15" hidden="false" customHeight="false" outlineLevel="0" collapsed="false">
      <c r="A263" s="50" t="s">
        <v>287</v>
      </c>
      <c r="B263" s="51" t="n">
        <v>45677</v>
      </c>
      <c r="C263" s="50" t="s">
        <v>179</v>
      </c>
      <c r="D263" s="50" t="s">
        <v>2186</v>
      </c>
      <c r="E263" s="50" t="n">
        <v>5</v>
      </c>
      <c r="F263" s="50" t="s">
        <v>2167</v>
      </c>
      <c r="G263" s="54" t="n">
        <v>2919800</v>
      </c>
    </row>
    <row r="264" customFormat="false" ht="15" hidden="false" customHeight="false" outlineLevel="0" collapsed="false">
      <c r="A264" s="50" t="s">
        <v>288</v>
      </c>
      <c r="B264" s="51" t="n">
        <v>45677</v>
      </c>
      <c r="C264" s="50" t="s">
        <v>289</v>
      </c>
      <c r="D264" s="50" t="s">
        <v>2169</v>
      </c>
      <c r="E264" s="50" t="n">
        <v>4</v>
      </c>
      <c r="F264" s="50" t="s">
        <v>2167</v>
      </c>
      <c r="G264" s="54" t="n">
        <v>2539300</v>
      </c>
    </row>
    <row r="265" customFormat="false" ht="15" hidden="false" customHeight="false" outlineLevel="0" collapsed="false">
      <c r="A265" s="50" t="s">
        <v>288</v>
      </c>
      <c r="B265" s="51" t="n">
        <v>45677</v>
      </c>
      <c r="C265" s="50" t="s">
        <v>289</v>
      </c>
      <c r="D265" s="50" t="s">
        <v>2175</v>
      </c>
      <c r="E265" s="50" t="n">
        <v>5</v>
      </c>
      <c r="F265" s="50" t="s">
        <v>2167</v>
      </c>
      <c r="G265" s="54" t="n">
        <v>3095500</v>
      </c>
    </row>
    <row r="266" customFormat="false" ht="15" hidden="false" customHeight="false" outlineLevel="0" collapsed="false">
      <c r="A266" s="50" t="s">
        <v>288</v>
      </c>
      <c r="B266" s="51" t="n">
        <v>45677</v>
      </c>
      <c r="C266" s="50" t="s">
        <v>289</v>
      </c>
      <c r="D266" s="50" t="s">
        <v>2185</v>
      </c>
      <c r="E266" s="50" t="n">
        <v>1</v>
      </c>
      <c r="F266" s="50" t="s">
        <v>2174</v>
      </c>
      <c r="G266" s="54" t="n">
        <v>769100</v>
      </c>
    </row>
    <row r="267" customFormat="false" ht="15" hidden="false" customHeight="false" outlineLevel="0" collapsed="false">
      <c r="A267" s="50" t="s">
        <v>288</v>
      </c>
      <c r="B267" s="51" t="n">
        <v>45677</v>
      </c>
      <c r="C267" s="50" t="s">
        <v>289</v>
      </c>
      <c r="D267" s="50" t="s">
        <v>2172</v>
      </c>
      <c r="E267" s="50" t="n">
        <v>8</v>
      </c>
      <c r="F267" s="50" t="s">
        <v>2167</v>
      </c>
      <c r="G267" s="54" t="n">
        <v>4010100</v>
      </c>
    </row>
    <row r="268" customFormat="false" ht="15" hidden="false" customHeight="false" outlineLevel="0" collapsed="false">
      <c r="A268" s="50" t="s">
        <v>290</v>
      </c>
      <c r="B268" s="51" t="n">
        <v>45677</v>
      </c>
      <c r="C268" s="50" t="s">
        <v>166</v>
      </c>
      <c r="D268" s="50" t="s">
        <v>2173</v>
      </c>
      <c r="E268" s="50" t="n">
        <v>7</v>
      </c>
      <c r="F268" s="50" t="s">
        <v>2174</v>
      </c>
      <c r="G268" s="54" t="n">
        <v>5411700</v>
      </c>
    </row>
    <row r="269" customFormat="false" ht="15" hidden="false" customHeight="false" outlineLevel="0" collapsed="false">
      <c r="A269" s="50" t="s">
        <v>290</v>
      </c>
      <c r="B269" s="51" t="n">
        <v>45677</v>
      </c>
      <c r="C269" s="50" t="s">
        <v>166</v>
      </c>
      <c r="D269" s="50" t="s">
        <v>2184</v>
      </c>
      <c r="E269" s="50" t="n">
        <v>6</v>
      </c>
      <c r="F269" s="50" t="s">
        <v>2167</v>
      </c>
      <c r="G269" s="54" t="n">
        <v>3271600</v>
      </c>
    </row>
    <row r="270" customFormat="false" ht="15" hidden="false" customHeight="false" outlineLevel="0" collapsed="false">
      <c r="A270" s="50" t="s">
        <v>290</v>
      </c>
      <c r="B270" s="51" t="n">
        <v>45677</v>
      </c>
      <c r="C270" s="50" t="s">
        <v>166</v>
      </c>
      <c r="D270" s="50" t="s">
        <v>2182</v>
      </c>
      <c r="E270" s="50" t="n">
        <v>6</v>
      </c>
      <c r="F270" s="50" t="s">
        <v>2174</v>
      </c>
      <c r="G270" s="54" t="n">
        <v>5922200</v>
      </c>
    </row>
    <row r="271" customFormat="false" ht="15" hidden="false" customHeight="false" outlineLevel="0" collapsed="false">
      <c r="A271" s="50" t="s">
        <v>290</v>
      </c>
      <c r="B271" s="51" t="n">
        <v>45677</v>
      </c>
      <c r="C271" s="50" t="s">
        <v>166</v>
      </c>
      <c r="D271" s="50" t="s">
        <v>2176</v>
      </c>
      <c r="E271" s="50" t="n">
        <v>8</v>
      </c>
      <c r="F271" s="50" t="s">
        <v>2167</v>
      </c>
      <c r="G271" s="54" t="n">
        <v>3396600</v>
      </c>
    </row>
    <row r="272" customFormat="false" ht="15" hidden="false" customHeight="false" outlineLevel="0" collapsed="false">
      <c r="A272" s="50" t="s">
        <v>291</v>
      </c>
      <c r="B272" s="51" t="n">
        <v>45677</v>
      </c>
      <c r="C272" s="50" t="s">
        <v>174</v>
      </c>
      <c r="D272" s="50" t="s">
        <v>2186</v>
      </c>
      <c r="E272" s="50" t="n">
        <v>5</v>
      </c>
      <c r="F272" s="50" t="s">
        <v>2167</v>
      </c>
      <c r="G272" s="54" t="n">
        <v>3004800</v>
      </c>
    </row>
    <row r="273" customFormat="false" ht="15" hidden="false" customHeight="false" outlineLevel="0" collapsed="false">
      <c r="A273" s="50" t="s">
        <v>291</v>
      </c>
      <c r="B273" s="51" t="n">
        <v>45677</v>
      </c>
      <c r="C273" s="50" t="s">
        <v>174</v>
      </c>
      <c r="D273" s="50" t="s">
        <v>2178</v>
      </c>
      <c r="E273" s="50" t="n">
        <v>2</v>
      </c>
      <c r="F273" s="50" t="s">
        <v>2167</v>
      </c>
      <c r="G273" s="54" t="n">
        <v>971500</v>
      </c>
    </row>
    <row r="274" customFormat="false" ht="15" hidden="false" customHeight="false" outlineLevel="0" collapsed="false">
      <c r="A274" s="50" t="s">
        <v>291</v>
      </c>
      <c r="B274" s="51" t="n">
        <v>45677</v>
      </c>
      <c r="C274" s="50" t="s">
        <v>174</v>
      </c>
      <c r="D274" s="50" t="s">
        <v>2181</v>
      </c>
      <c r="E274" s="50" t="n">
        <v>3</v>
      </c>
      <c r="F274" s="50" t="s">
        <v>2167</v>
      </c>
      <c r="G274" s="54" t="n">
        <v>3557500</v>
      </c>
    </row>
    <row r="275" customFormat="false" ht="15" hidden="false" customHeight="false" outlineLevel="0" collapsed="false">
      <c r="A275" s="50" t="s">
        <v>292</v>
      </c>
      <c r="B275" s="51" t="n">
        <v>45677</v>
      </c>
      <c r="C275" s="50" t="s">
        <v>293</v>
      </c>
      <c r="D275" s="50" t="s">
        <v>2180</v>
      </c>
      <c r="E275" s="50" t="n">
        <v>7</v>
      </c>
      <c r="F275" s="50" t="s">
        <v>2167</v>
      </c>
      <c r="G275" s="54" t="n">
        <v>3273400</v>
      </c>
    </row>
    <row r="276" customFormat="false" ht="15" hidden="false" customHeight="false" outlineLevel="0" collapsed="false">
      <c r="A276" s="50" t="s">
        <v>292</v>
      </c>
      <c r="B276" s="51" t="n">
        <v>45677</v>
      </c>
      <c r="C276" s="50" t="s">
        <v>293</v>
      </c>
      <c r="D276" s="50" t="s">
        <v>2181</v>
      </c>
      <c r="E276" s="50" t="n">
        <v>2</v>
      </c>
      <c r="F276" s="50" t="s">
        <v>2167</v>
      </c>
      <c r="G276" s="54" t="n">
        <v>2279500</v>
      </c>
    </row>
    <row r="277" customFormat="false" ht="15" hidden="false" customHeight="false" outlineLevel="0" collapsed="false">
      <c r="A277" s="50" t="s">
        <v>292</v>
      </c>
      <c r="B277" s="51" t="n">
        <v>45677</v>
      </c>
      <c r="C277" s="50" t="s">
        <v>293</v>
      </c>
      <c r="D277" s="50" t="s">
        <v>2186</v>
      </c>
      <c r="E277" s="50" t="n">
        <v>8</v>
      </c>
      <c r="F277" s="50" t="s">
        <v>2167</v>
      </c>
      <c r="G277" s="54" t="n">
        <v>4841800</v>
      </c>
    </row>
    <row r="278" customFormat="false" ht="15" hidden="false" customHeight="false" outlineLevel="0" collapsed="false">
      <c r="A278" s="50" t="s">
        <v>292</v>
      </c>
      <c r="B278" s="51" t="n">
        <v>45677</v>
      </c>
      <c r="C278" s="50" t="s">
        <v>293</v>
      </c>
      <c r="D278" s="50" t="s">
        <v>2178</v>
      </c>
      <c r="E278" s="50" t="n">
        <v>1</v>
      </c>
      <c r="F278" s="50" t="s">
        <v>2167</v>
      </c>
      <c r="G278" s="54" t="n">
        <v>470100</v>
      </c>
    </row>
    <row r="279" customFormat="false" ht="15" hidden="false" customHeight="false" outlineLevel="0" collapsed="false">
      <c r="A279" s="50" t="s">
        <v>294</v>
      </c>
      <c r="B279" s="51" t="n">
        <v>45677</v>
      </c>
      <c r="C279" s="50" t="s">
        <v>289</v>
      </c>
      <c r="D279" s="50" t="s">
        <v>2178</v>
      </c>
      <c r="E279" s="50" t="n">
        <v>5</v>
      </c>
      <c r="F279" s="50" t="s">
        <v>2167</v>
      </c>
      <c r="G279" s="54" t="n">
        <v>2321700</v>
      </c>
    </row>
    <row r="280" customFormat="false" ht="15" hidden="false" customHeight="false" outlineLevel="0" collapsed="false">
      <c r="A280" s="50" t="s">
        <v>294</v>
      </c>
      <c r="B280" s="51" t="n">
        <v>45677</v>
      </c>
      <c r="C280" s="50" t="s">
        <v>289</v>
      </c>
      <c r="D280" s="50" t="s">
        <v>2183</v>
      </c>
      <c r="E280" s="50" t="n">
        <v>3</v>
      </c>
      <c r="F280" s="50" t="s">
        <v>2167</v>
      </c>
      <c r="G280" s="54" t="n">
        <v>1116400</v>
      </c>
    </row>
    <row r="281" customFormat="false" ht="15" hidden="false" customHeight="false" outlineLevel="0" collapsed="false">
      <c r="A281" s="50" t="s">
        <v>294</v>
      </c>
      <c r="B281" s="51" t="n">
        <v>45677</v>
      </c>
      <c r="C281" s="50" t="s">
        <v>289</v>
      </c>
      <c r="D281" s="50" t="s">
        <v>2180</v>
      </c>
      <c r="E281" s="50" t="n">
        <v>7</v>
      </c>
      <c r="F281" s="50" t="s">
        <v>2167</v>
      </c>
      <c r="G281" s="54" t="n">
        <v>3213000</v>
      </c>
    </row>
    <row r="282" customFormat="false" ht="15" hidden="false" customHeight="false" outlineLevel="0" collapsed="false">
      <c r="A282" s="50" t="s">
        <v>295</v>
      </c>
      <c r="B282" s="51" t="n">
        <v>45677</v>
      </c>
      <c r="C282" s="50" t="s">
        <v>296</v>
      </c>
      <c r="D282" s="50" t="s">
        <v>2183</v>
      </c>
      <c r="E282" s="50" t="n">
        <v>4</v>
      </c>
      <c r="F282" s="50" t="s">
        <v>2167</v>
      </c>
      <c r="G282" s="54" t="n">
        <v>1494200</v>
      </c>
    </row>
    <row r="283" customFormat="false" ht="15" hidden="false" customHeight="false" outlineLevel="0" collapsed="false">
      <c r="A283" s="50" t="s">
        <v>295</v>
      </c>
      <c r="B283" s="51" t="n">
        <v>45677</v>
      </c>
      <c r="C283" s="50" t="s">
        <v>296</v>
      </c>
      <c r="D283" s="50" t="s">
        <v>2180</v>
      </c>
      <c r="E283" s="50" t="n">
        <v>8</v>
      </c>
      <c r="F283" s="50" t="s">
        <v>2167</v>
      </c>
      <c r="G283" s="54" t="n">
        <v>3671500</v>
      </c>
    </row>
    <row r="284" customFormat="false" ht="15" hidden="false" customHeight="false" outlineLevel="0" collapsed="false">
      <c r="A284" s="50" t="s">
        <v>295</v>
      </c>
      <c r="B284" s="51" t="n">
        <v>45677</v>
      </c>
      <c r="C284" s="50" t="s">
        <v>296</v>
      </c>
      <c r="D284" s="50" t="s">
        <v>2181</v>
      </c>
      <c r="E284" s="50" t="n">
        <v>1</v>
      </c>
      <c r="F284" s="50" t="s">
        <v>2167</v>
      </c>
      <c r="G284" s="54" t="n">
        <v>1191200</v>
      </c>
    </row>
    <row r="285" customFormat="false" ht="15" hidden="false" customHeight="false" outlineLevel="0" collapsed="false">
      <c r="A285" s="50" t="s">
        <v>295</v>
      </c>
      <c r="B285" s="51" t="n">
        <v>45677</v>
      </c>
      <c r="C285" s="50" t="s">
        <v>296</v>
      </c>
      <c r="D285" s="50" t="s">
        <v>2179</v>
      </c>
      <c r="E285" s="50" t="n">
        <v>6</v>
      </c>
      <c r="F285" s="50" t="s">
        <v>2174</v>
      </c>
      <c r="G285" s="54" t="n">
        <v>7778700</v>
      </c>
    </row>
    <row r="286" customFormat="false" ht="15" hidden="false" customHeight="false" outlineLevel="0" collapsed="false">
      <c r="A286" s="50" t="s">
        <v>295</v>
      </c>
      <c r="B286" s="51" t="n">
        <v>45677</v>
      </c>
      <c r="C286" s="50" t="s">
        <v>296</v>
      </c>
      <c r="D286" s="50" t="s">
        <v>2188</v>
      </c>
      <c r="E286" s="50" t="n">
        <v>8</v>
      </c>
      <c r="F286" s="50" t="s">
        <v>2167</v>
      </c>
      <c r="G286" s="54" t="n">
        <v>7780600</v>
      </c>
    </row>
    <row r="287" customFormat="false" ht="15" hidden="false" customHeight="false" outlineLevel="0" collapsed="false">
      <c r="A287" s="50" t="s">
        <v>297</v>
      </c>
      <c r="B287" s="51" t="n">
        <v>45677</v>
      </c>
      <c r="C287" s="50" t="s">
        <v>298</v>
      </c>
      <c r="D287" s="50" t="s">
        <v>2177</v>
      </c>
      <c r="E287" s="50" t="n">
        <v>4</v>
      </c>
      <c r="F287" s="50" t="s">
        <v>2174</v>
      </c>
      <c r="G287" s="54" t="n">
        <v>4368600</v>
      </c>
    </row>
    <row r="288" customFormat="false" ht="15" hidden="false" customHeight="false" outlineLevel="0" collapsed="false">
      <c r="A288" s="50" t="s">
        <v>297</v>
      </c>
      <c r="B288" s="51" t="n">
        <v>45677</v>
      </c>
      <c r="C288" s="50" t="s">
        <v>298</v>
      </c>
      <c r="D288" s="50" t="s">
        <v>2169</v>
      </c>
      <c r="E288" s="50" t="n">
        <v>6</v>
      </c>
      <c r="F288" s="50" t="s">
        <v>2167</v>
      </c>
      <c r="G288" s="54" t="n">
        <v>3679800</v>
      </c>
    </row>
    <row r="289" customFormat="false" ht="15" hidden="false" customHeight="false" outlineLevel="0" collapsed="false">
      <c r="A289" s="50" t="s">
        <v>297</v>
      </c>
      <c r="B289" s="51" t="n">
        <v>45677</v>
      </c>
      <c r="C289" s="50" t="s">
        <v>298</v>
      </c>
      <c r="D289" s="50" t="s">
        <v>2176</v>
      </c>
      <c r="E289" s="50" t="n">
        <v>5</v>
      </c>
      <c r="F289" s="50" t="s">
        <v>2167</v>
      </c>
      <c r="G289" s="54" t="n">
        <v>2066200</v>
      </c>
    </row>
    <row r="290" customFormat="false" ht="15" hidden="false" customHeight="false" outlineLevel="0" collapsed="false">
      <c r="A290" s="50" t="s">
        <v>297</v>
      </c>
      <c r="B290" s="51" t="n">
        <v>45677</v>
      </c>
      <c r="C290" s="50" t="s">
        <v>298</v>
      </c>
      <c r="D290" s="50" t="s">
        <v>2173</v>
      </c>
      <c r="E290" s="50" t="n">
        <v>8</v>
      </c>
      <c r="F290" s="50" t="s">
        <v>2174</v>
      </c>
      <c r="G290" s="54" t="n">
        <v>6567400</v>
      </c>
    </row>
    <row r="291" customFormat="false" ht="15" hidden="false" customHeight="false" outlineLevel="0" collapsed="false">
      <c r="A291" s="50" t="s">
        <v>299</v>
      </c>
      <c r="B291" s="51" t="n">
        <v>45678</v>
      </c>
      <c r="C291" s="50" t="s">
        <v>179</v>
      </c>
      <c r="D291" s="50" t="s">
        <v>2178</v>
      </c>
      <c r="E291" s="50" t="n">
        <v>7</v>
      </c>
      <c r="F291" s="50" t="s">
        <v>2167</v>
      </c>
      <c r="G291" s="54" t="n">
        <v>3436500</v>
      </c>
    </row>
    <row r="292" customFormat="false" ht="15" hidden="false" customHeight="false" outlineLevel="0" collapsed="false">
      <c r="A292" s="50" t="s">
        <v>299</v>
      </c>
      <c r="B292" s="51" t="n">
        <v>45678</v>
      </c>
      <c r="C292" s="50" t="s">
        <v>179</v>
      </c>
      <c r="D292" s="50" t="s">
        <v>2185</v>
      </c>
      <c r="E292" s="50" t="n">
        <v>2</v>
      </c>
      <c r="F292" s="50" t="s">
        <v>2174</v>
      </c>
      <c r="G292" s="54" t="n">
        <v>1520000</v>
      </c>
    </row>
    <row r="293" customFormat="false" ht="15" hidden="false" customHeight="false" outlineLevel="0" collapsed="false">
      <c r="A293" s="50" t="s">
        <v>300</v>
      </c>
      <c r="B293" s="51" t="n">
        <v>45678</v>
      </c>
      <c r="C293" s="50" t="s">
        <v>278</v>
      </c>
      <c r="D293" s="50" t="s">
        <v>2168</v>
      </c>
      <c r="E293" s="50" t="n">
        <v>4</v>
      </c>
      <c r="F293" s="50" t="s">
        <v>2167</v>
      </c>
      <c r="G293" s="54" t="n">
        <v>1682900</v>
      </c>
    </row>
    <row r="294" customFormat="false" ht="15" hidden="false" customHeight="false" outlineLevel="0" collapsed="false">
      <c r="A294" s="50" t="s">
        <v>300</v>
      </c>
      <c r="B294" s="51" t="n">
        <v>45678</v>
      </c>
      <c r="C294" s="50" t="s">
        <v>278</v>
      </c>
      <c r="D294" s="50" t="s">
        <v>2184</v>
      </c>
      <c r="E294" s="50" t="n">
        <v>1</v>
      </c>
      <c r="F294" s="50" t="s">
        <v>2167</v>
      </c>
      <c r="G294" s="54" t="n">
        <v>548100</v>
      </c>
    </row>
    <row r="295" customFormat="false" ht="15" hidden="false" customHeight="false" outlineLevel="0" collapsed="false">
      <c r="A295" s="50" t="s">
        <v>300</v>
      </c>
      <c r="B295" s="51" t="n">
        <v>45678</v>
      </c>
      <c r="C295" s="50" t="s">
        <v>278</v>
      </c>
      <c r="D295" s="50" t="s">
        <v>2181</v>
      </c>
      <c r="E295" s="50" t="n">
        <v>5</v>
      </c>
      <c r="F295" s="50" t="s">
        <v>2167</v>
      </c>
      <c r="G295" s="54" t="n">
        <v>5632200</v>
      </c>
    </row>
    <row r="296" customFormat="false" ht="15" hidden="false" customHeight="false" outlineLevel="0" collapsed="false">
      <c r="A296" s="50" t="s">
        <v>301</v>
      </c>
      <c r="B296" s="51" t="n">
        <v>45678</v>
      </c>
      <c r="C296" s="50" t="s">
        <v>232</v>
      </c>
      <c r="D296" s="50" t="s">
        <v>2176</v>
      </c>
      <c r="E296" s="50" t="n">
        <v>5</v>
      </c>
      <c r="F296" s="50" t="s">
        <v>2167</v>
      </c>
      <c r="G296" s="54" t="n">
        <v>2175300</v>
      </c>
    </row>
    <row r="297" customFormat="false" ht="15" hidden="false" customHeight="false" outlineLevel="0" collapsed="false">
      <c r="A297" s="50" t="s">
        <v>301</v>
      </c>
      <c r="B297" s="51" t="n">
        <v>45678</v>
      </c>
      <c r="C297" s="50" t="s">
        <v>232</v>
      </c>
      <c r="D297" s="50" t="s">
        <v>2178</v>
      </c>
      <c r="E297" s="50" t="n">
        <v>8</v>
      </c>
      <c r="F297" s="50" t="s">
        <v>2167</v>
      </c>
      <c r="G297" s="54" t="n">
        <v>3987300</v>
      </c>
    </row>
    <row r="298" customFormat="false" ht="15" hidden="false" customHeight="false" outlineLevel="0" collapsed="false">
      <c r="A298" s="50" t="s">
        <v>302</v>
      </c>
      <c r="B298" s="51" t="n">
        <v>45679</v>
      </c>
      <c r="C298" s="50" t="s">
        <v>166</v>
      </c>
      <c r="D298" s="50" t="s">
        <v>2185</v>
      </c>
      <c r="E298" s="50" t="n">
        <v>7</v>
      </c>
      <c r="F298" s="50" t="s">
        <v>2174</v>
      </c>
      <c r="G298" s="54" t="n">
        <v>5425300</v>
      </c>
    </row>
    <row r="299" customFormat="false" ht="15" hidden="false" customHeight="false" outlineLevel="0" collapsed="false">
      <c r="A299" s="50" t="s">
        <v>302</v>
      </c>
      <c r="B299" s="51" t="n">
        <v>45679</v>
      </c>
      <c r="C299" s="50" t="s">
        <v>166</v>
      </c>
      <c r="D299" s="50" t="s">
        <v>2177</v>
      </c>
      <c r="E299" s="50" t="n">
        <v>2</v>
      </c>
      <c r="F299" s="50" t="s">
        <v>2174</v>
      </c>
      <c r="G299" s="54" t="n">
        <v>2132600</v>
      </c>
    </row>
    <row r="300" customFormat="false" ht="15" hidden="false" customHeight="false" outlineLevel="0" collapsed="false">
      <c r="A300" s="50" t="s">
        <v>302</v>
      </c>
      <c r="B300" s="51" t="n">
        <v>45679</v>
      </c>
      <c r="C300" s="50" t="s">
        <v>166</v>
      </c>
      <c r="D300" s="50" t="s">
        <v>2181</v>
      </c>
      <c r="E300" s="50" t="n">
        <v>5</v>
      </c>
      <c r="F300" s="50" t="s">
        <v>2167</v>
      </c>
      <c r="G300" s="54" t="n">
        <v>5635700</v>
      </c>
    </row>
    <row r="301" customFormat="false" ht="15" hidden="false" customHeight="false" outlineLevel="0" collapsed="false">
      <c r="A301" s="50" t="s">
        <v>302</v>
      </c>
      <c r="B301" s="51" t="n">
        <v>45679</v>
      </c>
      <c r="C301" s="50" t="s">
        <v>166</v>
      </c>
      <c r="D301" s="50" t="s">
        <v>2188</v>
      </c>
      <c r="E301" s="50" t="n">
        <v>4</v>
      </c>
      <c r="F301" s="50" t="s">
        <v>2167</v>
      </c>
      <c r="G301" s="54" t="n">
        <v>3785800</v>
      </c>
    </row>
    <row r="302" customFormat="false" ht="15" hidden="false" customHeight="false" outlineLevel="0" collapsed="false">
      <c r="A302" s="50" t="s">
        <v>302</v>
      </c>
      <c r="B302" s="51" t="n">
        <v>45679</v>
      </c>
      <c r="C302" s="50" t="s">
        <v>166</v>
      </c>
      <c r="D302" s="50" t="s">
        <v>2184</v>
      </c>
      <c r="E302" s="50" t="n">
        <v>5</v>
      </c>
      <c r="F302" s="50" t="s">
        <v>2167</v>
      </c>
      <c r="G302" s="54" t="n">
        <v>2710900</v>
      </c>
    </row>
    <row r="303" customFormat="false" ht="15" hidden="false" customHeight="false" outlineLevel="0" collapsed="false">
      <c r="A303" s="50" t="s">
        <v>303</v>
      </c>
      <c r="B303" s="51" t="n">
        <v>45679</v>
      </c>
      <c r="C303" s="50" t="s">
        <v>188</v>
      </c>
      <c r="D303" s="50" t="s">
        <v>2177</v>
      </c>
      <c r="E303" s="50" t="n">
        <v>2</v>
      </c>
      <c r="F303" s="50" t="s">
        <v>2174</v>
      </c>
      <c r="G303" s="54" t="n">
        <v>2123000</v>
      </c>
    </row>
    <row r="304" customFormat="false" ht="15" hidden="false" customHeight="false" outlineLevel="0" collapsed="false">
      <c r="A304" s="50" t="s">
        <v>303</v>
      </c>
      <c r="B304" s="51" t="n">
        <v>45679</v>
      </c>
      <c r="C304" s="50" t="s">
        <v>188</v>
      </c>
      <c r="D304" s="50" t="s">
        <v>2188</v>
      </c>
      <c r="E304" s="50" t="n">
        <v>3</v>
      </c>
      <c r="F304" s="50" t="s">
        <v>2167</v>
      </c>
      <c r="G304" s="54" t="n">
        <v>3054400</v>
      </c>
    </row>
    <row r="305" customFormat="false" ht="15" hidden="false" customHeight="false" outlineLevel="0" collapsed="false">
      <c r="A305" s="50" t="s">
        <v>303</v>
      </c>
      <c r="B305" s="51" t="n">
        <v>45679</v>
      </c>
      <c r="C305" s="50" t="s">
        <v>188</v>
      </c>
      <c r="D305" s="50" t="s">
        <v>2179</v>
      </c>
      <c r="E305" s="50" t="n">
        <v>1</v>
      </c>
      <c r="F305" s="50" t="s">
        <v>2174</v>
      </c>
      <c r="G305" s="54" t="n">
        <v>1256600</v>
      </c>
    </row>
    <row r="306" customFormat="false" ht="15" hidden="false" customHeight="false" outlineLevel="0" collapsed="false">
      <c r="A306" s="50" t="s">
        <v>303</v>
      </c>
      <c r="B306" s="51" t="n">
        <v>45679</v>
      </c>
      <c r="C306" s="50" t="s">
        <v>188</v>
      </c>
      <c r="D306" s="50" t="s">
        <v>2187</v>
      </c>
      <c r="E306" s="50" t="n">
        <v>5</v>
      </c>
      <c r="F306" s="50" t="s">
        <v>2167</v>
      </c>
      <c r="G306" s="54" t="n">
        <v>1811800</v>
      </c>
    </row>
    <row r="307" customFormat="false" ht="15" hidden="false" customHeight="false" outlineLevel="0" collapsed="false">
      <c r="A307" s="50" t="s">
        <v>304</v>
      </c>
      <c r="B307" s="51" t="n">
        <v>45679</v>
      </c>
      <c r="C307" s="50" t="s">
        <v>213</v>
      </c>
      <c r="D307" s="50" t="s">
        <v>2169</v>
      </c>
      <c r="E307" s="50" t="n">
        <v>3</v>
      </c>
      <c r="F307" s="50" t="s">
        <v>2167</v>
      </c>
      <c r="G307" s="54" t="n">
        <v>1909500</v>
      </c>
    </row>
    <row r="308" customFormat="false" ht="15" hidden="false" customHeight="false" outlineLevel="0" collapsed="false">
      <c r="A308" s="50" t="s">
        <v>305</v>
      </c>
      <c r="B308" s="51" t="n">
        <v>45679</v>
      </c>
      <c r="C308" s="50" t="s">
        <v>174</v>
      </c>
      <c r="D308" s="50" t="s">
        <v>2181</v>
      </c>
      <c r="E308" s="50" t="n">
        <v>2</v>
      </c>
      <c r="F308" s="50" t="s">
        <v>2167</v>
      </c>
      <c r="G308" s="54" t="n">
        <v>2208600</v>
      </c>
    </row>
    <row r="309" customFormat="false" ht="15" hidden="false" customHeight="false" outlineLevel="0" collapsed="false">
      <c r="A309" s="50" t="s">
        <v>305</v>
      </c>
      <c r="B309" s="51" t="n">
        <v>45679</v>
      </c>
      <c r="C309" s="50" t="s">
        <v>174</v>
      </c>
      <c r="D309" s="50" t="s">
        <v>2172</v>
      </c>
      <c r="E309" s="50" t="n">
        <v>7</v>
      </c>
      <c r="F309" s="50" t="s">
        <v>2167</v>
      </c>
      <c r="G309" s="54" t="n">
        <v>3547300</v>
      </c>
    </row>
    <row r="310" customFormat="false" ht="15" hidden="false" customHeight="false" outlineLevel="0" collapsed="false">
      <c r="A310" s="50" t="s">
        <v>305</v>
      </c>
      <c r="B310" s="51" t="n">
        <v>45679</v>
      </c>
      <c r="C310" s="50" t="s">
        <v>174</v>
      </c>
      <c r="D310" s="50" t="s">
        <v>2183</v>
      </c>
      <c r="E310" s="50" t="n">
        <v>4</v>
      </c>
      <c r="F310" s="50" t="s">
        <v>2167</v>
      </c>
      <c r="G310" s="54" t="n">
        <v>1531900</v>
      </c>
    </row>
    <row r="311" customFormat="false" ht="15" hidden="false" customHeight="false" outlineLevel="0" collapsed="false">
      <c r="A311" s="50" t="s">
        <v>305</v>
      </c>
      <c r="B311" s="51" t="n">
        <v>45679</v>
      </c>
      <c r="C311" s="50" t="s">
        <v>174</v>
      </c>
      <c r="D311" s="50" t="s">
        <v>2169</v>
      </c>
      <c r="E311" s="50" t="n">
        <v>8</v>
      </c>
      <c r="F311" s="50" t="s">
        <v>2167</v>
      </c>
      <c r="G311" s="54" t="n">
        <v>5137200</v>
      </c>
    </row>
    <row r="312" customFormat="false" ht="15" hidden="false" customHeight="false" outlineLevel="0" collapsed="false">
      <c r="A312" s="50" t="s">
        <v>305</v>
      </c>
      <c r="B312" s="51" t="n">
        <v>45679</v>
      </c>
      <c r="C312" s="50" t="s">
        <v>174</v>
      </c>
      <c r="D312" s="50" t="s">
        <v>2173</v>
      </c>
      <c r="E312" s="50" t="n">
        <v>4</v>
      </c>
      <c r="F312" s="50" t="s">
        <v>2174</v>
      </c>
      <c r="G312" s="54" t="n">
        <v>3124000</v>
      </c>
    </row>
    <row r="313" customFormat="false" ht="15" hidden="false" customHeight="false" outlineLevel="0" collapsed="false">
      <c r="A313" s="50" t="s">
        <v>305</v>
      </c>
      <c r="B313" s="51" t="n">
        <v>45679</v>
      </c>
      <c r="C313" s="50" t="s">
        <v>174</v>
      </c>
      <c r="D313" s="50" t="s">
        <v>2185</v>
      </c>
      <c r="E313" s="50" t="n">
        <v>4</v>
      </c>
      <c r="F313" s="50" t="s">
        <v>2174</v>
      </c>
      <c r="G313" s="54" t="n">
        <v>3156000</v>
      </c>
    </row>
    <row r="314" customFormat="false" ht="15" hidden="false" customHeight="false" outlineLevel="0" collapsed="false">
      <c r="A314" s="50" t="s">
        <v>306</v>
      </c>
      <c r="B314" s="51" t="n">
        <v>45679</v>
      </c>
      <c r="C314" s="50" t="s">
        <v>241</v>
      </c>
      <c r="D314" s="50" t="s">
        <v>2168</v>
      </c>
      <c r="E314" s="50" t="n">
        <v>2</v>
      </c>
      <c r="F314" s="50" t="s">
        <v>2167</v>
      </c>
      <c r="G314" s="54" t="n">
        <v>830900</v>
      </c>
    </row>
    <row r="315" customFormat="false" ht="15" hidden="false" customHeight="false" outlineLevel="0" collapsed="false">
      <c r="A315" s="50" t="s">
        <v>306</v>
      </c>
      <c r="B315" s="51" t="n">
        <v>45679</v>
      </c>
      <c r="C315" s="50" t="s">
        <v>241</v>
      </c>
      <c r="D315" s="50" t="s">
        <v>2187</v>
      </c>
      <c r="E315" s="50" t="n">
        <v>6</v>
      </c>
      <c r="F315" s="50" t="s">
        <v>2167</v>
      </c>
      <c r="G315" s="54" t="n">
        <v>2037900</v>
      </c>
    </row>
    <row r="316" customFormat="false" ht="15" hidden="false" customHeight="false" outlineLevel="0" collapsed="false">
      <c r="A316" s="50" t="s">
        <v>306</v>
      </c>
      <c r="B316" s="51" t="n">
        <v>45679</v>
      </c>
      <c r="C316" s="50" t="s">
        <v>241</v>
      </c>
      <c r="D316" s="50" t="s">
        <v>2186</v>
      </c>
      <c r="E316" s="50" t="n">
        <v>4</v>
      </c>
      <c r="F316" s="50" t="s">
        <v>2167</v>
      </c>
      <c r="G316" s="54" t="n">
        <v>2346800</v>
      </c>
    </row>
    <row r="317" customFormat="false" ht="15" hidden="false" customHeight="false" outlineLevel="0" collapsed="false">
      <c r="A317" s="50" t="s">
        <v>306</v>
      </c>
      <c r="B317" s="51" t="n">
        <v>45679</v>
      </c>
      <c r="C317" s="50" t="s">
        <v>241</v>
      </c>
      <c r="D317" s="50" t="s">
        <v>2176</v>
      </c>
      <c r="E317" s="50" t="n">
        <v>1</v>
      </c>
      <c r="F317" s="50" t="s">
        <v>2167</v>
      </c>
      <c r="G317" s="54" t="n">
        <v>422300</v>
      </c>
    </row>
    <row r="318" customFormat="false" ht="15" hidden="false" customHeight="false" outlineLevel="0" collapsed="false">
      <c r="A318" s="50" t="s">
        <v>306</v>
      </c>
      <c r="B318" s="51" t="n">
        <v>45679</v>
      </c>
      <c r="C318" s="50" t="s">
        <v>241</v>
      </c>
      <c r="D318" s="50" t="s">
        <v>2188</v>
      </c>
      <c r="E318" s="50" t="n">
        <v>5</v>
      </c>
      <c r="F318" s="50" t="s">
        <v>2167</v>
      </c>
      <c r="G318" s="54" t="n">
        <v>5076400</v>
      </c>
    </row>
    <row r="319" customFormat="false" ht="15" hidden="false" customHeight="false" outlineLevel="0" collapsed="false">
      <c r="A319" s="50" t="s">
        <v>307</v>
      </c>
      <c r="B319" s="51" t="n">
        <v>45679</v>
      </c>
      <c r="C319" s="50" t="s">
        <v>308</v>
      </c>
      <c r="D319" s="50" t="s">
        <v>2184</v>
      </c>
      <c r="E319" s="50" t="n">
        <v>1</v>
      </c>
      <c r="F319" s="50" t="s">
        <v>2167</v>
      </c>
      <c r="G319" s="54" t="n">
        <v>542500</v>
      </c>
    </row>
    <row r="320" customFormat="false" ht="15" hidden="false" customHeight="false" outlineLevel="0" collapsed="false">
      <c r="A320" s="50" t="s">
        <v>307</v>
      </c>
      <c r="B320" s="51" t="n">
        <v>45679</v>
      </c>
      <c r="C320" s="50" t="s">
        <v>308</v>
      </c>
      <c r="D320" s="50" t="s">
        <v>2181</v>
      </c>
      <c r="E320" s="50" t="n">
        <v>2</v>
      </c>
      <c r="F320" s="50" t="s">
        <v>2167</v>
      </c>
      <c r="G320" s="54" t="n">
        <v>2212600</v>
      </c>
    </row>
    <row r="321" customFormat="false" ht="15" hidden="false" customHeight="false" outlineLevel="0" collapsed="false">
      <c r="A321" s="50" t="s">
        <v>307</v>
      </c>
      <c r="B321" s="51" t="n">
        <v>45679</v>
      </c>
      <c r="C321" s="50" t="s">
        <v>308</v>
      </c>
      <c r="D321" s="50" t="s">
        <v>2176</v>
      </c>
      <c r="E321" s="50" t="n">
        <v>3</v>
      </c>
      <c r="F321" s="50" t="s">
        <v>2167</v>
      </c>
      <c r="G321" s="54" t="n">
        <v>1259200</v>
      </c>
    </row>
    <row r="322" customFormat="false" ht="15" hidden="false" customHeight="false" outlineLevel="0" collapsed="false">
      <c r="A322" s="50" t="s">
        <v>307</v>
      </c>
      <c r="B322" s="51" t="n">
        <v>45679</v>
      </c>
      <c r="C322" s="50" t="s">
        <v>308</v>
      </c>
      <c r="D322" s="50" t="s">
        <v>2177</v>
      </c>
      <c r="E322" s="50" t="n">
        <v>1</v>
      </c>
      <c r="F322" s="50" t="s">
        <v>2174</v>
      </c>
      <c r="G322" s="54" t="n">
        <v>1120400</v>
      </c>
    </row>
    <row r="323" customFormat="false" ht="15" hidden="false" customHeight="false" outlineLevel="0" collapsed="false">
      <c r="A323" s="50" t="s">
        <v>307</v>
      </c>
      <c r="B323" s="51" t="n">
        <v>45679</v>
      </c>
      <c r="C323" s="50" t="s">
        <v>308</v>
      </c>
      <c r="D323" s="50" t="s">
        <v>2168</v>
      </c>
      <c r="E323" s="50" t="n">
        <v>7</v>
      </c>
      <c r="F323" s="50" t="s">
        <v>2167</v>
      </c>
      <c r="G323" s="54" t="n">
        <v>3126500</v>
      </c>
    </row>
    <row r="324" customFormat="false" ht="15" hidden="false" customHeight="false" outlineLevel="0" collapsed="false">
      <c r="A324" s="50" t="s">
        <v>307</v>
      </c>
      <c r="B324" s="51" t="n">
        <v>45679</v>
      </c>
      <c r="C324" s="50" t="s">
        <v>308</v>
      </c>
      <c r="D324" s="50" t="s">
        <v>2166</v>
      </c>
      <c r="E324" s="50" t="n">
        <v>6</v>
      </c>
      <c r="F324" s="50" t="s">
        <v>2167</v>
      </c>
      <c r="G324" s="54" t="n">
        <v>3293600</v>
      </c>
    </row>
    <row r="325" customFormat="false" ht="15" hidden="false" customHeight="false" outlineLevel="0" collapsed="false">
      <c r="A325" s="50" t="s">
        <v>307</v>
      </c>
      <c r="B325" s="51" t="n">
        <v>45679</v>
      </c>
      <c r="C325" s="50" t="s">
        <v>308</v>
      </c>
      <c r="D325" s="50" t="s">
        <v>2178</v>
      </c>
      <c r="E325" s="50" t="n">
        <v>8</v>
      </c>
      <c r="F325" s="50" t="s">
        <v>2167</v>
      </c>
      <c r="G325" s="54" t="n">
        <v>3919900</v>
      </c>
    </row>
    <row r="326" customFormat="false" ht="15" hidden="false" customHeight="false" outlineLevel="0" collapsed="false">
      <c r="A326" s="50" t="s">
        <v>307</v>
      </c>
      <c r="B326" s="51" t="n">
        <v>45679</v>
      </c>
      <c r="C326" s="50" t="s">
        <v>308</v>
      </c>
      <c r="D326" s="50" t="s">
        <v>2169</v>
      </c>
      <c r="E326" s="50" t="n">
        <v>5</v>
      </c>
      <c r="F326" s="50" t="s">
        <v>2167</v>
      </c>
      <c r="G326" s="54" t="n">
        <v>2980400</v>
      </c>
    </row>
    <row r="327" customFormat="false" ht="15" hidden="false" customHeight="false" outlineLevel="0" collapsed="false">
      <c r="A327" s="50" t="s">
        <v>309</v>
      </c>
      <c r="B327" s="51" t="n">
        <v>45680</v>
      </c>
      <c r="C327" s="50" t="s">
        <v>310</v>
      </c>
      <c r="D327" s="50" t="s">
        <v>2176</v>
      </c>
      <c r="E327" s="50" t="n">
        <v>5</v>
      </c>
      <c r="F327" s="50" t="s">
        <v>2167</v>
      </c>
      <c r="G327" s="54" t="n">
        <v>2079400</v>
      </c>
    </row>
    <row r="328" customFormat="false" ht="15" hidden="false" customHeight="false" outlineLevel="0" collapsed="false">
      <c r="A328" s="50" t="s">
        <v>309</v>
      </c>
      <c r="B328" s="51" t="n">
        <v>45680</v>
      </c>
      <c r="C328" s="50" t="s">
        <v>310</v>
      </c>
      <c r="D328" s="50" t="s">
        <v>2177</v>
      </c>
      <c r="E328" s="50" t="n">
        <v>1</v>
      </c>
      <c r="F328" s="50" t="s">
        <v>2174</v>
      </c>
      <c r="G328" s="54" t="n">
        <v>1131400</v>
      </c>
    </row>
    <row r="329" customFormat="false" ht="15" hidden="false" customHeight="false" outlineLevel="0" collapsed="false">
      <c r="A329" s="50" t="s">
        <v>309</v>
      </c>
      <c r="B329" s="51" t="n">
        <v>45680</v>
      </c>
      <c r="C329" s="50" t="s">
        <v>310</v>
      </c>
      <c r="D329" s="50" t="s">
        <v>2181</v>
      </c>
      <c r="E329" s="50" t="n">
        <v>2</v>
      </c>
      <c r="F329" s="50" t="s">
        <v>2167</v>
      </c>
      <c r="G329" s="54" t="n">
        <v>2355700</v>
      </c>
    </row>
    <row r="330" customFormat="false" ht="15" hidden="false" customHeight="false" outlineLevel="0" collapsed="false">
      <c r="A330" s="50" t="s">
        <v>309</v>
      </c>
      <c r="B330" s="51" t="n">
        <v>45680</v>
      </c>
      <c r="C330" s="50" t="s">
        <v>310</v>
      </c>
      <c r="D330" s="50" t="s">
        <v>2186</v>
      </c>
      <c r="E330" s="50" t="n">
        <v>7</v>
      </c>
      <c r="F330" s="50" t="s">
        <v>2167</v>
      </c>
      <c r="G330" s="54" t="n">
        <v>4075200</v>
      </c>
    </row>
    <row r="331" customFormat="false" ht="15" hidden="false" customHeight="false" outlineLevel="0" collapsed="false">
      <c r="A331" s="50" t="s">
        <v>311</v>
      </c>
      <c r="B331" s="51" t="n">
        <v>45680</v>
      </c>
      <c r="C331" s="50" t="s">
        <v>310</v>
      </c>
      <c r="D331" s="50" t="s">
        <v>2170</v>
      </c>
      <c r="E331" s="50" t="n">
        <v>1</v>
      </c>
      <c r="F331" s="50" t="s">
        <v>2171</v>
      </c>
      <c r="G331" s="54" t="n">
        <v>7657400</v>
      </c>
    </row>
    <row r="332" customFormat="false" ht="15" hidden="false" customHeight="false" outlineLevel="0" collapsed="false">
      <c r="A332" s="50" t="s">
        <v>311</v>
      </c>
      <c r="B332" s="51" t="n">
        <v>45680</v>
      </c>
      <c r="C332" s="50" t="s">
        <v>310</v>
      </c>
      <c r="D332" s="50" t="s">
        <v>2183</v>
      </c>
      <c r="E332" s="50" t="n">
        <v>7</v>
      </c>
      <c r="F332" s="50" t="s">
        <v>2167</v>
      </c>
      <c r="G332" s="54" t="n">
        <v>2613000</v>
      </c>
    </row>
    <row r="333" customFormat="false" ht="15" hidden="false" customHeight="false" outlineLevel="0" collapsed="false">
      <c r="A333" s="50" t="s">
        <v>311</v>
      </c>
      <c r="B333" s="51" t="n">
        <v>45680</v>
      </c>
      <c r="C333" s="50" t="s">
        <v>310</v>
      </c>
      <c r="D333" s="50" t="s">
        <v>2184</v>
      </c>
      <c r="E333" s="50" t="n">
        <v>8</v>
      </c>
      <c r="F333" s="50" t="s">
        <v>2167</v>
      </c>
      <c r="G333" s="54" t="n">
        <v>4551800</v>
      </c>
    </row>
    <row r="334" customFormat="false" ht="15" hidden="false" customHeight="false" outlineLevel="0" collapsed="false">
      <c r="A334" s="50" t="s">
        <v>311</v>
      </c>
      <c r="B334" s="51" t="n">
        <v>45680</v>
      </c>
      <c r="C334" s="50" t="s">
        <v>310</v>
      </c>
      <c r="D334" s="50" t="s">
        <v>2177</v>
      </c>
      <c r="E334" s="50" t="n">
        <v>8</v>
      </c>
      <c r="F334" s="50" t="s">
        <v>2174</v>
      </c>
      <c r="G334" s="54" t="n">
        <v>8568800</v>
      </c>
    </row>
    <row r="335" customFormat="false" ht="15" hidden="false" customHeight="false" outlineLevel="0" collapsed="false">
      <c r="A335" s="50" t="s">
        <v>311</v>
      </c>
      <c r="B335" s="51" t="n">
        <v>45680</v>
      </c>
      <c r="C335" s="50" t="s">
        <v>310</v>
      </c>
      <c r="D335" s="50" t="s">
        <v>2181</v>
      </c>
      <c r="E335" s="50" t="n">
        <v>2</v>
      </c>
      <c r="F335" s="50" t="s">
        <v>2167</v>
      </c>
      <c r="G335" s="54" t="n">
        <v>2302900</v>
      </c>
    </row>
    <row r="336" customFormat="false" ht="15" hidden="false" customHeight="false" outlineLevel="0" collapsed="false">
      <c r="A336" s="50" t="s">
        <v>311</v>
      </c>
      <c r="B336" s="51" t="n">
        <v>45680</v>
      </c>
      <c r="C336" s="50" t="s">
        <v>310</v>
      </c>
      <c r="D336" s="50" t="s">
        <v>2173</v>
      </c>
      <c r="E336" s="50" t="n">
        <v>6</v>
      </c>
      <c r="F336" s="50" t="s">
        <v>2174</v>
      </c>
      <c r="G336" s="54" t="n">
        <v>4789400</v>
      </c>
    </row>
    <row r="337" customFormat="false" ht="15" hidden="false" customHeight="false" outlineLevel="0" collapsed="false">
      <c r="A337" s="50" t="s">
        <v>312</v>
      </c>
      <c r="B337" s="51" t="n">
        <v>45680</v>
      </c>
      <c r="C337" s="50" t="s">
        <v>289</v>
      </c>
      <c r="D337" s="50" t="s">
        <v>2169</v>
      </c>
      <c r="E337" s="50" t="n">
        <v>8</v>
      </c>
      <c r="F337" s="50" t="s">
        <v>2167</v>
      </c>
      <c r="G337" s="54" t="n">
        <v>5053700</v>
      </c>
    </row>
    <row r="338" customFormat="false" ht="15" hidden="false" customHeight="false" outlineLevel="0" collapsed="false">
      <c r="A338" s="50" t="s">
        <v>312</v>
      </c>
      <c r="B338" s="51" t="n">
        <v>45680</v>
      </c>
      <c r="C338" s="50" t="s">
        <v>289</v>
      </c>
      <c r="D338" s="50" t="s">
        <v>2182</v>
      </c>
      <c r="E338" s="50" t="n">
        <v>8</v>
      </c>
      <c r="F338" s="50" t="s">
        <v>2174</v>
      </c>
      <c r="G338" s="54" t="n">
        <v>7421600</v>
      </c>
    </row>
    <row r="339" customFormat="false" ht="15" hidden="false" customHeight="false" outlineLevel="0" collapsed="false">
      <c r="A339" s="50" t="s">
        <v>312</v>
      </c>
      <c r="B339" s="51" t="n">
        <v>45680</v>
      </c>
      <c r="C339" s="50" t="s">
        <v>289</v>
      </c>
      <c r="D339" s="50" t="s">
        <v>2187</v>
      </c>
      <c r="E339" s="50" t="n">
        <v>5</v>
      </c>
      <c r="F339" s="50" t="s">
        <v>2167</v>
      </c>
      <c r="G339" s="54" t="n">
        <v>1804600</v>
      </c>
    </row>
    <row r="340" customFormat="false" ht="15" hidden="false" customHeight="false" outlineLevel="0" collapsed="false">
      <c r="A340" s="50" t="s">
        <v>312</v>
      </c>
      <c r="B340" s="51" t="n">
        <v>45680</v>
      </c>
      <c r="C340" s="50" t="s">
        <v>289</v>
      </c>
      <c r="D340" s="50" t="s">
        <v>2184</v>
      </c>
      <c r="E340" s="50" t="n">
        <v>8</v>
      </c>
      <c r="F340" s="50" t="s">
        <v>2167</v>
      </c>
      <c r="G340" s="54" t="n">
        <v>4458900</v>
      </c>
    </row>
    <row r="341" customFormat="false" ht="15" hidden="false" customHeight="false" outlineLevel="0" collapsed="false">
      <c r="A341" s="50" t="s">
        <v>313</v>
      </c>
      <c r="B341" s="51" t="n">
        <v>45680</v>
      </c>
      <c r="C341" s="50" t="s">
        <v>174</v>
      </c>
      <c r="D341" s="50" t="s">
        <v>2169</v>
      </c>
      <c r="E341" s="50" t="n">
        <v>6</v>
      </c>
      <c r="F341" s="50" t="s">
        <v>2167</v>
      </c>
      <c r="G341" s="54" t="n">
        <v>3779700</v>
      </c>
    </row>
    <row r="342" customFormat="false" ht="15" hidden="false" customHeight="false" outlineLevel="0" collapsed="false">
      <c r="A342" s="50" t="s">
        <v>313</v>
      </c>
      <c r="B342" s="51" t="n">
        <v>45680</v>
      </c>
      <c r="C342" s="50" t="s">
        <v>174</v>
      </c>
      <c r="D342" s="50" t="s">
        <v>2173</v>
      </c>
      <c r="E342" s="50" t="n">
        <v>7</v>
      </c>
      <c r="F342" s="50" t="s">
        <v>2174</v>
      </c>
      <c r="G342" s="54" t="n">
        <v>5708000</v>
      </c>
    </row>
    <row r="343" customFormat="false" ht="15" hidden="false" customHeight="false" outlineLevel="0" collapsed="false">
      <c r="A343" s="50" t="s">
        <v>313</v>
      </c>
      <c r="B343" s="51" t="n">
        <v>45680</v>
      </c>
      <c r="C343" s="50" t="s">
        <v>174</v>
      </c>
      <c r="D343" s="50" t="s">
        <v>2178</v>
      </c>
      <c r="E343" s="50" t="n">
        <v>6</v>
      </c>
      <c r="F343" s="50" t="s">
        <v>2167</v>
      </c>
      <c r="G343" s="54" t="n">
        <v>2772300</v>
      </c>
    </row>
    <row r="344" customFormat="false" ht="15" hidden="false" customHeight="false" outlineLevel="0" collapsed="false">
      <c r="A344" s="50" t="s">
        <v>314</v>
      </c>
      <c r="B344" s="51" t="n">
        <v>45680</v>
      </c>
      <c r="C344" s="50" t="s">
        <v>315</v>
      </c>
      <c r="D344" s="50" t="s">
        <v>2179</v>
      </c>
      <c r="E344" s="50" t="n">
        <v>1</v>
      </c>
      <c r="F344" s="50" t="s">
        <v>2174</v>
      </c>
      <c r="G344" s="54" t="n">
        <v>1292300</v>
      </c>
    </row>
    <row r="345" customFormat="false" ht="15" hidden="false" customHeight="false" outlineLevel="0" collapsed="false">
      <c r="A345" s="50" t="s">
        <v>314</v>
      </c>
      <c r="B345" s="51" t="n">
        <v>45680</v>
      </c>
      <c r="C345" s="50" t="s">
        <v>315</v>
      </c>
      <c r="D345" s="50" t="s">
        <v>2188</v>
      </c>
      <c r="E345" s="50" t="n">
        <v>6</v>
      </c>
      <c r="F345" s="50" t="s">
        <v>2167</v>
      </c>
      <c r="G345" s="54" t="n">
        <v>5826500</v>
      </c>
    </row>
    <row r="346" customFormat="false" ht="15" hidden="false" customHeight="false" outlineLevel="0" collapsed="false">
      <c r="A346" s="50" t="s">
        <v>316</v>
      </c>
      <c r="B346" s="51" t="n">
        <v>45681</v>
      </c>
      <c r="C346" s="50" t="s">
        <v>317</v>
      </c>
      <c r="D346" s="50" t="s">
        <v>2183</v>
      </c>
      <c r="E346" s="50" t="n">
        <v>8</v>
      </c>
      <c r="F346" s="50" t="s">
        <v>2167</v>
      </c>
      <c r="G346" s="54" t="n">
        <v>2976000</v>
      </c>
    </row>
    <row r="347" customFormat="false" ht="15" hidden="false" customHeight="false" outlineLevel="0" collapsed="false">
      <c r="A347" s="50" t="s">
        <v>316</v>
      </c>
      <c r="B347" s="51" t="n">
        <v>45681</v>
      </c>
      <c r="C347" s="50" t="s">
        <v>317</v>
      </c>
      <c r="D347" s="50" t="s">
        <v>2184</v>
      </c>
      <c r="E347" s="50" t="n">
        <v>5</v>
      </c>
      <c r="F347" s="50" t="s">
        <v>2167</v>
      </c>
      <c r="G347" s="54" t="n">
        <v>2859700</v>
      </c>
    </row>
    <row r="348" customFormat="false" ht="15" hidden="false" customHeight="false" outlineLevel="0" collapsed="false">
      <c r="A348" s="50" t="s">
        <v>316</v>
      </c>
      <c r="B348" s="51" t="n">
        <v>45681</v>
      </c>
      <c r="C348" s="50" t="s">
        <v>317</v>
      </c>
      <c r="D348" s="50" t="s">
        <v>2172</v>
      </c>
      <c r="E348" s="50" t="n">
        <v>5</v>
      </c>
      <c r="F348" s="50" t="s">
        <v>2167</v>
      </c>
      <c r="G348" s="54" t="n">
        <v>2597200</v>
      </c>
    </row>
    <row r="349" customFormat="false" ht="15" hidden="false" customHeight="false" outlineLevel="0" collapsed="false">
      <c r="A349" s="50" t="s">
        <v>316</v>
      </c>
      <c r="B349" s="51" t="n">
        <v>45681</v>
      </c>
      <c r="C349" s="50" t="s">
        <v>317</v>
      </c>
      <c r="D349" s="50" t="s">
        <v>2180</v>
      </c>
      <c r="E349" s="50" t="n">
        <v>5</v>
      </c>
      <c r="F349" s="50" t="s">
        <v>2167</v>
      </c>
      <c r="G349" s="54" t="n">
        <v>2252800</v>
      </c>
    </row>
    <row r="350" customFormat="false" ht="15" hidden="false" customHeight="false" outlineLevel="0" collapsed="false">
      <c r="A350" s="50" t="s">
        <v>318</v>
      </c>
      <c r="B350" s="51" t="n">
        <v>45681</v>
      </c>
      <c r="C350" s="50" t="s">
        <v>166</v>
      </c>
      <c r="D350" s="50" t="s">
        <v>2183</v>
      </c>
      <c r="E350" s="50" t="n">
        <v>3</v>
      </c>
      <c r="F350" s="50" t="s">
        <v>2167</v>
      </c>
      <c r="G350" s="54" t="n">
        <v>1111000</v>
      </c>
    </row>
    <row r="351" customFormat="false" ht="15" hidden="false" customHeight="false" outlineLevel="0" collapsed="false">
      <c r="A351" s="50" t="s">
        <v>319</v>
      </c>
      <c r="B351" s="51" t="n">
        <v>45681</v>
      </c>
      <c r="C351" s="50" t="s">
        <v>320</v>
      </c>
      <c r="D351" s="50" t="s">
        <v>2184</v>
      </c>
      <c r="E351" s="50" t="n">
        <v>3</v>
      </c>
      <c r="F351" s="50" t="s">
        <v>2167</v>
      </c>
      <c r="G351" s="54" t="n">
        <v>1649700</v>
      </c>
    </row>
    <row r="352" customFormat="false" ht="15" hidden="false" customHeight="false" outlineLevel="0" collapsed="false">
      <c r="A352" s="50" t="s">
        <v>319</v>
      </c>
      <c r="B352" s="51" t="n">
        <v>45681</v>
      </c>
      <c r="C352" s="50" t="s">
        <v>320</v>
      </c>
      <c r="D352" s="50" t="s">
        <v>2169</v>
      </c>
      <c r="E352" s="50" t="n">
        <v>8</v>
      </c>
      <c r="F352" s="50" t="s">
        <v>2167</v>
      </c>
      <c r="G352" s="54" t="n">
        <v>4907600</v>
      </c>
    </row>
    <row r="353" customFormat="false" ht="15" hidden="false" customHeight="false" outlineLevel="0" collapsed="false">
      <c r="A353" s="50" t="s">
        <v>319</v>
      </c>
      <c r="B353" s="51" t="n">
        <v>45681</v>
      </c>
      <c r="C353" s="50" t="s">
        <v>320</v>
      </c>
      <c r="D353" s="50" t="s">
        <v>2183</v>
      </c>
      <c r="E353" s="50" t="n">
        <v>6</v>
      </c>
      <c r="F353" s="50" t="s">
        <v>2167</v>
      </c>
      <c r="G353" s="54" t="n">
        <v>2342500</v>
      </c>
    </row>
    <row r="354" customFormat="false" ht="15" hidden="false" customHeight="false" outlineLevel="0" collapsed="false">
      <c r="A354" s="50" t="s">
        <v>319</v>
      </c>
      <c r="B354" s="51" t="n">
        <v>45681</v>
      </c>
      <c r="C354" s="50" t="s">
        <v>320</v>
      </c>
      <c r="D354" s="50" t="s">
        <v>2172</v>
      </c>
      <c r="E354" s="50" t="n">
        <v>2</v>
      </c>
      <c r="F354" s="50" t="s">
        <v>2167</v>
      </c>
      <c r="G354" s="54" t="n">
        <v>1059800</v>
      </c>
    </row>
    <row r="355" customFormat="false" ht="15" hidden="false" customHeight="false" outlineLevel="0" collapsed="false">
      <c r="A355" s="50" t="s">
        <v>321</v>
      </c>
      <c r="B355" s="51" t="n">
        <v>45681</v>
      </c>
      <c r="C355" s="50" t="s">
        <v>166</v>
      </c>
      <c r="D355" s="50" t="s">
        <v>2186</v>
      </c>
      <c r="E355" s="50" t="n">
        <v>8</v>
      </c>
      <c r="F355" s="50" t="s">
        <v>2167</v>
      </c>
      <c r="G355" s="54" t="n">
        <v>4576300</v>
      </c>
    </row>
    <row r="356" customFormat="false" ht="15" hidden="false" customHeight="false" outlineLevel="0" collapsed="false">
      <c r="A356" s="50" t="s">
        <v>321</v>
      </c>
      <c r="B356" s="51" t="n">
        <v>45681</v>
      </c>
      <c r="C356" s="50" t="s">
        <v>166</v>
      </c>
      <c r="D356" s="50" t="s">
        <v>2169</v>
      </c>
      <c r="E356" s="50" t="n">
        <v>7</v>
      </c>
      <c r="F356" s="50" t="s">
        <v>2167</v>
      </c>
      <c r="G356" s="54" t="n">
        <v>4173900</v>
      </c>
    </row>
    <row r="357" customFormat="false" ht="15" hidden="false" customHeight="false" outlineLevel="0" collapsed="false">
      <c r="A357" s="50" t="s">
        <v>321</v>
      </c>
      <c r="B357" s="51" t="n">
        <v>45681</v>
      </c>
      <c r="C357" s="50" t="s">
        <v>166</v>
      </c>
      <c r="D357" s="50" t="s">
        <v>2181</v>
      </c>
      <c r="E357" s="50" t="n">
        <v>1</v>
      </c>
      <c r="F357" s="50" t="s">
        <v>2167</v>
      </c>
      <c r="G357" s="54" t="n">
        <v>1114400</v>
      </c>
    </row>
    <row r="358" customFormat="false" ht="15" hidden="false" customHeight="false" outlineLevel="0" collapsed="false">
      <c r="A358" s="50" t="s">
        <v>321</v>
      </c>
      <c r="B358" s="51" t="n">
        <v>45681</v>
      </c>
      <c r="C358" s="50" t="s">
        <v>166</v>
      </c>
      <c r="D358" s="50" t="s">
        <v>2183</v>
      </c>
      <c r="E358" s="50" t="n">
        <v>5</v>
      </c>
      <c r="F358" s="50" t="s">
        <v>2167</v>
      </c>
      <c r="G358" s="54" t="n">
        <v>1850400</v>
      </c>
    </row>
    <row r="359" customFormat="false" ht="15" hidden="false" customHeight="false" outlineLevel="0" collapsed="false">
      <c r="A359" s="50" t="s">
        <v>322</v>
      </c>
      <c r="B359" s="51" t="n">
        <v>45681</v>
      </c>
      <c r="C359" s="50" t="s">
        <v>174</v>
      </c>
      <c r="D359" s="50" t="s">
        <v>2184</v>
      </c>
      <c r="E359" s="50" t="n">
        <v>8</v>
      </c>
      <c r="F359" s="50" t="s">
        <v>2167</v>
      </c>
      <c r="G359" s="54" t="n">
        <v>4371700</v>
      </c>
    </row>
    <row r="360" customFormat="false" ht="15" hidden="false" customHeight="false" outlineLevel="0" collapsed="false">
      <c r="A360" s="50" t="s">
        <v>322</v>
      </c>
      <c r="B360" s="51" t="n">
        <v>45681</v>
      </c>
      <c r="C360" s="50" t="s">
        <v>174</v>
      </c>
      <c r="D360" s="50" t="s">
        <v>2172</v>
      </c>
      <c r="E360" s="50" t="n">
        <v>7</v>
      </c>
      <c r="F360" s="50" t="s">
        <v>2167</v>
      </c>
      <c r="G360" s="54" t="n">
        <v>3654200</v>
      </c>
    </row>
    <row r="361" customFormat="false" ht="15" hidden="false" customHeight="false" outlineLevel="0" collapsed="false">
      <c r="A361" s="50" t="s">
        <v>322</v>
      </c>
      <c r="B361" s="51" t="n">
        <v>45681</v>
      </c>
      <c r="C361" s="50" t="s">
        <v>174</v>
      </c>
      <c r="D361" s="50" t="s">
        <v>2181</v>
      </c>
      <c r="E361" s="50" t="n">
        <v>2</v>
      </c>
      <c r="F361" s="50" t="s">
        <v>2167</v>
      </c>
      <c r="G361" s="54" t="n">
        <v>2311700</v>
      </c>
    </row>
    <row r="362" customFormat="false" ht="15" hidden="false" customHeight="false" outlineLevel="0" collapsed="false">
      <c r="A362" s="50" t="s">
        <v>322</v>
      </c>
      <c r="B362" s="51" t="n">
        <v>45681</v>
      </c>
      <c r="C362" s="50" t="s">
        <v>174</v>
      </c>
      <c r="D362" s="50" t="s">
        <v>2180</v>
      </c>
      <c r="E362" s="50" t="n">
        <v>3</v>
      </c>
      <c r="F362" s="50" t="s">
        <v>2167</v>
      </c>
      <c r="G362" s="54" t="n">
        <v>1339200</v>
      </c>
    </row>
    <row r="363" customFormat="false" ht="15" hidden="false" customHeight="false" outlineLevel="0" collapsed="false">
      <c r="A363" s="50" t="s">
        <v>323</v>
      </c>
      <c r="B363" s="51" t="n">
        <v>45681</v>
      </c>
      <c r="C363" s="50" t="s">
        <v>179</v>
      </c>
      <c r="D363" s="50" t="s">
        <v>2179</v>
      </c>
      <c r="E363" s="50" t="n">
        <v>6</v>
      </c>
      <c r="F363" s="50" t="s">
        <v>2174</v>
      </c>
      <c r="G363" s="54" t="n">
        <v>7292000</v>
      </c>
    </row>
    <row r="364" customFormat="false" ht="15" hidden="false" customHeight="false" outlineLevel="0" collapsed="false">
      <c r="A364" s="50" t="s">
        <v>323</v>
      </c>
      <c r="B364" s="51" t="n">
        <v>45681</v>
      </c>
      <c r="C364" s="50" t="s">
        <v>179</v>
      </c>
      <c r="D364" s="50" t="s">
        <v>2178</v>
      </c>
      <c r="E364" s="50" t="n">
        <v>2</v>
      </c>
      <c r="F364" s="50" t="s">
        <v>2167</v>
      </c>
      <c r="G364" s="54" t="n">
        <v>953600</v>
      </c>
    </row>
    <row r="365" customFormat="false" ht="15" hidden="false" customHeight="false" outlineLevel="0" collapsed="false">
      <c r="A365" s="50" t="s">
        <v>323</v>
      </c>
      <c r="B365" s="51" t="n">
        <v>45681</v>
      </c>
      <c r="C365" s="50" t="s">
        <v>179</v>
      </c>
      <c r="D365" s="50" t="s">
        <v>2184</v>
      </c>
      <c r="E365" s="50" t="n">
        <v>8</v>
      </c>
      <c r="F365" s="50" t="s">
        <v>2167</v>
      </c>
      <c r="G365" s="54" t="n">
        <v>4536300</v>
      </c>
    </row>
    <row r="366" customFormat="false" ht="15" hidden="false" customHeight="false" outlineLevel="0" collapsed="false">
      <c r="A366" s="50" t="s">
        <v>324</v>
      </c>
      <c r="B366" s="51" t="n">
        <v>45681</v>
      </c>
      <c r="C366" s="50" t="s">
        <v>325</v>
      </c>
      <c r="D366" s="50" t="s">
        <v>2166</v>
      </c>
      <c r="E366" s="50" t="n">
        <v>6</v>
      </c>
      <c r="F366" s="50" t="s">
        <v>2167</v>
      </c>
      <c r="G366" s="54" t="n">
        <v>3277700</v>
      </c>
    </row>
    <row r="367" customFormat="false" ht="15" hidden="false" customHeight="false" outlineLevel="0" collapsed="false">
      <c r="A367" s="50" t="s">
        <v>324</v>
      </c>
      <c r="B367" s="51" t="n">
        <v>45681</v>
      </c>
      <c r="C367" s="50" t="s">
        <v>325</v>
      </c>
      <c r="D367" s="50" t="s">
        <v>2178</v>
      </c>
      <c r="E367" s="50" t="n">
        <v>2</v>
      </c>
      <c r="F367" s="50" t="s">
        <v>2167</v>
      </c>
      <c r="G367" s="54" t="n">
        <v>957200</v>
      </c>
    </row>
    <row r="368" customFormat="false" ht="15" hidden="false" customHeight="false" outlineLevel="0" collapsed="false">
      <c r="A368" s="50" t="s">
        <v>324</v>
      </c>
      <c r="B368" s="51" t="n">
        <v>45681</v>
      </c>
      <c r="C368" s="50" t="s">
        <v>325</v>
      </c>
      <c r="D368" s="50" t="s">
        <v>2183</v>
      </c>
      <c r="E368" s="50" t="n">
        <v>6</v>
      </c>
      <c r="F368" s="50" t="s">
        <v>2167</v>
      </c>
      <c r="G368" s="54" t="n">
        <v>2300400</v>
      </c>
    </row>
    <row r="369" customFormat="false" ht="15" hidden="false" customHeight="false" outlineLevel="0" collapsed="false">
      <c r="A369" s="50" t="s">
        <v>324</v>
      </c>
      <c r="B369" s="51" t="n">
        <v>45681</v>
      </c>
      <c r="C369" s="50" t="s">
        <v>325</v>
      </c>
      <c r="D369" s="50" t="s">
        <v>2180</v>
      </c>
      <c r="E369" s="50" t="n">
        <v>5</v>
      </c>
      <c r="F369" s="50" t="s">
        <v>2167</v>
      </c>
      <c r="G369" s="54" t="n">
        <v>2220300</v>
      </c>
    </row>
    <row r="370" customFormat="false" ht="15" hidden="false" customHeight="false" outlineLevel="0" collapsed="false">
      <c r="A370" s="50" t="s">
        <v>326</v>
      </c>
      <c r="B370" s="51" t="n">
        <v>45681</v>
      </c>
      <c r="C370" s="50" t="s">
        <v>327</v>
      </c>
      <c r="D370" s="50" t="s">
        <v>2169</v>
      </c>
      <c r="E370" s="50" t="n">
        <v>7</v>
      </c>
      <c r="F370" s="50" t="s">
        <v>2167</v>
      </c>
      <c r="G370" s="54" t="n">
        <v>4489800</v>
      </c>
    </row>
    <row r="371" customFormat="false" ht="15" hidden="false" customHeight="false" outlineLevel="0" collapsed="false">
      <c r="A371" s="50" t="s">
        <v>326</v>
      </c>
      <c r="B371" s="51" t="n">
        <v>45681</v>
      </c>
      <c r="C371" s="50" t="s">
        <v>327</v>
      </c>
      <c r="D371" s="50" t="s">
        <v>2172</v>
      </c>
      <c r="E371" s="50" t="n">
        <v>1</v>
      </c>
      <c r="F371" s="50" t="s">
        <v>2167</v>
      </c>
      <c r="G371" s="54" t="n">
        <v>528800</v>
      </c>
    </row>
    <row r="372" customFormat="false" ht="15" hidden="false" customHeight="false" outlineLevel="0" collapsed="false">
      <c r="A372" s="50" t="s">
        <v>326</v>
      </c>
      <c r="B372" s="51" t="n">
        <v>45681</v>
      </c>
      <c r="C372" s="50" t="s">
        <v>327</v>
      </c>
      <c r="D372" s="50" t="s">
        <v>2176</v>
      </c>
      <c r="E372" s="50" t="n">
        <v>6</v>
      </c>
      <c r="F372" s="50" t="s">
        <v>2167</v>
      </c>
      <c r="G372" s="54" t="n">
        <v>2574900</v>
      </c>
    </row>
    <row r="373" customFormat="false" ht="15" hidden="false" customHeight="false" outlineLevel="0" collapsed="false">
      <c r="A373" s="50" t="s">
        <v>326</v>
      </c>
      <c r="B373" s="51" t="n">
        <v>45681</v>
      </c>
      <c r="C373" s="50" t="s">
        <v>327</v>
      </c>
      <c r="D373" s="50" t="s">
        <v>2186</v>
      </c>
      <c r="E373" s="50" t="n">
        <v>5</v>
      </c>
      <c r="F373" s="50" t="s">
        <v>2167</v>
      </c>
      <c r="G373" s="54" t="n">
        <v>2894900</v>
      </c>
    </row>
    <row r="374" customFormat="false" ht="15" hidden="false" customHeight="false" outlineLevel="0" collapsed="false">
      <c r="A374" s="50" t="s">
        <v>326</v>
      </c>
      <c r="B374" s="51" t="n">
        <v>45681</v>
      </c>
      <c r="C374" s="50" t="s">
        <v>327</v>
      </c>
      <c r="D374" s="50" t="s">
        <v>2183</v>
      </c>
      <c r="E374" s="50" t="n">
        <v>2</v>
      </c>
      <c r="F374" s="50" t="s">
        <v>2167</v>
      </c>
      <c r="G374" s="54" t="n">
        <v>765800</v>
      </c>
    </row>
    <row r="375" customFormat="false" ht="15" hidden="false" customHeight="false" outlineLevel="0" collapsed="false">
      <c r="A375" s="50" t="s">
        <v>326</v>
      </c>
      <c r="B375" s="51" t="n">
        <v>45681</v>
      </c>
      <c r="C375" s="50" t="s">
        <v>327</v>
      </c>
      <c r="D375" s="50" t="s">
        <v>2181</v>
      </c>
      <c r="E375" s="50" t="n">
        <v>6</v>
      </c>
      <c r="F375" s="50" t="s">
        <v>2167</v>
      </c>
      <c r="G375" s="54" t="n">
        <v>6789200</v>
      </c>
    </row>
    <row r="376" customFormat="false" ht="15" hidden="false" customHeight="false" outlineLevel="0" collapsed="false">
      <c r="A376" s="50" t="s">
        <v>326</v>
      </c>
      <c r="B376" s="51" t="n">
        <v>45681</v>
      </c>
      <c r="C376" s="50" t="s">
        <v>327</v>
      </c>
      <c r="D376" s="50" t="s">
        <v>2188</v>
      </c>
      <c r="E376" s="50" t="n">
        <v>1</v>
      </c>
      <c r="F376" s="50" t="s">
        <v>2167</v>
      </c>
      <c r="G376" s="54" t="n">
        <v>978900</v>
      </c>
    </row>
    <row r="377" customFormat="false" ht="15" hidden="false" customHeight="false" outlineLevel="0" collapsed="false">
      <c r="A377" s="50" t="s">
        <v>326</v>
      </c>
      <c r="B377" s="51" t="n">
        <v>45681</v>
      </c>
      <c r="C377" s="50" t="s">
        <v>327</v>
      </c>
      <c r="D377" s="50" t="s">
        <v>2178</v>
      </c>
      <c r="E377" s="50" t="n">
        <v>3</v>
      </c>
      <c r="F377" s="50" t="s">
        <v>2167</v>
      </c>
      <c r="G377" s="54" t="n">
        <v>1392500</v>
      </c>
    </row>
    <row r="378" customFormat="false" ht="15" hidden="false" customHeight="false" outlineLevel="0" collapsed="false">
      <c r="A378" s="50" t="s">
        <v>328</v>
      </c>
      <c r="B378" s="51" t="n">
        <v>45681</v>
      </c>
      <c r="C378" s="50" t="s">
        <v>329</v>
      </c>
      <c r="D378" s="50" t="s">
        <v>2186</v>
      </c>
      <c r="E378" s="50" t="n">
        <v>5</v>
      </c>
      <c r="F378" s="50" t="s">
        <v>2167</v>
      </c>
      <c r="G378" s="54" t="n">
        <v>2974000</v>
      </c>
    </row>
    <row r="379" customFormat="false" ht="15" hidden="false" customHeight="false" outlineLevel="0" collapsed="false">
      <c r="A379" s="50" t="s">
        <v>328</v>
      </c>
      <c r="B379" s="51" t="n">
        <v>45681</v>
      </c>
      <c r="C379" s="50" t="s">
        <v>329</v>
      </c>
      <c r="D379" s="50" t="s">
        <v>2183</v>
      </c>
      <c r="E379" s="50" t="n">
        <v>1</v>
      </c>
      <c r="F379" s="50" t="s">
        <v>2167</v>
      </c>
      <c r="G379" s="54" t="n">
        <v>387500</v>
      </c>
    </row>
    <row r="380" customFormat="false" ht="15" hidden="false" customHeight="false" outlineLevel="0" collapsed="false">
      <c r="A380" s="50" t="s">
        <v>328</v>
      </c>
      <c r="B380" s="51" t="n">
        <v>45681</v>
      </c>
      <c r="C380" s="50" t="s">
        <v>329</v>
      </c>
      <c r="D380" s="50" t="s">
        <v>2181</v>
      </c>
      <c r="E380" s="50" t="n">
        <v>8</v>
      </c>
      <c r="F380" s="50" t="s">
        <v>2167</v>
      </c>
      <c r="G380" s="54" t="n">
        <v>9244600</v>
      </c>
    </row>
    <row r="381" customFormat="false" ht="15" hidden="false" customHeight="false" outlineLevel="0" collapsed="false">
      <c r="A381" s="50" t="s">
        <v>328</v>
      </c>
      <c r="B381" s="51" t="n">
        <v>45681</v>
      </c>
      <c r="C381" s="50" t="s">
        <v>329</v>
      </c>
      <c r="D381" s="50" t="s">
        <v>2172</v>
      </c>
      <c r="E381" s="50" t="n">
        <v>1</v>
      </c>
      <c r="F381" s="50" t="s">
        <v>2167</v>
      </c>
      <c r="G381" s="54" t="n">
        <v>529200</v>
      </c>
    </row>
    <row r="382" customFormat="false" ht="15" hidden="false" customHeight="false" outlineLevel="0" collapsed="false">
      <c r="A382" s="50" t="s">
        <v>330</v>
      </c>
      <c r="B382" s="51" t="n">
        <v>45681</v>
      </c>
      <c r="C382" s="50" t="s">
        <v>174</v>
      </c>
      <c r="D382" s="50" t="s">
        <v>2180</v>
      </c>
      <c r="E382" s="50" t="n">
        <v>5</v>
      </c>
      <c r="F382" s="50" t="s">
        <v>2167</v>
      </c>
      <c r="G382" s="54" t="n">
        <v>2193300</v>
      </c>
    </row>
    <row r="383" customFormat="false" ht="15" hidden="false" customHeight="false" outlineLevel="0" collapsed="false">
      <c r="A383" s="50" t="s">
        <v>330</v>
      </c>
      <c r="B383" s="51" t="n">
        <v>45681</v>
      </c>
      <c r="C383" s="50" t="s">
        <v>174</v>
      </c>
      <c r="D383" s="50" t="s">
        <v>2176</v>
      </c>
      <c r="E383" s="50" t="n">
        <v>7</v>
      </c>
      <c r="F383" s="50" t="s">
        <v>2167</v>
      </c>
      <c r="G383" s="54" t="n">
        <v>2980200</v>
      </c>
    </row>
    <row r="384" customFormat="false" ht="15" hidden="false" customHeight="false" outlineLevel="0" collapsed="false">
      <c r="A384" s="50" t="s">
        <v>330</v>
      </c>
      <c r="B384" s="51" t="n">
        <v>45681</v>
      </c>
      <c r="C384" s="50" t="s">
        <v>174</v>
      </c>
      <c r="D384" s="50" t="s">
        <v>2183</v>
      </c>
      <c r="E384" s="50" t="n">
        <v>8</v>
      </c>
      <c r="F384" s="50" t="s">
        <v>2167</v>
      </c>
      <c r="G384" s="54" t="n">
        <v>3011900</v>
      </c>
    </row>
    <row r="385" customFormat="false" ht="15" hidden="false" customHeight="false" outlineLevel="0" collapsed="false">
      <c r="A385" s="50" t="s">
        <v>331</v>
      </c>
      <c r="B385" s="51" t="n">
        <v>45682</v>
      </c>
      <c r="C385" s="50" t="s">
        <v>207</v>
      </c>
      <c r="D385" s="50" t="s">
        <v>2166</v>
      </c>
      <c r="E385" s="50" t="n">
        <v>8</v>
      </c>
      <c r="F385" s="50" t="s">
        <v>2167</v>
      </c>
      <c r="G385" s="54" t="n">
        <v>4440800</v>
      </c>
    </row>
    <row r="386" customFormat="false" ht="15" hidden="false" customHeight="false" outlineLevel="0" collapsed="false">
      <c r="A386" s="50" t="s">
        <v>331</v>
      </c>
      <c r="B386" s="51" t="n">
        <v>45682</v>
      </c>
      <c r="C386" s="50" t="s">
        <v>207</v>
      </c>
      <c r="D386" s="50" t="s">
        <v>2186</v>
      </c>
      <c r="E386" s="50" t="n">
        <v>5</v>
      </c>
      <c r="F386" s="50" t="s">
        <v>2167</v>
      </c>
      <c r="G386" s="54" t="n">
        <v>2966000</v>
      </c>
    </row>
    <row r="387" customFormat="false" ht="15" hidden="false" customHeight="false" outlineLevel="0" collapsed="false">
      <c r="A387" s="50" t="s">
        <v>332</v>
      </c>
      <c r="B387" s="51" t="n">
        <v>45682</v>
      </c>
      <c r="C387" s="50" t="s">
        <v>174</v>
      </c>
      <c r="D387" s="50" t="s">
        <v>2180</v>
      </c>
      <c r="E387" s="50" t="n">
        <v>6</v>
      </c>
      <c r="F387" s="50" t="s">
        <v>2167</v>
      </c>
      <c r="G387" s="54" t="n">
        <v>2603000</v>
      </c>
    </row>
    <row r="388" customFormat="false" ht="15" hidden="false" customHeight="false" outlineLevel="0" collapsed="false">
      <c r="A388" s="50" t="s">
        <v>332</v>
      </c>
      <c r="B388" s="51" t="n">
        <v>45682</v>
      </c>
      <c r="C388" s="50" t="s">
        <v>174</v>
      </c>
      <c r="D388" s="50" t="s">
        <v>2168</v>
      </c>
      <c r="E388" s="50" t="n">
        <v>2</v>
      </c>
      <c r="F388" s="50" t="s">
        <v>2167</v>
      </c>
      <c r="G388" s="54" t="n">
        <v>853100</v>
      </c>
    </row>
    <row r="389" customFormat="false" ht="15" hidden="false" customHeight="false" outlineLevel="0" collapsed="false">
      <c r="A389" s="50" t="s">
        <v>332</v>
      </c>
      <c r="B389" s="51" t="n">
        <v>45682</v>
      </c>
      <c r="C389" s="50" t="s">
        <v>174</v>
      </c>
      <c r="D389" s="50" t="s">
        <v>2176</v>
      </c>
      <c r="E389" s="50" t="n">
        <v>1</v>
      </c>
      <c r="F389" s="50" t="s">
        <v>2167</v>
      </c>
      <c r="G389" s="54" t="n">
        <v>420300</v>
      </c>
    </row>
    <row r="390" customFormat="false" ht="15" hidden="false" customHeight="false" outlineLevel="0" collapsed="false">
      <c r="A390" s="50" t="s">
        <v>333</v>
      </c>
      <c r="B390" s="51" t="n">
        <v>45682</v>
      </c>
      <c r="C390" s="50" t="s">
        <v>199</v>
      </c>
      <c r="D390" s="50" t="s">
        <v>2184</v>
      </c>
      <c r="E390" s="50" t="n">
        <v>3</v>
      </c>
      <c r="F390" s="50" t="s">
        <v>2167</v>
      </c>
      <c r="G390" s="54" t="n">
        <v>1668200</v>
      </c>
    </row>
    <row r="391" customFormat="false" ht="15" hidden="false" customHeight="false" outlineLevel="0" collapsed="false">
      <c r="A391" s="50" t="s">
        <v>333</v>
      </c>
      <c r="B391" s="51" t="n">
        <v>45682</v>
      </c>
      <c r="C391" s="50" t="s">
        <v>199</v>
      </c>
      <c r="D391" s="50" t="s">
        <v>2186</v>
      </c>
      <c r="E391" s="50" t="n">
        <v>3</v>
      </c>
      <c r="F391" s="50" t="s">
        <v>2167</v>
      </c>
      <c r="G391" s="54" t="n">
        <v>1748400</v>
      </c>
    </row>
    <row r="392" customFormat="false" ht="15" hidden="false" customHeight="false" outlineLevel="0" collapsed="false">
      <c r="A392" s="50" t="s">
        <v>335</v>
      </c>
      <c r="B392" s="51" t="n">
        <v>45684</v>
      </c>
      <c r="C392" s="50" t="s">
        <v>216</v>
      </c>
      <c r="D392" s="50" t="s">
        <v>2169</v>
      </c>
      <c r="E392" s="50" t="n">
        <v>5</v>
      </c>
      <c r="F392" s="50" t="s">
        <v>2167</v>
      </c>
      <c r="G392" s="54" t="n">
        <v>3127300</v>
      </c>
    </row>
    <row r="393" customFormat="false" ht="15" hidden="false" customHeight="false" outlineLevel="0" collapsed="false">
      <c r="A393" s="50" t="s">
        <v>335</v>
      </c>
      <c r="B393" s="51" t="n">
        <v>45684</v>
      </c>
      <c r="C393" s="50" t="s">
        <v>216</v>
      </c>
      <c r="D393" s="50" t="s">
        <v>2175</v>
      </c>
      <c r="E393" s="50" t="n">
        <v>6</v>
      </c>
      <c r="F393" s="50" t="s">
        <v>2167</v>
      </c>
      <c r="G393" s="54" t="n">
        <v>3854000</v>
      </c>
    </row>
    <row r="394" customFormat="false" ht="15" hidden="false" customHeight="false" outlineLevel="0" collapsed="false">
      <c r="A394" s="50" t="s">
        <v>335</v>
      </c>
      <c r="B394" s="51" t="n">
        <v>45684</v>
      </c>
      <c r="C394" s="50" t="s">
        <v>216</v>
      </c>
      <c r="D394" s="50" t="s">
        <v>2180</v>
      </c>
      <c r="E394" s="50" t="n">
        <v>2</v>
      </c>
      <c r="F394" s="50" t="s">
        <v>2167</v>
      </c>
      <c r="G394" s="54" t="n">
        <v>904200</v>
      </c>
    </row>
    <row r="395" customFormat="false" ht="15" hidden="false" customHeight="false" outlineLevel="0" collapsed="false">
      <c r="A395" s="50" t="s">
        <v>335</v>
      </c>
      <c r="B395" s="51" t="n">
        <v>45684</v>
      </c>
      <c r="C395" s="50" t="s">
        <v>216</v>
      </c>
      <c r="D395" s="50" t="s">
        <v>2184</v>
      </c>
      <c r="E395" s="50" t="n">
        <v>1</v>
      </c>
      <c r="F395" s="50" t="s">
        <v>2167</v>
      </c>
      <c r="G395" s="54" t="n">
        <v>553300</v>
      </c>
    </row>
    <row r="396" customFormat="false" ht="15" hidden="false" customHeight="false" outlineLevel="0" collapsed="false">
      <c r="A396" s="50" t="s">
        <v>335</v>
      </c>
      <c r="B396" s="51" t="n">
        <v>45684</v>
      </c>
      <c r="C396" s="50" t="s">
        <v>216</v>
      </c>
      <c r="D396" s="50" t="s">
        <v>2168</v>
      </c>
      <c r="E396" s="50" t="n">
        <v>3</v>
      </c>
      <c r="F396" s="50" t="s">
        <v>2167</v>
      </c>
      <c r="G396" s="54" t="n">
        <v>1280400</v>
      </c>
    </row>
    <row r="397" customFormat="false" ht="15" hidden="false" customHeight="false" outlineLevel="0" collapsed="false">
      <c r="A397" s="50" t="s">
        <v>336</v>
      </c>
      <c r="B397" s="51" t="n">
        <v>45685</v>
      </c>
      <c r="C397" s="50" t="s">
        <v>247</v>
      </c>
      <c r="D397" s="50" t="s">
        <v>2186</v>
      </c>
      <c r="E397" s="50" t="n">
        <v>2</v>
      </c>
      <c r="F397" s="50" t="s">
        <v>2167</v>
      </c>
      <c r="G397" s="54" t="n">
        <v>1175100</v>
      </c>
    </row>
    <row r="398" customFormat="false" ht="15" hidden="false" customHeight="false" outlineLevel="0" collapsed="false">
      <c r="A398" s="50" t="s">
        <v>336</v>
      </c>
      <c r="B398" s="51" t="n">
        <v>45685</v>
      </c>
      <c r="C398" s="50" t="s">
        <v>247</v>
      </c>
      <c r="D398" s="50" t="s">
        <v>2169</v>
      </c>
      <c r="E398" s="50" t="n">
        <v>5</v>
      </c>
      <c r="F398" s="50" t="s">
        <v>2167</v>
      </c>
      <c r="G398" s="54" t="n">
        <v>3205700</v>
      </c>
    </row>
    <row r="399" customFormat="false" ht="15" hidden="false" customHeight="false" outlineLevel="0" collapsed="false">
      <c r="A399" s="50" t="s">
        <v>336</v>
      </c>
      <c r="B399" s="51" t="n">
        <v>45685</v>
      </c>
      <c r="C399" s="50" t="s">
        <v>247</v>
      </c>
      <c r="D399" s="50" t="s">
        <v>2177</v>
      </c>
      <c r="E399" s="50" t="n">
        <v>6</v>
      </c>
      <c r="F399" s="50" t="s">
        <v>2174</v>
      </c>
      <c r="G399" s="54" t="n">
        <v>6628700</v>
      </c>
    </row>
    <row r="400" customFormat="false" ht="15" hidden="false" customHeight="false" outlineLevel="0" collapsed="false">
      <c r="A400" s="50" t="s">
        <v>337</v>
      </c>
      <c r="B400" s="51" t="n">
        <v>45685</v>
      </c>
      <c r="C400" s="50" t="s">
        <v>239</v>
      </c>
      <c r="D400" s="50" t="s">
        <v>2177</v>
      </c>
      <c r="E400" s="50" t="n">
        <v>3</v>
      </c>
      <c r="F400" s="50" t="s">
        <v>2174</v>
      </c>
      <c r="G400" s="54" t="n">
        <v>3418700</v>
      </c>
    </row>
    <row r="401" customFormat="false" ht="15" hidden="false" customHeight="false" outlineLevel="0" collapsed="false">
      <c r="A401" s="50" t="s">
        <v>337</v>
      </c>
      <c r="B401" s="51" t="n">
        <v>45685</v>
      </c>
      <c r="C401" s="50" t="s">
        <v>239</v>
      </c>
      <c r="D401" s="50" t="s">
        <v>2181</v>
      </c>
      <c r="E401" s="50" t="n">
        <v>2</v>
      </c>
      <c r="F401" s="50" t="s">
        <v>2167</v>
      </c>
      <c r="G401" s="54" t="n">
        <v>2272000</v>
      </c>
    </row>
    <row r="402" customFormat="false" ht="15" hidden="false" customHeight="false" outlineLevel="0" collapsed="false">
      <c r="A402" s="50" t="s">
        <v>125</v>
      </c>
      <c r="B402" s="51" t="n">
        <v>45685</v>
      </c>
      <c r="C402" s="50" t="s">
        <v>209</v>
      </c>
      <c r="D402" s="50" t="s">
        <v>2168</v>
      </c>
      <c r="E402" s="50" t="n">
        <v>7</v>
      </c>
      <c r="F402" s="50" t="s">
        <v>2167</v>
      </c>
      <c r="G402" s="54" t="n">
        <v>2934900</v>
      </c>
    </row>
    <row r="403" customFormat="false" ht="15" hidden="false" customHeight="false" outlineLevel="0" collapsed="false">
      <c r="A403" s="50" t="s">
        <v>125</v>
      </c>
      <c r="B403" s="51" t="n">
        <v>45685</v>
      </c>
      <c r="C403" s="50" t="s">
        <v>209</v>
      </c>
      <c r="D403" s="50" t="s">
        <v>2181</v>
      </c>
      <c r="E403" s="50" t="n">
        <v>8</v>
      </c>
      <c r="F403" s="50" t="s">
        <v>2167</v>
      </c>
      <c r="G403" s="54" t="n">
        <v>8946000</v>
      </c>
    </row>
    <row r="404" customFormat="false" ht="15" hidden="false" customHeight="false" outlineLevel="0" collapsed="false">
      <c r="A404" s="50" t="s">
        <v>125</v>
      </c>
      <c r="B404" s="51" t="n">
        <v>45685</v>
      </c>
      <c r="C404" s="50" t="s">
        <v>209</v>
      </c>
      <c r="D404" s="50" t="s">
        <v>2176</v>
      </c>
      <c r="E404" s="50" t="n">
        <v>7</v>
      </c>
      <c r="F404" s="50" t="s">
        <v>2167</v>
      </c>
      <c r="G404" s="54" t="n">
        <v>3032500</v>
      </c>
    </row>
    <row r="405" customFormat="false" ht="15" hidden="false" customHeight="false" outlineLevel="0" collapsed="false">
      <c r="A405" s="50" t="s">
        <v>125</v>
      </c>
      <c r="B405" s="51" t="n">
        <v>45685</v>
      </c>
      <c r="C405" s="50" t="s">
        <v>209</v>
      </c>
      <c r="D405" s="50" t="s">
        <v>2179</v>
      </c>
      <c r="E405" s="50" t="n">
        <v>1</v>
      </c>
      <c r="F405" s="50" t="s">
        <v>2174</v>
      </c>
      <c r="G405" s="54" t="n">
        <v>1253400</v>
      </c>
    </row>
    <row r="406" customFormat="false" ht="15" hidden="false" customHeight="false" outlineLevel="0" collapsed="false">
      <c r="A406" s="50" t="s">
        <v>339</v>
      </c>
      <c r="B406" s="51" t="n">
        <v>45685</v>
      </c>
      <c r="C406" s="50" t="s">
        <v>188</v>
      </c>
      <c r="D406" s="50" t="s">
        <v>2181</v>
      </c>
      <c r="E406" s="50" t="n">
        <v>8</v>
      </c>
      <c r="F406" s="50" t="s">
        <v>2167</v>
      </c>
      <c r="G406" s="54" t="n">
        <v>9251700</v>
      </c>
    </row>
    <row r="407" customFormat="false" ht="15" hidden="false" customHeight="false" outlineLevel="0" collapsed="false">
      <c r="A407" s="50" t="s">
        <v>339</v>
      </c>
      <c r="B407" s="51" t="n">
        <v>45685</v>
      </c>
      <c r="C407" s="50" t="s">
        <v>188</v>
      </c>
      <c r="D407" s="50" t="s">
        <v>2176</v>
      </c>
      <c r="E407" s="50" t="n">
        <v>6</v>
      </c>
      <c r="F407" s="50" t="s">
        <v>2167</v>
      </c>
      <c r="G407" s="54" t="n">
        <v>2544700</v>
      </c>
    </row>
    <row r="408" customFormat="false" ht="15" hidden="false" customHeight="false" outlineLevel="0" collapsed="false">
      <c r="A408" s="50" t="s">
        <v>339</v>
      </c>
      <c r="B408" s="51" t="n">
        <v>45685</v>
      </c>
      <c r="C408" s="50" t="s">
        <v>188</v>
      </c>
      <c r="D408" s="50" t="s">
        <v>2170</v>
      </c>
      <c r="E408" s="50" t="n">
        <v>1</v>
      </c>
      <c r="F408" s="50" t="s">
        <v>2171</v>
      </c>
      <c r="G408" s="54" t="n">
        <v>7338100</v>
      </c>
    </row>
    <row r="409" customFormat="false" ht="15" hidden="false" customHeight="false" outlineLevel="0" collapsed="false">
      <c r="A409" s="50" t="s">
        <v>339</v>
      </c>
      <c r="B409" s="51" t="n">
        <v>45685</v>
      </c>
      <c r="C409" s="50" t="s">
        <v>188</v>
      </c>
      <c r="D409" s="50" t="s">
        <v>2185</v>
      </c>
      <c r="E409" s="50" t="n">
        <v>4</v>
      </c>
      <c r="F409" s="50" t="s">
        <v>2174</v>
      </c>
      <c r="G409" s="54" t="n">
        <v>3241500</v>
      </c>
    </row>
    <row r="410" customFormat="false" ht="15" hidden="false" customHeight="false" outlineLevel="0" collapsed="false">
      <c r="A410" s="50" t="s">
        <v>340</v>
      </c>
      <c r="B410" s="51" t="n">
        <v>45686</v>
      </c>
      <c r="C410" s="50" t="s">
        <v>216</v>
      </c>
      <c r="D410" s="50" t="s">
        <v>2169</v>
      </c>
      <c r="E410" s="50" t="n">
        <v>3</v>
      </c>
      <c r="F410" s="50" t="s">
        <v>2167</v>
      </c>
      <c r="G410" s="54" t="n">
        <v>1822700</v>
      </c>
    </row>
    <row r="411" customFormat="false" ht="15" hidden="false" customHeight="false" outlineLevel="0" collapsed="false">
      <c r="A411" s="50" t="s">
        <v>340</v>
      </c>
      <c r="B411" s="51" t="n">
        <v>45686</v>
      </c>
      <c r="C411" s="50" t="s">
        <v>216</v>
      </c>
      <c r="D411" s="50" t="s">
        <v>2173</v>
      </c>
      <c r="E411" s="50" t="n">
        <v>4</v>
      </c>
      <c r="F411" s="50" t="s">
        <v>2174</v>
      </c>
      <c r="G411" s="54" t="n">
        <v>3206000</v>
      </c>
    </row>
    <row r="412" customFormat="false" ht="15" hidden="false" customHeight="false" outlineLevel="0" collapsed="false">
      <c r="A412" s="50" t="s">
        <v>341</v>
      </c>
      <c r="B412" s="51" t="n">
        <v>45686</v>
      </c>
      <c r="C412" s="50" t="s">
        <v>216</v>
      </c>
      <c r="D412" s="50" t="s">
        <v>2176</v>
      </c>
      <c r="E412" s="50" t="n">
        <v>3</v>
      </c>
      <c r="F412" s="50" t="s">
        <v>2167</v>
      </c>
      <c r="G412" s="54" t="n">
        <v>1274600</v>
      </c>
    </row>
    <row r="413" customFormat="false" ht="15" hidden="false" customHeight="false" outlineLevel="0" collapsed="false">
      <c r="A413" s="50" t="s">
        <v>341</v>
      </c>
      <c r="B413" s="51" t="n">
        <v>45686</v>
      </c>
      <c r="C413" s="50" t="s">
        <v>216</v>
      </c>
      <c r="D413" s="50" t="s">
        <v>2178</v>
      </c>
      <c r="E413" s="50" t="n">
        <v>7</v>
      </c>
      <c r="F413" s="50" t="s">
        <v>2167</v>
      </c>
      <c r="G413" s="54" t="n">
        <v>3317600</v>
      </c>
    </row>
    <row r="414" customFormat="false" ht="15" hidden="false" customHeight="false" outlineLevel="0" collapsed="false">
      <c r="A414" s="50" t="s">
        <v>341</v>
      </c>
      <c r="B414" s="51" t="n">
        <v>45686</v>
      </c>
      <c r="C414" s="50" t="s">
        <v>216</v>
      </c>
      <c r="D414" s="50" t="s">
        <v>2179</v>
      </c>
      <c r="E414" s="50" t="n">
        <v>3</v>
      </c>
      <c r="F414" s="50" t="s">
        <v>2174</v>
      </c>
      <c r="G414" s="54" t="n">
        <v>3723800</v>
      </c>
    </row>
    <row r="415" customFormat="false" ht="15" hidden="false" customHeight="false" outlineLevel="0" collapsed="false">
      <c r="A415" s="50" t="s">
        <v>341</v>
      </c>
      <c r="B415" s="51" t="n">
        <v>45686</v>
      </c>
      <c r="C415" s="50" t="s">
        <v>216</v>
      </c>
      <c r="D415" s="50" t="s">
        <v>2186</v>
      </c>
      <c r="E415" s="50" t="n">
        <v>2</v>
      </c>
      <c r="F415" s="50" t="s">
        <v>2167</v>
      </c>
      <c r="G415" s="54" t="n">
        <v>1147400</v>
      </c>
    </row>
    <row r="416" customFormat="false" ht="15" hidden="false" customHeight="false" outlineLevel="0" collapsed="false">
      <c r="A416" s="50" t="s">
        <v>341</v>
      </c>
      <c r="B416" s="51" t="n">
        <v>45686</v>
      </c>
      <c r="C416" s="50" t="s">
        <v>216</v>
      </c>
      <c r="D416" s="50" t="s">
        <v>2170</v>
      </c>
      <c r="E416" s="50" t="n">
        <v>2</v>
      </c>
      <c r="F416" s="50" t="s">
        <v>2171</v>
      </c>
      <c r="G416" s="54" t="n">
        <v>15589400</v>
      </c>
    </row>
    <row r="417" customFormat="false" ht="15" hidden="false" customHeight="false" outlineLevel="0" collapsed="false">
      <c r="A417" s="50" t="s">
        <v>341</v>
      </c>
      <c r="B417" s="51" t="n">
        <v>45686</v>
      </c>
      <c r="C417" s="50" t="s">
        <v>216</v>
      </c>
      <c r="D417" s="50" t="s">
        <v>2184</v>
      </c>
      <c r="E417" s="50" t="n">
        <v>2</v>
      </c>
      <c r="F417" s="50" t="s">
        <v>2167</v>
      </c>
      <c r="G417" s="54" t="n">
        <v>1080400</v>
      </c>
    </row>
    <row r="418" customFormat="false" ht="15" hidden="false" customHeight="false" outlineLevel="0" collapsed="false">
      <c r="A418" s="50" t="s">
        <v>342</v>
      </c>
      <c r="B418" s="51" t="n">
        <v>45686</v>
      </c>
      <c r="C418" s="50" t="s">
        <v>298</v>
      </c>
      <c r="D418" s="50" t="s">
        <v>2181</v>
      </c>
      <c r="E418" s="50" t="n">
        <v>1</v>
      </c>
      <c r="F418" s="50" t="s">
        <v>2167</v>
      </c>
      <c r="G418" s="54" t="n">
        <v>1184900</v>
      </c>
    </row>
    <row r="419" customFormat="false" ht="15" hidden="false" customHeight="false" outlineLevel="0" collapsed="false">
      <c r="A419" s="50" t="s">
        <v>342</v>
      </c>
      <c r="B419" s="51" t="n">
        <v>45686</v>
      </c>
      <c r="C419" s="50" t="s">
        <v>298</v>
      </c>
      <c r="D419" s="50" t="s">
        <v>2186</v>
      </c>
      <c r="E419" s="50" t="n">
        <v>4</v>
      </c>
      <c r="F419" s="50" t="s">
        <v>2167</v>
      </c>
      <c r="G419" s="54" t="n">
        <v>2386000</v>
      </c>
    </row>
    <row r="420" customFormat="false" ht="15" hidden="false" customHeight="false" outlineLevel="0" collapsed="false">
      <c r="A420" s="50" t="s">
        <v>343</v>
      </c>
      <c r="B420" s="51" t="n">
        <v>45686</v>
      </c>
      <c r="C420" s="50" t="s">
        <v>166</v>
      </c>
      <c r="D420" s="50" t="s">
        <v>2177</v>
      </c>
      <c r="E420" s="50" t="n">
        <v>4</v>
      </c>
      <c r="F420" s="50" t="s">
        <v>2174</v>
      </c>
      <c r="G420" s="54" t="n">
        <v>4478500</v>
      </c>
    </row>
    <row r="421" customFormat="false" ht="15" hidden="false" customHeight="false" outlineLevel="0" collapsed="false">
      <c r="A421" s="50" t="s">
        <v>343</v>
      </c>
      <c r="B421" s="51" t="n">
        <v>45686</v>
      </c>
      <c r="C421" s="50" t="s">
        <v>166</v>
      </c>
      <c r="D421" s="50" t="s">
        <v>2176</v>
      </c>
      <c r="E421" s="50" t="n">
        <v>8</v>
      </c>
      <c r="F421" s="50" t="s">
        <v>2167</v>
      </c>
      <c r="G421" s="54" t="n">
        <v>3248200</v>
      </c>
    </row>
    <row r="422" customFormat="false" ht="15" hidden="false" customHeight="false" outlineLevel="0" collapsed="false">
      <c r="A422" s="50" t="s">
        <v>343</v>
      </c>
      <c r="B422" s="51" t="n">
        <v>45686</v>
      </c>
      <c r="C422" s="50" t="s">
        <v>166</v>
      </c>
      <c r="D422" s="50" t="s">
        <v>2182</v>
      </c>
      <c r="E422" s="50" t="n">
        <v>5</v>
      </c>
      <c r="F422" s="50" t="s">
        <v>2174</v>
      </c>
      <c r="G422" s="54" t="n">
        <v>4664300</v>
      </c>
    </row>
    <row r="423" customFormat="false" ht="15" hidden="false" customHeight="false" outlineLevel="0" collapsed="false">
      <c r="A423" s="50" t="s">
        <v>344</v>
      </c>
      <c r="B423" s="51" t="n">
        <v>45686</v>
      </c>
      <c r="C423" s="50" t="s">
        <v>174</v>
      </c>
      <c r="D423" s="50" t="s">
        <v>2173</v>
      </c>
      <c r="E423" s="50" t="n">
        <v>3</v>
      </c>
      <c r="F423" s="50" t="s">
        <v>2174</v>
      </c>
      <c r="G423" s="54" t="n">
        <v>2399600</v>
      </c>
    </row>
    <row r="424" customFormat="false" ht="15" hidden="false" customHeight="false" outlineLevel="0" collapsed="false">
      <c r="A424" s="50" t="s">
        <v>344</v>
      </c>
      <c r="B424" s="51" t="n">
        <v>45686</v>
      </c>
      <c r="C424" s="50" t="s">
        <v>174</v>
      </c>
      <c r="D424" s="50" t="s">
        <v>2172</v>
      </c>
      <c r="E424" s="50" t="n">
        <v>4</v>
      </c>
      <c r="F424" s="50" t="s">
        <v>2167</v>
      </c>
      <c r="G424" s="54" t="n">
        <v>2037700</v>
      </c>
    </row>
    <row r="425" customFormat="false" ht="15" hidden="false" customHeight="false" outlineLevel="0" collapsed="false">
      <c r="A425" s="50" t="s">
        <v>344</v>
      </c>
      <c r="B425" s="51" t="n">
        <v>45686</v>
      </c>
      <c r="C425" s="50" t="s">
        <v>174</v>
      </c>
      <c r="D425" s="50" t="s">
        <v>2176</v>
      </c>
      <c r="E425" s="50" t="n">
        <v>8</v>
      </c>
      <c r="F425" s="50" t="s">
        <v>2167</v>
      </c>
      <c r="G425" s="54" t="n">
        <v>3234900</v>
      </c>
    </row>
    <row r="426" customFormat="false" ht="15" hidden="false" customHeight="false" outlineLevel="0" collapsed="false">
      <c r="A426" s="50" t="s">
        <v>345</v>
      </c>
      <c r="B426" s="51" t="n">
        <v>45686</v>
      </c>
      <c r="C426" s="50" t="s">
        <v>199</v>
      </c>
      <c r="D426" s="50" t="s">
        <v>2177</v>
      </c>
      <c r="E426" s="50" t="n">
        <v>3</v>
      </c>
      <c r="F426" s="50" t="s">
        <v>2174</v>
      </c>
      <c r="G426" s="54" t="n">
        <v>3367000</v>
      </c>
    </row>
    <row r="427" customFormat="false" ht="15" hidden="false" customHeight="false" outlineLevel="0" collapsed="false">
      <c r="A427" s="50" t="s">
        <v>345</v>
      </c>
      <c r="B427" s="51" t="n">
        <v>45686</v>
      </c>
      <c r="C427" s="50" t="s">
        <v>199</v>
      </c>
      <c r="D427" s="50" t="s">
        <v>2169</v>
      </c>
      <c r="E427" s="50" t="n">
        <v>8</v>
      </c>
      <c r="F427" s="50" t="s">
        <v>2167</v>
      </c>
      <c r="G427" s="54" t="n">
        <v>4941800</v>
      </c>
    </row>
    <row r="428" customFormat="false" ht="15" hidden="false" customHeight="false" outlineLevel="0" collapsed="false">
      <c r="A428" s="50" t="s">
        <v>345</v>
      </c>
      <c r="B428" s="51" t="n">
        <v>45686</v>
      </c>
      <c r="C428" s="50" t="s">
        <v>199</v>
      </c>
      <c r="D428" s="50" t="s">
        <v>2166</v>
      </c>
      <c r="E428" s="50" t="n">
        <v>2</v>
      </c>
      <c r="F428" s="50" t="s">
        <v>2167</v>
      </c>
      <c r="G428" s="54" t="n">
        <v>1116700</v>
      </c>
    </row>
    <row r="429" customFormat="false" ht="15" hidden="false" customHeight="false" outlineLevel="0" collapsed="false">
      <c r="A429" s="50" t="s">
        <v>346</v>
      </c>
      <c r="B429" s="51" t="n">
        <v>45686</v>
      </c>
      <c r="C429" s="50" t="s">
        <v>228</v>
      </c>
      <c r="D429" s="50" t="s">
        <v>2184</v>
      </c>
      <c r="E429" s="50" t="n">
        <v>1</v>
      </c>
      <c r="F429" s="50" t="s">
        <v>2167</v>
      </c>
      <c r="G429" s="54" t="n">
        <v>539700</v>
      </c>
    </row>
    <row r="430" customFormat="false" ht="15" hidden="false" customHeight="false" outlineLevel="0" collapsed="false">
      <c r="A430" s="50" t="s">
        <v>346</v>
      </c>
      <c r="B430" s="51" t="n">
        <v>45686</v>
      </c>
      <c r="C430" s="50" t="s">
        <v>228</v>
      </c>
      <c r="D430" s="50" t="s">
        <v>2181</v>
      </c>
      <c r="E430" s="50" t="n">
        <v>7</v>
      </c>
      <c r="F430" s="50" t="s">
        <v>2167</v>
      </c>
      <c r="G430" s="54" t="n">
        <v>8247800</v>
      </c>
    </row>
    <row r="431" customFormat="false" ht="15" hidden="false" customHeight="false" outlineLevel="0" collapsed="false">
      <c r="A431" s="50" t="s">
        <v>346</v>
      </c>
      <c r="B431" s="51" t="n">
        <v>45686</v>
      </c>
      <c r="C431" s="50" t="s">
        <v>228</v>
      </c>
      <c r="D431" s="50" t="s">
        <v>2180</v>
      </c>
      <c r="E431" s="50" t="n">
        <v>3</v>
      </c>
      <c r="F431" s="50" t="s">
        <v>2167</v>
      </c>
      <c r="G431" s="54" t="n">
        <v>1385800</v>
      </c>
    </row>
    <row r="432" customFormat="false" ht="15" hidden="false" customHeight="false" outlineLevel="0" collapsed="false">
      <c r="A432" s="50" t="s">
        <v>346</v>
      </c>
      <c r="B432" s="51" t="n">
        <v>45686</v>
      </c>
      <c r="C432" s="50" t="s">
        <v>228</v>
      </c>
      <c r="D432" s="50" t="s">
        <v>2185</v>
      </c>
      <c r="E432" s="50" t="n">
        <v>3</v>
      </c>
      <c r="F432" s="50" t="s">
        <v>2174</v>
      </c>
      <c r="G432" s="54" t="n">
        <v>2396200</v>
      </c>
    </row>
    <row r="433" customFormat="false" ht="15" hidden="false" customHeight="false" outlineLevel="0" collapsed="false">
      <c r="A433" s="50" t="s">
        <v>346</v>
      </c>
      <c r="B433" s="51" t="n">
        <v>45686</v>
      </c>
      <c r="C433" s="50" t="s">
        <v>228</v>
      </c>
      <c r="D433" s="50" t="s">
        <v>2173</v>
      </c>
      <c r="E433" s="50" t="n">
        <v>3</v>
      </c>
      <c r="F433" s="50" t="s">
        <v>2174</v>
      </c>
      <c r="G433" s="54" t="n">
        <v>2442500</v>
      </c>
    </row>
    <row r="434" customFormat="false" ht="15" hidden="false" customHeight="false" outlineLevel="0" collapsed="false">
      <c r="A434" s="50" t="s">
        <v>347</v>
      </c>
      <c r="B434" s="51" t="n">
        <v>45686</v>
      </c>
      <c r="C434" s="50" t="s">
        <v>166</v>
      </c>
      <c r="D434" s="50" t="s">
        <v>2180</v>
      </c>
      <c r="E434" s="50" t="n">
        <v>1</v>
      </c>
      <c r="F434" s="50" t="s">
        <v>2167</v>
      </c>
      <c r="G434" s="54" t="n">
        <v>464900</v>
      </c>
    </row>
    <row r="435" customFormat="false" ht="15" hidden="false" customHeight="false" outlineLevel="0" collapsed="false">
      <c r="A435" s="50" t="s">
        <v>347</v>
      </c>
      <c r="B435" s="51" t="n">
        <v>45686</v>
      </c>
      <c r="C435" s="50" t="s">
        <v>166</v>
      </c>
      <c r="D435" s="50" t="s">
        <v>2179</v>
      </c>
      <c r="E435" s="50" t="n">
        <v>7</v>
      </c>
      <c r="F435" s="50" t="s">
        <v>2174</v>
      </c>
      <c r="G435" s="54" t="n">
        <v>9023600</v>
      </c>
    </row>
    <row r="436" customFormat="false" ht="15" hidden="false" customHeight="false" outlineLevel="0" collapsed="false">
      <c r="A436" s="50" t="s">
        <v>348</v>
      </c>
      <c r="B436" s="51" t="n">
        <v>45687</v>
      </c>
      <c r="C436" s="50" t="s">
        <v>349</v>
      </c>
      <c r="D436" s="50" t="s">
        <v>2181</v>
      </c>
      <c r="E436" s="50" t="n">
        <v>2</v>
      </c>
      <c r="F436" s="50" t="s">
        <v>2167</v>
      </c>
      <c r="G436" s="54" t="n">
        <v>2261700</v>
      </c>
    </row>
    <row r="437" customFormat="false" ht="15" hidden="false" customHeight="false" outlineLevel="0" collapsed="false">
      <c r="A437" s="50" t="s">
        <v>348</v>
      </c>
      <c r="B437" s="51" t="n">
        <v>45687</v>
      </c>
      <c r="C437" s="50" t="s">
        <v>349</v>
      </c>
      <c r="D437" s="50" t="s">
        <v>2170</v>
      </c>
      <c r="E437" s="50" t="n">
        <v>1</v>
      </c>
      <c r="F437" s="50" t="s">
        <v>2171</v>
      </c>
      <c r="G437" s="54" t="n">
        <v>7623500</v>
      </c>
    </row>
    <row r="438" customFormat="false" ht="15" hidden="false" customHeight="false" outlineLevel="0" collapsed="false">
      <c r="A438" s="50" t="s">
        <v>350</v>
      </c>
      <c r="B438" s="51" t="n">
        <v>45687</v>
      </c>
      <c r="C438" s="50" t="s">
        <v>228</v>
      </c>
      <c r="D438" s="50" t="s">
        <v>2169</v>
      </c>
      <c r="E438" s="50" t="n">
        <v>2</v>
      </c>
      <c r="F438" s="50" t="s">
        <v>2167</v>
      </c>
      <c r="G438" s="54" t="n">
        <v>1222800</v>
      </c>
    </row>
    <row r="439" customFormat="false" ht="15" hidden="false" customHeight="false" outlineLevel="0" collapsed="false">
      <c r="A439" s="50" t="s">
        <v>350</v>
      </c>
      <c r="B439" s="51" t="n">
        <v>45687</v>
      </c>
      <c r="C439" s="50" t="s">
        <v>228</v>
      </c>
      <c r="D439" s="50" t="s">
        <v>2184</v>
      </c>
      <c r="E439" s="50" t="n">
        <v>6</v>
      </c>
      <c r="F439" s="50" t="s">
        <v>2167</v>
      </c>
      <c r="G439" s="54" t="n">
        <v>3390700</v>
      </c>
    </row>
    <row r="440" customFormat="false" ht="15" hidden="false" customHeight="false" outlineLevel="0" collapsed="false">
      <c r="A440" s="50" t="s">
        <v>350</v>
      </c>
      <c r="B440" s="51" t="n">
        <v>45687</v>
      </c>
      <c r="C440" s="50" t="s">
        <v>228</v>
      </c>
      <c r="D440" s="50" t="s">
        <v>2180</v>
      </c>
      <c r="E440" s="50" t="n">
        <v>3</v>
      </c>
      <c r="F440" s="50" t="s">
        <v>2167</v>
      </c>
      <c r="G440" s="54" t="n">
        <v>1336400</v>
      </c>
    </row>
    <row r="441" customFormat="false" ht="15" hidden="false" customHeight="false" outlineLevel="0" collapsed="false">
      <c r="A441" s="50" t="s">
        <v>350</v>
      </c>
      <c r="B441" s="51" t="n">
        <v>45687</v>
      </c>
      <c r="C441" s="50" t="s">
        <v>228</v>
      </c>
      <c r="D441" s="50" t="s">
        <v>2181</v>
      </c>
      <c r="E441" s="50" t="n">
        <v>3</v>
      </c>
      <c r="F441" s="50" t="s">
        <v>2167</v>
      </c>
      <c r="G441" s="54" t="n">
        <v>3582200</v>
      </c>
    </row>
    <row r="442" customFormat="false" ht="15" hidden="false" customHeight="false" outlineLevel="0" collapsed="false">
      <c r="A442" s="50" t="s">
        <v>350</v>
      </c>
      <c r="B442" s="51" t="n">
        <v>45687</v>
      </c>
      <c r="C442" s="50" t="s">
        <v>228</v>
      </c>
      <c r="D442" s="50" t="s">
        <v>2187</v>
      </c>
      <c r="E442" s="50" t="n">
        <v>2</v>
      </c>
      <c r="F442" s="50" t="s">
        <v>2167</v>
      </c>
      <c r="G442" s="54" t="n">
        <v>696200</v>
      </c>
    </row>
    <row r="443" customFormat="false" ht="15" hidden="false" customHeight="false" outlineLevel="0" collapsed="false">
      <c r="A443" s="50" t="s">
        <v>350</v>
      </c>
      <c r="B443" s="51" t="n">
        <v>45687</v>
      </c>
      <c r="C443" s="50" t="s">
        <v>228</v>
      </c>
      <c r="D443" s="50" t="s">
        <v>2179</v>
      </c>
      <c r="E443" s="50" t="n">
        <v>7</v>
      </c>
      <c r="F443" s="50" t="s">
        <v>2174</v>
      </c>
      <c r="G443" s="54" t="n">
        <v>8791700</v>
      </c>
    </row>
    <row r="444" customFormat="false" ht="15" hidden="false" customHeight="false" outlineLevel="0" collapsed="false">
      <c r="A444" s="50" t="s">
        <v>351</v>
      </c>
      <c r="B444" s="51" t="n">
        <v>45687</v>
      </c>
      <c r="C444" s="50" t="s">
        <v>199</v>
      </c>
      <c r="D444" s="50" t="s">
        <v>2184</v>
      </c>
      <c r="E444" s="50" t="n">
        <v>8</v>
      </c>
      <c r="F444" s="50" t="s">
        <v>2167</v>
      </c>
      <c r="G444" s="54" t="n">
        <v>4360400</v>
      </c>
    </row>
    <row r="445" customFormat="false" ht="15" hidden="false" customHeight="false" outlineLevel="0" collapsed="false">
      <c r="A445" s="50" t="s">
        <v>351</v>
      </c>
      <c r="B445" s="51" t="n">
        <v>45687</v>
      </c>
      <c r="C445" s="50" t="s">
        <v>199</v>
      </c>
      <c r="D445" s="50" t="s">
        <v>2181</v>
      </c>
      <c r="E445" s="50" t="n">
        <v>3</v>
      </c>
      <c r="F445" s="50" t="s">
        <v>2167</v>
      </c>
      <c r="G445" s="54" t="n">
        <v>3571200</v>
      </c>
    </row>
    <row r="446" customFormat="false" ht="15" hidden="false" customHeight="false" outlineLevel="0" collapsed="false">
      <c r="A446" s="50" t="s">
        <v>351</v>
      </c>
      <c r="B446" s="51" t="n">
        <v>45687</v>
      </c>
      <c r="C446" s="50" t="s">
        <v>199</v>
      </c>
      <c r="D446" s="50" t="s">
        <v>2169</v>
      </c>
      <c r="E446" s="50" t="n">
        <v>5</v>
      </c>
      <c r="F446" s="50" t="s">
        <v>2167</v>
      </c>
      <c r="G446" s="54" t="n">
        <v>3223600</v>
      </c>
    </row>
    <row r="447" customFormat="false" ht="15" hidden="false" customHeight="false" outlineLevel="0" collapsed="false">
      <c r="A447" s="50" t="s">
        <v>351</v>
      </c>
      <c r="B447" s="51" t="n">
        <v>45687</v>
      </c>
      <c r="C447" s="50" t="s">
        <v>199</v>
      </c>
      <c r="D447" s="50" t="s">
        <v>2180</v>
      </c>
      <c r="E447" s="50" t="n">
        <v>1</v>
      </c>
      <c r="F447" s="50" t="s">
        <v>2167</v>
      </c>
      <c r="G447" s="54" t="n">
        <v>435700</v>
      </c>
    </row>
    <row r="448" customFormat="false" ht="15" hidden="false" customHeight="false" outlineLevel="0" collapsed="false">
      <c r="A448" s="50" t="s">
        <v>351</v>
      </c>
      <c r="B448" s="51" t="n">
        <v>45687</v>
      </c>
      <c r="C448" s="50" t="s">
        <v>199</v>
      </c>
      <c r="D448" s="50" t="s">
        <v>2177</v>
      </c>
      <c r="E448" s="50" t="n">
        <v>2</v>
      </c>
      <c r="F448" s="50" t="s">
        <v>2174</v>
      </c>
      <c r="G448" s="54" t="n">
        <v>2197500</v>
      </c>
    </row>
    <row r="449" customFormat="false" ht="15" hidden="false" customHeight="false" outlineLevel="0" collapsed="false">
      <c r="A449" s="50" t="s">
        <v>352</v>
      </c>
      <c r="B449" s="51" t="n">
        <v>45687</v>
      </c>
      <c r="C449" s="50" t="s">
        <v>188</v>
      </c>
      <c r="D449" s="50" t="s">
        <v>2176</v>
      </c>
      <c r="E449" s="50" t="n">
        <v>4</v>
      </c>
      <c r="F449" s="50" t="s">
        <v>2167</v>
      </c>
      <c r="G449" s="54" t="n">
        <v>1669200</v>
      </c>
    </row>
    <row r="450" customFormat="false" ht="15" hidden="false" customHeight="false" outlineLevel="0" collapsed="false">
      <c r="A450" s="50" t="s">
        <v>352</v>
      </c>
      <c r="B450" s="51" t="n">
        <v>45687</v>
      </c>
      <c r="C450" s="50" t="s">
        <v>188</v>
      </c>
      <c r="D450" s="50" t="s">
        <v>2169</v>
      </c>
      <c r="E450" s="50" t="n">
        <v>3</v>
      </c>
      <c r="F450" s="50" t="s">
        <v>2167</v>
      </c>
      <c r="G450" s="54" t="n">
        <v>1817900</v>
      </c>
    </row>
    <row r="451" customFormat="false" ht="15" hidden="false" customHeight="false" outlineLevel="0" collapsed="false">
      <c r="A451" s="50" t="s">
        <v>352</v>
      </c>
      <c r="B451" s="51" t="n">
        <v>45687</v>
      </c>
      <c r="C451" s="50" t="s">
        <v>188</v>
      </c>
      <c r="D451" s="50" t="s">
        <v>2186</v>
      </c>
      <c r="E451" s="50" t="n">
        <v>5</v>
      </c>
      <c r="F451" s="50" t="s">
        <v>2167</v>
      </c>
      <c r="G451" s="54" t="n">
        <v>2921700</v>
      </c>
    </row>
    <row r="452" customFormat="false" ht="15" hidden="false" customHeight="false" outlineLevel="0" collapsed="false">
      <c r="A452" s="50" t="s">
        <v>353</v>
      </c>
      <c r="B452" s="51" t="n">
        <v>45687</v>
      </c>
      <c r="C452" s="50" t="s">
        <v>354</v>
      </c>
      <c r="D452" s="50" t="s">
        <v>2180</v>
      </c>
      <c r="E452" s="50" t="n">
        <v>8</v>
      </c>
      <c r="F452" s="50" t="s">
        <v>2167</v>
      </c>
      <c r="G452" s="54" t="n">
        <v>3625900</v>
      </c>
    </row>
    <row r="453" customFormat="false" ht="15" hidden="false" customHeight="false" outlineLevel="0" collapsed="false">
      <c r="A453" s="50" t="s">
        <v>353</v>
      </c>
      <c r="B453" s="51" t="n">
        <v>45687</v>
      </c>
      <c r="C453" s="50" t="s">
        <v>354</v>
      </c>
      <c r="D453" s="50" t="s">
        <v>2188</v>
      </c>
      <c r="E453" s="50" t="n">
        <v>2</v>
      </c>
      <c r="F453" s="50" t="s">
        <v>2167</v>
      </c>
      <c r="G453" s="54" t="n">
        <v>1988000</v>
      </c>
    </row>
    <row r="454" customFormat="false" ht="15" hidden="false" customHeight="false" outlineLevel="0" collapsed="false">
      <c r="A454" s="50" t="s">
        <v>355</v>
      </c>
      <c r="B454" s="51" t="n">
        <v>45687</v>
      </c>
      <c r="C454" s="50" t="s">
        <v>223</v>
      </c>
      <c r="D454" s="50" t="s">
        <v>2186</v>
      </c>
      <c r="E454" s="50" t="n">
        <v>1</v>
      </c>
      <c r="F454" s="50" t="s">
        <v>2167</v>
      </c>
      <c r="G454" s="54" t="n">
        <v>588700</v>
      </c>
    </row>
    <row r="455" customFormat="false" ht="15" hidden="false" customHeight="false" outlineLevel="0" collapsed="false">
      <c r="A455" s="50" t="s">
        <v>355</v>
      </c>
      <c r="B455" s="51" t="n">
        <v>45687</v>
      </c>
      <c r="C455" s="50" t="s">
        <v>223</v>
      </c>
      <c r="D455" s="50" t="s">
        <v>2169</v>
      </c>
      <c r="E455" s="50" t="n">
        <v>8</v>
      </c>
      <c r="F455" s="50" t="s">
        <v>2167</v>
      </c>
      <c r="G455" s="54" t="n">
        <v>5035000</v>
      </c>
    </row>
    <row r="456" customFormat="false" ht="15" hidden="false" customHeight="false" outlineLevel="0" collapsed="false">
      <c r="A456" s="50" t="s">
        <v>355</v>
      </c>
      <c r="B456" s="51" t="n">
        <v>45687</v>
      </c>
      <c r="C456" s="50" t="s">
        <v>223</v>
      </c>
      <c r="D456" s="50" t="s">
        <v>2182</v>
      </c>
      <c r="E456" s="50" t="n">
        <v>4</v>
      </c>
      <c r="F456" s="50" t="s">
        <v>2174</v>
      </c>
      <c r="G456" s="54" t="n">
        <v>3857000</v>
      </c>
    </row>
    <row r="457" customFormat="false" ht="15" hidden="false" customHeight="false" outlineLevel="0" collapsed="false">
      <c r="A457" s="50" t="s">
        <v>356</v>
      </c>
      <c r="B457" s="51" t="n">
        <v>45687</v>
      </c>
      <c r="C457" s="50" t="s">
        <v>216</v>
      </c>
      <c r="D457" s="50" t="s">
        <v>2173</v>
      </c>
      <c r="E457" s="50" t="n">
        <v>1</v>
      </c>
      <c r="F457" s="50" t="s">
        <v>2174</v>
      </c>
      <c r="G457" s="54" t="n">
        <v>790700</v>
      </c>
    </row>
    <row r="458" customFormat="false" ht="15" hidden="false" customHeight="false" outlineLevel="0" collapsed="false">
      <c r="A458" s="50" t="s">
        <v>356</v>
      </c>
      <c r="B458" s="51" t="n">
        <v>45687</v>
      </c>
      <c r="C458" s="50" t="s">
        <v>216</v>
      </c>
      <c r="D458" s="50" t="s">
        <v>2178</v>
      </c>
      <c r="E458" s="50" t="n">
        <v>6</v>
      </c>
      <c r="F458" s="50" t="s">
        <v>2167</v>
      </c>
      <c r="G458" s="54" t="n">
        <v>2937500</v>
      </c>
    </row>
    <row r="459" customFormat="false" ht="15" hidden="false" customHeight="false" outlineLevel="0" collapsed="false">
      <c r="A459" s="50" t="s">
        <v>356</v>
      </c>
      <c r="B459" s="51" t="n">
        <v>45687</v>
      </c>
      <c r="C459" s="50" t="s">
        <v>216</v>
      </c>
      <c r="D459" s="50" t="s">
        <v>2176</v>
      </c>
      <c r="E459" s="50" t="n">
        <v>2</v>
      </c>
      <c r="F459" s="50" t="s">
        <v>2167</v>
      </c>
      <c r="G459" s="54" t="n">
        <v>850700</v>
      </c>
    </row>
    <row r="460" customFormat="false" ht="15" hidden="false" customHeight="false" outlineLevel="0" collapsed="false">
      <c r="A460" s="50" t="s">
        <v>356</v>
      </c>
      <c r="B460" s="51" t="n">
        <v>45687</v>
      </c>
      <c r="C460" s="50" t="s">
        <v>216</v>
      </c>
      <c r="D460" s="50" t="s">
        <v>2188</v>
      </c>
      <c r="E460" s="50" t="n">
        <v>8</v>
      </c>
      <c r="F460" s="50" t="s">
        <v>2167</v>
      </c>
      <c r="G460" s="54" t="n">
        <v>7888900</v>
      </c>
    </row>
    <row r="461" customFormat="false" ht="15" hidden="false" customHeight="false" outlineLevel="0" collapsed="false">
      <c r="A461" s="50" t="s">
        <v>357</v>
      </c>
      <c r="B461" s="51" t="n">
        <v>45687</v>
      </c>
      <c r="C461" s="50" t="s">
        <v>358</v>
      </c>
      <c r="D461" s="50" t="s">
        <v>2180</v>
      </c>
      <c r="E461" s="50" t="n">
        <v>1</v>
      </c>
      <c r="F461" s="50" t="s">
        <v>2167</v>
      </c>
      <c r="G461" s="54" t="n">
        <v>461300</v>
      </c>
    </row>
    <row r="462" customFormat="false" ht="15" hidden="false" customHeight="false" outlineLevel="0" collapsed="false">
      <c r="A462" s="50" t="s">
        <v>357</v>
      </c>
      <c r="B462" s="51" t="n">
        <v>45687</v>
      </c>
      <c r="C462" s="50" t="s">
        <v>358</v>
      </c>
      <c r="D462" s="50" t="s">
        <v>2188</v>
      </c>
      <c r="E462" s="50" t="n">
        <v>6</v>
      </c>
      <c r="F462" s="50" t="s">
        <v>2167</v>
      </c>
      <c r="G462" s="54" t="n">
        <v>5838200</v>
      </c>
    </row>
    <row r="463" customFormat="false" ht="15" hidden="false" customHeight="false" outlineLevel="0" collapsed="false">
      <c r="A463" s="50" t="s">
        <v>357</v>
      </c>
      <c r="B463" s="51" t="n">
        <v>45687</v>
      </c>
      <c r="C463" s="50" t="s">
        <v>358</v>
      </c>
      <c r="D463" s="50" t="s">
        <v>2172</v>
      </c>
      <c r="E463" s="50" t="n">
        <v>8</v>
      </c>
      <c r="F463" s="50" t="s">
        <v>2167</v>
      </c>
      <c r="G463" s="54" t="n">
        <v>4099300</v>
      </c>
    </row>
    <row r="464" customFormat="false" ht="15" hidden="false" customHeight="false" outlineLevel="0" collapsed="false">
      <c r="A464" s="50" t="s">
        <v>357</v>
      </c>
      <c r="B464" s="51" t="n">
        <v>45687</v>
      </c>
      <c r="C464" s="50" t="s">
        <v>358</v>
      </c>
      <c r="D464" s="50" t="s">
        <v>2178</v>
      </c>
      <c r="E464" s="50" t="n">
        <v>2</v>
      </c>
      <c r="F464" s="50" t="s">
        <v>2167</v>
      </c>
      <c r="G464" s="54" t="n">
        <v>982100</v>
      </c>
    </row>
    <row r="465" customFormat="false" ht="15" hidden="false" customHeight="false" outlineLevel="0" collapsed="false">
      <c r="A465" s="50" t="s">
        <v>359</v>
      </c>
      <c r="B465" s="51" t="n">
        <v>45687</v>
      </c>
      <c r="C465" s="50" t="s">
        <v>216</v>
      </c>
      <c r="D465" s="50" t="s">
        <v>2187</v>
      </c>
      <c r="E465" s="50" t="n">
        <v>2</v>
      </c>
      <c r="F465" s="50" t="s">
        <v>2167</v>
      </c>
      <c r="G465" s="54" t="n">
        <v>691700</v>
      </c>
    </row>
    <row r="466" customFormat="false" ht="15" hidden="false" customHeight="false" outlineLevel="0" collapsed="false">
      <c r="A466" s="50" t="s">
        <v>359</v>
      </c>
      <c r="B466" s="51" t="n">
        <v>45687</v>
      </c>
      <c r="C466" s="50" t="s">
        <v>216</v>
      </c>
      <c r="D466" s="50" t="s">
        <v>2182</v>
      </c>
      <c r="E466" s="50" t="n">
        <v>4</v>
      </c>
      <c r="F466" s="50" t="s">
        <v>2174</v>
      </c>
      <c r="G466" s="54" t="n">
        <v>3855200</v>
      </c>
    </row>
    <row r="467" customFormat="false" ht="15" hidden="false" customHeight="false" outlineLevel="0" collapsed="false">
      <c r="A467" s="50" t="s">
        <v>360</v>
      </c>
      <c r="B467" s="51" t="n">
        <v>45687</v>
      </c>
      <c r="C467" s="50" t="s">
        <v>205</v>
      </c>
      <c r="D467" s="50" t="s">
        <v>2180</v>
      </c>
      <c r="E467" s="50" t="n">
        <v>2</v>
      </c>
      <c r="F467" s="50" t="s">
        <v>2167</v>
      </c>
      <c r="G467" s="54" t="n">
        <v>927000</v>
      </c>
    </row>
    <row r="468" customFormat="false" ht="15" hidden="false" customHeight="false" outlineLevel="0" collapsed="false">
      <c r="A468" s="50" t="s">
        <v>360</v>
      </c>
      <c r="B468" s="51" t="n">
        <v>45687</v>
      </c>
      <c r="C468" s="50" t="s">
        <v>205</v>
      </c>
      <c r="D468" s="50" t="s">
        <v>2169</v>
      </c>
      <c r="E468" s="50" t="n">
        <v>3</v>
      </c>
      <c r="F468" s="50" t="s">
        <v>2167</v>
      </c>
      <c r="G468" s="54" t="n">
        <v>1902800</v>
      </c>
    </row>
    <row r="469" customFormat="false" ht="15" hidden="false" customHeight="false" outlineLevel="0" collapsed="false">
      <c r="A469" s="50" t="s">
        <v>360</v>
      </c>
      <c r="B469" s="51" t="n">
        <v>45687</v>
      </c>
      <c r="C469" s="50" t="s">
        <v>205</v>
      </c>
      <c r="D469" s="50" t="s">
        <v>2166</v>
      </c>
      <c r="E469" s="50" t="n">
        <v>2</v>
      </c>
      <c r="F469" s="50" t="s">
        <v>2167</v>
      </c>
      <c r="G469" s="54" t="n">
        <v>1047900</v>
      </c>
    </row>
    <row r="470" customFormat="false" ht="15" hidden="false" customHeight="false" outlineLevel="0" collapsed="false">
      <c r="A470" s="50" t="s">
        <v>360</v>
      </c>
      <c r="B470" s="51" t="n">
        <v>45687</v>
      </c>
      <c r="C470" s="50" t="s">
        <v>205</v>
      </c>
      <c r="D470" s="50" t="s">
        <v>2187</v>
      </c>
      <c r="E470" s="50" t="n">
        <v>1</v>
      </c>
      <c r="F470" s="50" t="s">
        <v>2167</v>
      </c>
      <c r="G470" s="54" t="n">
        <v>343500</v>
      </c>
    </row>
    <row r="471" customFormat="false" ht="15" hidden="false" customHeight="false" outlineLevel="0" collapsed="false">
      <c r="A471" s="50" t="s">
        <v>361</v>
      </c>
      <c r="B471" s="51" t="n">
        <v>45687</v>
      </c>
      <c r="C471" s="50" t="s">
        <v>247</v>
      </c>
      <c r="D471" s="50" t="s">
        <v>2177</v>
      </c>
      <c r="E471" s="50" t="n">
        <v>8</v>
      </c>
      <c r="F471" s="50" t="s">
        <v>2174</v>
      </c>
      <c r="G471" s="54" t="n">
        <v>8708200</v>
      </c>
    </row>
    <row r="472" customFormat="false" ht="15" hidden="false" customHeight="false" outlineLevel="0" collapsed="false">
      <c r="A472" s="50" t="s">
        <v>361</v>
      </c>
      <c r="B472" s="51" t="n">
        <v>45687</v>
      </c>
      <c r="C472" s="50" t="s">
        <v>247</v>
      </c>
      <c r="D472" s="50" t="s">
        <v>2188</v>
      </c>
      <c r="E472" s="50" t="n">
        <v>5</v>
      </c>
      <c r="F472" s="50" t="s">
        <v>2167</v>
      </c>
      <c r="G472" s="54" t="n">
        <v>4813300</v>
      </c>
    </row>
    <row r="473" customFormat="false" ht="15" hidden="false" customHeight="false" outlineLevel="0" collapsed="false">
      <c r="A473" s="50" t="s">
        <v>361</v>
      </c>
      <c r="B473" s="51" t="n">
        <v>45687</v>
      </c>
      <c r="C473" s="50" t="s">
        <v>247</v>
      </c>
      <c r="D473" s="50" t="s">
        <v>2175</v>
      </c>
      <c r="E473" s="50" t="n">
        <v>8</v>
      </c>
      <c r="F473" s="50" t="s">
        <v>2167</v>
      </c>
      <c r="G473" s="54" t="n">
        <v>5106900</v>
      </c>
    </row>
    <row r="474" customFormat="false" ht="15" hidden="false" customHeight="false" outlineLevel="0" collapsed="false">
      <c r="A474" s="50" t="s">
        <v>361</v>
      </c>
      <c r="B474" s="51" t="n">
        <v>45687</v>
      </c>
      <c r="C474" s="50" t="s">
        <v>247</v>
      </c>
      <c r="D474" s="50" t="s">
        <v>2185</v>
      </c>
      <c r="E474" s="50" t="n">
        <v>5</v>
      </c>
      <c r="F474" s="50" t="s">
        <v>2174</v>
      </c>
      <c r="G474" s="54" t="n">
        <v>3932900</v>
      </c>
    </row>
    <row r="475" customFormat="false" ht="15" hidden="false" customHeight="false" outlineLevel="0" collapsed="false">
      <c r="A475" s="50" t="s">
        <v>361</v>
      </c>
      <c r="B475" s="51" t="n">
        <v>45687</v>
      </c>
      <c r="C475" s="50" t="s">
        <v>247</v>
      </c>
      <c r="D475" s="50" t="s">
        <v>2172</v>
      </c>
      <c r="E475" s="50" t="n">
        <v>5</v>
      </c>
      <c r="F475" s="50" t="s">
        <v>2167</v>
      </c>
      <c r="G475" s="54" t="n">
        <v>2638400</v>
      </c>
    </row>
    <row r="476" customFormat="false" ht="15" hidden="false" customHeight="false" outlineLevel="0" collapsed="false">
      <c r="A476" s="50" t="s">
        <v>362</v>
      </c>
      <c r="B476" s="51" t="n">
        <v>45687</v>
      </c>
      <c r="C476" s="50" t="s">
        <v>170</v>
      </c>
      <c r="D476" s="50" t="s">
        <v>2172</v>
      </c>
      <c r="E476" s="50" t="n">
        <v>5</v>
      </c>
      <c r="F476" s="50" t="s">
        <v>2167</v>
      </c>
      <c r="G476" s="54" t="n">
        <v>2533800</v>
      </c>
    </row>
    <row r="477" customFormat="false" ht="15" hidden="false" customHeight="false" outlineLevel="0" collapsed="false">
      <c r="A477" s="50" t="s">
        <v>362</v>
      </c>
      <c r="B477" s="51" t="n">
        <v>45687</v>
      </c>
      <c r="C477" s="50" t="s">
        <v>170</v>
      </c>
      <c r="D477" s="50" t="s">
        <v>2183</v>
      </c>
      <c r="E477" s="50" t="n">
        <v>4</v>
      </c>
      <c r="F477" s="50" t="s">
        <v>2167</v>
      </c>
      <c r="G477" s="54" t="n">
        <v>1508500</v>
      </c>
    </row>
    <row r="478" customFormat="false" ht="15" hidden="false" customHeight="false" outlineLevel="0" collapsed="false">
      <c r="A478" s="50" t="s">
        <v>362</v>
      </c>
      <c r="B478" s="51" t="n">
        <v>45687</v>
      </c>
      <c r="C478" s="50" t="s">
        <v>170</v>
      </c>
      <c r="D478" s="50" t="s">
        <v>2186</v>
      </c>
      <c r="E478" s="50" t="n">
        <v>3</v>
      </c>
      <c r="F478" s="50" t="s">
        <v>2167</v>
      </c>
      <c r="G478" s="54" t="n">
        <v>1804100</v>
      </c>
    </row>
    <row r="479" customFormat="false" ht="15" hidden="false" customHeight="false" outlineLevel="0" collapsed="false">
      <c r="A479" s="50" t="s">
        <v>363</v>
      </c>
      <c r="B479" s="51" t="n">
        <v>45688</v>
      </c>
      <c r="C479" s="50" t="s">
        <v>308</v>
      </c>
      <c r="D479" s="50" t="s">
        <v>2172</v>
      </c>
      <c r="E479" s="50" t="n">
        <v>3</v>
      </c>
      <c r="F479" s="50" t="s">
        <v>2167</v>
      </c>
      <c r="G479" s="54" t="n">
        <v>1612200</v>
      </c>
    </row>
    <row r="480" customFormat="false" ht="15" hidden="false" customHeight="false" outlineLevel="0" collapsed="false">
      <c r="A480" s="50" t="s">
        <v>364</v>
      </c>
      <c r="B480" s="51" t="n">
        <v>45688</v>
      </c>
      <c r="C480" s="50" t="s">
        <v>365</v>
      </c>
      <c r="D480" s="50" t="s">
        <v>2186</v>
      </c>
      <c r="E480" s="50" t="n">
        <v>8</v>
      </c>
      <c r="F480" s="50" t="s">
        <v>2167</v>
      </c>
      <c r="G480" s="54" t="n">
        <v>4653700</v>
      </c>
    </row>
    <row r="481" customFormat="false" ht="15" hidden="false" customHeight="false" outlineLevel="0" collapsed="false">
      <c r="A481" s="50" t="s">
        <v>364</v>
      </c>
      <c r="B481" s="51" t="n">
        <v>45688</v>
      </c>
      <c r="C481" s="50" t="s">
        <v>365</v>
      </c>
      <c r="D481" s="50" t="s">
        <v>2181</v>
      </c>
      <c r="E481" s="50" t="n">
        <v>8</v>
      </c>
      <c r="F481" s="50" t="s">
        <v>2167</v>
      </c>
      <c r="G481" s="54" t="n">
        <v>8886500</v>
      </c>
    </row>
    <row r="482" customFormat="false" ht="15" hidden="false" customHeight="false" outlineLevel="0" collapsed="false">
      <c r="A482" s="50" t="s">
        <v>364</v>
      </c>
      <c r="B482" s="51" t="n">
        <v>45688</v>
      </c>
      <c r="C482" s="50" t="s">
        <v>365</v>
      </c>
      <c r="D482" s="50" t="s">
        <v>2183</v>
      </c>
      <c r="E482" s="50" t="n">
        <v>3</v>
      </c>
      <c r="F482" s="50" t="s">
        <v>2167</v>
      </c>
      <c r="G482" s="54" t="n">
        <v>1127500</v>
      </c>
    </row>
    <row r="483" customFormat="false" ht="15" hidden="false" customHeight="false" outlineLevel="0" collapsed="false">
      <c r="A483" s="50" t="s">
        <v>364</v>
      </c>
      <c r="B483" s="51" t="n">
        <v>45688</v>
      </c>
      <c r="C483" s="50" t="s">
        <v>365</v>
      </c>
      <c r="D483" s="50" t="s">
        <v>2179</v>
      </c>
      <c r="E483" s="50" t="n">
        <v>2</v>
      </c>
      <c r="F483" s="50" t="s">
        <v>2174</v>
      </c>
      <c r="G483" s="54" t="n">
        <v>2480600</v>
      </c>
    </row>
    <row r="484" customFormat="false" ht="15" hidden="false" customHeight="false" outlineLevel="0" collapsed="false">
      <c r="A484" s="50" t="s">
        <v>364</v>
      </c>
      <c r="B484" s="51" t="n">
        <v>45688</v>
      </c>
      <c r="C484" s="50" t="s">
        <v>365</v>
      </c>
      <c r="D484" s="50" t="s">
        <v>2178</v>
      </c>
      <c r="E484" s="50" t="n">
        <v>5</v>
      </c>
      <c r="F484" s="50" t="s">
        <v>2167</v>
      </c>
      <c r="G484" s="54" t="n">
        <v>2340100</v>
      </c>
    </row>
    <row r="485" customFormat="false" ht="15" hidden="false" customHeight="false" outlineLevel="0" collapsed="false">
      <c r="A485" s="50" t="s">
        <v>366</v>
      </c>
      <c r="B485" s="51" t="n">
        <v>45688</v>
      </c>
      <c r="C485" s="50" t="s">
        <v>367</v>
      </c>
      <c r="D485" s="50" t="s">
        <v>2184</v>
      </c>
      <c r="E485" s="50" t="n">
        <v>1</v>
      </c>
      <c r="F485" s="50" t="s">
        <v>2167</v>
      </c>
      <c r="G485" s="54" t="n">
        <v>551000</v>
      </c>
    </row>
    <row r="486" customFormat="false" ht="15" hidden="false" customHeight="false" outlineLevel="0" collapsed="false">
      <c r="A486" s="50" t="s">
        <v>366</v>
      </c>
      <c r="B486" s="51" t="n">
        <v>45688</v>
      </c>
      <c r="C486" s="50" t="s">
        <v>367</v>
      </c>
      <c r="D486" s="50" t="s">
        <v>2181</v>
      </c>
      <c r="E486" s="50" t="n">
        <v>1</v>
      </c>
      <c r="F486" s="50" t="s">
        <v>2167</v>
      </c>
      <c r="G486" s="54" t="n">
        <v>1190100</v>
      </c>
    </row>
    <row r="487" customFormat="false" ht="15" hidden="false" customHeight="false" outlineLevel="0" collapsed="false">
      <c r="A487" s="50" t="s">
        <v>366</v>
      </c>
      <c r="B487" s="51" t="n">
        <v>45688</v>
      </c>
      <c r="C487" s="50" t="s">
        <v>367</v>
      </c>
      <c r="D487" s="50" t="s">
        <v>2187</v>
      </c>
      <c r="E487" s="50" t="n">
        <v>7</v>
      </c>
      <c r="F487" s="50" t="s">
        <v>2167</v>
      </c>
      <c r="G487" s="54" t="n">
        <v>2474300</v>
      </c>
    </row>
    <row r="488" customFormat="false" ht="15" hidden="false" customHeight="false" outlineLevel="0" collapsed="false">
      <c r="A488" s="50" t="s">
        <v>366</v>
      </c>
      <c r="B488" s="51" t="n">
        <v>45688</v>
      </c>
      <c r="C488" s="50" t="s">
        <v>367</v>
      </c>
      <c r="D488" s="50" t="s">
        <v>2178</v>
      </c>
      <c r="E488" s="50" t="n">
        <v>4</v>
      </c>
      <c r="F488" s="50" t="s">
        <v>2167</v>
      </c>
      <c r="G488" s="54" t="n">
        <v>1975600</v>
      </c>
    </row>
    <row r="489" customFormat="false" ht="15" hidden="false" customHeight="false" outlineLevel="0" collapsed="false">
      <c r="A489" s="50" t="s">
        <v>366</v>
      </c>
      <c r="B489" s="51" t="n">
        <v>45688</v>
      </c>
      <c r="C489" s="50" t="s">
        <v>367</v>
      </c>
      <c r="D489" s="50" t="s">
        <v>2173</v>
      </c>
      <c r="E489" s="50" t="n">
        <v>7</v>
      </c>
      <c r="F489" s="50" t="s">
        <v>2174</v>
      </c>
      <c r="G489" s="54" t="n">
        <v>5520400</v>
      </c>
    </row>
    <row r="490" customFormat="false" ht="15" hidden="false" customHeight="false" outlineLevel="0" collapsed="false">
      <c r="A490" s="50" t="s">
        <v>368</v>
      </c>
      <c r="B490" s="51" t="n">
        <v>45688</v>
      </c>
      <c r="C490" s="50" t="s">
        <v>369</v>
      </c>
      <c r="D490" s="50" t="s">
        <v>2185</v>
      </c>
      <c r="E490" s="50" t="n">
        <v>4</v>
      </c>
      <c r="F490" s="50" t="s">
        <v>2174</v>
      </c>
      <c r="G490" s="54" t="n">
        <v>3217200</v>
      </c>
    </row>
    <row r="491" customFormat="false" ht="15" hidden="false" customHeight="false" outlineLevel="0" collapsed="false">
      <c r="A491" s="50" t="s">
        <v>368</v>
      </c>
      <c r="B491" s="51" t="n">
        <v>45688</v>
      </c>
      <c r="C491" s="50" t="s">
        <v>369</v>
      </c>
      <c r="D491" s="50" t="s">
        <v>2188</v>
      </c>
      <c r="E491" s="50" t="n">
        <v>8</v>
      </c>
      <c r="F491" s="50" t="s">
        <v>2167</v>
      </c>
      <c r="G491" s="54" t="n">
        <v>7754600</v>
      </c>
    </row>
    <row r="492" customFormat="false" ht="15" hidden="false" customHeight="false" outlineLevel="0" collapsed="false">
      <c r="A492" s="50" t="s">
        <v>368</v>
      </c>
      <c r="B492" s="51" t="n">
        <v>45688</v>
      </c>
      <c r="C492" s="50" t="s">
        <v>369</v>
      </c>
      <c r="D492" s="50" t="s">
        <v>2187</v>
      </c>
      <c r="E492" s="50" t="n">
        <v>6</v>
      </c>
      <c r="F492" s="50" t="s">
        <v>2167</v>
      </c>
      <c r="G492" s="54" t="n">
        <v>2091000</v>
      </c>
    </row>
    <row r="493" customFormat="false" ht="15" hidden="false" customHeight="false" outlineLevel="0" collapsed="false">
      <c r="A493" s="50" t="s">
        <v>370</v>
      </c>
      <c r="B493" s="51" t="n">
        <v>45688</v>
      </c>
      <c r="C493" s="50" t="s">
        <v>191</v>
      </c>
      <c r="D493" s="50" t="s">
        <v>2168</v>
      </c>
      <c r="E493" s="50" t="n">
        <v>2</v>
      </c>
      <c r="F493" s="50" t="s">
        <v>2167</v>
      </c>
      <c r="G493" s="54" t="n">
        <v>884900</v>
      </c>
    </row>
    <row r="494" customFormat="false" ht="15" hidden="false" customHeight="false" outlineLevel="0" collapsed="false">
      <c r="A494" s="50" t="s">
        <v>370</v>
      </c>
      <c r="B494" s="51" t="n">
        <v>45688</v>
      </c>
      <c r="C494" s="50" t="s">
        <v>191</v>
      </c>
      <c r="D494" s="50" t="s">
        <v>2184</v>
      </c>
      <c r="E494" s="50" t="n">
        <v>5</v>
      </c>
      <c r="F494" s="50" t="s">
        <v>2167</v>
      </c>
      <c r="G494" s="54" t="n">
        <v>2773600</v>
      </c>
    </row>
    <row r="495" customFormat="false" ht="15" hidden="false" customHeight="false" outlineLevel="0" collapsed="false">
      <c r="A495" s="50" t="s">
        <v>371</v>
      </c>
      <c r="B495" s="51" t="n">
        <v>45688</v>
      </c>
      <c r="C495" s="50" t="s">
        <v>241</v>
      </c>
      <c r="D495" s="50" t="s">
        <v>2188</v>
      </c>
      <c r="E495" s="50" t="n">
        <v>5</v>
      </c>
      <c r="F495" s="50" t="s">
        <v>2167</v>
      </c>
      <c r="G495" s="54" t="n">
        <v>4858700</v>
      </c>
    </row>
    <row r="496" customFormat="false" ht="15" hidden="false" customHeight="false" outlineLevel="0" collapsed="false">
      <c r="A496" s="50" t="s">
        <v>371</v>
      </c>
      <c r="B496" s="51" t="n">
        <v>45688</v>
      </c>
      <c r="C496" s="50" t="s">
        <v>241</v>
      </c>
      <c r="D496" s="50" t="s">
        <v>2183</v>
      </c>
      <c r="E496" s="50" t="n">
        <v>6</v>
      </c>
      <c r="F496" s="50" t="s">
        <v>2167</v>
      </c>
      <c r="G496" s="54" t="n">
        <v>2268700</v>
      </c>
    </row>
    <row r="497" customFormat="false" ht="15" hidden="false" customHeight="false" outlineLevel="0" collapsed="false">
      <c r="A497" s="50" t="s">
        <v>371</v>
      </c>
      <c r="B497" s="51" t="n">
        <v>45688</v>
      </c>
      <c r="C497" s="50" t="s">
        <v>241</v>
      </c>
      <c r="D497" s="50" t="s">
        <v>2186</v>
      </c>
      <c r="E497" s="50" t="n">
        <v>8</v>
      </c>
      <c r="F497" s="50" t="s">
        <v>2167</v>
      </c>
      <c r="G497" s="54" t="n">
        <v>4576100</v>
      </c>
    </row>
    <row r="498" customFormat="false" ht="15" hidden="false" customHeight="false" outlineLevel="0" collapsed="false">
      <c r="A498" s="50" t="s">
        <v>371</v>
      </c>
      <c r="B498" s="51" t="n">
        <v>45688</v>
      </c>
      <c r="C498" s="50" t="s">
        <v>241</v>
      </c>
      <c r="D498" s="50" t="s">
        <v>2181</v>
      </c>
      <c r="E498" s="50" t="n">
        <v>4</v>
      </c>
      <c r="F498" s="50" t="s">
        <v>2167</v>
      </c>
      <c r="G498" s="54" t="n">
        <v>4496300</v>
      </c>
    </row>
    <row r="499" customFormat="false" ht="15" hidden="false" customHeight="false" outlineLevel="0" collapsed="false">
      <c r="A499" s="50" t="s">
        <v>372</v>
      </c>
      <c r="B499" s="51" t="n">
        <v>45689</v>
      </c>
      <c r="C499" s="50" t="s">
        <v>373</v>
      </c>
      <c r="D499" s="50" t="s">
        <v>2169</v>
      </c>
      <c r="E499" s="50" t="n">
        <v>3</v>
      </c>
      <c r="F499" s="50" t="s">
        <v>2167</v>
      </c>
      <c r="G499" s="54" t="n">
        <v>1868700</v>
      </c>
    </row>
    <row r="500" customFormat="false" ht="15" hidden="false" customHeight="false" outlineLevel="0" collapsed="false">
      <c r="A500" s="50" t="s">
        <v>372</v>
      </c>
      <c r="B500" s="51" t="n">
        <v>45689</v>
      </c>
      <c r="C500" s="50" t="s">
        <v>373</v>
      </c>
      <c r="D500" s="50" t="s">
        <v>2178</v>
      </c>
      <c r="E500" s="50" t="n">
        <v>7</v>
      </c>
      <c r="F500" s="50" t="s">
        <v>2167</v>
      </c>
      <c r="G500" s="54" t="n">
        <v>3293500</v>
      </c>
    </row>
    <row r="501" customFormat="false" ht="15" hidden="false" customHeight="false" outlineLevel="0" collapsed="false">
      <c r="A501" s="50" t="s">
        <v>372</v>
      </c>
      <c r="B501" s="51" t="n">
        <v>45689</v>
      </c>
      <c r="C501" s="50" t="s">
        <v>373</v>
      </c>
      <c r="D501" s="50" t="s">
        <v>2176</v>
      </c>
      <c r="E501" s="50" t="n">
        <v>8</v>
      </c>
      <c r="F501" s="50" t="s">
        <v>2167</v>
      </c>
      <c r="G501" s="54" t="n">
        <v>3368300</v>
      </c>
    </row>
    <row r="502" customFormat="false" ht="15" hidden="false" customHeight="false" outlineLevel="0" collapsed="false">
      <c r="A502" s="50" t="s">
        <v>374</v>
      </c>
      <c r="B502" s="51" t="n">
        <v>45689</v>
      </c>
      <c r="C502" s="50" t="s">
        <v>174</v>
      </c>
      <c r="D502" s="50" t="s">
        <v>2182</v>
      </c>
      <c r="E502" s="50" t="n">
        <v>3</v>
      </c>
      <c r="F502" s="50" t="s">
        <v>2174</v>
      </c>
      <c r="G502" s="54" t="n">
        <v>2859000</v>
      </c>
    </row>
    <row r="503" customFormat="false" ht="15" hidden="false" customHeight="false" outlineLevel="0" collapsed="false">
      <c r="A503" s="50" t="s">
        <v>374</v>
      </c>
      <c r="B503" s="51" t="n">
        <v>45689</v>
      </c>
      <c r="C503" s="50" t="s">
        <v>174</v>
      </c>
      <c r="D503" s="50" t="s">
        <v>2179</v>
      </c>
      <c r="E503" s="50" t="n">
        <v>1</v>
      </c>
      <c r="F503" s="50" t="s">
        <v>2174</v>
      </c>
      <c r="G503" s="54" t="n">
        <v>1251700</v>
      </c>
    </row>
    <row r="504" customFormat="false" ht="15" hidden="false" customHeight="false" outlineLevel="0" collapsed="false">
      <c r="A504" s="50" t="s">
        <v>374</v>
      </c>
      <c r="B504" s="51" t="n">
        <v>45689</v>
      </c>
      <c r="C504" s="50" t="s">
        <v>174</v>
      </c>
      <c r="D504" s="50" t="s">
        <v>2181</v>
      </c>
      <c r="E504" s="50" t="n">
        <v>5</v>
      </c>
      <c r="F504" s="50" t="s">
        <v>2167</v>
      </c>
      <c r="G504" s="54" t="n">
        <v>5676900</v>
      </c>
    </row>
    <row r="505" customFormat="false" ht="15" hidden="false" customHeight="false" outlineLevel="0" collapsed="false">
      <c r="A505" s="50" t="s">
        <v>375</v>
      </c>
      <c r="B505" s="51" t="n">
        <v>45689</v>
      </c>
      <c r="C505" s="50" t="s">
        <v>376</v>
      </c>
      <c r="D505" s="50" t="s">
        <v>2181</v>
      </c>
      <c r="E505" s="50" t="n">
        <v>4</v>
      </c>
      <c r="F505" s="50" t="s">
        <v>2167</v>
      </c>
      <c r="G505" s="54" t="n">
        <v>4657900</v>
      </c>
    </row>
    <row r="506" customFormat="false" ht="15" hidden="false" customHeight="false" outlineLevel="0" collapsed="false">
      <c r="A506" s="50" t="s">
        <v>375</v>
      </c>
      <c r="B506" s="51" t="n">
        <v>45689</v>
      </c>
      <c r="C506" s="50" t="s">
        <v>376</v>
      </c>
      <c r="D506" s="50" t="s">
        <v>2184</v>
      </c>
      <c r="E506" s="50" t="n">
        <v>5</v>
      </c>
      <c r="F506" s="50" t="s">
        <v>2167</v>
      </c>
      <c r="G506" s="54" t="n">
        <v>2806200</v>
      </c>
    </row>
    <row r="507" customFormat="false" ht="15" hidden="false" customHeight="false" outlineLevel="0" collapsed="false">
      <c r="A507" s="50" t="s">
        <v>375</v>
      </c>
      <c r="B507" s="51" t="n">
        <v>45689</v>
      </c>
      <c r="C507" s="50" t="s">
        <v>376</v>
      </c>
      <c r="D507" s="50" t="s">
        <v>2169</v>
      </c>
      <c r="E507" s="50" t="n">
        <v>8</v>
      </c>
      <c r="F507" s="50" t="s">
        <v>2167</v>
      </c>
      <c r="G507" s="54" t="n">
        <v>4987800</v>
      </c>
    </row>
    <row r="508" customFormat="false" ht="15" hidden="false" customHeight="false" outlineLevel="0" collapsed="false">
      <c r="A508" s="50" t="s">
        <v>375</v>
      </c>
      <c r="B508" s="51" t="n">
        <v>45689</v>
      </c>
      <c r="C508" s="50" t="s">
        <v>376</v>
      </c>
      <c r="D508" s="50" t="s">
        <v>2173</v>
      </c>
      <c r="E508" s="50" t="n">
        <v>8</v>
      </c>
      <c r="F508" s="50" t="s">
        <v>2174</v>
      </c>
      <c r="G508" s="54" t="n">
        <v>6588700</v>
      </c>
    </row>
    <row r="509" customFormat="false" ht="15" hidden="false" customHeight="false" outlineLevel="0" collapsed="false">
      <c r="A509" s="50" t="s">
        <v>375</v>
      </c>
      <c r="B509" s="51" t="n">
        <v>45689</v>
      </c>
      <c r="C509" s="50" t="s">
        <v>376</v>
      </c>
      <c r="D509" s="50" t="s">
        <v>2179</v>
      </c>
      <c r="E509" s="50" t="n">
        <v>8</v>
      </c>
      <c r="F509" s="50" t="s">
        <v>2174</v>
      </c>
      <c r="G509" s="54" t="n">
        <v>9839000</v>
      </c>
    </row>
    <row r="510" customFormat="false" ht="15" hidden="false" customHeight="false" outlineLevel="0" collapsed="false">
      <c r="A510" s="50" t="s">
        <v>375</v>
      </c>
      <c r="B510" s="51" t="n">
        <v>45689</v>
      </c>
      <c r="C510" s="50" t="s">
        <v>376</v>
      </c>
      <c r="D510" s="50" t="s">
        <v>2187</v>
      </c>
      <c r="E510" s="50" t="n">
        <v>8</v>
      </c>
      <c r="F510" s="50" t="s">
        <v>2167</v>
      </c>
      <c r="G510" s="54" t="n">
        <v>2859900</v>
      </c>
    </row>
    <row r="511" customFormat="false" ht="15" hidden="false" customHeight="false" outlineLevel="0" collapsed="false">
      <c r="A511" s="50" t="s">
        <v>377</v>
      </c>
      <c r="B511" s="51" t="n">
        <v>45689</v>
      </c>
      <c r="C511" s="50" t="s">
        <v>367</v>
      </c>
      <c r="D511" s="50" t="s">
        <v>2173</v>
      </c>
      <c r="E511" s="50" t="n">
        <v>4</v>
      </c>
      <c r="F511" s="50" t="s">
        <v>2174</v>
      </c>
      <c r="G511" s="54" t="n">
        <v>3276600</v>
      </c>
    </row>
    <row r="512" customFormat="false" ht="15" hidden="false" customHeight="false" outlineLevel="0" collapsed="false">
      <c r="A512" s="50" t="s">
        <v>377</v>
      </c>
      <c r="B512" s="51" t="n">
        <v>45689</v>
      </c>
      <c r="C512" s="50" t="s">
        <v>367</v>
      </c>
      <c r="D512" s="50" t="s">
        <v>2169</v>
      </c>
      <c r="E512" s="50" t="n">
        <v>6</v>
      </c>
      <c r="F512" s="50" t="s">
        <v>2167</v>
      </c>
      <c r="G512" s="54" t="n">
        <v>3661500</v>
      </c>
    </row>
    <row r="513" customFormat="false" ht="15" hidden="false" customHeight="false" outlineLevel="0" collapsed="false">
      <c r="A513" s="50" t="s">
        <v>377</v>
      </c>
      <c r="B513" s="51" t="n">
        <v>45689</v>
      </c>
      <c r="C513" s="50" t="s">
        <v>367</v>
      </c>
      <c r="D513" s="50" t="s">
        <v>2166</v>
      </c>
      <c r="E513" s="50" t="n">
        <v>4</v>
      </c>
      <c r="F513" s="50" t="s">
        <v>2167</v>
      </c>
      <c r="G513" s="54" t="n">
        <v>2075900</v>
      </c>
    </row>
    <row r="514" customFormat="false" ht="15" hidden="false" customHeight="false" outlineLevel="0" collapsed="false">
      <c r="A514" s="50" t="s">
        <v>377</v>
      </c>
      <c r="B514" s="51" t="n">
        <v>45689</v>
      </c>
      <c r="C514" s="50" t="s">
        <v>367</v>
      </c>
      <c r="D514" s="50" t="s">
        <v>2183</v>
      </c>
      <c r="E514" s="50" t="n">
        <v>8</v>
      </c>
      <c r="F514" s="50" t="s">
        <v>2167</v>
      </c>
      <c r="G514" s="54" t="n">
        <v>2937300</v>
      </c>
    </row>
    <row r="515" customFormat="false" ht="15" hidden="false" customHeight="false" outlineLevel="0" collapsed="false">
      <c r="A515" s="50" t="s">
        <v>378</v>
      </c>
      <c r="B515" s="51" t="n">
        <v>45689</v>
      </c>
      <c r="C515" s="50" t="s">
        <v>174</v>
      </c>
      <c r="D515" s="50" t="s">
        <v>2185</v>
      </c>
      <c r="E515" s="50" t="n">
        <v>3</v>
      </c>
      <c r="F515" s="50" t="s">
        <v>2174</v>
      </c>
      <c r="G515" s="54" t="n">
        <v>2300900</v>
      </c>
    </row>
    <row r="516" customFormat="false" ht="15" hidden="false" customHeight="false" outlineLevel="0" collapsed="false">
      <c r="A516" s="50" t="s">
        <v>378</v>
      </c>
      <c r="B516" s="51" t="n">
        <v>45689</v>
      </c>
      <c r="C516" s="50" t="s">
        <v>174</v>
      </c>
      <c r="D516" s="50" t="s">
        <v>2179</v>
      </c>
      <c r="E516" s="50" t="n">
        <v>2</v>
      </c>
      <c r="F516" s="50" t="s">
        <v>2174</v>
      </c>
      <c r="G516" s="54" t="n">
        <v>2580700</v>
      </c>
    </row>
    <row r="517" customFormat="false" ht="15" hidden="false" customHeight="false" outlineLevel="0" collapsed="false">
      <c r="A517" s="50" t="s">
        <v>378</v>
      </c>
      <c r="B517" s="51" t="n">
        <v>45689</v>
      </c>
      <c r="C517" s="50" t="s">
        <v>174</v>
      </c>
      <c r="D517" s="50" t="s">
        <v>2184</v>
      </c>
      <c r="E517" s="50" t="n">
        <v>8</v>
      </c>
      <c r="F517" s="50" t="s">
        <v>2167</v>
      </c>
      <c r="G517" s="54" t="n">
        <v>4384500</v>
      </c>
    </row>
    <row r="518" customFormat="false" ht="15" hidden="false" customHeight="false" outlineLevel="0" collapsed="false">
      <c r="A518" s="50" t="s">
        <v>378</v>
      </c>
      <c r="B518" s="51" t="n">
        <v>45689</v>
      </c>
      <c r="C518" s="50" t="s">
        <v>174</v>
      </c>
      <c r="D518" s="50" t="s">
        <v>2172</v>
      </c>
      <c r="E518" s="50" t="n">
        <v>2</v>
      </c>
      <c r="F518" s="50" t="s">
        <v>2167</v>
      </c>
      <c r="G518" s="54" t="n">
        <v>1009300</v>
      </c>
    </row>
    <row r="519" customFormat="false" ht="15" hidden="false" customHeight="false" outlineLevel="0" collapsed="false">
      <c r="A519" s="50" t="s">
        <v>379</v>
      </c>
      <c r="B519" s="51" t="n">
        <v>45689</v>
      </c>
      <c r="C519" s="50" t="s">
        <v>239</v>
      </c>
      <c r="D519" s="50" t="s">
        <v>2169</v>
      </c>
      <c r="E519" s="50" t="n">
        <v>6</v>
      </c>
      <c r="F519" s="50" t="s">
        <v>2167</v>
      </c>
      <c r="G519" s="54" t="n">
        <v>3743200</v>
      </c>
    </row>
    <row r="520" customFormat="false" ht="15" hidden="false" customHeight="false" outlineLevel="0" collapsed="false">
      <c r="A520" s="50" t="s">
        <v>379</v>
      </c>
      <c r="B520" s="51" t="n">
        <v>45689</v>
      </c>
      <c r="C520" s="50" t="s">
        <v>239</v>
      </c>
      <c r="D520" s="50" t="s">
        <v>2186</v>
      </c>
      <c r="E520" s="50" t="n">
        <v>3</v>
      </c>
      <c r="F520" s="50" t="s">
        <v>2167</v>
      </c>
      <c r="G520" s="54" t="n">
        <v>1773900</v>
      </c>
    </row>
    <row r="521" customFormat="false" ht="15" hidden="false" customHeight="false" outlineLevel="0" collapsed="false">
      <c r="A521" s="50" t="s">
        <v>379</v>
      </c>
      <c r="B521" s="51" t="n">
        <v>45689</v>
      </c>
      <c r="C521" s="50" t="s">
        <v>239</v>
      </c>
      <c r="D521" s="50" t="s">
        <v>2185</v>
      </c>
      <c r="E521" s="50" t="n">
        <v>2</v>
      </c>
      <c r="F521" s="50" t="s">
        <v>2174</v>
      </c>
      <c r="G521" s="54" t="n">
        <v>1578300</v>
      </c>
    </row>
    <row r="522" customFormat="false" ht="15" hidden="false" customHeight="false" outlineLevel="0" collapsed="false">
      <c r="A522" s="50" t="s">
        <v>379</v>
      </c>
      <c r="B522" s="51" t="n">
        <v>45689</v>
      </c>
      <c r="C522" s="50" t="s">
        <v>239</v>
      </c>
      <c r="D522" s="50" t="s">
        <v>2178</v>
      </c>
      <c r="E522" s="50" t="n">
        <v>4</v>
      </c>
      <c r="F522" s="50" t="s">
        <v>2167</v>
      </c>
      <c r="G522" s="54" t="n">
        <v>1885300</v>
      </c>
    </row>
    <row r="523" customFormat="false" ht="15" hidden="false" customHeight="false" outlineLevel="0" collapsed="false">
      <c r="A523" s="50" t="s">
        <v>379</v>
      </c>
      <c r="B523" s="51" t="n">
        <v>45689</v>
      </c>
      <c r="C523" s="50" t="s">
        <v>239</v>
      </c>
      <c r="D523" s="50" t="s">
        <v>2183</v>
      </c>
      <c r="E523" s="50" t="n">
        <v>2</v>
      </c>
      <c r="F523" s="50" t="s">
        <v>2167</v>
      </c>
      <c r="G523" s="54" t="n">
        <v>769100</v>
      </c>
    </row>
    <row r="524" customFormat="false" ht="15" hidden="false" customHeight="false" outlineLevel="0" collapsed="false">
      <c r="A524" s="50" t="s">
        <v>380</v>
      </c>
      <c r="B524" s="51" t="n">
        <v>45689</v>
      </c>
      <c r="C524" s="50" t="s">
        <v>174</v>
      </c>
      <c r="D524" s="50" t="s">
        <v>2179</v>
      </c>
      <c r="E524" s="50" t="n">
        <v>3</v>
      </c>
      <c r="F524" s="50" t="s">
        <v>2174</v>
      </c>
      <c r="G524" s="54" t="n">
        <v>3837500</v>
      </c>
    </row>
    <row r="525" customFormat="false" ht="15" hidden="false" customHeight="false" outlineLevel="0" collapsed="false">
      <c r="A525" s="50" t="s">
        <v>380</v>
      </c>
      <c r="B525" s="51" t="n">
        <v>45689</v>
      </c>
      <c r="C525" s="50" t="s">
        <v>174</v>
      </c>
      <c r="D525" s="50" t="s">
        <v>2180</v>
      </c>
      <c r="E525" s="50" t="n">
        <v>8</v>
      </c>
      <c r="F525" s="50" t="s">
        <v>2167</v>
      </c>
      <c r="G525" s="54" t="n">
        <v>3715100</v>
      </c>
    </row>
    <row r="526" customFormat="false" ht="15" hidden="false" customHeight="false" outlineLevel="0" collapsed="false">
      <c r="A526" s="50" t="s">
        <v>380</v>
      </c>
      <c r="B526" s="51" t="n">
        <v>45689</v>
      </c>
      <c r="C526" s="50" t="s">
        <v>174</v>
      </c>
      <c r="D526" s="50" t="s">
        <v>2178</v>
      </c>
      <c r="E526" s="50" t="n">
        <v>2</v>
      </c>
      <c r="F526" s="50" t="s">
        <v>2167</v>
      </c>
      <c r="G526" s="54" t="n">
        <v>983800</v>
      </c>
    </row>
    <row r="527" customFormat="false" ht="15" hidden="false" customHeight="false" outlineLevel="0" collapsed="false">
      <c r="A527" s="50" t="s">
        <v>380</v>
      </c>
      <c r="B527" s="51" t="n">
        <v>45689</v>
      </c>
      <c r="C527" s="50" t="s">
        <v>174</v>
      </c>
      <c r="D527" s="50" t="s">
        <v>2169</v>
      </c>
      <c r="E527" s="50" t="n">
        <v>6</v>
      </c>
      <c r="F527" s="50" t="s">
        <v>2167</v>
      </c>
      <c r="G527" s="54" t="n">
        <v>3862100</v>
      </c>
    </row>
    <row r="528" customFormat="false" ht="15" hidden="false" customHeight="false" outlineLevel="0" collapsed="false">
      <c r="A528" s="50" t="s">
        <v>381</v>
      </c>
      <c r="B528" s="51" t="n">
        <v>45689</v>
      </c>
      <c r="C528" s="50" t="s">
        <v>382</v>
      </c>
      <c r="D528" s="50" t="s">
        <v>2185</v>
      </c>
      <c r="E528" s="50" t="n">
        <v>7</v>
      </c>
      <c r="F528" s="50" t="s">
        <v>2174</v>
      </c>
      <c r="G528" s="54" t="n">
        <v>5381400</v>
      </c>
    </row>
    <row r="529" customFormat="false" ht="15" hidden="false" customHeight="false" outlineLevel="0" collapsed="false">
      <c r="A529" s="50" t="s">
        <v>383</v>
      </c>
      <c r="B529" s="51" t="n">
        <v>45691</v>
      </c>
      <c r="C529" s="50" t="s">
        <v>239</v>
      </c>
      <c r="D529" s="50" t="s">
        <v>2178</v>
      </c>
      <c r="E529" s="50" t="n">
        <v>8</v>
      </c>
      <c r="F529" s="50" t="s">
        <v>2167</v>
      </c>
      <c r="G529" s="54" t="n">
        <v>3875500</v>
      </c>
    </row>
    <row r="530" customFormat="false" ht="15" hidden="false" customHeight="false" outlineLevel="0" collapsed="false">
      <c r="A530" s="50" t="s">
        <v>383</v>
      </c>
      <c r="B530" s="51" t="n">
        <v>45691</v>
      </c>
      <c r="C530" s="50" t="s">
        <v>239</v>
      </c>
      <c r="D530" s="50" t="s">
        <v>2173</v>
      </c>
      <c r="E530" s="50" t="n">
        <v>7</v>
      </c>
      <c r="F530" s="50" t="s">
        <v>2174</v>
      </c>
      <c r="G530" s="54" t="n">
        <v>5541900</v>
      </c>
    </row>
    <row r="531" customFormat="false" ht="15" hidden="false" customHeight="false" outlineLevel="0" collapsed="false">
      <c r="A531" s="50" t="s">
        <v>384</v>
      </c>
      <c r="B531" s="51" t="n">
        <v>45691</v>
      </c>
      <c r="C531" s="50" t="s">
        <v>177</v>
      </c>
      <c r="D531" s="50" t="s">
        <v>2178</v>
      </c>
      <c r="E531" s="50" t="n">
        <v>6</v>
      </c>
      <c r="F531" s="50" t="s">
        <v>2167</v>
      </c>
      <c r="G531" s="54" t="n">
        <v>2993600</v>
      </c>
    </row>
    <row r="532" customFormat="false" ht="15" hidden="false" customHeight="false" outlineLevel="0" collapsed="false">
      <c r="A532" s="50" t="s">
        <v>384</v>
      </c>
      <c r="B532" s="51" t="n">
        <v>45691</v>
      </c>
      <c r="C532" s="50" t="s">
        <v>177</v>
      </c>
      <c r="D532" s="50" t="s">
        <v>2166</v>
      </c>
      <c r="E532" s="50" t="n">
        <v>7</v>
      </c>
      <c r="F532" s="50" t="s">
        <v>2167</v>
      </c>
      <c r="G532" s="54" t="n">
        <v>3709800</v>
      </c>
    </row>
    <row r="533" customFormat="false" ht="15" hidden="false" customHeight="false" outlineLevel="0" collapsed="false">
      <c r="A533" s="50" t="s">
        <v>385</v>
      </c>
      <c r="B533" s="51" t="n">
        <v>45691</v>
      </c>
      <c r="C533" s="50" t="s">
        <v>191</v>
      </c>
      <c r="D533" s="50" t="s">
        <v>2185</v>
      </c>
      <c r="E533" s="50" t="n">
        <v>5</v>
      </c>
      <c r="F533" s="50" t="s">
        <v>2174</v>
      </c>
      <c r="G533" s="54" t="n">
        <v>3826400</v>
      </c>
    </row>
    <row r="534" customFormat="false" ht="15" hidden="false" customHeight="false" outlineLevel="0" collapsed="false">
      <c r="A534" s="50" t="s">
        <v>385</v>
      </c>
      <c r="B534" s="51" t="n">
        <v>45691</v>
      </c>
      <c r="C534" s="50" t="s">
        <v>191</v>
      </c>
      <c r="D534" s="50" t="s">
        <v>2177</v>
      </c>
      <c r="E534" s="50" t="n">
        <v>3</v>
      </c>
      <c r="F534" s="50" t="s">
        <v>2174</v>
      </c>
      <c r="G534" s="54" t="n">
        <v>3351200</v>
      </c>
    </row>
    <row r="535" customFormat="false" ht="15" hidden="false" customHeight="false" outlineLevel="0" collapsed="false">
      <c r="A535" s="50" t="s">
        <v>385</v>
      </c>
      <c r="B535" s="51" t="n">
        <v>45691</v>
      </c>
      <c r="C535" s="50" t="s">
        <v>191</v>
      </c>
      <c r="D535" s="50" t="s">
        <v>2184</v>
      </c>
      <c r="E535" s="50" t="n">
        <v>5</v>
      </c>
      <c r="F535" s="50" t="s">
        <v>2167</v>
      </c>
      <c r="G535" s="54" t="n">
        <v>2696000</v>
      </c>
    </row>
    <row r="536" customFormat="false" ht="15" hidden="false" customHeight="false" outlineLevel="0" collapsed="false">
      <c r="A536" s="50" t="s">
        <v>386</v>
      </c>
      <c r="B536" s="51" t="n">
        <v>45691</v>
      </c>
      <c r="C536" s="50" t="s">
        <v>199</v>
      </c>
      <c r="D536" s="50" t="s">
        <v>2166</v>
      </c>
      <c r="E536" s="50" t="n">
        <v>1</v>
      </c>
      <c r="F536" s="50" t="s">
        <v>2167</v>
      </c>
      <c r="G536" s="54" t="n">
        <v>556800</v>
      </c>
    </row>
    <row r="537" customFormat="false" ht="15" hidden="false" customHeight="false" outlineLevel="0" collapsed="false">
      <c r="A537" s="50" t="s">
        <v>386</v>
      </c>
      <c r="B537" s="51" t="n">
        <v>45691</v>
      </c>
      <c r="C537" s="50" t="s">
        <v>199</v>
      </c>
      <c r="D537" s="50" t="s">
        <v>2168</v>
      </c>
      <c r="E537" s="50" t="n">
        <v>8</v>
      </c>
      <c r="F537" s="50" t="s">
        <v>2167</v>
      </c>
      <c r="G537" s="54" t="n">
        <v>3442600</v>
      </c>
    </row>
    <row r="538" customFormat="false" ht="15" hidden="false" customHeight="false" outlineLevel="0" collapsed="false">
      <c r="A538" s="50" t="s">
        <v>386</v>
      </c>
      <c r="B538" s="51" t="n">
        <v>45691</v>
      </c>
      <c r="C538" s="50" t="s">
        <v>199</v>
      </c>
      <c r="D538" s="50" t="s">
        <v>2180</v>
      </c>
      <c r="E538" s="50" t="n">
        <v>8</v>
      </c>
      <c r="F538" s="50" t="s">
        <v>2167</v>
      </c>
      <c r="G538" s="54" t="n">
        <v>3688800</v>
      </c>
    </row>
    <row r="539" customFormat="false" ht="15" hidden="false" customHeight="false" outlineLevel="0" collapsed="false">
      <c r="A539" s="50" t="s">
        <v>387</v>
      </c>
      <c r="B539" s="51" t="n">
        <v>45691</v>
      </c>
      <c r="C539" s="50" t="s">
        <v>205</v>
      </c>
      <c r="D539" s="50" t="s">
        <v>2169</v>
      </c>
      <c r="E539" s="50" t="n">
        <v>1</v>
      </c>
      <c r="F539" s="50" t="s">
        <v>2167</v>
      </c>
      <c r="G539" s="54" t="n">
        <v>598900</v>
      </c>
    </row>
    <row r="540" customFormat="false" ht="15" hidden="false" customHeight="false" outlineLevel="0" collapsed="false">
      <c r="A540" s="50" t="s">
        <v>388</v>
      </c>
      <c r="B540" s="51" t="n">
        <v>45691</v>
      </c>
      <c r="C540" s="50" t="s">
        <v>174</v>
      </c>
      <c r="D540" s="50" t="s">
        <v>2180</v>
      </c>
      <c r="E540" s="50" t="n">
        <v>8</v>
      </c>
      <c r="F540" s="50" t="s">
        <v>2167</v>
      </c>
      <c r="G540" s="54" t="n">
        <v>3589400</v>
      </c>
    </row>
    <row r="541" customFormat="false" ht="15" hidden="false" customHeight="false" outlineLevel="0" collapsed="false">
      <c r="A541" s="50" t="s">
        <v>388</v>
      </c>
      <c r="B541" s="51" t="n">
        <v>45691</v>
      </c>
      <c r="C541" s="50" t="s">
        <v>174</v>
      </c>
      <c r="D541" s="50" t="s">
        <v>2178</v>
      </c>
      <c r="E541" s="50" t="n">
        <v>5</v>
      </c>
      <c r="F541" s="50" t="s">
        <v>2167</v>
      </c>
      <c r="G541" s="54" t="n">
        <v>2407500</v>
      </c>
    </row>
    <row r="542" customFormat="false" ht="15" hidden="false" customHeight="false" outlineLevel="0" collapsed="false">
      <c r="A542" s="50" t="s">
        <v>388</v>
      </c>
      <c r="B542" s="51" t="n">
        <v>45691</v>
      </c>
      <c r="C542" s="50" t="s">
        <v>174</v>
      </c>
      <c r="D542" s="50" t="s">
        <v>2169</v>
      </c>
      <c r="E542" s="50" t="n">
        <v>6</v>
      </c>
      <c r="F542" s="50" t="s">
        <v>2167</v>
      </c>
      <c r="G542" s="54" t="n">
        <v>3865500</v>
      </c>
    </row>
    <row r="543" customFormat="false" ht="15" hidden="false" customHeight="false" outlineLevel="0" collapsed="false">
      <c r="A543" s="50" t="s">
        <v>388</v>
      </c>
      <c r="B543" s="51" t="n">
        <v>45691</v>
      </c>
      <c r="C543" s="50" t="s">
        <v>174</v>
      </c>
      <c r="D543" s="50" t="s">
        <v>2179</v>
      </c>
      <c r="E543" s="50" t="n">
        <v>7</v>
      </c>
      <c r="F543" s="50" t="s">
        <v>2174</v>
      </c>
      <c r="G543" s="54" t="n">
        <v>8451400</v>
      </c>
    </row>
    <row r="544" customFormat="false" ht="15" hidden="false" customHeight="false" outlineLevel="0" collapsed="false">
      <c r="A544" s="50" t="s">
        <v>389</v>
      </c>
      <c r="B544" s="51" t="n">
        <v>45691</v>
      </c>
      <c r="C544" s="50" t="s">
        <v>205</v>
      </c>
      <c r="D544" s="50" t="s">
        <v>2168</v>
      </c>
      <c r="E544" s="50" t="n">
        <v>7</v>
      </c>
      <c r="F544" s="50" t="s">
        <v>2167</v>
      </c>
      <c r="G544" s="54" t="n">
        <v>3031700</v>
      </c>
    </row>
    <row r="545" customFormat="false" ht="15" hidden="false" customHeight="false" outlineLevel="0" collapsed="false">
      <c r="A545" s="50" t="s">
        <v>389</v>
      </c>
      <c r="B545" s="51" t="n">
        <v>45691</v>
      </c>
      <c r="C545" s="50" t="s">
        <v>205</v>
      </c>
      <c r="D545" s="50" t="s">
        <v>2169</v>
      </c>
      <c r="E545" s="50" t="n">
        <v>7</v>
      </c>
      <c r="F545" s="50" t="s">
        <v>2167</v>
      </c>
      <c r="G545" s="54" t="n">
        <v>4465600</v>
      </c>
    </row>
    <row r="546" customFormat="false" ht="15" hidden="false" customHeight="false" outlineLevel="0" collapsed="false">
      <c r="A546" s="50" t="s">
        <v>389</v>
      </c>
      <c r="B546" s="51" t="n">
        <v>45691</v>
      </c>
      <c r="C546" s="50" t="s">
        <v>205</v>
      </c>
      <c r="D546" s="50" t="s">
        <v>2186</v>
      </c>
      <c r="E546" s="50" t="n">
        <v>1</v>
      </c>
      <c r="F546" s="50" t="s">
        <v>2167</v>
      </c>
      <c r="G546" s="54" t="n">
        <v>567700</v>
      </c>
    </row>
    <row r="547" customFormat="false" ht="15" hidden="false" customHeight="false" outlineLevel="0" collapsed="false">
      <c r="A547" s="50" t="s">
        <v>390</v>
      </c>
      <c r="B547" s="51" t="n">
        <v>45692</v>
      </c>
      <c r="C547" s="50" t="s">
        <v>216</v>
      </c>
      <c r="D547" s="50" t="s">
        <v>2186</v>
      </c>
      <c r="E547" s="50" t="n">
        <v>1</v>
      </c>
      <c r="F547" s="50" t="s">
        <v>2167</v>
      </c>
      <c r="G547" s="54" t="n">
        <v>586600</v>
      </c>
    </row>
    <row r="548" customFormat="false" ht="15" hidden="false" customHeight="false" outlineLevel="0" collapsed="false">
      <c r="A548" s="50" t="s">
        <v>390</v>
      </c>
      <c r="B548" s="51" t="n">
        <v>45692</v>
      </c>
      <c r="C548" s="50" t="s">
        <v>216</v>
      </c>
      <c r="D548" s="50" t="s">
        <v>2175</v>
      </c>
      <c r="E548" s="50" t="n">
        <v>3</v>
      </c>
      <c r="F548" s="50" t="s">
        <v>2167</v>
      </c>
      <c r="G548" s="54" t="n">
        <v>1968500</v>
      </c>
    </row>
    <row r="549" customFormat="false" ht="15" hidden="false" customHeight="false" outlineLevel="0" collapsed="false">
      <c r="A549" s="50" t="s">
        <v>390</v>
      </c>
      <c r="B549" s="51" t="n">
        <v>45692</v>
      </c>
      <c r="C549" s="50" t="s">
        <v>216</v>
      </c>
      <c r="D549" s="50" t="s">
        <v>2180</v>
      </c>
      <c r="E549" s="50" t="n">
        <v>7</v>
      </c>
      <c r="F549" s="50" t="s">
        <v>2167</v>
      </c>
      <c r="G549" s="54" t="n">
        <v>3179600</v>
      </c>
    </row>
    <row r="550" customFormat="false" ht="15" hidden="false" customHeight="false" outlineLevel="0" collapsed="false">
      <c r="A550" s="50" t="s">
        <v>391</v>
      </c>
      <c r="B550" s="51" t="n">
        <v>45692</v>
      </c>
      <c r="C550" s="50" t="s">
        <v>188</v>
      </c>
      <c r="D550" s="50" t="s">
        <v>2179</v>
      </c>
      <c r="E550" s="50" t="n">
        <v>6</v>
      </c>
      <c r="F550" s="50" t="s">
        <v>2174</v>
      </c>
      <c r="G550" s="54" t="n">
        <v>7526300</v>
      </c>
    </row>
    <row r="551" customFormat="false" ht="15" hidden="false" customHeight="false" outlineLevel="0" collapsed="false">
      <c r="A551" s="50" t="s">
        <v>391</v>
      </c>
      <c r="B551" s="51" t="n">
        <v>45692</v>
      </c>
      <c r="C551" s="50" t="s">
        <v>188</v>
      </c>
      <c r="D551" s="50" t="s">
        <v>2173</v>
      </c>
      <c r="E551" s="50" t="n">
        <v>4</v>
      </c>
      <c r="F551" s="50" t="s">
        <v>2174</v>
      </c>
      <c r="G551" s="54" t="n">
        <v>3325700</v>
      </c>
    </row>
    <row r="552" customFormat="false" ht="15" hidden="false" customHeight="false" outlineLevel="0" collapsed="false">
      <c r="A552" s="50" t="s">
        <v>391</v>
      </c>
      <c r="B552" s="51" t="n">
        <v>45692</v>
      </c>
      <c r="C552" s="50" t="s">
        <v>188</v>
      </c>
      <c r="D552" s="50" t="s">
        <v>2175</v>
      </c>
      <c r="E552" s="50" t="n">
        <v>4</v>
      </c>
      <c r="F552" s="50" t="s">
        <v>2167</v>
      </c>
      <c r="G552" s="54" t="n">
        <v>2559500</v>
      </c>
    </row>
    <row r="553" customFormat="false" ht="15" hidden="false" customHeight="false" outlineLevel="0" collapsed="false">
      <c r="A553" s="50" t="s">
        <v>392</v>
      </c>
      <c r="B553" s="51" t="n">
        <v>45692</v>
      </c>
      <c r="C553" s="50" t="s">
        <v>199</v>
      </c>
      <c r="D553" s="50" t="s">
        <v>2178</v>
      </c>
      <c r="E553" s="50" t="n">
        <v>8</v>
      </c>
      <c r="F553" s="50" t="s">
        <v>2167</v>
      </c>
      <c r="G553" s="54" t="n">
        <v>3820200</v>
      </c>
    </row>
    <row r="554" customFormat="false" ht="15" hidden="false" customHeight="false" outlineLevel="0" collapsed="false">
      <c r="A554" s="50" t="s">
        <v>392</v>
      </c>
      <c r="B554" s="51" t="n">
        <v>45692</v>
      </c>
      <c r="C554" s="50" t="s">
        <v>199</v>
      </c>
      <c r="D554" s="50" t="s">
        <v>2186</v>
      </c>
      <c r="E554" s="50" t="n">
        <v>4</v>
      </c>
      <c r="F554" s="50" t="s">
        <v>2167</v>
      </c>
      <c r="G554" s="54" t="n">
        <v>2357100</v>
      </c>
    </row>
    <row r="555" customFormat="false" ht="15" hidden="false" customHeight="false" outlineLevel="0" collapsed="false">
      <c r="A555" s="50" t="s">
        <v>393</v>
      </c>
      <c r="B555" s="51" t="n">
        <v>45692</v>
      </c>
      <c r="C555" s="50" t="s">
        <v>199</v>
      </c>
      <c r="D555" s="50" t="s">
        <v>2170</v>
      </c>
      <c r="E555" s="50" t="n">
        <v>1</v>
      </c>
      <c r="F555" s="50" t="s">
        <v>2171</v>
      </c>
      <c r="G555" s="54" t="n">
        <v>7445300</v>
      </c>
    </row>
    <row r="556" customFormat="false" ht="15" hidden="false" customHeight="false" outlineLevel="0" collapsed="false">
      <c r="A556" s="50" t="s">
        <v>393</v>
      </c>
      <c r="B556" s="51" t="n">
        <v>45692</v>
      </c>
      <c r="C556" s="50" t="s">
        <v>199</v>
      </c>
      <c r="D556" s="50" t="s">
        <v>2169</v>
      </c>
      <c r="E556" s="50" t="n">
        <v>1</v>
      </c>
      <c r="F556" s="50" t="s">
        <v>2167</v>
      </c>
      <c r="G556" s="54" t="n">
        <v>639400</v>
      </c>
    </row>
    <row r="557" customFormat="false" ht="15" hidden="false" customHeight="false" outlineLevel="0" collapsed="false">
      <c r="A557" s="50" t="s">
        <v>394</v>
      </c>
      <c r="B557" s="51" t="n">
        <v>45693</v>
      </c>
      <c r="C557" s="50" t="s">
        <v>395</v>
      </c>
      <c r="D557" s="50" t="s">
        <v>2186</v>
      </c>
      <c r="E557" s="50" t="n">
        <v>7</v>
      </c>
      <c r="F557" s="50" t="s">
        <v>2167</v>
      </c>
      <c r="G557" s="54" t="n">
        <v>3985100</v>
      </c>
    </row>
    <row r="558" customFormat="false" ht="15" hidden="false" customHeight="false" outlineLevel="0" collapsed="false">
      <c r="A558" s="50" t="s">
        <v>394</v>
      </c>
      <c r="B558" s="51" t="n">
        <v>45693</v>
      </c>
      <c r="C558" s="50" t="s">
        <v>395</v>
      </c>
      <c r="D558" s="50" t="s">
        <v>2169</v>
      </c>
      <c r="E558" s="50" t="n">
        <v>3</v>
      </c>
      <c r="F558" s="50" t="s">
        <v>2167</v>
      </c>
      <c r="G558" s="54" t="n">
        <v>1905100</v>
      </c>
    </row>
    <row r="559" customFormat="false" ht="15" hidden="false" customHeight="false" outlineLevel="0" collapsed="false">
      <c r="A559" s="50" t="s">
        <v>394</v>
      </c>
      <c r="B559" s="51" t="n">
        <v>45693</v>
      </c>
      <c r="C559" s="50" t="s">
        <v>395</v>
      </c>
      <c r="D559" s="50" t="s">
        <v>2183</v>
      </c>
      <c r="E559" s="50" t="n">
        <v>1</v>
      </c>
      <c r="F559" s="50" t="s">
        <v>2167</v>
      </c>
      <c r="G559" s="54" t="n">
        <v>378400</v>
      </c>
    </row>
    <row r="560" customFormat="false" ht="15" hidden="false" customHeight="false" outlineLevel="0" collapsed="false">
      <c r="A560" s="50" t="s">
        <v>394</v>
      </c>
      <c r="B560" s="51" t="n">
        <v>45693</v>
      </c>
      <c r="C560" s="50" t="s">
        <v>395</v>
      </c>
      <c r="D560" s="50" t="s">
        <v>2181</v>
      </c>
      <c r="E560" s="50" t="n">
        <v>4</v>
      </c>
      <c r="F560" s="50" t="s">
        <v>2167</v>
      </c>
      <c r="G560" s="54" t="n">
        <v>4445600</v>
      </c>
    </row>
    <row r="561" customFormat="false" ht="15" hidden="false" customHeight="false" outlineLevel="0" collapsed="false">
      <c r="A561" s="50" t="s">
        <v>396</v>
      </c>
      <c r="B561" s="51" t="n">
        <v>45693</v>
      </c>
      <c r="C561" s="50" t="s">
        <v>289</v>
      </c>
      <c r="D561" s="50" t="s">
        <v>2172</v>
      </c>
      <c r="E561" s="50" t="n">
        <v>3</v>
      </c>
      <c r="F561" s="50" t="s">
        <v>2167</v>
      </c>
      <c r="G561" s="54" t="n">
        <v>1563000</v>
      </c>
    </row>
    <row r="562" customFormat="false" ht="15" hidden="false" customHeight="false" outlineLevel="0" collapsed="false">
      <c r="A562" s="50" t="s">
        <v>396</v>
      </c>
      <c r="B562" s="51" t="n">
        <v>45693</v>
      </c>
      <c r="C562" s="50" t="s">
        <v>289</v>
      </c>
      <c r="D562" s="50" t="s">
        <v>2180</v>
      </c>
      <c r="E562" s="50" t="n">
        <v>5</v>
      </c>
      <c r="F562" s="50" t="s">
        <v>2167</v>
      </c>
      <c r="G562" s="54" t="n">
        <v>2290400</v>
      </c>
    </row>
    <row r="563" customFormat="false" ht="15" hidden="false" customHeight="false" outlineLevel="0" collapsed="false">
      <c r="A563" s="50" t="s">
        <v>396</v>
      </c>
      <c r="B563" s="51" t="n">
        <v>45693</v>
      </c>
      <c r="C563" s="50" t="s">
        <v>289</v>
      </c>
      <c r="D563" s="50" t="s">
        <v>2184</v>
      </c>
      <c r="E563" s="50" t="n">
        <v>4</v>
      </c>
      <c r="F563" s="50" t="s">
        <v>2167</v>
      </c>
      <c r="G563" s="54" t="n">
        <v>2261400</v>
      </c>
    </row>
    <row r="564" customFormat="false" ht="15" hidden="false" customHeight="false" outlineLevel="0" collapsed="false">
      <c r="A564" s="50" t="s">
        <v>398</v>
      </c>
      <c r="B564" s="51" t="n">
        <v>45693</v>
      </c>
      <c r="C564" s="50" t="s">
        <v>365</v>
      </c>
      <c r="D564" s="50" t="s">
        <v>2181</v>
      </c>
      <c r="E564" s="50" t="n">
        <v>3</v>
      </c>
      <c r="F564" s="50" t="s">
        <v>2167</v>
      </c>
      <c r="G564" s="54" t="n">
        <v>3380600</v>
      </c>
    </row>
    <row r="565" customFormat="false" ht="15" hidden="false" customHeight="false" outlineLevel="0" collapsed="false">
      <c r="A565" s="50" t="s">
        <v>398</v>
      </c>
      <c r="B565" s="51" t="n">
        <v>45693</v>
      </c>
      <c r="C565" s="50" t="s">
        <v>365</v>
      </c>
      <c r="D565" s="50" t="s">
        <v>2188</v>
      </c>
      <c r="E565" s="50" t="n">
        <v>8</v>
      </c>
      <c r="F565" s="50" t="s">
        <v>2167</v>
      </c>
      <c r="G565" s="54" t="n">
        <v>7567600</v>
      </c>
    </row>
    <row r="566" customFormat="false" ht="15" hidden="false" customHeight="false" outlineLevel="0" collapsed="false">
      <c r="A566" s="50" t="s">
        <v>398</v>
      </c>
      <c r="B566" s="51" t="n">
        <v>45693</v>
      </c>
      <c r="C566" s="50" t="s">
        <v>365</v>
      </c>
      <c r="D566" s="50" t="s">
        <v>2170</v>
      </c>
      <c r="E566" s="50" t="n">
        <v>2</v>
      </c>
      <c r="F566" s="50" t="s">
        <v>2171</v>
      </c>
      <c r="G566" s="54" t="n">
        <v>15149400</v>
      </c>
    </row>
    <row r="567" customFormat="false" ht="15" hidden="false" customHeight="false" outlineLevel="0" collapsed="false">
      <c r="A567" s="50" t="s">
        <v>398</v>
      </c>
      <c r="B567" s="51" t="n">
        <v>45693</v>
      </c>
      <c r="C567" s="50" t="s">
        <v>365</v>
      </c>
      <c r="D567" s="50" t="s">
        <v>2179</v>
      </c>
      <c r="E567" s="50" t="n">
        <v>5</v>
      </c>
      <c r="F567" s="50" t="s">
        <v>2174</v>
      </c>
      <c r="G567" s="54" t="n">
        <v>6035300</v>
      </c>
    </row>
    <row r="568" customFormat="false" ht="15" hidden="false" customHeight="false" outlineLevel="0" collapsed="false">
      <c r="A568" s="50" t="s">
        <v>399</v>
      </c>
      <c r="B568" s="51" t="n">
        <v>45693</v>
      </c>
      <c r="C568" s="50" t="s">
        <v>298</v>
      </c>
      <c r="D568" s="50" t="s">
        <v>2182</v>
      </c>
      <c r="E568" s="50" t="n">
        <v>1</v>
      </c>
      <c r="F568" s="50" t="s">
        <v>2174</v>
      </c>
      <c r="G568" s="54" t="n">
        <v>926100</v>
      </c>
    </row>
    <row r="569" customFormat="false" ht="15" hidden="false" customHeight="false" outlineLevel="0" collapsed="false">
      <c r="A569" s="50" t="s">
        <v>399</v>
      </c>
      <c r="B569" s="51" t="n">
        <v>45693</v>
      </c>
      <c r="C569" s="50" t="s">
        <v>298</v>
      </c>
      <c r="D569" s="50" t="s">
        <v>2168</v>
      </c>
      <c r="E569" s="50" t="n">
        <v>4</v>
      </c>
      <c r="F569" s="50" t="s">
        <v>2167</v>
      </c>
      <c r="G569" s="54" t="n">
        <v>1705900</v>
      </c>
    </row>
    <row r="570" customFormat="false" ht="15" hidden="false" customHeight="false" outlineLevel="0" collapsed="false">
      <c r="A570" s="50" t="s">
        <v>399</v>
      </c>
      <c r="B570" s="51" t="n">
        <v>45693</v>
      </c>
      <c r="C570" s="50" t="s">
        <v>298</v>
      </c>
      <c r="D570" s="50" t="s">
        <v>2172</v>
      </c>
      <c r="E570" s="50" t="n">
        <v>7</v>
      </c>
      <c r="F570" s="50" t="s">
        <v>2167</v>
      </c>
      <c r="G570" s="54" t="n">
        <v>3766500</v>
      </c>
    </row>
    <row r="571" customFormat="false" ht="15" hidden="false" customHeight="false" outlineLevel="0" collapsed="false">
      <c r="A571" s="50" t="s">
        <v>400</v>
      </c>
      <c r="B571" s="51" t="n">
        <v>45693</v>
      </c>
      <c r="C571" s="50" t="s">
        <v>256</v>
      </c>
      <c r="D571" s="50" t="s">
        <v>2179</v>
      </c>
      <c r="E571" s="50" t="n">
        <v>2</v>
      </c>
      <c r="F571" s="50" t="s">
        <v>2174</v>
      </c>
      <c r="G571" s="54" t="n">
        <v>2496500</v>
      </c>
    </row>
    <row r="572" customFormat="false" ht="15" hidden="false" customHeight="false" outlineLevel="0" collapsed="false">
      <c r="A572" s="50" t="s">
        <v>401</v>
      </c>
      <c r="B572" s="51" t="n">
        <v>45693</v>
      </c>
      <c r="C572" s="50" t="s">
        <v>166</v>
      </c>
      <c r="D572" s="50" t="s">
        <v>2168</v>
      </c>
      <c r="E572" s="50" t="n">
        <v>2</v>
      </c>
      <c r="F572" s="50" t="s">
        <v>2167</v>
      </c>
      <c r="G572" s="54" t="n">
        <v>846700</v>
      </c>
    </row>
    <row r="573" customFormat="false" ht="15" hidden="false" customHeight="false" outlineLevel="0" collapsed="false">
      <c r="A573" s="50" t="s">
        <v>401</v>
      </c>
      <c r="B573" s="51" t="n">
        <v>45693</v>
      </c>
      <c r="C573" s="50" t="s">
        <v>166</v>
      </c>
      <c r="D573" s="50" t="s">
        <v>2175</v>
      </c>
      <c r="E573" s="50" t="n">
        <v>6</v>
      </c>
      <c r="F573" s="50" t="s">
        <v>2167</v>
      </c>
      <c r="G573" s="54" t="n">
        <v>3740000</v>
      </c>
    </row>
    <row r="574" customFormat="false" ht="15" hidden="false" customHeight="false" outlineLevel="0" collapsed="false">
      <c r="A574" s="50" t="s">
        <v>401</v>
      </c>
      <c r="B574" s="51" t="n">
        <v>45693</v>
      </c>
      <c r="C574" s="50" t="s">
        <v>166</v>
      </c>
      <c r="D574" s="50" t="s">
        <v>2169</v>
      </c>
      <c r="E574" s="50" t="n">
        <v>4</v>
      </c>
      <c r="F574" s="50" t="s">
        <v>2167</v>
      </c>
      <c r="G574" s="54" t="n">
        <v>2484900</v>
      </c>
    </row>
    <row r="575" customFormat="false" ht="15" hidden="false" customHeight="false" outlineLevel="0" collapsed="false">
      <c r="A575" s="50" t="s">
        <v>402</v>
      </c>
      <c r="B575" s="51" t="n">
        <v>45694</v>
      </c>
      <c r="C575" s="50" t="s">
        <v>403</v>
      </c>
      <c r="D575" s="50" t="s">
        <v>2186</v>
      </c>
      <c r="E575" s="50" t="n">
        <v>1</v>
      </c>
      <c r="F575" s="50" t="s">
        <v>2167</v>
      </c>
      <c r="G575" s="54" t="n">
        <v>591500</v>
      </c>
    </row>
    <row r="576" customFormat="false" ht="15" hidden="false" customHeight="false" outlineLevel="0" collapsed="false">
      <c r="A576" s="50" t="s">
        <v>402</v>
      </c>
      <c r="B576" s="51" t="n">
        <v>45694</v>
      </c>
      <c r="C576" s="50" t="s">
        <v>403</v>
      </c>
      <c r="D576" s="50" t="s">
        <v>2183</v>
      </c>
      <c r="E576" s="50" t="n">
        <v>7</v>
      </c>
      <c r="F576" s="50" t="s">
        <v>2167</v>
      </c>
      <c r="G576" s="54" t="n">
        <v>2572900</v>
      </c>
    </row>
    <row r="577" customFormat="false" ht="15" hidden="false" customHeight="false" outlineLevel="0" collapsed="false">
      <c r="A577" s="50" t="s">
        <v>402</v>
      </c>
      <c r="B577" s="51" t="n">
        <v>45694</v>
      </c>
      <c r="C577" s="50" t="s">
        <v>403</v>
      </c>
      <c r="D577" s="50" t="s">
        <v>2178</v>
      </c>
      <c r="E577" s="50" t="n">
        <v>3</v>
      </c>
      <c r="F577" s="50" t="s">
        <v>2167</v>
      </c>
      <c r="G577" s="54" t="n">
        <v>1480100</v>
      </c>
    </row>
    <row r="578" customFormat="false" ht="15" hidden="false" customHeight="false" outlineLevel="0" collapsed="false">
      <c r="A578" s="50" t="s">
        <v>402</v>
      </c>
      <c r="B578" s="51" t="n">
        <v>45694</v>
      </c>
      <c r="C578" s="50" t="s">
        <v>403</v>
      </c>
      <c r="D578" s="50" t="s">
        <v>2185</v>
      </c>
      <c r="E578" s="50" t="n">
        <v>8</v>
      </c>
      <c r="F578" s="50" t="s">
        <v>2174</v>
      </c>
      <c r="G578" s="54" t="n">
        <v>6177000</v>
      </c>
    </row>
    <row r="579" customFormat="false" ht="15" hidden="false" customHeight="false" outlineLevel="0" collapsed="false">
      <c r="A579" s="50" t="s">
        <v>402</v>
      </c>
      <c r="B579" s="51" t="n">
        <v>45694</v>
      </c>
      <c r="C579" s="50" t="s">
        <v>403</v>
      </c>
      <c r="D579" s="50" t="s">
        <v>2177</v>
      </c>
      <c r="E579" s="50" t="n">
        <v>8</v>
      </c>
      <c r="F579" s="50" t="s">
        <v>2174</v>
      </c>
      <c r="G579" s="54" t="n">
        <v>8645400</v>
      </c>
    </row>
    <row r="580" customFormat="false" ht="15" hidden="false" customHeight="false" outlineLevel="0" collapsed="false">
      <c r="A580" s="50" t="s">
        <v>402</v>
      </c>
      <c r="B580" s="51" t="n">
        <v>45694</v>
      </c>
      <c r="C580" s="50" t="s">
        <v>403</v>
      </c>
      <c r="D580" s="50" t="s">
        <v>2169</v>
      </c>
      <c r="E580" s="50" t="n">
        <v>8</v>
      </c>
      <c r="F580" s="50" t="s">
        <v>2167</v>
      </c>
      <c r="G580" s="54" t="n">
        <v>4956200</v>
      </c>
    </row>
    <row r="581" customFormat="false" ht="15" hidden="false" customHeight="false" outlineLevel="0" collapsed="false">
      <c r="A581" s="50" t="s">
        <v>402</v>
      </c>
      <c r="B581" s="51" t="n">
        <v>45694</v>
      </c>
      <c r="C581" s="50" t="s">
        <v>403</v>
      </c>
      <c r="D581" s="50" t="s">
        <v>2180</v>
      </c>
      <c r="E581" s="50" t="n">
        <v>1</v>
      </c>
      <c r="F581" s="50" t="s">
        <v>2167</v>
      </c>
      <c r="G581" s="54" t="n">
        <v>459000</v>
      </c>
    </row>
    <row r="582" customFormat="false" ht="15" hidden="false" customHeight="false" outlineLevel="0" collapsed="false">
      <c r="A582" s="50" t="s">
        <v>404</v>
      </c>
      <c r="B582" s="51" t="n">
        <v>45694</v>
      </c>
      <c r="C582" s="50" t="s">
        <v>405</v>
      </c>
      <c r="D582" s="50" t="s">
        <v>2172</v>
      </c>
      <c r="E582" s="50" t="n">
        <v>5</v>
      </c>
      <c r="F582" s="50" t="s">
        <v>2167</v>
      </c>
      <c r="G582" s="54" t="n">
        <v>2689100</v>
      </c>
    </row>
    <row r="583" customFormat="false" ht="15" hidden="false" customHeight="false" outlineLevel="0" collapsed="false">
      <c r="A583" s="50" t="s">
        <v>404</v>
      </c>
      <c r="B583" s="51" t="n">
        <v>45694</v>
      </c>
      <c r="C583" s="50" t="s">
        <v>405</v>
      </c>
      <c r="D583" s="50" t="s">
        <v>2169</v>
      </c>
      <c r="E583" s="50" t="n">
        <v>1</v>
      </c>
      <c r="F583" s="50" t="s">
        <v>2167</v>
      </c>
      <c r="G583" s="54" t="n">
        <v>608700</v>
      </c>
    </row>
    <row r="584" customFormat="false" ht="15" hidden="false" customHeight="false" outlineLevel="0" collapsed="false">
      <c r="A584" s="50" t="s">
        <v>404</v>
      </c>
      <c r="B584" s="51" t="n">
        <v>45694</v>
      </c>
      <c r="C584" s="50" t="s">
        <v>405</v>
      </c>
      <c r="D584" s="50" t="s">
        <v>2186</v>
      </c>
      <c r="E584" s="50" t="n">
        <v>3</v>
      </c>
      <c r="F584" s="50" t="s">
        <v>2167</v>
      </c>
      <c r="G584" s="54" t="n">
        <v>1758700</v>
      </c>
    </row>
    <row r="585" customFormat="false" ht="15" hidden="false" customHeight="false" outlineLevel="0" collapsed="false">
      <c r="A585" s="50" t="s">
        <v>404</v>
      </c>
      <c r="B585" s="51" t="n">
        <v>45694</v>
      </c>
      <c r="C585" s="50" t="s">
        <v>405</v>
      </c>
      <c r="D585" s="50" t="s">
        <v>2176</v>
      </c>
      <c r="E585" s="50" t="n">
        <v>1</v>
      </c>
      <c r="F585" s="50" t="s">
        <v>2167</v>
      </c>
      <c r="G585" s="54" t="n">
        <v>427500</v>
      </c>
    </row>
    <row r="586" customFormat="false" ht="15" hidden="false" customHeight="false" outlineLevel="0" collapsed="false">
      <c r="A586" s="50" t="s">
        <v>404</v>
      </c>
      <c r="B586" s="51" t="n">
        <v>45694</v>
      </c>
      <c r="C586" s="50" t="s">
        <v>405</v>
      </c>
      <c r="D586" s="50" t="s">
        <v>2184</v>
      </c>
      <c r="E586" s="50" t="n">
        <v>1</v>
      </c>
      <c r="F586" s="50" t="s">
        <v>2167</v>
      </c>
      <c r="G586" s="54" t="n">
        <v>555800</v>
      </c>
    </row>
    <row r="587" customFormat="false" ht="15" hidden="false" customHeight="false" outlineLevel="0" collapsed="false">
      <c r="A587" s="50" t="s">
        <v>406</v>
      </c>
      <c r="B587" s="51" t="n">
        <v>45694</v>
      </c>
      <c r="C587" s="50" t="s">
        <v>166</v>
      </c>
      <c r="D587" s="50" t="s">
        <v>2176</v>
      </c>
      <c r="E587" s="50" t="n">
        <v>8</v>
      </c>
      <c r="F587" s="50" t="s">
        <v>2167</v>
      </c>
      <c r="G587" s="54" t="n">
        <v>3297600</v>
      </c>
    </row>
    <row r="588" customFormat="false" ht="15" hidden="false" customHeight="false" outlineLevel="0" collapsed="false">
      <c r="A588" s="50" t="s">
        <v>406</v>
      </c>
      <c r="B588" s="51" t="n">
        <v>45694</v>
      </c>
      <c r="C588" s="50" t="s">
        <v>166</v>
      </c>
      <c r="D588" s="50" t="s">
        <v>2166</v>
      </c>
      <c r="E588" s="50" t="n">
        <v>7</v>
      </c>
      <c r="F588" s="50" t="s">
        <v>2167</v>
      </c>
      <c r="G588" s="54" t="n">
        <v>3856400</v>
      </c>
    </row>
    <row r="589" customFormat="false" ht="15" hidden="false" customHeight="false" outlineLevel="0" collapsed="false">
      <c r="A589" s="50" t="s">
        <v>407</v>
      </c>
      <c r="B589" s="51" t="n">
        <v>45694</v>
      </c>
      <c r="C589" s="50" t="s">
        <v>408</v>
      </c>
      <c r="D589" s="50" t="s">
        <v>2186</v>
      </c>
      <c r="E589" s="50" t="n">
        <v>7</v>
      </c>
      <c r="F589" s="50" t="s">
        <v>2167</v>
      </c>
      <c r="G589" s="54" t="n">
        <v>4019100</v>
      </c>
    </row>
    <row r="590" customFormat="false" ht="15" hidden="false" customHeight="false" outlineLevel="0" collapsed="false">
      <c r="A590" s="50" t="s">
        <v>407</v>
      </c>
      <c r="B590" s="51" t="n">
        <v>45694</v>
      </c>
      <c r="C590" s="50" t="s">
        <v>408</v>
      </c>
      <c r="D590" s="50" t="s">
        <v>2180</v>
      </c>
      <c r="E590" s="50" t="n">
        <v>6</v>
      </c>
      <c r="F590" s="50" t="s">
        <v>2167</v>
      </c>
      <c r="G590" s="54" t="n">
        <v>2632300</v>
      </c>
    </row>
    <row r="591" customFormat="false" ht="15" hidden="false" customHeight="false" outlineLevel="0" collapsed="false">
      <c r="A591" s="50" t="s">
        <v>407</v>
      </c>
      <c r="B591" s="51" t="n">
        <v>45694</v>
      </c>
      <c r="C591" s="50" t="s">
        <v>408</v>
      </c>
      <c r="D591" s="50" t="s">
        <v>2176</v>
      </c>
      <c r="E591" s="50" t="n">
        <v>2</v>
      </c>
      <c r="F591" s="50" t="s">
        <v>2167</v>
      </c>
      <c r="G591" s="54" t="n">
        <v>859900</v>
      </c>
    </row>
    <row r="592" customFormat="false" ht="15" hidden="false" customHeight="false" outlineLevel="0" collapsed="false">
      <c r="A592" s="50" t="s">
        <v>407</v>
      </c>
      <c r="B592" s="51" t="n">
        <v>45694</v>
      </c>
      <c r="C592" s="50" t="s">
        <v>408</v>
      </c>
      <c r="D592" s="50" t="s">
        <v>2169</v>
      </c>
      <c r="E592" s="50" t="n">
        <v>1</v>
      </c>
      <c r="F592" s="50" t="s">
        <v>2167</v>
      </c>
      <c r="G592" s="54" t="n">
        <v>600900</v>
      </c>
    </row>
    <row r="593" customFormat="false" ht="15" hidden="false" customHeight="false" outlineLevel="0" collapsed="false">
      <c r="A593" s="50" t="s">
        <v>407</v>
      </c>
      <c r="B593" s="51" t="n">
        <v>45694</v>
      </c>
      <c r="C593" s="50" t="s">
        <v>408</v>
      </c>
      <c r="D593" s="50" t="s">
        <v>2185</v>
      </c>
      <c r="E593" s="50" t="n">
        <v>2</v>
      </c>
      <c r="F593" s="50" t="s">
        <v>2174</v>
      </c>
      <c r="G593" s="54" t="n">
        <v>1602900</v>
      </c>
    </row>
    <row r="594" customFormat="false" ht="15" hidden="false" customHeight="false" outlineLevel="0" collapsed="false">
      <c r="A594" s="50" t="s">
        <v>409</v>
      </c>
      <c r="B594" s="51" t="n">
        <v>45694</v>
      </c>
      <c r="C594" s="50" t="s">
        <v>410</v>
      </c>
      <c r="D594" s="50" t="s">
        <v>2173</v>
      </c>
      <c r="E594" s="50" t="n">
        <v>8</v>
      </c>
      <c r="F594" s="50" t="s">
        <v>2174</v>
      </c>
      <c r="G594" s="54" t="n">
        <v>6347800</v>
      </c>
    </row>
    <row r="595" customFormat="false" ht="15" hidden="false" customHeight="false" outlineLevel="0" collapsed="false">
      <c r="A595" s="50" t="s">
        <v>409</v>
      </c>
      <c r="B595" s="51" t="n">
        <v>45694</v>
      </c>
      <c r="C595" s="50" t="s">
        <v>410</v>
      </c>
      <c r="D595" s="50" t="s">
        <v>2186</v>
      </c>
      <c r="E595" s="50" t="n">
        <v>3</v>
      </c>
      <c r="F595" s="50" t="s">
        <v>2167</v>
      </c>
      <c r="G595" s="54" t="n">
        <v>1716900</v>
      </c>
    </row>
    <row r="596" customFormat="false" ht="15" hidden="false" customHeight="false" outlineLevel="0" collapsed="false">
      <c r="A596" s="50" t="s">
        <v>409</v>
      </c>
      <c r="B596" s="51" t="n">
        <v>45694</v>
      </c>
      <c r="C596" s="50" t="s">
        <v>410</v>
      </c>
      <c r="D596" s="50" t="s">
        <v>2185</v>
      </c>
      <c r="E596" s="50" t="n">
        <v>6</v>
      </c>
      <c r="F596" s="50" t="s">
        <v>2174</v>
      </c>
      <c r="G596" s="54" t="n">
        <v>4852200</v>
      </c>
    </row>
    <row r="597" customFormat="false" ht="15" hidden="false" customHeight="false" outlineLevel="0" collapsed="false">
      <c r="A597" s="50" t="s">
        <v>411</v>
      </c>
      <c r="B597" s="51" t="n">
        <v>45695</v>
      </c>
      <c r="C597" s="50" t="s">
        <v>166</v>
      </c>
      <c r="D597" s="50" t="s">
        <v>2173</v>
      </c>
      <c r="E597" s="50" t="n">
        <v>6</v>
      </c>
      <c r="F597" s="50" t="s">
        <v>2174</v>
      </c>
      <c r="G597" s="54" t="n">
        <v>4826900</v>
      </c>
    </row>
    <row r="598" customFormat="false" ht="15" hidden="false" customHeight="false" outlineLevel="0" collapsed="false">
      <c r="A598" s="50" t="s">
        <v>411</v>
      </c>
      <c r="B598" s="51" t="n">
        <v>45695</v>
      </c>
      <c r="C598" s="50" t="s">
        <v>166</v>
      </c>
      <c r="D598" s="50" t="s">
        <v>2175</v>
      </c>
      <c r="E598" s="50" t="n">
        <v>7</v>
      </c>
      <c r="F598" s="50" t="s">
        <v>2167</v>
      </c>
      <c r="G598" s="54" t="n">
        <v>4637500</v>
      </c>
    </row>
    <row r="599" customFormat="false" ht="15" hidden="false" customHeight="false" outlineLevel="0" collapsed="false">
      <c r="A599" s="50" t="s">
        <v>411</v>
      </c>
      <c r="B599" s="51" t="n">
        <v>45695</v>
      </c>
      <c r="C599" s="50" t="s">
        <v>166</v>
      </c>
      <c r="D599" s="50" t="s">
        <v>2172</v>
      </c>
      <c r="E599" s="50" t="n">
        <v>4</v>
      </c>
      <c r="F599" s="50" t="s">
        <v>2167</v>
      </c>
      <c r="G599" s="54" t="n">
        <v>2088300</v>
      </c>
    </row>
    <row r="600" customFormat="false" ht="15" hidden="false" customHeight="false" outlineLevel="0" collapsed="false">
      <c r="A600" s="50" t="s">
        <v>411</v>
      </c>
      <c r="B600" s="51" t="n">
        <v>45695</v>
      </c>
      <c r="C600" s="50" t="s">
        <v>166</v>
      </c>
      <c r="D600" s="50" t="s">
        <v>2176</v>
      </c>
      <c r="E600" s="50" t="n">
        <v>4</v>
      </c>
      <c r="F600" s="50" t="s">
        <v>2167</v>
      </c>
      <c r="G600" s="54" t="n">
        <v>1676400</v>
      </c>
    </row>
    <row r="601" customFormat="false" ht="15" hidden="false" customHeight="false" outlineLevel="0" collapsed="false">
      <c r="A601" s="50" t="s">
        <v>412</v>
      </c>
      <c r="B601" s="51" t="n">
        <v>45695</v>
      </c>
      <c r="C601" s="50" t="s">
        <v>223</v>
      </c>
      <c r="D601" s="50" t="s">
        <v>2166</v>
      </c>
      <c r="E601" s="50" t="n">
        <v>4</v>
      </c>
      <c r="F601" s="50" t="s">
        <v>2167</v>
      </c>
      <c r="G601" s="54" t="n">
        <v>2162000</v>
      </c>
    </row>
    <row r="602" customFormat="false" ht="15" hidden="false" customHeight="false" outlineLevel="0" collapsed="false">
      <c r="A602" s="50" t="s">
        <v>412</v>
      </c>
      <c r="B602" s="51" t="n">
        <v>45695</v>
      </c>
      <c r="C602" s="50" t="s">
        <v>223</v>
      </c>
      <c r="D602" s="50" t="s">
        <v>2180</v>
      </c>
      <c r="E602" s="50" t="n">
        <v>8</v>
      </c>
      <c r="F602" s="50" t="s">
        <v>2167</v>
      </c>
      <c r="G602" s="54" t="n">
        <v>3726000</v>
      </c>
    </row>
    <row r="603" customFormat="false" ht="15" hidden="false" customHeight="false" outlineLevel="0" collapsed="false">
      <c r="A603" s="50" t="s">
        <v>412</v>
      </c>
      <c r="B603" s="51" t="n">
        <v>45695</v>
      </c>
      <c r="C603" s="50" t="s">
        <v>223</v>
      </c>
      <c r="D603" s="50" t="s">
        <v>2178</v>
      </c>
      <c r="E603" s="50" t="n">
        <v>5</v>
      </c>
      <c r="F603" s="50" t="s">
        <v>2167</v>
      </c>
      <c r="G603" s="54" t="n">
        <v>2371100</v>
      </c>
    </row>
    <row r="604" customFormat="false" ht="15" hidden="false" customHeight="false" outlineLevel="0" collapsed="false">
      <c r="A604" s="50" t="s">
        <v>412</v>
      </c>
      <c r="B604" s="51" t="n">
        <v>45695</v>
      </c>
      <c r="C604" s="50" t="s">
        <v>223</v>
      </c>
      <c r="D604" s="50" t="s">
        <v>2184</v>
      </c>
      <c r="E604" s="50" t="n">
        <v>2</v>
      </c>
      <c r="F604" s="50" t="s">
        <v>2167</v>
      </c>
      <c r="G604" s="54" t="n">
        <v>1103300</v>
      </c>
    </row>
    <row r="605" customFormat="false" ht="15" hidden="false" customHeight="false" outlineLevel="0" collapsed="false">
      <c r="A605" s="50" t="s">
        <v>413</v>
      </c>
      <c r="B605" s="51" t="n">
        <v>45695</v>
      </c>
      <c r="C605" s="50" t="s">
        <v>382</v>
      </c>
      <c r="D605" s="50" t="s">
        <v>2179</v>
      </c>
      <c r="E605" s="50" t="n">
        <v>6</v>
      </c>
      <c r="F605" s="50" t="s">
        <v>2174</v>
      </c>
      <c r="G605" s="54" t="n">
        <v>7386800</v>
      </c>
    </row>
    <row r="606" customFormat="false" ht="15" hidden="false" customHeight="false" outlineLevel="0" collapsed="false">
      <c r="A606" s="50" t="s">
        <v>413</v>
      </c>
      <c r="B606" s="51" t="n">
        <v>45695</v>
      </c>
      <c r="C606" s="50" t="s">
        <v>382</v>
      </c>
      <c r="D606" s="50" t="s">
        <v>2173</v>
      </c>
      <c r="E606" s="50" t="n">
        <v>7</v>
      </c>
      <c r="F606" s="50" t="s">
        <v>2174</v>
      </c>
      <c r="G606" s="54" t="n">
        <v>5551900</v>
      </c>
    </row>
    <row r="607" customFormat="false" ht="15" hidden="false" customHeight="false" outlineLevel="0" collapsed="false">
      <c r="A607" s="50" t="s">
        <v>413</v>
      </c>
      <c r="B607" s="51" t="n">
        <v>45695</v>
      </c>
      <c r="C607" s="50" t="s">
        <v>382</v>
      </c>
      <c r="D607" s="50" t="s">
        <v>2183</v>
      </c>
      <c r="E607" s="50" t="n">
        <v>6</v>
      </c>
      <c r="F607" s="50" t="s">
        <v>2167</v>
      </c>
      <c r="G607" s="54" t="n">
        <v>2305500</v>
      </c>
    </row>
    <row r="608" customFormat="false" ht="15" hidden="false" customHeight="false" outlineLevel="0" collapsed="false">
      <c r="A608" s="50" t="s">
        <v>414</v>
      </c>
      <c r="B608" s="51" t="n">
        <v>45695</v>
      </c>
      <c r="C608" s="50" t="s">
        <v>168</v>
      </c>
      <c r="D608" s="50" t="s">
        <v>2172</v>
      </c>
      <c r="E608" s="50" t="n">
        <v>4</v>
      </c>
      <c r="F608" s="50" t="s">
        <v>2167</v>
      </c>
      <c r="G608" s="54" t="n">
        <v>2038100</v>
      </c>
    </row>
    <row r="609" customFormat="false" ht="15" hidden="false" customHeight="false" outlineLevel="0" collapsed="false">
      <c r="A609" s="50" t="s">
        <v>414</v>
      </c>
      <c r="B609" s="51" t="n">
        <v>45695</v>
      </c>
      <c r="C609" s="50" t="s">
        <v>168</v>
      </c>
      <c r="D609" s="50" t="s">
        <v>2186</v>
      </c>
      <c r="E609" s="50" t="n">
        <v>1</v>
      </c>
      <c r="F609" s="50" t="s">
        <v>2167</v>
      </c>
      <c r="G609" s="54" t="n">
        <v>594600</v>
      </c>
    </row>
    <row r="610" customFormat="false" ht="15" hidden="false" customHeight="false" outlineLevel="0" collapsed="false">
      <c r="A610" s="50" t="s">
        <v>415</v>
      </c>
      <c r="B610" s="51" t="n">
        <v>45695</v>
      </c>
      <c r="C610" s="50" t="s">
        <v>416</v>
      </c>
      <c r="D610" s="50" t="s">
        <v>2185</v>
      </c>
      <c r="E610" s="50" t="n">
        <v>5</v>
      </c>
      <c r="F610" s="50" t="s">
        <v>2174</v>
      </c>
      <c r="G610" s="54" t="n">
        <v>3987900</v>
      </c>
    </row>
    <row r="611" customFormat="false" ht="15" hidden="false" customHeight="false" outlineLevel="0" collapsed="false">
      <c r="A611" s="50" t="s">
        <v>415</v>
      </c>
      <c r="B611" s="51" t="n">
        <v>45695</v>
      </c>
      <c r="C611" s="50" t="s">
        <v>416</v>
      </c>
      <c r="D611" s="50" t="s">
        <v>2180</v>
      </c>
      <c r="E611" s="50" t="n">
        <v>2</v>
      </c>
      <c r="F611" s="50" t="s">
        <v>2167</v>
      </c>
      <c r="G611" s="54" t="n">
        <v>885100</v>
      </c>
    </row>
    <row r="612" customFormat="false" ht="15" hidden="false" customHeight="false" outlineLevel="0" collapsed="false">
      <c r="A612" s="50" t="s">
        <v>415</v>
      </c>
      <c r="B612" s="51" t="n">
        <v>45695</v>
      </c>
      <c r="C612" s="50" t="s">
        <v>416</v>
      </c>
      <c r="D612" s="50" t="s">
        <v>2172</v>
      </c>
      <c r="E612" s="50" t="n">
        <v>7</v>
      </c>
      <c r="F612" s="50" t="s">
        <v>2167</v>
      </c>
      <c r="G612" s="54" t="n">
        <v>3603200</v>
      </c>
    </row>
    <row r="613" customFormat="false" ht="15" hidden="false" customHeight="false" outlineLevel="0" collapsed="false">
      <c r="A613" s="50" t="s">
        <v>415</v>
      </c>
      <c r="B613" s="51" t="n">
        <v>45695</v>
      </c>
      <c r="C613" s="50" t="s">
        <v>416</v>
      </c>
      <c r="D613" s="50" t="s">
        <v>2188</v>
      </c>
      <c r="E613" s="50" t="n">
        <v>2</v>
      </c>
      <c r="F613" s="50" t="s">
        <v>2167</v>
      </c>
      <c r="G613" s="54" t="n">
        <v>1973000</v>
      </c>
    </row>
    <row r="614" customFormat="false" ht="15" hidden="false" customHeight="false" outlineLevel="0" collapsed="false">
      <c r="A614" s="50" t="s">
        <v>415</v>
      </c>
      <c r="B614" s="51" t="n">
        <v>45695</v>
      </c>
      <c r="C614" s="50" t="s">
        <v>416</v>
      </c>
      <c r="D614" s="50" t="s">
        <v>2178</v>
      </c>
      <c r="E614" s="50" t="n">
        <v>4</v>
      </c>
      <c r="F614" s="50" t="s">
        <v>2167</v>
      </c>
      <c r="G614" s="54" t="n">
        <v>1897200</v>
      </c>
    </row>
    <row r="615" customFormat="false" ht="15" hidden="false" customHeight="false" outlineLevel="0" collapsed="false">
      <c r="A615" s="50" t="s">
        <v>415</v>
      </c>
      <c r="B615" s="51" t="n">
        <v>45695</v>
      </c>
      <c r="C615" s="50" t="s">
        <v>416</v>
      </c>
      <c r="D615" s="50" t="s">
        <v>2187</v>
      </c>
      <c r="E615" s="50" t="n">
        <v>5</v>
      </c>
      <c r="F615" s="50" t="s">
        <v>2167</v>
      </c>
      <c r="G615" s="54" t="n">
        <v>1783700</v>
      </c>
    </row>
    <row r="616" customFormat="false" ht="15" hidden="false" customHeight="false" outlineLevel="0" collapsed="false">
      <c r="A616" s="50" t="s">
        <v>415</v>
      </c>
      <c r="B616" s="51" t="n">
        <v>45695</v>
      </c>
      <c r="C616" s="50" t="s">
        <v>416</v>
      </c>
      <c r="D616" s="50" t="s">
        <v>2181</v>
      </c>
      <c r="E616" s="50" t="n">
        <v>3</v>
      </c>
      <c r="F616" s="50" t="s">
        <v>2167</v>
      </c>
      <c r="G616" s="54" t="n">
        <v>3433200</v>
      </c>
    </row>
    <row r="617" customFormat="false" ht="15" hidden="false" customHeight="false" outlineLevel="0" collapsed="false">
      <c r="A617" s="50" t="s">
        <v>415</v>
      </c>
      <c r="B617" s="51" t="n">
        <v>45695</v>
      </c>
      <c r="C617" s="50" t="s">
        <v>416</v>
      </c>
      <c r="D617" s="50" t="s">
        <v>2173</v>
      </c>
      <c r="E617" s="50" t="n">
        <v>4</v>
      </c>
      <c r="F617" s="50" t="s">
        <v>2174</v>
      </c>
      <c r="G617" s="54" t="n">
        <v>3246300</v>
      </c>
    </row>
    <row r="618" customFormat="false" ht="15" hidden="false" customHeight="false" outlineLevel="0" collapsed="false">
      <c r="A618" s="50" t="s">
        <v>417</v>
      </c>
      <c r="B618" s="51" t="n">
        <v>45695</v>
      </c>
      <c r="C618" s="50" t="s">
        <v>329</v>
      </c>
      <c r="D618" s="50" t="s">
        <v>2168</v>
      </c>
      <c r="E618" s="50" t="n">
        <v>5</v>
      </c>
      <c r="F618" s="50" t="s">
        <v>2167</v>
      </c>
      <c r="G618" s="54" t="n">
        <v>2085000</v>
      </c>
    </row>
    <row r="619" customFormat="false" ht="15" hidden="false" customHeight="false" outlineLevel="0" collapsed="false">
      <c r="A619" s="50" t="s">
        <v>418</v>
      </c>
      <c r="B619" s="51" t="n">
        <v>45695</v>
      </c>
      <c r="C619" s="50" t="s">
        <v>419</v>
      </c>
      <c r="D619" s="50" t="s">
        <v>2176</v>
      </c>
      <c r="E619" s="50" t="n">
        <v>2</v>
      </c>
      <c r="F619" s="50" t="s">
        <v>2167</v>
      </c>
      <c r="G619" s="54" t="n">
        <v>858800</v>
      </c>
    </row>
    <row r="620" customFormat="false" ht="15" hidden="false" customHeight="false" outlineLevel="0" collapsed="false">
      <c r="A620" s="50" t="s">
        <v>418</v>
      </c>
      <c r="B620" s="51" t="n">
        <v>45695</v>
      </c>
      <c r="C620" s="50" t="s">
        <v>419</v>
      </c>
      <c r="D620" s="50" t="s">
        <v>2186</v>
      </c>
      <c r="E620" s="50" t="n">
        <v>6</v>
      </c>
      <c r="F620" s="50" t="s">
        <v>2167</v>
      </c>
      <c r="G620" s="54" t="n">
        <v>3436300</v>
      </c>
    </row>
    <row r="621" customFormat="false" ht="15" hidden="false" customHeight="false" outlineLevel="0" collapsed="false">
      <c r="A621" s="50" t="s">
        <v>418</v>
      </c>
      <c r="B621" s="51" t="n">
        <v>45695</v>
      </c>
      <c r="C621" s="50" t="s">
        <v>419</v>
      </c>
      <c r="D621" s="50" t="s">
        <v>2173</v>
      </c>
      <c r="E621" s="50" t="n">
        <v>6</v>
      </c>
      <c r="F621" s="50" t="s">
        <v>2174</v>
      </c>
      <c r="G621" s="54" t="n">
        <v>4733700</v>
      </c>
    </row>
    <row r="622" customFormat="false" ht="15" hidden="false" customHeight="false" outlineLevel="0" collapsed="false">
      <c r="A622" s="50" t="s">
        <v>418</v>
      </c>
      <c r="B622" s="51" t="n">
        <v>45695</v>
      </c>
      <c r="C622" s="50" t="s">
        <v>419</v>
      </c>
      <c r="D622" s="50" t="s">
        <v>2184</v>
      </c>
      <c r="E622" s="50" t="n">
        <v>4</v>
      </c>
      <c r="F622" s="50" t="s">
        <v>2167</v>
      </c>
      <c r="G622" s="54" t="n">
        <v>2223400</v>
      </c>
    </row>
    <row r="623" customFormat="false" ht="15" hidden="false" customHeight="false" outlineLevel="0" collapsed="false">
      <c r="A623" s="50" t="s">
        <v>418</v>
      </c>
      <c r="B623" s="51" t="n">
        <v>45695</v>
      </c>
      <c r="C623" s="50" t="s">
        <v>419</v>
      </c>
      <c r="D623" s="50" t="s">
        <v>2183</v>
      </c>
      <c r="E623" s="50" t="n">
        <v>4</v>
      </c>
      <c r="F623" s="50" t="s">
        <v>2167</v>
      </c>
      <c r="G623" s="54" t="n">
        <v>1576200</v>
      </c>
    </row>
    <row r="624" customFormat="false" ht="15" hidden="false" customHeight="false" outlineLevel="0" collapsed="false">
      <c r="A624" s="50" t="s">
        <v>418</v>
      </c>
      <c r="B624" s="51" t="n">
        <v>45695</v>
      </c>
      <c r="C624" s="50" t="s">
        <v>419</v>
      </c>
      <c r="D624" s="50" t="s">
        <v>2179</v>
      </c>
      <c r="E624" s="50" t="n">
        <v>6</v>
      </c>
      <c r="F624" s="50" t="s">
        <v>2174</v>
      </c>
      <c r="G624" s="54" t="n">
        <v>7356500</v>
      </c>
    </row>
    <row r="625" customFormat="false" ht="15" hidden="false" customHeight="false" outlineLevel="0" collapsed="false">
      <c r="A625" s="50" t="s">
        <v>420</v>
      </c>
      <c r="B625" s="51" t="n">
        <v>45695</v>
      </c>
      <c r="C625" s="50" t="s">
        <v>421</v>
      </c>
      <c r="D625" s="50" t="s">
        <v>2186</v>
      </c>
      <c r="E625" s="50" t="n">
        <v>7</v>
      </c>
      <c r="F625" s="50" t="s">
        <v>2167</v>
      </c>
      <c r="G625" s="54" t="n">
        <v>4163100</v>
      </c>
    </row>
    <row r="626" customFormat="false" ht="15" hidden="false" customHeight="false" outlineLevel="0" collapsed="false">
      <c r="A626" s="50" t="s">
        <v>420</v>
      </c>
      <c r="B626" s="51" t="n">
        <v>45695</v>
      </c>
      <c r="C626" s="50" t="s">
        <v>421</v>
      </c>
      <c r="D626" s="50" t="s">
        <v>2178</v>
      </c>
      <c r="E626" s="50" t="n">
        <v>1</v>
      </c>
      <c r="F626" s="50" t="s">
        <v>2167</v>
      </c>
      <c r="G626" s="54" t="n">
        <v>462100</v>
      </c>
    </row>
    <row r="627" customFormat="false" ht="15" hidden="false" customHeight="false" outlineLevel="0" collapsed="false">
      <c r="A627" s="50" t="s">
        <v>420</v>
      </c>
      <c r="B627" s="51" t="n">
        <v>45695</v>
      </c>
      <c r="C627" s="50" t="s">
        <v>421</v>
      </c>
      <c r="D627" s="50" t="s">
        <v>2183</v>
      </c>
      <c r="E627" s="50" t="n">
        <v>8</v>
      </c>
      <c r="F627" s="50" t="s">
        <v>2167</v>
      </c>
      <c r="G627" s="54" t="n">
        <v>3142600</v>
      </c>
    </row>
    <row r="628" customFormat="false" ht="15" hidden="false" customHeight="false" outlineLevel="0" collapsed="false">
      <c r="A628" s="50" t="s">
        <v>420</v>
      </c>
      <c r="B628" s="51" t="n">
        <v>45695</v>
      </c>
      <c r="C628" s="50" t="s">
        <v>421</v>
      </c>
      <c r="D628" s="50" t="s">
        <v>2179</v>
      </c>
      <c r="E628" s="50" t="n">
        <v>6</v>
      </c>
      <c r="F628" s="50" t="s">
        <v>2174</v>
      </c>
      <c r="G628" s="54" t="n">
        <v>7639800</v>
      </c>
    </row>
    <row r="629" customFormat="false" ht="15" hidden="false" customHeight="false" outlineLevel="0" collapsed="false">
      <c r="A629" s="50" t="s">
        <v>423</v>
      </c>
      <c r="B629" s="51" t="n">
        <v>45695</v>
      </c>
      <c r="C629" s="50" t="s">
        <v>174</v>
      </c>
      <c r="D629" s="50" t="s">
        <v>2179</v>
      </c>
      <c r="E629" s="50" t="n">
        <v>2</v>
      </c>
      <c r="F629" s="50" t="s">
        <v>2174</v>
      </c>
      <c r="G629" s="54" t="n">
        <v>2564000</v>
      </c>
    </row>
    <row r="630" customFormat="false" ht="15" hidden="false" customHeight="false" outlineLevel="0" collapsed="false">
      <c r="A630" s="50" t="s">
        <v>423</v>
      </c>
      <c r="B630" s="51" t="n">
        <v>45695</v>
      </c>
      <c r="C630" s="50" t="s">
        <v>174</v>
      </c>
      <c r="D630" s="50" t="s">
        <v>2185</v>
      </c>
      <c r="E630" s="50" t="n">
        <v>8</v>
      </c>
      <c r="F630" s="50" t="s">
        <v>2174</v>
      </c>
      <c r="G630" s="54" t="n">
        <v>6341100</v>
      </c>
    </row>
    <row r="631" customFormat="false" ht="15" hidden="false" customHeight="false" outlineLevel="0" collapsed="false">
      <c r="A631" s="50" t="s">
        <v>424</v>
      </c>
      <c r="B631" s="51" t="n">
        <v>45695</v>
      </c>
      <c r="C631" s="50" t="s">
        <v>280</v>
      </c>
      <c r="D631" s="50" t="s">
        <v>2188</v>
      </c>
      <c r="E631" s="50" t="n">
        <v>8</v>
      </c>
      <c r="F631" s="50" t="s">
        <v>2167</v>
      </c>
      <c r="G631" s="54" t="n">
        <v>7863200</v>
      </c>
    </row>
    <row r="632" customFormat="false" ht="15" hidden="false" customHeight="false" outlineLevel="0" collapsed="false">
      <c r="A632" s="50" t="s">
        <v>424</v>
      </c>
      <c r="B632" s="51" t="n">
        <v>45695</v>
      </c>
      <c r="C632" s="50" t="s">
        <v>280</v>
      </c>
      <c r="D632" s="50" t="s">
        <v>2184</v>
      </c>
      <c r="E632" s="50" t="n">
        <v>1</v>
      </c>
      <c r="F632" s="50" t="s">
        <v>2167</v>
      </c>
      <c r="G632" s="54" t="n">
        <v>577000</v>
      </c>
    </row>
    <row r="633" customFormat="false" ht="15" hidden="false" customHeight="false" outlineLevel="0" collapsed="false">
      <c r="A633" s="50" t="s">
        <v>425</v>
      </c>
      <c r="B633" s="51" t="n">
        <v>45695</v>
      </c>
      <c r="C633" s="50" t="s">
        <v>358</v>
      </c>
      <c r="D633" s="50" t="s">
        <v>2185</v>
      </c>
      <c r="E633" s="50" t="n">
        <v>3</v>
      </c>
      <c r="F633" s="50" t="s">
        <v>2174</v>
      </c>
      <c r="G633" s="54" t="n">
        <v>2328900</v>
      </c>
    </row>
    <row r="634" customFormat="false" ht="15" hidden="false" customHeight="false" outlineLevel="0" collapsed="false">
      <c r="A634" s="50" t="s">
        <v>425</v>
      </c>
      <c r="B634" s="51" t="n">
        <v>45695</v>
      </c>
      <c r="C634" s="50" t="s">
        <v>358</v>
      </c>
      <c r="D634" s="50" t="s">
        <v>2180</v>
      </c>
      <c r="E634" s="50" t="n">
        <v>8</v>
      </c>
      <c r="F634" s="50" t="s">
        <v>2167</v>
      </c>
      <c r="G634" s="54" t="n">
        <v>3642500</v>
      </c>
    </row>
    <row r="635" customFormat="false" ht="15" hidden="false" customHeight="false" outlineLevel="0" collapsed="false">
      <c r="A635" s="50" t="s">
        <v>425</v>
      </c>
      <c r="B635" s="51" t="n">
        <v>45695</v>
      </c>
      <c r="C635" s="50" t="s">
        <v>358</v>
      </c>
      <c r="D635" s="50" t="s">
        <v>2178</v>
      </c>
      <c r="E635" s="50" t="n">
        <v>1</v>
      </c>
      <c r="F635" s="50" t="s">
        <v>2167</v>
      </c>
      <c r="G635" s="54" t="n">
        <v>493200</v>
      </c>
    </row>
    <row r="636" customFormat="false" ht="15" hidden="false" customHeight="false" outlineLevel="0" collapsed="false">
      <c r="A636" s="50" t="s">
        <v>426</v>
      </c>
      <c r="B636" s="51" t="n">
        <v>45696</v>
      </c>
      <c r="C636" s="50" t="s">
        <v>174</v>
      </c>
      <c r="D636" s="50" t="s">
        <v>2185</v>
      </c>
      <c r="E636" s="50" t="n">
        <v>8</v>
      </c>
      <c r="F636" s="50" t="s">
        <v>2174</v>
      </c>
      <c r="G636" s="54" t="n">
        <v>6411200</v>
      </c>
    </row>
    <row r="637" customFormat="false" ht="15" hidden="false" customHeight="false" outlineLevel="0" collapsed="false">
      <c r="A637" s="50" t="s">
        <v>426</v>
      </c>
      <c r="B637" s="51" t="n">
        <v>45696</v>
      </c>
      <c r="C637" s="50" t="s">
        <v>174</v>
      </c>
      <c r="D637" s="50" t="s">
        <v>2178</v>
      </c>
      <c r="E637" s="50" t="n">
        <v>6</v>
      </c>
      <c r="F637" s="50" t="s">
        <v>2167</v>
      </c>
      <c r="G637" s="54" t="n">
        <v>2871900</v>
      </c>
    </row>
    <row r="638" customFormat="false" ht="15" hidden="false" customHeight="false" outlineLevel="0" collapsed="false">
      <c r="A638" s="50" t="s">
        <v>426</v>
      </c>
      <c r="B638" s="51" t="n">
        <v>45696</v>
      </c>
      <c r="C638" s="50" t="s">
        <v>174</v>
      </c>
      <c r="D638" s="50" t="s">
        <v>2166</v>
      </c>
      <c r="E638" s="50" t="n">
        <v>7</v>
      </c>
      <c r="F638" s="50" t="s">
        <v>2167</v>
      </c>
      <c r="G638" s="54" t="n">
        <v>3684300</v>
      </c>
    </row>
    <row r="639" customFormat="false" ht="15" hidden="false" customHeight="false" outlineLevel="0" collapsed="false">
      <c r="A639" s="50" t="s">
        <v>426</v>
      </c>
      <c r="B639" s="51" t="n">
        <v>45696</v>
      </c>
      <c r="C639" s="50" t="s">
        <v>174</v>
      </c>
      <c r="D639" s="50" t="s">
        <v>2181</v>
      </c>
      <c r="E639" s="50" t="n">
        <v>5</v>
      </c>
      <c r="F639" s="50" t="s">
        <v>2167</v>
      </c>
      <c r="G639" s="54" t="n">
        <v>5685900</v>
      </c>
    </row>
    <row r="640" customFormat="false" ht="15" hidden="false" customHeight="false" outlineLevel="0" collapsed="false">
      <c r="A640" s="50" t="s">
        <v>426</v>
      </c>
      <c r="B640" s="51" t="n">
        <v>45696</v>
      </c>
      <c r="C640" s="50" t="s">
        <v>174</v>
      </c>
      <c r="D640" s="50" t="s">
        <v>2186</v>
      </c>
      <c r="E640" s="50" t="n">
        <v>5</v>
      </c>
      <c r="F640" s="50" t="s">
        <v>2167</v>
      </c>
      <c r="G640" s="54" t="n">
        <v>2932400</v>
      </c>
    </row>
    <row r="641" customFormat="false" ht="15" hidden="false" customHeight="false" outlineLevel="0" collapsed="false">
      <c r="A641" s="50" t="s">
        <v>427</v>
      </c>
      <c r="B641" s="51" t="n">
        <v>45696</v>
      </c>
      <c r="C641" s="50" t="s">
        <v>289</v>
      </c>
      <c r="D641" s="50" t="s">
        <v>2176</v>
      </c>
      <c r="E641" s="50" t="n">
        <v>4</v>
      </c>
      <c r="F641" s="50" t="s">
        <v>2167</v>
      </c>
      <c r="G641" s="54" t="n">
        <v>1648300</v>
      </c>
    </row>
    <row r="642" customFormat="false" ht="15" hidden="false" customHeight="false" outlineLevel="0" collapsed="false">
      <c r="A642" s="50" t="s">
        <v>427</v>
      </c>
      <c r="B642" s="51" t="n">
        <v>45696</v>
      </c>
      <c r="C642" s="50" t="s">
        <v>289</v>
      </c>
      <c r="D642" s="50" t="s">
        <v>2178</v>
      </c>
      <c r="E642" s="50" t="n">
        <v>3</v>
      </c>
      <c r="F642" s="50" t="s">
        <v>2167</v>
      </c>
      <c r="G642" s="54" t="n">
        <v>1481000</v>
      </c>
    </row>
    <row r="643" customFormat="false" ht="15" hidden="false" customHeight="false" outlineLevel="0" collapsed="false">
      <c r="A643" s="50" t="s">
        <v>428</v>
      </c>
      <c r="B643" s="51" t="n">
        <v>45696</v>
      </c>
      <c r="C643" s="50" t="s">
        <v>373</v>
      </c>
      <c r="D643" s="50" t="s">
        <v>2169</v>
      </c>
      <c r="E643" s="50" t="n">
        <v>8</v>
      </c>
      <c r="F643" s="50" t="s">
        <v>2167</v>
      </c>
      <c r="G643" s="54" t="n">
        <v>4960800</v>
      </c>
    </row>
    <row r="644" customFormat="false" ht="15" hidden="false" customHeight="false" outlineLevel="0" collapsed="false">
      <c r="A644" s="50" t="s">
        <v>428</v>
      </c>
      <c r="B644" s="51" t="n">
        <v>45696</v>
      </c>
      <c r="C644" s="50" t="s">
        <v>373</v>
      </c>
      <c r="D644" s="50" t="s">
        <v>2173</v>
      </c>
      <c r="E644" s="50" t="n">
        <v>2</v>
      </c>
      <c r="F644" s="50" t="s">
        <v>2174</v>
      </c>
      <c r="G644" s="54" t="n">
        <v>1628500</v>
      </c>
    </row>
    <row r="645" customFormat="false" ht="15" hidden="false" customHeight="false" outlineLevel="0" collapsed="false">
      <c r="A645" s="50" t="s">
        <v>429</v>
      </c>
      <c r="B645" s="51" t="n">
        <v>45696</v>
      </c>
      <c r="C645" s="50" t="s">
        <v>430</v>
      </c>
      <c r="D645" s="50" t="s">
        <v>2185</v>
      </c>
      <c r="E645" s="50" t="n">
        <v>6</v>
      </c>
      <c r="F645" s="50" t="s">
        <v>2174</v>
      </c>
      <c r="G645" s="54" t="n">
        <v>4655800</v>
      </c>
    </row>
    <row r="646" customFormat="false" ht="15" hidden="false" customHeight="false" outlineLevel="0" collapsed="false">
      <c r="A646" s="50" t="s">
        <v>429</v>
      </c>
      <c r="B646" s="51" t="n">
        <v>45696</v>
      </c>
      <c r="C646" s="50" t="s">
        <v>430</v>
      </c>
      <c r="D646" s="50" t="s">
        <v>2176</v>
      </c>
      <c r="E646" s="50" t="n">
        <v>7</v>
      </c>
      <c r="F646" s="50" t="s">
        <v>2167</v>
      </c>
      <c r="G646" s="54" t="n">
        <v>2975100</v>
      </c>
    </row>
    <row r="647" customFormat="false" ht="15" hidden="false" customHeight="false" outlineLevel="0" collapsed="false">
      <c r="A647" s="50" t="s">
        <v>429</v>
      </c>
      <c r="B647" s="51" t="n">
        <v>45696</v>
      </c>
      <c r="C647" s="50" t="s">
        <v>430</v>
      </c>
      <c r="D647" s="50" t="s">
        <v>2178</v>
      </c>
      <c r="E647" s="50" t="n">
        <v>8</v>
      </c>
      <c r="F647" s="50" t="s">
        <v>2167</v>
      </c>
      <c r="G647" s="54" t="n">
        <v>3822000</v>
      </c>
    </row>
    <row r="648" customFormat="false" ht="15" hidden="false" customHeight="false" outlineLevel="0" collapsed="false">
      <c r="A648" s="50" t="s">
        <v>429</v>
      </c>
      <c r="B648" s="51" t="n">
        <v>45696</v>
      </c>
      <c r="C648" s="50" t="s">
        <v>430</v>
      </c>
      <c r="D648" s="50" t="s">
        <v>2184</v>
      </c>
      <c r="E648" s="50" t="n">
        <v>2</v>
      </c>
      <c r="F648" s="50" t="s">
        <v>2167</v>
      </c>
      <c r="G648" s="54" t="n">
        <v>1161200</v>
      </c>
    </row>
    <row r="649" customFormat="false" ht="15" hidden="false" customHeight="false" outlineLevel="0" collapsed="false">
      <c r="A649" s="50" t="s">
        <v>431</v>
      </c>
      <c r="B649" s="51" t="n">
        <v>45698</v>
      </c>
      <c r="C649" s="50" t="s">
        <v>432</v>
      </c>
      <c r="D649" s="50" t="s">
        <v>2186</v>
      </c>
      <c r="E649" s="50" t="n">
        <v>8</v>
      </c>
      <c r="F649" s="50" t="s">
        <v>2167</v>
      </c>
      <c r="G649" s="54" t="n">
        <v>4907600</v>
      </c>
    </row>
    <row r="650" customFormat="false" ht="15" hidden="false" customHeight="false" outlineLevel="0" collapsed="false">
      <c r="A650" s="50" t="s">
        <v>431</v>
      </c>
      <c r="B650" s="51" t="n">
        <v>45698</v>
      </c>
      <c r="C650" s="50" t="s">
        <v>432</v>
      </c>
      <c r="D650" s="50" t="s">
        <v>2166</v>
      </c>
      <c r="E650" s="50" t="n">
        <v>1</v>
      </c>
      <c r="F650" s="50" t="s">
        <v>2167</v>
      </c>
      <c r="G650" s="54" t="n">
        <v>547700</v>
      </c>
    </row>
    <row r="651" customFormat="false" ht="15" hidden="false" customHeight="false" outlineLevel="0" collapsed="false">
      <c r="A651" s="50" t="s">
        <v>431</v>
      </c>
      <c r="B651" s="51" t="n">
        <v>45698</v>
      </c>
      <c r="C651" s="50" t="s">
        <v>432</v>
      </c>
      <c r="D651" s="50" t="s">
        <v>2184</v>
      </c>
      <c r="E651" s="50" t="n">
        <v>2</v>
      </c>
      <c r="F651" s="50" t="s">
        <v>2167</v>
      </c>
      <c r="G651" s="54" t="n">
        <v>1153400</v>
      </c>
    </row>
    <row r="652" customFormat="false" ht="15" hidden="false" customHeight="false" outlineLevel="0" collapsed="false">
      <c r="A652" s="50" t="s">
        <v>431</v>
      </c>
      <c r="B652" s="51" t="n">
        <v>45698</v>
      </c>
      <c r="C652" s="50" t="s">
        <v>432</v>
      </c>
      <c r="D652" s="50" t="s">
        <v>2179</v>
      </c>
      <c r="E652" s="50" t="n">
        <v>2</v>
      </c>
      <c r="F652" s="50" t="s">
        <v>2174</v>
      </c>
      <c r="G652" s="54" t="n">
        <v>2498600</v>
      </c>
    </row>
    <row r="653" customFormat="false" ht="15" hidden="false" customHeight="false" outlineLevel="0" collapsed="false">
      <c r="A653" s="50" t="s">
        <v>433</v>
      </c>
      <c r="B653" s="51" t="n">
        <v>45698</v>
      </c>
      <c r="C653" s="50" t="s">
        <v>199</v>
      </c>
      <c r="D653" s="50" t="s">
        <v>2186</v>
      </c>
      <c r="E653" s="50" t="n">
        <v>5</v>
      </c>
      <c r="F653" s="50" t="s">
        <v>2167</v>
      </c>
      <c r="G653" s="54" t="n">
        <v>2923100</v>
      </c>
    </row>
    <row r="654" customFormat="false" ht="15" hidden="false" customHeight="false" outlineLevel="0" collapsed="false">
      <c r="A654" s="50" t="s">
        <v>433</v>
      </c>
      <c r="B654" s="51" t="n">
        <v>45698</v>
      </c>
      <c r="C654" s="50" t="s">
        <v>199</v>
      </c>
      <c r="D654" s="50" t="s">
        <v>2187</v>
      </c>
      <c r="E654" s="50" t="n">
        <v>1</v>
      </c>
      <c r="F654" s="50" t="s">
        <v>2167</v>
      </c>
      <c r="G654" s="54" t="n">
        <v>353400</v>
      </c>
    </row>
    <row r="655" customFormat="false" ht="15" hidden="false" customHeight="false" outlineLevel="0" collapsed="false">
      <c r="A655" s="50" t="s">
        <v>433</v>
      </c>
      <c r="B655" s="51" t="n">
        <v>45698</v>
      </c>
      <c r="C655" s="50" t="s">
        <v>199</v>
      </c>
      <c r="D655" s="50" t="s">
        <v>2169</v>
      </c>
      <c r="E655" s="50" t="n">
        <v>7</v>
      </c>
      <c r="F655" s="50" t="s">
        <v>2167</v>
      </c>
      <c r="G655" s="54" t="n">
        <v>4426800</v>
      </c>
    </row>
    <row r="656" customFormat="false" ht="15" hidden="false" customHeight="false" outlineLevel="0" collapsed="false">
      <c r="A656" s="50" t="s">
        <v>433</v>
      </c>
      <c r="B656" s="51" t="n">
        <v>45698</v>
      </c>
      <c r="C656" s="50" t="s">
        <v>199</v>
      </c>
      <c r="D656" s="50" t="s">
        <v>2185</v>
      </c>
      <c r="E656" s="50" t="n">
        <v>7</v>
      </c>
      <c r="F656" s="50" t="s">
        <v>2174</v>
      </c>
      <c r="G656" s="54" t="n">
        <v>5373200</v>
      </c>
    </row>
    <row r="657" customFormat="false" ht="15" hidden="false" customHeight="false" outlineLevel="0" collapsed="false">
      <c r="A657" s="50" t="s">
        <v>433</v>
      </c>
      <c r="B657" s="51" t="n">
        <v>45698</v>
      </c>
      <c r="C657" s="50" t="s">
        <v>199</v>
      </c>
      <c r="D657" s="50" t="s">
        <v>2184</v>
      </c>
      <c r="E657" s="50" t="n">
        <v>3</v>
      </c>
      <c r="F657" s="50" t="s">
        <v>2167</v>
      </c>
      <c r="G657" s="54" t="n">
        <v>1637900</v>
      </c>
    </row>
    <row r="658" customFormat="false" ht="15" hidden="false" customHeight="false" outlineLevel="0" collapsed="false">
      <c r="A658" s="50" t="s">
        <v>433</v>
      </c>
      <c r="B658" s="51" t="n">
        <v>45698</v>
      </c>
      <c r="C658" s="50" t="s">
        <v>199</v>
      </c>
      <c r="D658" s="50" t="s">
        <v>2181</v>
      </c>
      <c r="E658" s="50" t="n">
        <v>2</v>
      </c>
      <c r="F658" s="50" t="s">
        <v>2167</v>
      </c>
      <c r="G658" s="54" t="n">
        <v>2275900</v>
      </c>
    </row>
    <row r="659" customFormat="false" ht="15" hidden="false" customHeight="false" outlineLevel="0" collapsed="false">
      <c r="A659" s="50" t="s">
        <v>434</v>
      </c>
      <c r="B659" s="51" t="n">
        <v>45698</v>
      </c>
      <c r="C659" s="50" t="s">
        <v>408</v>
      </c>
      <c r="D659" s="50" t="s">
        <v>2183</v>
      </c>
      <c r="E659" s="50" t="n">
        <v>8</v>
      </c>
      <c r="F659" s="50" t="s">
        <v>2167</v>
      </c>
      <c r="G659" s="54" t="n">
        <v>2985200</v>
      </c>
    </row>
    <row r="660" customFormat="false" ht="15" hidden="false" customHeight="false" outlineLevel="0" collapsed="false">
      <c r="A660" s="50" t="s">
        <v>434</v>
      </c>
      <c r="B660" s="51" t="n">
        <v>45698</v>
      </c>
      <c r="C660" s="50" t="s">
        <v>408</v>
      </c>
      <c r="D660" s="50" t="s">
        <v>2187</v>
      </c>
      <c r="E660" s="50" t="n">
        <v>1</v>
      </c>
      <c r="F660" s="50" t="s">
        <v>2167</v>
      </c>
      <c r="G660" s="54" t="n">
        <v>360200</v>
      </c>
    </row>
    <row r="661" customFormat="false" ht="15" hidden="false" customHeight="false" outlineLevel="0" collapsed="false">
      <c r="A661" s="50" t="s">
        <v>434</v>
      </c>
      <c r="B661" s="51" t="n">
        <v>45698</v>
      </c>
      <c r="C661" s="50" t="s">
        <v>408</v>
      </c>
      <c r="D661" s="50" t="s">
        <v>2168</v>
      </c>
      <c r="E661" s="50" t="n">
        <v>5</v>
      </c>
      <c r="F661" s="50" t="s">
        <v>2167</v>
      </c>
      <c r="G661" s="54" t="n">
        <v>2175200</v>
      </c>
    </row>
    <row r="662" customFormat="false" ht="15" hidden="false" customHeight="false" outlineLevel="0" collapsed="false">
      <c r="A662" s="50" t="s">
        <v>434</v>
      </c>
      <c r="B662" s="51" t="n">
        <v>45698</v>
      </c>
      <c r="C662" s="50" t="s">
        <v>408</v>
      </c>
      <c r="D662" s="50" t="s">
        <v>2184</v>
      </c>
      <c r="E662" s="50" t="n">
        <v>4</v>
      </c>
      <c r="F662" s="50" t="s">
        <v>2167</v>
      </c>
      <c r="G662" s="54" t="n">
        <v>2300200</v>
      </c>
    </row>
    <row r="663" customFormat="false" ht="15" hidden="false" customHeight="false" outlineLevel="0" collapsed="false">
      <c r="A663" s="50" t="s">
        <v>435</v>
      </c>
      <c r="B663" s="51" t="n">
        <v>45698</v>
      </c>
      <c r="C663" s="50" t="s">
        <v>436</v>
      </c>
      <c r="D663" s="50" t="s">
        <v>2178</v>
      </c>
      <c r="E663" s="50" t="n">
        <v>7</v>
      </c>
      <c r="F663" s="50" t="s">
        <v>2167</v>
      </c>
      <c r="G663" s="54" t="n">
        <v>3454100</v>
      </c>
    </row>
    <row r="664" customFormat="false" ht="15" hidden="false" customHeight="false" outlineLevel="0" collapsed="false">
      <c r="A664" s="50" t="s">
        <v>435</v>
      </c>
      <c r="B664" s="51" t="n">
        <v>45698</v>
      </c>
      <c r="C664" s="50" t="s">
        <v>436</v>
      </c>
      <c r="D664" s="50" t="s">
        <v>2168</v>
      </c>
      <c r="E664" s="50" t="n">
        <v>7</v>
      </c>
      <c r="F664" s="50" t="s">
        <v>2167</v>
      </c>
      <c r="G664" s="54" t="n">
        <v>2928900</v>
      </c>
    </row>
    <row r="665" customFormat="false" ht="15" hidden="false" customHeight="false" outlineLevel="0" collapsed="false">
      <c r="A665" s="50" t="s">
        <v>437</v>
      </c>
      <c r="B665" s="51" t="n">
        <v>45698</v>
      </c>
      <c r="C665" s="50" t="s">
        <v>223</v>
      </c>
      <c r="D665" s="50" t="s">
        <v>2182</v>
      </c>
      <c r="E665" s="50" t="n">
        <v>8</v>
      </c>
      <c r="F665" s="50" t="s">
        <v>2174</v>
      </c>
      <c r="G665" s="54" t="n">
        <v>7519300</v>
      </c>
    </row>
    <row r="666" customFormat="false" ht="15" hidden="false" customHeight="false" outlineLevel="0" collapsed="false">
      <c r="A666" s="50" t="s">
        <v>437</v>
      </c>
      <c r="B666" s="51" t="n">
        <v>45698</v>
      </c>
      <c r="C666" s="50" t="s">
        <v>223</v>
      </c>
      <c r="D666" s="50" t="s">
        <v>2187</v>
      </c>
      <c r="E666" s="50" t="n">
        <v>1</v>
      </c>
      <c r="F666" s="50" t="s">
        <v>2167</v>
      </c>
      <c r="G666" s="54" t="n">
        <v>362600</v>
      </c>
    </row>
    <row r="667" customFormat="false" ht="15" hidden="false" customHeight="false" outlineLevel="0" collapsed="false">
      <c r="A667" s="50" t="s">
        <v>437</v>
      </c>
      <c r="B667" s="51" t="n">
        <v>45698</v>
      </c>
      <c r="C667" s="50" t="s">
        <v>223</v>
      </c>
      <c r="D667" s="50" t="s">
        <v>2186</v>
      </c>
      <c r="E667" s="50" t="n">
        <v>1</v>
      </c>
      <c r="F667" s="50" t="s">
        <v>2167</v>
      </c>
      <c r="G667" s="54" t="n">
        <v>588100</v>
      </c>
    </row>
    <row r="668" customFormat="false" ht="15" hidden="false" customHeight="false" outlineLevel="0" collapsed="false">
      <c r="A668" s="50" t="s">
        <v>437</v>
      </c>
      <c r="B668" s="51" t="n">
        <v>45698</v>
      </c>
      <c r="C668" s="50" t="s">
        <v>223</v>
      </c>
      <c r="D668" s="50" t="s">
        <v>2172</v>
      </c>
      <c r="E668" s="50" t="n">
        <v>2</v>
      </c>
      <c r="F668" s="50" t="s">
        <v>2167</v>
      </c>
      <c r="G668" s="54" t="n">
        <v>1004500</v>
      </c>
    </row>
    <row r="669" customFormat="false" ht="15" hidden="false" customHeight="false" outlineLevel="0" collapsed="false">
      <c r="A669" s="50" t="s">
        <v>437</v>
      </c>
      <c r="B669" s="51" t="n">
        <v>45698</v>
      </c>
      <c r="C669" s="50" t="s">
        <v>223</v>
      </c>
      <c r="D669" s="50" t="s">
        <v>2173</v>
      </c>
      <c r="E669" s="50" t="n">
        <v>4</v>
      </c>
      <c r="F669" s="50" t="s">
        <v>2174</v>
      </c>
      <c r="G669" s="54" t="n">
        <v>3298500</v>
      </c>
    </row>
    <row r="670" customFormat="false" ht="15" hidden="false" customHeight="false" outlineLevel="0" collapsed="false">
      <c r="A670" s="50" t="s">
        <v>437</v>
      </c>
      <c r="B670" s="51" t="n">
        <v>45698</v>
      </c>
      <c r="C670" s="50" t="s">
        <v>223</v>
      </c>
      <c r="D670" s="50" t="s">
        <v>2180</v>
      </c>
      <c r="E670" s="50" t="n">
        <v>7</v>
      </c>
      <c r="F670" s="50" t="s">
        <v>2167</v>
      </c>
      <c r="G670" s="54" t="n">
        <v>3079700</v>
      </c>
    </row>
    <row r="671" customFormat="false" ht="15" hidden="false" customHeight="false" outlineLevel="0" collapsed="false">
      <c r="A671" s="50" t="s">
        <v>438</v>
      </c>
      <c r="B671" s="51" t="n">
        <v>45699</v>
      </c>
      <c r="C671" s="50" t="s">
        <v>174</v>
      </c>
      <c r="D671" s="50" t="s">
        <v>2178</v>
      </c>
      <c r="E671" s="50" t="n">
        <v>3</v>
      </c>
      <c r="F671" s="50" t="s">
        <v>2167</v>
      </c>
      <c r="G671" s="54" t="n">
        <v>1395000</v>
      </c>
    </row>
    <row r="672" customFormat="false" ht="15" hidden="false" customHeight="false" outlineLevel="0" collapsed="false">
      <c r="A672" s="50" t="s">
        <v>438</v>
      </c>
      <c r="B672" s="51" t="n">
        <v>45699</v>
      </c>
      <c r="C672" s="50" t="s">
        <v>174</v>
      </c>
      <c r="D672" s="50" t="s">
        <v>2179</v>
      </c>
      <c r="E672" s="50" t="n">
        <v>7</v>
      </c>
      <c r="F672" s="50" t="s">
        <v>2174</v>
      </c>
      <c r="G672" s="54" t="n">
        <v>8941800</v>
      </c>
    </row>
    <row r="673" customFormat="false" ht="15" hidden="false" customHeight="false" outlineLevel="0" collapsed="false">
      <c r="A673" s="50" t="s">
        <v>438</v>
      </c>
      <c r="B673" s="51" t="n">
        <v>45699</v>
      </c>
      <c r="C673" s="50" t="s">
        <v>174</v>
      </c>
      <c r="D673" s="50" t="s">
        <v>2185</v>
      </c>
      <c r="E673" s="50" t="n">
        <v>5</v>
      </c>
      <c r="F673" s="50" t="s">
        <v>2174</v>
      </c>
      <c r="G673" s="54" t="n">
        <v>3757500</v>
      </c>
    </row>
    <row r="674" customFormat="false" ht="15" hidden="false" customHeight="false" outlineLevel="0" collapsed="false">
      <c r="A674" s="50" t="s">
        <v>439</v>
      </c>
      <c r="B674" s="51" t="n">
        <v>45699</v>
      </c>
      <c r="C674" s="50" t="s">
        <v>408</v>
      </c>
      <c r="D674" s="50" t="s">
        <v>2182</v>
      </c>
      <c r="E674" s="50" t="n">
        <v>1</v>
      </c>
      <c r="F674" s="50" t="s">
        <v>2174</v>
      </c>
      <c r="G674" s="54" t="n">
        <v>982500</v>
      </c>
    </row>
    <row r="675" customFormat="false" ht="15" hidden="false" customHeight="false" outlineLevel="0" collapsed="false">
      <c r="A675" s="50" t="s">
        <v>439</v>
      </c>
      <c r="B675" s="51" t="n">
        <v>45699</v>
      </c>
      <c r="C675" s="50" t="s">
        <v>408</v>
      </c>
      <c r="D675" s="50" t="s">
        <v>2169</v>
      </c>
      <c r="E675" s="50" t="n">
        <v>2</v>
      </c>
      <c r="F675" s="50" t="s">
        <v>2167</v>
      </c>
      <c r="G675" s="54" t="n">
        <v>1220600</v>
      </c>
    </row>
    <row r="676" customFormat="false" ht="15" hidden="false" customHeight="false" outlineLevel="0" collapsed="false">
      <c r="A676" s="50" t="s">
        <v>439</v>
      </c>
      <c r="B676" s="51" t="n">
        <v>45699</v>
      </c>
      <c r="C676" s="50" t="s">
        <v>408</v>
      </c>
      <c r="D676" s="50" t="s">
        <v>2183</v>
      </c>
      <c r="E676" s="50" t="n">
        <v>7</v>
      </c>
      <c r="F676" s="50" t="s">
        <v>2167</v>
      </c>
      <c r="G676" s="54" t="n">
        <v>2560400</v>
      </c>
    </row>
    <row r="677" customFormat="false" ht="15" hidden="false" customHeight="false" outlineLevel="0" collapsed="false">
      <c r="A677" s="50" t="s">
        <v>439</v>
      </c>
      <c r="B677" s="51" t="n">
        <v>45699</v>
      </c>
      <c r="C677" s="50" t="s">
        <v>408</v>
      </c>
      <c r="D677" s="50" t="s">
        <v>2173</v>
      </c>
      <c r="E677" s="50" t="n">
        <v>7</v>
      </c>
      <c r="F677" s="50" t="s">
        <v>2174</v>
      </c>
      <c r="G677" s="54" t="n">
        <v>5601900</v>
      </c>
    </row>
    <row r="678" customFormat="false" ht="15" hidden="false" customHeight="false" outlineLevel="0" collapsed="false">
      <c r="A678" s="50" t="s">
        <v>440</v>
      </c>
      <c r="B678" s="51" t="n">
        <v>45700</v>
      </c>
      <c r="C678" s="50" t="s">
        <v>188</v>
      </c>
      <c r="D678" s="50" t="s">
        <v>2169</v>
      </c>
      <c r="E678" s="50" t="n">
        <v>4</v>
      </c>
      <c r="F678" s="50" t="s">
        <v>2167</v>
      </c>
      <c r="G678" s="54" t="n">
        <v>2390700</v>
      </c>
    </row>
    <row r="679" customFormat="false" ht="15" hidden="false" customHeight="false" outlineLevel="0" collapsed="false">
      <c r="A679" s="50" t="s">
        <v>441</v>
      </c>
      <c r="B679" s="51" t="n">
        <v>45700</v>
      </c>
      <c r="C679" s="50" t="s">
        <v>249</v>
      </c>
      <c r="D679" s="50" t="s">
        <v>2166</v>
      </c>
      <c r="E679" s="50" t="n">
        <v>5</v>
      </c>
      <c r="F679" s="50" t="s">
        <v>2167</v>
      </c>
      <c r="G679" s="54" t="n">
        <v>2732000</v>
      </c>
    </row>
    <row r="680" customFormat="false" ht="15" hidden="false" customHeight="false" outlineLevel="0" collapsed="false">
      <c r="A680" s="50" t="s">
        <v>441</v>
      </c>
      <c r="B680" s="51" t="n">
        <v>45700</v>
      </c>
      <c r="C680" s="50" t="s">
        <v>249</v>
      </c>
      <c r="D680" s="50" t="s">
        <v>2177</v>
      </c>
      <c r="E680" s="50" t="n">
        <v>6</v>
      </c>
      <c r="F680" s="50" t="s">
        <v>2174</v>
      </c>
      <c r="G680" s="54" t="n">
        <v>6544500</v>
      </c>
    </row>
    <row r="681" customFormat="false" ht="15" hidden="false" customHeight="false" outlineLevel="0" collapsed="false">
      <c r="A681" s="50" t="s">
        <v>441</v>
      </c>
      <c r="B681" s="51" t="n">
        <v>45700</v>
      </c>
      <c r="C681" s="50" t="s">
        <v>249</v>
      </c>
      <c r="D681" s="50" t="s">
        <v>2188</v>
      </c>
      <c r="E681" s="50" t="n">
        <v>2</v>
      </c>
      <c r="F681" s="50" t="s">
        <v>2167</v>
      </c>
      <c r="G681" s="54" t="n">
        <v>1954200</v>
      </c>
    </row>
    <row r="682" customFormat="false" ht="15" hidden="false" customHeight="false" outlineLevel="0" collapsed="false">
      <c r="A682" s="50" t="s">
        <v>441</v>
      </c>
      <c r="B682" s="51" t="n">
        <v>45700</v>
      </c>
      <c r="C682" s="50" t="s">
        <v>249</v>
      </c>
      <c r="D682" s="50" t="s">
        <v>2176</v>
      </c>
      <c r="E682" s="50" t="n">
        <v>4</v>
      </c>
      <c r="F682" s="50" t="s">
        <v>2167</v>
      </c>
      <c r="G682" s="54" t="n">
        <v>1632400</v>
      </c>
    </row>
    <row r="683" customFormat="false" ht="15" hidden="false" customHeight="false" outlineLevel="0" collapsed="false">
      <c r="A683" s="50" t="s">
        <v>442</v>
      </c>
      <c r="B683" s="51" t="n">
        <v>45700</v>
      </c>
      <c r="C683" s="50" t="s">
        <v>369</v>
      </c>
      <c r="D683" s="50" t="s">
        <v>2181</v>
      </c>
      <c r="E683" s="50" t="n">
        <v>2</v>
      </c>
      <c r="F683" s="50" t="s">
        <v>2167</v>
      </c>
      <c r="G683" s="54" t="n">
        <v>2382400</v>
      </c>
    </row>
    <row r="684" customFormat="false" ht="15" hidden="false" customHeight="false" outlineLevel="0" collapsed="false">
      <c r="A684" s="50" t="s">
        <v>442</v>
      </c>
      <c r="B684" s="51" t="n">
        <v>45700</v>
      </c>
      <c r="C684" s="50" t="s">
        <v>369</v>
      </c>
      <c r="D684" s="50" t="s">
        <v>2179</v>
      </c>
      <c r="E684" s="50" t="n">
        <v>4</v>
      </c>
      <c r="F684" s="50" t="s">
        <v>2174</v>
      </c>
      <c r="G684" s="54" t="n">
        <v>4947200</v>
      </c>
    </row>
    <row r="685" customFormat="false" ht="15" hidden="false" customHeight="false" outlineLevel="0" collapsed="false">
      <c r="A685" s="50" t="s">
        <v>442</v>
      </c>
      <c r="B685" s="51" t="n">
        <v>45700</v>
      </c>
      <c r="C685" s="50" t="s">
        <v>369</v>
      </c>
      <c r="D685" s="50" t="s">
        <v>2176</v>
      </c>
      <c r="E685" s="50" t="n">
        <v>8</v>
      </c>
      <c r="F685" s="50" t="s">
        <v>2167</v>
      </c>
      <c r="G685" s="54" t="n">
        <v>3342700</v>
      </c>
    </row>
    <row r="686" customFormat="false" ht="15" hidden="false" customHeight="false" outlineLevel="0" collapsed="false">
      <c r="A686" s="50" t="s">
        <v>442</v>
      </c>
      <c r="B686" s="51" t="n">
        <v>45700</v>
      </c>
      <c r="C686" s="50" t="s">
        <v>369</v>
      </c>
      <c r="D686" s="50" t="s">
        <v>2177</v>
      </c>
      <c r="E686" s="50" t="n">
        <v>7</v>
      </c>
      <c r="F686" s="50" t="s">
        <v>2174</v>
      </c>
      <c r="G686" s="54" t="n">
        <v>7731400</v>
      </c>
    </row>
    <row r="687" customFormat="false" ht="15" hidden="false" customHeight="false" outlineLevel="0" collapsed="false">
      <c r="A687" s="50" t="s">
        <v>442</v>
      </c>
      <c r="B687" s="51" t="n">
        <v>45700</v>
      </c>
      <c r="C687" s="50" t="s">
        <v>369</v>
      </c>
      <c r="D687" s="50" t="s">
        <v>2178</v>
      </c>
      <c r="E687" s="50" t="n">
        <v>6</v>
      </c>
      <c r="F687" s="50" t="s">
        <v>2167</v>
      </c>
      <c r="G687" s="54" t="n">
        <v>2985800</v>
      </c>
    </row>
    <row r="688" customFormat="false" ht="15" hidden="false" customHeight="false" outlineLevel="0" collapsed="false">
      <c r="A688" s="50" t="s">
        <v>443</v>
      </c>
      <c r="B688" s="51" t="n">
        <v>45700</v>
      </c>
      <c r="C688" s="50" t="s">
        <v>177</v>
      </c>
      <c r="D688" s="50" t="s">
        <v>2170</v>
      </c>
      <c r="E688" s="50" t="n">
        <v>2</v>
      </c>
      <c r="F688" s="50" t="s">
        <v>2171</v>
      </c>
      <c r="G688" s="54" t="n">
        <v>15640800</v>
      </c>
    </row>
    <row r="689" customFormat="false" ht="15" hidden="false" customHeight="false" outlineLevel="0" collapsed="false">
      <c r="A689" s="50" t="s">
        <v>443</v>
      </c>
      <c r="B689" s="51" t="n">
        <v>45700</v>
      </c>
      <c r="C689" s="50" t="s">
        <v>177</v>
      </c>
      <c r="D689" s="50" t="s">
        <v>2184</v>
      </c>
      <c r="E689" s="50" t="n">
        <v>3</v>
      </c>
      <c r="F689" s="50" t="s">
        <v>2167</v>
      </c>
      <c r="G689" s="54" t="n">
        <v>1685700</v>
      </c>
    </row>
    <row r="690" customFormat="false" ht="15" hidden="false" customHeight="false" outlineLevel="0" collapsed="false">
      <c r="A690" s="50" t="s">
        <v>443</v>
      </c>
      <c r="B690" s="51" t="n">
        <v>45700</v>
      </c>
      <c r="C690" s="50" t="s">
        <v>177</v>
      </c>
      <c r="D690" s="50" t="s">
        <v>2166</v>
      </c>
      <c r="E690" s="50" t="n">
        <v>8</v>
      </c>
      <c r="F690" s="50" t="s">
        <v>2167</v>
      </c>
      <c r="G690" s="54" t="n">
        <v>4318600</v>
      </c>
    </row>
    <row r="691" customFormat="false" ht="15" hidden="false" customHeight="false" outlineLevel="0" collapsed="false">
      <c r="A691" s="50" t="s">
        <v>444</v>
      </c>
      <c r="B691" s="51" t="n">
        <v>45700</v>
      </c>
      <c r="C691" s="50" t="s">
        <v>191</v>
      </c>
      <c r="D691" s="50" t="s">
        <v>2178</v>
      </c>
      <c r="E691" s="50" t="n">
        <v>5</v>
      </c>
      <c r="F691" s="50" t="s">
        <v>2167</v>
      </c>
      <c r="G691" s="54" t="n">
        <v>2437000</v>
      </c>
    </row>
    <row r="692" customFormat="false" ht="15" hidden="false" customHeight="false" outlineLevel="0" collapsed="false">
      <c r="A692" s="50" t="s">
        <v>444</v>
      </c>
      <c r="B692" s="51" t="n">
        <v>45700</v>
      </c>
      <c r="C692" s="50" t="s">
        <v>191</v>
      </c>
      <c r="D692" s="50" t="s">
        <v>2186</v>
      </c>
      <c r="E692" s="50" t="n">
        <v>1</v>
      </c>
      <c r="F692" s="50" t="s">
        <v>2167</v>
      </c>
      <c r="G692" s="54" t="n">
        <v>601600</v>
      </c>
    </row>
    <row r="693" customFormat="false" ht="15" hidden="false" customHeight="false" outlineLevel="0" collapsed="false">
      <c r="A693" s="50" t="s">
        <v>444</v>
      </c>
      <c r="B693" s="51" t="n">
        <v>45700</v>
      </c>
      <c r="C693" s="50" t="s">
        <v>191</v>
      </c>
      <c r="D693" s="50" t="s">
        <v>2184</v>
      </c>
      <c r="E693" s="50" t="n">
        <v>7</v>
      </c>
      <c r="F693" s="50" t="s">
        <v>2167</v>
      </c>
      <c r="G693" s="54" t="n">
        <v>4011700</v>
      </c>
    </row>
    <row r="694" customFormat="false" ht="15" hidden="false" customHeight="false" outlineLevel="0" collapsed="false">
      <c r="A694" s="50" t="s">
        <v>444</v>
      </c>
      <c r="B694" s="51" t="n">
        <v>45700</v>
      </c>
      <c r="C694" s="50" t="s">
        <v>191</v>
      </c>
      <c r="D694" s="50" t="s">
        <v>2183</v>
      </c>
      <c r="E694" s="50" t="n">
        <v>8</v>
      </c>
      <c r="F694" s="50" t="s">
        <v>2167</v>
      </c>
      <c r="G694" s="54" t="n">
        <v>3122300</v>
      </c>
    </row>
    <row r="695" customFormat="false" ht="15" hidden="false" customHeight="false" outlineLevel="0" collapsed="false">
      <c r="A695" s="50" t="s">
        <v>445</v>
      </c>
      <c r="B695" s="51" t="n">
        <v>45700</v>
      </c>
      <c r="C695" s="50" t="s">
        <v>193</v>
      </c>
      <c r="D695" s="50" t="s">
        <v>2172</v>
      </c>
      <c r="E695" s="50" t="n">
        <v>5</v>
      </c>
      <c r="F695" s="50" t="s">
        <v>2167</v>
      </c>
      <c r="G695" s="54" t="n">
        <v>2660300</v>
      </c>
    </row>
    <row r="696" customFormat="false" ht="15" hidden="false" customHeight="false" outlineLevel="0" collapsed="false">
      <c r="A696" s="50" t="s">
        <v>445</v>
      </c>
      <c r="B696" s="51" t="n">
        <v>45700</v>
      </c>
      <c r="C696" s="50" t="s">
        <v>193</v>
      </c>
      <c r="D696" s="50" t="s">
        <v>2188</v>
      </c>
      <c r="E696" s="50" t="n">
        <v>8</v>
      </c>
      <c r="F696" s="50" t="s">
        <v>2167</v>
      </c>
      <c r="G696" s="54" t="n">
        <v>8094000</v>
      </c>
    </row>
    <row r="697" customFormat="false" ht="15" hidden="false" customHeight="false" outlineLevel="0" collapsed="false">
      <c r="A697" s="50" t="s">
        <v>446</v>
      </c>
      <c r="B697" s="51" t="n">
        <v>45701</v>
      </c>
      <c r="C697" s="50" t="s">
        <v>447</v>
      </c>
      <c r="D697" s="50" t="s">
        <v>2182</v>
      </c>
      <c r="E697" s="50" t="n">
        <v>8</v>
      </c>
      <c r="F697" s="50" t="s">
        <v>2174</v>
      </c>
      <c r="G697" s="54" t="n">
        <v>7469700</v>
      </c>
    </row>
    <row r="698" customFormat="false" ht="15" hidden="false" customHeight="false" outlineLevel="0" collapsed="false">
      <c r="A698" s="50" t="s">
        <v>446</v>
      </c>
      <c r="B698" s="51" t="n">
        <v>45701</v>
      </c>
      <c r="C698" s="50" t="s">
        <v>447</v>
      </c>
      <c r="D698" s="50" t="s">
        <v>2187</v>
      </c>
      <c r="E698" s="50" t="n">
        <v>3</v>
      </c>
      <c r="F698" s="50" t="s">
        <v>2167</v>
      </c>
      <c r="G698" s="54" t="n">
        <v>1087600</v>
      </c>
    </row>
    <row r="699" customFormat="false" ht="15" hidden="false" customHeight="false" outlineLevel="0" collapsed="false">
      <c r="A699" s="50" t="s">
        <v>448</v>
      </c>
      <c r="B699" s="51" t="n">
        <v>45701</v>
      </c>
      <c r="C699" s="50" t="s">
        <v>174</v>
      </c>
      <c r="D699" s="50" t="s">
        <v>2172</v>
      </c>
      <c r="E699" s="50" t="n">
        <v>2</v>
      </c>
      <c r="F699" s="50" t="s">
        <v>2167</v>
      </c>
      <c r="G699" s="54" t="n">
        <v>1059400</v>
      </c>
    </row>
    <row r="700" customFormat="false" ht="15" hidden="false" customHeight="false" outlineLevel="0" collapsed="false">
      <c r="A700" s="50" t="s">
        <v>448</v>
      </c>
      <c r="B700" s="51" t="n">
        <v>45701</v>
      </c>
      <c r="C700" s="50" t="s">
        <v>174</v>
      </c>
      <c r="D700" s="50" t="s">
        <v>2180</v>
      </c>
      <c r="E700" s="50" t="n">
        <v>3</v>
      </c>
      <c r="F700" s="50" t="s">
        <v>2167</v>
      </c>
      <c r="G700" s="54" t="n">
        <v>1324200</v>
      </c>
    </row>
    <row r="701" customFormat="false" ht="15" hidden="false" customHeight="false" outlineLevel="0" collapsed="false">
      <c r="A701" s="50" t="s">
        <v>448</v>
      </c>
      <c r="B701" s="51" t="n">
        <v>45701</v>
      </c>
      <c r="C701" s="50" t="s">
        <v>174</v>
      </c>
      <c r="D701" s="50" t="s">
        <v>2181</v>
      </c>
      <c r="E701" s="50" t="n">
        <v>7</v>
      </c>
      <c r="F701" s="50" t="s">
        <v>2167</v>
      </c>
      <c r="G701" s="54" t="n">
        <v>7890900</v>
      </c>
    </row>
    <row r="702" customFormat="false" ht="15" hidden="false" customHeight="false" outlineLevel="0" collapsed="false">
      <c r="A702" s="50" t="s">
        <v>449</v>
      </c>
      <c r="B702" s="51" t="n">
        <v>45701</v>
      </c>
      <c r="C702" s="50" t="s">
        <v>199</v>
      </c>
      <c r="D702" s="50" t="s">
        <v>2177</v>
      </c>
      <c r="E702" s="50" t="n">
        <v>8</v>
      </c>
      <c r="F702" s="50" t="s">
        <v>2174</v>
      </c>
      <c r="G702" s="54" t="n">
        <v>8473400</v>
      </c>
    </row>
    <row r="703" customFormat="false" ht="15" hidden="false" customHeight="false" outlineLevel="0" collapsed="false">
      <c r="A703" s="50" t="s">
        <v>449</v>
      </c>
      <c r="B703" s="51" t="n">
        <v>45701</v>
      </c>
      <c r="C703" s="50" t="s">
        <v>199</v>
      </c>
      <c r="D703" s="50" t="s">
        <v>2180</v>
      </c>
      <c r="E703" s="50" t="n">
        <v>1</v>
      </c>
      <c r="F703" s="50" t="s">
        <v>2167</v>
      </c>
      <c r="G703" s="54" t="n">
        <v>446900</v>
      </c>
    </row>
    <row r="704" customFormat="false" ht="15" hidden="false" customHeight="false" outlineLevel="0" collapsed="false">
      <c r="A704" s="50" t="s">
        <v>449</v>
      </c>
      <c r="B704" s="51" t="n">
        <v>45701</v>
      </c>
      <c r="C704" s="50" t="s">
        <v>199</v>
      </c>
      <c r="D704" s="50" t="s">
        <v>2183</v>
      </c>
      <c r="E704" s="50" t="n">
        <v>3</v>
      </c>
      <c r="F704" s="50" t="s">
        <v>2167</v>
      </c>
      <c r="G704" s="54" t="n">
        <v>1113400</v>
      </c>
    </row>
    <row r="705" customFormat="false" ht="15" hidden="false" customHeight="false" outlineLevel="0" collapsed="false">
      <c r="A705" s="50" t="s">
        <v>450</v>
      </c>
      <c r="B705" s="51" t="n">
        <v>45701</v>
      </c>
      <c r="C705" s="50" t="s">
        <v>168</v>
      </c>
      <c r="D705" s="50" t="s">
        <v>2179</v>
      </c>
      <c r="E705" s="50" t="n">
        <v>4</v>
      </c>
      <c r="F705" s="50" t="s">
        <v>2174</v>
      </c>
      <c r="G705" s="54" t="n">
        <v>4894700</v>
      </c>
    </row>
    <row r="706" customFormat="false" ht="15" hidden="false" customHeight="false" outlineLevel="0" collapsed="false">
      <c r="A706" s="50" t="s">
        <v>450</v>
      </c>
      <c r="B706" s="51" t="n">
        <v>45701</v>
      </c>
      <c r="C706" s="50" t="s">
        <v>168</v>
      </c>
      <c r="D706" s="50" t="s">
        <v>2176</v>
      </c>
      <c r="E706" s="50" t="n">
        <v>3</v>
      </c>
      <c r="F706" s="50" t="s">
        <v>2167</v>
      </c>
      <c r="G706" s="54" t="n">
        <v>1254900</v>
      </c>
    </row>
    <row r="707" customFormat="false" ht="15" hidden="false" customHeight="false" outlineLevel="0" collapsed="false">
      <c r="A707" s="50" t="s">
        <v>450</v>
      </c>
      <c r="B707" s="51" t="n">
        <v>45701</v>
      </c>
      <c r="C707" s="50" t="s">
        <v>168</v>
      </c>
      <c r="D707" s="50" t="s">
        <v>2181</v>
      </c>
      <c r="E707" s="50" t="n">
        <v>1</v>
      </c>
      <c r="F707" s="50" t="s">
        <v>2167</v>
      </c>
      <c r="G707" s="54" t="n">
        <v>1184900</v>
      </c>
    </row>
    <row r="708" customFormat="false" ht="15" hidden="false" customHeight="false" outlineLevel="0" collapsed="false">
      <c r="A708" s="50" t="s">
        <v>451</v>
      </c>
      <c r="B708" s="51" t="n">
        <v>45701</v>
      </c>
      <c r="C708" s="50" t="s">
        <v>174</v>
      </c>
      <c r="D708" s="50" t="s">
        <v>2173</v>
      </c>
      <c r="E708" s="50" t="n">
        <v>7</v>
      </c>
      <c r="F708" s="50" t="s">
        <v>2174</v>
      </c>
      <c r="G708" s="54" t="n">
        <v>5701100</v>
      </c>
    </row>
    <row r="709" customFormat="false" ht="15" hidden="false" customHeight="false" outlineLevel="0" collapsed="false">
      <c r="A709" s="50" t="s">
        <v>451</v>
      </c>
      <c r="B709" s="51" t="n">
        <v>45701</v>
      </c>
      <c r="C709" s="50" t="s">
        <v>174</v>
      </c>
      <c r="D709" s="50" t="s">
        <v>2181</v>
      </c>
      <c r="E709" s="50" t="n">
        <v>8</v>
      </c>
      <c r="F709" s="50" t="s">
        <v>2167</v>
      </c>
      <c r="G709" s="54" t="n">
        <v>9162900</v>
      </c>
    </row>
    <row r="710" customFormat="false" ht="15" hidden="false" customHeight="false" outlineLevel="0" collapsed="false">
      <c r="A710" s="50" t="s">
        <v>451</v>
      </c>
      <c r="B710" s="51" t="n">
        <v>45701</v>
      </c>
      <c r="C710" s="50" t="s">
        <v>174</v>
      </c>
      <c r="D710" s="50" t="s">
        <v>2176</v>
      </c>
      <c r="E710" s="50" t="n">
        <v>5</v>
      </c>
      <c r="F710" s="50" t="s">
        <v>2167</v>
      </c>
      <c r="G710" s="54" t="n">
        <v>2161100</v>
      </c>
    </row>
    <row r="711" customFormat="false" ht="15" hidden="false" customHeight="false" outlineLevel="0" collapsed="false">
      <c r="A711" s="50" t="s">
        <v>451</v>
      </c>
      <c r="B711" s="51" t="n">
        <v>45701</v>
      </c>
      <c r="C711" s="50" t="s">
        <v>174</v>
      </c>
      <c r="D711" s="50" t="s">
        <v>2177</v>
      </c>
      <c r="E711" s="50" t="n">
        <v>7</v>
      </c>
      <c r="F711" s="50" t="s">
        <v>2174</v>
      </c>
      <c r="G711" s="54" t="n">
        <v>7704500</v>
      </c>
    </row>
    <row r="712" customFormat="false" ht="15" hidden="false" customHeight="false" outlineLevel="0" collapsed="false">
      <c r="A712" s="50" t="s">
        <v>452</v>
      </c>
      <c r="B712" s="51" t="n">
        <v>45702</v>
      </c>
      <c r="C712" s="50" t="s">
        <v>166</v>
      </c>
      <c r="D712" s="50" t="s">
        <v>2177</v>
      </c>
      <c r="E712" s="50" t="n">
        <v>4</v>
      </c>
      <c r="F712" s="50" t="s">
        <v>2174</v>
      </c>
      <c r="G712" s="54" t="n">
        <v>4447300</v>
      </c>
    </row>
    <row r="713" customFormat="false" ht="15" hidden="false" customHeight="false" outlineLevel="0" collapsed="false">
      <c r="A713" s="50" t="s">
        <v>452</v>
      </c>
      <c r="B713" s="51" t="n">
        <v>45702</v>
      </c>
      <c r="C713" s="50" t="s">
        <v>166</v>
      </c>
      <c r="D713" s="50" t="s">
        <v>2187</v>
      </c>
      <c r="E713" s="50" t="n">
        <v>6</v>
      </c>
      <c r="F713" s="50" t="s">
        <v>2167</v>
      </c>
      <c r="G713" s="54" t="n">
        <v>2098700</v>
      </c>
    </row>
    <row r="714" customFormat="false" ht="15" hidden="false" customHeight="false" outlineLevel="0" collapsed="false">
      <c r="A714" s="50" t="s">
        <v>452</v>
      </c>
      <c r="B714" s="51" t="n">
        <v>45702</v>
      </c>
      <c r="C714" s="50" t="s">
        <v>166</v>
      </c>
      <c r="D714" s="50" t="s">
        <v>2178</v>
      </c>
      <c r="E714" s="50" t="n">
        <v>4</v>
      </c>
      <c r="F714" s="50" t="s">
        <v>2167</v>
      </c>
      <c r="G714" s="54" t="n">
        <v>1944700</v>
      </c>
    </row>
    <row r="715" customFormat="false" ht="15" hidden="false" customHeight="false" outlineLevel="0" collapsed="false">
      <c r="A715" s="50" t="s">
        <v>453</v>
      </c>
      <c r="B715" s="51" t="n">
        <v>45702</v>
      </c>
      <c r="C715" s="50" t="s">
        <v>211</v>
      </c>
      <c r="D715" s="50" t="s">
        <v>2176</v>
      </c>
      <c r="E715" s="50" t="n">
        <v>5</v>
      </c>
      <c r="F715" s="50" t="s">
        <v>2167</v>
      </c>
      <c r="G715" s="54" t="n">
        <v>2070900</v>
      </c>
    </row>
    <row r="716" customFormat="false" ht="15" hidden="false" customHeight="false" outlineLevel="0" collapsed="false">
      <c r="A716" s="50" t="s">
        <v>453</v>
      </c>
      <c r="B716" s="51" t="n">
        <v>45702</v>
      </c>
      <c r="C716" s="50" t="s">
        <v>211</v>
      </c>
      <c r="D716" s="50" t="s">
        <v>2185</v>
      </c>
      <c r="E716" s="50" t="n">
        <v>5</v>
      </c>
      <c r="F716" s="50" t="s">
        <v>2174</v>
      </c>
      <c r="G716" s="54" t="n">
        <v>3950900</v>
      </c>
    </row>
    <row r="717" customFormat="false" ht="15" hidden="false" customHeight="false" outlineLevel="0" collapsed="false">
      <c r="A717" s="50" t="s">
        <v>454</v>
      </c>
      <c r="B717" s="51" t="n">
        <v>45702</v>
      </c>
      <c r="C717" s="50" t="s">
        <v>199</v>
      </c>
      <c r="D717" s="50" t="s">
        <v>2173</v>
      </c>
      <c r="E717" s="50" t="n">
        <v>5</v>
      </c>
      <c r="F717" s="50" t="s">
        <v>2174</v>
      </c>
      <c r="G717" s="54" t="n">
        <v>3871700</v>
      </c>
    </row>
    <row r="718" customFormat="false" ht="15" hidden="false" customHeight="false" outlineLevel="0" collapsed="false">
      <c r="A718" s="50" t="s">
        <v>454</v>
      </c>
      <c r="B718" s="51" t="n">
        <v>45702</v>
      </c>
      <c r="C718" s="50" t="s">
        <v>199</v>
      </c>
      <c r="D718" s="50" t="s">
        <v>2186</v>
      </c>
      <c r="E718" s="50" t="n">
        <v>2</v>
      </c>
      <c r="F718" s="50" t="s">
        <v>2167</v>
      </c>
      <c r="G718" s="54" t="n">
        <v>1166400</v>
      </c>
    </row>
    <row r="719" customFormat="false" ht="15" hidden="false" customHeight="false" outlineLevel="0" collapsed="false">
      <c r="A719" s="50" t="s">
        <v>454</v>
      </c>
      <c r="B719" s="51" t="n">
        <v>45702</v>
      </c>
      <c r="C719" s="50" t="s">
        <v>199</v>
      </c>
      <c r="D719" s="50" t="s">
        <v>2169</v>
      </c>
      <c r="E719" s="50" t="n">
        <v>1</v>
      </c>
      <c r="F719" s="50" t="s">
        <v>2167</v>
      </c>
      <c r="G719" s="54" t="n">
        <v>627000</v>
      </c>
    </row>
    <row r="720" customFormat="false" ht="15" hidden="false" customHeight="false" outlineLevel="0" collapsed="false">
      <c r="A720" s="50" t="s">
        <v>455</v>
      </c>
      <c r="B720" s="51" t="n">
        <v>45702</v>
      </c>
      <c r="C720" s="50" t="s">
        <v>447</v>
      </c>
      <c r="D720" s="50" t="s">
        <v>2179</v>
      </c>
      <c r="E720" s="50" t="n">
        <v>6</v>
      </c>
      <c r="F720" s="50" t="s">
        <v>2174</v>
      </c>
      <c r="G720" s="54" t="n">
        <v>7223800</v>
      </c>
    </row>
    <row r="721" customFormat="false" ht="15" hidden="false" customHeight="false" outlineLevel="0" collapsed="false">
      <c r="A721" s="50" t="s">
        <v>456</v>
      </c>
      <c r="B721" s="51" t="n">
        <v>45702</v>
      </c>
      <c r="C721" s="50" t="s">
        <v>218</v>
      </c>
      <c r="D721" s="50" t="s">
        <v>2185</v>
      </c>
      <c r="E721" s="50" t="n">
        <v>3</v>
      </c>
      <c r="F721" s="50" t="s">
        <v>2174</v>
      </c>
      <c r="G721" s="54" t="n">
        <v>2333200</v>
      </c>
    </row>
    <row r="722" customFormat="false" ht="15" hidden="false" customHeight="false" outlineLevel="0" collapsed="false">
      <c r="A722" s="50" t="s">
        <v>456</v>
      </c>
      <c r="B722" s="51" t="n">
        <v>45702</v>
      </c>
      <c r="C722" s="50" t="s">
        <v>218</v>
      </c>
      <c r="D722" s="50" t="s">
        <v>2187</v>
      </c>
      <c r="E722" s="50" t="n">
        <v>3</v>
      </c>
      <c r="F722" s="50" t="s">
        <v>2167</v>
      </c>
      <c r="G722" s="54" t="n">
        <v>1059700</v>
      </c>
    </row>
    <row r="723" customFormat="false" ht="15" hidden="false" customHeight="false" outlineLevel="0" collapsed="false">
      <c r="A723" s="50" t="s">
        <v>457</v>
      </c>
      <c r="B723" s="51" t="n">
        <v>45703</v>
      </c>
      <c r="C723" s="50" t="s">
        <v>241</v>
      </c>
      <c r="D723" s="50" t="s">
        <v>2178</v>
      </c>
      <c r="E723" s="50" t="n">
        <v>5</v>
      </c>
      <c r="F723" s="50" t="s">
        <v>2167</v>
      </c>
      <c r="G723" s="54" t="n">
        <v>2434200</v>
      </c>
    </row>
    <row r="724" customFormat="false" ht="15" hidden="false" customHeight="false" outlineLevel="0" collapsed="false">
      <c r="A724" s="50" t="s">
        <v>457</v>
      </c>
      <c r="B724" s="51" t="n">
        <v>45703</v>
      </c>
      <c r="C724" s="50" t="s">
        <v>241</v>
      </c>
      <c r="D724" s="50" t="s">
        <v>2169</v>
      </c>
      <c r="E724" s="50" t="n">
        <v>2</v>
      </c>
      <c r="F724" s="50" t="s">
        <v>2167</v>
      </c>
      <c r="G724" s="54" t="n">
        <v>1247900</v>
      </c>
    </row>
    <row r="725" customFormat="false" ht="15" hidden="false" customHeight="false" outlineLevel="0" collapsed="false">
      <c r="A725" s="50" t="s">
        <v>457</v>
      </c>
      <c r="B725" s="51" t="n">
        <v>45703</v>
      </c>
      <c r="C725" s="50" t="s">
        <v>241</v>
      </c>
      <c r="D725" s="50" t="s">
        <v>2172</v>
      </c>
      <c r="E725" s="50" t="n">
        <v>5</v>
      </c>
      <c r="F725" s="50" t="s">
        <v>2167</v>
      </c>
      <c r="G725" s="54" t="n">
        <v>2622900</v>
      </c>
    </row>
    <row r="726" customFormat="false" ht="15" hidden="false" customHeight="false" outlineLevel="0" collapsed="false">
      <c r="A726" s="50" t="s">
        <v>457</v>
      </c>
      <c r="B726" s="51" t="n">
        <v>45703</v>
      </c>
      <c r="C726" s="50" t="s">
        <v>241</v>
      </c>
      <c r="D726" s="50" t="s">
        <v>2183</v>
      </c>
      <c r="E726" s="50" t="n">
        <v>2</v>
      </c>
      <c r="F726" s="50" t="s">
        <v>2167</v>
      </c>
      <c r="G726" s="54" t="n">
        <v>790300</v>
      </c>
    </row>
    <row r="727" customFormat="false" ht="15" hidden="false" customHeight="false" outlineLevel="0" collapsed="false">
      <c r="A727" s="50" t="s">
        <v>458</v>
      </c>
      <c r="B727" s="51" t="n">
        <v>45703</v>
      </c>
      <c r="C727" s="50" t="s">
        <v>376</v>
      </c>
      <c r="D727" s="50" t="s">
        <v>2180</v>
      </c>
      <c r="E727" s="50" t="n">
        <v>7</v>
      </c>
      <c r="F727" s="50" t="s">
        <v>2167</v>
      </c>
      <c r="G727" s="54" t="n">
        <v>3157700</v>
      </c>
    </row>
    <row r="728" customFormat="false" ht="15" hidden="false" customHeight="false" outlineLevel="0" collapsed="false">
      <c r="A728" s="50" t="s">
        <v>458</v>
      </c>
      <c r="B728" s="51" t="n">
        <v>45703</v>
      </c>
      <c r="C728" s="50" t="s">
        <v>376</v>
      </c>
      <c r="D728" s="50" t="s">
        <v>2169</v>
      </c>
      <c r="E728" s="50" t="n">
        <v>4</v>
      </c>
      <c r="F728" s="50" t="s">
        <v>2167</v>
      </c>
      <c r="G728" s="54" t="n">
        <v>2396600</v>
      </c>
    </row>
    <row r="729" customFormat="false" ht="15" hidden="false" customHeight="false" outlineLevel="0" collapsed="false">
      <c r="A729" s="50" t="s">
        <v>458</v>
      </c>
      <c r="B729" s="51" t="n">
        <v>45703</v>
      </c>
      <c r="C729" s="50" t="s">
        <v>376</v>
      </c>
      <c r="D729" s="50" t="s">
        <v>2177</v>
      </c>
      <c r="E729" s="50" t="n">
        <v>2</v>
      </c>
      <c r="F729" s="50" t="s">
        <v>2174</v>
      </c>
      <c r="G729" s="54" t="n">
        <v>2116300</v>
      </c>
    </row>
    <row r="730" customFormat="false" ht="15" hidden="false" customHeight="false" outlineLevel="0" collapsed="false">
      <c r="A730" s="50" t="s">
        <v>459</v>
      </c>
      <c r="B730" s="51" t="n">
        <v>45703</v>
      </c>
      <c r="C730" s="50" t="s">
        <v>410</v>
      </c>
      <c r="D730" s="50" t="s">
        <v>2172</v>
      </c>
      <c r="E730" s="50" t="n">
        <v>8</v>
      </c>
      <c r="F730" s="50" t="s">
        <v>2167</v>
      </c>
      <c r="G730" s="54" t="n">
        <v>4244100</v>
      </c>
    </row>
    <row r="731" customFormat="false" ht="15" hidden="false" customHeight="false" outlineLevel="0" collapsed="false">
      <c r="A731" s="50" t="s">
        <v>459</v>
      </c>
      <c r="B731" s="51" t="n">
        <v>45703</v>
      </c>
      <c r="C731" s="50" t="s">
        <v>410</v>
      </c>
      <c r="D731" s="50" t="s">
        <v>2169</v>
      </c>
      <c r="E731" s="50" t="n">
        <v>3</v>
      </c>
      <c r="F731" s="50" t="s">
        <v>2167</v>
      </c>
      <c r="G731" s="54" t="n">
        <v>1921300</v>
      </c>
    </row>
    <row r="732" customFormat="false" ht="15" hidden="false" customHeight="false" outlineLevel="0" collapsed="false">
      <c r="A732" s="50" t="s">
        <v>459</v>
      </c>
      <c r="B732" s="51" t="n">
        <v>45703</v>
      </c>
      <c r="C732" s="50" t="s">
        <v>410</v>
      </c>
      <c r="D732" s="50" t="s">
        <v>2186</v>
      </c>
      <c r="E732" s="50" t="n">
        <v>7</v>
      </c>
      <c r="F732" s="50" t="s">
        <v>2167</v>
      </c>
      <c r="G732" s="54" t="n">
        <v>4205700</v>
      </c>
    </row>
    <row r="733" customFormat="false" ht="15" hidden="false" customHeight="false" outlineLevel="0" collapsed="false">
      <c r="A733" s="50" t="s">
        <v>460</v>
      </c>
      <c r="B733" s="51" t="n">
        <v>45705</v>
      </c>
      <c r="C733" s="50" t="s">
        <v>166</v>
      </c>
      <c r="D733" s="50" t="s">
        <v>2175</v>
      </c>
      <c r="E733" s="50" t="n">
        <v>4</v>
      </c>
      <c r="F733" s="50" t="s">
        <v>2167</v>
      </c>
      <c r="G733" s="54" t="n">
        <v>2549200</v>
      </c>
    </row>
    <row r="734" customFormat="false" ht="15" hidden="false" customHeight="false" outlineLevel="0" collapsed="false">
      <c r="A734" s="50" t="s">
        <v>460</v>
      </c>
      <c r="B734" s="51" t="n">
        <v>45705</v>
      </c>
      <c r="C734" s="50" t="s">
        <v>166</v>
      </c>
      <c r="D734" s="50" t="s">
        <v>2181</v>
      </c>
      <c r="E734" s="50" t="n">
        <v>7</v>
      </c>
      <c r="F734" s="50" t="s">
        <v>2167</v>
      </c>
      <c r="G734" s="54" t="n">
        <v>7882000</v>
      </c>
    </row>
    <row r="735" customFormat="false" ht="15" hidden="false" customHeight="false" outlineLevel="0" collapsed="false">
      <c r="A735" s="50" t="s">
        <v>461</v>
      </c>
      <c r="B735" s="51" t="n">
        <v>45705</v>
      </c>
      <c r="C735" s="50" t="s">
        <v>177</v>
      </c>
      <c r="D735" s="50" t="s">
        <v>2184</v>
      </c>
      <c r="E735" s="50" t="n">
        <v>4</v>
      </c>
      <c r="F735" s="50" t="s">
        <v>2167</v>
      </c>
      <c r="G735" s="54" t="n">
        <v>2230100</v>
      </c>
    </row>
    <row r="736" customFormat="false" ht="15" hidden="false" customHeight="false" outlineLevel="0" collapsed="false">
      <c r="A736" s="50" t="s">
        <v>461</v>
      </c>
      <c r="B736" s="51" t="n">
        <v>45705</v>
      </c>
      <c r="C736" s="50" t="s">
        <v>177</v>
      </c>
      <c r="D736" s="50" t="s">
        <v>2168</v>
      </c>
      <c r="E736" s="50" t="n">
        <v>3</v>
      </c>
      <c r="F736" s="50" t="s">
        <v>2167</v>
      </c>
      <c r="G736" s="54" t="n">
        <v>1339100</v>
      </c>
    </row>
    <row r="737" customFormat="false" ht="15" hidden="false" customHeight="false" outlineLevel="0" collapsed="false">
      <c r="A737" s="50" t="s">
        <v>461</v>
      </c>
      <c r="B737" s="51" t="n">
        <v>45705</v>
      </c>
      <c r="C737" s="50" t="s">
        <v>177</v>
      </c>
      <c r="D737" s="50" t="s">
        <v>2180</v>
      </c>
      <c r="E737" s="50" t="n">
        <v>1</v>
      </c>
      <c r="F737" s="50" t="s">
        <v>2167</v>
      </c>
      <c r="G737" s="54" t="n">
        <v>459800</v>
      </c>
    </row>
    <row r="738" customFormat="false" ht="15" hidden="false" customHeight="false" outlineLevel="0" collapsed="false">
      <c r="A738" s="50" t="s">
        <v>461</v>
      </c>
      <c r="B738" s="51" t="n">
        <v>45705</v>
      </c>
      <c r="C738" s="50" t="s">
        <v>177</v>
      </c>
      <c r="D738" s="50" t="s">
        <v>2179</v>
      </c>
      <c r="E738" s="50" t="n">
        <v>3</v>
      </c>
      <c r="F738" s="50" t="s">
        <v>2174</v>
      </c>
      <c r="G738" s="54" t="n">
        <v>3798400</v>
      </c>
    </row>
    <row r="739" customFormat="false" ht="15" hidden="false" customHeight="false" outlineLevel="0" collapsed="false">
      <c r="A739" s="50" t="s">
        <v>461</v>
      </c>
      <c r="B739" s="51" t="n">
        <v>45705</v>
      </c>
      <c r="C739" s="50" t="s">
        <v>177</v>
      </c>
      <c r="D739" s="50" t="s">
        <v>2175</v>
      </c>
      <c r="E739" s="50" t="n">
        <v>5</v>
      </c>
      <c r="F739" s="50" t="s">
        <v>2167</v>
      </c>
      <c r="G739" s="54" t="n">
        <v>3235300</v>
      </c>
    </row>
    <row r="740" customFormat="false" ht="15" hidden="false" customHeight="false" outlineLevel="0" collapsed="false">
      <c r="A740" s="50" t="s">
        <v>461</v>
      </c>
      <c r="B740" s="51" t="n">
        <v>45705</v>
      </c>
      <c r="C740" s="50" t="s">
        <v>177</v>
      </c>
      <c r="D740" s="50" t="s">
        <v>2178</v>
      </c>
      <c r="E740" s="50" t="n">
        <v>8</v>
      </c>
      <c r="F740" s="50" t="s">
        <v>2167</v>
      </c>
      <c r="G740" s="54" t="n">
        <v>3823800</v>
      </c>
    </row>
    <row r="741" customFormat="false" ht="15" hidden="false" customHeight="false" outlineLevel="0" collapsed="false">
      <c r="A741" s="50" t="s">
        <v>461</v>
      </c>
      <c r="B741" s="51" t="n">
        <v>45705</v>
      </c>
      <c r="C741" s="50" t="s">
        <v>177</v>
      </c>
      <c r="D741" s="50" t="s">
        <v>2182</v>
      </c>
      <c r="E741" s="50" t="n">
        <v>7</v>
      </c>
      <c r="F741" s="50" t="s">
        <v>2174</v>
      </c>
      <c r="G741" s="54" t="n">
        <v>6874000</v>
      </c>
    </row>
    <row r="742" customFormat="false" ht="15" hidden="false" customHeight="false" outlineLevel="0" collapsed="false">
      <c r="A742" s="50" t="s">
        <v>461</v>
      </c>
      <c r="B742" s="51" t="n">
        <v>45705</v>
      </c>
      <c r="C742" s="50" t="s">
        <v>177</v>
      </c>
      <c r="D742" s="50" t="s">
        <v>2169</v>
      </c>
      <c r="E742" s="50" t="n">
        <v>1</v>
      </c>
      <c r="F742" s="50" t="s">
        <v>2167</v>
      </c>
      <c r="G742" s="54" t="n">
        <v>605300</v>
      </c>
    </row>
    <row r="743" customFormat="false" ht="15" hidden="false" customHeight="false" outlineLevel="0" collapsed="false">
      <c r="A743" s="50" t="s">
        <v>462</v>
      </c>
      <c r="B743" s="51" t="n">
        <v>45705</v>
      </c>
      <c r="C743" s="50" t="s">
        <v>463</v>
      </c>
      <c r="D743" s="50" t="s">
        <v>2173</v>
      </c>
      <c r="E743" s="50" t="n">
        <v>2</v>
      </c>
      <c r="F743" s="50" t="s">
        <v>2174</v>
      </c>
      <c r="G743" s="54" t="n">
        <v>1623200</v>
      </c>
    </row>
    <row r="744" customFormat="false" ht="15" hidden="false" customHeight="false" outlineLevel="0" collapsed="false">
      <c r="A744" s="50" t="s">
        <v>462</v>
      </c>
      <c r="B744" s="51" t="n">
        <v>45705</v>
      </c>
      <c r="C744" s="50" t="s">
        <v>463</v>
      </c>
      <c r="D744" s="50" t="s">
        <v>2170</v>
      </c>
      <c r="E744" s="50" t="n">
        <v>2</v>
      </c>
      <c r="F744" s="50" t="s">
        <v>2171</v>
      </c>
      <c r="G744" s="54" t="n">
        <v>15632300</v>
      </c>
    </row>
    <row r="745" customFormat="false" ht="15" hidden="false" customHeight="false" outlineLevel="0" collapsed="false">
      <c r="A745" s="50" t="s">
        <v>464</v>
      </c>
      <c r="B745" s="51" t="n">
        <v>45705</v>
      </c>
      <c r="C745" s="50" t="s">
        <v>465</v>
      </c>
      <c r="D745" s="50" t="s">
        <v>2180</v>
      </c>
      <c r="E745" s="50" t="n">
        <v>7</v>
      </c>
      <c r="F745" s="50" t="s">
        <v>2167</v>
      </c>
      <c r="G745" s="54" t="n">
        <v>3197200</v>
      </c>
    </row>
    <row r="746" customFormat="false" ht="15" hidden="false" customHeight="false" outlineLevel="0" collapsed="false">
      <c r="A746" s="50" t="s">
        <v>464</v>
      </c>
      <c r="B746" s="51" t="n">
        <v>45705</v>
      </c>
      <c r="C746" s="50" t="s">
        <v>465</v>
      </c>
      <c r="D746" s="50" t="s">
        <v>2183</v>
      </c>
      <c r="E746" s="50" t="n">
        <v>7</v>
      </c>
      <c r="F746" s="50" t="s">
        <v>2167</v>
      </c>
      <c r="G746" s="54" t="n">
        <v>2569300</v>
      </c>
    </row>
    <row r="747" customFormat="false" ht="15" hidden="false" customHeight="false" outlineLevel="0" collapsed="false">
      <c r="A747" s="50" t="s">
        <v>464</v>
      </c>
      <c r="B747" s="51" t="n">
        <v>45705</v>
      </c>
      <c r="C747" s="50" t="s">
        <v>465</v>
      </c>
      <c r="D747" s="50" t="s">
        <v>2184</v>
      </c>
      <c r="E747" s="50" t="n">
        <v>3</v>
      </c>
      <c r="F747" s="50" t="s">
        <v>2167</v>
      </c>
      <c r="G747" s="54" t="n">
        <v>1729800</v>
      </c>
    </row>
    <row r="748" customFormat="false" ht="15" hidden="false" customHeight="false" outlineLevel="0" collapsed="false">
      <c r="A748" s="50" t="s">
        <v>464</v>
      </c>
      <c r="B748" s="51" t="n">
        <v>45705</v>
      </c>
      <c r="C748" s="50" t="s">
        <v>465</v>
      </c>
      <c r="D748" s="50" t="s">
        <v>2175</v>
      </c>
      <c r="E748" s="50" t="n">
        <v>4</v>
      </c>
      <c r="F748" s="50" t="s">
        <v>2167</v>
      </c>
      <c r="G748" s="54" t="n">
        <v>2651900</v>
      </c>
    </row>
    <row r="749" customFormat="false" ht="15" hidden="false" customHeight="false" outlineLevel="0" collapsed="false">
      <c r="A749" s="50" t="s">
        <v>464</v>
      </c>
      <c r="B749" s="51" t="n">
        <v>45705</v>
      </c>
      <c r="C749" s="50" t="s">
        <v>465</v>
      </c>
      <c r="D749" s="50" t="s">
        <v>2169</v>
      </c>
      <c r="E749" s="50" t="n">
        <v>1</v>
      </c>
      <c r="F749" s="50" t="s">
        <v>2167</v>
      </c>
      <c r="G749" s="54" t="n">
        <v>610500</v>
      </c>
    </row>
    <row r="750" customFormat="false" ht="15" hidden="false" customHeight="false" outlineLevel="0" collapsed="false">
      <c r="A750" s="50" t="s">
        <v>464</v>
      </c>
      <c r="B750" s="51" t="n">
        <v>45705</v>
      </c>
      <c r="C750" s="50" t="s">
        <v>465</v>
      </c>
      <c r="D750" s="50" t="s">
        <v>2166</v>
      </c>
      <c r="E750" s="50" t="n">
        <v>8</v>
      </c>
      <c r="F750" s="50" t="s">
        <v>2167</v>
      </c>
      <c r="G750" s="54" t="n">
        <v>4270200</v>
      </c>
    </row>
    <row r="751" customFormat="false" ht="15" hidden="false" customHeight="false" outlineLevel="0" collapsed="false">
      <c r="A751" s="50" t="s">
        <v>466</v>
      </c>
      <c r="B751" s="51" t="n">
        <v>45705</v>
      </c>
      <c r="C751" s="50" t="s">
        <v>467</v>
      </c>
      <c r="D751" s="50" t="s">
        <v>2166</v>
      </c>
      <c r="E751" s="50" t="n">
        <v>3</v>
      </c>
      <c r="F751" s="50" t="s">
        <v>2167</v>
      </c>
      <c r="G751" s="54" t="n">
        <v>1658600</v>
      </c>
    </row>
    <row r="752" customFormat="false" ht="15" hidden="false" customHeight="false" outlineLevel="0" collapsed="false">
      <c r="A752" s="50" t="s">
        <v>466</v>
      </c>
      <c r="B752" s="51" t="n">
        <v>45705</v>
      </c>
      <c r="C752" s="50" t="s">
        <v>467</v>
      </c>
      <c r="D752" s="50" t="s">
        <v>2168</v>
      </c>
      <c r="E752" s="50" t="n">
        <v>7</v>
      </c>
      <c r="F752" s="50" t="s">
        <v>2167</v>
      </c>
      <c r="G752" s="54" t="n">
        <v>2910700</v>
      </c>
    </row>
    <row r="753" customFormat="false" ht="15" hidden="false" customHeight="false" outlineLevel="0" collapsed="false">
      <c r="A753" s="50" t="s">
        <v>466</v>
      </c>
      <c r="B753" s="51" t="n">
        <v>45705</v>
      </c>
      <c r="C753" s="50" t="s">
        <v>467</v>
      </c>
      <c r="D753" s="50" t="s">
        <v>2169</v>
      </c>
      <c r="E753" s="50" t="n">
        <v>5</v>
      </c>
      <c r="F753" s="50" t="s">
        <v>2167</v>
      </c>
      <c r="G753" s="54" t="n">
        <v>2980700</v>
      </c>
    </row>
    <row r="754" customFormat="false" ht="15" hidden="false" customHeight="false" outlineLevel="0" collapsed="false">
      <c r="A754" s="50" t="s">
        <v>468</v>
      </c>
      <c r="B754" s="51" t="n">
        <v>45706</v>
      </c>
      <c r="C754" s="50" t="s">
        <v>469</v>
      </c>
      <c r="D754" s="50" t="s">
        <v>2172</v>
      </c>
      <c r="E754" s="50" t="n">
        <v>5</v>
      </c>
      <c r="F754" s="50" t="s">
        <v>2167</v>
      </c>
      <c r="G754" s="54" t="n">
        <v>2696100</v>
      </c>
    </row>
    <row r="755" customFormat="false" ht="15" hidden="false" customHeight="false" outlineLevel="0" collapsed="false">
      <c r="A755" s="50" t="s">
        <v>468</v>
      </c>
      <c r="B755" s="51" t="n">
        <v>45706</v>
      </c>
      <c r="C755" s="50" t="s">
        <v>469</v>
      </c>
      <c r="D755" s="50" t="s">
        <v>2169</v>
      </c>
      <c r="E755" s="50" t="n">
        <v>1</v>
      </c>
      <c r="F755" s="50" t="s">
        <v>2167</v>
      </c>
      <c r="G755" s="54" t="n">
        <v>616300</v>
      </c>
    </row>
    <row r="756" customFormat="false" ht="15" hidden="false" customHeight="false" outlineLevel="0" collapsed="false">
      <c r="A756" s="50" t="s">
        <v>468</v>
      </c>
      <c r="B756" s="51" t="n">
        <v>45706</v>
      </c>
      <c r="C756" s="50" t="s">
        <v>469</v>
      </c>
      <c r="D756" s="50" t="s">
        <v>2180</v>
      </c>
      <c r="E756" s="50" t="n">
        <v>1</v>
      </c>
      <c r="F756" s="50" t="s">
        <v>2167</v>
      </c>
      <c r="G756" s="54" t="n">
        <v>449500</v>
      </c>
    </row>
    <row r="757" customFormat="false" ht="15" hidden="false" customHeight="false" outlineLevel="0" collapsed="false">
      <c r="A757" s="50" t="s">
        <v>468</v>
      </c>
      <c r="B757" s="51" t="n">
        <v>45706</v>
      </c>
      <c r="C757" s="50" t="s">
        <v>469</v>
      </c>
      <c r="D757" s="50" t="s">
        <v>2166</v>
      </c>
      <c r="E757" s="50" t="n">
        <v>4</v>
      </c>
      <c r="F757" s="50" t="s">
        <v>2167</v>
      </c>
      <c r="G757" s="54" t="n">
        <v>2111100</v>
      </c>
    </row>
    <row r="758" customFormat="false" ht="15" hidden="false" customHeight="false" outlineLevel="0" collapsed="false">
      <c r="A758" s="50" t="s">
        <v>470</v>
      </c>
      <c r="B758" s="51" t="n">
        <v>45706</v>
      </c>
      <c r="C758" s="50" t="s">
        <v>247</v>
      </c>
      <c r="D758" s="50" t="s">
        <v>2182</v>
      </c>
      <c r="E758" s="50" t="n">
        <v>1</v>
      </c>
      <c r="F758" s="50" t="s">
        <v>2174</v>
      </c>
      <c r="G758" s="54" t="n">
        <v>953500</v>
      </c>
    </row>
    <row r="759" customFormat="false" ht="15" hidden="false" customHeight="false" outlineLevel="0" collapsed="false">
      <c r="A759" s="50" t="s">
        <v>470</v>
      </c>
      <c r="B759" s="51" t="n">
        <v>45706</v>
      </c>
      <c r="C759" s="50" t="s">
        <v>247</v>
      </c>
      <c r="D759" s="50" t="s">
        <v>2186</v>
      </c>
      <c r="E759" s="50" t="n">
        <v>7</v>
      </c>
      <c r="F759" s="50" t="s">
        <v>2167</v>
      </c>
      <c r="G759" s="54" t="n">
        <v>4273500</v>
      </c>
    </row>
    <row r="760" customFormat="false" ht="15" hidden="false" customHeight="false" outlineLevel="0" collapsed="false">
      <c r="A760" s="50" t="s">
        <v>470</v>
      </c>
      <c r="B760" s="51" t="n">
        <v>45706</v>
      </c>
      <c r="C760" s="50" t="s">
        <v>247</v>
      </c>
      <c r="D760" s="50" t="s">
        <v>2173</v>
      </c>
      <c r="E760" s="50" t="n">
        <v>8</v>
      </c>
      <c r="F760" s="50" t="s">
        <v>2174</v>
      </c>
      <c r="G760" s="54" t="n">
        <v>6591000</v>
      </c>
    </row>
    <row r="761" customFormat="false" ht="15" hidden="false" customHeight="false" outlineLevel="0" collapsed="false">
      <c r="A761" s="50" t="s">
        <v>470</v>
      </c>
      <c r="B761" s="51" t="n">
        <v>45706</v>
      </c>
      <c r="C761" s="50" t="s">
        <v>247</v>
      </c>
      <c r="D761" s="50" t="s">
        <v>2169</v>
      </c>
      <c r="E761" s="50" t="n">
        <v>6</v>
      </c>
      <c r="F761" s="50" t="s">
        <v>2167</v>
      </c>
      <c r="G761" s="54" t="n">
        <v>3772700</v>
      </c>
    </row>
    <row r="762" customFormat="false" ht="15" hidden="false" customHeight="false" outlineLevel="0" collapsed="false">
      <c r="A762" s="50" t="s">
        <v>471</v>
      </c>
      <c r="B762" s="51" t="n">
        <v>45706</v>
      </c>
      <c r="C762" s="50" t="s">
        <v>419</v>
      </c>
      <c r="D762" s="50" t="s">
        <v>2176</v>
      </c>
      <c r="E762" s="50" t="n">
        <v>2</v>
      </c>
      <c r="F762" s="50" t="s">
        <v>2167</v>
      </c>
      <c r="G762" s="54" t="n">
        <v>848400</v>
      </c>
    </row>
    <row r="763" customFormat="false" ht="15" hidden="false" customHeight="false" outlineLevel="0" collapsed="false">
      <c r="A763" s="50" t="s">
        <v>471</v>
      </c>
      <c r="B763" s="51" t="n">
        <v>45706</v>
      </c>
      <c r="C763" s="50" t="s">
        <v>419</v>
      </c>
      <c r="D763" s="50" t="s">
        <v>2180</v>
      </c>
      <c r="E763" s="50" t="n">
        <v>3</v>
      </c>
      <c r="F763" s="50" t="s">
        <v>2167</v>
      </c>
      <c r="G763" s="54" t="n">
        <v>1309100</v>
      </c>
    </row>
    <row r="764" customFormat="false" ht="15" hidden="false" customHeight="false" outlineLevel="0" collapsed="false">
      <c r="A764" s="50" t="s">
        <v>471</v>
      </c>
      <c r="B764" s="51" t="n">
        <v>45706</v>
      </c>
      <c r="C764" s="50" t="s">
        <v>419</v>
      </c>
      <c r="D764" s="50" t="s">
        <v>2169</v>
      </c>
      <c r="E764" s="50" t="n">
        <v>6</v>
      </c>
      <c r="F764" s="50" t="s">
        <v>2167</v>
      </c>
      <c r="G764" s="54" t="n">
        <v>3830400</v>
      </c>
    </row>
    <row r="765" customFormat="false" ht="15" hidden="false" customHeight="false" outlineLevel="0" collapsed="false">
      <c r="A765" s="50" t="s">
        <v>471</v>
      </c>
      <c r="B765" s="51" t="n">
        <v>45706</v>
      </c>
      <c r="C765" s="50" t="s">
        <v>419</v>
      </c>
      <c r="D765" s="50" t="s">
        <v>2178</v>
      </c>
      <c r="E765" s="50" t="n">
        <v>5</v>
      </c>
      <c r="F765" s="50" t="s">
        <v>2167</v>
      </c>
      <c r="G765" s="54" t="n">
        <v>2335500</v>
      </c>
    </row>
    <row r="766" customFormat="false" ht="15" hidden="false" customHeight="false" outlineLevel="0" collapsed="false">
      <c r="A766" s="50" t="s">
        <v>472</v>
      </c>
      <c r="B766" s="51" t="n">
        <v>45706</v>
      </c>
      <c r="C766" s="50" t="s">
        <v>191</v>
      </c>
      <c r="D766" s="50" t="s">
        <v>2166</v>
      </c>
      <c r="E766" s="50" t="n">
        <v>8</v>
      </c>
      <c r="F766" s="50" t="s">
        <v>2167</v>
      </c>
      <c r="G766" s="54" t="n">
        <v>4168400</v>
      </c>
    </row>
    <row r="767" customFormat="false" ht="15" hidden="false" customHeight="false" outlineLevel="0" collapsed="false">
      <c r="A767" s="50" t="s">
        <v>473</v>
      </c>
      <c r="B767" s="51" t="n">
        <v>45706</v>
      </c>
      <c r="C767" s="50" t="s">
        <v>410</v>
      </c>
      <c r="D767" s="50" t="s">
        <v>2172</v>
      </c>
      <c r="E767" s="50" t="n">
        <v>6</v>
      </c>
      <c r="F767" s="50" t="s">
        <v>2167</v>
      </c>
      <c r="G767" s="54" t="n">
        <v>3058200</v>
      </c>
    </row>
    <row r="768" customFormat="false" ht="15" hidden="false" customHeight="false" outlineLevel="0" collapsed="false">
      <c r="A768" s="50" t="s">
        <v>473</v>
      </c>
      <c r="B768" s="51" t="n">
        <v>45706</v>
      </c>
      <c r="C768" s="50" t="s">
        <v>410</v>
      </c>
      <c r="D768" s="50" t="s">
        <v>2176</v>
      </c>
      <c r="E768" s="50" t="n">
        <v>1</v>
      </c>
      <c r="F768" s="50" t="s">
        <v>2167</v>
      </c>
      <c r="G768" s="54" t="n">
        <v>424700</v>
      </c>
    </row>
    <row r="769" customFormat="false" ht="15" hidden="false" customHeight="false" outlineLevel="0" collapsed="false">
      <c r="A769" s="50" t="s">
        <v>473</v>
      </c>
      <c r="B769" s="51" t="n">
        <v>45706</v>
      </c>
      <c r="C769" s="50" t="s">
        <v>410</v>
      </c>
      <c r="D769" s="50" t="s">
        <v>2173</v>
      </c>
      <c r="E769" s="50" t="n">
        <v>8</v>
      </c>
      <c r="F769" s="50" t="s">
        <v>2174</v>
      </c>
      <c r="G769" s="54" t="n">
        <v>6349900</v>
      </c>
    </row>
    <row r="770" customFormat="false" ht="15" hidden="false" customHeight="false" outlineLevel="0" collapsed="false">
      <c r="A770" s="50" t="s">
        <v>473</v>
      </c>
      <c r="B770" s="51" t="n">
        <v>45706</v>
      </c>
      <c r="C770" s="50" t="s">
        <v>410</v>
      </c>
      <c r="D770" s="50" t="s">
        <v>2179</v>
      </c>
      <c r="E770" s="50" t="n">
        <v>8</v>
      </c>
      <c r="F770" s="50" t="s">
        <v>2174</v>
      </c>
      <c r="G770" s="54" t="n">
        <v>10040100</v>
      </c>
    </row>
    <row r="771" customFormat="false" ht="15" hidden="false" customHeight="false" outlineLevel="0" collapsed="false">
      <c r="A771" s="50" t="s">
        <v>474</v>
      </c>
      <c r="B771" s="51" t="n">
        <v>45706</v>
      </c>
      <c r="C771" s="50" t="s">
        <v>475</v>
      </c>
      <c r="D771" s="50" t="s">
        <v>2169</v>
      </c>
      <c r="E771" s="50" t="n">
        <v>7</v>
      </c>
      <c r="F771" s="50" t="s">
        <v>2167</v>
      </c>
      <c r="G771" s="54" t="n">
        <v>4212000</v>
      </c>
    </row>
    <row r="772" customFormat="false" ht="15" hidden="false" customHeight="false" outlineLevel="0" collapsed="false">
      <c r="A772" s="50" t="s">
        <v>474</v>
      </c>
      <c r="B772" s="51" t="n">
        <v>45706</v>
      </c>
      <c r="C772" s="50" t="s">
        <v>475</v>
      </c>
      <c r="D772" s="50" t="s">
        <v>2184</v>
      </c>
      <c r="E772" s="50" t="n">
        <v>1</v>
      </c>
      <c r="F772" s="50" t="s">
        <v>2167</v>
      </c>
      <c r="G772" s="54" t="n">
        <v>572500</v>
      </c>
    </row>
    <row r="773" customFormat="false" ht="15" hidden="false" customHeight="false" outlineLevel="0" collapsed="false">
      <c r="A773" s="50" t="s">
        <v>474</v>
      </c>
      <c r="B773" s="51" t="n">
        <v>45706</v>
      </c>
      <c r="C773" s="50" t="s">
        <v>475</v>
      </c>
      <c r="D773" s="50" t="s">
        <v>2176</v>
      </c>
      <c r="E773" s="50" t="n">
        <v>7</v>
      </c>
      <c r="F773" s="50" t="s">
        <v>2167</v>
      </c>
      <c r="G773" s="54" t="n">
        <v>2860800</v>
      </c>
    </row>
    <row r="774" customFormat="false" ht="15" hidden="false" customHeight="false" outlineLevel="0" collapsed="false">
      <c r="A774" s="50" t="s">
        <v>476</v>
      </c>
      <c r="B774" s="51" t="n">
        <v>45707</v>
      </c>
      <c r="C774" s="50" t="s">
        <v>410</v>
      </c>
      <c r="D774" s="50" t="s">
        <v>2183</v>
      </c>
      <c r="E774" s="50" t="n">
        <v>7</v>
      </c>
      <c r="F774" s="50" t="s">
        <v>2167</v>
      </c>
      <c r="G774" s="54" t="n">
        <v>2590300</v>
      </c>
    </row>
    <row r="775" customFormat="false" ht="15" hidden="false" customHeight="false" outlineLevel="0" collapsed="false">
      <c r="A775" s="50" t="s">
        <v>476</v>
      </c>
      <c r="B775" s="51" t="n">
        <v>45707</v>
      </c>
      <c r="C775" s="50" t="s">
        <v>410</v>
      </c>
      <c r="D775" s="50" t="s">
        <v>2176</v>
      </c>
      <c r="E775" s="50" t="n">
        <v>4</v>
      </c>
      <c r="F775" s="50" t="s">
        <v>2167</v>
      </c>
      <c r="G775" s="54" t="n">
        <v>1683900</v>
      </c>
    </row>
    <row r="776" customFormat="false" ht="15" hidden="false" customHeight="false" outlineLevel="0" collapsed="false">
      <c r="A776" s="50" t="s">
        <v>476</v>
      </c>
      <c r="B776" s="51" t="n">
        <v>45707</v>
      </c>
      <c r="C776" s="50" t="s">
        <v>410</v>
      </c>
      <c r="D776" s="50" t="s">
        <v>2184</v>
      </c>
      <c r="E776" s="50" t="n">
        <v>4</v>
      </c>
      <c r="F776" s="50" t="s">
        <v>2167</v>
      </c>
      <c r="G776" s="54" t="n">
        <v>2213600</v>
      </c>
    </row>
    <row r="777" customFormat="false" ht="15" hidden="false" customHeight="false" outlineLevel="0" collapsed="false">
      <c r="A777" s="50" t="s">
        <v>476</v>
      </c>
      <c r="B777" s="51" t="n">
        <v>45707</v>
      </c>
      <c r="C777" s="50" t="s">
        <v>410</v>
      </c>
      <c r="D777" s="50" t="s">
        <v>2181</v>
      </c>
      <c r="E777" s="50" t="n">
        <v>6</v>
      </c>
      <c r="F777" s="50" t="s">
        <v>2167</v>
      </c>
      <c r="G777" s="54" t="n">
        <v>6765500</v>
      </c>
    </row>
    <row r="778" customFormat="false" ht="15" hidden="false" customHeight="false" outlineLevel="0" collapsed="false">
      <c r="A778" s="50" t="s">
        <v>477</v>
      </c>
      <c r="B778" s="51" t="n">
        <v>45707</v>
      </c>
      <c r="C778" s="50" t="s">
        <v>475</v>
      </c>
      <c r="D778" s="50" t="s">
        <v>2187</v>
      </c>
      <c r="E778" s="50" t="n">
        <v>3</v>
      </c>
      <c r="F778" s="50" t="s">
        <v>2167</v>
      </c>
      <c r="G778" s="54" t="n">
        <v>1041100</v>
      </c>
    </row>
    <row r="779" customFormat="false" ht="15" hidden="false" customHeight="false" outlineLevel="0" collapsed="false">
      <c r="A779" s="50" t="s">
        <v>477</v>
      </c>
      <c r="B779" s="51" t="n">
        <v>45707</v>
      </c>
      <c r="C779" s="50" t="s">
        <v>475</v>
      </c>
      <c r="D779" s="50" t="s">
        <v>2180</v>
      </c>
      <c r="E779" s="50" t="n">
        <v>7</v>
      </c>
      <c r="F779" s="50" t="s">
        <v>2167</v>
      </c>
      <c r="G779" s="54" t="n">
        <v>3172500</v>
      </c>
    </row>
    <row r="780" customFormat="false" ht="15" hidden="false" customHeight="false" outlineLevel="0" collapsed="false">
      <c r="A780" s="50" t="s">
        <v>477</v>
      </c>
      <c r="B780" s="51" t="n">
        <v>45707</v>
      </c>
      <c r="C780" s="50" t="s">
        <v>475</v>
      </c>
      <c r="D780" s="50" t="s">
        <v>2179</v>
      </c>
      <c r="E780" s="50" t="n">
        <v>7</v>
      </c>
      <c r="F780" s="50" t="s">
        <v>2174</v>
      </c>
      <c r="G780" s="54" t="n">
        <v>9051300</v>
      </c>
    </row>
    <row r="781" customFormat="false" ht="15" hidden="false" customHeight="false" outlineLevel="0" collapsed="false">
      <c r="A781" s="50" t="s">
        <v>477</v>
      </c>
      <c r="B781" s="51" t="n">
        <v>45707</v>
      </c>
      <c r="C781" s="50" t="s">
        <v>475</v>
      </c>
      <c r="D781" s="50" t="s">
        <v>2186</v>
      </c>
      <c r="E781" s="50" t="n">
        <v>7</v>
      </c>
      <c r="F781" s="50" t="s">
        <v>2167</v>
      </c>
      <c r="G781" s="54" t="n">
        <v>4014200</v>
      </c>
    </row>
    <row r="782" customFormat="false" ht="15" hidden="false" customHeight="false" outlineLevel="0" collapsed="false">
      <c r="A782" s="50" t="s">
        <v>477</v>
      </c>
      <c r="B782" s="51" t="n">
        <v>45707</v>
      </c>
      <c r="C782" s="50" t="s">
        <v>475</v>
      </c>
      <c r="D782" s="50" t="s">
        <v>2176</v>
      </c>
      <c r="E782" s="50" t="n">
        <v>6</v>
      </c>
      <c r="F782" s="50" t="s">
        <v>2167</v>
      </c>
      <c r="G782" s="54" t="n">
        <v>2518600</v>
      </c>
    </row>
    <row r="783" customFormat="false" ht="15" hidden="false" customHeight="false" outlineLevel="0" collapsed="false">
      <c r="A783" s="50" t="s">
        <v>477</v>
      </c>
      <c r="B783" s="51" t="n">
        <v>45707</v>
      </c>
      <c r="C783" s="50" t="s">
        <v>475</v>
      </c>
      <c r="D783" s="50" t="s">
        <v>2183</v>
      </c>
      <c r="E783" s="50" t="n">
        <v>6</v>
      </c>
      <c r="F783" s="50" t="s">
        <v>2167</v>
      </c>
      <c r="G783" s="54" t="n">
        <v>2357500</v>
      </c>
    </row>
    <row r="784" customFormat="false" ht="15" hidden="false" customHeight="false" outlineLevel="0" collapsed="false">
      <c r="A784" s="50" t="s">
        <v>477</v>
      </c>
      <c r="B784" s="51" t="n">
        <v>45707</v>
      </c>
      <c r="C784" s="50" t="s">
        <v>475</v>
      </c>
      <c r="D784" s="50" t="s">
        <v>2173</v>
      </c>
      <c r="E784" s="50" t="n">
        <v>6</v>
      </c>
      <c r="F784" s="50" t="s">
        <v>2174</v>
      </c>
      <c r="G784" s="54" t="n">
        <v>4634100</v>
      </c>
    </row>
    <row r="785" customFormat="false" ht="15" hidden="false" customHeight="false" outlineLevel="0" collapsed="false">
      <c r="A785" s="50" t="s">
        <v>478</v>
      </c>
      <c r="B785" s="51" t="n">
        <v>45707</v>
      </c>
      <c r="C785" s="50" t="s">
        <v>479</v>
      </c>
      <c r="D785" s="50" t="s">
        <v>2178</v>
      </c>
      <c r="E785" s="50" t="n">
        <v>5</v>
      </c>
      <c r="F785" s="50" t="s">
        <v>2167</v>
      </c>
      <c r="G785" s="54" t="n">
        <v>2327700</v>
      </c>
    </row>
    <row r="786" customFormat="false" ht="15" hidden="false" customHeight="false" outlineLevel="0" collapsed="false">
      <c r="A786" s="50" t="s">
        <v>478</v>
      </c>
      <c r="B786" s="51" t="n">
        <v>45707</v>
      </c>
      <c r="C786" s="50" t="s">
        <v>479</v>
      </c>
      <c r="D786" s="50" t="s">
        <v>2186</v>
      </c>
      <c r="E786" s="50" t="n">
        <v>7</v>
      </c>
      <c r="F786" s="50" t="s">
        <v>2167</v>
      </c>
      <c r="G786" s="54" t="n">
        <v>4084800</v>
      </c>
    </row>
    <row r="787" customFormat="false" ht="15" hidden="false" customHeight="false" outlineLevel="0" collapsed="false">
      <c r="A787" s="50" t="s">
        <v>480</v>
      </c>
      <c r="B787" s="51" t="n">
        <v>45707</v>
      </c>
      <c r="C787" s="50" t="s">
        <v>481</v>
      </c>
      <c r="D787" s="50" t="s">
        <v>2184</v>
      </c>
      <c r="E787" s="50" t="n">
        <v>7</v>
      </c>
      <c r="F787" s="50" t="s">
        <v>2167</v>
      </c>
      <c r="G787" s="54" t="n">
        <v>3968100</v>
      </c>
    </row>
    <row r="788" customFormat="false" ht="15" hidden="false" customHeight="false" outlineLevel="0" collapsed="false">
      <c r="A788" s="50" t="s">
        <v>480</v>
      </c>
      <c r="B788" s="51" t="n">
        <v>45707</v>
      </c>
      <c r="C788" s="50" t="s">
        <v>481</v>
      </c>
      <c r="D788" s="50" t="s">
        <v>2172</v>
      </c>
      <c r="E788" s="50" t="n">
        <v>8</v>
      </c>
      <c r="F788" s="50" t="s">
        <v>2167</v>
      </c>
      <c r="G788" s="54" t="n">
        <v>4165800</v>
      </c>
    </row>
    <row r="789" customFormat="false" ht="15" hidden="false" customHeight="false" outlineLevel="0" collapsed="false">
      <c r="A789" s="50" t="s">
        <v>480</v>
      </c>
      <c r="B789" s="51" t="n">
        <v>45707</v>
      </c>
      <c r="C789" s="50" t="s">
        <v>481</v>
      </c>
      <c r="D789" s="50" t="s">
        <v>2178</v>
      </c>
      <c r="E789" s="50" t="n">
        <v>1</v>
      </c>
      <c r="F789" s="50" t="s">
        <v>2167</v>
      </c>
      <c r="G789" s="54" t="n">
        <v>476000</v>
      </c>
    </row>
    <row r="790" customFormat="false" ht="15" hidden="false" customHeight="false" outlineLevel="0" collapsed="false">
      <c r="A790" s="50" t="s">
        <v>480</v>
      </c>
      <c r="B790" s="51" t="n">
        <v>45707</v>
      </c>
      <c r="C790" s="50" t="s">
        <v>481</v>
      </c>
      <c r="D790" s="50" t="s">
        <v>2183</v>
      </c>
      <c r="E790" s="50" t="n">
        <v>2</v>
      </c>
      <c r="F790" s="50" t="s">
        <v>2167</v>
      </c>
      <c r="G790" s="54" t="n">
        <v>777400</v>
      </c>
    </row>
    <row r="791" customFormat="false" ht="15" hidden="false" customHeight="false" outlineLevel="0" collapsed="false">
      <c r="A791" s="50" t="s">
        <v>482</v>
      </c>
      <c r="B791" s="51" t="n">
        <v>45707</v>
      </c>
      <c r="C791" s="50" t="s">
        <v>197</v>
      </c>
      <c r="D791" s="50" t="s">
        <v>2185</v>
      </c>
      <c r="E791" s="50" t="n">
        <v>1</v>
      </c>
      <c r="F791" s="50" t="s">
        <v>2174</v>
      </c>
      <c r="G791" s="54" t="n">
        <v>778700</v>
      </c>
    </row>
    <row r="792" customFormat="false" ht="15" hidden="false" customHeight="false" outlineLevel="0" collapsed="false">
      <c r="A792" s="50" t="s">
        <v>482</v>
      </c>
      <c r="B792" s="51" t="n">
        <v>45707</v>
      </c>
      <c r="C792" s="50" t="s">
        <v>197</v>
      </c>
      <c r="D792" s="50" t="s">
        <v>2172</v>
      </c>
      <c r="E792" s="50" t="n">
        <v>2</v>
      </c>
      <c r="F792" s="50" t="s">
        <v>2167</v>
      </c>
      <c r="G792" s="54" t="n">
        <v>1014200</v>
      </c>
    </row>
    <row r="793" customFormat="false" ht="15" hidden="false" customHeight="false" outlineLevel="0" collapsed="false">
      <c r="A793" s="50" t="s">
        <v>482</v>
      </c>
      <c r="B793" s="51" t="n">
        <v>45707</v>
      </c>
      <c r="C793" s="50" t="s">
        <v>197</v>
      </c>
      <c r="D793" s="50" t="s">
        <v>2178</v>
      </c>
      <c r="E793" s="50" t="n">
        <v>6</v>
      </c>
      <c r="F793" s="50" t="s">
        <v>2167</v>
      </c>
      <c r="G793" s="54" t="n">
        <v>2828700</v>
      </c>
    </row>
    <row r="794" customFormat="false" ht="15" hidden="false" customHeight="false" outlineLevel="0" collapsed="false">
      <c r="A794" s="50" t="s">
        <v>482</v>
      </c>
      <c r="B794" s="51" t="n">
        <v>45707</v>
      </c>
      <c r="C794" s="50" t="s">
        <v>197</v>
      </c>
      <c r="D794" s="50" t="s">
        <v>2188</v>
      </c>
      <c r="E794" s="50" t="n">
        <v>2</v>
      </c>
      <c r="F794" s="50" t="s">
        <v>2167</v>
      </c>
      <c r="G794" s="54" t="n">
        <v>1926600</v>
      </c>
    </row>
    <row r="795" customFormat="false" ht="15" hidden="false" customHeight="false" outlineLevel="0" collapsed="false">
      <c r="A795" s="50" t="s">
        <v>482</v>
      </c>
      <c r="B795" s="51" t="n">
        <v>45707</v>
      </c>
      <c r="C795" s="50" t="s">
        <v>197</v>
      </c>
      <c r="D795" s="50" t="s">
        <v>2187</v>
      </c>
      <c r="E795" s="50" t="n">
        <v>7</v>
      </c>
      <c r="F795" s="50" t="s">
        <v>2167</v>
      </c>
      <c r="G795" s="54" t="n">
        <v>2441800</v>
      </c>
    </row>
    <row r="796" customFormat="false" ht="15" hidden="false" customHeight="false" outlineLevel="0" collapsed="false">
      <c r="A796" s="50" t="s">
        <v>483</v>
      </c>
      <c r="B796" s="51" t="n">
        <v>45708</v>
      </c>
      <c r="C796" s="50" t="s">
        <v>179</v>
      </c>
      <c r="D796" s="50" t="s">
        <v>2178</v>
      </c>
      <c r="E796" s="50" t="n">
        <v>6</v>
      </c>
      <c r="F796" s="50" t="s">
        <v>2167</v>
      </c>
      <c r="G796" s="54" t="n">
        <v>2885800</v>
      </c>
    </row>
    <row r="797" customFormat="false" ht="15" hidden="false" customHeight="false" outlineLevel="0" collapsed="false">
      <c r="A797" s="50" t="s">
        <v>483</v>
      </c>
      <c r="B797" s="51" t="n">
        <v>45708</v>
      </c>
      <c r="C797" s="50" t="s">
        <v>179</v>
      </c>
      <c r="D797" s="50" t="s">
        <v>2182</v>
      </c>
      <c r="E797" s="50" t="n">
        <v>7</v>
      </c>
      <c r="F797" s="50" t="s">
        <v>2174</v>
      </c>
      <c r="G797" s="54" t="n">
        <v>6809700</v>
      </c>
    </row>
    <row r="798" customFormat="false" ht="15" hidden="false" customHeight="false" outlineLevel="0" collapsed="false">
      <c r="A798" s="50" t="s">
        <v>483</v>
      </c>
      <c r="B798" s="51" t="n">
        <v>45708</v>
      </c>
      <c r="C798" s="50" t="s">
        <v>179</v>
      </c>
      <c r="D798" s="50" t="s">
        <v>2184</v>
      </c>
      <c r="E798" s="50" t="n">
        <v>6</v>
      </c>
      <c r="F798" s="50" t="s">
        <v>2167</v>
      </c>
      <c r="G798" s="54" t="n">
        <v>3479100</v>
      </c>
    </row>
    <row r="799" customFormat="false" ht="15" hidden="false" customHeight="false" outlineLevel="0" collapsed="false">
      <c r="A799" s="50" t="s">
        <v>483</v>
      </c>
      <c r="B799" s="51" t="n">
        <v>45708</v>
      </c>
      <c r="C799" s="50" t="s">
        <v>179</v>
      </c>
      <c r="D799" s="50" t="s">
        <v>2172</v>
      </c>
      <c r="E799" s="50" t="n">
        <v>1</v>
      </c>
      <c r="F799" s="50" t="s">
        <v>2167</v>
      </c>
      <c r="G799" s="54" t="n">
        <v>504700</v>
      </c>
    </row>
    <row r="800" customFormat="false" ht="15" hidden="false" customHeight="false" outlineLevel="0" collapsed="false">
      <c r="A800" s="50" t="s">
        <v>484</v>
      </c>
      <c r="B800" s="51" t="n">
        <v>45708</v>
      </c>
      <c r="C800" s="50" t="s">
        <v>247</v>
      </c>
      <c r="D800" s="50" t="s">
        <v>2185</v>
      </c>
      <c r="E800" s="50" t="n">
        <v>4</v>
      </c>
      <c r="F800" s="50" t="s">
        <v>2174</v>
      </c>
      <c r="G800" s="54" t="n">
        <v>3141300</v>
      </c>
    </row>
    <row r="801" customFormat="false" ht="15" hidden="false" customHeight="false" outlineLevel="0" collapsed="false">
      <c r="A801" s="50" t="s">
        <v>484</v>
      </c>
      <c r="B801" s="51" t="n">
        <v>45708</v>
      </c>
      <c r="C801" s="50" t="s">
        <v>247</v>
      </c>
      <c r="D801" s="50" t="s">
        <v>2180</v>
      </c>
      <c r="E801" s="50" t="n">
        <v>1</v>
      </c>
      <c r="F801" s="50" t="s">
        <v>2167</v>
      </c>
      <c r="G801" s="54" t="n">
        <v>455700</v>
      </c>
    </row>
    <row r="802" customFormat="false" ht="15" hidden="false" customHeight="false" outlineLevel="0" collapsed="false">
      <c r="A802" s="50" t="s">
        <v>484</v>
      </c>
      <c r="B802" s="51" t="n">
        <v>45708</v>
      </c>
      <c r="C802" s="50" t="s">
        <v>247</v>
      </c>
      <c r="D802" s="50" t="s">
        <v>2178</v>
      </c>
      <c r="E802" s="50" t="n">
        <v>8</v>
      </c>
      <c r="F802" s="50" t="s">
        <v>2167</v>
      </c>
      <c r="G802" s="54" t="n">
        <v>3777200</v>
      </c>
    </row>
    <row r="803" customFormat="false" ht="15" hidden="false" customHeight="false" outlineLevel="0" collapsed="false">
      <c r="A803" s="50" t="s">
        <v>484</v>
      </c>
      <c r="B803" s="51" t="n">
        <v>45708</v>
      </c>
      <c r="C803" s="50" t="s">
        <v>247</v>
      </c>
      <c r="D803" s="50" t="s">
        <v>2166</v>
      </c>
      <c r="E803" s="50" t="n">
        <v>5</v>
      </c>
      <c r="F803" s="50" t="s">
        <v>2167</v>
      </c>
      <c r="G803" s="54" t="n">
        <v>2629200</v>
      </c>
    </row>
    <row r="804" customFormat="false" ht="15" hidden="false" customHeight="false" outlineLevel="0" collapsed="false">
      <c r="A804" s="50" t="s">
        <v>485</v>
      </c>
      <c r="B804" s="51" t="n">
        <v>45709</v>
      </c>
      <c r="C804" s="50" t="s">
        <v>174</v>
      </c>
      <c r="D804" s="50" t="s">
        <v>2178</v>
      </c>
      <c r="E804" s="50" t="n">
        <v>2</v>
      </c>
      <c r="F804" s="50" t="s">
        <v>2167</v>
      </c>
      <c r="G804" s="54" t="n">
        <v>992200</v>
      </c>
    </row>
    <row r="805" customFormat="false" ht="15" hidden="false" customHeight="false" outlineLevel="0" collapsed="false">
      <c r="A805" s="50" t="s">
        <v>485</v>
      </c>
      <c r="B805" s="51" t="n">
        <v>45709</v>
      </c>
      <c r="C805" s="50" t="s">
        <v>174</v>
      </c>
      <c r="D805" s="50" t="s">
        <v>2184</v>
      </c>
      <c r="E805" s="50" t="n">
        <v>3</v>
      </c>
      <c r="F805" s="50" t="s">
        <v>2167</v>
      </c>
      <c r="G805" s="54" t="n">
        <v>1736400</v>
      </c>
    </row>
    <row r="806" customFormat="false" ht="15" hidden="false" customHeight="false" outlineLevel="0" collapsed="false">
      <c r="A806" s="50" t="s">
        <v>485</v>
      </c>
      <c r="B806" s="51" t="n">
        <v>45709</v>
      </c>
      <c r="C806" s="50" t="s">
        <v>174</v>
      </c>
      <c r="D806" s="50" t="s">
        <v>2177</v>
      </c>
      <c r="E806" s="50" t="n">
        <v>2</v>
      </c>
      <c r="F806" s="50" t="s">
        <v>2174</v>
      </c>
      <c r="G806" s="54" t="n">
        <v>2255200</v>
      </c>
    </row>
    <row r="807" customFormat="false" ht="15" hidden="false" customHeight="false" outlineLevel="0" collapsed="false">
      <c r="A807" s="50" t="s">
        <v>486</v>
      </c>
      <c r="B807" s="51" t="n">
        <v>45709</v>
      </c>
      <c r="C807" s="50" t="s">
        <v>179</v>
      </c>
      <c r="D807" s="50" t="s">
        <v>2168</v>
      </c>
      <c r="E807" s="50" t="n">
        <v>1</v>
      </c>
      <c r="F807" s="50" t="s">
        <v>2167</v>
      </c>
      <c r="G807" s="54" t="n">
        <v>429500</v>
      </c>
    </row>
    <row r="808" customFormat="false" ht="15" hidden="false" customHeight="false" outlineLevel="0" collapsed="false">
      <c r="A808" s="50" t="s">
        <v>486</v>
      </c>
      <c r="B808" s="51" t="n">
        <v>45709</v>
      </c>
      <c r="C808" s="50" t="s">
        <v>179</v>
      </c>
      <c r="D808" s="50" t="s">
        <v>2173</v>
      </c>
      <c r="E808" s="50" t="n">
        <v>4</v>
      </c>
      <c r="F808" s="50" t="s">
        <v>2174</v>
      </c>
      <c r="G808" s="54" t="n">
        <v>3158600</v>
      </c>
    </row>
    <row r="809" customFormat="false" ht="15" hidden="false" customHeight="false" outlineLevel="0" collapsed="false">
      <c r="A809" s="50" t="s">
        <v>486</v>
      </c>
      <c r="B809" s="51" t="n">
        <v>45709</v>
      </c>
      <c r="C809" s="50" t="s">
        <v>179</v>
      </c>
      <c r="D809" s="50" t="s">
        <v>2172</v>
      </c>
      <c r="E809" s="50" t="n">
        <v>2</v>
      </c>
      <c r="F809" s="50" t="s">
        <v>2167</v>
      </c>
      <c r="G809" s="54" t="n">
        <v>1007600</v>
      </c>
    </row>
    <row r="810" customFormat="false" ht="15" hidden="false" customHeight="false" outlineLevel="0" collapsed="false">
      <c r="A810" s="50" t="s">
        <v>486</v>
      </c>
      <c r="B810" s="51" t="n">
        <v>45709</v>
      </c>
      <c r="C810" s="50" t="s">
        <v>179</v>
      </c>
      <c r="D810" s="50" t="s">
        <v>2185</v>
      </c>
      <c r="E810" s="50" t="n">
        <v>7</v>
      </c>
      <c r="F810" s="50" t="s">
        <v>2174</v>
      </c>
      <c r="G810" s="54" t="n">
        <v>5427200</v>
      </c>
    </row>
    <row r="811" customFormat="false" ht="15" hidden="false" customHeight="false" outlineLevel="0" collapsed="false">
      <c r="A811" s="50" t="s">
        <v>486</v>
      </c>
      <c r="B811" s="51" t="n">
        <v>45709</v>
      </c>
      <c r="C811" s="50" t="s">
        <v>179</v>
      </c>
      <c r="D811" s="50" t="s">
        <v>2176</v>
      </c>
      <c r="E811" s="50" t="n">
        <v>5</v>
      </c>
      <c r="F811" s="50" t="s">
        <v>2167</v>
      </c>
      <c r="G811" s="54" t="n">
        <v>2136700</v>
      </c>
    </row>
    <row r="812" customFormat="false" ht="15" hidden="false" customHeight="false" outlineLevel="0" collapsed="false">
      <c r="A812" s="50" t="s">
        <v>486</v>
      </c>
      <c r="B812" s="51" t="n">
        <v>45709</v>
      </c>
      <c r="C812" s="50" t="s">
        <v>179</v>
      </c>
      <c r="D812" s="50" t="s">
        <v>2180</v>
      </c>
      <c r="E812" s="50" t="n">
        <v>1</v>
      </c>
      <c r="F812" s="50" t="s">
        <v>2167</v>
      </c>
      <c r="G812" s="54" t="n">
        <v>437600</v>
      </c>
    </row>
    <row r="813" customFormat="false" ht="15" hidden="false" customHeight="false" outlineLevel="0" collapsed="false">
      <c r="A813" s="50" t="s">
        <v>487</v>
      </c>
      <c r="B813" s="51" t="n">
        <v>45709</v>
      </c>
      <c r="C813" s="50" t="s">
        <v>325</v>
      </c>
      <c r="D813" s="50" t="s">
        <v>2185</v>
      </c>
      <c r="E813" s="50" t="n">
        <v>2</v>
      </c>
      <c r="F813" s="50" t="s">
        <v>2174</v>
      </c>
      <c r="G813" s="54" t="n">
        <v>1557000</v>
      </c>
    </row>
    <row r="814" customFormat="false" ht="15" hidden="false" customHeight="false" outlineLevel="0" collapsed="false">
      <c r="A814" s="50" t="s">
        <v>487</v>
      </c>
      <c r="B814" s="51" t="n">
        <v>45709</v>
      </c>
      <c r="C814" s="50" t="s">
        <v>325</v>
      </c>
      <c r="D814" s="50" t="s">
        <v>2181</v>
      </c>
      <c r="E814" s="50" t="n">
        <v>6</v>
      </c>
      <c r="F814" s="50" t="s">
        <v>2167</v>
      </c>
      <c r="G814" s="54" t="n">
        <v>7142900</v>
      </c>
    </row>
    <row r="815" customFormat="false" ht="15" hidden="false" customHeight="false" outlineLevel="0" collapsed="false">
      <c r="A815" s="50" t="s">
        <v>487</v>
      </c>
      <c r="B815" s="51" t="n">
        <v>45709</v>
      </c>
      <c r="C815" s="50" t="s">
        <v>325</v>
      </c>
      <c r="D815" s="50" t="s">
        <v>2169</v>
      </c>
      <c r="E815" s="50" t="n">
        <v>2</v>
      </c>
      <c r="F815" s="50" t="s">
        <v>2167</v>
      </c>
      <c r="G815" s="54" t="n">
        <v>1250500</v>
      </c>
    </row>
    <row r="816" customFormat="false" ht="15" hidden="false" customHeight="false" outlineLevel="0" collapsed="false">
      <c r="A816" s="50" t="s">
        <v>487</v>
      </c>
      <c r="B816" s="51" t="n">
        <v>45709</v>
      </c>
      <c r="C816" s="50" t="s">
        <v>325</v>
      </c>
      <c r="D816" s="50" t="s">
        <v>2184</v>
      </c>
      <c r="E816" s="50" t="n">
        <v>4</v>
      </c>
      <c r="F816" s="50" t="s">
        <v>2167</v>
      </c>
      <c r="G816" s="54" t="n">
        <v>2258400</v>
      </c>
    </row>
    <row r="817" customFormat="false" ht="15" hidden="false" customHeight="false" outlineLevel="0" collapsed="false">
      <c r="A817" s="50" t="s">
        <v>488</v>
      </c>
      <c r="B817" s="51" t="n">
        <v>45709</v>
      </c>
      <c r="C817" s="50" t="s">
        <v>179</v>
      </c>
      <c r="D817" s="50" t="s">
        <v>2168</v>
      </c>
      <c r="E817" s="50" t="n">
        <v>8</v>
      </c>
      <c r="F817" s="50" t="s">
        <v>2167</v>
      </c>
      <c r="G817" s="54" t="n">
        <v>3448000</v>
      </c>
    </row>
    <row r="818" customFormat="false" ht="15" hidden="false" customHeight="false" outlineLevel="0" collapsed="false">
      <c r="A818" s="50" t="s">
        <v>488</v>
      </c>
      <c r="B818" s="51" t="n">
        <v>45709</v>
      </c>
      <c r="C818" s="50" t="s">
        <v>179</v>
      </c>
      <c r="D818" s="50" t="s">
        <v>2176</v>
      </c>
      <c r="E818" s="50" t="n">
        <v>3</v>
      </c>
      <c r="F818" s="50" t="s">
        <v>2167</v>
      </c>
      <c r="G818" s="54" t="n">
        <v>1292500</v>
      </c>
    </row>
    <row r="819" customFormat="false" ht="15" hidden="false" customHeight="false" outlineLevel="0" collapsed="false">
      <c r="A819" s="50" t="s">
        <v>488</v>
      </c>
      <c r="B819" s="51" t="n">
        <v>45709</v>
      </c>
      <c r="C819" s="50" t="s">
        <v>179</v>
      </c>
      <c r="D819" s="50" t="s">
        <v>2169</v>
      </c>
      <c r="E819" s="50" t="n">
        <v>5</v>
      </c>
      <c r="F819" s="50" t="s">
        <v>2167</v>
      </c>
      <c r="G819" s="54" t="n">
        <v>3219800</v>
      </c>
    </row>
    <row r="820" customFormat="false" ht="15" hidden="false" customHeight="false" outlineLevel="0" collapsed="false">
      <c r="A820" s="50" t="s">
        <v>488</v>
      </c>
      <c r="B820" s="51" t="n">
        <v>45709</v>
      </c>
      <c r="C820" s="50" t="s">
        <v>179</v>
      </c>
      <c r="D820" s="50" t="s">
        <v>2184</v>
      </c>
      <c r="E820" s="50" t="n">
        <v>7</v>
      </c>
      <c r="F820" s="50" t="s">
        <v>2167</v>
      </c>
      <c r="G820" s="54" t="n">
        <v>4051300</v>
      </c>
    </row>
    <row r="821" customFormat="false" ht="15" hidden="false" customHeight="false" outlineLevel="0" collapsed="false">
      <c r="A821" s="50" t="s">
        <v>489</v>
      </c>
      <c r="B821" s="51" t="n">
        <v>45709</v>
      </c>
      <c r="C821" s="50" t="s">
        <v>193</v>
      </c>
      <c r="D821" s="50" t="s">
        <v>2176</v>
      </c>
      <c r="E821" s="50" t="n">
        <v>7</v>
      </c>
      <c r="F821" s="50" t="s">
        <v>2167</v>
      </c>
      <c r="G821" s="54" t="n">
        <v>3039400</v>
      </c>
    </row>
    <row r="822" customFormat="false" ht="15" hidden="false" customHeight="false" outlineLevel="0" collapsed="false">
      <c r="A822" s="50" t="s">
        <v>489</v>
      </c>
      <c r="B822" s="51" t="n">
        <v>45709</v>
      </c>
      <c r="C822" s="50" t="s">
        <v>193</v>
      </c>
      <c r="D822" s="50" t="s">
        <v>2172</v>
      </c>
      <c r="E822" s="50" t="n">
        <v>4</v>
      </c>
      <c r="F822" s="50" t="s">
        <v>2167</v>
      </c>
      <c r="G822" s="54" t="n">
        <v>2093300</v>
      </c>
    </row>
    <row r="823" customFormat="false" ht="15" hidden="false" customHeight="false" outlineLevel="0" collapsed="false">
      <c r="A823" s="50" t="s">
        <v>490</v>
      </c>
      <c r="B823" s="51" t="n">
        <v>45709</v>
      </c>
      <c r="C823" s="50" t="s">
        <v>491</v>
      </c>
      <c r="D823" s="50" t="s">
        <v>2168</v>
      </c>
      <c r="E823" s="50" t="n">
        <v>6</v>
      </c>
      <c r="F823" s="50" t="s">
        <v>2167</v>
      </c>
      <c r="G823" s="54" t="n">
        <v>2595100</v>
      </c>
    </row>
    <row r="824" customFormat="false" ht="15" hidden="false" customHeight="false" outlineLevel="0" collapsed="false">
      <c r="A824" s="50" t="s">
        <v>490</v>
      </c>
      <c r="B824" s="51" t="n">
        <v>45709</v>
      </c>
      <c r="C824" s="50" t="s">
        <v>491</v>
      </c>
      <c r="D824" s="50" t="s">
        <v>2186</v>
      </c>
      <c r="E824" s="50" t="n">
        <v>5</v>
      </c>
      <c r="F824" s="50" t="s">
        <v>2167</v>
      </c>
      <c r="G824" s="54" t="n">
        <v>2875900</v>
      </c>
    </row>
    <row r="825" customFormat="false" ht="15" hidden="false" customHeight="false" outlineLevel="0" collapsed="false">
      <c r="A825" s="50" t="s">
        <v>490</v>
      </c>
      <c r="B825" s="51" t="n">
        <v>45709</v>
      </c>
      <c r="C825" s="50" t="s">
        <v>491</v>
      </c>
      <c r="D825" s="50" t="s">
        <v>2176</v>
      </c>
      <c r="E825" s="50" t="n">
        <v>3</v>
      </c>
      <c r="F825" s="50" t="s">
        <v>2167</v>
      </c>
      <c r="G825" s="54" t="n">
        <v>1273700</v>
      </c>
    </row>
    <row r="826" customFormat="false" ht="15" hidden="false" customHeight="false" outlineLevel="0" collapsed="false">
      <c r="A826" s="50" t="s">
        <v>490</v>
      </c>
      <c r="B826" s="51" t="n">
        <v>45709</v>
      </c>
      <c r="C826" s="50" t="s">
        <v>491</v>
      </c>
      <c r="D826" s="50" t="s">
        <v>2166</v>
      </c>
      <c r="E826" s="50" t="n">
        <v>8</v>
      </c>
      <c r="F826" s="50" t="s">
        <v>2167</v>
      </c>
      <c r="G826" s="54" t="n">
        <v>4154200</v>
      </c>
    </row>
    <row r="827" customFormat="false" ht="15" hidden="false" customHeight="false" outlineLevel="0" collapsed="false">
      <c r="A827" s="50" t="s">
        <v>490</v>
      </c>
      <c r="B827" s="51" t="n">
        <v>45709</v>
      </c>
      <c r="C827" s="50" t="s">
        <v>491</v>
      </c>
      <c r="D827" s="50" t="s">
        <v>2184</v>
      </c>
      <c r="E827" s="50" t="n">
        <v>5</v>
      </c>
      <c r="F827" s="50" t="s">
        <v>2167</v>
      </c>
      <c r="G827" s="54" t="n">
        <v>2763800</v>
      </c>
    </row>
    <row r="828" customFormat="false" ht="15" hidden="false" customHeight="false" outlineLevel="0" collapsed="false">
      <c r="A828" s="50" t="s">
        <v>490</v>
      </c>
      <c r="B828" s="51" t="n">
        <v>45709</v>
      </c>
      <c r="C828" s="50" t="s">
        <v>491</v>
      </c>
      <c r="D828" s="50" t="s">
        <v>2173</v>
      </c>
      <c r="E828" s="50" t="n">
        <v>5</v>
      </c>
      <c r="F828" s="50" t="s">
        <v>2174</v>
      </c>
      <c r="G828" s="54" t="n">
        <v>4131200</v>
      </c>
    </row>
    <row r="829" customFormat="false" ht="15" hidden="false" customHeight="false" outlineLevel="0" collapsed="false">
      <c r="A829" s="50" t="s">
        <v>492</v>
      </c>
      <c r="B829" s="51" t="n">
        <v>45710</v>
      </c>
      <c r="C829" s="50" t="s">
        <v>230</v>
      </c>
      <c r="D829" s="50" t="s">
        <v>2169</v>
      </c>
      <c r="E829" s="50" t="n">
        <v>7</v>
      </c>
      <c r="F829" s="50" t="s">
        <v>2167</v>
      </c>
      <c r="G829" s="54" t="n">
        <v>4404800</v>
      </c>
    </row>
    <row r="830" customFormat="false" ht="15" hidden="false" customHeight="false" outlineLevel="0" collapsed="false">
      <c r="A830" s="50" t="s">
        <v>492</v>
      </c>
      <c r="B830" s="51" t="n">
        <v>45710</v>
      </c>
      <c r="C830" s="50" t="s">
        <v>230</v>
      </c>
      <c r="D830" s="50" t="s">
        <v>2188</v>
      </c>
      <c r="E830" s="50" t="n">
        <v>8</v>
      </c>
      <c r="F830" s="50" t="s">
        <v>2167</v>
      </c>
      <c r="G830" s="54" t="n">
        <v>7793100</v>
      </c>
    </row>
    <row r="831" customFormat="false" ht="15" hidden="false" customHeight="false" outlineLevel="0" collapsed="false">
      <c r="A831" s="50" t="s">
        <v>492</v>
      </c>
      <c r="B831" s="51" t="n">
        <v>45710</v>
      </c>
      <c r="C831" s="50" t="s">
        <v>230</v>
      </c>
      <c r="D831" s="50" t="s">
        <v>2186</v>
      </c>
      <c r="E831" s="50" t="n">
        <v>7</v>
      </c>
      <c r="F831" s="50" t="s">
        <v>2167</v>
      </c>
      <c r="G831" s="54" t="n">
        <v>4001500</v>
      </c>
    </row>
    <row r="832" customFormat="false" ht="15" hidden="false" customHeight="false" outlineLevel="0" collapsed="false">
      <c r="A832" s="50" t="s">
        <v>493</v>
      </c>
      <c r="B832" s="51" t="n">
        <v>45710</v>
      </c>
      <c r="C832" s="50" t="s">
        <v>172</v>
      </c>
      <c r="D832" s="50" t="s">
        <v>2176</v>
      </c>
      <c r="E832" s="50" t="n">
        <v>8</v>
      </c>
      <c r="F832" s="50" t="s">
        <v>2167</v>
      </c>
      <c r="G832" s="54" t="n">
        <v>3419500</v>
      </c>
    </row>
    <row r="833" customFormat="false" ht="15" hidden="false" customHeight="false" outlineLevel="0" collapsed="false">
      <c r="A833" s="50" t="s">
        <v>493</v>
      </c>
      <c r="B833" s="51" t="n">
        <v>45710</v>
      </c>
      <c r="C833" s="50" t="s">
        <v>172</v>
      </c>
      <c r="D833" s="50" t="s">
        <v>2181</v>
      </c>
      <c r="E833" s="50" t="n">
        <v>4</v>
      </c>
      <c r="F833" s="50" t="s">
        <v>2167</v>
      </c>
      <c r="G833" s="54" t="n">
        <v>4497700</v>
      </c>
    </row>
    <row r="834" customFormat="false" ht="15" hidden="false" customHeight="false" outlineLevel="0" collapsed="false">
      <c r="A834" s="50" t="s">
        <v>493</v>
      </c>
      <c r="B834" s="51" t="n">
        <v>45710</v>
      </c>
      <c r="C834" s="50" t="s">
        <v>172</v>
      </c>
      <c r="D834" s="50" t="s">
        <v>2182</v>
      </c>
      <c r="E834" s="50" t="n">
        <v>1</v>
      </c>
      <c r="F834" s="50" t="s">
        <v>2174</v>
      </c>
      <c r="G834" s="54" t="n">
        <v>976700</v>
      </c>
    </row>
    <row r="835" customFormat="false" ht="15" hidden="false" customHeight="false" outlineLevel="0" collapsed="false">
      <c r="A835" s="50" t="s">
        <v>494</v>
      </c>
      <c r="B835" s="51" t="n">
        <v>45710</v>
      </c>
      <c r="C835" s="50" t="s">
        <v>205</v>
      </c>
      <c r="D835" s="50" t="s">
        <v>2184</v>
      </c>
      <c r="E835" s="50" t="n">
        <v>8</v>
      </c>
      <c r="F835" s="50" t="s">
        <v>2167</v>
      </c>
      <c r="G835" s="54" t="n">
        <v>4422800</v>
      </c>
    </row>
    <row r="836" customFormat="false" ht="15" hidden="false" customHeight="false" outlineLevel="0" collapsed="false">
      <c r="A836" s="50" t="s">
        <v>494</v>
      </c>
      <c r="B836" s="51" t="n">
        <v>45710</v>
      </c>
      <c r="C836" s="50" t="s">
        <v>205</v>
      </c>
      <c r="D836" s="50" t="s">
        <v>2169</v>
      </c>
      <c r="E836" s="50" t="n">
        <v>6</v>
      </c>
      <c r="F836" s="50" t="s">
        <v>2167</v>
      </c>
      <c r="G836" s="54" t="n">
        <v>3633500</v>
      </c>
    </row>
    <row r="837" customFormat="false" ht="15" hidden="false" customHeight="false" outlineLevel="0" collapsed="false">
      <c r="A837" s="50" t="s">
        <v>494</v>
      </c>
      <c r="B837" s="51" t="n">
        <v>45710</v>
      </c>
      <c r="C837" s="50" t="s">
        <v>205</v>
      </c>
      <c r="D837" s="50" t="s">
        <v>2183</v>
      </c>
      <c r="E837" s="50" t="n">
        <v>5</v>
      </c>
      <c r="F837" s="50" t="s">
        <v>2167</v>
      </c>
      <c r="G837" s="54" t="n">
        <v>1854000</v>
      </c>
    </row>
    <row r="838" customFormat="false" ht="15" hidden="false" customHeight="false" outlineLevel="0" collapsed="false">
      <c r="A838" s="50" t="s">
        <v>494</v>
      </c>
      <c r="B838" s="51" t="n">
        <v>45710</v>
      </c>
      <c r="C838" s="50" t="s">
        <v>205</v>
      </c>
      <c r="D838" s="50" t="s">
        <v>2176</v>
      </c>
      <c r="E838" s="50" t="n">
        <v>8</v>
      </c>
      <c r="F838" s="50" t="s">
        <v>2167</v>
      </c>
      <c r="G838" s="54" t="n">
        <v>3459000</v>
      </c>
    </row>
    <row r="839" customFormat="false" ht="15" hidden="false" customHeight="false" outlineLevel="0" collapsed="false">
      <c r="A839" s="50" t="s">
        <v>494</v>
      </c>
      <c r="B839" s="51" t="n">
        <v>45710</v>
      </c>
      <c r="C839" s="50" t="s">
        <v>205</v>
      </c>
      <c r="D839" s="50" t="s">
        <v>2186</v>
      </c>
      <c r="E839" s="50" t="n">
        <v>4</v>
      </c>
      <c r="F839" s="50" t="s">
        <v>2167</v>
      </c>
      <c r="G839" s="54" t="n">
        <v>2367800</v>
      </c>
    </row>
    <row r="840" customFormat="false" ht="15" hidden="false" customHeight="false" outlineLevel="0" collapsed="false">
      <c r="A840" s="50" t="s">
        <v>494</v>
      </c>
      <c r="B840" s="51" t="n">
        <v>45710</v>
      </c>
      <c r="C840" s="50" t="s">
        <v>205</v>
      </c>
      <c r="D840" s="50" t="s">
        <v>2177</v>
      </c>
      <c r="E840" s="50" t="n">
        <v>4</v>
      </c>
      <c r="F840" s="50" t="s">
        <v>2174</v>
      </c>
      <c r="G840" s="54" t="n">
        <v>4537200</v>
      </c>
    </row>
    <row r="841" customFormat="false" ht="15" hidden="false" customHeight="false" outlineLevel="0" collapsed="false">
      <c r="A841" s="50" t="s">
        <v>494</v>
      </c>
      <c r="B841" s="51" t="n">
        <v>45710</v>
      </c>
      <c r="C841" s="50" t="s">
        <v>205</v>
      </c>
      <c r="D841" s="50" t="s">
        <v>2173</v>
      </c>
      <c r="E841" s="50" t="n">
        <v>1</v>
      </c>
      <c r="F841" s="50" t="s">
        <v>2174</v>
      </c>
      <c r="G841" s="54" t="n">
        <v>790700</v>
      </c>
    </row>
    <row r="842" customFormat="false" ht="15" hidden="false" customHeight="false" outlineLevel="0" collapsed="false">
      <c r="A842" s="50" t="s">
        <v>494</v>
      </c>
      <c r="B842" s="51" t="n">
        <v>45710</v>
      </c>
      <c r="C842" s="50" t="s">
        <v>205</v>
      </c>
      <c r="D842" s="50" t="s">
        <v>2170</v>
      </c>
      <c r="E842" s="50" t="n">
        <v>1</v>
      </c>
      <c r="F842" s="50" t="s">
        <v>2171</v>
      </c>
      <c r="G842" s="54" t="n">
        <v>7779000</v>
      </c>
    </row>
    <row r="843" customFormat="false" ht="15" hidden="false" customHeight="false" outlineLevel="0" collapsed="false">
      <c r="A843" s="50" t="s">
        <v>495</v>
      </c>
      <c r="B843" s="51" t="n">
        <v>45710</v>
      </c>
      <c r="C843" s="50" t="s">
        <v>188</v>
      </c>
      <c r="D843" s="50" t="s">
        <v>2169</v>
      </c>
      <c r="E843" s="50" t="n">
        <v>3</v>
      </c>
      <c r="F843" s="50" t="s">
        <v>2167</v>
      </c>
      <c r="G843" s="54" t="n">
        <v>1914000</v>
      </c>
    </row>
    <row r="844" customFormat="false" ht="15" hidden="false" customHeight="false" outlineLevel="0" collapsed="false">
      <c r="A844" s="50" t="s">
        <v>495</v>
      </c>
      <c r="B844" s="51" t="n">
        <v>45710</v>
      </c>
      <c r="C844" s="50" t="s">
        <v>188</v>
      </c>
      <c r="D844" s="50" t="s">
        <v>2181</v>
      </c>
      <c r="E844" s="50" t="n">
        <v>7</v>
      </c>
      <c r="F844" s="50" t="s">
        <v>2167</v>
      </c>
      <c r="G844" s="54" t="n">
        <v>7936100</v>
      </c>
    </row>
    <row r="845" customFormat="false" ht="15" hidden="false" customHeight="false" outlineLevel="0" collapsed="false">
      <c r="A845" s="50" t="s">
        <v>495</v>
      </c>
      <c r="B845" s="51" t="n">
        <v>45710</v>
      </c>
      <c r="C845" s="50" t="s">
        <v>188</v>
      </c>
      <c r="D845" s="50" t="s">
        <v>2178</v>
      </c>
      <c r="E845" s="50" t="n">
        <v>8</v>
      </c>
      <c r="F845" s="50" t="s">
        <v>2167</v>
      </c>
      <c r="G845" s="54" t="n">
        <v>3821300</v>
      </c>
    </row>
    <row r="846" customFormat="false" ht="15" hidden="false" customHeight="false" outlineLevel="0" collapsed="false">
      <c r="A846" s="50" t="s">
        <v>495</v>
      </c>
      <c r="B846" s="51" t="n">
        <v>45710</v>
      </c>
      <c r="C846" s="50" t="s">
        <v>188</v>
      </c>
      <c r="D846" s="50" t="s">
        <v>2183</v>
      </c>
      <c r="E846" s="50" t="n">
        <v>5</v>
      </c>
      <c r="F846" s="50" t="s">
        <v>2167</v>
      </c>
      <c r="G846" s="54" t="n">
        <v>1975600</v>
      </c>
    </row>
    <row r="847" customFormat="false" ht="15" hidden="false" customHeight="false" outlineLevel="0" collapsed="false">
      <c r="A847" s="50" t="s">
        <v>495</v>
      </c>
      <c r="B847" s="51" t="n">
        <v>45710</v>
      </c>
      <c r="C847" s="50" t="s">
        <v>188</v>
      </c>
      <c r="D847" s="50" t="s">
        <v>2173</v>
      </c>
      <c r="E847" s="50" t="n">
        <v>2</v>
      </c>
      <c r="F847" s="50" t="s">
        <v>2174</v>
      </c>
      <c r="G847" s="54" t="n">
        <v>1623800</v>
      </c>
    </row>
    <row r="848" customFormat="false" ht="15" hidden="false" customHeight="false" outlineLevel="0" collapsed="false">
      <c r="A848" s="50" t="s">
        <v>496</v>
      </c>
      <c r="B848" s="51" t="n">
        <v>45710</v>
      </c>
      <c r="C848" s="50" t="s">
        <v>298</v>
      </c>
      <c r="D848" s="50" t="s">
        <v>2178</v>
      </c>
      <c r="E848" s="50" t="n">
        <v>8</v>
      </c>
      <c r="F848" s="50" t="s">
        <v>2167</v>
      </c>
      <c r="G848" s="54" t="n">
        <v>3720700</v>
      </c>
    </row>
    <row r="849" customFormat="false" ht="15" hidden="false" customHeight="false" outlineLevel="0" collapsed="false">
      <c r="A849" s="50" t="s">
        <v>496</v>
      </c>
      <c r="B849" s="51" t="n">
        <v>45710</v>
      </c>
      <c r="C849" s="50" t="s">
        <v>298</v>
      </c>
      <c r="D849" s="50" t="s">
        <v>2177</v>
      </c>
      <c r="E849" s="50" t="n">
        <v>8</v>
      </c>
      <c r="F849" s="50" t="s">
        <v>2174</v>
      </c>
      <c r="G849" s="54" t="n">
        <v>9103800</v>
      </c>
    </row>
    <row r="850" customFormat="false" ht="15" hidden="false" customHeight="false" outlineLevel="0" collapsed="false">
      <c r="A850" s="50" t="s">
        <v>496</v>
      </c>
      <c r="B850" s="51" t="n">
        <v>45710</v>
      </c>
      <c r="C850" s="50" t="s">
        <v>298</v>
      </c>
      <c r="D850" s="50" t="s">
        <v>2183</v>
      </c>
      <c r="E850" s="50" t="n">
        <v>6</v>
      </c>
      <c r="F850" s="50" t="s">
        <v>2167</v>
      </c>
      <c r="G850" s="54" t="n">
        <v>2244500</v>
      </c>
    </row>
    <row r="851" customFormat="false" ht="15" hidden="false" customHeight="false" outlineLevel="0" collapsed="false">
      <c r="A851" s="50" t="s">
        <v>496</v>
      </c>
      <c r="B851" s="51" t="n">
        <v>45710</v>
      </c>
      <c r="C851" s="50" t="s">
        <v>298</v>
      </c>
      <c r="D851" s="50" t="s">
        <v>2170</v>
      </c>
      <c r="E851" s="50" t="n">
        <v>1</v>
      </c>
      <c r="F851" s="50" t="s">
        <v>2171</v>
      </c>
      <c r="G851" s="54" t="n">
        <v>7895800</v>
      </c>
    </row>
    <row r="852" customFormat="false" ht="15" hidden="false" customHeight="false" outlineLevel="0" collapsed="false">
      <c r="A852" s="50" t="s">
        <v>496</v>
      </c>
      <c r="B852" s="51" t="n">
        <v>45710</v>
      </c>
      <c r="C852" s="50" t="s">
        <v>298</v>
      </c>
      <c r="D852" s="50" t="s">
        <v>2166</v>
      </c>
      <c r="E852" s="50" t="n">
        <v>4</v>
      </c>
      <c r="F852" s="50" t="s">
        <v>2167</v>
      </c>
      <c r="G852" s="54" t="n">
        <v>2080100</v>
      </c>
    </row>
    <row r="853" customFormat="false" ht="15" hidden="false" customHeight="false" outlineLevel="0" collapsed="false">
      <c r="A853" s="50" t="s">
        <v>498</v>
      </c>
      <c r="B853" s="51" t="n">
        <v>45710</v>
      </c>
      <c r="C853" s="50" t="s">
        <v>203</v>
      </c>
      <c r="D853" s="50" t="s">
        <v>2166</v>
      </c>
      <c r="E853" s="50" t="n">
        <v>1</v>
      </c>
      <c r="F853" s="50" t="s">
        <v>2167</v>
      </c>
      <c r="G853" s="54" t="n">
        <v>531600</v>
      </c>
    </row>
    <row r="854" customFormat="false" ht="15" hidden="false" customHeight="false" outlineLevel="0" collapsed="false">
      <c r="A854" s="50" t="s">
        <v>498</v>
      </c>
      <c r="B854" s="51" t="n">
        <v>45710</v>
      </c>
      <c r="C854" s="50" t="s">
        <v>203</v>
      </c>
      <c r="D854" s="50" t="s">
        <v>2184</v>
      </c>
      <c r="E854" s="50" t="n">
        <v>4</v>
      </c>
      <c r="F854" s="50" t="s">
        <v>2167</v>
      </c>
      <c r="G854" s="54" t="n">
        <v>2259000</v>
      </c>
    </row>
    <row r="855" customFormat="false" ht="15" hidden="false" customHeight="false" outlineLevel="0" collapsed="false">
      <c r="A855" s="50" t="s">
        <v>498</v>
      </c>
      <c r="B855" s="51" t="n">
        <v>45710</v>
      </c>
      <c r="C855" s="50" t="s">
        <v>203</v>
      </c>
      <c r="D855" s="50" t="s">
        <v>2178</v>
      </c>
      <c r="E855" s="50" t="n">
        <v>1</v>
      </c>
      <c r="F855" s="50" t="s">
        <v>2167</v>
      </c>
      <c r="G855" s="54" t="n">
        <v>490500</v>
      </c>
    </row>
    <row r="856" customFormat="false" ht="15" hidden="false" customHeight="false" outlineLevel="0" collapsed="false">
      <c r="A856" s="50" t="s">
        <v>498</v>
      </c>
      <c r="B856" s="51" t="n">
        <v>45710</v>
      </c>
      <c r="C856" s="50" t="s">
        <v>203</v>
      </c>
      <c r="D856" s="50" t="s">
        <v>2176</v>
      </c>
      <c r="E856" s="50" t="n">
        <v>2</v>
      </c>
      <c r="F856" s="50" t="s">
        <v>2167</v>
      </c>
      <c r="G856" s="54" t="n">
        <v>866800</v>
      </c>
    </row>
    <row r="857" customFormat="false" ht="15" hidden="false" customHeight="false" outlineLevel="0" collapsed="false">
      <c r="A857" s="50" t="s">
        <v>498</v>
      </c>
      <c r="B857" s="51" t="n">
        <v>45710</v>
      </c>
      <c r="C857" s="50" t="s">
        <v>203</v>
      </c>
      <c r="D857" s="50" t="s">
        <v>2173</v>
      </c>
      <c r="E857" s="50" t="n">
        <v>1</v>
      </c>
      <c r="F857" s="50" t="s">
        <v>2174</v>
      </c>
      <c r="G857" s="54" t="n">
        <v>779500</v>
      </c>
    </row>
    <row r="858" customFormat="false" ht="15" hidden="false" customHeight="false" outlineLevel="0" collapsed="false">
      <c r="A858" s="50" t="s">
        <v>498</v>
      </c>
      <c r="B858" s="51" t="n">
        <v>45710</v>
      </c>
      <c r="C858" s="50" t="s">
        <v>203</v>
      </c>
      <c r="D858" s="50" t="s">
        <v>2180</v>
      </c>
      <c r="E858" s="50" t="n">
        <v>8</v>
      </c>
      <c r="F858" s="50" t="s">
        <v>2167</v>
      </c>
      <c r="G858" s="54" t="n">
        <v>3474800</v>
      </c>
    </row>
    <row r="859" customFormat="false" ht="15" hidden="false" customHeight="false" outlineLevel="0" collapsed="false">
      <c r="A859" s="50" t="s">
        <v>498</v>
      </c>
      <c r="B859" s="51" t="n">
        <v>45710</v>
      </c>
      <c r="C859" s="50" t="s">
        <v>203</v>
      </c>
      <c r="D859" s="50" t="s">
        <v>2169</v>
      </c>
      <c r="E859" s="50" t="n">
        <v>5</v>
      </c>
      <c r="F859" s="50" t="s">
        <v>2167</v>
      </c>
      <c r="G859" s="54" t="n">
        <v>3161100</v>
      </c>
    </row>
    <row r="860" customFormat="false" ht="15" hidden="false" customHeight="false" outlineLevel="0" collapsed="false">
      <c r="A860" s="50" t="s">
        <v>498</v>
      </c>
      <c r="B860" s="51" t="n">
        <v>45710</v>
      </c>
      <c r="C860" s="50" t="s">
        <v>203</v>
      </c>
      <c r="D860" s="50" t="s">
        <v>2168</v>
      </c>
      <c r="E860" s="50" t="n">
        <v>3</v>
      </c>
      <c r="F860" s="50" t="s">
        <v>2167</v>
      </c>
      <c r="G860" s="54" t="n">
        <v>1261400</v>
      </c>
    </row>
    <row r="861" customFormat="false" ht="15" hidden="false" customHeight="false" outlineLevel="0" collapsed="false">
      <c r="A861" s="50" t="s">
        <v>498</v>
      </c>
      <c r="B861" s="51" t="n">
        <v>45710</v>
      </c>
      <c r="C861" s="50" t="s">
        <v>203</v>
      </c>
      <c r="D861" s="50" t="s">
        <v>2179</v>
      </c>
      <c r="E861" s="50" t="n">
        <v>7</v>
      </c>
      <c r="F861" s="50" t="s">
        <v>2174</v>
      </c>
      <c r="G861" s="54" t="n">
        <v>8876600</v>
      </c>
    </row>
    <row r="862" customFormat="false" ht="15" hidden="false" customHeight="false" outlineLevel="0" collapsed="false">
      <c r="A862" s="50" t="s">
        <v>499</v>
      </c>
      <c r="B862" s="51" t="n">
        <v>45712</v>
      </c>
      <c r="C862" s="50" t="s">
        <v>197</v>
      </c>
      <c r="D862" s="50" t="s">
        <v>2180</v>
      </c>
      <c r="E862" s="50" t="n">
        <v>2</v>
      </c>
      <c r="F862" s="50" t="s">
        <v>2167</v>
      </c>
      <c r="G862" s="54" t="n">
        <v>924200</v>
      </c>
    </row>
    <row r="863" customFormat="false" ht="15" hidden="false" customHeight="false" outlineLevel="0" collapsed="false">
      <c r="A863" s="50" t="s">
        <v>499</v>
      </c>
      <c r="B863" s="51" t="n">
        <v>45712</v>
      </c>
      <c r="C863" s="50" t="s">
        <v>197</v>
      </c>
      <c r="D863" s="50" t="s">
        <v>2176</v>
      </c>
      <c r="E863" s="50" t="n">
        <v>7</v>
      </c>
      <c r="F863" s="50" t="s">
        <v>2167</v>
      </c>
      <c r="G863" s="54" t="n">
        <v>2885200</v>
      </c>
    </row>
    <row r="864" customFormat="false" ht="15" hidden="false" customHeight="false" outlineLevel="0" collapsed="false">
      <c r="A864" s="50" t="s">
        <v>499</v>
      </c>
      <c r="B864" s="51" t="n">
        <v>45712</v>
      </c>
      <c r="C864" s="50" t="s">
        <v>197</v>
      </c>
      <c r="D864" s="50" t="s">
        <v>2172</v>
      </c>
      <c r="E864" s="50" t="n">
        <v>1</v>
      </c>
      <c r="F864" s="50" t="s">
        <v>2167</v>
      </c>
      <c r="G864" s="54" t="n">
        <v>535200</v>
      </c>
    </row>
    <row r="865" customFormat="false" ht="15" hidden="false" customHeight="false" outlineLevel="0" collapsed="false">
      <c r="A865" s="50" t="s">
        <v>500</v>
      </c>
      <c r="B865" s="51" t="n">
        <v>45712</v>
      </c>
      <c r="C865" s="50" t="s">
        <v>286</v>
      </c>
      <c r="D865" s="50" t="s">
        <v>2178</v>
      </c>
      <c r="E865" s="50" t="n">
        <v>4</v>
      </c>
      <c r="F865" s="50" t="s">
        <v>2167</v>
      </c>
      <c r="G865" s="54" t="n">
        <v>1975100</v>
      </c>
    </row>
    <row r="866" customFormat="false" ht="15" hidden="false" customHeight="false" outlineLevel="0" collapsed="false">
      <c r="A866" s="50" t="s">
        <v>500</v>
      </c>
      <c r="B866" s="51" t="n">
        <v>45712</v>
      </c>
      <c r="C866" s="50" t="s">
        <v>286</v>
      </c>
      <c r="D866" s="50" t="s">
        <v>2182</v>
      </c>
      <c r="E866" s="50" t="n">
        <v>6</v>
      </c>
      <c r="F866" s="50" t="s">
        <v>2174</v>
      </c>
      <c r="G866" s="54" t="n">
        <v>5656900</v>
      </c>
    </row>
    <row r="867" customFormat="false" ht="15" hidden="false" customHeight="false" outlineLevel="0" collapsed="false">
      <c r="A867" s="50" t="s">
        <v>500</v>
      </c>
      <c r="B867" s="51" t="n">
        <v>45712</v>
      </c>
      <c r="C867" s="50" t="s">
        <v>286</v>
      </c>
      <c r="D867" s="50" t="s">
        <v>2177</v>
      </c>
      <c r="E867" s="50" t="n">
        <v>6</v>
      </c>
      <c r="F867" s="50" t="s">
        <v>2174</v>
      </c>
      <c r="G867" s="54" t="n">
        <v>6455300</v>
      </c>
    </row>
    <row r="868" customFormat="false" ht="15" hidden="false" customHeight="false" outlineLevel="0" collapsed="false">
      <c r="A868" s="50" t="s">
        <v>500</v>
      </c>
      <c r="B868" s="51" t="n">
        <v>45712</v>
      </c>
      <c r="C868" s="50" t="s">
        <v>286</v>
      </c>
      <c r="D868" s="50" t="s">
        <v>2172</v>
      </c>
      <c r="E868" s="50" t="n">
        <v>4</v>
      </c>
      <c r="F868" s="50" t="s">
        <v>2167</v>
      </c>
      <c r="G868" s="54" t="n">
        <v>2011600</v>
      </c>
    </row>
    <row r="869" customFormat="false" ht="15" hidden="false" customHeight="false" outlineLevel="0" collapsed="false">
      <c r="A869" s="50" t="s">
        <v>500</v>
      </c>
      <c r="B869" s="51" t="n">
        <v>45712</v>
      </c>
      <c r="C869" s="50" t="s">
        <v>286</v>
      </c>
      <c r="D869" s="50" t="s">
        <v>2169</v>
      </c>
      <c r="E869" s="50" t="n">
        <v>7</v>
      </c>
      <c r="F869" s="50" t="s">
        <v>2167</v>
      </c>
      <c r="G869" s="54" t="n">
        <v>4344800</v>
      </c>
    </row>
    <row r="870" customFormat="false" ht="15" hidden="false" customHeight="false" outlineLevel="0" collapsed="false">
      <c r="A870" s="50" t="s">
        <v>500</v>
      </c>
      <c r="B870" s="51" t="n">
        <v>45712</v>
      </c>
      <c r="C870" s="50" t="s">
        <v>286</v>
      </c>
      <c r="D870" s="50" t="s">
        <v>2173</v>
      </c>
      <c r="E870" s="50" t="n">
        <v>6</v>
      </c>
      <c r="F870" s="50" t="s">
        <v>2174</v>
      </c>
      <c r="G870" s="54" t="n">
        <v>4619200</v>
      </c>
    </row>
    <row r="871" customFormat="false" ht="15" hidden="false" customHeight="false" outlineLevel="0" collapsed="false">
      <c r="A871" s="50" t="s">
        <v>501</v>
      </c>
      <c r="B871" s="51" t="n">
        <v>45712</v>
      </c>
      <c r="C871" s="50" t="s">
        <v>249</v>
      </c>
      <c r="D871" s="50" t="s">
        <v>2176</v>
      </c>
      <c r="E871" s="50" t="n">
        <v>4</v>
      </c>
      <c r="F871" s="50" t="s">
        <v>2167</v>
      </c>
      <c r="G871" s="54" t="n">
        <v>1651300</v>
      </c>
    </row>
    <row r="872" customFormat="false" ht="15" hidden="false" customHeight="false" outlineLevel="0" collapsed="false">
      <c r="A872" s="50" t="s">
        <v>501</v>
      </c>
      <c r="B872" s="51" t="n">
        <v>45712</v>
      </c>
      <c r="C872" s="50" t="s">
        <v>249</v>
      </c>
      <c r="D872" s="50" t="s">
        <v>2180</v>
      </c>
      <c r="E872" s="50" t="n">
        <v>6</v>
      </c>
      <c r="F872" s="50" t="s">
        <v>2167</v>
      </c>
      <c r="G872" s="54" t="n">
        <v>2611800</v>
      </c>
    </row>
    <row r="873" customFormat="false" ht="15" hidden="false" customHeight="false" outlineLevel="0" collapsed="false">
      <c r="A873" s="50" t="s">
        <v>501</v>
      </c>
      <c r="B873" s="51" t="n">
        <v>45712</v>
      </c>
      <c r="C873" s="50" t="s">
        <v>249</v>
      </c>
      <c r="D873" s="50" t="s">
        <v>2178</v>
      </c>
      <c r="E873" s="50" t="n">
        <v>8</v>
      </c>
      <c r="F873" s="50" t="s">
        <v>2167</v>
      </c>
      <c r="G873" s="54" t="n">
        <v>3693200</v>
      </c>
    </row>
    <row r="874" customFormat="false" ht="15" hidden="false" customHeight="false" outlineLevel="0" collapsed="false">
      <c r="A874" s="50" t="s">
        <v>501</v>
      </c>
      <c r="B874" s="51" t="n">
        <v>45712</v>
      </c>
      <c r="C874" s="50" t="s">
        <v>249</v>
      </c>
      <c r="D874" s="50" t="s">
        <v>2169</v>
      </c>
      <c r="E874" s="50" t="n">
        <v>8</v>
      </c>
      <c r="F874" s="50" t="s">
        <v>2167</v>
      </c>
      <c r="G874" s="54" t="n">
        <v>4829300</v>
      </c>
    </row>
    <row r="875" customFormat="false" ht="15" hidden="false" customHeight="false" outlineLevel="0" collapsed="false">
      <c r="A875" s="50" t="s">
        <v>502</v>
      </c>
      <c r="B875" s="51" t="n">
        <v>45712</v>
      </c>
      <c r="C875" s="50" t="s">
        <v>293</v>
      </c>
      <c r="D875" s="50" t="s">
        <v>2166</v>
      </c>
      <c r="E875" s="50" t="n">
        <v>7</v>
      </c>
      <c r="F875" s="50" t="s">
        <v>2167</v>
      </c>
      <c r="G875" s="54" t="n">
        <v>3653600</v>
      </c>
    </row>
    <row r="876" customFormat="false" ht="15" hidden="false" customHeight="false" outlineLevel="0" collapsed="false">
      <c r="A876" s="50" t="s">
        <v>502</v>
      </c>
      <c r="B876" s="51" t="n">
        <v>45712</v>
      </c>
      <c r="C876" s="50" t="s">
        <v>293</v>
      </c>
      <c r="D876" s="50" t="s">
        <v>2172</v>
      </c>
      <c r="E876" s="50" t="n">
        <v>7</v>
      </c>
      <c r="F876" s="50" t="s">
        <v>2167</v>
      </c>
      <c r="G876" s="54" t="n">
        <v>3698100</v>
      </c>
    </row>
    <row r="877" customFormat="false" ht="15" hidden="false" customHeight="false" outlineLevel="0" collapsed="false">
      <c r="A877" s="50" t="s">
        <v>502</v>
      </c>
      <c r="B877" s="51" t="n">
        <v>45712</v>
      </c>
      <c r="C877" s="50" t="s">
        <v>293</v>
      </c>
      <c r="D877" s="50" t="s">
        <v>2169</v>
      </c>
      <c r="E877" s="50" t="n">
        <v>3</v>
      </c>
      <c r="F877" s="50" t="s">
        <v>2167</v>
      </c>
      <c r="G877" s="54" t="n">
        <v>1888400</v>
      </c>
    </row>
    <row r="878" customFormat="false" ht="15" hidden="false" customHeight="false" outlineLevel="0" collapsed="false">
      <c r="A878" s="50" t="s">
        <v>503</v>
      </c>
      <c r="B878" s="51" t="n">
        <v>45712</v>
      </c>
      <c r="C878" s="50" t="s">
        <v>239</v>
      </c>
      <c r="D878" s="50" t="s">
        <v>2182</v>
      </c>
      <c r="E878" s="50" t="n">
        <v>2</v>
      </c>
      <c r="F878" s="50" t="s">
        <v>2174</v>
      </c>
      <c r="G878" s="54" t="n">
        <v>1925200</v>
      </c>
    </row>
    <row r="879" customFormat="false" ht="15" hidden="false" customHeight="false" outlineLevel="0" collapsed="false">
      <c r="A879" s="50" t="s">
        <v>503</v>
      </c>
      <c r="B879" s="51" t="n">
        <v>45712</v>
      </c>
      <c r="C879" s="50" t="s">
        <v>239</v>
      </c>
      <c r="D879" s="50" t="s">
        <v>2173</v>
      </c>
      <c r="E879" s="50" t="n">
        <v>6</v>
      </c>
      <c r="F879" s="50" t="s">
        <v>2174</v>
      </c>
      <c r="G879" s="54" t="n">
        <v>4784400</v>
      </c>
    </row>
    <row r="880" customFormat="false" ht="15" hidden="false" customHeight="false" outlineLevel="0" collapsed="false">
      <c r="A880" s="50" t="s">
        <v>503</v>
      </c>
      <c r="B880" s="51" t="n">
        <v>45712</v>
      </c>
      <c r="C880" s="50" t="s">
        <v>239</v>
      </c>
      <c r="D880" s="50" t="s">
        <v>2187</v>
      </c>
      <c r="E880" s="50" t="n">
        <v>7</v>
      </c>
      <c r="F880" s="50" t="s">
        <v>2167</v>
      </c>
      <c r="G880" s="54" t="n">
        <v>2521400</v>
      </c>
    </row>
    <row r="881" customFormat="false" ht="15" hidden="false" customHeight="false" outlineLevel="0" collapsed="false">
      <c r="A881" s="50" t="s">
        <v>503</v>
      </c>
      <c r="B881" s="51" t="n">
        <v>45712</v>
      </c>
      <c r="C881" s="50" t="s">
        <v>239</v>
      </c>
      <c r="D881" s="50" t="s">
        <v>2178</v>
      </c>
      <c r="E881" s="50" t="n">
        <v>1</v>
      </c>
      <c r="F881" s="50" t="s">
        <v>2167</v>
      </c>
      <c r="G881" s="54" t="n">
        <v>476100</v>
      </c>
    </row>
    <row r="882" customFormat="false" ht="15" hidden="false" customHeight="false" outlineLevel="0" collapsed="false">
      <c r="A882" s="50" t="s">
        <v>503</v>
      </c>
      <c r="B882" s="51" t="n">
        <v>45712</v>
      </c>
      <c r="C882" s="50" t="s">
        <v>239</v>
      </c>
      <c r="D882" s="50" t="s">
        <v>2181</v>
      </c>
      <c r="E882" s="50" t="n">
        <v>6</v>
      </c>
      <c r="F882" s="50" t="s">
        <v>2167</v>
      </c>
      <c r="G882" s="54" t="n">
        <v>6677300</v>
      </c>
    </row>
    <row r="883" customFormat="false" ht="15" hidden="false" customHeight="false" outlineLevel="0" collapsed="false">
      <c r="A883" s="50" t="s">
        <v>504</v>
      </c>
      <c r="B883" s="51" t="n">
        <v>45712</v>
      </c>
      <c r="C883" s="50" t="s">
        <v>505</v>
      </c>
      <c r="D883" s="50" t="s">
        <v>2169</v>
      </c>
      <c r="E883" s="50" t="n">
        <v>2</v>
      </c>
      <c r="F883" s="50" t="s">
        <v>2167</v>
      </c>
      <c r="G883" s="54" t="n">
        <v>1213100</v>
      </c>
    </row>
    <row r="884" customFormat="false" ht="15" hidden="false" customHeight="false" outlineLevel="0" collapsed="false">
      <c r="A884" s="50" t="s">
        <v>504</v>
      </c>
      <c r="B884" s="51" t="n">
        <v>45712</v>
      </c>
      <c r="C884" s="50" t="s">
        <v>505</v>
      </c>
      <c r="D884" s="50" t="s">
        <v>2186</v>
      </c>
      <c r="E884" s="50" t="n">
        <v>8</v>
      </c>
      <c r="F884" s="50" t="s">
        <v>2167</v>
      </c>
      <c r="G884" s="54" t="n">
        <v>4908600</v>
      </c>
    </row>
    <row r="885" customFormat="false" ht="15" hidden="false" customHeight="false" outlineLevel="0" collapsed="false">
      <c r="A885" s="50" t="s">
        <v>504</v>
      </c>
      <c r="B885" s="51" t="n">
        <v>45712</v>
      </c>
      <c r="C885" s="50" t="s">
        <v>505</v>
      </c>
      <c r="D885" s="50" t="s">
        <v>2166</v>
      </c>
      <c r="E885" s="50" t="n">
        <v>3</v>
      </c>
      <c r="F885" s="50" t="s">
        <v>2167</v>
      </c>
      <c r="G885" s="54" t="n">
        <v>1638600</v>
      </c>
    </row>
    <row r="886" customFormat="false" ht="15" hidden="false" customHeight="false" outlineLevel="0" collapsed="false">
      <c r="A886" s="50" t="s">
        <v>506</v>
      </c>
      <c r="B886" s="51" t="n">
        <v>45712</v>
      </c>
      <c r="C886" s="50" t="s">
        <v>286</v>
      </c>
      <c r="D886" s="50" t="s">
        <v>2173</v>
      </c>
      <c r="E886" s="50" t="n">
        <v>4</v>
      </c>
      <c r="F886" s="50" t="s">
        <v>2174</v>
      </c>
      <c r="G886" s="54" t="n">
        <v>3260900</v>
      </c>
    </row>
    <row r="887" customFormat="false" ht="15" hidden="false" customHeight="false" outlineLevel="0" collapsed="false">
      <c r="A887" s="50" t="s">
        <v>506</v>
      </c>
      <c r="B887" s="51" t="n">
        <v>45712</v>
      </c>
      <c r="C887" s="50" t="s">
        <v>286</v>
      </c>
      <c r="D887" s="50" t="s">
        <v>2183</v>
      </c>
      <c r="E887" s="50" t="n">
        <v>4</v>
      </c>
      <c r="F887" s="50" t="s">
        <v>2167</v>
      </c>
      <c r="G887" s="54" t="n">
        <v>1523200</v>
      </c>
    </row>
    <row r="888" customFormat="false" ht="15" hidden="false" customHeight="false" outlineLevel="0" collapsed="false">
      <c r="A888" s="50" t="s">
        <v>506</v>
      </c>
      <c r="B888" s="51" t="n">
        <v>45712</v>
      </c>
      <c r="C888" s="50" t="s">
        <v>286</v>
      </c>
      <c r="D888" s="50" t="s">
        <v>2181</v>
      </c>
      <c r="E888" s="50" t="n">
        <v>1</v>
      </c>
      <c r="F888" s="50" t="s">
        <v>2167</v>
      </c>
      <c r="G888" s="54" t="n">
        <v>1176700</v>
      </c>
    </row>
    <row r="889" customFormat="false" ht="15" hidden="false" customHeight="false" outlineLevel="0" collapsed="false">
      <c r="A889" s="50" t="s">
        <v>507</v>
      </c>
      <c r="B889" s="51" t="n">
        <v>45713</v>
      </c>
      <c r="C889" s="50" t="s">
        <v>329</v>
      </c>
      <c r="D889" s="50" t="s">
        <v>2176</v>
      </c>
      <c r="E889" s="50" t="n">
        <v>4</v>
      </c>
      <c r="F889" s="50" t="s">
        <v>2167</v>
      </c>
      <c r="G889" s="54" t="n">
        <v>1671900</v>
      </c>
    </row>
    <row r="890" customFormat="false" ht="15" hidden="false" customHeight="false" outlineLevel="0" collapsed="false">
      <c r="A890" s="50" t="s">
        <v>507</v>
      </c>
      <c r="B890" s="51" t="n">
        <v>45713</v>
      </c>
      <c r="C890" s="50" t="s">
        <v>329</v>
      </c>
      <c r="D890" s="50" t="s">
        <v>2166</v>
      </c>
      <c r="E890" s="50" t="n">
        <v>7</v>
      </c>
      <c r="F890" s="50" t="s">
        <v>2167</v>
      </c>
      <c r="G890" s="54" t="n">
        <v>3926200</v>
      </c>
    </row>
    <row r="891" customFormat="false" ht="15" hidden="false" customHeight="false" outlineLevel="0" collapsed="false">
      <c r="A891" s="50" t="s">
        <v>507</v>
      </c>
      <c r="B891" s="51" t="n">
        <v>45713</v>
      </c>
      <c r="C891" s="50" t="s">
        <v>329</v>
      </c>
      <c r="D891" s="50" t="s">
        <v>2172</v>
      </c>
      <c r="E891" s="50" t="n">
        <v>5</v>
      </c>
      <c r="F891" s="50" t="s">
        <v>2167</v>
      </c>
      <c r="G891" s="54" t="n">
        <v>2586000</v>
      </c>
    </row>
    <row r="892" customFormat="false" ht="15" hidden="false" customHeight="false" outlineLevel="0" collapsed="false">
      <c r="A892" s="50" t="s">
        <v>507</v>
      </c>
      <c r="B892" s="51" t="n">
        <v>45713</v>
      </c>
      <c r="C892" s="50" t="s">
        <v>329</v>
      </c>
      <c r="D892" s="50" t="s">
        <v>2173</v>
      </c>
      <c r="E892" s="50" t="n">
        <v>7</v>
      </c>
      <c r="F892" s="50" t="s">
        <v>2174</v>
      </c>
      <c r="G892" s="54" t="n">
        <v>5471700</v>
      </c>
    </row>
    <row r="893" customFormat="false" ht="15" hidden="false" customHeight="false" outlineLevel="0" collapsed="false">
      <c r="A893" s="50" t="s">
        <v>507</v>
      </c>
      <c r="B893" s="51" t="n">
        <v>45713</v>
      </c>
      <c r="C893" s="50" t="s">
        <v>329</v>
      </c>
      <c r="D893" s="50" t="s">
        <v>2180</v>
      </c>
      <c r="E893" s="50" t="n">
        <v>2</v>
      </c>
      <c r="F893" s="50" t="s">
        <v>2167</v>
      </c>
      <c r="G893" s="54" t="n">
        <v>935000</v>
      </c>
    </row>
    <row r="894" customFormat="false" ht="15" hidden="false" customHeight="false" outlineLevel="0" collapsed="false">
      <c r="A894" s="50" t="s">
        <v>507</v>
      </c>
      <c r="B894" s="51" t="n">
        <v>45713</v>
      </c>
      <c r="C894" s="50" t="s">
        <v>329</v>
      </c>
      <c r="D894" s="50" t="s">
        <v>2188</v>
      </c>
      <c r="E894" s="50" t="n">
        <v>2</v>
      </c>
      <c r="F894" s="50" t="s">
        <v>2167</v>
      </c>
      <c r="G894" s="54" t="n">
        <v>2018900</v>
      </c>
    </row>
    <row r="895" customFormat="false" ht="15" hidden="false" customHeight="false" outlineLevel="0" collapsed="false">
      <c r="A895" s="50" t="s">
        <v>508</v>
      </c>
      <c r="B895" s="51" t="n">
        <v>45713</v>
      </c>
      <c r="C895" s="50" t="s">
        <v>296</v>
      </c>
      <c r="D895" s="50" t="s">
        <v>2177</v>
      </c>
      <c r="E895" s="50" t="n">
        <v>1</v>
      </c>
      <c r="F895" s="50" t="s">
        <v>2174</v>
      </c>
      <c r="G895" s="54" t="n">
        <v>1074100</v>
      </c>
    </row>
    <row r="896" customFormat="false" ht="15" hidden="false" customHeight="false" outlineLevel="0" collapsed="false">
      <c r="A896" s="50" t="s">
        <v>508</v>
      </c>
      <c r="B896" s="51" t="n">
        <v>45713</v>
      </c>
      <c r="C896" s="50" t="s">
        <v>296</v>
      </c>
      <c r="D896" s="50" t="s">
        <v>2166</v>
      </c>
      <c r="E896" s="50" t="n">
        <v>7</v>
      </c>
      <c r="F896" s="50" t="s">
        <v>2167</v>
      </c>
      <c r="G896" s="54" t="n">
        <v>3698000</v>
      </c>
    </row>
    <row r="897" customFormat="false" ht="15" hidden="false" customHeight="false" outlineLevel="0" collapsed="false">
      <c r="A897" s="50" t="s">
        <v>508</v>
      </c>
      <c r="B897" s="51" t="n">
        <v>45713</v>
      </c>
      <c r="C897" s="50" t="s">
        <v>296</v>
      </c>
      <c r="D897" s="50" t="s">
        <v>2181</v>
      </c>
      <c r="E897" s="50" t="n">
        <v>6</v>
      </c>
      <c r="F897" s="50" t="s">
        <v>2167</v>
      </c>
      <c r="G897" s="54" t="n">
        <v>7002800</v>
      </c>
    </row>
    <row r="898" customFormat="false" ht="15" hidden="false" customHeight="false" outlineLevel="0" collapsed="false">
      <c r="A898" s="50" t="s">
        <v>509</v>
      </c>
      <c r="B898" s="51" t="n">
        <v>45713</v>
      </c>
      <c r="C898" s="50" t="s">
        <v>174</v>
      </c>
      <c r="D898" s="50" t="s">
        <v>2169</v>
      </c>
      <c r="E898" s="50" t="n">
        <v>6</v>
      </c>
      <c r="F898" s="50" t="s">
        <v>2167</v>
      </c>
      <c r="G898" s="54" t="n">
        <v>3575300</v>
      </c>
    </row>
    <row r="899" customFormat="false" ht="15" hidden="false" customHeight="false" outlineLevel="0" collapsed="false">
      <c r="A899" s="50" t="s">
        <v>510</v>
      </c>
      <c r="B899" s="51" t="n">
        <v>45713</v>
      </c>
      <c r="C899" s="50" t="s">
        <v>284</v>
      </c>
      <c r="D899" s="50" t="s">
        <v>2172</v>
      </c>
      <c r="E899" s="50" t="n">
        <v>2</v>
      </c>
      <c r="F899" s="50" t="s">
        <v>2167</v>
      </c>
      <c r="G899" s="54" t="n">
        <v>1066600</v>
      </c>
    </row>
    <row r="900" customFormat="false" ht="15" hidden="false" customHeight="false" outlineLevel="0" collapsed="false">
      <c r="A900" s="50" t="s">
        <v>510</v>
      </c>
      <c r="B900" s="51" t="n">
        <v>45713</v>
      </c>
      <c r="C900" s="50" t="s">
        <v>284</v>
      </c>
      <c r="D900" s="50" t="s">
        <v>2178</v>
      </c>
      <c r="E900" s="50" t="n">
        <v>7</v>
      </c>
      <c r="F900" s="50" t="s">
        <v>2167</v>
      </c>
      <c r="G900" s="54" t="n">
        <v>3350600</v>
      </c>
    </row>
    <row r="901" customFormat="false" ht="15" hidden="false" customHeight="false" outlineLevel="0" collapsed="false">
      <c r="A901" s="50" t="s">
        <v>511</v>
      </c>
      <c r="B901" s="51" t="n">
        <v>45713</v>
      </c>
      <c r="C901" s="50" t="s">
        <v>243</v>
      </c>
      <c r="D901" s="50" t="s">
        <v>2173</v>
      </c>
      <c r="E901" s="50" t="n">
        <v>4</v>
      </c>
      <c r="F901" s="50" t="s">
        <v>2174</v>
      </c>
      <c r="G901" s="54" t="n">
        <v>3270500</v>
      </c>
    </row>
    <row r="902" customFormat="false" ht="15" hidden="false" customHeight="false" outlineLevel="0" collapsed="false">
      <c r="A902" s="50" t="s">
        <v>511</v>
      </c>
      <c r="B902" s="51" t="n">
        <v>45713</v>
      </c>
      <c r="C902" s="50" t="s">
        <v>243</v>
      </c>
      <c r="D902" s="50" t="s">
        <v>2183</v>
      </c>
      <c r="E902" s="50" t="n">
        <v>5</v>
      </c>
      <c r="F902" s="50" t="s">
        <v>2167</v>
      </c>
      <c r="G902" s="54" t="n">
        <v>1930800</v>
      </c>
    </row>
    <row r="903" customFormat="false" ht="15" hidden="false" customHeight="false" outlineLevel="0" collapsed="false">
      <c r="A903" s="50" t="s">
        <v>511</v>
      </c>
      <c r="B903" s="51" t="n">
        <v>45713</v>
      </c>
      <c r="C903" s="50" t="s">
        <v>243</v>
      </c>
      <c r="D903" s="50" t="s">
        <v>2186</v>
      </c>
      <c r="E903" s="50" t="n">
        <v>5</v>
      </c>
      <c r="F903" s="50" t="s">
        <v>2167</v>
      </c>
      <c r="G903" s="54" t="n">
        <v>2871300</v>
      </c>
    </row>
    <row r="904" customFormat="false" ht="15" hidden="false" customHeight="false" outlineLevel="0" collapsed="false">
      <c r="A904" s="50" t="s">
        <v>512</v>
      </c>
      <c r="B904" s="51" t="n">
        <v>45713</v>
      </c>
      <c r="C904" s="50" t="s">
        <v>505</v>
      </c>
      <c r="D904" s="50" t="s">
        <v>2177</v>
      </c>
      <c r="E904" s="50" t="n">
        <v>5</v>
      </c>
      <c r="F904" s="50" t="s">
        <v>2174</v>
      </c>
      <c r="G904" s="54" t="n">
        <v>5553800</v>
      </c>
    </row>
    <row r="905" customFormat="false" ht="15" hidden="false" customHeight="false" outlineLevel="0" collapsed="false">
      <c r="A905" s="50" t="s">
        <v>512</v>
      </c>
      <c r="B905" s="51" t="n">
        <v>45713</v>
      </c>
      <c r="C905" s="50" t="s">
        <v>505</v>
      </c>
      <c r="D905" s="50" t="s">
        <v>2168</v>
      </c>
      <c r="E905" s="50" t="n">
        <v>2</v>
      </c>
      <c r="F905" s="50" t="s">
        <v>2167</v>
      </c>
      <c r="G905" s="54" t="n">
        <v>876100</v>
      </c>
    </row>
    <row r="906" customFormat="false" ht="15" hidden="false" customHeight="false" outlineLevel="0" collapsed="false">
      <c r="A906" s="50" t="s">
        <v>512</v>
      </c>
      <c r="B906" s="51" t="n">
        <v>45713</v>
      </c>
      <c r="C906" s="50" t="s">
        <v>505</v>
      </c>
      <c r="D906" s="50" t="s">
        <v>2169</v>
      </c>
      <c r="E906" s="50" t="n">
        <v>1</v>
      </c>
      <c r="F906" s="50" t="s">
        <v>2167</v>
      </c>
      <c r="G906" s="54" t="n">
        <v>617500</v>
      </c>
    </row>
    <row r="907" customFormat="false" ht="15" hidden="false" customHeight="false" outlineLevel="0" collapsed="false">
      <c r="A907" s="50" t="s">
        <v>513</v>
      </c>
      <c r="B907" s="51" t="n">
        <v>45713</v>
      </c>
      <c r="C907" s="50" t="s">
        <v>205</v>
      </c>
      <c r="D907" s="50" t="s">
        <v>2173</v>
      </c>
      <c r="E907" s="50" t="n">
        <v>6</v>
      </c>
      <c r="F907" s="50" t="s">
        <v>2174</v>
      </c>
      <c r="G907" s="54" t="n">
        <v>4706500</v>
      </c>
    </row>
    <row r="908" customFormat="false" ht="15" hidden="false" customHeight="false" outlineLevel="0" collapsed="false">
      <c r="A908" s="50" t="s">
        <v>514</v>
      </c>
      <c r="B908" s="51" t="n">
        <v>45714</v>
      </c>
      <c r="C908" s="50" t="s">
        <v>505</v>
      </c>
      <c r="D908" s="50" t="s">
        <v>2175</v>
      </c>
      <c r="E908" s="50" t="n">
        <v>4</v>
      </c>
      <c r="F908" s="50" t="s">
        <v>2167</v>
      </c>
      <c r="G908" s="54" t="n">
        <v>2498500</v>
      </c>
    </row>
    <row r="909" customFormat="false" ht="15" hidden="false" customHeight="false" outlineLevel="0" collapsed="false">
      <c r="A909" s="50" t="s">
        <v>514</v>
      </c>
      <c r="B909" s="51" t="n">
        <v>45714</v>
      </c>
      <c r="C909" s="50" t="s">
        <v>505</v>
      </c>
      <c r="D909" s="50" t="s">
        <v>2186</v>
      </c>
      <c r="E909" s="50" t="n">
        <v>1</v>
      </c>
      <c r="F909" s="50" t="s">
        <v>2167</v>
      </c>
      <c r="G909" s="54" t="n">
        <v>591000</v>
      </c>
    </row>
    <row r="910" customFormat="false" ht="15" hidden="false" customHeight="false" outlineLevel="0" collapsed="false">
      <c r="A910" s="50" t="s">
        <v>515</v>
      </c>
      <c r="B910" s="51" t="n">
        <v>45714</v>
      </c>
      <c r="C910" s="50" t="s">
        <v>179</v>
      </c>
      <c r="D910" s="50" t="s">
        <v>2180</v>
      </c>
      <c r="E910" s="50" t="n">
        <v>2</v>
      </c>
      <c r="F910" s="50" t="s">
        <v>2167</v>
      </c>
      <c r="G910" s="54" t="n">
        <v>919800</v>
      </c>
    </row>
    <row r="911" customFormat="false" ht="15" hidden="false" customHeight="false" outlineLevel="0" collapsed="false">
      <c r="A911" s="50" t="s">
        <v>515</v>
      </c>
      <c r="B911" s="51" t="n">
        <v>45714</v>
      </c>
      <c r="C911" s="50" t="s">
        <v>179</v>
      </c>
      <c r="D911" s="50" t="s">
        <v>2173</v>
      </c>
      <c r="E911" s="50" t="n">
        <v>4</v>
      </c>
      <c r="F911" s="50" t="s">
        <v>2174</v>
      </c>
      <c r="G911" s="54" t="n">
        <v>3239600</v>
      </c>
    </row>
    <row r="912" customFormat="false" ht="15" hidden="false" customHeight="false" outlineLevel="0" collapsed="false">
      <c r="A912" s="50" t="s">
        <v>515</v>
      </c>
      <c r="B912" s="51" t="n">
        <v>45714</v>
      </c>
      <c r="C912" s="50" t="s">
        <v>179</v>
      </c>
      <c r="D912" s="50" t="s">
        <v>2176</v>
      </c>
      <c r="E912" s="50" t="n">
        <v>2</v>
      </c>
      <c r="F912" s="50" t="s">
        <v>2167</v>
      </c>
      <c r="G912" s="54" t="n">
        <v>829700</v>
      </c>
    </row>
    <row r="913" customFormat="false" ht="15" hidden="false" customHeight="false" outlineLevel="0" collapsed="false">
      <c r="A913" s="50" t="s">
        <v>515</v>
      </c>
      <c r="B913" s="51" t="n">
        <v>45714</v>
      </c>
      <c r="C913" s="50" t="s">
        <v>179</v>
      </c>
      <c r="D913" s="50" t="s">
        <v>2187</v>
      </c>
      <c r="E913" s="50" t="n">
        <v>6</v>
      </c>
      <c r="F913" s="50" t="s">
        <v>2167</v>
      </c>
      <c r="G913" s="54" t="n">
        <v>2052700</v>
      </c>
    </row>
    <row r="914" customFormat="false" ht="15" hidden="false" customHeight="false" outlineLevel="0" collapsed="false">
      <c r="A914" s="50" t="s">
        <v>516</v>
      </c>
      <c r="B914" s="51" t="n">
        <v>45714</v>
      </c>
      <c r="C914" s="50" t="s">
        <v>269</v>
      </c>
      <c r="D914" s="50" t="s">
        <v>2178</v>
      </c>
      <c r="E914" s="50" t="n">
        <v>8</v>
      </c>
      <c r="F914" s="50" t="s">
        <v>2167</v>
      </c>
      <c r="G914" s="54" t="n">
        <v>3853700</v>
      </c>
    </row>
    <row r="915" customFormat="false" ht="15" hidden="false" customHeight="false" outlineLevel="0" collapsed="false">
      <c r="A915" s="50" t="s">
        <v>516</v>
      </c>
      <c r="B915" s="51" t="n">
        <v>45714</v>
      </c>
      <c r="C915" s="50" t="s">
        <v>269</v>
      </c>
      <c r="D915" s="50" t="s">
        <v>2187</v>
      </c>
      <c r="E915" s="50" t="n">
        <v>5</v>
      </c>
      <c r="F915" s="50" t="s">
        <v>2167</v>
      </c>
      <c r="G915" s="54" t="n">
        <v>1758500</v>
      </c>
    </row>
    <row r="916" customFormat="false" ht="15" hidden="false" customHeight="false" outlineLevel="0" collapsed="false">
      <c r="A916" s="50" t="s">
        <v>516</v>
      </c>
      <c r="B916" s="51" t="n">
        <v>45714</v>
      </c>
      <c r="C916" s="50" t="s">
        <v>269</v>
      </c>
      <c r="D916" s="50" t="s">
        <v>2166</v>
      </c>
      <c r="E916" s="50" t="n">
        <v>2</v>
      </c>
      <c r="F916" s="50" t="s">
        <v>2167</v>
      </c>
      <c r="G916" s="54" t="n">
        <v>1064200</v>
      </c>
    </row>
    <row r="917" customFormat="false" ht="15" hidden="false" customHeight="false" outlineLevel="0" collapsed="false">
      <c r="A917" s="50" t="s">
        <v>516</v>
      </c>
      <c r="B917" s="51" t="n">
        <v>45714</v>
      </c>
      <c r="C917" s="50" t="s">
        <v>269</v>
      </c>
      <c r="D917" s="50" t="s">
        <v>2172</v>
      </c>
      <c r="E917" s="50" t="n">
        <v>3</v>
      </c>
      <c r="F917" s="50" t="s">
        <v>2167</v>
      </c>
      <c r="G917" s="54" t="n">
        <v>1569000</v>
      </c>
    </row>
    <row r="918" customFormat="false" ht="15" hidden="false" customHeight="false" outlineLevel="0" collapsed="false">
      <c r="A918" s="50" t="s">
        <v>516</v>
      </c>
      <c r="B918" s="51" t="n">
        <v>45714</v>
      </c>
      <c r="C918" s="50" t="s">
        <v>269</v>
      </c>
      <c r="D918" s="50" t="s">
        <v>2185</v>
      </c>
      <c r="E918" s="50" t="n">
        <v>7</v>
      </c>
      <c r="F918" s="50" t="s">
        <v>2174</v>
      </c>
      <c r="G918" s="54" t="n">
        <v>5605200</v>
      </c>
    </row>
    <row r="919" customFormat="false" ht="15" hidden="false" customHeight="false" outlineLevel="0" collapsed="false">
      <c r="A919" s="50" t="s">
        <v>517</v>
      </c>
      <c r="B919" s="51" t="n">
        <v>45715</v>
      </c>
      <c r="C919" s="50" t="s">
        <v>188</v>
      </c>
      <c r="D919" s="50" t="s">
        <v>2173</v>
      </c>
      <c r="E919" s="50" t="n">
        <v>3</v>
      </c>
      <c r="F919" s="50" t="s">
        <v>2174</v>
      </c>
      <c r="G919" s="54" t="n">
        <v>2396300</v>
      </c>
    </row>
    <row r="920" customFormat="false" ht="15" hidden="false" customHeight="false" outlineLevel="0" collapsed="false">
      <c r="A920" s="50" t="s">
        <v>517</v>
      </c>
      <c r="B920" s="51" t="n">
        <v>45715</v>
      </c>
      <c r="C920" s="50" t="s">
        <v>188</v>
      </c>
      <c r="D920" s="50" t="s">
        <v>2179</v>
      </c>
      <c r="E920" s="50" t="n">
        <v>7</v>
      </c>
      <c r="F920" s="50" t="s">
        <v>2174</v>
      </c>
      <c r="G920" s="54" t="n">
        <v>8733800</v>
      </c>
    </row>
    <row r="921" customFormat="false" ht="15" hidden="false" customHeight="false" outlineLevel="0" collapsed="false">
      <c r="A921" s="50" t="s">
        <v>517</v>
      </c>
      <c r="B921" s="51" t="n">
        <v>45715</v>
      </c>
      <c r="C921" s="50" t="s">
        <v>188</v>
      </c>
      <c r="D921" s="50" t="s">
        <v>2175</v>
      </c>
      <c r="E921" s="50" t="n">
        <v>1</v>
      </c>
      <c r="F921" s="50" t="s">
        <v>2167</v>
      </c>
      <c r="G921" s="54" t="n">
        <v>653000</v>
      </c>
    </row>
    <row r="922" customFormat="false" ht="15" hidden="false" customHeight="false" outlineLevel="0" collapsed="false">
      <c r="A922" s="50" t="s">
        <v>518</v>
      </c>
      <c r="B922" s="51" t="n">
        <v>45715</v>
      </c>
      <c r="C922" s="50" t="s">
        <v>286</v>
      </c>
      <c r="D922" s="50" t="s">
        <v>2176</v>
      </c>
      <c r="E922" s="50" t="n">
        <v>6</v>
      </c>
      <c r="F922" s="50" t="s">
        <v>2167</v>
      </c>
      <c r="G922" s="54" t="n">
        <v>2444300</v>
      </c>
    </row>
    <row r="923" customFormat="false" ht="15" hidden="false" customHeight="false" outlineLevel="0" collapsed="false">
      <c r="A923" s="50" t="s">
        <v>518</v>
      </c>
      <c r="B923" s="51" t="n">
        <v>45715</v>
      </c>
      <c r="C923" s="50" t="s">
        <v>286</v>
      </c>
      <c r="D923" s="50" t="s">
        <v>2182</v>
      </c>
      <c r="E923" s="50" t="n">
        <v>6</v>
      </c>
      <c r="F923" s="50" t="s">
        <v>2174</v>
      </c>
      <c r="G923" s="54" t="n">
        <v>5744700</v>
      </c>
    </row>
    <row r="924" customFormat="false" ht="15" hidden="false" customHeight="false" outlineLevel="0" collapsed="false">
      <c r="A924" s="50" t="s">
        <v>518</v>
      </c>
      <c r="B924" s="51" t="n">
        <v>45715</v>
      </c>
      <c r="C924" s="50" t="s">
        <v>286</v>
      </c>
      <c r="D924" s="50" t="s">
        <v>2187</v>
      </c>
      <c r="E924" s="50" t="n">
        <v>2</v>
      </c>
      <c r="F924" s="50" t="s">
        <v>2167</v>
      </c>
      <c r="G924" s="54" t="n">
        <v>715600</v>
      </c>
    </row>
    <row r="925" customFormat="false" ht="15" hidden="false" customHeight="false" outlineLevel="0" collapsed="false">
      <c r="A925" s="50" t="s">
        <v>519</v>
      </c>
      <c r="B925" s="51" t="n">
        <v>45715</v>
      </c>
      <c r="C925" s="50" t="s">
        <v>177</v>
      </c>
      <c r="D925" s="50" t="s">
        <v>2175</v>
      </c>
      <c r="E925" s="50" t="n">
        <v>8</v>
      </c>
      <c r="F925" s="50" t="s">
        <v>2167</v>
      </c>
      <c r="G925" s="54" t="n">
        <v>5133600</v>
      </c>
    </row>
    <row r="926" customFormat="false" ht="15" hidden="false" customHeight="false" outlineLevel="0" collapsed="false">
      <c r="A926" s="50" t="s">
        <v>519</v>
      </c>
      <c r="B926" s="51" t="n">
        <v>45715</v>
      </c>
      <c r="C926" s="50" t="s">
        <v>177</v>
      </c>
      <c r="D926" s="50" t="s">
        <v>2173</v>
      </c>
      <c r="E926" s="50" t="n">
        <v>1</v>
      </c>
      <c r="F926" s="50" t="s">
        <v>2174</v>
      </c>
      <c r="G926" s="54" t="n">
        <v>806600</v>
      </c>
    </row>
    <row r="927" customFormat="false" ht="15" hidden="false" customHeight="false" outlineLevel="0" collapsed="false">
      <c r="A927" s="50" t="s">
        <v>519</v>
      </c>
      <c r="B927" s="51" t="n">
        <v>45715</v>
      </c>
      <c r="C927" s="50" t="s">
        <v>177</v>
      </c>
      <c r="D927" s="50" t="s">
        <v>2186</v>
      </c>
      <c r="E927" s="50" t="n">
        <v>5</v>
      </c>
      <c r="F927" s="50" t="s">
        <v>2167</v>
      </c>
      <c r="G927" s="54" t="n">
        <v>2850000</v>
      </c>
    </row>
    <row r="928" customFormat="false" ht="15" hidden="false" customHeight="false" outlineLevel="0" collapsed="false">
      <c r="A928" s="50" t="s">
        <v>520</v>
      </c>
      <c r="B928" s="51" t="n">
        <v>45715</v>
      </c>
      <c r="C928" s="50" t="s">
        <v>205</v>
      </c>
      <c r="D928" s="50" t="s">
        <v>2186</v>
      </c>
      <c r="E928" s="50" t="n">
        <v>6</v>
      </c>
      <c r="F928" s="50" t="s">
        <v>2167</v>
      </c>
      <c r="G928" s="54" t="n">
        <v>3550800</v>
      </c>
    </row>
    <row r="929" customFormat="false" ht="15" hidden="false" customHeight="false" outlineLevel="0" collapsed="false">
      <c r="A929" s="50" t="s">
        <v>520</v>
      </c>
      <c r="B929" s="51" t="n">
        <v>45715</v>
      </c>
      <c r="C929" s="50" t="s">
        <v>205</v>
      </c>
      <c r="D929" s="50" t="s">
        <v>2166</v>
      </c>
      <c r="E929" s="50" t="n">
        <v>8</v>
      </c>
      <c r="F929" s="50" t="s">
        <v>2167</v>
      </c>
      <c r="G929" s="54" t="n">
        <v>4330900</v>
      </c>
    </row>
    <row r="930" customFormat="false" ht="15" hidden="false" customHeight="false" outlineLevel="0" collapsed="false">
      <c r="A930" s="50" t="s">
        <v>520</v>
      </c>
      <c r="B930" s="51" t="n">
        <v>45715</v>
      </c>
      <c r="C930" s="50" t="s">
        <v>205</v>
      </c>
      <c r="D930" s="50" t="s">
        <v>2169</v>
      </c>
      <c r="E930" s="50" t="n">
        <v>8</v>
      </c>
      <c r="F930" s="50" t="s">
        <v>2167</v>
      </c>
      <c r="G930" s="54" t="n">
        <v>5086600</v>
      </c>
    </row>
    <row r="931" customFormat="false" ht="15" hidden="false" customHeight="false" outlineLevel="0" collapsed="false">
      <c r="A931" s="50" t="s">
        <v>521</v>
      </c>
      <c r="B931" s="51" t="n">
        <v>45715</v>
      </c>
      <c r="C931" s="50" t="s">
        <v>174</v>
      </c>
      <c r="D931" s="50" t="s">
        <v>2168</v>
      </c>
      <c r="E931" s="50" t="n">
        <v>1</v>
      </c>
      <c r="F931" s="50" t="s">
        <v>2167</v>
      </c>
      <c r="G931" s="54" t="n">
        <v>423200</v>
      </c>
    </row>
    <row r="932" customFormat="false" ht="15" hidden="false" customHeight="false" outlineLevel="0" collapsed="false">
      <c r="A932" s="50" t="s">
        <v>521</v>
      </c>
      <c r="B932" s="51" t="n">
        <v>45715</v>
      </c>
      <c r="C932" s="50" t="s">
        <v>174</v>
      </c>
      <c r="D932" s="50" t="s">
        <v>2183</v>
      </c>
      <c r="E932" s="50" t="n">
        <v>2</v>
      </c>
      <c r="F932" s="50" t="s">
        <v>2167</v>
      </c>
      <c r="G932" s="54" t="n">
        <v>735100</v>
      </c>
    </row>
    <row r="933" customFormat="false" ht="15" hidden="false" customHeight="false" outlineLevel="0" collapsed="false">
      <c r="A933" s="50" t="s">
        <v>521</v>
      </c>
      <c r="B933" s="51" t="n">
        <v>45715</v>
      </c>
      <c r="C933" s="50" t="s">
        <v>174</v>
      </c>
      <c r="D933" s="50" t="s">
        <v>2175</v>
      </c>
      <c r="E933" s="50" t="n">
        <v>7</v>
      </c>
      <c r="F933" s="50" t="s">
        <v>2167</v>
      </c>
      <c r="G933" s="54" t="n">
        <v>4541900</v>
      </c>
    </row>
    <row r="934" customFormat="false" ht="15" hidden="false" customHeight="false" outlineLevel="0" collapsed="false">
      <c r="A934" s="50" t="s">
        <v>522</v>
      </c>
      <c r="B934" s="51" t="n">
        <v>45715</v>
      </c>
      <c r="C934" s="50" t="s">
        <v>523</v>
      </c>
      <c r="D934" s="50" t="s">
        <v>2188</v>
      </c>
      <c r="E934" s="50" t="n">
        <v>2</v>
      </c>
      <c r="F934" s="50" t="s">
        <v>2167</v>
      </c>
      <c r="G934" s="54" t="n">
        <v>1960200</v>
      </c>
    </row>
    <row r="935" customFormat="false" ht="15" hidden="false" customHeight="false" outlineLevel="0" collapsed="false">
      <c r="A935" s="50" t="s">
        <v>522</v>
      </c>
      <c r="B935" s="51" t="n">
        <v>45715</v>
      </c>
      <c r="C935" s="50" t="s">
        <v>523</v>
      </c>
      <c r="D935" s="50" t="s">
        <v>2181</v>
      </c>
      <c r="E935" s="50" t="n">
        <v>4</v>
      </c>
      <c r="F935" s="50" t="s">
        <v>2167</v>
      </c>
      <c r="G935" s="54" t="n">
        <v>4712000</v>
      </c>
    </row>
    <row r="936" customFormat="false" ht="15" hidden="false" customHeight="false" outlineLevel="0" collapsed="false">
      <c r="A936" s="50" t="s">
        <v>522</v>
      </c>
      <c r="B936" s="51" t="n">
        <v>45715</v>
      </c>
      <c r="C936" s="50" t="s">
        <v>523</v>
      </c>
      <c r="D936" s="50" t="s">
        <v>2186</v>
      </c>
      <c r="E936" s="50" t="n">
        <v>3</v>
      </c>
      <c r="F936" s="50" t="s">
        <v>2167</v>
      </c>
      <c r="G936" s="54" t="n">
        <v>1712600</v>
      </c>
    </row>
    <row r="937" customFormat="false" ht="15" hidden="false" customHeight="false" outlineLevel="0" collapsed="false">
      <c r="A937" s="50" t="s">
        <v>522</v>
      </c>
      <c r="B937" s="51" t="n">
        <v>45715</v>
      </c>
      <c r="C937" s="50" t="s">
        <v>523</v>
      </c>
      <c r="D937" s="50" t="s">
        <v>2180</v>
      </c>
      <c r="E937" s="50" t="n">
        <v>8</v>
      </c>
      <c r="F937" s="50" t="s">
        <v>2167</v>
      </c>
      <c r="G937" s="54" t="n">
        <v>3523200</v>
      </c>
    </row>
    <row r="938" customFormat="false" ht="15" hidden="false" customHeight="false" outlineLevel="0" collapsed="false">
      <c r="A938" s="50" t="s">
        <v>522</v>
      </c>
      <c r="B938" s="51" t="n">
        <v>45715</v>
      </c>
      <c r="C938" s="50" t="s">
        <v>523</v>
      </c>
      <c r="D938" s="50" t="s">
        <v>2185</v>
      </c>
      <c r="E938" s="50" t="n">
        <v>4</v>
      </c>
      <c r="F938" s="50" t="s">
        <v>2174</v>
      </c>
      <c r="G938" s="54" t="n">
        <v>3142900</v>
      </c>
    </row>
    <row r="939" customFormat="false" ht="15" hidden="false" customHeight="false" outlineLevel="0" collapsed="false">
      <c r="A939" s="50" t="s">
        <v>524</v>
      </c>
      <c r="B939" s="51" t="n">
        <v>45715</v>
      </c>
      <c r="C939" s="50" t="s">
        <v>320</v>
      </c>
      <c r="D939" s="50" t="s">
        <v>2181</v>
      </c>
      <c r="E939" s="50" t="n">
        <v>8</v>
      </c>
      <c r="F939" s="50" t="s">
        <v>2167</v>
      </c>
      <c r="G939" s="54" t="n">
        <v>9032400</v>
      </c>
    </row>
    <row r="940" customFormat="false" ht="15" hidden="false" customHeight="false" outlineLevel="0" collapsed="false">
      <c r="A940" s="50" t="s">
        <v>524</v>
      </c>
      <c r="B940" s="51" t="n">
        <v>45715</v>
      </c>
      <c r="C940" s="50" t="s">
        <v>320</v>
      </c>
      <c r="D940" s="50" t="s">
        <v>2172</v>
      </c>
      <c r="E940" s="50" t="n">
        <v>3</v>
      </c>
      <c r="F940" s="50" t="s">
        <v>2167</v>
      </c>
      <c r="G940" s="54" t="n">
        <v>1539600</v>
      </c>
    </row>
    <row r="941" customFormat="false" ht="15" hidden="false" customHeight="false" outlineLevel="0" collapsed="false">
      <c r="A941" s="50" t="s">
        <v>524</v>
      </c>
      <c r="B941" s="51" t="n">
        <v>45715</v>
      </c>
      <c r="C941" s="50" t="s">
        <v>320</v>
      </c>
      <c r="D941" s="50" t="s">
        <v>2175</v>
      </c>
      <c r="E941" s="50" t="n">
        <v>4</v>
      </c>
      <c r="F941" s="50" t="s">
        <v>2167</v>
      </c>
      <c r="G941" s="54" t="n">
        <v>2650000</v>
      </c>
    </row>
    <row r="942" customFormat="false" ht="15" hidden="false" customHeight="false" outlineLevel="0" collapsed="false">
      <c r="A942" s="50" t="s">
        <v>524</v>
      </c>
      <c r="B942" s="51" t="n">
        <v>45715</v>
      </c>
      <c r="C942" s="50" t="s">
        <v>320</v>
      </c>
      <c r="D942" s="50" t="s">
        <v>2180</v>
      </c>
      <c r="E942" s="50" t="n">
        <v>5</v>
      </c>
      <c r="F942" s="50" t="s">
        <v>2167</v>
      </c>
      <c r="G942" s="54" t="n">
        <v>2209000</v>
      </c>
    </row>
    <row r="943" customFormat="false" ht="15" hidden="false" customHeight="false" outlineLevel="0" collapsed="false">
      <c r="A943" s="50" t="s">
        <v>524</v>
      </c>
      <c r="B943" s="51" t="n">
        <v>45715</v>
      </c>
      <c r="C943" s="50" t="s">
        <v>320</v>
      </c>
      <c r="D943" s="50" t="s">
        <v>2185</v>
      </c>
      <c r="E943" s="50" t="n">
        <v>3</v>
      </c>
      <c r="F943" s="50" t="s">
        <v>2174</v>
      </c>
      <c r="G943" s="54" t="n">
        <v>2317500</v>
      </c>
    </row>
    <row r="944" customFormat="false" ht="15" hidden="false" customHeight="false" outlineLevel="0" collapsed="false">
      <c r="A944" s="50" t="s">
        <v>525</v>
      </c>
      <c r="B944" s="51" t="n">
        <v>45715</v>
      </c>
      <c r="C944" s="50" t="s">
        <v>261</v>
      </c>
      <c r="D944" s="50" t="s">
        <v>2183</v>
      </c>
      <c r="E944" s="50" t="n">
        <v>5</v>
      </c>
      <c r="F944" s="50" t="s">
        <v>2167</v>
      </c>
      <c r="G944" s="54" t="n">
        <v>1835200</v>
      </c>
    </row>
    <row r="945" customFormat="false" ht="15" hidden="false" customHeight="false" outlineLevel="0" collapsed="false">
      <c r="A945" s="50" t="s">
        <v>525</v>
      </c>
      <c r="B945" s="51" t="n">
        <v>45715</v>
      </c>
      <c r="C945" s="50" t="s">
        <v>261</v>
      </c>
      <c r="D945" s="50" t="s">
        <v>2173</v>
      </c>
      <c r="E945" s="50" t="n">
        <v>7</v>
      </c>
      <c r="F945" s="50" t="s">
        <v>2174</v>
      </c>
      <c r="G945" s="54" t="n">
        <v>5522700</v>
      </c>
    </row>
    <row r="946" customFormat="false" ht="15" hidden="false" customHeight="false" outlineLevel="0" collapsed="false">
      <c r="A946" s="50" t="s">
        <v>525</v>
      </c>
      <c r="B946" s="51" t="n">
        <v>45715</v>
      </c>
      <c r="C946" s="50" t="s">
        <v>261</v>
      </c>
      <c r="D946" s="50" t="s">
        <v>2181</v>
      </c>
      <c r="E946" s="50" t="n">
        <v>2</v>
      </c>
      <c r="F946" s="50" t="s">
        <v>2167</v>
      </c>
      <c r="G946" s="54" t="n">
        <v>2237800</v>
      </c>
    </row>
    <row r="947" customFormat="false" ht="15" hidden="false" customHeight="false" outlineLevel="0" collapsed="false">
      <c r="A947" s="50" t="s">
        <v>525</v>
      </c>
      <c r="B947" s="51" t="n">
        <v>45715</v>
      </c>
      <c r="C947" s="50" t="s">
        <v>261</v>
      </c>
      <c r="D947" s="50" t="s">
        <v>2180</v>
      </c>
      <c r="E947" s="50" t="n">
        <v>3</v>
      </c>
      <c r="F947" s="50" t="s">
        <v>2167</v>
      </c>
      <c r="G947" s="54" t="n">
        <v>1325200</v>
      </c>
    </row>
    <row r="948" customFormat="false" ht="15" hidden="false" customHeight="false" outlineLevel="0" collapsed="false">
      <c r="A948" s="50" t="s">
        <v>525</v>
      </c>
      <c r="B948" s="51" t="n">
        <v>45715</v>
      </c>
      <c r="C948" s="50" t="s">
        <v>261</v>
      </c>
      <c r="D948" s="50" t="s">
        <v>2186</v>
      </c>
      <c r="E948" s="50" t="n">
        <v>6</v>
      </c>
      <c r="F948" s="50" t="s">
        <v>2167</v>
      </c>
      <c r="G948" s="54" t="n">
        <v>3665900</v>
      </c>
    </row>
    <row r="949" customFormat="false" ht="15" hidden="false" customHeight="false" outlineLevel="0" collapsed="false">
      <c r="A949" s="50" t="s">
        <v>526</v>
      </c>
      <c r="B949" s="51" t="n">
        <v>45715</v>
      </c>
      <c r="C949" s="50" t="s">
        <v>527</v>
      </c>
      <c r="D949" s="50" t="s">
        <v>2179</v>
      </c>
      <c r="E949" s="50" t="n">
        <v>4</v>
      </c>
      <c r="F949" s="50" t="s">
        <v>2174</v>
      </c>
      <c r="G949" s="54" t="n">
        <v>5178800</v>
      </c>
    </row>
    <row r="950" customFormat="false" ht="15" hidden="false" customHeight="false" outlineLevel="0" collapsed="false">
      <c r="A950" s="50" t="s">
        <v>526</v>
      </c>
      <c r="B950" s="51" t="n">
        <v>45715</v>
      </c>
      <c r="C950" s="50" t="s">
        <v>527</v>
      </c>
      <c r="D950" s="50" t="s">
        <v>2176</v>
      </c>
      <c r="E950" s="50" t="n">
        <v>8</v>
      </c>
      <c r="F950" s="50" t="s">
        <v>2167</v>
      </c>
      <c r="G950" s="54" t="n">
        <v>3392400</v>
      </c>
    </row>
    <row r="951" customFormat="false" ht="15" hidden="false" customHeight="false" outlineLevel="0" collapsed="false">
      <c r="A951" s="50" t="s">
        <v>526</v>
      </c>
      <c r="B951" s="51" t="n">
        <v>45715</v>
      </c>
      <c r="C951" s="50" t="s">
        <v>527</v>
      </c>
      <c r="D951" s="50" t="s">
        <v>2187</v>
      </c>
      <c r="E951" s="50" t="n">
        <v>7</v>
      </c>
      <c r="F951" s="50" t="s">
        <v>2167</v>
      </c>
      <c r="G951" s="54" t="n">
        <v>2542000</v>
      </c>
    </row>
    <row r="952" customFormat="false" ht="15" hidden="false" customHeight="false" outlineLevel="0" collapsed="false">
      <c r="A952" s="50" t="s">
        <v>526</v>
      </c>
      <c r="B952" s="51" t="n">
        <v>45715</v>
      </c>
      <c r="C952" s="50" t="s">
        <v>527</v>
      </c>
      <c r="D952" s="50" t="s">
        <v>2169</v>
      </c>
      <c r="E952" s="50" t="n">
        <v>3</v>
      </c>
      <c r="F952" s="50" t="s">
        <v>2167</v>
      </c>
      <c r="G952" s="54" t="n">
        <v>1886000</v>
      </c>
    </row>
    <row r="953" customFormat="false" ht="15" hidden="false" customHeight="false" outlineLevel="0" collapsed="false">
      <c r="A953" s="50" t="s">
        <v>526</v>
      </c>
      <c r="B953" s="51" t="n">
        <v>45715</v>
      </c>
      <c r="C953" s="50" t="s">
        <v>527</v>
      </c>
      <c r="D953" s="50" t="s">
        <v>2172</v>
      </c>
      <c r="E953" s="50" t="n">
        <v>4</v>
      </c>
      <c r="F953" s="50" t="s">
        <v>2167</v>
      </c>
      <c r="G953" s="54" t="n">
        <v>2089000</v>
      </c>
    </row>
    <row r="954" customFormat="false" ht="15" hidden="false" customHeight="false" outlineLevel="0" collapsed="false">
      <c r="A954" s="50" t="s">
        <v>526</v>
      </c>
      <c r="B954" s="51" t="n">
        <v>45715</v>
      </c>
      <c r="C954" s="50" t="s">
        <v>527</v>
      </c>
      <c r="D954" s="50" t="s">
        <v>2181</v>
      </c>
      <c r="E954" s="50" t="n">
        <v>1</v>
      </c>
      <c r="F954" s="50" t="s">
        <v>2167</v>
      </c>
      <c r="G954" s="54" t="n">
        <v>1127900</v>
      </c>
    </row>
    <row r="955" customFormat="false" ht="15" hidden="false" customHeight="false" outlineLevel="0" collapsed="false">
      <c r="A955" s="50" t="s">
        <v>526</v>
      </c>
      <c r="B955" s="51" t="n">
        <v>45715</v>
      </c>
      <c r="C955" s="50" t="s">
        <v>527</v>
      </c>
      <c r="D955" s="50" t="s">
        <v>2186</v>
      </c>
      <c r="E955" s="50" t="n">
        <v>5</v>
      </c>
      <c r="F955" s="50" t="s">
        <v>2167</v>
      </c>
      <c r="G955" s="54" t="n">
        <v>2835800</v>
      </c>
    </row>
    <row r="956" customFormat="false" ht="15" hidden="false" customHeight="false" outlineLevel="0" collapsed="false">
      <c r="A956" s="50" t="s">
        <v>528</v>
      </c>
      <c r="B956" s="51" t="n">
        <v>45715</v>
      </c>
      <c r="C956" s="50" t="s">
        <v>241</v>
      </c>
      <c r="D956" s="50" t="s">
        <v>2185</v>
      </c>
      <c r="E956" s="50" t="n">
        <v>2</v>
      </c>
      <c r="F956" s="50" t="s">
        <v>2174</v>
      </c>
      <c r="G956" s="54" t="n">
        <v>1509200</v>
      </c>
    </row>
    <row r="957" customFormat="false" ht="15" hidden="false" customHeight="false" outlineLevel="0" collapsed="false">
      <c r="A957" s="50" t="s">
        <v>528</v>
      </c>
      <c r="B957" s="51" t="n">
        <v>45715</v>
      </c>
      <c r="C957" s="50" t="s">
        <v>241</v>
      </c>
      <c r="D957" s="50" t="s">
        <v>2173</v>
      </c>
      <c r="E957" s="50" t="n">
        <v>8</v>
      </c>
      <c r="F957" s="50" t="s">
        <v>2174</v>
      </c>
      <c r="G957" s="54" t="n">
        <v>6435400</v>
      </c>
    </row>
    <row r="958" customFormat="false" ht="15" hidden="false" customHeight="false" outlineLevel="0" collapsed="false">
      <c r="A958" s="50" t="s">
        <v>528</v>
      </c>
      <c r="B958" s="51" t="n">
        <v>45715</v>
      </c>
      <c r="C958" s="50" t="s">
        <v>241</v>
      </c>
      <c r="D958" s="50" t="s">
        <v>2186</v>
      </c>
      <c r="E958" s="50" t="n">
        <v>4</v>
      </c>
      <c r="F958" s="50" t="s">
        <v>2167</v>
      </c>
      <c r="G958" s="54" t="n">
        <v>2406200</v>
      </c>
    </row>
    <row r="959" customFormat="false" ht="15" hidden="false" customHeight="false" outlineLevel="0" collapsed="false">
      <c r="A959" s="50" t="s">
        <v>528</v>
      </c>
      <c r="B959" s="51" t="n">
        <v>45715</v>
      </c>
      <c r="C959" s="50" t="s">
        <v>241</v>
      </c>
      <c r="D959" s="50" t="s">
        <v>2168</v>
      </c>
      <c r="E959" s="50" t="n">
        <v>8</v>
      </c>
      <c r="F959" s="50" t="s">
        <v>2167</v>
      </c>
      <c r="G959" s="54" t="n">
        <v>3357800</v>
      </c>
    </row>
    <row r="960" customFormat="false" ht="15" hidden="false" customHeight="false" outlineLevel="0" collapsed="false">
      <c r="A960" s="50" t="s">
        <v>529</v>
      </c>
      <c r="B960" s="51" t="n">
        <v>45715</v>
      </c>
      <c r="C960" s="50" t="s">
        <v>239</v>
      </c>
      <c r="D960" s="50" t="s">
        <v>2188</v>
      </c>
      <c r="E960" s="50" t="n">
        <v>2</v>
      </c>
      <c r="F960" s="50" t="s">
        <v>2167</v>
      </c>
      <c r="G960" s="54" t="n">
        <v>1949100</v>
      </c>
    </row>
    <row r="961" customFormat="false" ht="15" hidden="false" customHeight="false" outlineLevel="0" collapsed="false">
      <c r="A961" s="50" t="s">
        <v>529</v>
      </c>
      <c r="B961" s="51" t="n">
        <v>45715</v>
      </c>
      <c r="C961" s="50" t="s">
        <v>239</v>
      </c>
      <c r="D961" s="50" t="s">
        <v>2184</v>
      </c>
      <c r="E961" s="50" t="n">
        <v>2</v>
      </c>
      <c r="F961" s="50" t="s">
        <v>2167</v>
      </c>
      <c r="G961" s="54" t="n">
        <v>1163900</v>
      </c>
    </row>
    <row r="962" customFormat="false" ht="15" hidden="false" customHeight="false" outlineLevel="0" collapsed="false">
      <c r="A962" s="50" t="s">
        <v>529</v>
      </c>
      <c r="B962" s="51" t="n">
        <v>45715</v>
      </c>
      <c r="C962" s="50" t="s">
        <v>239</v>
      </c>
      <c r="D962" s="50" t="s">
        <v>2186</v>
      </c>
      <c r="E962" s="50" t="n">
        <v>6</v>
      </c>
      <c r="F962" s="50" t="s">
        <v>2167</v>
      </c>
      <c r="G962" s="54" t="n">
        <v>3649000</v>
      </c>
    </row>
    <row r="963" customFormat="false" ht="15" hidden="false" customHeight="false" outlineLevel="0" collapsed="false">
      <c r="A963" s="50" t="s">
        <v>530</v>
      </c>
      <c r="B963" s="51" t="n">
        <v>45716</v>
      </c>
      <c r="C963" s="50" t="s">
        <v>177</v>
      </c>
      <c r="D963" s="50" t="s">
        <v>2184</v>
      </c>
      <c r="E963" s="50" t="n">
        <v>6</v>
      </c>
      <c r="F963" s="50" t="s">
        <v>2167</v>
      </c>
      <c r="G963" s="54" t="n">
        <v>3369400</v>
      </c>
    </row>
    <row r="964" customFormat="false" ht="15" hidden="false" customHeight="false" outlineLevel="0" collapsed="false">
      <c r="A964" s="50" t="s">
        <v>530</v>
      </c>
      <c r="B964" s="51" t="n">
        <v>45716</v>
      </c>
      <c r="C964" s="50" t="s">
        <v>177</v>
      </c>
      <c r="D964" s="50" t="s">
        <v>2173</v>
      </c>
      <c r="E964" s="50" t="n">
        <v>8</v>
      </c>
      <c r="F964" s="50" t="s">
        <v>2174</v>
      </c>
      <c r="G964" s="54" t="n">
        <v>6375300</v>
      </c>
    </row>
    <row r="965" customFormat="false" ht="15" hidden="false" customHeight="false" outlineLevel="0" collapsed="false">
      <c r="A965" s="50" t="s">
        <v>531</v>
      </c>
      <c r="B965" s="51" t="n">
        <v>45716</v>
      </c>
      <c r="C965" s="50" t="s">
        <v>179</v>
      </c>
      <c r="D965" s="50" t="s">
        <v>2169</v>
      </c>
      <c r="E965" s="50" t="n">
        <v>1</v>
      </c>
      <c r="F965" s="50" t="s">
        <v>2167</v>
      </c>
      <c r="G965" s="54" t="n">
        <v>605200</v>
      </c>
    </row>
    <row r="966" customFormat="false" ht="15" hidden="false" customHeight="false" outlineLevel="0" collapsed="false">
      <c r="A966" s="50" t="s">
        <v>531</v>
      </c>
      <c r="B966" s="51" t="n">
        <v>45716</v>
      </c>
      <c r="C966" s="50" t="s">
        <v>179</v>
      </c>
      <c r="D966" s="50" t="s">
        <v>2180</v>
      </c>
      <c r="E966" s="50" t="n">
        <v>1</v>
      </c>
      <c r="F966" s="50" t="s">
        <v>2167</v>
      </c>
      <c r="G966" s="54" t="n">
        <v>439700</v>
      </c>
    </row>
    <row r="967" customFormat="false" ht="15" hidden="false" customHeight="false" outlineLevel="0" collapsed="false">
      <c r="A967" s="50" t="s">
        <v>531</v>
      </c>
      <c r="B967" s="51" t="n">
        <v>45716</v>
      </c>
      <c r="C967" s="50" t="s">
        <v>179</v>
      </c>
      <c r="D967" s="50" t="s">
        <v>2178</v>
      </c>
      <c r="E967" s="50" t="n">
        <v>1</v>
      </c>
      <c r="F967" s="50" t="s">
        <v>2167</v>
      </c>
      <c r="G967" s="54" t="n">
        <v>482800</v>
      </c>
    </row>
    <row r="968" customFormat="false" ht="15" hidden="false" customHeight="false" outlineLevel="0" collapsed="false">
      <c r="A968" s="50" t="s">
        <v>532</v>
      </c>
      <c r="B968" s="51" t="n">
        <v>45716</v>
      </c>
      <c r="C968" s="50" t="s">
        <v>174</v>
      </c>
      <c r="D968" s="50" t="s">
        <v>2166</v>
      </c>
      <c r="E968" s="50" t="n">
        <v>4</v>
      </c>
      <c r="F968" s="50" t="s">
        <v>2167</v>
      </c>
      <c r="G968" s="54" t="n">
        <v>2140800</v>
      </c>
    </row>
    <row r="969" customFormat="false" ht="15" hidden="false" customHeight="false" outlineLevel="0" collapsed="false">
      <c r="A969" s="50" t="s">
        <v>532</v>
      </c>
      <c r="B969" s="51" t="n">
        <v>45716</v>
      </c>
      <c r="C969" s="50" t="s">
        <v>174</v>
      </c>
      <c r="D969" s="50" t="s">
        <v>2181</v>
      </c>
      <c r="E969" s="50" t="n">
        <v>7</v>
      </c>
      <c r="F969" s="50" t="s">
        <v>2167</v>
      </c>
      <c r="G969" s="54" t="n">
        <v>8162200</v>
      </c>
    </row>
    <row r="970" customFormat="false" ht="15" hidden="false" customHeight="false" outlineLevel="0" collapsed="false">
      <c r="A970" s="50" t="s">
        <v>533</v>
      </c>
      <c r="B970" s="51" t="n">
        <v>45716</v>
      </c>
      <c r="C970" s="50" t="s">
        <v>230</v>
      </c>
      <c r="D970" s="50" t="s">
        <v>2176</v>
      </c>
      <c r="E970" s="50" t="n">
        <v>3</v>
      </c>
      <c r="F970" s="50" t="s">
        <v>2167</v>
      </c>
      <c r="G970" s="54" t="n">
        <v>1294300</v>
      </c>
    </row>
    <row r="971" customFormat="false" ht="15" hidden="false" customHeight="false" outlineLevel="0" collapsed="false">
      <c r="A971" s="50" t="s">
        <v>533</v>
      </c>
      <c r="B971" s="51" t="n">
        <v>45716</v>
      </c>
      <c r="C971" s="50" t="s">
        <v>230</v>
      </c>
      <c r="D971" s="50" t="s">
        <v>2186</v>
      </c>
      <c r="E971" s="50" t="n">
        <v>2</v>
      </c>
      <c r="F971" s="50" t="s">
        <v>2167</v>
      </c>
      <c r="G971" s="54" t="n">
        <v>1165900</v>
      </c>
    </row>
    <row r="972" customFormat="false" ht="15" hidden="false" customHeight="false" outlineLevel="0" collapsed="false">
      <c r="A972" s="50" t="s">
        <v>533</v>
      </c>
      <c r="B972" s="51" t="n">
        <v>45716</v>
      </c>
      <c r="C972" s="50" t="s">
        <v>230</v>
      </c>
      <c r="D972" s="50" t="s">
        <v>2170</v>
      </c>
      <c r="E972" s="50" t="n">
        <v>2</v>
      </c>
      <c r="F972" s="50" t="s">
        <v>2171</v>
      </c>
      <c r="G972" s="54" t="n">
        <v>15625400</v>
      </c>
    </row>
    <row r="973" customFormat="false" ht="15" hidden="false" customHeight="false" outlineLevel="0" collapsed="false">
      <c r="A973" s="50" t="s">
        <v>534</v>
      </c>
      <c r="B973" s="51" t="n">
        <v>45716</v>
      </c>
      <c r="C973" s="50" t="s">
        <v>369</v>
      </c>
      <c r="D973" s="50" t="s">
        <v>2185</v>
      </c>
      <c r="E973" s="50" t="n">
        <v>8</v>
      </c>
      <c r="F973" s="50" t="s">
        <v>2174</v>
      </c>
      <c r="G973" s="54" t="n">
        <v>6162800</v>
      </c>
    </row>
    <row r="974" customFormat="false" ht="15" hidden="false" customHeight="false" outlineLevel="0" collapsed="false">
      <c r="A974" s="50" t="s">
        <v>534</v>
      </c>
      <c r="B974" s="51" t="n">
        <v>45716</v>
      </c>
      <c r="C974" s="50" t="s">
        <v>369</v>
      </c>
      <c r="D974" s="50" t="s">
        <v>2178</v>
      </c>
      <c r="E974" s="50" t="n">
        <v>5</v>
      </c>
      <c r="F974" s="50" t="s">
        <v>2167</v>
      </c>
      <c r="G974" s="54" t="n">
        <v>2365500</v>
      </c>
    </row>
    <row r="975" customFormat="false" ht="15" hidden="false" customHeight="false" outlineLevel="0" collapsed="false">
      <c r="A975" s="50" t="s">
        <v>534</v>
      </c>
      <c r="B975" s="51" t="n">
        <v>45716</v>
      </c>
      <c r="C975" s="50" t="s">
        <v>369</v>
      </c>
      <c r="D975" s="50" t="s">
        <v>2168</v>
      </c>
      <c r="E975" s="50" t="n">
        <v>8</v>
      </c>
      <c r="F975" s="50" t="s">
        <v>2167</v>
      </c>
      <c r="G975" s="54" t="n">
        <v>3377600</v>
      </c>
    </row>
    <row r="976" customFormat="false" ht="15" hidden="false" customHeight="false" outlineLevel="0" collapsed="false">
      <c r="A976" s="50" t="s">
        <v>534</v>
      </c>
      <c r="B976" s="51" t="n">
        <v>45716</v>
      </c>
      <c r="C976" s="50" t="s">
        <v>369</v>
      </c>
      <c r="D976" s="50" t="s">
        <v>2181</v>
      </c>
      <c r="E976" s="50" t="n">
        <v>5</v>
      </c>
      <c r="F976" s="50" t="s">
        <v>2167</v>
      </c>
      <c r="G976" s="54" t="n">
        <v>5831700</v>
      </c>
    </row>
    <row r="977" customFormat="false" ht="15" hidden="false" customHeight="false" outlineLevel="0" collapsed="false">
      <c r="A977" s="50" t="s">
        <v>534</v>
      </c>
      <c r="B977" s="51" t="n">
        <v>45716</v>
      </c>
      <c r="C977" s="50" t="s">
        <v>369</v>
      </c>
      <c r="D977" s="50" t="s">
        <v>2172</v>
      </c>
      <c r="E977" s="50" t="n">
        <v>7</v>
      </c>
      <c r="F977" s="50" t="s">
        <v>2167</v>
      </c>
      <c r="G977" s="54" t="n">
        <v>3578000</v>
      </c>
    </row>
    <row r="978" customFormat="false" ht="15" hidden="false" customHeight="false" outlineLevel="0" collapsed="false">
      <c r="A978" s="50" t="s">
        <v>535</v>
      </c>
      <c r="B978" s="51" t="n">
        <v>45717</v>
      </c>
      <c r="C978" s="50" t="s">
        <v>467</v>
      </c>
      <c r="D978" s="50" t="s">
        <v>2177</v>
      </c>
      <c r="E978" s="50" t="n">
        <v>1</v>
      </c>
      <c r="F978" s="50" t="s">
        <v>2174</v>
      </c>
      <c r="G978" s="54" t="n">
        <v>1135100</v>
      </c>
    </row>
    <row r="979" customFormat="false" ht="15" hidden="false" customHeight="false" outlineLevel="0" collapsed="false">
      <c r="A979" s="50" t="s">
        <v>535</v>
      </c>
      <c r="B979" s="51" t="n">
        <v>45717</v>
      </c>
      <c r="C979" s="50" t="s">
        <v>467</v>
      </c>
      <c r="D979" s="50" t="s">
        <v>2181</v>
      </c>
      <c r="E979" s="50" t="n">
        <v>8</v>
      </c>
      <c r="F979" s="50" t="s">
        <v>2167</v>
      </c>
      <c r="G979" s="54" t="n">
        <v>9220900</v>
      </c>
    </row>
    <row r="980" customFormat="false" ht="15" hidden="false" customHeight="false" outlineLevel="0" collapsed="false">
      <c r="A980" s="50" t="s">
        <v>535</v>
      </c>
      <c r="B980" s="51" t="n">
        <v>45717</v>
      </c>
      <c r="C980" s="50" t="s">
        <v>467</v>
      </c>
      <c r="D980" s="50" t="s">
        <v>2176</v>
      </c>
      <c r="E980" s="50" t="n">
        <v>3</v>
      </c>
      <c r="F980" s="50" t="s">
        <v>2167</v>
      </c>
      <c r="G980" s="54" t="n">
        <v>1279800</v>
      </c>
    </row>
    <row r="981" customFormat="false" ht="15" hidden="false" customHeight="false" outlineLevel="0" collapsed="false">
      <c r="A981" s="50" t="s">
        <v>535</v>
      </c>
      <c r="B981" s="51" t="n">
        <v>45717</v>
      </c>
      <c r="C981" s="50" t="s">
        <v>467</v>
      </c>
      <c r="D981" s="50" t="s">
        <v>2178</v>
      </c>
      <c r="E981" s="50" t="n">
        <v>5</v>
      </c>
      <c r="F981" s="50" t="s">
        <v>2167</v>
      </c>
      <c r="G981" s="54" t="n">
        <v>2351700</v>
      </c>
    </row>
    <row r="982" customFormat="false" ht="15" hidden="false" customHeight="false" outlineLevel="0" collapsed="false">
      <c r="A982" s="50" t="s">
        <v>535</v>
      </c>
      <c r="B982" s="51" t="n">
        <v>45717</v>
      </c>
      <c r="C982" s="50" t="s">
        <v>467</v>
      </c>
      <c r="D982" s="50" t="s">
        <v>2187</v>
      </c>
      <c r="E982" s="50" t="n">
        <v>5</v>
      </c>
      <c r="F982" s="50" t="s">
        <v>2167</v>
      </c>
      <c r="G982" s="54" t="n">
        <v>1681500</v>
      </c>
    </row>
    <row r="983" customFormat="false" ht="15" hidden="false" customHeight="false" outlineLevel="0" collapsed="false">
      <c r="A983" s="50" t="s">
        <v>535</v>
      </c>
      <c r="B983" s="51" t="n">
        <v>45717</v>
      </c>
      <c r="C983" s="50" t="s">
        <v>467</v>
      </c>
      <c r="D983" s="50" t="s">
        <v>2180</v>
      </c>
      <c r="E983" s="50" t="n">
        <v>3</v>
      </c>
      <c r="F983" s="50" t="s">
        <v>2167</v>
      </c>
      <c r="G983" s="54" t="n">
        <v>1314500</v>
      </c>
    </row>
    <row r="984" customFormat="false" ht="15" hidden="false" customHeight="false" outlineLevel="0" collapsed="false">
      <c r="A984" s="50" t="s">
        <v>536</v>
      </c>
      <c r="B984" s="51" t="n">
        <v>45717</v>
      </c>
      <c r="C984" s="50" t="s">
        <v>289</v>
      </c>
      <c r="D984" s="50" t="s">
        <v>2179</v>
      </c>
      <c r="E984" s="50" t="n">
        <v>5</v>
      </c>
      <c r="F984" s="50" t="s">
        <v>2174</v>
      </c>
      <c r="G984" s="54" t="n">
        <v>6441600</v>
      </c>
    </row>
    <row r="985" customFormat="false" ht="15" hidden="false" customHeight="false" outlineLevel="0" collapsed="false">
      <c r="A985" s="50" t="s">
        <v>536</v>
      </c>
      <c r="B985" s="51" t="n">
        <v>45717</v>
      </c>
      <c r="C985" s="50" t="s">
        <v>289</v>
      </c>
      <c r="D985" s="50" t="s">
        <v>2184</v>
      </c>
      <c r="E985" s="50" t="n">
        <v>6</v>
      </c>
      <c r="F985" s="50" t="s">
        <v>2167</v>
      </c>
      <c r="G985" s="54" t="n">
        <v>3363700</v>
      </c>
    </row>
    <row r="986" customFormat="false" ht="15" hidden="false" customHeight="false" outlineLevel="0" collapsed="false">
      <c r="A986" s="50" t="s">
        <v>536</v>
      </c>
      <c r="B986" s="51" t="n">
        <v>45717</v>
      </c>
      <c r="C986" s="50" t="s">
        <v>289</v>
      </c>
      <c r="D986" s="50" t="s">
        <v>2176</v>
      </c>
      <c r="E986" s="50" t="n">
        <v>1</v>
      </c>
      <c r="F986" s="50" t="s">
        <v>2167</v>
      </c>
      <c r="G986" s="54" t="n">
        <v>412800</v>
      </c>
    </row>
    <row r="987" customFormat="false" ht="15" hidden="false" customHeight="false" outlineLevel="0" collapsed="false">
      <c r="A987" s="50" t="s">
        <v>536</v>
      </c>
      <c r="B987" s="51" t="n">
        <v>45717</v>
      </c>
      <c r="C987" s="50" t="s">
        <v>289</v>
      </c>
      <c r="D987" s="50" t="s">
        <v>2188</v>
      </c>
      <c r="E987" s="50" t="n">
        <v>4</v>
      </c>
      <c r="F987" s="50" t="s">
        <v>2167</v>
      </c>
      <c r="G987" s="54" t="n">
        <v>3784800</v>
      </c>
    </row>
    <row r="988" customFormat="false" ht="15" hidden="false" customHeight="false" outlineLevel="0" collapsed="false">
      <c r="A988" s="50" t="s">
        <v>536</v>
      </c>
      <c r="B988" s="51" t="n">
        <v>45717</v>
      </c>
      <c r="C988" s="50" t="s">
        <v>289</v>
      </c>
      <c r="D988" s="50" t="s">
        <v>2178</v>
      </c>
      <c r="E988" s="50" t="n">
        <v>6</v>
      </c>
      <c r="F988" s="50" t="s">
        <v>2167</v>
      </c>
      <c r="G988" s="54" t="n">
        <v>2816200</v>
      </c>
    </row>
    <row r="989" customFormat="false" ht="15" hidden="false" customHeight="false" outlineLevel="0" collapsed="false">
      <c r="A989" s="50" t="s">
        <v>536</v>
      </c>
      <c r="B989" s="51" t="n">
        <v>45717</v>
      </c>
      <c r="C989" s="50" t="s">
        <v>289</v>
      </c>
      <c r="D989" s="50" t="s">
        <v>2180</v>
      </c>
      <c r="E989" s="50" t="n">
        <v>2</v>
      </c>
      <c r="F989" s="50" t="s">
        <v>2167</v>
      </c>
      <c r="G989" s="54" t="n">
        <v>926900</v>
      </c>
    </row>
    <row r="990" customFormat="false" ht="15" hidden="false" customHeight="false" outlineLevel="0" collapsed="false">
      <c r="A990" s="50" t="s">
        <v>536</v>
      </c>
      <c r="B990" s="51" t="n">
        <v>45717</v>
      </c>
      <c r="C990" s="50" t="s">
        <v>289</v>
      </c>
      <c r="D990" s="50" t="s">
        <v>2185</v>
      </c>
      <c r="E990" s="50" t="n">
        <v>8</v>
      </c>
      <c r="F990" s="50" t="s">
        <v>2174</v>
      </c>
      <c r="G990" s="54" t="n">
        <v>6201100</v>
      </c>
    </row>
    <row r="991" customFormat="false" ht="15" hidden="false" customHeight="false" outlineLevel="0" collapsed="false">
      <c r="A991" s="50" t="s">
        <v>536</v>
      </c>
      <c r="B991" s="51" t="n">
        <v>45717</v>
      </c>
      <c r="C991" s="50" t="s">
        <v>289</v>
      </c>
      <c r="D991" s="50" t="s">
        <v>2168</v>
      </c>
      <c r="E991" s="50" t="n">
        <v>1</v>
      </c>
      <c r="F991" s="50" t="s">
        <v>2167</v>
      </c>
      <c r="G991" s="54" t="n">
        <v>446200</v>
      </c>
    </row>
    <row r="992" customFormat="false" ht="15" hidden="false" customHeight="false" outlineLevel="0" collapsed="false">
      <c r="A992" s="50" t="s">
        <v>537</v>
      </c>
      <c r="B992" s="51" t="n">
        <v>45717</v>
      </c>
      <c r="C992" s="50" t="s">
        <v>430</v>
      </c>
      <c r="D992" s="50" t="s">
        <v>2166</v>
      </c>
      <c r="E992" s="50" t="n">
        <v>7</v>
      </c>
      <c r="F992" s="50" t="s">
        <v>2167</v>
      </c>
      <c r="G992" s="54" t="n">
        <v>3924100</v>
      </c>
    </row>
    <row r="993" customFormat="false" ht="15" hidden="false" customHeight="false" outlineLevel="0" collapsed="false">
      <c r="A993" s="50" t="s">
        <v>537</v>
      </c>
      <c r="B993" s="51" t="n">
        <v>45717</v>
      </c>
      <c r="C993" s="50" t="s">
        <v>430</v>
      </c>
      <c r="D993" s="50" t="s">
        <v>2185</v>
      </c>
      <c r="E993" s="50" t="n">
        <v>1</v>
      </c>
      <c r="F993" s="50" t="s">
        <v>2174</v>
      </c>
      <c r="G993" s="54" t="n">
        <v>764900</v>
      </c>
    </row>
    <row r="994" customFormat="false" ht="15" hidden="false" customHeight="false" outlineLevel="0" collapsed="false">
      <c r="A994" s="50" t="s">
        <v>537</v>
      </c>
      <c r="B994" s="51" t="n">
        <v>45717</v>
      </c>
      <c r="C994" s="50" t="s">
        <v>430</v>
      </c>
      <c r="D994" s="50" t="s">
        <v>2182</v>
      </c>
      <c r="E994" s="50" t="n">
        <v>7</v>
      </c>
      <c r="F994" s="50" t="s">
        <v>2174</v>
      </c>
      <c r="G994" s="54" t="n">
        <v>6873100</v>
      </c>
    </row>
    <row r="995" customFormat="false" ht="15" hidden="false" customHeight="false" outlineLevel="0" collapsed="false">
      <c r="A995" s="50" t="s">
        <v>537</v>
      </c>
      <c r="B995" s="51" t="n">
        <v>45717</v>
      </c>
      <c r="C995" s="50" t="s">
        <v>430</v>
      </c>
      <c r="D995" s="50" t="s">
        <v>2169</v>
      </c>
      <c r="E995" s="50" t="n">
        <v>7</v>
      </c>
      <c r="F995" s="50" t="s">
        <v>2167</v>
      </c>
      <c r="G995" s="54" t="n">
        <v>4354300</v>
      </c>
    </row>
    <row r="996" customFormat="false" ht="15" hidden="false" customHeight="false" outlineLevel="0" collapsed="false">
      <c r="A996" s="50" t="s">
        <v>538</v>
      </c>
      <c r="B996" s="51" t="n">
        <v>45717</v>
      </c>
      <c r="C996" s="50" t="s">
        <v>207</v>
      </c>
      <c r="D996" s="50" t="s">
        <v>2178</v>
      </c>
      <c r="E996" s="50" t="n">
        <v>4</v>
      </c>
      <c r="F996" s="50" t="s">
        <v>2167</v>
      </c>
      <c r="G996" s="54" t="n">
        <v>1873800</v>
      </c>
    </row>
    <row r="997" customFormat="false" ht="15" hidden="false" customHeight="false" outlineLevel="0" collapsed="false">
      <c r="A997" s="50" t="s">
        <v>539</v>
      </c>
      <c r="B997" s="51" t="n">
        <v>45717</v>
      </c>
      <c r="C997" s="50" t="s">
        <v>540</v>
      </c>
      <c r="D997" s="50" t="s">
        <v>2166</v>
      </c>
      <c r="E997" s="50" t="n">
        <v>6</v>
      </c>
      <c r="F997" s="50" t="s">
        <v>2167</v>
      </c>
      <c r="G997" s="54" t="n">
        <v>3229100</v>
      </c>
    </row>
    <row r="998" customFormat="false" ht="15" hidden="false" customHeight="false" outlineLevel="0" collapsed="false">
      <c r="A998" s="50" t="s">
        <v>539</v>
      </c>
      <c r="B998" s="51" t="n">
        <v>45717</v>
      </c>
      <c r="C998" s="50" t="s">
        <v>540</v>
      </c>
      <c r="D998" s="50" t="s">
        <v>2178</v>
      </c>
      <c r="E998" s="50" t="n">
        <v>6</v>
      </c>
      <c r="F998" s="50" t="s">
        <v>2167</v>
      </c>
      <c r="G998" s="54" t="n">
        <v>2834900</v>
      </c>
    </row>
    <row r="999" customFormat="false" ht="15" hidden="false" customHeight="false" outlineLevel="0" collapsed="false">
      <c r="A999" s="50" t="s">
        <v>539</v>
      </c>
      <c r="B999" s="51" t="n">
        <v>45717</v>
      </c>
      <c r="C999" s="50" t="s">
        <v>540</v>
      </c>
      <c r="D999" s="50" t="s">
        <v>2176</v>
      </c>
      <c r="E999" s="50" t="n">
        <v>2</v>
      </c>
      <c r="F999" s="50" t="s">
        <v>2167</v>
      </c>
      <c r="G999" s="54" t="n">
        <v>867000</v>
      </c>
    </row>
    <row r="1000" customFormat="false" ht="15" hidden="false" customHeight="false" outlineLevel="0" collapsed="false">
      <c r="A1000" s="50" t="s">
        <v>539</v>
      </c>
      <c r="B1000" s="51" t="n">
        <v>45717</v>
      </c>
      <c r="C1000" s="50" t="s">
        <v>540</v>
      </c>
      <c r="D1000" s="50" t="s">
        <v>2187</v>
      </c>
      <c r="E1000" s="50" t="n">
        <v>1</v>
      </c>
      <c r="F1000" s="50" t="s">
        <v>2167</v>
      </c>
      <c r="G1000" s="54" t="n">
        <v>353500</v>
      </c>
    </row>
    <row r="1001" customFormat="false" ht="15" hidden="false" customHeight="false" outlineLevel="0" collapsed="false">
      <c r="A1001" s="50" t="s">
        <v>539</v>
      </c>
      <c r="B1001" s="51" t="n">
        <v>45717</v>
      </c>
      <c r="C1001" s="50" t="s">
        <v>540</v>
      </c>
      <c r="D1001" s="50" t="s">
        <v>2181</v>
      </c>
      <c r="E1001" s="50" t="n">
        <v>8</v>
      </c>
      <c r="F1001" s="50" t="s">
        <v>2167</v>
      </c>
      <c r="G1001" s="54" t="n">
        <v>8982000</v>
      </c>
    </row>
    <row r="1002" customFormat="false" ht="15" hidden="false" customHeight="false" outlineLevel="0" collapsed="false">
      <c r="A1002" s="50" t="s">
        <v>541</v>
      </c>
      <c r="B1002" s="51" t="n">
        <v>45717</v>
      </c>
      <c r="C1002" s="50" t="s">
        <v>211</v>
      </c>
      <c r="D1002" s="50" t="s">
        <v>2184</v>
      </c>
      <c r="E1002" s="50" t="n">
        <v>5</v>
      </c>
      <c r="F1002" s="50" t="s">
        <v>2167</v>
      </c>
      <c r="G1002" s="54" t="n">
        <v>2810600</v>
      </c>
    </row>
    <row r="1003" customFormat="false" ht="15" hidden="false" customHeight="false" outlineLevel="0" collapsed="false">
      <c r="A1003" s="50" t="s">
        <v>541</v>
      </c>
      <c r="B1003" s="51" t="n">
        <v>45717</v>
      </c>
      <c r="C1003" s="50" t="s">
        <v>211</v>
      </c>
      <c r="D1003" s="50" t="s">
        <v>2176</v>
      </c>
      <c r="E1003" s="50" t="n">
        <v>2</v>
      </c>
      <c r="F1003" s="50" t="s">
        <v>2167</v>
      </c>
      <c r="G1003" s="54" t="n">
        <v>845000</v>
      </c>
    </row>
    <row r="1004" customFormat="false" ht="15" hidden="false" customHeight="false" outlineLevel="0" collapsed="false">
      <c r="A1004" s="50" t="s">
        <v>542</v>
      </c>
      <c r="B1004" s="51" t="n">
        <v>45717</v>
      </c>
      <c r="C1004" s="50" t="s">
        <v>211</v>
      </c>
      <c r="D1004" s="50" t="s">
        <v>2180</v>
      </c>
      <c r="E1004" s="50" t="n">
        <v>8</v>
      </c>
      <c r="F1004" s="50" t="s">
        <v>2167</v>
      </c>
      <c r="G1004" s="54" t="n">
        <v>3692800</v>
      </c>
    </row>
    <row r="1005" customFormat="false" ht="15" hidden="false" customHeight="false" outlineLevel="0" collapsed="false">
      <c r="A1005" s="50" t="s">
        <v>542</v>
      </c>
      <c r="B1005" s="51" t="n">
        <v>45717</v>
      </c>
      <c r="C1005" s="50" t="s">
        <v>211</v>
      </c>
      <c r="D1005" s="50" t="s">
        <v>2185</v>
      </c>
      <c r="E1005" s="50" t="n">
        <v>5</v>
      </c>
      <c r="F1005" s="50" t="s">
        <v>2174</v>
      </c>
      <c r="G1005" s="54" t="n">
        <v>3955200</v>
      </c>
    </row>
    <row r="1006" customFormat="false" ht="15" hidden="false" customHeight="false" outlineLevel="0" collapsed="false">
      <c r="A1006" s="50" t="s">
        <v>542</v>
      </c>
      <c r="B1006" s="51" t="n">
        <v>45717</v>
      </c>
      <c r="C1006" s="50" t="s">
        <v>211</v>
      </c>
      <c r="D1006" s="50" t="s">
        <v>2179</v>
      </c>
      <c r="E1006" s="50" t="n">
        <v>8</v>
      </c>
      <c r="F1006" s="50" t="s">
        <v>2174</v>
      </c>
      <c r="G1006" s="54" t="n">
        <v>9947400</v>
      </c>
    </row>
    <row r="1007" customFormat="false" ht="15" hidden="false" customHeight="false" outlineLevel="0" collapsed="false">
      <c r="A1007" s="50" t="s">
        <v>542</v>
      </c>
      <c r="B1007" s="51" t="n">
        <v>45717</v>
      </c>
      <c r="C1007" s="50" t="s">
        <v>211</v>
      </c>
      <c r="D1007" s="50" t="s">
        <v>2169</v>
      </c>
      <c r="E1007" s="50" t="n">
        <v>8</v>
      </c>
      <c r="F1007" s="50" t="s">
        <v>2167</v>
      </c>
      <c r="G1007" s="54" t="n">
        <v>5020700</v>
      </c>
    </row>
    <row r="1008" customFormat="false" ht="15" hidden="false" customHeight="false" outlineLevel="0" collapsed="false">
      <c r="A1008" s="50" t="s">
        <v>543</v>
      </c>
      <c r="B1008" s="51" t="n">
        <v>45717</v>
      </c>
      <c r="C1008" s="50" t="s">
        <v>170</v>
      </c>
      <c r="D1008" s="50" t="s">
        <v>2181</v>
      </c>
      <c r="E1008" s="50" t="n">
        <v>5</v>
      </c>
      <c r="F1008" s="50" t="s">
        <v>2167</v>
      </c>
      <c r="G1008" s="54" t="n">
        <v>5803800</v>
      </c>
    </row>
    <row r="1009" customFormat="false" ht="15" hidden="false" customHeight="false" outlineLevel="0" collapsed="false">
      <c r="A1009" s="50" t="s">
        <v>543</v>
      </c>
      <c r="B1009" s="51" t="n">
        <v>45717</v>
      </c>
      <c r="C1009" s="50" t="s">
        <v>170</v>
      </c>
      <c r="D1009" s="50" t="s">
        <v>2175</v>
      </c>
      <c r="E1009" s="50" t="n">
        <v>6</v>
      </c>
      <c r="F1009" s="50" t="s">
        <v>2167</v>
      </c>
      <c r="G1009" s="54" t="n">
        <v>3931800</v>
      </c>
    </row>
    <row r="1010" customFormat="false" ht="15" hidden="false" customHeight="false" outlineLevel="0" collapsed="false">
      <c r="A1010" s="50" t="s">
        <v>543</v>
      </c>
      <c r="B1010" s="51" t="n">
        <v>45717</v>
      </c>
      <c r="C1010" s="50" t="s">
        <v>170</v>
      </c>
      <c r="D1010" s="50" t="s">
        <v>2182</v>
      </c>
      <c r="E1010" s="50" t="n">
        <v>7</v>
      </c>
      <c r="F1010" s="50" t="s">
        <v>2174</v>
      </c>
      <c r="G1010" s="54" t="n">
        <v>6670200</v>
      </c>
    </row>
    <row r="1011" customFormat="false" ht="15" hidden="false" customHeight="false" outlineLevel="0" collapsed="false">
      <c r="A1011" s="50" t="s">
        <v>543</v>
      </c>
      <c r="B1011" s="51" t="n">
        <v>45717</v>
      </c>
      <c r="C1011" s="50" t="s">
        <v>170</v>
      </c>
      <c r="D1011" s="50" t="s">
        <v>2185</v>
      </c>
      <c r="E1011" s="50" t="n">
        <v>6</v>
      </c>
      <c r="F1011" s="50" t="s">
        <v>2174</v>
      </c>
      <c r="G1011" s="54" t="n">
        <v>4504000</v>
      </c>
    </row>
    <row r="1012" customFormat="false" ht="15" hidden="false" customHeight="false" outlineLevel="0" collapsed="false">
      <c r="A1012" s="50" t="s">
        <v>544</v>
      </c>
      <c r="B1012" s="51" t="n">
        <v>45719</v>
      </c>
      <c r="C1012" s="50" t="s">
        <v>174</v>
      </c>
      <c r="D1012" s="50" t="s">
        <v>2168</v>
      </c>
      <c r="E1012" s="50" t="n">
        <v>6</v>
      </c>
      <c r="F1012" s="50" t="s">
        <v>2167</v>
      </c>
      <c r="G1012" s="54" t="n">
        <v>2668300</v>
      </c>
    </row>
    <row r="1013" customFormat="false" ht="15" hidden="false" customHeight="false" outlineLevel="0" collapsed="false">
      <c r="A1013" s="50" t="s">
        <v>544</v>
      </c>
      <c r="B1013" s="51" t="n">
        <v>45719</v>
      </c>
      <c r="C1013" s="50" t="s">
        <v>174</v>
      </c>
      <c r="D1013" s="50" t="s">
        <v>2187</v>
      </c>
      <c r="E1013" s="50" t="n">
        <v>1</v>
      </c>
      <c r="F1013" s="50" t="s">
        <v>2167</v>
      </c>
      <c r="G1013" s="54" t="n">
        <v>343300</v>
      </c>
    </row>
    <row r="1014" customFormat="false" ht="15" hidden="false" customHeight="false" outlineLevel="0" collapsed="false">
      <c r="A1014" s="50" t="s">
        <v>544</v>
      </c>
      <c r="B1014" s="51" t="n">
        <v>45719</v>
      </c>
      <c r="C1014" s="50" t="s">
        <v>174</v>
      </c>
      <c r="D1014" s="50" t="s">
        <v>2179</v>
      </c>
      <c r="E1014" s="50" t="n">
        <v>8</v>
      </c>
      <c r="F1014" s="50" t="s">
        <v>2174</v>
      </c>
      <c r="G1014" s="54" t="n">
        <v>10339100</v>
      </c>
    </row>
    <row r="1015" customFormat="false" ht="15" hidden="false" customHeight="false" outlineLevel="0" collapsed="false">
      <c r="A1015" s="50" t="s">
        <v>544</v>
      </c>
      <c r="B1015" s="51" t="n">
        <v>45719</v>
      </c>
      <c r="C1015" s="50" t="s">
        <v>174</v>
      </c>
      <c r="D1015" s="50" t="s">
        <v>2169</v>
      </c>
      <c r="E1015" s="50" t="n">
        <v>5</v>
      </c>
      <c r="F1015" s="50" t="s">
        <v>2167</v>
      </c>
      <c r="G1015" s="54" t="n">
        <v>3035300</v>
      </c>
    </row>
    <row r="1016" customFormat="false" ht="15" hidden="false" customHeight="false" outlineLevel="0" collapsed="false">
      <c r="A1016" s="50" t="s">
        <v>545</v>
      </c>
      <c r="B1016" s="51" t="n">
        <v>45719</v>
      </c>
      <c r="C1016" s="50" t="s">
        <v>367</v>
      </c>
      <c r="D1016" s="50" t="s">
        <v>2172</v>
      </c>
      <c r="E1016" s="50" t="n">
        <v>6</v>
      </c>
      <c r="F1016" s="50" t="s">
        <v>2167</v>
      </c>
      <c r="G1016" s="54" t="n">
        <v>3122500</v>
      </c>
    </row>
    <row r="1017" customFormat="false" ht="15" hidden="false" customHeight="false" outlineLevel="0" collapsed="false">
      <c r="A1017" s="50" t="s">
        <v>545</v>
      </c>
      <c r="B1017" s="51" t="n">
        <v>45719</v>
      </c>
      <c r="C1017" s="50" t="s">
        <v>367</v>
      </c>
      <c r="D1017" s="50" t="s">
        <v>2168</v>
      </c>
      <c r="E1017" s="50" t="n">
        <v>3</v>
      </c>
      <c r="F1017" s="50" t="s">
        <v>2167</v>
      </c>
      <c r="G1017" s="54" t="n">
        <v>1322000</v>
      </c>
    </row>
    <row r="1018" customFormat="false" ht="15" hidden="false" customHeight="false" outlineLevel="0" collapsed="false">
      <c r="A1018" s="50" t="s">
        <v>545</v>
      </c>
      <c r="B1018" s="51" t="n">
        <v>45719</v>
      </c>
      <c r="C1018" s="50" t="s">
        <v>367</v>
      </c>
      <c r="D1018" s="50" t="s">
        <v>2175</v>
      </c>
      <c r="E1018" s="50" t="n">
        <v>1</v>
      </c>
      <c r="F1018" s="50" t="s">
        <v>2167</v>
      </c>
      <c r="G1018" s="54" t="n">
        <v>621300</v>
      </c>
    </row>
    <row r="1019" customFormat="false" ht="15" hidden="false" customHeight="false" outlineLevel="0" collapsed="false">
      <c r="A1019" s="50" t="s">
        <v>545</v>
      </c>
      <c r="B1019" s="51" t="n">
        <v>45719</v>
      </c>
      <c r="C1019" s="50" t="s">
        <v>367</v>
      </c>
      <c r="D1019" s="50" t="s">
        <v>2169</v>
      </c>
      <c r="E1019" s="50" t="n">
        <v>6</v>
      </c>
      <c r="F1019" s="50" t="s">
        <v>2167</v>
      </c>
      <c r="G1019" s="54" t="n">
        <v>3852700</v>
      </c>
    </row>
    <row r="1020" customFormat="false" ht="15" hidden="false" customHeight="false" outlineLevel="0" collapsed="false">
      <c r="A1020" s="50" t="s">
        <v>546</v>
      </c>
      <c r="B1020" s="51" t="n">
        <v>45719</v>
      </c>
      <c r="C1020" s="50" t="s">
        <v>174</v>
      </c>
      <c r="D1020" s="50" t="s">
        <v>2187</v>
      </c>
      <c r="E1020" s="50" t="n">
        <v>2</v>
      </c>
      <c r="F1020" s="50" t="s">
        <v>2167</v>
      </c>
      <c r="G1020" s="54" t="n">
        <v>712000</v>
      </c>
    </row>
    <row r="1021" customFormat="false" ht="15" hidden="false" customHeight="false" outlineLevel="0" collapsed="false">
      <c r="A1021" s="50" t="s">
        <v>546</v>
      </c>
      <c r="B1021" s="51" t="n">
        <v>45719</v>
      </c>
      <c r="C1021" s="50" t="s">
        <v>174</v>
      </c>
      <c r="D1021" s="50" t="s">
        <v>2183</v>
      </c>
      <c r="E1021" s="50" t="n">
        <v>4</v>
      </c>
      <c r="F1021" s="50" t="s">
        <v>2167</v>
      </c>
      <c r="G1021" s="54" t="n">
        <v>1516600</v>
      </c>
    </row>
    <row r="1022" customFormat="false" ht="15" hidden="false" customHeight="false" outlineLevel="0" collapsed="false">
      <c r="A1022" s="50" t="s">
        <v>546</v>
      </c>
      <c r="B1022" s="51" t="n">
        <v>45719</v>
      </c>
      <c r="C1022" s="50" t="s">
        <v>174</v>
      </c>
      <c r="D1022" s="50" t="s">
        <v>2186</v>
      </c>
      <c r="E1022" s="50" t="n">
        <v>5</v>
      </c>
      <c r="F1022" s="50" t="s">
        <v>2167</v>
      </c>
      <c r="G1022" s="54" t="n">
        <v>2939100</v>
      </c>
    </row>
    <row r="1023" customFormat="false" ht="15" hidden="false" customHeight="false" outlineLevel="0" collapsed="false">
      <c r="A1023" s="50" t="s">
        <v>546</v>
      </c>
      <c r="B1023" s="51" t="n">
        <v>45719</v>
      </c>
      <c r="C1023" s="50" t="s">
        <v>174</v>
      </c>
      <c r="D1023" s="50" t="s">
        <v>2184</v>
      </c>
      <c r="E1023" s="50" t="n">
        <v>8</v>
      </c>
      <c r="F1023" s="50" t="s">
        <v>2167</v>
      </c>
      <c r="G1023" s="54" t="n">
        <v>4424100</v>
      </c>
    </row>
    <row r="1024" customFormat="false" ht="15" hidden="false" customHeight="false" outlineLevel="0" collapsed="false">
      <c r="A1024" s="50" t="s">
        <v>546</v>
      </c>
      <c r="B1024" s="51" t="n">
        <v>45719</v>
      </c>
      <c r="C1024" s="50" t="s">
        <v>174</v>
      </c>
      <c r="D1024" s="50" t="s">
        <v>2173</v>
      </c>
      <c r="E1024" s="50" t="n">
        <v>1</v>
      </c>
      <c r="F1024" s="50" t="s">
        <v>2174</v>
      </c>
      <c r="G1024" s="54" t="n">
        <v>795800</v>
      </c>
    </row>
    <row r="1025" customFormat="false" ht="15" hidden="false" customHeight="false" outlineLevel="0" collapsed="false">
      <c r="A1025" s="50" t="s">
        <v>546</v>
      </c>
      <c r="B1025" s="51" t="n">
        <v>45719</v>
      </c>
      <c r="C1025" s="50" t="s">
        <v>174</v>
      </c>
      <c r="D1025" s="50" t="s">
        <v>2166</v>
      </c>
      <c r="E1025" s="50" t="n">
        <v>4</v>
      </c>
      <c r="F1025" s="50" t="s">
        <v>2167</v>
      </c>
      <c r="G1025" s="54" t="n">
        <v>2156800</v>
      </c>
    </row>
    <row r="1026" customFormat="false" ht="15" hidden="false" customHeight="false" outlineLevel="0" collapsed="false">
      <c r="A1026" s="50" t="s">
        <v>547</v>
      </c>
      <c r="B1026" s="51" t="n">
        <v>45719</v>
      </c>
      <c r="C1026" s="50" t="s">
        <v>251</v>
      </c>
      <c r="D1026" s="50" t="s">
        <v>2185</v>
      </c>
      <c r="E1026" s="50" t="n">
        <v>5</v>
      </c>
      <c r="F1026" s="50" t="s">
        <v>2174</v>
      </c>
      <c r="G1026" s="54" t="n">
        <v>4015600</v>
      </c>
    </row>
    <row r="1027" customFormat="false" ht="15" hidden="false" customHeight="false" outlineLevel="0" collapsed="false">
      <c r="A1027" s="50" t="s">
        <v>547</v>
      </c>
      <c r="B1027" s="51" t="n">
        <v>45719</v>
      </c>
      <c r="C1027" s="50" t="s">
        <v>251</v>
      </c>
      <c r="D1027" s="50" t="s">
        <v>2168</v>
      </c>
      <c r="E1027" s="50" t="n">
        <v>6</v>
      </c>
      <c r="F1027" s="50" t="s">
        <v>2167</v>
      </c>
      <c r="G1027" s="54" t="n">
        <v>2543100</v>
      </c>
    </row>
    <row r="1028" customFormat="false" ht="15" hidden="false" customHeight="false" outlineLevel="0" collapsed="false">
      <c r="A1028" s="50" t="s">
        <v>548</v>
      </c>
      <c r="B1028" s="51" t="n">
        <v>45720</v>
      </c>
      <c r="C1028" s="50" t="s">
        <v>213</v>
      </c>
      <c r="D1028" s="50" t="s">
        <v>2185</v>
      </c>
      <c r="E1028" s="50" t="n">
        <v>6</v>
      </c>
      <c r="F1028" s="50" t="s">
        <v>2174</v>
      </c>
      <c r="G1028" s="54" t="n">
        <v>4678400</v>
      </c>
    </row>
    <row r="1029" customFormat="false" ht="15" hidden="false" customHeight="false" outlineLevel="0" collapsed="false">
      <c r="A1029" s="50" t="s">
        <v>548</v>
      </c>
      <c r="B1029" s="51" t="n">
        <v>45720</v>
      </c>
      <c r="C1029" s="50" t="s">
        <v>213</v>
      </c>
      <c r="D1029" s="50" t="s">
        <v>2178</v>
      </c>
      <c r="E1029" s="50" t="n">
        <v>1</v>
      </c>
      <c r="F1029" s="50" t="s">
        <v>2167</v>
      </c>
      <c r="G1029" s="54" t="n">
        <v>471500</v>
      </c>
    </row>
    <row r="1030" customFormat="false" ht="15" hidden="false" customHeight="false" outlineLevel="0" collapsed="false">
      <c r="A1030" s="50" t="s">
        <v>548</v>
      </c>
      <c r="B1030" s="51" t="n">
        <v>45720</v>
      </c>
      <c r="C1030" s="50" t="s">
        <v>213</v>
      </c>
      <c r="D1030" s="50" t="s">
        <v>2169</v>
      </c>
      <c r="E1030" s="50" t="n">
        <v>7</v>
      </c>
      <c r="F1030" s="50" t="s">
        <v>2167</v>
      </c>
      <c r="G1030" s="54" t="n">
        <v>4167800</v>
      </c>
    </row>
    <row r="1031" customFormat="false" ht="15" hidden="false" customHeight="false" outlineLevel="0" collapsed="false">
      <c r="A1031" s="50" t="s">
        <v>548</v>
      </c>
      <c r="B1031" s="51" t="n">
        <v>45720</v>
      </c>
      <c r="C1031" s="50" t="s">
        <v>213</v>
      </c>
      <c r="D1031" s="50" t="s">
        <v>2180</v>
      </c>
      <c r="E1031" s="50" t="n">
        <v>3</v>
      </c>
      <c r="F1031" s="50" t="s">
        <v>2167</v>
      </c>
      <c r="G1031" s="54" t="n">
        <v>1378300</v>
      </c>
    </row>
    <row r="1032" customFormat="false" ht="15" hidden="false" customHeight="false" outlineLevel="0" collapsed="false">
      <c r="A1032" s="50" t="s">
        <v>548</v>
      </c>
      <c r="B1032" s="51" t="n">
        <v>45720</v>
      </c>
      <c r="C1032" s="50" t="s">
        <v>213</v>
      </c>
      <c r="D1032" s="50" t="s">
        <v>2184</v>
      </c>
      <c r="E1032" s="50" t="n">
        <v>1</v>
      </c>
      <c r="F1032" s="50" t="s">
        <v>2167</v>
      </c>
      <c r="G1032" s="54" t="n">
        <v>562300</v>
      </c>
    </row>
    <row r="1033" customFormat="false" ht="15" hidden="false" customHeight="false" outlineLevel="0" collapsed="false">
      <c r="A1033" s="50" t="s">
        <v>549</v>
      </c>
      <c r="B1033" s="51" t="n">
        <v>45720</v>
      </c>
      <c r="C1033" s="50" t="s">
        <v>205</v>
      </c>
      <c r="D1033" s="50" t="s">
        <v>2166</v>
      </c>
      <c r="E1033" s="50" t="n">
        <v>7</v>
      </c>
      <c r="F1033" s="50" t="s">
        <v>2167</v>
      </c>
      <c r="G1033" s="54" t="n">
        <v>3902500</v>
      </c>
    </row>
    <row r="1034" customFormat="false" ht="15" hidden="false" customHeight="false" outlineLevel="0" collapsed="false">
      <c r="A1034" s="50" t="s">
        <v>549</v>
      </c>
      <c r="B1034" s="51" t="n">
        <v>45720</v>
      </c>
      <c r="C1034" s="50" t="s">
        <v>205</v>
      </c>
      <c r="D1034" s="50" t="s">
        <v>2168</v>
      </c>
      <c r="E1034" s="50" t="n">
        <v>2</v>
      </c>
      <c r="F1034" s="50" t="s">
        <v>2167</v>
      </c>
      <c r="G1034" s="54" t="n">
        <v>831800</v>
      </c>
    </row>
    <row r="1035" customFormat="false" ht="15" hidden="false" customHeight="false" outlineLevel="0" collapsed="false">
      <c r="A1035" s="50" t="s">
        <v>549</v>
      </c>
      <c r="B1035" s="51" t="n">
        <v>45720</v>
      </c>
      <c r="C1035" s="50" t="s">
        <v>205</v>
      </c>
      <c r="D1035" s="50" t="s">
        <v>2186</v>
      </c>
      <c r="E1035" s="50" t="n">
        <v>8</v>
      </c>
      <c r="F1035" s="50" t="s">
        <v>2167</v>
      </c>
      <c r="G1035" s="54" t="n">
        <v>4765900</v>
      </c>
    </row>
    <row r="1036" customFormat="false" ht="15" hidden="false" customHeight="false" outlineLevel="0" collapsed="false">
      <c r="A1036" s="50" t="s">
        <v>549</v>
      </c>
      <c r="B1036" s="51" t="n">
        <v>45720</v>
      </c>
      <c r="C1036" s="50" t="s">
        <v>205</v>
      </c>
      <c r="D1036" s="50" t="s">
        <v>2184</v>
      </c>
      <c r="E1036" s="50" t="n">
        <v>1</v>
      </c>
      <c r="F1036" s="50" t="s">
        <v>2167</v>
      </c>
      <c r="G1036" s="54" t="n">
        <v>549400</v>
      </c>
    </row>
    <row r="1037" customFormat="false" ht="15" hidden="false" customHeight="false" outlineLevel="0" collapsed="false">
      <c r="A1037" s="50" t="s">
        <v>549</v>
      </c>
      <c r="B1037" s="51" t="n">
        <v>45720</v>
      </c>
      <c r="C1037" s="50" t="s">
        <v>205</v>
      </c>
      <c r="D1037" s="50" t="s">
        <v>2176</v>
      </c>
      <c r="E1037" s="50" t="n">
        <v>6</v>
      </c>
      <c r="F1037" s="50" t="s">
        <v>2167</v>
      </c>
      <c r="G1037" s="54" t="n">
        <v>2523600</v>
      </c>
    </row>
    <row r="1038" customFormat="false" ht="15" hidden="false" customHeight="false" outlineLevel="0" collapsed="false">
      <c r="A1038" s="50" t="s">
        <v>549</v>
      </c>
      <c r="B1038" s="51" t="n">
        <v>45720</v>
      </c>
      <c r="C1038" s="50" t="s">
        <v>205</v>
      </c>
      <c r="D1038" s="50" t="s">
        <v>2181</v>
      </c>
      <c r="E1038" s="50" t="n">
        <v>7</v>
      </c>
      <c r="F1038" s="50" t="s">
        <v>2167</v>
      </c>
      <c r="G1038" s="54" t="n">
        <v>7898900</v>
      </c>
    </row>
    <row r="1039" customFormat="false" ht="15" hidden="false" customHeight="false" outlineLevel="0" collapsed="false">
      <c r="A1039" s="50" t="s">
        <v>549</v>
      </c>
      <c r="B1039" s="51" t="n">
        <v>45720</v>
      </c>
      <c r="C1039" s="50" t="s">
        <v>205</v>
      </c>
      <c r="D1039" s="50" t="s">
        <v>2173</v>
      </c>
      <c r="E1039" s="50" t="n">
        <v>5</v>
      </c>
      <c r="F1039" s="50" t="s">
        <v>2174</v>
      </c>
      <c r="G1039" s="54" t="n">
        <v>3975100</v>
      </c>
    </row>
    <row r="1040" customFormat="false" ht="15" hidden="false" customHeight="false" outlineLevel="0" collapsed="false">
      <c r="A1040" s="50" t="s">
        <v>550</v>
      </c>
      <c r="B1040" s="51" t="n">
        <v>45720</v>
      </c>
      <c r="C1040" s="50" t="s">
        <v>298</v>
      </c>
      <c r="D1040" s="50" t="s">
        <v>2175</v>
      </c>
      <c r="E1040" s="50" t="n">
        <v>2</v>
      </c>
      <c r="F1040" s="50" t="s">
        <v>2167</v>
      </c>
      <c r="G1040" s="54" t="n">
        <v>1301100</v>
      </c>
    </row>
    <row r="1041" customFormat="false" ht="15" hidden="false" customHeight="false" outlineLevel="0" collapsed="false">
      <c r="A1041" s="50" t="s">
        <v>550</v>
      </c>
      <c r="B1041" s="51" t="n">
        <v>45720</v>
      </c>
      <c r="C1041" s="50" t="s">
        <v>298</v>
      </c>
      <c r="D1041" s="50" t="s">
        <v>2178</v>
      </c>
      <c r="E1041" s="50" t="n">
        <v>3</v>
      </c>
      <c r="F1041" s="50" t="s">
        <v>2167</v>
      </c>
      <c r="G1041" s="54" t="n">
        <v>1408900</v>
      </c>
    </row>
    <row r="1042" customFormat="false" ht="15" hidden="false" customHeight="false" outlineLevel="0" collapsed="false">
      <c r="A1042" s="50" t="s">
        <v>550</v>
      </c>
      <c r="B1042" s="51" t="n">
        <v>45720</v>
      </c>
      <c r="C1042" s="50" t="s">
        <v>298</v>
      </c>
      <c r="D1042" s="50" t="s">
        <v>2185</v>
      </c>
      <c r="E1042" s="50" t="n">
        <v>8</v>
      </c>
      <c r="F1042" s="50" t="s">
        <v>2174</v>
      </c>
      <c r="G1042" s="54" t="n">
        <v>6260200</v>
      </c>
    </row>
    <row r="1043" customFormat="false" ht="15" hidden="false" customHeight="false" outlineLevel="0" collapsed="false">
      <c r="A1043" s="50" t="s">
        <v>550</v>
      </c>
      <c r="B1043" s="51" t="n">
        <v>45720</v>
      </c>
      <c r="C1043" s="50" t="s">
        <v>298</v>
      </c>
      <c r="D1043" s="50" t="s">
        <v>2186</v>
      </c>
      <c r="E1043" s="50" t="n">
        <v>3</v>
      </c>
      <c r="F1043" s="50" t="s">
        <v>2167</v>
      </c>
      <c r="G1043" s="54" t="n">
        <v>1808500</v>
      </c>
    </row>
    <row r="1044" customFormat="false" ht="15" hidden="false" customHeight="false" outlineLevel="0" collapsed="false">
      <c r="A1044" s="50" t="s">
        <v>550</v>
      </c>
      <c r="B1044" s="51" t="n">
        <v>45720</v>
      </c>
      <c r="C1044" s="50" t="s">
        <v>298</v>
      </c>
      <c r="D1044" s="50" t="s">
        <v>2168</v>
      </c>
      <c r="E1044" s="50" t="n">
        <v>4</v>
      </c>
      <c r="F1044" s="50" t="s">
        <v>2167</v>
      </c>
      <c r="G1044" s="54" t="n">
        <v>1678200</v>
      </c>
    </row>
    <row r="1045" customFormat="false" ht="15" hidden="false" customHeight="false" outlineLevel="0" collapsed="false">
      <c r="A1045" s="50" t="s">
        <v>550</v>
      </c>
      <c r="B1045" s="51" t="n">
        <v>45720</v>
      </c>
      <c r="C1045" s="50" t="s">
        <v>298</v>
      </c>
      <c r="D1045" s="50" t="s">
        <v>2188</v>
      </c>
      <c r="E1045" s="50" t="n">
        <v>6</v>
      </c>
      <c r="F1045" s="50" t="s">
        <v>2167</v>
      </c>
      <c r="G1045" s="54" t="n">
        <v>6073100</v>
      </c>
    </row>
    <row r="1046" customFormat="false" ht="15" hidden="false" customHeight="false" outlineLevel="0" collapsed="false">
      <c r="A1046" s="50" t="s">
        <v>550</v>
      </c>
      <c r="B1046" s="51" t="n">
        <v>45720</v>
      </c>
      <c r="C1046" s="50" t="s">
        <v>298</v>
      </c>
      <c r="D1046" s="50" t="s">
        <v>2181</v>
      </c>
      <c r="E1046" s="50" t="n">
        <v>1</v>
      </c>
      <c r="F1046" s="50" t="s">
        <v>2167</v>
      </c>
      <c r="G1046" s="54" t="n">
        <v>1117100</v>
      </c>
    </row>
    <row r="1047" customFormat="false" ht="15" hidden="false" customHeight="false" outlineLevel="0" collapsed="false">
      <c r="A1047" s="50" t="s">
        <v>551</v>
      </c>
      <c r="B1047" s="51" t="n">
        <v>45720</v>
      </c>
      <c r="C1047" s="50" t="s">
        <v>188</v>
      </c>
      <c r="D1047" s="50" t="s">
        <v>2173</v>
      </c>
      <c r="E1047" s="50" t="n">
        <v>4</v>
      </c>
      <c r="F1047" s="50" t="s">
        <v>2174</v>
      </c>
      <c r="G1047" s="54" t="n">
        <v>3186500</v>
      </c>
    </row>
    <row r="1048" customFormat="false" ht="15" hidden="false" customHeight="false" outlineLevel="0" collapsed="false">
      <c r="A1048" s="50" t="s">
        <v>552</v>
      </c>
      <c r="B1048" s="51" t="n">
        <v>45720</v>
      </c>
      <c r="C1048" s="50" t="s">
        <v>199</v>
      </c>
      <c r="D1048" s="50" t="s">
        <v>2183</v>
      </c>
      <c r="E1048" s="50" t="n">
        <v>7</v>
      </c>
      <c r="F1048" s="50" t="s">
        <v>2167</v>
      </c>
      <c r="G1048" s="54" t="n">
        <v>2747300</v>
      </c>
    </row>
    <row r="1049" customFormat="false" ht="15" hidden="false" customHeight="false" outlineLevel="0" collapsed="false">
      <c r="A1049" s="50" t="s">
        <v>552</v>
      </c>
      <c r="B1049" s="51" t="n">
        <v>45720</v>
      </c>
      <c r="C1049" s="50" t="s">
        <v>199</v>
      </c>
      <c r="D1049" s="50" t="s">
        <v>2188</v>
      </c>
      <c r="E1049" s="50" t="n">
        <v>5</v>
      </c>
      <c r="F1049" s="50" t="s">
        <v>2167</v>
      </c>
      <c r="G1049" s="54" t="n">
        <v>5013000</v>
      </c>
    </row>
    <row r="1050" customFormat="false" ht="15" hidden="false" customHeight="false" outlineLevel="0" collapsed="false">
      <c r="A1050" s="50" t="s">
        <v>552</v>
      </c>
      <c r="B1050" s="51" t="n">
        <v>45720</v>
      </c>
      <c r="C1050" s="50" t="s">
        <v>199</v>
      </c>
      <c r="D1050" s="50" t="s">
        <v>2178</v>
      </c>
      <c r="E1050" s="50" t="n">
        <v>1</v>
      </c>
      <c r="F1050" s="50" t="s">
        <v>2167</v>
      </c>
      <c r="G1050" s="54" t="n">
        <v>478400</v>
      </c>
    </row>
    <row r="1051" customFormat="false" ht="15" hidden="false" customHeight="false" outlineLevel="0" collapsed="false">
      <c r="A1051" s="50" t="s">
        <v>552</v>
      </c>
      <c r="B1051" s="51" t="n">
        <v>45720</v>
      </c>
      <c r="C1051" s="50" t="s">
        <v>199</v>
      </c>
      <c r="D1051" s="50" t="s">
        <v>2169</v>
      </c>
      <c r="E1051" s="50" t="n">
        <v>8</v>
      </c>
      <c r="F1051" s="50" t="s">
        <v>2167</v>
      </c>
      <c r="G1051" s="54" t="n">
        <v>5079300</v>
      </c>
    </row>
    <row r="1052" customFormat="false" ht="15" hidden="false" customHeight="false" outlineLevel="0" collapsed="false">
      <c r="A1052" s="50" t="s">
        <v>553</v>
      </c>
      <c r="B1052" s="51" t="n">
        <v>45720</v>
      </c>
      <c r="C1052" s="50" t="s">
        <v>430</v>
      </c>
      <c r="D1052" s="50" t="s">
        <v>2176</v>
      </c>
      <c r="E1052" s="50" t="n">
        <v>7</v>
      </c>
      <c r="F1052" s="50" t="s">
        <v>2167</v>
      </c>
      <c r="G1052" s="54" t="n">
        <v>2843100</v>
      </c>
    </row>
    <row r="1053" customFormat="false" ht="15" hidden="false" customHeight="false" outlineLevel="0" collapsed="false">
      <c r="A1053" s="50" t="s">
        <v>553</v>
      </c>
      <c r="B1053" s="51" t="n">
        <v>45720</v>
      </c>
      <c r="C1053" s="50" t="s">
        <v>430</v>
      </c>
      <c r="D1053" s="50" t="s">
        <v>2179</v>
      </c>
      <c r="E1053" s="50" t="n">
        <v>8</v>
      </c>
      <c r="F1053" s="50" t="s">
        <v>2174</v>
      </c>
      <c r="G1053" s="54" t="n">
        <v>10265400</v>
      </c>
    </row>
    <row r="1054" customFormat="false" ht="15" hidden="false" customHeight="false" outlineLevel="0" collapsed="false">
      <c r="A1054" s="50" t="s">
        <v>553</v>
      </c>
      <c r="B1054" s="51" t="n">
        <v>45720</v>
      </c>
      <c r="C1054" s="50" t="s">
        <v>430</v>
      </c>
      <c r="D1054" s="50" t="s">
        <v>2173</v>
      </c>
      <c r="E1054" s="50" t="n">
        <v>1</v>
      </c>
      <c r="F1054" s="50" t="s">
        <v>2174</v>
      </c>
      <c r="G1054" s="54" t="n">
        <v>825300</v>
      </c>
    </row>
    <row r="1055" customFormat="false" ht="15" hidden="false" customHeight="false" outlineLevel="0" collapsed="false">
      <c r="A1055" s="50" t="s">
        <v>553</v>
      </c>
      <c r="B1055" s="51" t="n">
        <v>45720</v>
      </c>
      <c r="C1055" s="50" t="s">
        <v>430</v>
      </c>
      <c r="D1055" s="50" t="s">
        <v>2170</v>
      </c>
      <c r="E1055" s="50" t="n">
        <v>2</v>
      </c>
      <c r="F1055" s="50" t="s">
        <v>2171</v>
      </c>
      <c r="G1055" s="54" t="n">
        <v>14729400</v>
      </c>
    </row>
    <row r="1056" customFormat="false" ht="15" hidden="false" customHeight="false" outlineLevel="0" collapsed="false">
      <c r="A1056" s="50" t="s">
        <v>554</v>
      </c>
      <c r="B1056" s="51" t="n">
        <v>45720</v>
      </c>
      <c r="C1056" s="50" t="s">
        <v>174</v>
      </c>
      <c r="D1056" s="50" t="s">
        <v>2172</v>
      </c>
      <c r="E1056" s="50" t="n">
        <v>3</v>
      </c>
      <c r="F1056" s="50" t="s">
        <v>2167</v>
      </c>
      <c r="G1056" s="54" t="n">
        <v>1535600</v>
      </c>
    </row>
    <row r="1057" customFormat="false" ht="15" hidden="false" customHeight="false" outlineLevel="0" collapsed="false">
      <c r="A1057" s="50" t="s">
        <v>554</v>
      </c>
      <c r="B1057" s="51" t="n">
        <v>45720</v>
      </c>
      <c r="C1057" s="50" t="s">
        <v>174</v>
      </c>
      <c r="D1057" s="50" t="s">
        <v>2173</v>
      </c>
      <c r="E1057" s="50" t="n">
        <v>8</v>
      </c>
      <c r="F1057" s="50" t="s">
        <v>2174</v>
      </c>
      <c r="G1057" s="54" t="n">
        <v>6202000</v>
      </c>
    </row>
    <row r="1058" customFormat="false" ht="15" hidden="false" customHeight="false" outlineLevel="0" collapsed="false">
      <c r="A1058" s="50" t="s">
        <v>555</v>
      </c>
      <c r="B1058" s="51" t="n">
        <v>45721</v>
      </c>
      <c r="C1058" s="50" t="s">
        <v>284</v>
      </c>
      <c r="D1058" s="50" t="s">
        <v>2186</v>
      </c>
      <c r="E1058" s="50" t="n">
        <v>7</v>
      </c>
      <c r="F1058" s="50" t="s">
        <v>2167</v>
      </c>
      <c r="G1058" s="54" t="n">
        <v>4101000</v>
      </c>
    </row>
    <row r="1059" customFormat="false" ht="15" hidden="false" customHeight="false" outlineLevel="0" collapsed="false">
      <c r="A1059" s="50" t="s">
        <v>555</v>
      </c>
      <c r="B1059" s="51" t="n">
        <v>45721</v>
      </c>
      <c r="C1059" s="50" t="s">
        <v>284</v>
      </c>
      <c r="D1059" s="50" t="s">
        <v>2170</v>
      </c>
      <c r="E1059" s="50" t="n">
        <v>1</v>
      </c>
      <c r="F1059" s="50" t="s">
        <v>2171</v>
      </c>
      <c r="G1059" s="54" t="n">
        <v>7469200</v>
      </c>
    </row>
    <row r="1060" customFormat="false" ht="15" hidden="false" customHeight="false" outlineLevel="0" collapsed="false">
      <c r="A1060" s="50" t="s">
        <v>555</v>
      </c>
      <c r="B1060" s="51" t="n">
        <v>45721</v>
      </c>
      <c r="C1060" s="50" t="s">
        <v>284</v>
      </c>
      <c r="D1060" s="50" t="s">
        <v>2173</v>
      </c>
      <c r="E1060" s="50" t="n">
        <v>3</v>
      </c>
      <c r="F1060" s="50" t="s">
        <v>2174</v>
      </c>
      <c r="G1060" s="54" t="n">
        <v>2305300</v>
      </c>
    </row>
    <row r="1061" customFormat="false" ht="15" hidden="false" customHeight="false" outlineLevel="0" collapsed="false">
      <c r="A1061" s="50" t="s">
        <v>556</v>
      </c>
      <c r="B1061" s="51" t="n">
        <v>45721</v>
      </c>
      <c r="C1061" s="50" t="s">
        <v>166</v>
      </c>
      <c r="D1061" s="50" t="s">
        <v>2175</v>
      </c>
      <c r="E1061" s="50" t="n">
        <v>8</v>
      </c>
      <c r="F1061" s="50" t="s">
        <v>2167</v>
      </c>
      <c r="G1061" s="54" t="n">
        <v>5267800</v>
      </c>
    </row>
    <row r="1062" customFormat="false" ht="15" hidden="false" customHeight="false" outlineLevel="0" collapsed="false">
      <c r="A1062" s="50" t="s">
        <v>556</v>
      </c>
      <c r="B1062" s="51" t="n">
        <v>45721</v>
      </c>
      <c r="C1062" s="50" t="s">
        <v>166</v>
      </c>
      <c r="D1062" s="50" t="s">
        <v>2172</v>
      </c>
      <c r="E1062" s="50" t="n">
        <v>4</v>
      </c>
      <c r="F1062" s="50" t="s">
        <v>2167</v>
      </c>
      <c r="G1062" s="54" t="n">
        <v>2056600</v>
      </c>
    </row>
    <row r="1063" customFormat="false" ht="15" hidden="false" customHeight="false" outlineLevel="0" collapsed="false">
      <c r="A1063" s="50" t="s">
        <v>556</v>
      </c>
      <c r="B1063" s="51" t="n">
        <v>45721</v>
      </c>
      <c r="C1063" s="50" t="s">
        <v>166</v>
      </c>
      <c r="D1063" s="50" t="s">
        <v>2168</v>
      </c>
      <c r="E1063" s="50" t="n">
        <v>2</v>
      </c>
      <c r="F1063" s="50" t="s">
        <v>2167</v>
      </c>
      <c r="G1063" s="54" t="n">
        <v>867600</v>
      </c>
    </row>
    <row r="1064" customFormat="false" ht="15" hidden="false" customHeight="false" outlineLevel="0" collapsed="false">
      <c r="A1064" s="50" t="s">
        <v>557</v>
      </c>
      <c r="B1064" s="51" t="n">
        <v>45722</v>
      </c>
      <c r="C1064" s="50" t="s">
        <v>199</v>
      </c>
      <c r="D1064" s="50" t="s">
        <v>2172</v>
      </c>
      <c r="E1064" s="50" t="n">
        <v>6</v>
      </c>
      <c r="F1064" s="50" t="s">
        <v>2167</v>
      </c>
      <c r="G1064" s="54" t="n">
        <v>3038900</v>
      </c>
    </row>
    <row r="1065" customFormat="false" ht="15" hidden="false" customHeight="false" outlineLevel="0" collapsed="false">
      <c r="A1065" s="50" t="s">
        <v>557</v>
      </c>
      <c r="B1065" s="51" t="n">
        <v>45722</v>
      </c>
      <c r="C1065" s="50" t="s">
        <v>199</v>
      </c>
      <c r="D1065" s="50" t="s">
        <v>2166</v>
      </c>
      <c r="E1065" s="50" t="n">
        <v>2</v>
      </c>
      <c r="F1065" s="50" t="s">
        <v>2167</v>
      </c>
      <c r="G1065" s="54" t="n">
        <v>1038100</v>
      </c>
    </row>
    <row r="1066" customFormat="false" ht="15" hidden="false" customHeight="false" outlineLevel="0" collapsed="false">
      <c r="A1066" s="50" t="s">
        <v>557</v>
      </c>
      <c r="B1066" s="51" t="n">
        <v>45722</v>
      </c>
      <c r="C1066" s="50" t="s">
        <v>199</v>
      </c>
      <c r="D1066" s="50" t="s">
        <v>2180</v>
      </c>
      <c r="E1066" s="50" t="n">
        <v>1</v>
      </c>
      <c r="F1066" s="50" t="s">
        <v>2167</v>
      </c>
      <c r="G1066" s="54" t="n">
        <v>436300</v>
      </c>
    </row>
    <row r="1067" customFormat="false" ht="15" hidden="false" customHeight="false" outlineLevel="0" collapsed="false">
      <c r="A1067" s="50" t="s">
        <v>557</v>
      </c>
      <c r="B1067" s="51" t="n">
        <v>45722</v>
      </c>
      <c r="C1067" s="50" t="s">
        <v>199</v>
      </c>
      <c r="D1067" s="50" t="s">
        <v>2186</v>
      </c>
      <c r="E1067" s="50" t="n">
        <v>7</v>
      </c>
      <c r="F1067" s="50" t="s">
        <v>2167</v>
      </c>
      <c r="G1067" s="54" t="n">
        <v>3986400</v>
      </c>
    </row>
    <row r="1068" customFormat="false" ht="15" hidden="false" customHeight="false" outlineLevel="0" collapsed="false">
      <c r="A1068" s="50" t="s">
        <v>557</v>
      </c>
      <c r="B1068" s="51" t="n">
        <v>45722</v>
      </c>
      <c r="C1068" s="50" t="s">
        <v>199</v>
      </c>
      <c r="D1068" s="50" t="s">
        <v>2168</v>
      </c>
      <c r="E1068" s="50" t="n">
        <v>5</v>
      </c>
      <c r="F1068" s="50" t="s">
        <v>2167</v>
      </c>
      <c r="G1068" s="54" t="n">
        <v>2065700</v>
      </c>
    </row>
    <row r="1069" customFormat="false" ht="15" hidden="false" customHeight="false" outlineLevel="0" collapsed="false">
      <c r="A1069" s="50" t="s">
        <v>557</v>
      </c>
      <c r="B1069" s="51" t="n">
        <v>45722</v>
      </c>
      <c r="C1069" s="50" t="s">
        <v>199</v>
      </c>
      <c r="D1069" s="50" t="s">
        <v>2185</v>
      </c>
      <c r="E1069" s="50" t="n">
        <v>3</v>
      </c>
      <c r="F1069" s="50" t="s">
        <v>2174</v>
      </c>
      <c r="G1069" s="54" t="n">
        <v>2298300</v>
      </c>
    </row>
    <row r="1070" customFormat="false" ht="15" hidden="false" customHeight="false" outlineLevel="0" collapsed="false">
      <c r="A1070" s="50" t="s">
        <v>558</v>
      </c>
      <c r="B1070" s="51" t="n">
        <v>45723</v>
      </c>
      <c r="C1070" s="50" t="s">
        <v>416</v>
      </c>
      <c r="D1070" s="50" t="s">
        <v>2168</v>
      </c>
      <c r="E1070" s="50" t="n">
        <v>8</v>
      </c>
      <c r="F1070" s="50" t="s">
        <v>2167</v>
      </c>
      <c r="G1070" s="54" t="n">
        <v>3556500</v>
      </c>
    </row>
    <row r="1071" customFormat="false" ht="15" hidden="false" customHeight="false" outlineLevel="0" collapsed="false">
      <c r="A1071" s="50" t="s">
        <v>558</v>
      </c>
      <c r="B1071" s="51" t="n">
        <v>45723</v>
      </c>
      <c r="C1071" s="50" t="s">
        <v>416</v>
      </c>
      <c r="D1071" s="50" t="s">
        <v>2179</v>
      </c>
      <c r="E1071" s="50" t="n">
        <v>8</v>
      </c>
      <c r="F1071" s="50" t="s">
        <v>2174</v>
      </c>
      <c r="G1071" s="54" t="n">
        <v>9863300</v>
      </c>
    </row>
    <row r="1072" customFormat="false" ht="15" hidden="false" customHeight="false" outlineLevel="0" collapsed="false">
      <c r="A1072" s="50" t="s">
        <v>558</v>
      </c>
      <c r="B1072" s="51" t="n">
        <v>45723</v>
      </c>
      <c r="C1072" s="50" t="s">
        <v>416</v>
      </c>
      <c r="D1072" s="50" t="s">
        <v>2176</v>
      </c>
      <c r="E1072" s="50" t="n">
        <v>6</v>
      </c>
      <c r="F1072" s="50" t="s">
        <v>2167</v>
      </c>
      <c r="G1072" s="54" t="n">
        <v>2606200</v>
      </c>
    </row>
    <row r="1073" customFormat="false" ht="15" hidden="false" customHeight="false" outlineLevel="0" collapsed="false">
      <c r="A1073" s="50" t="s">
        <v>558</v>
      </c>
      <c r="B1073" s="51" t="n">
        <v>45723</v>
      </c>
      <c r="C1073" s="50" t="s">
        <v>416</v>
      </c>
      <c r="D1073" s="50" t="s">
        <v>2172</v>
      </c>
      <c r="E1073" s="50" t="n">
        <v>2</v>
      </c>
      <c r="F1073" s="50" t="s">
        <v>2167</v>
      </c>
      <c r="G1073" s="54" t="n">
        <v>1040500</v>
      </c>
    </row>
    <row r="1074" customFormat="false" ht="15" hidden="false" customHeight="false" outlineLevel="0" collapsed="false">
      <c r="A1074" s="50" t="s">
        <v>559</v>
      </c>
      <c r="B1074" s="51" t="n">
        <v>45723</v>
      </c>
      <c r="C1074" s="50" t="s">
        <v>560</v>
      </c>
      <c r="D1074" s="50" t="s">
        <v>2175</v>
      </c>
      <c r="E1074" s="50" t="n">
        <v>2</v>
      </c>
      <c r="F1074" s="50" t="s">
        <v>2167</v>
      </c>
      <c r="G1074" s="54" t="n">
        <v>1236000</v>
      </c>
    </row>
    <row r="1075" customFormat="false" ht="15" hidden="false" customHeight="false" outlineLevel="0" collapsed="false">
      <c r="A1075" s="50" t="s">
        <v>559</v>
      </c>
      <c r="B1075" s="51" t="n">
        <v>45723</v>
      </c>
      <c r="C1075" s="50" t="s">
        <v>560</v>
      </c>
      <c r="D1075" s="50" t="s">
        <v>2172</v>
      </c>
      <c r="E1075" s="50" t="n">
        <v>6</v>
      </c>
      <c r="F1075" s="50" t="s">
        <v>2167</v>
      </c>
      <c r="G1075" s="54" t="n">
        <v>3092800</v>
      </c>
    </row>
    <row r="1076" customFormat="false" ht="15" hidden="false" customHeight="false" outlineLevel="0" collapsed="false">
      <c r="A1076" s="50" t="s">
        <v>559</v>
      </c>
      <c r="B1076" s="51" t="n">
        <v>45723</v>
      </c>
      <c r="C1076" s="50" t="s">
        <v>560</v>
      </c>
      <c r="D1076" s="50" t="s">
        <v>2177</v>
      </c>
      <c r="E1076" s="50" t="n">
        <v>4</v>
      </c>
      <c r="F1076" s="50" t="s">
        <v>2174</v>
      </c>
      <c r="G1076" s="54" t="n">
        <v>4474900</v>
      </c>
    </row>
    <row r="1077" customFormat="false" ht="15" hidden="false" customHeight="false" outlineLevel="0" collapsed="false">
      <c r="A1077" s="50" t="s">
        <v>559</v>
      </c>
      <c r="B1077" s="51" t="n">
        <v>45723</v>
      </c>
      <c r="C1077" s="50" t="s">
        <v>560</v>
      </c>
      <c r="D1077" s="50" t="s">
        <v>2178</v>
      </c>
      <c r="E1077" s="50" t="n">
        <v>1</v>
      </c>
      <c r="F1077" s="50" t="s">
        <v>2167</v>
      </c>
      <c r="G1077" s="54" t="n">
        <v>487700</v>
      </c>
    </row>
    <row r="1078" customFormat="false" ht="15" hidden="false" customHeight="false" outlineLevel="0" collapsed="false">
      <c r="A1078" s="50" t="s">
        <v>559</v>
      </c>
      <c r="B1078" s="51" t="n">
        <v>45723</v>
      </c>
      <c r="C1078" s="50" t="s">
        <v>560</v>
      </c>
      <c r="D1078" s="50" t="s">
        <v>2169</v>
      </c>
      <c r="E1078" s="50" t="n">
        <v>8</v>
      </c>
      <c r="F1078" s="50" t="s">
        <v>2167</v>
      </c>
      <c r="G1078" s="54" t="n">
        <v>4917000</v>
      </c>
    </row>
    <row r="1079" customFormat="false" ht="15" hidden="false" customHeight="false" outlineLevel="0" collapsed="false">
      <c r="A1079" s="50" t="s">
        <v>559</v>
      </c>
      <c r="B1079" s="51" t="n">
        <v>45723</v>
      </c>
      <c r="C1079" s="50" t="s">
        <v>560</v>
      </c>
      <c r="D1079" s="50" t="s">
        <v>2180</v>
      </c>
      <c r="E1079" s="50" t="n">
        <v>1</v>
      </c>
      <c r="F1079" s="50" t="s">
        <v>2167</v>
      </c>
      <c r="G1079" s="54" t="n">
        <v>434500</v>
      </c>
    </row>
    <row r="1080" customFormat="false" ht="15" hidden="false" customHeight="false" outlineLevel="0" collapsed="false">
      <c r="A1080" s="50" t="s">
        <v>559</v>
      </c>
      <c r="B1080" s="51" t="n">
        <v>45723</v>
      </c>
      <c r="C1080" s="50" t="s">
        <v>560</v>
      </c>
      <c r="D1080" s="50" t="s">
        <v>2168</v>
      </c>
      <c r="E1080" s="50" t="n">
        <v>8</v>
      </c>
      <c r="F1080" s="50" t="s">
        <v>2167</v>
      </c>
      <c r="G1080" s="54" t="n">
        <v>3408900</v>
      </c>
    </row>
    <row r="1081" customFormat="false" ht="15" hidden="false" customHeight="false" outlineLevel="0" collapsed="false">
      <c r="A1081" s="50" t="s">
        <v>561</v>
      </c>
      <c r="B1081" s="51" t="n">
        <v>45723</v>
      </c>
      <c r="C1081" s="50" t="s">
        <v>562</v>
      </c>
      <c r="D1081" s="50" t="s">
        <v>2172</v>
      </c>
      <c r="E1081" s="50" t="n">
        <v>6</v>
      </c>
      <c r="F1081" s="50" t="s">
        <v>2167</v>
      </c>
      <c r="G1081" s="54" t="n">
        <v>3042800</v>
      </c>
    </row>
    <row r="1082" customFormat="false" ht="15" hidden="false" customHeight="false" outlineLevel="0" collapsed="false">
      <c r="A1082" s="50" t="s">
        <v>561</v>
      </c>
      <c r="B1082" s="51" t="n">
        <v>45723</v>
      </c>
      <c r="C1082" s="50" t="s">
        <v>562</v>
      </c>
      <c r="D1082" s="50" t="s">
        <v>2173</v>
      </c>
      <c r="E1082" s="50" t="n">
        <v>2</v>
      </c>
      <c r="F1082" s="50" t="s">
        <v>2174</v>
      </c>
      <c r="G1082" s="54" t="n">
        <v>1616500</v>
      </c>
    </row>
    <row r="1083" customFormat="false" ht="15" hidden="false" customHeight="false" outlineLevel="0" collapsed="false">
      <c r="A1083" s="50" t="s">
        <v>561</v>
      </c>
      <c r="B1083" s="51" t="n">
        <v>45723</v>
      </c>
      <c r="C1083" s="50" t="s">
        <v>562</v>
      </c>
      <c r="D1083" s="50" t="s">
        <v>2178</v>
      </c>
      <c r="E1083" s="50" t="n">
        <v>7</v>
      </c>
      <c r="F1083" s="50" t="s">
        <v>2167</v>
      </c>
      <c r="G1083" s="54" t="n">
        <v>3388100</v>
      </c>
    </row>
    <row r="1084" customFormat="false" ht="15" hidden="false" customHeight="false" outlineLevel="0" collapsed="false">
      <c r="A1084" s="50" t="s">
        <v>561</v>
      </c>
      <c r="B1084" s="51" t="n">
        <v>45723</v>
      </c>
      <c r="C1084" s="50" t="s">
        <v>562</v>
      </c>
      <c r="D1084" s="50" t="s">
        <v>2183</v>
      </c>
      <c r="E1084" s="50" t="n">
        <v>4</v>
      </c>
      <c r="F1084" s="50" t="s">
        <v>2167</v>
      </c>
      <c r="G1084" s="54" t="n">
        <v>1545200</v>
      </c>
    </row>
    <row r="1085" customFormat="false" ht="15" hidden="false" customHeight="false" outlineLevel="0" collapsed="false">
      <c r="A1085" s="50" t="s">
        <v>561</v>
      </c>
      <c r="B1085" s="51" t="n">
        <v>45723</v>
      </c>
      <c r="C1085" s="50" t="s">
        <v>562</v>
      </c>
      <c r="D1085" s="50" t="s">
        <v>2170</v>
      </c>
      <c r="E1085" s="50" t="n">
        <v>1</v>
      </c>
      <c r="F1085" s="50" t="s">
        <v>2171</v>
      </c>
      <c r="G1085" s="54" t="n">
        <v>7652500</v>
      </c>
    </row>
    <row r="1086" customFormat="false" ht="15" hidden="false" customHeight="false" outlineLevel="0" collapsed="false">
      <c r="A1086" s="50" t="s">
        <v>563</v>
      </c>
      <c r="B1086" s="51" t="n">
        <v>45723</v>
      </c>
      <c r="C1086" s="50" t="s">
        <v>188</v>
      </c>
      <c r="D1086" s="50" t="s">
        <v>2186</v>
      </c>
      <c r="E1086" s="50" t="n">
        <v>8</v>
      </c>
      <c r="F1086" s="50" t="s">
        <v>2167</v>
      </c>
      <c r="G1086" s="54" t="n">
        <v>4829900</v>
      </c>
    </row>
    <row r="1087" customFormat="false" ht="15" hidden="false" customHeight="false" outlineLevel="0" collapsed="false">
      <c r="A1087" s="50" t="s">
        <v>563</v>
      </c>
      <c r="B1087" s="51" t="n">
        <v>45723</v>
      </c>
      <c r="C1087" s="50" t="s">
        <v>188</v>
      </c>
      <c r="D1087" s="50" t="s">
        <v>2181</v>
      </c>
      <c r="E1087" s="50" t="n">
        <v>8</v>
      </c>
      <c r="F1087" s="50" t="s">
        <v>2167</v>
      </c>
      <c r="G1087" s="54" t="n">
        <v>9560300</v>
      </c>
    </row>
    <row r="1088" customFormat="false" ht="15" hidden="false" customHeight="false" outlineLevel="0" collapsed="false">
      <c r="A1088" s="50" t="s">
        <v>564</v>
      </c>
      <c r="B1088" s="51" t="n">
        <v>45723</v>
      </c>
      <c r="C1088" s="50" t="s">
        <v>174</v>
      </c>
      <c r="D1088" s="50" t="s">
        <v>2178</v>
      </c>
      <c r="E1088" s="50" t="n">
        <v>2</v>
      </c>
      <c r="F1088" s="50" t="s">
        <v>2167</v>
      </c>
      <c r="G1088" s="54" t="n">
        <v>967500</v>
      </c>
    </row>
    <row r="1089" customFormat="false" ht="15" hidden="false" customHeight="false" outlineLevel="0" collapsed="false">
      <c r="A1089" s="50" t="s">
        <v>564</v>
      </c>
      <c r="B1089" s="51" t="n">
        <v>45723</v>
      </c>
      <c r="C1089" s="50" t="s">
        <v>174</v>
      </c>
      <c r="D1089" s="50" t="s">
        <v>2168</v>
      </c>
      <c r="E1089" s="50" t="n">
        <v>6</v>
      </c>
      <c r="F1089" s="50" t="s">
        <v>2167</v>
      </c>
      <c r="G1089" s="54" t="n">
        <v>2505500</v>
      </c>
    </row>
    <row r="1090" customFormat="false" ht="15" hidden="false" customHeight="false" outlineLevel="0" collapsed="false">
      <c r="A1090" s="50" t="s">
        <v>564</v>
      </c>
      <c r="B1090" s="51" t="n">
        <v>45723</v>
      </c>
      <c r="C1090" s="50" t="s">
        <v>174</v>
      </c>
      <c r="D1090" s="50" t="s">
        <v>2176</v>
      </c>
      <c r="E1090" s="50" t="n">
        <v>6</v>
      </c>
      <c r="F1090" s="50" t="s">
        <v>2167</v>
      </c>
      <c r="G1090" s="54" t="n">
        <v>2544200</v>
      </c>
    </row>
    <row r="1091" customFormat="false" ht="15" hidden="false" customHeight="false" outlineLevel="0" collapsed="false">
      <c r="A1091" s="50" t="s">
        <v>564</v>
      </c>
      <c r="B1091" s="51" t="n">
        <v>45723</v>
      </c>
      <c r="C1091" s="50" t="s">
        <v>174</v>
      </c>
      <c r="D1091" s="50" t="s">
        <v>2179</v>
      </c>
      <c r="E1091" s="50" t="n">
        <v>6</v>
      </c>
      <c r="F1091" s="50" t="s">
        <v>2174</v>
      </c>
      <c r="G1091" s="54" t="n">
        <v>7342700</v>
      </c>
    </row>
    <row r="1092" customFormat="false" ht="15" hidden="false" customHeight="false" outlineLevel="0" collapsed="false">
      <c r="A1092" s="50" t="s">
        <v>565</v>
      </c>
      <c r="B1092" s="51" t="n">
        <v>45723</v>
      </c>
      <c r="C1092" s="50" t="s">
        <v>566</v>
      </c>
      <c r="D1092" s="50" t="s">
        <v>2169</v>
      </c>
      <c r="E1092" s="50" t="n">
        <v>5</v>
      </c>
      <c r="F1092" s="50" t="s">
        <v>2167</v>
      </c>
      <c r="G1092" s="54" t="n">
        <v>3199500</v>
      </c>
    </row>
    <row r="1093" customFormat="false" ht="15" hidden="false" customHeight="false" outlineLevel="0" collapsed="false">
      <c r="A1093" s="50" t="s">
        <v>565</v>
      </c>
      <c r="B1093" s="51" t="n">
        <v>45723</v>
      </c>
      <c r="C1093" s="50" t="s">
        <v>566</v>
      </c>
      <c r="D1093" s="50" t="s">
        <v>2175</v>
      </c>
      <c r="E1093" s="50" t="n">
        <v>1</v>
      </c>
      <c r="F1093" s="50" t="s">
        <v>2167</v>
      </c>
      <c r="G1093" s="54" t="n">
        <v>644300</v>
      </c>
    </row>
    <row r="1094" customFormat="false" ht="15" hidden="false" customHeight="false" outlineLevel="0" collapsed="false">
      <c r="A1094" s="50" t="s">
        <v>565</v>
      </c>
      <c r="B1094" s="51" t="n">
        <v>45723</v>
      </c>
      <c r="C1094" s="50" t="s">
        <v>566</v>
      </c>
      <c r="D1094" s="50" t="s">
        <v>2177</v>
      </c>
      <c r="E1094" s="50" t="n">
        <v>6</v>
      </c>
      <c r="F1094" s="50" t="s">
        <v>2174</v>
      </c>
      <c r="G1094" s="54" t="n">
        <v>6668200</v>
      </c>
    </row>
    <row r="1095" customFormat="false" ht="15" hidden="false" customHeight="false" outlineLevel="0" collapsed="false">
      <c r="A1095" s="50" t="s">
        <v>567</v>
      </c>
      <c r="B1095" s="51" t="n">
        <v>45723</v>
      </c>
      <c r="C1095" s="50" t="s">
        <v>211</v>
      </c>
      <c r="D1095" s="50" t="s">
        <v>2181</v>
      </c>
      <c r="E1095" s="50" t="n">
        <v>2</v>
      </c>
      <c r="F1095" s="50" t="s">
        <v>2167</v>
      </c>
      <c r="G1095" s="54" t="n">
        <v>2350400</v>
      </c>
    </row>
    <row r="1096" customFormat="false" ht="15" hidden="false" customHeight="false" outlineLevel="0" collapsed="false">
      <c r="A1096" s="50" t="s">
        <v>567</v>
      </c>
      <c r="B1096" s="51" t="n">
        <v>45723</v>
      </c>
      <c r="C1096" s="50" t="s">
        <v>211</v>
      </c>
      <c r="D1096" s="50" t="s">
        <v>2188</v>
      </c>
      <c r="E1096" s="50" t="n">
        <v>2</v>
      </c>
      <c r="F1096" s="50" t="s">
        <v>2167</v>
      </c>
      <c r="G1096" s="54" t="n">
        <v>2029000</v>
      </c>
    </row>
    <row r="1097" customFormat="false" ht="15" hidden="false" customHeight="false" outlineLevel="0" collapsed="false">
      <c r="A1097" s="50" t="s">
        <v>568</v>
      </c>
      <c r="B1097" s="51" t="n">
        <v>45723</v>
      </c>
      <c r="C1097" s="50" t="s">
        <v>358</v>
      </c>
      <c r="D1097" s="50" t="s">
        <v>2168</v>
      </c>
      <c r="E1097" s="50" t="n">
        <v>2</v>
      </c>
      <c r="F1097" s="50" t="s">
        <v>2167</v>
      </c>
      <c r="G1097" s="54" t="n">
        <v>875500</v>
      </c>
    </row>
    <row r="1098" customFormat="false" ht="15" hidden="false" customHeight="false" outlineLevel="0" collapsed="false">
      <c r="A1098" s="50" t="s">
        <v>568</v>
      </c>
      <c r="B1098" s="51" t="n">
        <v>45723</v>
      </c>
      <c r="C1098" s="50" t="s">
        <v>358</v>
      </c>
      <c r="D1098" s="50" t="s">
        <v>2182</v>
      </c>
      <c r="E1098" s="50" t="n">
        <v>3</v>
      </c>
      <c r="F1098" s="50" t="s">
        <v>2174</v>
      </c>
      <c r="G1098" s="54" t="n">
        <v>2790900</v>
      </c>
    </row>
    <row r="1099" customFormat="false" ht="15" hidden="false" customHeight="false" outlineLevel="0" collapsed="false">
      <c r="A1099" s="50" t="s">
        <v>568</v>
      </c>
      <c r="B1099" s="51" t="n">
        <v>45723</v>
      </c>
      <c r="C1099" s="50" t="s">
        <v>358</v>
      </c>
      <c r="D1099" s="50" t="s">
        <v>2183</v>
      </c>
      <c r="E1099" s="50" t="n">
        <v>6</v>
      </c>
      <c r="F1099" s="50" t="s">
        <v>2167</v>
      </c>
      <c r="G1099" s="54" t="n">
        <v>2297900</v>
      </c>
    </row>
    <row r="1100" customFormat="false" ht="15" hidden="false" customHeight="false" outlineLevel="0" collapsed="false">
      <c r="A1100" s="50" t="s">
        <v>568</v>
      </c>
      <c r="B1100" s="51" t="n">
        <v>45723</v>
      </c>
      <c r="C1100" s="50" t="s">
        <v>358</v>
      </c>
      <c r="D1100" s="50" t="s">
        <v>2181</v>
      </c>
      <c r="E1100" s="50" t="n">
        <v>2</v>
      </c>
      <c r="F1100" s="50" t="s">
        <v>2167</v>
      </c>
      <c r="G1100" s="54" t="n">
        <v>2382700</v>
      </c>
    </row>
    <row r="1101" customFormat="false" ht="15" hidden="false" customHeight="false" outlineLevel="0" collapsed="false">
      <c r="A1101" s="50" t="s">
        <v>569</v>
      </c>
      <c r="B1101" s="51" t="n">
        <v>45723</v>
      </c>
      <c r="C1101" s="50" t="s">
        <v>243</v>
      </c>
      <c r="D1101" s="50" t="s">
        <v>2185</v>
      </c>
      <c r="E1101" s="50" t="n">
        <v>7</v>
      </c>
      <c r="F1101" s="50" t="s">
        <v>2174</v>
      </c>
      <c r="G1101" s="54" t="n">
        <v>5423100</v>
      </c>
    </row>
    <row r="1102" customFormat="false" ht="15" hidden="false" customHeight="false" outlineLevel="0" collapsed="false">
      <c r="A1102" s="50" t="s">
        <v>569</v>
      </c>
      <c r="B1102" s="51" t="n">
        <v>45723</v>
      </c>
      <c r="C1102" s="50" t="s">
        <v>243</v>
      </c>
      <c r="D1102" s="50" t="s">
        <v>2173</v>
      </c>
      <c r="E1102" s="50" t="n">
        <v>1</v>
      </c>
      <c r="F1102" s="50" t="s">
        <v>2174</v>
      </c>
      <c r="G1102" s="54" t="n">
        <v>776600</v>
      </c>
    </row>
    <row r="1103" customFormat="false" ht="15" hidden="false" customHeight="false" outlineLevel="0" collapsed="false">
      <c r="A1103" s="50" t="s">
        <v>570</v>
      </c>
      <c r="B1103" s="51" t="n">
        <v>45723</v>
      </c>
      <c r="C1103" s="50" t="s">
        <v>571</v>
      </c>
      <c r="D1103" s="50" t="s">
        <v>2173</v>
      </c>
      <c r="E1103" s="50" t="n">
        <v>4</v>
      </c>
      <c r="F1103" s="50" t="s">
        <v>2174</v>
      </c>
      <c r="G1103" s="54" t="n">
        <v>3132400</v>
      </c>
    </row>
    <row r="1104" customFormat="false" ht="15" hidden="false" customHeight="false" outlineLevel="0" collapsed="false">
      <c r="A1104" s="50" t="s">
        <v>570</v>
      </c>
      <c r="B1104" s="51" t="n">
        <v>45723</v>
      </c>
      <c r="C1104" s="50" t="s">
        <v>571</v>
      </c>
      <c r="D1104" s="50" t="s">
        <v>2188</v>
      </c>
      <c r="E1104" s="50" t="n">
        <v>7</v>
      </c>
      <c r="F1104" s="50" t="s">
        <v>2167</v>
      </c>
      <c r="G1104" s="54" t="n">
        <v>6659200</v>
      </c>
    </row>
    <row r="1105" customFormat="false" ht="15" hidden="false" customHeight="false" outlineLevel="0" collapsed="false">
      <c r="A1105" s="50" t="s">
        <v>570</v>
      </c>
      <c r="B1105" s="51" t="n">
        <v>45723</v>
      </c>
      <c r="C1105" s="50" t="s">
        <v>571</v>
      </c>
      <c r="D1105" s="50" t="s">
        <v>2184</v>
      </c>
      <c r="E1105" s="50" t="n">
        <v>1</v>
      </c>
      <c r="F1105" s="50" t="s">
        <v>2167</v>
      </c>
      <c r="G1105" s="54" t="n">
        <v>574900</v>
      </c>
    </row>
    <row r="1106" customFormat="false" ht="15" hidden="false" customHeight="false" outlineLevel="0" collapsed="false">
      <c r="A1106" s="50" t="s">
        <v>570</v>
      </c>
      <c r="B1106" s="51" t="n">
        <v>45723</v>
      </c>
      <c r="C1106" s="50" t="s">
        <v>571</v>
      </c>
      <c r="D1106" s="50" t="s">
        <v>2186</v>
      </c>
      <c r="E1106" s="50" t="n">
        <v>8</v>
      </c>
      <c r="F1106" s="50" t="s">
        <v>2167</v>
      </c>
      <c r="G1106" s="54" t="n">
        <v>4701300</v>
      </c>
    </row>
    <row r="1107" customFormat="false" ht="15" hidden="false" customHeight="false" outlineLevel="0" collapsed="false">
      <c r="A1107" s="50" t="s">
        <v>570</v>
      </c>
      <c r="B1107" s="51" t="n">
        <v>45723</v>
      </c>
      <c r="C1107" s="50" t="s">
        <v>571</v>
      </c>
      <c r="D1107" s="50" t="s">
        <v>2172</v>
      </c>
      <c r="E1107" s="50" t="n">
        <v>7</v>
      </c>
      <c r="F1107" s="50" t="s">
        <v>2167</v>
      </c>
      <c r="G1107" s="54" t="n">
        <v>3520600</v>
      </c>
    </row>
    <row r="1108" customFormat="false" ht="15" hidden="false" customHeight="false" outlineLevel="0" collapsed="false">
      <c r="A1108" s="50" t="s">
        <v>572</v>
      </c>
      <c r="B1108" s="51" t="n">
        <v>45724</v>
      </c>
      <c r="C1108" s="50" t="s">
        <v>527</v>
      </c>
      <c r="D1108" s="50" t="s">
        <v>2169</v>
      </c>
      <c r="E1108" s="50" t="n">
        <v>5</v>
      </c>
      <c r="F1108" s="50" t="s">
        <v>2167</v>
      </c>
      <c r="G1108" s="54" t="n">
        <v>3057300</v>
      </c>
    </row>
    <row r="1109" customFormat="false" ht="15" hidden="false" customHeight="false" outlineLevel="0" collapsed="false">
      <c r="A1109" s="50" t="s">
        <v>572</v>
      </c>
      <c r="B1109" s="51" t="n">
        <v>45724</v>
      </c>
      <c r="C1109" s="50" t="s">
        <v>527</v>
      </c>
      <c r="D1109" s="50" t="s">
        <v>2175</v>
      </c>
      <c r="E1109" s="50" t="n">
        <v>1</v>
      </c>
      <c r="F1109" s="50" t="s">
        <v>2167</v>
      </c>
      <c r="G1109" s="54" t="n">
        <v>635300</v>
      </c>
    </row>
    <row r="1110" customFormat="false" ht="15" hidden="false" customHeight="false" outlineLevel="0" collapsed="false">
      <c r="A1110" s="50" t="s">
        <v>572</v>
      </c>
      <c r="B1110" s="51" t="n">
        <v>45724</v>
      </c>
      <c r="C1110" s="50" t="s">
        <v>527</v>
      </c>
      <c r="D1110" s="50" t="s">
        <v>2183</v>
      </c>
      <c r="E1110" s="50" t="n">
        <v>5</v>
      </c>
      <c r="F1110" s="50" t="s">
        <v>2167</v>
      </c>
      <c r="G1110" s="54" t="n">
        <v>1973500</v>
      </c>
    </row>
    <row r="1111" customFormat="false" ht="15" hidden="false" customHeight="false" outlineLevel="0" collapsed="false">
      <c r="A1111" s="50" t="s">
        <v>572</v>
      </c>
      <c r="B1111" s="51" t="n">
        <v>45724</v>
      </c>
      <c r="C1111" s="50" t="s">
        <v>527</v>
      </c>
      <c r="D1111" s="50" t="s">
        <v>2172</v>
      </c>
      <c r="E1111" s="50" t="n">
        <v>5</v>
      </c>
      <c r="F1111" s="50" t="s">
        <v>2167</v>
      </c>
      <c r="G1111" s="54" t="n">
        <v>2499200</v>
      </c>
    </row>
    <row r="1112" customFormat="false" ht="15" hidden="false" customHeight="false" outlineLevel="0" collapsed="false">
      <c r="A1112" s="50" t="s">
        <v>573</v>
      </c>
      <c r="B1112" s="51" t="n">
        <v>45724</v>
      </c>
      <c r="C1112" s="50" t="s">
        <v>574</v>
      </c>
      <c r="D1112" s="50" t="s">
        <v>2181</v>
      </c>
      <c r="E1112" s="50" t="n">
        <v>8</v>
      </c>
      <c r="F1112" s="50" t="s">
        <v>2167</v>
      </c>
      <c r="G1112" s="54" t="n">
        <v>9142800</v>
      </c>
    </row>
    <row r="1113" customFormat="false" ht="15" hidden="false" customHeight="false" outlineLevel="0" collapsed="false">
      <c r="A1113" s="50" t="s">
        <v>573</v>
      </c>
      <c r="B1113" s="51" t="n">
        <v>45724</v>
      </c>
      <c r="C1113" s="50" t="s">
        <v>574</v>
      </c>
      <c r="D1113" s="50" t="s">
        <v>2177</v>
      </c>
      <c r="E1113" s="50" t="n">
        <v>5</v>
      </c>
      <c r="F1113" s="50" t="s">
        <v>2174</v>
      </c>
      <c r="G1113" s="54" t="n">
        <v>5562300</v>
      </c>
    </row>
    <row r="1114" customFormat="false" ht="15" hidden="false" customHeight="false" outlineLevel="0" collapsed="false">
      <c r="A1114" s="50" t="s">
        <v>573</v>
      </c>
      <c r="B1114" s="51" t="n">
        <v>45724</v>
      </c>
      <c r="C1114" s="50" t="s">
        <v>574</v>
      </c>
      <c r="D1114" s="50" t="s">
        <v>2188</v>
      </c>
      <c r="E1114" s="50" t="n">
        <v>4</v>
      </c>
      <c r="F1114" s="50" t="s">
        <v>2167</v>
      </c>
      <c r="G1114" s="54" t="n">
        <v>3844600</v>
      </c>
    </row>
    <row r="1115" customFormat="false" ht="15" hidden="false" customHeight="false" outlineLevel="0" collapsed="false">
      <c r="A1115" s="50" t="s">
        <v>573</v>
      </c>
      <c r="B1115" s="51" t="n">
        <v>45724</v>
      </c>
      <c r="C1115" s="50" t="s">
        <v>574</v>
      </c>
      <c r="D1115" s="50" t="s">
        <v>2169</v>
      </c>
      <c r="E1115" s="50" t="n">
        <v>4</v>
      </c>
      <c r="F1115" s="50" t="s">
        <v>2167</v>
      </c>
      <c r="G1115" s="54" t="n">
        <v>2556900</v>
      </c>
    </row>
    <row r="1116" customFormat="false" ht="15" hidden="false" customHeight="false" outlineLevel="0" collapsed="false">
      <c r="A1116" s="50" t="s">
        <v>573</v>
      </c>
      <c r="B1116" s="51" t="n">
        <v>45724</v>
      </c>
      <c r="C1116" s="50" t="s">
        <v>574</v>
      </c>
      <c r="D1116" s="50" t="s">
        <v>2182</v>
      </c>
      <c r="E1116" s="50" t="n">
        <v>2</v>
      </c>
      <c r="F1116" s="50" t="s">
        <v>2174</v>
      </c>
      <c r="G1116" s="54" t="n">
        <v>1922100</v>
      </c>
    </row>
    <row r="1117" customFormat="false" ht="15" hidden="false" customHeight="false" outlineLevel="0" collapsed="false">
      <c r="A1117" s="50" t="s">
        <v>575</v>
      </c>
      <c r="B1117" s="51" t="n">
        <v>45724</v>
      </c>
      <c r="C1117" s="50" t="s">
        <v>193</v>
      </c>
      <c r="D1117" s="50" t="s">
        <v>2186</v>
      </c>
      <c r="E1117" s="50" t="n">
        <v>2</v>
      </c>
      <c r="F1117" s="50" t="s">
        <v>2167</v>
      </c>
      <c r="G1117" s="54" t="n">
        <v>1139400</v>
      </c>
    </row>
    <row r="1118" customFormat="false" ht="15" hidden="false" customHeight="false" outlineLevel="0" collapsed="false">
      <c r="A1118" s="50" t="s">
        <v>575</v>
      </c>
      <c r="B1118" s="51" t="n">
        <v>45724</v>
      </c>
      <c r="C1118" s="50" t="s">
        <v>193</v>
      </c>
      <c r="D1118" s="50" t="s">
        <v>2168</v>
      </c>
      <c r="E1118" s="50" t="n">
        <v>2</v>
      </c>
      <c r="F1118" s="50" t="s">
        <v>2167</v>
      </c>
      <c r="G1118" s="54" t="n">
        <v>835700</v>
      </c>
    </row>
    <row r="1119" customFormat="false" ht="15" hidden="false" customHeight="false" outlineLevel="0" collapsed="false">
      <c r="A1119" s="50" t="s">
        <v>575</v>
      </c>
      <c r="B1119" s="51" t="n">
        <v>45724</v>
      </c>
      <c r="C1119" s="50" t="s">
        <v>193</v>
      </c>
      <c r="D1119" s="50" t="s">
        <v>2180</v>
      </c>
      <c r="E1119" s="50" t="n">
        <v>3</v>
      </c>
      <c r="F1119" s="50" t="s">
        <v>2167</v>
      </c>
      <c r="G1119" s="54" t="n">
        <v>1296300</v>
      </c>
    </row>
    <row r="1120" customFormat="false" ht="15" hidden="false" customHeight="false" outlineLevel="0" collapsed="false">
      <c r="A1120" s="50" t="s">
        <v>576</v>
      </c>
      <c r="B1120" s="51" t="n">
        <v>45724</v>
      </c>
      <c r="C1120" s="50" t="s">
        <v>269</v>
      </c>
      <c r="D1120" s="50" t="s">
        <v>2184</v>
      </c>
      <c r="E1120" s="50" t="n">
        <v>2</v>
      </c>
      <c r="F1120" s="50" t="s">
        <v>2167</v>
      </c>
      <c r="G1120" s="54" t="n">
        <v>1122700</v>
      </c>
    </row>
    <row r="1121" customFormat="false" ht="15" hidden="false" customHeight="false" outlineLevel="0" collapsed="false">
      <c r="A1121" s="50" t="s">
        <v>576</v>
      </c>
      <c r="B1121" s="51" t="n">
        <v>45724</v>
      </c>
      <c r="C1121" s="50" t="s">
        <v>269</v>
      </c>
      <c r="D1121" s="50" t="s">
        <v>2180</v>
      </c>
      <c r="E1121" s="50" t="n">
        <v>3</v>
      </c>
      <c r="F1121" s="50" t="s">
        <v>2167</v>
      </c>
      <c r="G1121" s="54" t="n">
        <v>1308000</v>
      </c>
    </row>
    <row r="1122" customFormat="false" ht="15" hidden="false" customHeight="false" outlineLevel="0" collapsed="false">
      <c r="A1122" s="50" t="s">
        <v>576</v>
      </c>
      <c r="B1122" s="51" t="n">
        <v>45724</v>
      </c>
      <c r="C1122" s="50" t="s">
        <v>269</v>
      </c>
      <c r="D1122" s="50" t="s">
        <v>2169</v>
      </c>
      <c r="E1122" s="50" t="n">
        <v>4</v>
      </c>
      <c r="F1122" s="50" t="s">
        <v>2167</v>
      </c>
      <c r="G1122" s="54" t="n">
        <v>2488300</v>
      </c>
    </row>
    <row r="1123" customFormat="false" ht="15" hidden="false" customHeight="false" outlineLevel="0" collapsed="false">
      <c r="A1123" s="50" t="s">
        <v>577</v>
      </c>
      <c r="B1123" s="51" t="n">
        <v>45726</v>
      </c>
      <c r="C1123" s="50" t="s">
        <v>216</v>
      </c>
      <c r="D1123" s="50" t="s">
        <v>2168</v>
      </c>
      <c r="E1123" s="50" t="n">
        <v>8</v>
      </c>
      <c r="F1123" s="50" t="s">
        <v>2167</v>
      </c>
      <c r="G1123" s="54" t="n">
        <v>3364900</v>
      </c>
    </row>
    <row r="1124" customFormat="false" ht="15" hidden="false" customHeight="false" outlineLevel="0" collapsed="false">
      <c r="A1124" s="50" t="s">
        <v>577</v>
      </c>
      <c r="B1124" s="51" t="n">
        <v>45726</v>
      </c>
      <c r="C1124" s="50" t="s">
        <v>216</v>
      </c>
      <c r="D1124" s="50" t="s">
        <v>2183</v>
      </c>
      <c r="E1124" s="50" t="n">
        <v>2</v>
      </c>
      <c r="F1124" s="50" t="s">
        <v>2167</v>
      </c>
      <c r="G1124" s="54" t="n">
        <v>789100</v>
      </c>
    </row>
    <row r="1125" customFormat="false" ht="15" hidden="false" customHeight="false" outlineLevel="0" collapsed="false">
      <c r="A1125" s="50" t="s">
        <v>577</v>
      </c>
      <c r="B1125" s="51" t="n">
        <v>45726</v>
      </c>
      <c r="C1125" s="50" t="s">
        <v>216</v>
      </c>
      <c r="D1125" s="50" t="s">
        <v>2181</v>
      </c>
      <c r="E1125" s="50" t="n">
        <v>4</v>
      </c>
      <c r="F1125" s="50" t="s">
        <v>2167</v>
      </c>
      <c r="G1125" s="54" t="n">
        <v>4772600</v>
      </c>
    </row>
    <row r="1126" customFormat="false" ht="15" hidden="false" customHeight="false" outlineLevel="0" collapsed="false">
      <c r="A1126" s="50" t="s">
        <v>577</v>
      </c>
      <c r="B1126" s="51" t="n">
        <v>45726</v>
      </c>
      <c r="C1126" s="50" t="s">
        <v>216</v>
      </c>
      <c r="D1126" s="50" t="s">
        <v>2177</v>
      </c>
      <c r="E1126" s="50" t="n">
        <v>2</v>
      </c>
      <c r="F1126" s="50" t="s">
        <v>2174</v>
      </c>
      <c r="G1126" s="54" t="n">
        <v>2190700</v>
      </c>
    </row>
    <row r="1127" customFormat="false" ht="15" hidden="false" customHeight="false" outlineLevel="0" collapsed="false">
      <c r="A1127" s="50" t="s">
        <v>577</v>
      </c>
      <c r="B1127" s="51" t="n">
        <v>45726</v>
      </c>
      <c r="C1127" s="50" t="s">
        <v>216</v>
      </c>
      <c r="D1127" s="50" t="s">
        <v>2182</v>
      </c>
      <c r="E1127" s="50" t="n">
        <v>6</v>
      </c>
      <c r="F1127" s="50" t="s">
        <v>2174</v>
      </c>
      <c r="G1127" s="54" t="n">
        <v>5610300</v>
      </c>
    </row>
    <row r="1128" customFormat="false" ht="15" hidden="false" customHeight="false" outlineLevel="0" collapsed="false">
      <c r="A1128" s="50" t="s">
        <v>578</v>
      </c>
      <c r="B1128" s="51" t="n">
        <v>45726</v>
      </c>
      <c r="C1128" s="50" t="s">
        <v>211</v>
      </c>
      <c r="D1128" s="50" t="s">
        <v>2184</v>
      </c>
      <c r="E1128" s="50" t="n">
        <v>6</v>
      </c>
      <c r="F1128" s="50" t="s">
        <v>2167</v>
      </c>
      <c r="G1128" s="54" t="n">
        <v>3469300</v>
      </c>
    </row>
    <row r="1129" customFormat="false" ht="15" hidden="false" customHeight="false" outlineLevel="0" collapsed="false">
      <c r="A1129" s="50" t="s">
        <v>578</v>
      </c>
      <c r="B1129" s="51" t="n">
        <v>45726</v>
      </c>
      <c r="C1129" s="50" t="s">
        <v>211</v>
      </c>
      <c r="D1129" s="50" t="s">
        <v>2185</v>
      </c>
      <c r="E1129" s="50" t="n">
        <v>3</v>
      </c>
      <c r="F1129" s="50" t="s">
        <v>2174</v>
      </c>
      <c r="G1129" s="54" t="n">
        <v>2300900</v>
      </c>
    </row>
    <row r="1130" customFormat="false" ht="15" hidden="false" customHeight="false" outlineLevel="0" collapsed="false">
      <c r="A1130" s="50" t="s">
        <v>578</v>
      </c>
      <c r="B1130" s="51" t="n">
        <v>45726</v>
      </c>
      <c r="C1130" s="50" t="s">
        <v>211</v>
      </c>
      <c r="D1130" s="50" t="s">
        <v>2187</v>
      </c>
      <c r="E1130" s="50" t="n">
        <v>4</v>
      </c>
      <c r="F1130" s="50" t="s">
        <v>2167</v>
      </c>
      <c r="G1130" s="54" t="n">
        <v>1425900</v>
      </c>
    </row>
    <row r="1131" customFormat="false" ht="15" hidden="false" customHeight="false" outlineLevel="0" collapsed="false">
      <c r="A1131" s="50" t="s">
        <v>578</v>
      </c>
      <c r="B1131" s="51" t="n">
        <v>45726</v>
      </c>
      <c r="C1131" s="50" t="s">
        <v>211</v>
      </c>
      <c r="D1131" s="50" t="s">
        <v>2170</v>
      </c>
      <c r="E1131" s="50" t="n">
        <v>1</v>
      </c>
      <c r="F1131" s="50" t="s">
        <v>2171</v>
      </c>
      <c r="G1131" s="54" t="n">
        <v>7817600</v>
      </c>
    </row>
    <row r="1132" customFormat="false" ht="15" hidden="false" customHeight="false" outlineLevel="0" collapsed="false">
      <c r="A1132" s="50" t="s">
        <v>579</v>
      </c>
      <c r="B1132" s="51" t="n">
        <v>45726</v>
      </c>
      <c r="C1132" s="50" t="s">
        <v>234</v>
      </c>
      <c r="D1132" s="50" t="s">
        <v>2178</v>
      </c>
      <c r="E1132" s="50" t="n">
        <v>3</v>
      </c>
      <c r="F1132" s="50" t="s">
        <v>2167</v>
      </c>
      <c r="G1132" s="54" t="n">
        <v>1444200</v>
      </c>
    </row>
    <row r="1133" customFormat="false" ht="15" hidden="false" customHeight="false" outlineLevel="0" collapsed="false">
      <c r="A1133" s="50" t="s">
        <v>579</v>
      </c>
      <c r="B1133" s="51" t="n">
        <v>45726</v>
      </c>
      <c r="C1133" s="50" t="s">
        <v>234</v>
      </c>
      <c r="D1133" s="50" t="s">
        <v>2184</v>
      </c>
      <c r="E1133" s="50" t="n">
        <v>4</v>
      </c>
      <c r="F1133" s="50" t="s">
        <v>2167</v>
      </c>
      <c r="G1133" s="54" t="n">
        <v>2196700</v>
      </c>
    </row>
    <row r="1134" customFormat="false" ht="15" hidden="false" customHeight="false" outlineLevel="0" collapsed="false">
      <c r="A1134" s="50" t="s">
        <v>579</v>
      </c>
      <c r="B1134" s="51" t="n">
        <v>45726</v>
      </c>
      <c r="C1134" s="50" t="s">
        <v>234</v>
      </c>
      <c r="D1134" s="50" t="s">
        <v>2176</v>
      </c>
      <c r="E1134" s="50" t="n">
        <v>8</v>
      </c>
      <c r="F1134" s="50" t="s">
        <v>2167</v>
      </c>
      <c r="G1134" s="54" t="n">
        <v>3432800</v>
      </c>
    </row>
    <row r="1135" customFormat="false" ht="15" hidden="false" customHeight="false" outlineLevel="0" collapsed="false">
      <c r="A1135" s="50" t="s">
        <v>579</v>
      </c>
      <c r="B1135" s="51" t="n">
        <v>45726</v>
      </c>
      <c r="C1135" s="50" t="s">
        <v>234</v>
      </c>
      <c r="D1135" s="50" t="s">
        <v>2182</v>
      </c>
      <c r="E1135" s="50" t="n">
        <v>7</v>
      </c>
      <c r="F1135" s="50" t="s">
        <v>2174</v>
      </c>
      <c r="G1135" s="54" t="n">
        <v>6470100</v>
      </c>
    </row>
    <row r="1136" customFormat="false" ht="15" hidden="false" customHeight="false" outlineLevel="0" collapsed="false">
      <c r="A1136" s="50" t="s">
        <v>580</v>
      </c>
      <c r="B1136" s="51" t="n">
        <v>45726</v>
      </c>
      <c r="C1136" s="50" t="s">
        <v>228</v>
      </c>
      <c r="D1136" s="50" t="s">
        <v>2166</v>
      </c>
      <c r="E1136" s="50" t="n">
        <v>5</v>
      </c>
      <c r="F1136" s="50" t="s">
        <v>2167</v>
      </c>
      <c r="G1136" s="54" t="n">
        <v>2753100</v>
      </c>
    </row>
    <row r="1137" customFormat="false" ht="15" hidden="false" customHeight="false" outlineLevel="0" collapsed="false">
      <c r="A1137" s="50" t="s">
        <v>580</v>
      </c>
      <c r="B1137" s="51" t="n">
        <v>45726</v>
      </c>
      <c r="C1137" s="50" t="s">
        <v>228</v>
      </c>
      <c r="D1137" s="50" t="s">
        <v>2183</v>
      </c>
      <c r="E1137" s="50" t="n">
        <v>6</v>
      </c>
      <c r="F1137" s="50" t="s">
        <v>2167</v>
      </c>
      <c r="G1137" s="54" t="n">
        <v>2190400</v>
      </c>
    </row>
    <row r="1138" customFormat="false" ht="15" hidden="false" customHeight="false" outlineLevel="0" collapsed="false">
      <c r="A1138" s="50" t="s">
        <v>581</v>
      </c>
      <c r="B1138" s="51" t="n">
        <v>45726</v>
      </c>
      <c r="C1138" s="50" t="s">
        <v>298</v>
      </c>
      <c r="D1138" s="50" t="s">
        <v>2180</v>
      </c>
      <c r="E1138" s="50" t="n">
        <v>7</v>
      </c>
      <c r="F1138" s="50" t="s">
        <v>2167</v>
      </c>
      <c r="G1138" s="54" t="n">
        <v>3227700</v>
      </c>
    </row>
    <row r="1139" customFormat="false" ht="15" hidden="false" customHeight="false" outlineLevel="0" collapsed="false">
      <c r="A1139" s="50" t="s">
        <v>581</v>
      </c>
      <c r="B1139" s="51" t="n">
        <v>45726</v>
      </c>
      <c r="C1139" s="50" t="s">
        <v>298</v>
      </c>
      <c r="D1139" s="50" t="s">
        <v>2186</v>
      </c>
      <c r="E1139" s="50" t="n">
        <v>5</v>
      </c>
      <c r="F1139" s="50" t="s">
        <v>2167</v>
      </c>
      <c r="G1139" s="54" t="n">
        <v>3049500</v>
      </c>
    </row>
    <row r="1140" customFormat="false" ht="15" hidden="false" customHeight="false" outlineLevel="0" collapsed="false">
      <c r="A1140" s="50" t="s">
        <v>581</v>
      </c>
      <c r="B1140" s="51" t="n">
        <v>45726</v>
      </c>
      <c r="C1140" s="50" t="s">
        <v>298</v>
      </c>
      <c r="D1140" s="50" t="s">
        <v>2173</v>
      </c>
      <c r="E1140" s="50" t="n">
        <v>7</v>
      </c>
      <c r="F1140" s="50" t="s">
        <v>2174</v>
      </c>
      <c r="G1140" s="54" t="n">
        <v>5567200</v>
      </c>
    </row>
    <row r="1141" customFormat="false" ht="15" hidden="false" customHeight="false" outlineLevel="0" collapsed="false">
      <c r="A1141" s="50" t="s">
        <v>581</v>
      </c>
      <c r="B1141" s="51" t="n">
        <v>45726</v>
      </c>
      <c r="C1141" s="50" t="s">
        <v>298</v>
      </c>
      <c r="D1141" s="50" t="s">
        <v>2178</v>
      </c>
      <c r="E1141" s="50" t="n">
        <v>6</v>
      </c>
      <c r="F1141" s="50" t="s">
        <v>2167</v>
      </c>
      <c r="G1141" s="54" t="n">
        <v>2876100</v>
      </c>
    </row>
    <row r="1142" customFormat="false" ht="15" hidden="false" customHeight="false" outlineLevel="0" collapsed="false">
      <c r="A1142" s="50" t="s">
        <v>582</v>
      </c>
      <c r="B1142" s="51" t="n">
        <v>45727</v>
      </c>
      <c r="C1142" s="50" t="s">
        <v>213</v>
      </c>
      <c r="D1142" s="50" t="s">
        <v>2187</v>
      </c>
      <c r="E1142" s="50" t="n">
        <v>8</v>
      </c>
      <c r="F1142" s="50" t="s">
        <v>2167</v>
      </c>
      <c r="G1142" s="54" t="n">
        <v>2834800</v>
      </c>
    </row>
    <row r="1143" customFormat="false" ht="15" hidden="false" customHeight="false" outlineLevel="0" collapsed="false">
      <c r="A1143" s="50" t="s">
        <v>582</v>
      </c>
      <c r="B1143" s="51" t="n">
        <v>45727</v>
      </c>
      <c r="C1143" s="50" t="s">
        <v>213</v>
      </c>
      <c r="D1143" s="50" t="s">
        <v>2170</v>
      </c>
      <c r="E1143" s="50" t="n">
        <v>2</v>
      </c>
      <c r="F1143" s="50" t="s">
        <v>2171</v>
      </c>
      <c r="G1143" s="54" t="n">
        <v>14772900</v>
      </c>
    </row>
    <row r="1144" customFormat="false" ht="15" hidden="false" customHeight="false" outlineLevel="0" collapsed="false">
      <c r="A1144" s="50" t="s">
        <v>582</v>
      </c>
      <c r="B1144" s="51" t="n">
        <v>45727</v>
      </c>
      <c r="C1144" s="50" t="s">
        <v>213</v>
      </c>
      <c r="D1144" s="50" t="s">
        <v>2179</v>
      </c>
      <c r="E1144" s="50" t="n">
        <v>7</v>
      </c>
      <c r="F1144" s="50" t="s">
        <v>2174</v>
      </c>
      <c r="G1144" s="54" t="n">
        <v>8596300</v>
      </c>
    </row>
    <row r="1145" customFormat="false" ht="15" hidden="false" customHeight="false" outlineLevel="0" collapsed="false">
      <c r="A1145" s="50" t="s">
        <v>582</v>
      </c>
      <c r="B1145" s="51" t="n">
        <v>45727</v>
      </c>
      <c r="C1145" s="50" t="s">
        <v>213</v>
      </c>
      <c r="D1145" s="50" t="s">
        <v>2176</v>
      </c>
      <c r="E1145" s="50" t="n">
        <v>2</v>
      </c>
      <c r="F1145" s="50" t="s">
        <v>2167</v>
      </c>
      <c r="G1145" s="54" t="n">
        <v>868300</v>
      </c>
    </row>
    <row r="1146" customFormat="false" ht="15" hidden="false" customHeight="false" outlineLevel="0" collapsed="false">
      <c r="A1146" s="50" t="s">
        <v>583</v>
      </c>
      <c r="B1146" s="51" t="n">
        <v>45727</v>
      </c>
      <c r="C1146" s="50" t="s">
        <v>403</v>
      </c>
      <c r="D1146" s="50" t="s">
        <v>2169</v>
      </c>
      <c r="E1146" s="50" t="n">
        <v>6</v>
      </c>
      <c r="F1146" s="50" t="s">
        <v>2167</v>
      </c>
      <c r="G1146" s="54" t="n">
        <v>3687000</v>
      </c>
    </row>
    <row r="1147" customFormat="false" ht="15" hidden="false" customHeight="false" outlineLevel="0" collapsed="false">
      <c r="A1147" s="50" t="s">
        <v>583</v>
      </c>
      <c r="B1147" s="51" t="n">
        <v>45727</v>
      </c>
      <c r="C1147" s="50" t="s">
        <v>403</v>
      </c>
      <c r="D1147" s="50" t="s">
        <v>2177</v>
      </c>
      <c r="E1147" s="50" t="n">
        <v>5</v>
      </c>
      <c r="F1147" s="50" t="s">
        <v>2174</v>
      </c>
      <c r="G1147" s="54" t="n">
        <v>5360700</v>
      </c>
    </row>
    <row r="1148" customFormat="false" ht="15" hidden="false" customHeight="false" outlineLevel="0" collapsed="false">
      <c r="A1148" s="50" t="s">
        <v>583</v>
      </c>
      <c r="B1148" s="51" t="n">
        <v>45727</v>
      </c>
      <c r="C1148" s="50" t="s">
        <v>403</v>
      </c>
      <c r="D1148" s="50" t="s">
        <v>2179</v>
      </c>
      <c r="E1148" s="50" t="n">
        <v>6</v>
      </c>
      <c r="F1148" s="50" t="s">
        <v>2174</v>
      </c>
      <c r="G1148" s="54" t="n">
        <v>7375300</v>
      </c>
    </row>
    <row r="1149" customFormat="false" ht="15" hidden="false" customHeight="false" outlineLevel="0" collapsed="false">
      <c r="A1149" s="50" t="s">
        <v>584</v>
      </c>
      <c r="B1149" s="51" t="n">
        <v>45728</v>
      </c>
      <c r="C1149" s="50" t="s">
        <v>491</v>
      </c>
      <c r="D1149" s="50" t="s">
        <v>2183</v>
      </c>
      <c r="E1149" s="50" t="n">
        <v>2</v>
      </c>
      <c r="F1149" s="50" t="s">
        <v>2167</v>
      </c>
      <c r="G1149" s="54" t="n">
        <v>736500</v>
      </c>
    </row>
    <row r="1150" customFormat="false" ht="15" hidden="false" customHeight="false" outlineLevel="0" collapsed="false">
      <c r="A1150" s="50" t="s">
        <v>584</v>
      </c>
      <c r="B1150" s="51" t="n">
        <v>45728</v>
      </c>
      <c r="C1150" s="50" t="s">
        <v>491</v>
      </c>
      <c r="D1150" s="50" t="s">
        <v>2178</v>
      </c>
      <c r="E1150" s="50" t="n">
        <v>8</v>
      </c>
      <c r="F1150" s="50" t="s">
        <v>2167</v>
      </c>
      <c r="G1150" s="54" t="n">
        <v>3986100</v>
      </c>
    </row>
    <row r="1151" customFormat="false" ht="15" hidden="false" customHeight="false" outlineLevel="0" collapsed="false">
      <c r="A1151" s="50" t="s">
        <v>584</v>
      </c>
      <c r="B1151" s="51" t="n">
        <v>45728</v>
      </c>
      <c r="C1151" s="50" t="s">
        <v>491</v>
      </c>
      <c r="D1151" s="50" t="s">
        <v>2180</v>
      </c>
      <c r="E1151" s="50" t="n">
        <v>3</v>
      </c>
      <c r="F1151" s="50" t="s">
        <v>2167</v>
      </c>
      <c r="G1151" s="54" t="n">
        <v>1394100</v>
      </c>
    </row>
    <row r="1152" customFormat="false" ht="15" hidden="false" customHeight="false" outlineLevel="0" collapsed="false">
      <c r="A1152" s="50" t="s">
        <v>585</v>
      </c>
      <c r="B1152" s="51" t="n">
        <v>45728</v>
      </c>
      <c r="C1152" s="50" t="s">
        <v>243</v>
      </c>
      <c r="D1152" s="50" t="s">
        <v>2177</v>
      </c>
      <c r="E1152" s="50" t="n">
        <v>2</v>
      </c>
      <c r="F1152" s="50" t="s">
        <v>2174</v>
      </c>
      <c r="G1152" s="54" t="n">
        <v>2220800</v>
      </c>
    </row>
    <row r="1153" customFormat="false" ht="15" hidden="false" customHeight="false" outlineLevel="0" collapsed="false">
      <c r="A1153" s="50" t="s">
        <v>585</v>
      </c>
      <c r="B1153" s="51" t="n">
        <v>45728</v>
      </c>
      <c r="C1153" s="50" t="s">
        <v>243</v>
      </c>
      <c r="D1153" s="50" t="s">
        <v>2186</v>
      </c>
      <c r="E1153" s="50" t="n">
        <v>2</v>
      </c>
      <c r="F1153" s="50" t="s">
        <v>2167</v>
      </c>
      <c r="G1153" s="54" t="n">
        <v>1199800</v>
      </c>
    </row>
    <row r="1154" customFormat="false" ht="15" hidden="false" customHeight="false" outlineLevel="0" collapsed="false">
      <c r="A1154" s="50" t="s">
        <v>585</v>
      </c>
      <c r="B1154" s="51" t="n">
        <v>45728</v>
      </c>
      <c r="C1154" s="50" t="s">
        <v>243</v>
      </c>
      <c r="D1154" s="50" t="s">
        <v>2181</v>
      </c>
      <c r="E1154" s="50" t="n">
        <v>4</v>
      </c>
      <c r="F1154" s="50" t="s">
        <v>2167</v>
      </c>
      <c r="G1154" s="54" t="n">
        <v>4729800</v>
      </c>
    </row>
    <row r="1155" customFormat="false" ht="15" hidden="false" customHeight="false" outlineLevel="0" collapsed="false">
      <c r="A1155" s="50" t="s">
        <v>586</v>
      </c>
      <c r="B1155" s="51" t="n">
        <v>45728</v>
      </c>
      <c r="C1155" s="50" t="s">
        <v>574</v>
      </c>
      <c r="D1155" s="50" t="s">
        <v>2169</v>
      </c>
      <c r="E1155" s="50" t="n">
        <v>8</v>
      </c>
      <c r="F1155" s="50" t="s">
        <v>2167</v>
      </c>
      <c r="G1155" s="54" t="n">
        <v>5064800</v>
      </c>
    </row>
    <row r="1156" customFormat="false" ht="15" hidden="false" customHeight="false" outlineLevel="0" collapsed="false">
      <c r="A1156" s="50" t="s">
        <v>586</v>
      </c>
      <c r="B1156" s="51" t="n">
        <v>45728</v>
      </c>
      <c r="C1156" s="50" t="s">
        <v>574</v>
      </c>
      <c r="D1156" s="50" t="s">
        <v>2178</v>
      </c>
      <c r="E1156" s="50" t="n">
        <v>3</v>
      </c>
      <c r="F1156" s="50" t="s">
        <v>2167</v>
      </c>
      <c r="G1156" s="54" t="n">
        <v>1477500</v>
      </c>
    </row>
    <row r="1157" customFormat="false" ht="15" hidden="false" customHeight="false" outlineLevel="0" collapsed="false">
      <c r="A1157" s="50" t="s">
        <v>586</v>
      </c>
      <c r="B1157" s="51" t="n">
        <v>45728</v>
      </c>
      <c r="C1157" s="50" t="s">
        <v>574</v>
      </c>
      <c r="D1157" s="50" t="s">
        <v>2187</v>
      </c>
      <c r="E1157" s="50" t="n">
        <v>3</v>
      </c>
      <c r="F1157" s="50" t="s">
        <v>2167</v>
      </c>
      <c r="G1157" s="54" t="n">
        <v>1041300</v>
      </c>
    </row>
    <row r="1158" customFormat="false" ht="15" hidden="false" customHeight="false" outlineLevel="0" collapsed="false">
      <c r="A1158" s="50" t="s">
        <v>587</v>
      </c>
      <c r="B1158" s="51" t="n">
        <v>45728</v>
      </c>
      <c r="C1158" s="50" t="s">
        <v>166</v>
      </c>
      <c r="D1158" s="50" t="s">
        <v>2186</v>
      </c>
      <c r="E1158" s="50" t="n">
        <v>1</v>
      </c>
      <c r="F1158" s="50" t="s">
        <v>2167</v>
      </c>
      <c r="G1158" s="54" t="n">
        <v>588200</v>
      </c>
    </row>
    <row r="1159" customFormat="false" ht="15" hidden="false" customHeight="false" outlineLevel="0" collapsed="false">
      <c r="A1159" s="50" t="s">
        <v>587</v>
      </c>
      <c r="B1159" s="51" t="n">
        <v>45728</v>
      </c>
      <c r="C1159" s="50" t="s">
        <v>166</v>
      </c>
      <c r="D1159" s="50" t="s">
        <v>2182</v>
      </c>
      <c r="E1159" s="50" t="n">
        <v>2</v>
      </c>
      <c r="F1159" s="50" t="s">
        <v>2174</v>
      </c>
      <c r="G1159" s="54" t="n">
        <v>1833900</v>
      </c>
    </row>
    <row r="1160" customFormat="false" ht="15" hidden="false" customHeight="false" outlineLevel="0" collapsed="false">
      <c r="A1160" s="50" t="s">
        <v>588</v>
      </c>
      <c r="B1160" s="51" t="n">
        <v>45729</v>
      </c>
      <c r="C1160" s="50" t="s">
        <v>168</v>
      </c>
      <c r="D1160" s="50" t="s">
        <v>2175</v>
      </c>
      <c r="E1160" s="50" t="n">
        <v>3</v>
      </c>
      <c r="F1160" s="50" t="s">
        <v>2167</v>
      </c>
      <c r="G1160" s="54" t="n">
        <v>1867400</v>
      </c>
    </row>
    <row r="1161" customFormat="false" ht="15" hidden="false" customHeight="false" outlineLevel="0" collapsed="false">
      <c r="A1161" s="50" t="s">
        <v>588</v>
      </c>
      <c r="B1161" s="51" t="n">
        <v>45729</v>
      </c>
      <c r="C1161" s="50" t="s">
        <v>168</v>
      </c>
      <c r="D1161" s="50" t="s">
        <v>2178</v>
      </c>
      <c r="E1161" s="50" t="n">
        <v>4</v>
      </c>
      <c r="F1161" s="50" t="s">
        <v>2167</v>
      </c>
      <c r="G1161" s="54" t="n">
        <v>1951200</v>
      </c>
    </row>
    <row r="1162" customFormat="false" ht="15" hidden="false" customHeight="false" outlineLevel="0" collapsed="false">
      <c r="A1162" s="50" t="s">
        <v>588</v>
      </c>
      <c r="B1162" s="51" t="n">
        <v>45729</v>
      </c>
      <c r="C1162" s="50" t="s">
        <v>168</v>
      </c>
      <c r="D1162" s="50" t="s">
        <v>2176</v>
      </c>
      <c r="E1162" s="50" t="n">
        <v>2</v>
      </c>
      <c r="F1162" s="50" t="s">
        <v>2167</v>
      </c>
      <c r="G1162" s="54" t="n">
        <v>818200</v>
      </c>
    </row>
    <row r="1163" customFormat="false" ht="15" hidden="false" customHeight="false" outlineLevel="0" collapsed="false">
      <c r="A1163" s="50" t="s">
        <v>589</v>
      </c>
      <c r="B1163" s="51" t="n">
        <v>45729</v>
      </c>
      <c r="C1163" s="50" t="s">
        <v>590</v>
      </c>
      <c r="D1163" s="50" t="s">
        <v>2179</v>
      </c>
      <c r="E1163" s="50" t="n">
        <v>8</v>
      </c>
      <c r="F1163" s="50" t="s">
        <v>2174</v>
      </c>
      <c r="G1163" s="54" t="n">
        <v>9695900</v>
      </c>
    </row>
    <row r="1164" customFormat="false" ht="15" hidden="false" customHeight="false" outlineLevel="0" collapsed="false">
      <c r="A1164" s="50" t="s">
        <v>589</v>
      </c>
      <c r="B1164" s="51" t="n">
        <v>45729</v>
      </c>
      <c r="C1164" s="50" t="s">
        <v>590</v>
      </c>
      <c r="D1164" s="50" t="s">
        <v>2181</v>
      </c>
      <c r="E1164" s="50" t="n">
        <v>2</v>
      </c>
      <c r="F1164" s="50" t="s">
        <v>2167</v>
      </c>
      <c r="G1164" s="54" t="n">
        <v>2363400</v>
      </c>
    </row>
    <row r="1165" customFormat="false" ht="15" hidden="false" customHeight="false" outlineLevel="0" collapsed="false">
      <c r="A1165" s="50" t="s">
        <v>591</v>
      </c>
      <c r="B1165" s="51" t="n">
        <v>45729</v>
      </c>
      <c r="C1165" s="50" t="s">
        <v>166</v>
      </c>
      <c r="D1165" s="50" t="s">
        <v>2186</v>
      </c>
      <c r="E1165" s="50" t="n">
        <v>5</v>
      </c>
      <c r="F1165" s="50" t="s">
        <v>2167</v>
      </c>
      <c r="G1165" s="54" t="n">
        <v>3042000</v>
      </c>
    </row>
    <row r="1166" customFormat="false" ht="15" hidden="false" customHeight="false" outlineLevel="0" collapsed="false">
      <c r="A1166" s="50" t="s">
        <v>591</v>
      </c>
      <c r="B1166" s="51" t="n">
        <v>45729</v>
      </c>
      <c r="C1166" s="50" t="s">
        <v>166</v>
      </c>
      <c r="D1166" s="50" t="s">
        <v>2180</v>
      </c>
      <c r="E1166" s="50" t="n">
        <v>4</v>
      </c>
      <c r="F1166" s="50" t="s">
        <v>2167</v>
      </c>
      <c r="G1166" s="54" t="n">
        <v>1744100</v>
      </c>
    </row>
    <row r="1167" customFormat="false" ht="15" hidden="false" customHeight="false" outlineLevel="0" collapsed="false">
      <c r="A1167" s="50" t="s">
        <v>591</v>
      </c>
      <c r="B1167" s="51" t="n">
        <v>45729</v>
      </c>
      <c r="C1167" s="50" t="s">
        <v>166</v>
      </c>
      <c r="D1167" s="50" t="s">
        <v>2176</v>
      </c>
      <c r="E1167" s="50" t="n">
        <v>4</v>
      </c>
      <c r="F1167" s="50" t="s">
        <v>2167</v>
      </c>
      <c r="G1167" s="54" t="n">
        <v>1662300</v>
      </c>
    </row>
    <row r="1168" customFormat="false" ht="15" hidden="false" customHeight="false" outlineLevel="0" collapsed="false">
      <c r="A1168" s="50" t="s">
        <v>591</v>
      </c>
      <c r="B1168" s="51" t="n">
        <v>45729</v>
      </c>
      <c r="C1168" s="50" t="s">
        <v>166</v>
      </c>
      <c r="D1168" s="50" t="s">
        <v>2177</v>
      </c>
      <c r="E1168" s="50" t="n">
        <v>7</v>
      </c>
      <c r="F1168" s="50" t="s">
        <v>2174</v>
      </c>
      <c r="G1168" s="54" t="n">
        <v>7534400</v>
      </c>
    </row>
    <row r="1169" customFormat="false" ht="15" hidden="false" customHeight="false" outlineLevel="0" collapsed="false">
      <c r="A1169" s="50" t="s">
        <v>591</v>
      </c>
      <c r="B1169" s="51" t="n">
        <v>45729</v>
      </c>
      <c r="C1169" s="50" t="s">
        <v>166</v>
      </c>
      <c r="D1169" s="50" t="s">
        <v>2178</v>
      </c>
      <c r="E1169" s="50" t="n">
        <v>6</v>
      </c>
      <c r="F1169" s="50" t="s">
        <v>2167</v>
      </c>
      <c r="G1169" s="54" t="n">
        <v>2816200</v>
      </c>
    </row>
    <row r="1170" customFormat="false" ht="15" hidden="false" customHeight="false" outlineLevel="0" collapsed="false">
      <c r="A1170" s="50" t="s">
        <v>592</v>
      </c>
      <c r="B1170" s="51" t="n">
        <v>45729</v>
      </c>
      <c r="C1170" s="50" t="s">
        <v>166</v>
      </c>
      <c r="D1170" s="50" t="s">
        <v>2187</v>
      </c>
      <c r="E1170" s="50" t="n">
        <v>4</v>
      </c>
      <c r="F1170" s="50" t="s">
        <v>2167</v>
      </c>
      <c r="G1170" s="54" t="n">
        <v>1438700</v>
      </c>
    </row>
    <row r="1171" customFormat="false" ht="15" hidden="false" customHeight="false" outlineLevel="0" collapsed="false">
      <c r="A1171" s="50" t="s">
        <v>593</v>
      </c>
      <c r="B1171" s="51" t="n">
        <v>45729</v>
      </c>
      <c r="C1171" s="50" t="s">
        <v>197</v>
      </c>
      <c r="D1171" s="50" t="s">
        <v>2184</v>
      </c>
      <c r="E1171" s="50" t="n">
        <v>6</v>
      </c>
      <c r="F1171" s="50" t="s">
        <v>2167</v>
      </c>
      <c r="G1171" s="54" t="n">
        <v>3456700</v>
      </c>
    </row>
    <row r="1172" customFormat="false" ht="15" hidden="false" customHeight="false" outlineLevel="0" collapsed="false">
      <c r="A1172" s="50" t="s">
        <v>593</v>
      </c>
      <c r="B1172" s="51" t="n">
        <v>45729</v>
      </c>
      <c r="C1172" s="50" t="s">
        <v>197</v>
      </c>
      <c r="D1172" s="50" t="s">
        <v>2169</v>
      </c>
      <c r="E1172" s="50" t="n">
        <v>3</v>
      </c>
      <c r="F1172" s="50" t="s">
        <v>2167</v>
      </c>
      <c r="G1172" s="54" t="n">
        <v>1790500</v>
      </c>
    </row>
    <row r="1173" customFormat="false" ht="15" hidden="false" customHeight="false" outlineLevel="0" collapsed="false">
      <c r="A1173" s="50" t="s">
        <v>593</v>
      </c>
      <c r="B1173" s="51" t="n">
        <v>45729</v>
      </c>
      <c r="C1173" s="50" t="s">
        <v>197</v>
      </c>
      <c r="D1173" s="50" t="s">
        <v>2187</v>
      </c>
      <c r="E1173" s="50" t="n">
        <v>2</v>
      </c>
      <c r="F1173" s="50" t="s">
        <v>2167</v>
      </c>
      <c r="G1173" s="54" t="n">
        <v>705900</v>
      </c>
    </row>
    <row r="1174" customFormat="false" ht="15" hidden="false" customHeight="false" outlineLevel="0" collapsed="false">
      <c r="A1174" s="50" t="s">
        <v>594</v>
      </c>
      <c r="B1174" s="51" t="n">
        <v>45730</v>
      </c>
      <c r="C1174" s="50" t="s">
        <v>191</v>
      </c>
      <c r="D1174" s="50" t="s">
        <v>2172</v>
      </c>
      <c r="E1174" s="50" t="n">
        <v>5</v>
      </c>
      <c r="F1174" s="50" t="s">
        <v>2167</v>
      </c>
      <c r="G1174" s="54" t="n">
        <v>2653800</v>
      </c>
    </row>
    <row r="1175" customFormat="false" ht="15" hidden="false" customHeight="false" outlineLevel="0" collapsed="false">
      <c r="A1175" s="50" t="s">
        <v>594</v>
      </c>
      <c r="B1175" s="51" t="n">
        <v>45730</v>
      </c>
      <c r="C1175" s="50" t="s">
        <v>191</v>
      </c>
      <c r="D1175" s="50" t="s">
        <v>2182</v>
      </c>
      <c r="E1175" s="50" t="n">
        <v>7</v>
      </c>
      <c r="F1175" s="50" t="s">
        <v>2174</v>
      </c>
      <c r="G1175" s="54" t="n">
        <v>6447600</v>
      </c>
    </row>
    <row r="1176" customFormat="false" ht="15" hidden="false" customHeight="false" outlineLevel="0" collapsed="false">
      <c r="A1176" s="50" t="s">
        <v>594</v>
      </c>
      <c r="B1176" s="51" t="n">
        <v>45730</v>
      </c>
      <c r="C1176" s="50" t="s">
        <v>191</v>
      </c>
      <c r="D1176" s="50" t="s">
        <v>2179</v>
      </c>
      <c r="E1176" s="50" t="n">
        <v>6</v>
      </c>
      <c r="F1176" s="50" t="s">
        <v>2174</v>
      </c>
      <c r="G1176" s="54" t="n">
        <v>7403400</v>
      </c>
    </row>
    <row r="1177" customFormat="false" ht="15" hidden="false" customHeight="false" outlineLevel="0" collapsed="false">
      <c r="A1177" s="50" t="s">
        <v>595</v>
      </c>
      <c r="B1177" s="51" t="n">
        <v>45730</v>
      </c>
      <c r="C1177" s="50" t="s">
        <v>193</v>
      </c>
      <c r="D1177" s="50" t="s">
        <v>2184</v>
      </c>
      <c r="E1177" s="50" t="n">
        <v>5</v>
      </c>
      <c r="F1177" s="50" t="s">
        <v>2167</v>
      </c>
      <c r="G1177" s="54" t="n">
        <v>2854700</v>
      </c>
    </row>
    <row r="1178" customFormat="false" ht="15" hidden="false" customHeight="false" outlineLevel="0" collapsed="false">
      <c r="A1178" s="50" t="s">
        <v>595</v>
      </c>
      <c r="B1178" s="51" t="n">
        <v>45730</v>
      </c>
      <c r="C1178" s="50" t="s">
        <v>193</v>
      </c>
      <c r="D1178" s="50" t="s">
        <v>2187</v>
      </c>
      <c r="E1178" s="50" t="n">
        <v>8</v>
      </c>
      <c r="F1178" s="50" t="s">
        <v>2167</v>
      </c>
      <c r="G1178" s="54" t="n">
        <v>2728700</v>
      </c>
    </row>
    <row r="1179" customFormat="false" ht="15" hidden="false" customHeight="false" outlineLevel="0" collapsed="false">
      <c r="A1179" s="50" t="s">
        <v>596</v>
      </c>
      <c r="B1179" s="51" t="n">
        <v>45731</v>
      </c>
      <c r="C1179" s="50" t="s">
        <v>170</v>
      </c>
      <c r="D1179" s="50" t="s">
        <v>2170</v>
      </c>
      <c r="E1179" s="50" t="n">
        <v>2</v>
      </c>
      <c r="F1179" s="50" t="s">
        <v>2171</v>
      </c>
      <c r="G1179" s="54" t="n">
        <v>15582400</v>
      </c>
    </row>
    <row r="1180" customFormat="false" ht="15" hidden="false" customHeight="false" outlineLevel="0" collapsed="false">
      <c r="A1180" s="50" t="s">
        <v>596</v>
      </c>
      <c r="B1180" s="51" t="n">
        <v>45731</v>
      </c>
      <c r="C1180" s="50" t="s">
        <v>170</v>
      </c>
      <c r="D1180" s="50" t="s">
        <v>2185</v>
      </c>
      <c r="E1180" s="50" t="n">
        <v>2</v>
      </c>
      <c r="F1180" s="50" t="s">
        <v>2174</v>
      </c>
      <c r="G1180" s="54" t="n">
        <v>1575800</v>
      </c>
    </row>
    <row r="1181" customFormat="false" ht="15" hidden="false" customHeight="false" outlineLevel="0" collapsed="false">
      <c r="A1181" s="50" t="s">
        <v>596</v>
      </c>
      <c r="B1181" s="51" t="n">
        <v>45731</v>
      </c>
      <c r="C1181" s="50" t="s">
        <v>170</v>
      </c>
      <c r="D1181" s="50" t="s">
        <v>2168</v>
      </c>
      <c r="E1181" s="50" t="n">
        <v>6</v>
      </c>
      <c r="F1181" s="50" t="s">
        <v>2167</v>
      </c>
      <c r="G1181" s="54" t="n">
        <v>2515400</v>
      </c>
    </row>
    <row r="1182" customFormat="false" ht="15" hidden="false" customHeight="false" outlineLevel="0" collapsed="false">
      <c r="A1182" s="50" t="s">
        <v>597</v>
      </c>
      <c r="B1182" s="51" t="n">
        <v>45731</v>
      </c>
      <c r="C1182" s="50" t="s">
        <v>369</v>
      </c>
      <c r="D1182" s="50" t="s">
        <v>2169</v>
      </c>
      <c r="E1182" s="50" t="n">
        <v>5</v>
      </c>
      <c r="F1182" s="50" t="s">
        <v>2167</v>
      </c>
      <c r="G1182" s="54" t="n">
        <v>3087800</v>
      </c>
    </row>
    <row r="1183" customFormat="false" ht="15" hidden="false" customHeight="false" outlineLevel="0" collapsed="false">
      <c r="A1183" s="50" t="s">
        <v>597</v>
      </c>
      <c r="B1183" s="51" t="n">
        <v>45731</v>
      </c>
      <c r="C1183" s="50" t="s">
        <v>369</v>
      </c>
      <c r="D1183" s="50" t="s">
        <v>2180</v>
      </c>
      <c r="E1183" s="50" t="n">
        <v>3</v>
      </c>
      <c r="F1183" s="50" t="s">
        <v>2167</v>
      </c>
      <c r="G1183" s="54" t="n">
        <v>1384000</v>
      </c>
    </row>
    <row r="1184" customFormat="false" ht="15" hidden="false" customHeight="false" outlineLevel="0" collapsed="false">
      <c r="A1184" s="50" t="s">
        <v>597</v>
      </c>
      <c r="B1184" s="51" t="n">
        <v>45731</v>
      </c>
      <c r="C1184" s="50" t="s">
        <v>369</v>
      </c>
      <c r="D1184" s="50" t="s">
        <v>2166</v>
      </c>
      <c r="E1184" s="50" t="n">
        <v>8</v>
      </c>
      <c r="F1184" s="50" t="s">
        <v>2167</v>
      </c>
      <c r="G1184" s="54" t="n">
        <v>4447600</v>
      </c>
    </row>
    <row r="1185" customFormat="false" ht="15" hidden="false" customHeight="false" outlineLevel="0" collapsed="false">
      <c r="A1185" s="50" t="s">
        <v>598</v>
      </c>
      <c r="B1185" s="51" t="n">
        <v>45731</v>
      </c>
      <c r="C1185" s="50" t="s">
        <v>211</v>
      </c>
      <c r="D1185" s="50" t="s">
        <v>2177</v>
      </c>
      <c r="E1185" s="50" t="n">
        <v>1</v>
      </c>
      <c r="F1185" s="50" t="s">
        <v>2174</v>
      </c>
      <c r="G1185" s="54" t="n">
        <v>1065800</v>
      </c>
    </row>
    <row r="1186" customFormat="false" ht="15" hidden="false" customHeight="false" outlineLevel="0" collapsed="false">
      <c r="A1186" s="50" t="s">
        <v>598</v>
      </c>
      <c r="B1186" s="51" t="n">
        <v>45731</v>
      </c>
      <c r="C1186" s="50" t="s">
        <v>211</v>
      </c>
      <c r="D1186" s="50" t="s">
        <v>2176</v>
      </c>
      <c r="E1186" s="50" t="n">
        <v>8</v>
      </c>
      <c r="F1186" s="50" t="s">
        <v>2167</v>
      </c>
      <c r="G1186" s="54" t="n">
        <v>3229600</v>
      </c>
    </row>
    <row r="1187" customFormat="false" ht="15" hidden="false" customHeight="false" outlineLevel="0" collapsed="false">
      <c r="A1187" s="50" t="s">
        <v>598</v>
      </c>
      <c r="B1187" s="51" t="n">
        <v>45731</v>
      </c>
      <c r="C1187" s="50" t="s">
        <v>211</v>
      </c>
      <c r="D1187" s="50" t="s">
        <v>2187</v>
      </c>
      <c r="E1187" s="50" t="n">
        <v>7</v>
      </c>
      <c r="F1187" s="50" t="s">
        <v>2167</v>
      </c>
      <c r="G1187" s="54" t="n">
        <v>2534000</v>
      </c>
    </row>
    <row r="1188" customFormat="false" ht="15" hidden="false" customHeight="false" outlineLevel="0" collapsed="false">
      <c r="A1188" s="50" t="s">
        <v>599</v>
      </c>
      <c r="B1188" s="51" t="n">
        <v>45731</v>
      </c>
      <c r="C1188" s="50" t="s">
        <v>191</v>
      </c>
      <c r="D1188" s="50" t="s">
        <v>2173</v>
      </c>
      <c r="E1188" s="50" t="n">
        <v>5</v>
      </c>
      <c r="F1188" s="50" t="s">
        <v>2174</v>
      </c>
      <c r="G1188" s="54" t="n">
        <v>4000200</v>
      </c>
    </row>
    <row r="1189" customFormat="false" ht="15" hidden="false" customHeight="false" outlineLevel="0" collapsed="false">
      <c r="A1189" s="50" t="s">
        <v>599</v>
      </c>
      <c r="B1189" s="51" t="n">
        <v>45731</v>
      </c>
      <c r="C1189" s="50" t="s">
        <v>191</v>
      </c>
      <c r="D1189" s="50" t="s">
        <v>2181</v>
      </c>
      <c r="E1189" s="50" t="n">
        <v>3</v>
      </c>
      <c r="F1189" s="50" t="s">
        <v>2167</v>
      </c>
      <c r="G1189" s="54" t="n">
        <v>3528800</v>
      </c>
    </row>
    <row r="1190" customFormat="false" ht="15" hidden="false" customHeight="false" outlineLevel="0" collapsed="false">
      <c r="A1190" s="50" t="s">
        <v>600</v>
      </c>
      <c r="B1190" s="51" t="n">
        <v>45731</v>
      </c>
      <c r="C1190" s="50" t="s">
        <v>419</v>
      </c>
      <c r="D1190" s="50" t="s">
        <v>2169</v>
      </c>
      <c r="E1190" s="50" t="n">
        <v>3</v>
      </c>
      <c r="F1190" s="50" t="s">
        <v>2167</v>
      </c>
      <c r="G1190" s="54" t="n">
        <v>1930100</v>
      </c>
    </row>
    <row r="1191" customFormat="false" ht="15" hidden="false" customHeight="false" outlineLevel="0" collapsed="false">
      <c r="A1191" s="50" t="s">
        <v>600</v>
      </c>
      <c r="B1191" s="51" t="n">
        <v>45731</v>
      </c>
      <c r="C1191" s="50" t="s">
        <v>419</v>
      </c>
      <c r="D1191" s="50" t="s">
        <v>2181</v>
      </c>
      <c r="E1191" s="50" t="n">
        <v>6</v>
      </c>
      <c r="F1191" s="50" t="s">
        <v>2167</v>
      </c>
      <c r="G1191" s="54" t="n">
        <v>6709100</v>
      </c>
    </row>
    <row r="1192" customFormat="false" ht="15" hidden="false" customHeight="false" outlineLevel="0" collapsed="false">
      <c r="A1192" s="50" t="s">
        <v>600</v>
      </c>
      <c r="B1192" s="51" t="n">
        <v>45731</v>
      </c>
      <c r="C1192" s="50" t="s">
        <v>419</v>
      </c>
      <c r="D1192" s="50" t="s">
        <v>2176</v>
      </c>
      <c r="E1192" s="50" t="n">
        <v>6</v>
      </c>
      <c r="F1192" s="50" t="s">
        <v>2167</v>
      </c>
      <c r="G1192" s="54" t="n">
        <v>2467100</v>
      </c>
    </row>
    <row r="1193" customFormat="false" ht="15" hidden="false" customHeight="false" outlineLevel="0" collapsed="false">
      <c r="A1193" s="50" t="s">
        <v>600</v>
      </c>
      <c r="B1193" s="51" t="n">
        <v>45731</v>
      </c>
      <c r="C1193" s="50" t="s">
        <v>419</v>
      </c>
      <c r="D1193" s="50" t="s">
        <v>2168</v>
      </c>
      <c r="E1193" s="50" t="n">
        <v>4</v>
      </c>
      <c r="F1193" s="50" t="s">
        <v>2167</v>
      </c>
      <c r="G1193" s="54" t="n">
        <v>1700800</v>
      </c>
    </row>
    <row r="1194" customFormat="false" ht="15" hidden="false" customHeight="false" outlineLevel="0" collapsed="false">
      <c r="A1194" s="50" t="s">
        <v>600</v>
      </c>
      <c r="B1194" s="51" t="n">
        <v>45731</v>
      </c>
      <c r="C1194" s="50" t="s">
        <v>419</v>
      </c>
      <c r="D1194" s="50" t="s">
        <v>2186</v>
      </c>
      <c r="E1194" s="50" t="n">
        <v>7</v>
      </c>
      <c r="F1194" s="50" t="s">
        <v>2167</v>
      </c>
      <c r="G1194" s="54" t="n">
        <v>4018300</v>
      </c>
    </row>
    <row r="1195" customFormat="false" ht="15" hidden="false" customHeight="false" outlineLevel="0" collapsed="false">
      <c r="A1195" s="50" t="s">
        <v>600</v>
      </c>
      <c r="B1195" s="51" t="n">
        <v>45731</v>
      </c>
      <c r="C1195" s="50" t="s">
        <v>419</v>
      </c>
      <c r="D1195" s="50" t="s">
        <v>2182</v>
      </c>
      <c r="E1195" s="50" t="n">
        <v>2</v>
      </c>
      <c r="F1195" s="50" t="s">
        <v>2174</v>
      </c>
      <c r="G1195" s="54" t="n">
        <v>1918900</v>
      </c>
    </row>
    <row r="1196" customFormat="false" ht="15" hidden="false" customHeight="false" outlineLevel="0" collapsed="false">
      <c r="A1196" s="50" t="s">
        <v>601</v>
      </c>
      <c r="B1196" s="51" t="n">
        <v>45731</v>
      </c>
      <c r="C1196" s="50" t="s">
        <v>369</v>
      </c>
      <c r="D1196" s="50" t="s">
        <v>2181</v>
      </c>
      <c r="E1196" s="50" t="n">
        <v>3</v>
      </c>
      <c r="F1196" s="50" t="s">
        <v>2167</v>
      </c>
      <c r="G1196" s="54" t="n">
        <v>3456100</v>
      </c>
    </row>
    <row r="1197" customFormat="false" ht="15" hidden="false" customHeight="false" outlineLevel="0" collapsed="false">
      <c r="A1197" s="50" t="s">
        <v>601</v>
      </c>
      <c r="B1197" s="51" t="n">
        <v>45731</v>
      </c>
      <c r="C1197" s="50" t="s">
        <v>369</v>
      </c>
      <c r="D1197" s="50" t="s">
        <v>2173</v>
      </c>
      <c r="E1197" s="50" t="n">
        <v>6</v>
      </c>
      <c r="F1197" s="50" t="s">
        <v>2174</v>
      </c>
      <c r="G1197" s="54" t="n">
        <v>4989700</v>
      </c>
    </row>
    <row r="1198" customFormat="false" ht="15" hidden="false" customHeight="false" outlineLevel="0" collapsed="false">
      <c r="A1198" s="50" t="s">
        <v>601</v>
      </c>
      <c r="B1198" s="51" t="n">
        <v>45731</v>
      </c>
      <c r="C1198" s="50" t="s">
        <v>369</v>
      </c>
      <c r="D1198" s="50" t="s">
        <v>2185</v>
      </c>
      <c r="E1198" s="50" t="n">
        <v>7</v>
      </c>
      <c r="F1198" s="50" t="s">
        <v>2174</v>
      </c>
      <c r="G1198" s="54" t="n">
        <v>5627400</v>
      </c>
    </row>
    <row r="1199" customFormat="false" ht="15" hidden="false" customHeight="false" outlineLevel="0" collapsed="false">
      <c r="A1199" s="50" t="s">
        <v>601</v>
      </c>
      <c r="B1199" s="51" t="n">
        <v>45731</v>
      </c>
      <c r="C1199" s="50" t="s">
        <v>369</v>
      </c>
      <c r="D1199" s="50" t="s">
        <v>2179</v>
      </c>
      <c r="E1199" s="50" t="n">
        <v>8</v>
      </c>
      <c r="F1199" s="50" t="s">
        <v>2174</v>
      </c>
      <c r="G1199" s="54" t="n">
        <v>10098900</v>
      </c>
    </row>
    <row r="1200" customFormat="false" ht="15" hidden="false" customHeight="false" outlineLevel="0" collapsed="false">
      <c r="A1200" s="50" t="s">
        <v>602</v>
      </c>
      <c r="B1200" s="51" t="n">
        <v>45733</v>
      </c>
      <c r="C1200" s="50" t="s">
        <v>317</v>
      </c>
      <c r="D1200" s="50" t="s">
        <v>2169</v>
      </c>
      <c r="E1200" s="50" t="n">
        <v>8</v>
      </c>
      <c r="F1200" s="50" t="s">
        <v>2167</v>
      </c>
      <c r="G1200" s="54" t="n">
        <v>5079500</v>
      </c>
    </row>
    <row r="1201" customFormat="false" ht="15" hidden="false" customHeight="false" outlineLevel="0" collapsed="false">
      <c r="A1201" s="50" t="s">
        <v>602</v>
      </c>
      <c r="B1201" s="51" t="n">
        <v>45733</v>
      </c>
      <c r="C1201" s="50" t="s">
        <v>317</v>
      </c>
      <c r="D1201" s="50" t="s">
        <v>2176</v>
      </c>
      <c r="E1201" s="50" t="n">
        <v>1</v>
      </c>
      <c r="F1201" s="50" t="s">
        <v>2167</v>
      </c>
      <c r="G1201" s="54" t="n">
        <v>430600</v>
      </c>
    </row>
    <row r="1202" customFormat="false" ht="15" hidden="false" customHeight="false" outlineLevel="0" collapsed="false">
      <c r="A1202" s="50" t="s">
        <v>602</v>
      </c>
      <c r="B1202" s="51" t="n">
        <v>45733</v>
      </c>
      <c r="C1202" s="50" t="s">
        <v>317</v>
      </c>
      <c r="D1202" s="50" t="s">
        <v>2186</v>
      </c>
      <c r="E1202" s="50" t="n">
        <v>5</v>
      </c>
      <c r="F1202" s="50" t="s">
        <v>2167</v>
      </c>
      <c r="G1202" s="54" t="n">
        <v>2975700</v>
      </c>
    </row>
    <row r="1203" customFormat="false" ht="15" hidden="false" customHeight="false" outlineLevel="0" collapsed="false">
      <c r="A1203" s="50" t="s">
        <v>602</v>
      </c>
      <c r="B1203" s="51" t="n">
        <v>45733</v>
      </c>
      <c r="C1203" s="50" t="s">
        <v>317</v>
      </c>
      <c r="D1203" s="50" t="s">
        <v>2180</v>
      </c>
      <c r="E1203" s="50" t="n">
        <v>7</v>
      </c>
      <c r="F1203" s="50" t="s">
        <v>2167</v>
      </c>
      <c r="G1203" s="54" t="n">
        <v>3102800</v>
      </c>
    </row>
    <row r="1204" customFormat="false" ht="15" hidden="false" customHeight="false" outlineLevel="0" collapsed="false">
      <c r="A1204" s="50" t="s">
        <v>603</v>
      </c>
      <c r="B1204" s="51" t="n">
        <v>45733</v>
      </c>
      <c r="C1204" s="50" t="s">
        <v>278</v>
      </c>
      <c r="D1204" s="50" t="s">
        <v>2166</v>
      </c>
      <c r="E1204" s="50" t="n">
        <v>3</v>
      </c>
      <c r="F1204" s="50" t="s">
        <v>2167</v>
      </c>
      <c r="G1204" s="54" t="n">
        <v>1629800</v>
      </c>
    </row>
    <row r="1205" customFormat="false" ht="15" hidden="false" customHeight="false" outlineLevel="0" collapsed="false">
      <c r="A1205" s="50" t="s">
        <v>603</v>
      </c>
      <c r="B1205" s="51" t="n">
        <v>45733</v>
      </c>
      <c r="C1205" s="50" t="s">
        <v>278</v>
      </c>
      <c r="D1205" s="50" t="s">
        <v>2186</v>
      </c>
      <c r="E1205" s="50" t="n">
        <v>5</v>
      </c>
      <c r="F1205" s="50" t="s">
        <v>2167</v>
      </c>
      <c r="G1205" s="54" t="n">
        <v>2953500</v>
      </c>
    </row>
    <row r="1206" customFormat="false" ht="15" hidden="false" customHeight="false" outlineLevel="0" collapsed="false">
      <c r="A1206" s="50" t="s">
        <v>603</v>
      </c>
      <c r="B1206" s="51" t="n">
        <v>45733</v>
      </c>
      <c r="C1206" s="50" t="s">
        <v>278</v>
      </c>
      <c r="D1206" s="50" t="s">
        <v>2176</v>
      </c>
      <c r="E1206" s="50" t="n">
        <v>6</v>
      </c>
      <c r="F1206" s="50" t="s">
        <v>2167</v>
      </c>
      <c r="G1206" s="54" t="n">
        <v>2560800</v>
      </c>
    </row>
    <row r="1207" customFormat="false" ht="15" hidden="false" customHeight="false" outlineLevel="0" collapsed="false">
      <c r="A1207" s="50" t="s">
        <v>603</v>
      </c>
      <c r="B1207" s="51" t="n">
        <v>45733</v>
      </c>
      <c r="C1207" s="50" t="s">
        <v>278</v>
      </c>
      <c r="D1207" s="50" t="s">
        <v>2177</v>
      </c>
      <c r="E1207" s="50" t="n">
        <v>7</v>
      </c>
      <c r="F1207" s="50" t="s">
        <v>2174</v>
      </c>
      <c r="G1207" s="54" t="n">
        <v>7756200</v>
      </c>
    </row>
    <row r="1208" customFormat="false" ht="15" hidden="false" customHeight="false" outlineLevel="0" collapsed="false">
      <c r="A1208" s="50" t="s">
        <v>603</v>
      </c>
      <c r="B1208" s="51" t="n">
        <v>45733</v>
      </c>
      <c r="C1208" s="50" t="s">
        <v>278</v>
      </c>
      <c r="D1208" s="50" t="s">
        <v>2182</v>
      </c>
      <c r="E1208" s="50" t="n">
        <v>4</v>
      </c>
      <c r="F1208" s="50" t="s">
        <v>2174</v>
      </c>
      <c r="G1208" s="54" t="n">
        <v>3879700</v>
      </c>
    </row>
    <row r="1209" customFormat="false" ht="15" hidden="false" customHeight="false" outlineLevel="0" collapsed="false">
      <c r="A1209" s="50" t="s">
        <v>603</v>
      </c>
      <c r="B1209" s="51" t="n">
        <v>45733</v>
      </c>
      <c r="C1209" s="50" t="s">
        <v>278</v>
      </c>
      <c r="D1209" s="50" t="s">
        <v>2188</v>
      </c>
      <c r="E1209" s="50" t="n">
        <v>4</v>
      </c>
      <c r="F1209" s="50" t="s">
        <v>2167</v>
      </c>
      <c r="G1209" s="54" t="n">
        <v>3930000</v>
      </c>
    </row>
    <row r="1210" customFormat="false" ht="15" hidden="false" customHeight="false" outlineLevel="0" collapsed="false">
      <c r="A1210" s="50" t="s">
        <v>604</v>
      </c>
      <c r="B1210" s="51" t="n">
        <v>45733</v>
      </c>
      <c r="C1210" s="50" t="s">
        <v>271</v>
      </c>
      <c r="D1210" s="50" t="s">
        <v>2178</v>
      </c>
      <c r="E1210" s="50" t="n">
        <v>7</v>
      </c>
      <c r="F1210" s="50" t="s">
        <v>2167</v>
      </c>
      <c r="G1210" s="54" t="n">
        <v>3434800</v>
      </c>
    </row>
    <row r="1211" customFormat="false" ht="15" hidden="false" customHeight="false" outlineLevel="0" collapsed="false">
      <c r="A1211" s="50" t="s">
        <v>605</v>
      </c>
      <c r="B1211" s="51" t="n">
        <v>45733</v>
      </c>
      <c r="C1211" s="50" t="s">
        <v>203</v>
      </c>
      <c r="D1211" s="50" t="s">
        <v>2180</v>
      </c>
      <c r="E1211" s="50" t="n">
        <v>8</v>
      </c>
      <c r="F1211" s="50" t="s">
        <v>2167</v>
      </c>
      <c r="G1211" s="54" t="n">
        <v>3694000</v>
      </c>
    </row>
    <row r="1212" customFormat="false" ht="15" hidden="false" customHeight="false" outlineLevel="0" collapsed="false">
      <c r="A1212" s="50" t="s">
        <v>606</v>
      </c>
      <c r="B1212" s="51" t="n">
        <v>45733</v>
      </c>
      <c r="C1212" s="50" t="s">
        <v>447</v>
      </c>
      <c r="D1212" s="50" t="s">
        <v>2188</v>
      </c>
      <c r="E1212" s="50" t="n">
        <v>4</v>
      </c>
      <c r="F1212" s="50" t="s">
        <v>2167</v>
      </c>
      <c r="G1212" s="54" t="n">
        <v>3873200</v>
      </c>
    </row>
    <row r="1213" customFormat="false" ht="15" hidden="false" customHeight="false" outlineLevel="0" collapsed="false">
      <c r="A1213" s="50" t="s">
        <v>606</v>
      </c>
      <c r="B1213" s="51" t="n">
        <v>45733</v>
      </c>
      <c r="C1213" s="50" t="s">
        <v>447</v>
      </c>
      <c r="D1213" s="50" t="s">
        <v>2172</v>
      </c>
      <c r="E1213" s="50" t="n">
        <v>8</v>
      </c>
      <c r="F1213" s="50" t="s">
        <v>2167</v>
      </c>
      <c r="G1213" s="54" t="n">
        <v>4311500</v>
      </c>
    </row>
    <row r="1214" customFormat="false" ht="15" hidden="false" customHeight="false" outlineLevel="0" collapsed="false">
      <c r="A1214" s="50" t="s">
        <v>606</v>
      </c>
      <c r="B1214" s="51" t="n">
        <v>45733</v>
      </c>
      <c r="C1214" s="50" t="s">
        <v>447</v>
      </c>
      <c r="D1214" s="50" t="s">
        <v>2170</v>
      </c>
      <c r="E1214" s="50" t="n">
        <v>1</v>
      </c>
      <c r="F1214" s="50" t="s">
        <v>2171</v>
      </c>
      <c r="G1214" s="54" t="n">
        <v>7483100</v>
      </c>
    </row>
    <row r="1215" customFormat="false" ht="15" hidden="false" customHeight="false" outlineLevel="0" collapsed="false">
      <c r="A1215" s="50" t="s">
        <v>606</v>
      </c>
      <c r="B1215" s="51" t="n">
        <v>45733</v>
      </c>
      <c r="C1215" s="50" t="s">
        <v>447</v>
      </c>
      <c r="D1215" s="50" t="s">
        <v>2180</v>
      </c>
      <c r="E1215" s="50" t="n">
        <v>7</v>
      </c>
      <c r="F1215" s="50" t="s">
        <v>2167</v>
      </c>
      <c r="G1215" s="54" t="n">
        <v>3258500</v>
      </c>
    </row>
    <row r="1216" customFormat="false" ht="15" hidden="false" customHeight="false" outlineLevel="0" collapsed="false">
      <c r="A1216" s="50" t="s">
        <v>606</v>
      </c>
      <c r="B1216" s="51" t="n">
        <v>45733</v>
      </c>
      <c r="C1216" s="50" t="s">
        <v>447</v>
      </c>
      <c r="D1216" s="50" t="s">
        <v>2175</v>
      </c>
      <c r="E1216" s="50" t="n">
        <v>7</v>
      </c>
      <c r="F1216" s="50" t="s">
        <v>2167</v>
      </c>
      <c r="G1216" s="54" t="n">
        <v>4402200</v>
      </c>
    </row>
    <row r="1217" customFormat="false" ht="15" hidden="false" customHeight="false" outlineLevel="0" collapsed="false">
      <c r="A1217" s="50" t="s">
        <v>606</v>
      </c>
      <c r="B1217" s="51" t="n">
        <v>45733</v>
      </c>
      <c r="C1217" s="50" t="s">
        <v>447</v>
      </c>
      <c r="D1217" s="50" t="s">
        <v>2176</v>
      </c>
      <c r="E1217" s="50" t="n">
        <v>2</v>
      </c>
      <c r="F1217" s="50" t="s">
        <v>2167</v>
      </c>
      <c r="G1217" s="54" t="n">
        <v>847000</v>
      </c>
    </row>
    <row r="1218" customFormat="false" ht="15" hidden="false" customHeight="false" outlineLevel="0" collapsed="false">
      <c r="A1218" s="50" t="s">
        <v>606</v>
      </c>
      <c r="B1218" s="51" t="n">
        <v>45733</v>
      </c>
      <c r="C1218" s="50" t="s">
        <v>447</v>
      </c>
      <c r="D1218" s="50" t="s">
        <v>2183</v>
      </c>
      <c r="E1218" s="50" t="n">
        <v>6</v>
      </c>
      <c r="F1218" s="50" t="s">
        <v>2167</v>
      </c>
      <c r="G1218" s="54" t="n">
        <v>2271900</v>
      </c>
    </row>
    <row r="1219" customFormat="false" ht="15" hidden="false" customHeight="false" outlineLevel="0" collapsed="false">
      <c r="A1219" s="50" t="s">
        <v>606</v>
      </c>
      <c r="B1219" s="51" t="n">
        <v>45733</v>
      </c>
      <c r="C1219" s="50" t="s">
        <v>447</v>
      </c>
      <c r="D1219" s="50" t="s">
        <v>2184</v>
      </c>
      <c r="E1219" s="50" t="n">
        <v>1</v>
      </c>
      <c r="F1219" s="50" t="s">
        <v>2167</v>
      </c>
      <c r="G1219" s="54" t="n">
        <v>572600</v>
      </c>
    </row>
    <row r="1220" customFormat="false" ht="15" hidden="false" customHeight="false" outlineLevel="0" collapsed="false">
      <c r="A1220" s="50" t="s">
        <v>606</v>
      </c>
      <c r="B1220" s="51" t="n">
        <v>45733</v>
      </c>
      <c r="C1220" s="50" t="s">
        <v>447</v>
      </c>
      <c r="D1220" s="50" t="s">
        <v>2168</v>
      </c>
      <c r="E1220" s="50" t="n">
        <v>3</v>
      </c>
      <c r="F1220" s="50" t="s">
        <v>2167</v>
      </c>
      <c r="G1220" s="54" t="n">
        <v>1312500</v>
      </c>
    </row>
    <row r="1221" customFormat="false" ht="15" hidden="false" customHeight="false" outlineLevel="0" collapsed="false">
      <c r="A1221" s="50" t="s">
        <v>607</v>
      </c>
      <c r="B1221" s="51" t="n">
        <v>45733</v>
      </c>
      <c r="C1221" s="50" t="s">
        <v>177</v>
      </c>
      <c r="D1221" s="50" t="s">
        <v>2179</v>
      </c>
      <c r="E1221" s="50" t="n">
        <v>1</v>
      </c>
      <c r="F1221" s="50" t="s">
        <v>2174</v>
      </c>
      <c r="G1221" s="54" t="n">
        <v>1229000</v>
      </c>
    </row>
    <row r="1222" customFormat="false" ht="15" hidden="false" customHeight="false" outlineLevel="0" collapsed="false">
      <c r="A1222" s="50" t="s">
        <v>607</v>
      </c>
      <c r="B1222" s="51" t="n">
        <v>45733</v>
      </c>
      <c r="C1222" s="50" t="s">
        <v>177</v>
      </c>
      <c r="D1222" s="50" t="s">
        <v>2168</v>
      </c>
      <c r="E1222" s="50" t="n">
        <v>8</v>
      </c>
      <c r="F1222" s="50" t="s">
        <v>2167</v>
      </c>
      <c r="G1222" s="54" t="n">
        <v>3431200</v>
      </c>
    </row>
    <row r="1223" customFormat="false" ht="15" hidden="false" customHeight="false" outlineLevel="0" collapsed="false">
      <c r="A1223" s="50" t="s">
        <v>607</v>
      </c>
      <c r="B1223" s="51" t="n">
        <v>45733</v>
      </c>
      <c r="C1223" s="50" t="s">
        <v>177</v>
      </c>
      <c r="D1223" s="50" t="s">
        <v>2186</v>
      </c>
      <c r="E1223" s="50" t="n">
        <v>2</v>
      </c>
      <c r="F1223" s="50" t="s">
        <v>2167</v>
      </c>
      <c r="G1223" s="54" t="n">
        <v>1153100</v>
      </c>
    </row>
    <row r="1224" customFormat="false" ht="15" hidden="false" customHeight="false" outlineLevel="0" collapsed="false">
      <c r="A1224" s="50" t="s">
        <v>607</v>
      </c>
      <c r="B1224" s="51" t="n">
        <v>45733</v>
      </c>
      <c r="C1224" s="50" t="s">
        <v>177</v>
      </c>
      <c r="D1224" s="50" t="s">
        <v>2169</v>
      </c>
      <c r="E1224" s="50" t="n">
        <v>2</v>
      </c>
      <c r="F1224" s="50" t="s">
        <v>2167</v>
      </c>
      <c r="G1224" s="54" t="n">
        <v>1199100</v>
      </c>
    </row>
    <row r="1225" customFormat="false" ht="15" hidden="false" customHeight="false" outlineLevel="0" collapsed="false">
      <c r="A1225" s="50" t="s">
        <v>608</v>
      </c>
      <c r="B1225" s="51" t="n">
        <v>45733</v>
      </c>
      <c r="C1225" s="50" t="s">
        <v>174</v>
      </c>
      <c r="D1225" s="50" t="s">
        <v>2173</v>
      </c>
      <c r="E1225" s="50" t="n">
        <v>2</v>
      </c>
      <c r="F1225" s="50" t="s">
        <v>2174</v>
      </c>
      <c r="G1225" s="54" t="n">
        <v>1615700</v>
      </c>
    </row>
    <row r="1226" customFormat="false" ht="15" hidden="false" customHeight="false" outlineLevel="0" collapsed="false">
      <c r="A1226" s="50" t="s">
        <v>608</v>
      </c>
      <c r="B1226" s="51" t="n">
        <v>45733</v>
      </c>
      <c r="C1226" s="50" t="s">
        <v>174</v>
      </c>
      <c r="D1226" s="50" t="s">
        <v>2172</v>
      </c>
      <c r="E1226" s="50" t="n">
        <v>3</v>
      </c>
      <c r="F1226" s="50" t="s">
        <v>2167</v>
      </c>
      <c r="G1226" s="54" t="n">
        <v>1589500</v>
      </c>
    </row>
    <row r="1227" customFormat="false" ht="15" hidden="false" customHeight="false" outlineLevel="0" collapsed="false">
      <c r="A1227" s="50" t="s">
        <v>609</v>
      </c>
      <c r="B1227" s="51" t="n">
        <v>45733</v>
      </c>
      <c r="C1227" s="50" t="s">
        <v>410</v>
      </c>
      <c r="D1227" s="50" t="s">
        <v>2186</v>
      </c>
      <c r="E1227" s="50" t="n">
        <v>2</v>
      </c>
      <c r="F1227" s="50" t="s">
        <v>2167</v>
      </c>
      <c r="G1227" s="54" t="n">
        <v>1202500</v>
      </c>
    </row>
    <row r="1228" customFormat="false" ht="15" hidden="false" customHeight="false" outlineLevel="0" collapsed="false">
      <c r="A1228" s="50" t="s">
        <v>609</v>
      </c>
      <c r="B1228" s="51" t="n">
        <v>45733</v>
      </c>
      <c r="C1228" s="50" t="s">
        <v>410</v>
      </c>
      <c r="D1228" s="50" t="s">
        <v>2169</v>
      </c>
      <c r="E1228" s="50" t="n">
        <v>6</v>
      </c>
      <c r="F1228" s="50" t="s">
        <v>2167</v>
      </c>
      <c r="G1228" s="54" t="n">
        <v>3746300</v>
      </c>
    </row>
    <row r="1229" customFormat="false" ht="15" hidden="false" customHeight="false" outlineLevel="0" collapsed="false">
      <c r="A1229" s="50" t="s">
        <v>609</v>
      </c>
      <c r="B1229" s="51" t="n">
        <v>45733</v>
      </c>
      <c r="C1229" s="50" t="s">
        <v>410</v>
      </c>
      <c r="D1229" s="50" t="s">
        <v>2183</v>
      </c>
      <c r="E1229" s="50" t="n">
        <v>5</v>
      </c>
      <c r="F1229" s="50" t="s">
        <v>2167</v>
      </c>
      <c r="G1229" s="54" t="n">
        <v>1891400</v>
      </c>
    </row>
    <row r="1230" customFormat="false" ht="15" hidden="false" customHeight="false" outlineLevel="0" collapsed="false">
      <c r="A1230" s="50" t="s">
        <v>609</v>
      </c>
      <c r="B1230" s="51" t="n">
        <v>45733</v>
      </c>
      <c r="C1230" s="50" t="s">
        <v>410</v>
      </c>
      <c r="D1230" s="50" t="s">
        <v>2179</v>
      </c>
      <c r="E1230" s="50" t="n">
        <v>5</v>
      </c>
      <c r="F1230" s="50" t="s">
        <v>2174</v>
      </c>
      <c r="G1230" s="54" t="n">
        <v>6109900</v>
      </c>
    </row>
    <row r="1231" customFormat="false" ht="15" hidden="false" customHeight="false" outlineLevel="0" collapsed="false">
      <c r="A1231" s="50" t="s">
        <v>610</v>
      </c>
      <c r="B1231" s="51" t="n">
        <v>45734</v>
      </c>
      <c r="C1231" s="50" t="s">
        <v>611</v>
      </c>
      <c r="D1231" s="50" t="s">
        <v>2169</v>
      </c>
      <c r="E1231" s="50" t="n">
        <v>8</v>
      </c>
      <c r="F1231" s="50" t="s">
        <v>2167</v>
      </c>
      <c r="G1231" s="54" t="n">
        <v>5010300</v>
      </c>
    </row>
    <row r="1232" customFormat="false" ht="15" hidden="false" customHeight="false" outlineLevel="0" collapsed="false">
      <c r="A1232" s="50" t="s">
        <v>612</v>
      </c>
      <c r="B1232" s="51" t="n">
        <v>45734</v>
      </c>
      <c r="C1232" s="50" t="s">
        <v>168</v>
      </c>
      <c r="D1232" s="50" t="s">
        <v>2183</v>
      </c>
      <c r="E1232" s="50" t="n">
        <v>1</v>
      </c>
      <c r="F1232" s="50" t="s">
        <v>2167</v>
      </c>
      <c r="G1232" s="54" t="n">
        <v>375700</v>
      </c>
    </row>
    <row r="1233" customFormat="false" ht="15" hidden="false" customHeight="false" outlineLevel="0" collapsed="false">
      <c r="A1233" s="50" t="s">
        <v>612</v>
      </c>
      <c r="B1233" s="51" t="n">
        <v>45734</v>
      </c>
      <c r="C1233" s="50" t="s">
        <v>168</v>
      </c>
      <c r="D1233" s="50" t="s">
        <v>2173</v>
      </c>
      <c r="E1233" s="50" t="n">
        <v>2</v>
      </c>
      <c r="F1233" s="50" t="s">
        <v>2174</v>
      </c>
      <c r="G1233" s="54" t="n">
        <v>1560000</v>
      </c>
    </row>
    <row r="1234" customFormat="false" ht="15" hidden="false" customHeight="false" outlineLevel="0" collapsed="false">
      <c r="A1234" s="50" t="s">
        <v>612</v>
      </c>
      <c r="B1234" s="51" t="n">
        <v>45734</v>
      </c>
      <c r="C1234" s="50" t="s">
        <v>168</v>
      </c>
      <c r="D1234" s="50" t="s">
        <v>2169</v>
      </c>
      <c r="E1234" s="50" t="n">
        <v>1</v>
      </c>
      <c r="F1234" s="50" t="s">
        <v>2167</v>
      </c>
      <c r="G1234" s="54" t="n">
        <v>617500</v>
      </c>
    </row>
    <row r="1235" customFormat="false" ht="15" hidden="false" customHeight="false" outlineLevel="0" collapsed="false">
      <c r="A1235" s="50" t="s">
        <v>612</v>
      </c>
      <c r="B1235" s="51" t="n">
        <v>45734</v>
      </c>
      <c r="C1235" s="50" t="s">
        <v>168</v>
      </c>
      <c r="D1235" s="50" t="s">
        <v>2184</v>
      </c>
      <c r="E1235" s="50" t="n">
        <v>2</v>
      </c>
      <c r="F1235" s="50" t="s">
        <v>2167</v>
      </c>
      <c r="G1235" s="54" t="n">
        <v>1162700</v>
      </c>
    </row>
    <row r="1236" customFormat="false" ht="15" hidden="false" customHeight="false" outlineLevel="0" collapsed="false">
      <c r="A1236" s="50" t="s">
        <v>613</v>
      </c>
      <c r="B1236" s="51" t="n">
        <v>45734</v>
      </c>
      <c r="C1236" s="50" t="s">
        <v>228</v>
      </c>
      <c r="D1236" s="50" t="s">
        <v>2185</v>
      </c>
      <c r="E1236" s="50" t="n">
        <v>2</v>
      </c>
      <c r="F1236" s="50" t="s">
        <v>2174</v>
      </c>
      <c r="G1236" s="54" t="n">
        <v>1570300</v>
      </c>
    </row>
    <row r="1237" customFormat="false" ht="15" hidden="false" customHeight="false" outlineLevel="0" collapsed="false">
      <c r="A1237" s="50" t="s">
        <v>613</v>
      </c>
      <c r="B1237" s="51" t="n">
        <v>45734</v>
      </c>
      <c r="C1237" s="50" t="s">
        <v>228</v>
      </c>
      <c r="D1237" s="50" t="s">
        <v>2184</v>
      </c>
      <c r="E1237" s="50" t="n">
        <v>2</v>
      </c>
      <c r="F1237" s="50" t="s">
        <v>2167</v>
      </c>
      <c r="G1237" s="54" t="n">
        <v>1095800</v>
      </c>
    </row>
    <row r="1238" customFormat="false" ht="15" hidden="false" customHeight="false" outlineLevel="0" collapsed="false">
      <c r="A1238" s="50" t="s">
        <v>613</v>
      </c>
      <c r="B1238" s="51" t="n">
        <v>45734</v>
      </c>
      <c r="C1238" s="50" t="s">
        <v>228</v>
      </c>
      <c r="D1238" s="50" t="s">
        <v>2169</v>
      </c>
      <c r="E1238" s="50" t="n">
        <v>7</v>
      </c>
      <c r="F1238" s="50" t="s">
        <v>2167</v>
      </c>
      <c r="G1238" s="54" t="n">
        <v>4493500</v>
      </c>
    </row>
    <row r="1239" customFormat="false" ht="15" hidden="false" customHeight="false" outlineLevel="0" collapsed="false">
      <c r="A1239" s="50" t="s">
        <v>613</v>
      </c>
      <c r="B1239" s="51" t="n">
        <v>45734</v>
      </c>
      <c r="C1239" s="50" t="s">
        <v>228</v>
      </c>
      <c r="D1239" s="50" t="s">
        <v>2182</v>
      </c>
      <c r="E1239" s="50" t="n">
        <v>7</v>
      </c>
      <c r="F1239" s="50" t="s">
        <v>2174</v>
      </c>
      <c r="G1239" s="54" t="n">
        <v>6694300</v>
      </c>
    </row>
    <row r="1240" customFormat="false" ht="15" hidden="false" customHeight="false" outlineLevel="0" collapsed="false">
      <c r="A1240" s="50" t="s">
        <v>613</v>
      </c>
      <c r="B1240" s="51" t="n">
        <v>45734</v>
      </c>
      <c r="C1240" s="50" t="s">
        <v>228</v>
      </c>
      <c r="D1240" s="50" t="s">
        <v>2168</v>
      </c>
      <c r="E1240" s="50" t="n">
        <v>5</v>
      </c>
      <c r="F1240" s="50" t="s">
        <v>2167</v>
      </c>
      <c r="G1240" s="54" t="n">
        <v>2089600</v>
      </c>
    </row>
    <row r="1241" customFormat="false" ht="15" hidden="false" customHeight="false" outlineLevel="0" collapsed="false">
      <c r="A1241" s="50" t="s">
        <v>613</v>
      </c>
      <c r="B1241" s="51" t="n">
        <v>45734</v>
      </c>
      <c r="C1241" s="50" t="s">
        <v>228</v>
      </c>
      <c r="D1241" s="50" t="s">
        <v>2186</v>
      </c>
      <c r="E1241" s="50" t="n">
        <v>6</v>
      </c>
      <c r="F1241" s="50" t="s">
        <v>2167</v>
      </c>
      <c r="G1241" s="54" t="n">
        <v>3466200</v>
      </c>
    </row>
    <row r="1242" customFormat="false" ht="15" hidden="false" customHeight="false" outlineLevel="0" collapsed="false">
      <c r="A1242" s="50" t="s">
        <v>614</v>
      </c>
      <c r="B1242" s="51" t="n">
        <v>45734</v>
      </c>
      <c r="C1242" s="50" t="s">
        <v>491</v>
      </c>
      <c r="D1242" s="50" t="s">
        <v>2180</v>
      </c>
      <c r="E1242" s="50" t="n">
        <v>6</v>
      </c>
      <c r="F1242" s="50" t="s">
        <v>2167</v>
      </c>
      <c r="G1242" s="54" t="n">
        <v>2674500</v>
      </c>
    </row>
    <row r="1243" customFormat="false" ht="15" hidden="false" customHeight="false" outlineLevel="0" collapsed="false">
      <c r="A1243" s="50" t="s">
        <v>614</v>
      </c>
      <c r="B1243" s="51" t="n">
        <v>45734</v>
      </c>
      <c r="C1243" s="50" t="s">
        <v>491</v>
      </c>
      <c r="D1243" s="50" t="s">
        <v>2172</v>
      </c>
      <c r="E1243" s="50" t="n">
        <v>6</v>
      </c>
      <c r="F1243" s="50" t="s">
        <v>2167</v>
      </c>
      <c r="G1243" s="54" t="n">
        <v>3075100</v>
      </c>
    </row>
    <row r="1244" customFormat="false" ht="15" hidden="false" customHeight="false" outlineLevel="0" collapsed="false">
      <c r="A1244" s="50" t="s">
        <v>615</v>
      </c>
      <c r="B1244" s="51" t="n">
        <v>45734</v>
      </c>
      <c r="C1244" s="50" t="s">
        <v>205</v>
      </c>
      <c r="D1244" s="50" t="s">
        <v>2176</v>
      </c>
      <c r="E1244" s="50" t="n">
        <v>1</v>
      </c>
      <c r="F1244" s="50" t="s">
        <v>2167</v>
      </c>
      <c r="G1244" s="54" t="n">
        <v>408300</v>
      </c>
    </row>
    <row r="1245" customFormat="false" ht="15" hidden="false" customHeight="false" outlineLevel="0" collapsed="false">
      <c r="A1245" s="50" t="s">
        <v>615</v>
      </c>
      <c r="B1245" s="51" t="n">
        <v>45734</v>
      </c>
      <c r="C1245" s="50" t="s">
        <v>205</v>
      </c>
      <c r="D1245" s="50" t="s">
        <v>2186</v>
      </c>
      <c r="E1245" s="50" t="n">
        <v>4</v>
      </c>
      <c r="F1245" s="50" t="s">
        <v>2167</v>
      </c>
      <c r="G1245" s="54" t="n">
        <v>2380600</v>
      </c>
    </row>
    <row r="1246" customFormat="false" ht="15" hidden="false" customHeight="false" outlineLevel="0" collapsed="false">
      <c r="A1246" s="50" t="s">
        <v>615</v>
      </c>
      <c r="B1246" s="51" t="n">
        <v>45734</v>
      </c>
      <c r="C1246" s="50" t="s">
        <v>205</v>
      </c>
      <c r="D1246" s="50" t="s">
        <v>2180</v>
      </c>
      <c r="E1246" s="50" t="n">
        <v>7</v>
      </c>
      <c r="F1246" s="50" t="s">
        <v>2167</v>
      </c>
      <c r="G1246" s="54" t="n">
        <v>3076700</v>
      </c>
    </row>
    <row r="1247" customFormat="false" ht="15" hidden="false" customHeight="false" outlineLevel="0" collapsed="false">
      <c r="A1247" s="50" t="s">
        <v>616</v>
      </c>
      <c r="B1247" s="51" t="n">
        <v>45734</v>
      </c>
      <c r="C1247" s="50" t="s">
        <v>168</v>
      </c>
      <c r="D1247" s="50" t="s">
        <v>2176</v>
      </c>
      <c r="E1247" s="50" t="n">
        <v>3</v>
      </c>
      <c r="F1247" s="50" t="s">
        <v>2167</v>
      </c>
      <c r="G1247" s="54" t="n">
        <v>1280300</v>
      </c>
    </row>
    <row r="1248" customFormat="false" ht="15" hidden="false" customHeight="false" outlineLevel="0" collapsed="false">
      <c r="A1248" s="50" t="s">
        <v>616</v>
      </c>
      <c r="B1248" s="51" t="n">
        <v>45734</v>
      </c>
      <c r="C1248" s="50" t="s">
        <v>168</v>
      </c>
      <c r="D1248" s="50" t="s">
        <v>2187</v>
      </c>
      <c r="E1248" s="50" t="n">
        <v>4</v>
      </c>
      <c r="F1248" s="50" t="s">
        <v>2167</v>
      </c>
      <c r="G1248" s="54" t="n">
        <v>1369200</v>
      </c>
    </row>
    <row r="1249" customFormat="false" ht="15" hidden="false" customHeight="false" outlineLevel="0" collapsed="false">
      <c r="A1249" s="50" t="s">
        <v>616</v>
      </c>
      <c r="B1249" s="51" t="n">
        <v>45734</v>
      </c>
      <c r="C1249" s="50" t="s">
        <v>168</v>
      </c>
      <c r="D1249" s="50" t="s">
        <v>2168</v>
      </c>
      <c r="E1249" s="50" t="n">
        <v>6</v>
      </c>
      <c r="F1249" s="50" t="s">
        <v>2167</v>
      </c>
      <c r="G1249" s="54" t="n">
        <v>2600600</v>
      </c>
    </row>
    <row r="1250" customFormat="false" ht="15" hidden="false" customHeight="false" outlineLevel="0" collapsed="false">
      <c r="A1250" s="50" t="s">
        <v>616</v>
      </c>
      <c r="B1250" s="51" t="n">
        <v>45734</v>
      </c>
      <c r="C1250" s="50" t="s">
        <v>168</v>
      </c>
      <c r="D1250" s="50" t="s">
        <v>2186</v>
      </c>
      <c r="E1250" s="50" t="n">
        <v>5</v>
      </c>
      <c r="F1250" s="50" t="s">
        <v>2167</v>
      </c>
      <c r="G1250" s="54" t="n">
        <v>2842800</v>
      </c>
    </row>
    <row r="1251" customFormat="false" ht="15" hidden="false" customHeight="false" outlineLevel="0" collapsed="false">
      <c r="A1251" s="50" t="s">
        <v>616</v>
      </c>
      <c r="B1251" s="51" t="n">
        <v>45734</v>
      </c>
      <c r="C1251" s="50" t="s">
        <v>168</v>
      </c>
      <c r="D1251" s="50" t="s">
        <v>2185</v>
      </c>
      <c r="E1251" s="50" t="n">
        <v>2</v>
      </c>
      <c r="F1251" s="50" t="s">
        <v>2174</v>
      </c>
      <c r="G1251" s="54" t="n">
        <v>1535700</v>
      </c>
    </row>
    <row r="1252" customFormat="false" ht="15" hidden="false" customHeight="false" outlineLevel="0" collapsed="false">
      <c r="A1252" s="50" t="s">
        <v>616</v>
      </c>
      <c r="B1252" s="51" t="n">
        <v>45734</v>
      </c>
      <c r="C1252" s="50" t="s">
        <v>168</v>
      </c>
      <c r="D1252" s="50" t="s">
        <v>2172</v>
      </c>
      <c r="E1252" s="50" t="n">
        <v>2</v>
      </c>
      <c r="F1252" s="50" t="s">
        <v>2167</v>
      </c>
      <c r="G1252" s="54" t="n">
        <v>1079700</v>
      </c>
    </row>
    <row r="1253" customFormat="false" ht="15" hidden="false" customHeight="false" outlineLevel="0" collapsed="false">
      <c r="A1253" s="50" t="s">
        <v>617</v>
      </c>
      <c r="B1253" s="51" t="n">
        <v>45734</v>
      </c>
      <c r="C1253" s="50" t="s">
        <v>241</v>
      </c>
      <c r="D1253" s="50" t="s">
        <v>2180</v>
      </c>
      <c r="E1253" s="50" t="n">
        <v>3</v>
      </c>
      <c r="F1253" s="50" t="s">
        <v>2167</v>
      </c>
      <c r="G1253" s="54" t="n">
        <v>1393100</v>
      </c>
    </row>
    <row r="1254" customFormat="false" ht="15" hidden="false" customHeight="false" outlineLevel="0" collapsed="false">
      <c r="A1254" s="50" t="s">
        <v>617</v>
      </c>
      <c r="B1254" s="51" t="n">
        <v>45734</v>
      </c>
      <c r="C1254" s="50" t="s">
        <v>241</v>
      </c>
      <c r="D1254" s="50" t="s">
        <v>2187</v>
      </c>
      <c r="E1254" s="50" t="n">
        <v>7</v>
      </c>
      <c r="F1254" s="50" t="s">
        <v>2167</v>
      </c>
      <c r="G1254" s="54" t="n">
        <v>2544000</v>
      </c>
    </row>
    <row r="1255" customFormat="false" ht="15" hidden="false" customHeight="false" outlineLevel="0" collapsed="false">
      <c r="A1255" s="50" t="s">
        <v>617</v>
      </c>
      <c r="B1255" s="51" t="n">
        <v>45734</v>
      </c>
      <c r="C1255" s="50" t="s">
        <v>241</v>
      </c>
      <c r="D1255" s="50" t="s">
        <v>2184</v>
      </c>
      <c r="E1255" s="50" t="n">
        <v>8</v>
      </c>
      <c r="F1255" s="50" t="s">
        <v>2167</v>
      </c>
      <c r="G1255" s="54" t="n">
        <v>4327800</v>
      </c>
    </row>
    <row r="1256" customFormat="false" ht="15" hidden="false" customHeight="false" outlineLevel="0" collapsed="false">
      <c r="A1256" s="50" t="s">
        <v>618</v>
      </c>
      <c r="B1256" s="51" t="n">
        <v>45734</v>
      </c>
      <c r="C1256" s="50" t="s">
        <v>416</v>
      </c>
      <c r="D1256" s="50" t="s">
        <v>2176</v>
      </c>
      <c r="E1256" s="50" t="n">
        <v>5</v>
      </c>
      <c r="F1256" s="50" t="s">
        <v>2167</v>
      </c>
      <c r="G1256" s="54" t="n">
        <v>2084100</v>
      </c>
    </row>
    <row r="1257" customFormat="false" ht="15" hidden="false" customHeight="false" outlineLevel="0" collapsed="false">
      <c r="A1257" s="50" t="s">
        <v>618</v>
      </c>
      <c r="B1257" s="51" t="n">
        <v>45734</v>
      </c>
      <c r="C1257" s="50" t="s">
        <v>416</v>
      </c>
      <c r="D1257" s="50" t="s">
        <v>2177</v>
      </c>
      <c r="E1257" s="50" t="n">
        <v>8</v>
      </c>
      <c r="F1257" s="50" t="s">
        <v>2174</v>
      </c>
      <c r="G1257" s="54" t="n">
        <v>8830900</v>
      </c>
    </row>
    <row r="1258" customFormat="false" ht="15" hidden="false" customHeight="false" outlineLevel="0" collapsed="false">
      <c r="A1258" s="50" t="s">
        <v>618</v>
      </c>
      <c r="B1258" s="51" t="n">
        <v>45734</v>
      </c>
      <c r="C1258" s="50" t="s">
        <v>416</v>
      </c>
      <c r="D1258" s="50" t="s">
        <v>2184</v>
      </c>
      <c r="E1258" s="50" t="n">
        <v>6</v>
      </c>
      <c r="F1258" s="50" t="s">
        <v>2167</v>
      </c>
      <c r="G1258" s="54" t="n">
        <v>3329400</v>
      </c>
    </row>
    <row r="1259" customFormat="false" ht="15" hidden="false" customHeight="false" outlineLevel="0" collapsed="false">
      <c r="A1259" s="50" t="s">
        <v>619</v>
      </c>
      <c r="B1259" s="51" t="n">
        <v>45735</v>
      </c>
      <c r="C1259" s="50" t="s">
        <v>174</v>
      </c>
      <c r="D1259" s="50" t="s">
        <v>2179</v>
      </c>
      <c r="E1259" s="50" t="n">
        <v>4</v>
      </c>
      <c r="F1259" s="50" t="s">
        <v>2174</v>
      </c>
      <c r="G1259" s="54" t="n">
        <v>5017200</v>
      </c>
    </row>
    <row r="1260" customFormat="false" ht="15" hidden="false" customHeight="false" outlineLevel="0" collapsed="false">
      <c r="A1260" s="50" t="s">
        <v>619</v>
      </c>
      <c r="B1260" s="51" t="n">
        <v>45735</v>
      </c>
      <c r="C1260" s="50" t="s">
        <v>174</v>
      </c>
      <c r="D1260" s="50" t="s">
        <v>2175</v>
      </c>
      <c r="E1260" s="50" t="n">
        <v>8</v>
      </c>
      <c r="F1260" s="50" t="s">
        <v>2167</v>
      </c>
      <c r="G1260" s="54" t="n">
        <v>4977800</v>
      </c>
    </row>
    <row r="1261" customFormat="false" ht="15" hidden="false" customHeight="false" outlineLevel="0" collapsed="false">
      <c r="A1261" s="50" t="s">
        <v>619</v>
      </c>
      <c r="B1261" s="51" t="n">
        <v>45735</v>
      </c>
      <c r="C1261" s="50" t="s">
        <v>174</v>
      </c>
      <c r="D1261" s="50" t="s">
        <v>2177</v>
      </c>
      <c r="E1261" s="50" t="n">
        <v>7</v>
      </c>
      <c r="F1261" s="50" t="s">
        <v>2174</v>
      </c>
      <c r="G1261" s="54" t="n">
        <v>7903400</v>
      </c>
    </row>
    <row r="1262" customFormat="false" ht="15" hidden="false" customHeight="false" outlineLevel="0" collapsed="false">
      <c r="A1262" s="50" t="s">
        <v>619</v>
      </c>
      <c r="B1262" s="51" t="n">
        <v>45735</v>
      </c>
      <c r="C1262" s="50" t="s">
        <v>174</v>
      </c>
      <c r="D1262" s="50" t="s">
        <v>2169</v>
      </c>
      <c r="E1262" s="50" t="n">
        <v>8</v>
      </c>
      <c r="F1262" s="50" t="s">
        <v>2167</v>
      </c>
      <c r="G1262" s="54" t="n">
        <v>4797000</v>
      </c>
    </row>
    <row r="1263" customFormat="false" ht="15" hidden="false" customHeight="false" outlineLevel="0" collapsed="false">
      <c r="A1263" s="50" t="s">
        <v>619</v>
      </c>
      <c r="B1263" s="51" t="n">
        <v>45735</v>
      </c>
      <c r="C1263" s="50" t="s">
        <v>174</v>
      </c>
      <c r="D1263" s="50" t="s">
        <v>2180</v>
      </c>
      <c r="E1263" s="50" t="n">
        <v>2</v>
      </c>
      <c r="F1263" s="50" t="s">
        <v>2167</v>
      </c>
      <c r="G1263" s="54" t="n">
        <v>906300</v>
      </c>
    </row>
    <row r="1264" customFormat="false" ht="15" hidden="false" customHeight="false" outlineLevel="0" collapsed="false">
      <c r="A1264" s="50" t="s">
        <v>619</v>
      </c>
      <c r="B1264" s="51" t="n">
        <v>45735</v>
      </c>
      <c r="C1264" s="50" t="s">
        <v>174</v>
      </c>
      <c r="D1264" s="50" t="s">
        <v>2166</v>
      </c>
      <c r="E1264" s="50" t="n">
        <v>2</v>
      </c>
      <c r="F1264" s="50" t="s">
        <v>2167</v>
      </c>
      <c r="G1264" s="54" t="n">
        <v>1077900</v>
      </c>
    </row>
    <row r="1265" customFormat="false" ht="15" hidden="false" customHeight="false" outlineLevel="0" collapsed="false">
      <c r="A1265" s="50" t="s">
        <v>620</v>
      </c>
      <c r="B1265" s="51" t="n">
        <v>45735</v>
      </c>
      <c r="C1265" s="50" t="s">
        <v>179</v>
      </c>
      <c r="D1265" s="50" t="s">
        <v>2183</v>
      </c>
      <c r="E1265" s="50" t="n">
        <v>6</v>
      </c>
      <c r="F1265" s="50" t="s">
        <v>2167</v>
      </c>
      <c r="G1265" s="54" t="n">
        <v>2201900</v>
      </c>
    </row>
    <row r="1266" customFormat="false" ht="15" hidden="false" customHeight="false" outlineLevel="0" collapsed="false">
      <c r="A1266" s="50" t="s">
        <v>620</v>
      </c>
      <c r="B1266" s="51" t="n">
        <v>45735</v>
      </c>
      <c r="C1266" s="50" t="s">
        <v>179</v>
      </c>
      <c r="D1266" s="50" t="s">
        <v>2181</v>
      </c>
      <c r="E1266" s="50" t="n">
        <v>5</v>
      </c>
      <c r="F1266" s="50" t="s">
        <v>2167</v>
      </c>
      <c r="G1266" s="54" t="n">
        <v>5752600</v>
      </c>
    </row>
    <row r="1267" customFormat="false" ht="15" hidden="false" customHeight="false" outlineLevel="0" collapsed="false">
      <c r="A1267" s="50" t="s">
        <v>621</v>
      </c>
      <c r="B1267" s="51" t="n">
        <v>45735</v>
      </c>
      <c r="C1267" s="50" t="s">
        <v>289</v>
      </c>
      <c r="D1267" s="50" t="s">
        <v>2172</v>
      </c>
      <c r="E1267" s="50" t="n">
        <v>6</v>
      </c>
      <c r="F1267" s="50" t="s">
        <v>2167</v>
      </c>
      <c r="G1267" s="54" t="n">
        <v>3048200</v>
      </c>
    </row>
    <row r="1268" customFormat="false" ht="15" hidden="false" customHeight="false" outlineLevel="0" collapsed="false">
      <c r="A1268" s="50" t="s">
        <v>621</v>
      </c>
      <c r="B1268" s="51" t="n">
        <v>45735</v>
      </c>
      <c r="C1268" s="50" t="s">
        <v>289</v>
      </c>
      <c r="D1268" s="50" t="s">
        <v>2182</v>
      </c>
      <c r="E1268" s="50" t="n">
        <v>8</v>
      </c>
      <c r="F1268" s="50" t="s">
        <v>2174</v>
      </c>
      <c r="G1268" s="54" t="n">
        <v>7373700</v>
      </c>
    </row>
    <row r="1269" customFormat="false" ht="15" hidden="false" customHeight="false" outlineLevel="0" collapsed="false">
      <c r="A1269" s="50" t="s">
        <v>621</v>
      </c>
      <c r="B1269" s="51" t="n">
        <v>45735</v>
      </c>
      <c r="C1269" s="50" t="s">
        <v>289</v>
      </c>
      <c r="D1269" s="50" t="s">
        <v>2180</v>
      </c>
      <c r="E1269" s="50" t="n">
        <v>1</v>
      </c>
      <c r="F1269" s="50" t="s">
        <v>2167</v>
      </c>
      <c r="G1269" s="54" t="n">
        <v>440000</v>
      </c>
    </row>
    <row r="1270" customFormat="false" ht="15" hidden="false" customHeight="false" outlineLevel="0" collapsed="false">
      <c r="A1270" s="50" t="s">
        <v>622</v>
      </c>
      <c r="B1270" s="51" t="n">
        <v>45736</v>
      </c>
      <c r="C1270" s="50" t="s">
        <v>166</v>
      </c>
      <c r="D1270" s="50" t="s">
        <v>2185</v>
      </c>
      <c r="E1270" s="50" t="n">
        <v>8</v>
      </c>
      <c r="F1270" s="50" t="s">
        <v>2174</v>
      </c>
      <c r="G1270" s="54" t="n">
        <v>6291600</v>
      </c>
    </row>
    <row r="1271" customFormat="false" ht="15" hidden="false" customHeight="false" outlineLevel="0" collapsed="false">
      <c r="A1271" s="50" t="s">
        <v>623</v>
      </c>
      <c r="B1271" s="51" t="n">
        <v>45736</v>
      </c>
      <c r="C1271" s="50" t="s">
        <v>174</v>
      </c>
      <c r="D1271" s="50" t="s">
        <v>2184</v>
      </c>
      <c r="E1271" s="50" t="n">
        <v>4</v>
      </c>
      <c r="F1271" s="50" t="s">
        <v>2167</v>
      </c>
      <c r="G1271" s="54" t="n">
        <v>2251300</v>
      </c>
    </row>
    <row r="1272" customFormat="false" ht="15" hidden="false" customHeight="false" outlineLevel="0" collapsed="false">
      <c r="A1272" s="50" t="s">
        <v>623</v>
      </c>
      <c r="B1272" s="51" t="n">
        <v>45736</v>
      </c>
      <c r="C1272" s="50" t="s">
        <v>174</v>
      </c>
      <c r="D1272" s="50" t="s">
        <v>2181</v>
      </c>
      <c r="E1272" s="50" t="n">
        <v>8</v>
      </c>
      <c r="F1272" s="50" t="s">
        <v>2167</v>
      </c>
      <c r="G1272" s="54" t="n">
        <v>9360900</v>
      </c>
    </row>
    <row r="1273" customFormat="false" ht="15" hidden="false" customHeight="false" outlineLevel="0" collapsed="false">
      <c r="A1273" s="50" t="s">
        <v>624</v>
      </c>
      <c r="B1273" s="51" t="n">
        <v>45736</v>
      </c>
      <c r="C1273" s="50" t="s">
        <v>447</v>
      </c>
      <c r="D1273" s="50" t="s">
        <v>2188</v>
      </c>
      <c r="E1273" s="50" t="n">
        <v>1</v>
      </c>
      <c r="F1273" s="50" t="s">
        <v>2167</v>
      </c>
      <c r="G1273" s="54" t="n">
        <v>970700</v>
      </c>
    </row>
    <row r="1274" customFormat="false" ht="15" hidden="false" customHeight="false" outlineLevel="0" collapsed="false">
      <c r="A1274" s="50" t="s">
        <v>624</v>
      </c>
      <c r="B1274" s="51" t="n">
        <v>45736</v>
      </c>
      <c r="C1274" s="50" t="s">
        <v>447</v>
      </c>
      <c r="D1274" s="50" t="s">
        <v>2178</v>
      </c>
      <c r="E1274" s="50" t="n">
        <v>3</v>
      </c>
      <c r="F1274" s="50" t="s">
        <v>2167</v>
      </c>
      <c r="G1274" s="54" t="n">
        <v>1383600</v>
      </c>
    </row>
    <row r="1275" customFormat="false" ht="15" hidden="false" customHeight="false" outlineLevel="0" collapsed="false">
      <c r="A1275" s="50" t="s">
        <v>624</v>
      </c>
      <c r="B1275" s="51" t="n">
        <v>45736</v>
      </c>
      <c r="C1275" s="50" t="s">
        <v>447</v>
      </c>
      <c r="D1275" s="50" t="s">
        <v>2166</v>
      </c>
      <c r="E1275" s="50" t="n">
        <v>2</v>
      </c>
      <c r="F1275" s="50" t="s">
        <v>2167</v>
      </c>
      <c r="G1275" s="54" t="n">
        <v>1069300</v>
      </c>
    </row>
    <row r="1276" customFormat="false" ht="15" hidden="false" customHeight="false" outlineLevel="0" collapsed="false">
      <c r="A1276" s="50" t="s">
        <v>625</v>
      </c>
      <c r="B1276" s="51" t="n">
        <v>45736</v>
      </c>
      <c r="C1276" s="50" t="s">
        <v>329</v>
      </c>
      <c r="D1276" s="50" t="s">
        <v>2175</v>
      </c>
      <c r="E1276" s="50" t="n">
        <v>4</v>
      </c>
      <c r="F1276" s="50" t="s">
        <v>2167</v>
      </c>
      <c r="G1276" s="54" t="n">
        <v>2519200</v>
      </c>
    </row>
    <row r="1277" customFormat="false" ht="15" hidden="false" customHeight="false" outlineLevel="0" collapsed="false">
      <c r="A1277" s="50" t="s">
        <v>625</v>
      </c>
      <c r="B1277" s="51" t="n">
        <v>45736</v>
      </c>
      <c r="C1277" s="50" t="s">
        <v>329</v>
      </c>
      <c r="D1277" s="50" t="s">
        <v>2178</v>
      </c>
      <c r="E1277" s="50" t="n">
        <v>5</v>
      </c>
      <c r="F1277" s="50" t="s">
        <v>2167</v>
      </c>
      <c r="G1277" s="54" t="n">
        <v>2442500</v>
      </c>
    </row>
    <row r="1278" customFormat="false" ht="15" hidden="false" customHeight="false" outlineLevel="0" collapsed="false">
      <c r="A1278" s="50" t="s">
        <v>625</v>
      </c>
      <c r="B1278" s="51" t="n">
        <v>45736</v>
      </c>
      <c r="C1278" s="50" t="s">
        <v>329</v>
      </c>
      <c r="D1278" s="50" t="s">
        <v>2166</v>
      </c>
      <c r="E1278" s="50" t="n">
        <v>5</v>
      </c>
      <c r="F1278" s="50" t="s">
        <v>2167</v>
      </c>
      <c r="G1278" s="54" t="n">
        <v>2767400</v>
      </c>
    </row>
    <row r="1279" customFormat="false" ht="15" hidden="false" customHeight="false" outlineLevel="0" collapsed="false">
      <c r="A1279" s="50" t="s">
        <v>626</v>
      </c>
      <c r="B1279" s="51" t="n">
        <v>45736</v>
      </c>
      <c r="C1279" s="50" t="s">
        <v>174</v>
      </c>
      <c r="D1279" s="50" t="s">
        <v>2178</v>
      </c>
      <c r="E1279" s="50" t="n">
        <v>5</v>
      </c>
      <c r="F1279" s="50" t="s">
        <v>2167</v>
      </c>
      <c r="G1279" s="54" t="n">
        <v>2465500</v>
      </c>
    </row>
    <row r="1280" customFormat="false" ht="15" hidden="false" customHeight="false" outlineLevel="0" collapsed="false">
      <c r="A1280" s="50" t="s">
        <v>626</v>
      </c>
      <c r="B1280" s="51" t="n">
        <v>45736</v>
      </c>
      <c r="C1280" s="50" t="s">
        <v>174</v>
      </c>
      <c r="D1280" s="50" t="s">
        <v>2166</v>
      </c>
      <c r="E1280" s="50" t="n">
        <v>6</v>
      </c>
      <c r="F1280" s="50" t="s">
        <v>2167</v>
      </c>
      <c r="G1280" s="54" t="n">
        <v>3296700</v>
      </c>
    </row>
    <row r="1281" customFormat="false" ht="15" hidden="false" customHeight="false" outlineLevel="0" collapsed="false">
      <c r="A1281" s="50" t="s">
        <v>627</v>
      </c>
      <c r="B1281" s="51" t="n">
        <v>45736</v>
      </c>
      <c r="C1281" s="50" t="s">
        <v>271</v>
      </c>
      <c r="D1281" s="50" t="s">
        <v>2184</v>
      </c>
      <c r="E1281" s="50" t="n">
        <v>3</v>
      </c>
      <c r="F1281" s="50" t="s">
        <v>2167</v>
      </c>
      <c r="G1281" s="54" t="n">
        <v>1646300</v>
      </c>
    </row>
    <row r="1282" customFormat="false" ht="15" hidden="false" customHeight="false" outlineLevel="0" collapsed="false">
      <c r="A1282" s="50" t="s">
        <v>627</v>
      </c>
      <c r="B1282" s="51" t="n">
        <v>45736</v>
      </c>
      <c r="C1282" s="50" t="s">
        <v>271</v>
      </c>
      <c r="D1282" s="50" t="s">
        <v>2182</v>
      </c>
      <c r="E1282" s="50" t="n">
        <v>3</v>
      </c>
      <c r="F1282" s="50" t="s">
        <v>2174</v>
      </c>
      <c r="G1282" s="54" t="n">
        <v>2866500</v>
      </c>
    </row>
    <row r="1283" customFormat="false" ht="15" hidden="false" customHeight="false" outlineLevel="0" collapsed="false">
      <c r="A1283" s="50" t="s">
        <v>627</v>
      </c>
      <c r="B1283" s="51" t="n">
        <v>45736</v>
      </c>
      <c r="C1283" s="50" t="s">
        <v>271</v>
      </c>
      <c r="D1283" s="50" t="s">
        <v>2181</v>
      </c>
      <c r="E1283" s="50" t="n">
        <v>5</v>
      </c>
      <c r="F1283" s="50" t="s">
        <v>2167</v>
      </c>
      <c r="G1283" s="54" t="n">
        <v>5717800</v>
      </c>
    </row>
    <row r="1284" customFormat="false" ht="15" hidden="false" customHeight="false" outlineLevel="0" collapsed="false">
      <c r="A1284" s="50" t="s">
        <v>627</v>
      </c>
      <c r="B1284" s="51" t="n">
        <v>45736</v>
      </c>
      <c r="C1284" s="50" t="s">
        <v>271</v>
      </c>
      <c r="D1284" s="50" t="s">
        <v>2170</v>
      </c>
      <c r="E1284" s="50" t="n">
        <v>1</v>
      </c>
      <c r="F1284" s="50" t="s">
        <v>2171</v>
      </c>
      <c r="G1284" s="54" t="n">
        <v>7315400</v>
      </c>
    </row>
    <row r="1285" customFormat="false" ht="15" hidden="false" customHeight="false" outlineLevel="0" collapsed="false">
      <c r="A1285" s="50" t="s">
        <v>628</v>
      </c>
      <c r="B1285" s="51" t="n">
        <v>45736</v>
      </c>
      <c r="C1285" s="50" t="s">
        <v>216</v>
      </c>
      <c r="D1285" s="50" t="s">
        <v>2177</v>
      </c>
      <c r="E1285" s="50" t="n">
        <v>6</v>
      </c>
      <c r="F1285" s="50" t="s">
        <v>2174</v>
      </c>
      <c r="G1285" s="54" t="n">
        <v>6675500</v>
      </c>
    </row>
    <row r="1286" customFormat="false" ht="15" hidden="false" customHeight="false" outlineLevel="0" collapsed="false">
      <c r="A1286" s="50" t="s">
        <v>628</v>
      </c>
      <c r="B1286" s="51" t="n">
        <v>45736</v>
      </c>
      <c r="C1286" s="50" t="s">
        <v>216</v>
      </c>
      <c r="D1286" s="50" t="s">
        <v>2175</v>
      </c>
      <c r="E1286" s="50" t="n">
        <v>8</v>
      </c>
      <c r="F1286" s="50" t="s">
        <v>2167</v>
      </c>
      <c r="G1286" s="54" t="n">
        <v>5295600</v>
      </c>
    </row>
    <row r="1287" customFormat="false" ht="15" hidden="false" customHeight="false" outlineLevel="0" collapsed="false">
      <c r="A1287" s="50" t="s">
        <v>629</v>
      </c>
      <c r="B1287" s="51" t="n">
        <v>45737</v>
      </c>
      <c r="C1287" s="50" t="s">
        <v>199</v>
      </c>
      <c r="D1287" s="50" t="s">
        <v>2185</v>
      </c>
      <c r="E1287" s="50" t="n">
        <v>4</v>
      </c>
      <c r="F1287" s="50" t="s">
        <v>2174</v>
      </c>
      <c r="G1287" s="54" t="n">
        <v>3019800</v>
      </c>
    </row>
    <row r="1288" customFormat="false" ht="15" hidden="false" customHeight="false" outlineLevel="0" collapsed="false">
      <c r="A1288" s="50" t="s">
        <v>629</v>
      </c>
      <c r="B1288" s="51" t="n">
        <v>45737</v>
      </c>
      <c r="C1288" s="50" t="s">
        <v>199</v>
      </c>
      <c r="D1288" s="50" t="s">
        <v>2166</v>
      </c>
      <c r="E1288" s="50" t="n">
        <v>8</v>
      </c>
      <c r="F1288" s="50" t="s">
        <v>2167</v>
      </c>
      <c r="G1288" s="54" t="n">
        <v>4152100</v>
      </c>
    </row>
    <row r="1289" customFormat="false" ht="15" hidden="false" customHeight="false" outlineLevel="0" collapsed="false">
      <c r="A1289" s="50" t="s">
        <v>629</v>
      </c>
      <c r="B1289" s="51" t="n">
        <v>45737</v>
      </c>
      <c r="C1289" s="50" t="s">
        <v>199</v>
      </c>
      <c r="D1289" s="50" t="s">
        <v>2178</v>
      </c>
      <c r="E1289" s="50" t="n">
        <v>6</v>
      </c>
      <c r="F1289" s="50" t="s">
        <v>2167</v>
      </c>
      <c r="G1289" s="54" t="n">
        <v>2793400</v>
      </c>
    </row>
    <row r="1290" customFormat="false" ht="15" hidden="false" customHeight="false" outlineLevel="0" collapsed="false">
      <c r="A1290" s="50" t="s">
        <v>630</v>
      </c>
      <c r="B1290" s="51" t="n">
        <v>45737</v>
      </c>
      <c r="C1290" s="50" t="s">
        <v>166</v>
      </c>
      <c r="D1290" s="50" t="s">
        <v>2182</v>
      </c>
      <c r="E1290" s="50" t="n">
        <v>5</v>
      </c>
      <c r="F1290" s="50" t="s">
        <v>2174</v>
      </c>
      <c r="G1290" s="54" t="n">
        <v>4627500</v>
      </c>
    </row>
    <row r="1291" customFormat="false" ht="15" hidden="false" customHeight="false" outlineLevel="0" collapsed="false">
      <c r="A1291" s="50" t="s">
        <v>630</v>
      </c>
      <c r="B1291" s="51" t="n">
        <v>45737</v>
      </c>
      <c r="C1291" s="50" t="s">
        <v>166</v>
      </c>
      <c r="D1291" s="50" t="s">
        <v>2173</v>
      </c>
      <c r="E1291" s="50" t="n">
        <v>7</v>
      </c>
      <c r="F1291" s="50" t="s">
        <v>2174</v>
      </c>
      <c r="G1291" s="54" t="n">
        <v>5504000</v>
      </c>
    </row>
    <row r="1292" customFormat="false" ht="15" hidden="false" customHeight="false" outlineLevel="0" collapsed="false">
      <c r="A1292" s="50" t="s">
        <v>630</v>
      </c>
      <c r="B1292" s="51" t="n">
        <v>45737</v>
      </c>
      <c r="C1292" s="50" t="s">
        <v>166</v>
      </c>
      <c r="D1292" s="50" t="s">
        <v>2172</v>
      </c>
      <c r="E1292" s="50" t="n">
        <v>7</v>
      </c>
      <c r="F1292" s="50" t="s">
        <v>2167</v>
      </c>
      <c r="G1292" s="54" t="n">
        <v>3537700</v>
      </c>
    </row>
    <row r="1293" customFormat="false" ht="15" hidden="false" customHeight="false" outlineLevel="0" collapsed="false">
      <c r="A1293" s="50" t="s">
        <v>631</v>
      </c>
      <c r="B1293" s="51" t="n">
        <v>45737</v>
      </c>
      <c r="C1293" s="50" t="s">
        <v>540</v>
      </c>
      <c r="D1293" s="50" t="s">
        <v>2188</v>
      </c>
      <c r="E1293" s="50" t="n">
        <v>5</v>
      </c>
      <c r="F1293" s="50" t="s">
        <v>2167</v>
      </c>
      <c r="G1293" s="54" t="n">
        <v>4917400</v>
      </c>
    </row>
    <row r="1294" customFormat="false" ht="15" hidden="false" customHeight="false" outlineLevel="0" collapsed="false">
      <c r="A1294" s="50" t="s">
        <v>631</v>
      </c>
      <c r="B1294" s="51" t="n">
        <v>45737</v>
      </c>
      <c r="C1294" s="50" t="s">
        <v>540</v>
      </c>
      <c r="D1294" s="50" t="s">
        <v>2186</v>
      </c>
      <c r="E1294" s="50" t="n">
        <v>8</v>
      </c>
      <c r="F1294" s="50" t="s">
        <v>2167</v>
      </c>
      <c r="G1294" s="54" t="n">
        <v>4596600</v>
      </c>
    </row>
    <row r="1295" customFormat="false" ht="15" hidden="false" customHeight="false" outlineLevel="0" collapsed="false">
      <c r="A1295" s="50" t="s">
        <v>632</v>
      </c>
      <c r="B1295" s="51" t="n">
        <v>45737</v>
      </c>
      <c r="C1295" s="50" t="s">
        <v>286</v>
      </c>
      <c r="D1295" s="50" t="s">
        <v>2185</v>
      </c>
      <c r="E1295" s="50" t="n">
        <v>6</v>
      </c>
      <c r="F1295" s="50" t="s">
        <v>2174</v>
      </c>
      <c r="G1295" s="54" t="n">
        <v>4639600</v>
      </c>
    </row>
    <row r="1296" customFormat="false" ht="15" hidden="false" customHeight="false" outlineLevel="0" collapsed="false">
      <c r="A1296" s="50" t="s">
        <v>632</v>
      </c>
      <c r="B1296" s="51" t="n">
        <v>45737</v>
      </c>
      <c r="C1296" s="50" t="s">
        <v>286</v>
      </c>
      <c r="D1296" s="50" t="s">
        <v>2166</v>
      </c>
      <c r="E1296" s="50" t="n">
        <v>4</v>
      </c>
      <c r="F1296" s="50" t="s">
        <v>2167</v>
      </c>
      <c r="G1296" s="54" t="n">
        <v>2085000</v>
      </c>
    </row>
    <row r="1297" customFormat="false" ht="15" hidden="false" customHeight="false" outlineLevel="0" collapsed="false">
      <c r="A1297" s="50" t="s">
        <v>632</v>
      </c>
      <c r="B1297" s="51" t="n">
        <v>45737</v>
      </c>
      <c r="C1297" s="50" t="s">
        <v>286</v>
      </c>
      <c r="D1297" s="50" t="s">
        <v>2180</v>
      </c>
      <c r="E1297" s="50" t="n">
        <v>8</v>
      </c>
      <c r="F1297" s="50" t="s">
        <v>2167</v>
      </c>
      <c r="G1297" s="54" t="n">
        <v>3506200</v>
      </c>
    </row>
    <row r="1298" customFormat="false" ht="15" hidden="false" customHeight="false" outlineLevel="0" collapsed="false">
      <c r="A1298" s="50" t="s">
        <v>632</v>
      </c>
      <c r="B1298" s="51" t="n">
        <v>45737</v>
      </c>
      <c r="C1298" s="50" t="s">
        <v>286</v>
      </c>
      <c r="D1298" s="50" t="s">
        <v>2183</v>
      </c>
      <c r="E1298" s="50" t="n">
        <v>4</v>
      </c>
      <c r="F1298" s="50" t="s">
        <v>2167</v>
      </c>
      <c r="G1298" s="54" t="n">
        <v>1497900</v>
      </c>
    </row>
    <row r="1299" customFormat="false" ht="15" hidden="false" customHeight="false" outlineLevel="0" collapsed="false">
      <c r="A1299" s="50" t="s">
        <v>633</v>
      </c>
      <c r="B1299" s="51" t="n">
        <v>45738</v>
      </c>
      <c r="C1299" s="50" t="s">
        <v>634</v>
      </c>
      <c r="D1299" s="50" t="s">
        <v>2180</v>
      </c>
      <c r="E1299" s="50" t="n">
        <v>1</v>
      </c>
      <c r="F1299" s="50" t="s">
        <v>2167</v>
      </c>
      <c r="G1299" s="54" t="n">
        <v>452000</v>
      </c>
    </row>
    <row r="1300" customFormat="false" ht="15" hidden="false" customHeight="false" outlineLevel="0" collapsed="false">
      <c r="A1300" s="50" t="s">
        <v>633</v>
      </c>
      <c r="B1300" s="51" t="n">
        <v>45738</v>
      </c>
      <c r="C1300" s="50" t="s">
        <v>634</v>
      </c>
      <c r="D1300" s="50" t="s">
        <v>2184</v>
      </c>
      <c r="E1300" s="50" t="n">
        <v>1</v>
      </c>
      <c r="F1300" s="50" t="s">
        <v>2167</v>
      </c>
      <c r="G1300" s="54" t="n">
        <v>570800</v>
      </c>
    </row>
    <row r="1301" customFormat="false" ht="15" hidden="false" customHeight="false" outlineLevel="0" collapsed="false">
      <c r="A1301" s="50" t="s">
        <v>633</v>
      </c>
      <c r="B1301" s="51" t="n">
        <v>45738</v>
      </c>
      <c r="C1301" s="50" t="s">
        <v>634</v>
      </c>
      <c r="D1301" s="50" t="s">
        <v>2181</v>
      </c>
      <c r="E1301" s="50" t="n">
        <v>5</v>
      </c>
      <c r="F1301" s="50" t="s">
        <v>2167</v>
      </c>
      <c r="G1301" s="54" t="n">
        <v>5783300</v>
      </c>
    </row>
    <row r="1302" customFormat="false" ht="15" hidden="false" customHeight="false" outlineLevel="0" collapsed="false">
      <c r="A1302" s="50" t="s">
        <v>635</v>
      </c>
      <c r="B1302" s="51" t="n">
        <v>45738</v>
      </c>
      <c r="C1302" s="50" t="s">
        <v>419</v>
      </c>
      <c r="D1302" s="50" t="s">
        <v>2179</v>
      </c>
      <c r="E1302" s="50" t="n">
        <v>5</v>
      </c>
      <c r="F1302" s="50" t="s">
        <v>2174</v>
      </c>
      <c r="G1302" s="54" t="n">
        <v>6083800</v>
      </c>
    </row>
    <row r="1303" customFormat="false" ht="15" hidden="false" customHeight="false" outlineLevel="0" collapsed="false">
      <c r="A1303" s="50" t="s">
        <v>635</v>
      </c>
      <c r="B1303" s="51" t="n">
        <v>45738</v>
      </c>
      <c r="C1303" s="50" t="s">
        <v>419</v>
      </c>
      <c r="D1303" s="50" t="s">
        <v>2176</v>
      </c>
      <c r="E1303" s="50" t="n">
        <v>1</v>
      </c>
      <c r="F1303" s="50" t="s">
        <v>2167</v>
      </c>
      <c r="G1303" s="54" t="n">
        <v>427500</v>
      </c>
    </row>
    <row r="1304" customFormat="false" ht="15" hidden="false" customHeight="false" outlineLevel="0" collapsed="false">
      <c r="A1304" s="50" t="s">
        <v>636</v>
      </c>
      <c r="B1304" s="51" t="n">
        <v>45738</v>
      </c>
      <c r="C1304" s="50" t="s">
        <v>199</v>
      </c>
      <c r="D1304" s="50" t="s">
        <v>2172</v>
      </c>
      <c r="E1304" s="50" t="n">
        <v>5</v>
      </c>
      <c r="F1304" s="50" t="s">
        <v>2167</v>
      </c>
      <c r="G1304" s="54" t="n">
        <v>2573700</v>
      </c>
    </row>
    <row r="1305" customFormat="false" ht="15" hidden="false" customHeight="false" outlineLevel="0" collapsed="false">
      <c r="A1305" s="50" t="s">
        <v>636</v>
      </c>
      <c r="B1305" s="51" t="n">
        <v>45738</v>
      </c>
      <c r="C1305" s="50" t="s">
        <v>199</v>
      </c>
      <c r="D1305" s="50" t="s">
        <v>2184</v>
      </c>
      <c r="E1305" s="50" t="n">
        <v>4</v>
      </c>
      <c r="F1305" s="50" t="s">
        <v>2167</v>
      </c>
      <c r="G1305" s="54" t="n">
        <v>2292800</v>
      </c>
    </row>
    <row r="1306" customFormat="false" ht="15" hidden="false" customHeight="false" outlineLevel="0" collapsed="false">
      <c r="A1306" s="50" t="s">
        <v>636</v>
      </c>
      <c r="B1306" s="51" t="n">
        <v>45738</v>
      </c>
      <c r="C1306" s="50" t="s">
        <v>199</v>
      </c>
      <c r="D1306" s="50" t="s">
        <v>2176</v>
      </c>
      <c r="E1306" s="50" t="n">
        <v>4</v>
      </c>
      <c r="F1306" s="50" t="s">
        <v>2167</v>
      </c>
      <c r="G1306" s="54" t="n">
        <v>1689400</v>
      </c>
    </row>
    <row r="1307" customFormat="false" ht="15" hidden="false" customHeight="false" outlineLevel="0" collapsed="false">
      <c r="A1307" s="50" t="s">
        <v>637</v>
      </c>
      <c r="B1307" s="51" t="n">
        <v>45738</v>
      </c>
      <c r="C1307" s="50" t="s">
        <v>191</v>
      </c>
      <c r="D1307" s="50" t="s">
        <v>2184</v>
      </c>
      <c r="E1307" s="50" t="n">
        <v>1</v>
      </c>
      <c r="F1307" s="50" t="s">
        <v>2167</v>
      </c>
      <c r="G1307" s="54" t="n">
        <v>550300</v>
      </c>
    </row>
    <row r="1308" customFormat="false" ht="15" hidden="false" customHeight="false" outlineLevel="0" collapsed="false">
      <c r="A1308" s="50" t="s">
        <v>637</v>
      </c>
      <c r="B1308" s="51" t="n">
        <v>45738</v>
      </c>
      <c r="C1308" s="50" t="s">
        <v>191</v>
      </c>
      <c r="D1308" s="50" t="s">
        <v>2173</v>
      </c>
      <c r="E1308" s="50" t="n">
        <v>5</v>
      </c>
      <c r="F1308" s="50" t="s">
        <v>2174</v>
      </c>
      <c r="G1308" s="54" t="n">
        <v>4005600</v>
      </c>
    </row>
    <row r="1309" customFormat="false" ht="15" hidden="false" customHeight="false" outlineLevel="0" collapsed="false">
      <c r="A1309" s="50" t="s">
        <v>637</v>
      </c>
      <c r="B1309" s="51" t="n">
        <v>45738</v>
      </c>
      <c r="C1309" s="50" t="s">
        <v>191</v>
      </c>
      <c r="D1309" s="50" t="s">
        <v>2181</v>
      </c>
      <c r="E1309" s="50" t="n">
        <v>3</v>
      </c>
      <c r="F1309" s="50" t="s">
        <v>2167</v>
      </c>
      <c r="G1309" s="54" t="n">
        <v>3437600</v>
      </c>
    </row>
    <row r="1310" customFormat="false" ht="15" hidden="false" customHeight="false" outlineLevel="0" collapsed="false">
      <c r="A1310" s="50" t="s">
        <v>637</v>
      </c>
      <c r="B1310" s="51" t="n">
        <v>45738</v>
      </c>
      <c r="C1310" s="50" t="s">
        <v>191</v>
      </c>
      <c r="D1310" s="50" t="s">
        <v>2180</v>
      </c>
      <c r="E1310" s="50" t="n">
        <v>7</v>
      </c>
      <c r="F1310" s="50" t="s">
        <v>2167</v>
      </c>
      <c r="G1310" s="54" t="n">
        <v>3260400</v>
      </c>
    </row>
    <row r="1311" customFormat="false" ht="15" hidden="false" customHeight="false" outlineLevel="0" collapsed="false">
      <c r="A1311" s="50" t="s">
        <v>637</v>
      </c>
      <c r="B1311" s="51" t="n">
        <v>45738</v>
      </c>
      <c r="C1311" s="50" t="s">
        <v>191</v>
      </c>
      <c r="D1311" s="50" t="s">
        <v>2177</v>
      </c>
      <c r="E1311" s="50" t="n">
        <v>6</v>
      </c>
      <c r="F1311" s="50" t="s">
        <v>2174</v>
      </c>
      <c r="G1311" s="54" t="n">
        <v>6777400</v>
      </c>
    </row>
    <row r="1312" customFormat="false" ht="15" hidden="false" customHeight="false" outlineLevel="0" collapsed="false">
      <c r="A1312" s="50" t="s">
        <v>638</v>
      </c>
      <c r="B1312" s="51" t="n">
        <v>45738</v>
      </c>
      <c r="C1312" s="50" t="s">
        <v>166</v>
      </c>
      <c r="D1312" s="50" t="s">
        <v>2175</v>
      </c>
      <c r="E1312" s="50" t="n">
        <v>7</v>
      </c>
      <c r="F1312" s="50" t="s">
        <v>2167</v>
      </c>
      <c r="G1312" s="54" t="n">
        <v>4503800</v>
      </c>
    </row>
    <row r="1313" customFormat="false" ht="15" hidden="false" customHeight="false" outlineLevel="0" collapsed="false">
      <c r="A1313" s="50" t="s">
        <v>638</v>
      </c>
      <c r="B1313" s="51" t="n">
        <v>45738</v>
      </c>
      <c r="C1313" s="50" t="s">
        <v>166</v>
      </c>
      <c r="D1313" s="50" t="s">
        <v>2181</v>
      </c>
      <c r="E1313" s="50" t="n">
        <v>8</v>
      </c>
      <c r="F1313" s="50" t="s">
        <v>2167</v>
      </c>
      <c r="G1313" s="54" t="n">
        <v>9389000</v>
      </c>
    </row>
    <row r="1314" customFormat="false" ht="15" hidden="false" customHeight="false" outlineLevel="0" collapsed="false">
      <c r="A1314" s="50" t="s">
        <v>638</v>
      </c>
      <c r="B1314" s="51" t="n">
        <v>45738</v>
      </c>
      <c r="C1314" s="50" t="s">
        <v>166</v>
      </c>
      <c r="D1314" s="50" t="s">
        <v>2169</v>
      </c>
      <c r="E1314" s="50" t="n">
        <v>3</v>
      </c>
      <c r="F1314" s="50" t="s">
        <v>2167</v>
      </c>
      <c r="G1314" s="54" t="n">
        <v>1795000</v>
      </c>
    </row>
    <row r="1315" customFormat="false" ht="15" hidden="false" customHeight="false" outlineLevel="0" collapsed="false">
      <c r="A1315" s="50" t="s">
        <v>639</v>
      </c>
      <c r="B1315" s="51" t="n">
        <v>45738</v>
      </c>
      <c r="C1315" s="50" t="s">
        <v>640</v>
      </c>
      <c r="D1315" s="50" t="s">
        <v>2186</v>
      </c>
      <c r="E1315" s="50" t="n">
        <v>7</v>
      </c>
      <c r="F1315" s="50" t="s">
        <v>2167</v>
      </c>
      <c r="G1315" s="54" t="n">
        <v>4031900</v>
      </c>
    </row>
    <row r="1316" customFormat="false" ht="15" hidden="false" customHeight="false" outlineLevel="0" collapsed="false">
      <c r="A1316" s="50" t="s">
        <v>641</v>
      </c>
      <c r="B1316" s="51" t="n">
        <v>45740</v>
      </c>
      <c r="C1316" s="50" t="s">
        <v>358</v>
      </c>
      <c r="D1316" s="50" t="s">
        <v>2186</v>
      </c>
      <c r="E1316" s="50" t="n">
        <v>1</v>
      </c>
      <c r="F1316" s="50" t="s">
        <v>2167</v>
      </c>
      <c r="G1316" s="54" t="n">
        <v>572300</v>
      </c>
    </row>
    <row r="1317" customFormat="false" ht="15" hidden="false" customHeight="false" outlineLevel="0" collapsed="false">
      <c r="A1317" s="50" t="s">
        <v>641</v>
      </c>
      <c r="B1317" s="51" t="n">
        <v>45740</v>
      </c>
      <c r="C1317" s="50" t="s">
        <v>358</v>
      </c>
      <c r="D1317" s="50" t="s">
        <v>2181</v>
      </c>
      <c r="E1317" s="50" t="n">
        <v>2</v>
      </c>
      <c r="F1317" s="50" t="s">
        <v>2167</v>
      </c>
      <c r="G1317" s="54" t="n">
        <v>2239600</v>
      </c>
    </row>
    <row r="1318" customFormat="false" ht="15" hidden="false" customHeight="false" outlineLevel="0" collapsed="false">
      <c r="A1318" s="50" t="s">
        <v>642</v>
      </c>
      <c r="B1318" s="51" t="n">
        <v>45740</v>
      </c>
      <c r="C1318" s="50" t="s">
        <v>475</v>
      </c>
      <c r="D1318" s="50" t="s">
        <v>2187</v>
      </c>
      <c r="E1318" s="50" t="n">
        <v>3</v>
      </c>
      <c r="F1318" s="50" t="s">
        <v>2167</v>
      </c>
      <c r="G1318" s="54" t="n">
        <v>1014100</v>
      </c>
    </row>
    <row r="1319" customFormat="false" ht="15" hidden="false" customHeight="false" outlineLevel="0" collapsed="false">
      <c r="A1319" s="50" t="s">
        <v>642</v>
      </c>
      <c r="B1319" s="51" t="n">
        <v>45740</v>
      </c>
      <c r="C1319" s="50" t="s">
        <v>475</v>
      </c>
      <c r="D1319" s="50" t="s">
        <v>2168</v>
      </c>
      <c r="E1319" s="50" t="n">
        <v>3</v>
      </c>
      <c r="F1319" s="50" t="s">
        <v>2167</v>
      </c>
      <c r="G1319" s="54" t="n">
        <v>1339100</v>
      </c>
    </row>
    <row r="1320" customFormat="false" ht="15" hidden="false" customHeight="false" outlineLevel="0" collapsed="false">
      <c r="A1320" s="50" t="s">
        <v>642</v>
      </c>
      <c r="B1320" s="51" t="n">
        <v>45740</v>
      </c>
      <c r="C1320" s="50" t="s">
        <v>475</v>
      </c>
      <c r="D1320" s="50" t="s">
        <v>2176</v>
      </c>
      <c r="E1320" s="50" t="n">
        <v>5</v>
      </c>
      <c r="F1320" s="50" t="s">
        <v>2167</v>
      </c>
      <c r="G1320" s="54" t="n">
        <v>2096100</v>
      </c>
    </row>
    <row r="1321" customFormat="false" ht="15" hidden="false" customHeight="false" outlineLevel="0" collapsed="false">
      <c r="A1321" s="50" t="s">
        <v>642</v>
      </c>
      <c r="B1321" s="51" t="n">
        <v>45740</v>
      </c>
      <c r="C1321" s="50" t="s">
        <v>475</v>
      </c>
      <c r="D1321" s="50" t="s">
        <v>2180</v>
      </c>
      <c r="E1321" s="50" t="n">
        <v>1</v>
      </c>
      <c r="F1321" s="50" t="s">
        <v>2167</v>
      </c>
      <c r="G1321" s="54" t="n">
        <v>466900</v>
      </c>
    </row>
    <row r="1322" customFormat="false" ht="15" hidden="false" customHeight="false" outlineLevel="0" collapsed="false">
      <c r="A1322" s="50" t="s">
        <v>643</v>
      </c>
      <c r="B1322" s="51" t="n">
        <v>45740</v>
      </c>
      <c r="C1322" s="50" t="s">
        <v>211</v>
      </c>
      <c r="D1322" s="50" t="s">
        <v>2178</v>
      </c>
      <c r="E1322" s="50" t="n">
        <v>1</v>
      </c>
      <c r="F1322" s="50" t="s">
        <v>2167</v>
      </c>
      <c r="G1322" s="54" t="n">
        <v>462000</v>
      </c>
    </row>
    <row r="1323" customFormat="false" ht="15" hidden="false" customHeight="false" outlineLevel="0" collapsed="false">
      <c r="A1323" s="50" t="s">
        <v>643</v>
      </c>
      <c r="B1323" s="51" t="n">
        <v>45740</v>
      </c>
      <c r="C1323" s="50" t="s">
        <v>211</v>
      </c>
      <c r="D1323" s="50" t="s">
        <v>2166</v>
      </c>
      <c r="E1323" s="50" t="n">
        <v>8</v>
      </c>
      <c r="F1323" s="50" t="s">
        <v>2167</v>
      </c>
      <c r="G1323" s="54" t="n">
        <v>4407000</v>
      </c>
    </row>
    <row r="1324" customFormat="false" ht="15" hidden="false" customHeight="false" outlineLevel="0" collapsed="false">
      <c r="A1324" s="50" t="s">
        <v>643</v>
      </c>
      <c r="B1324" s="51" t="n">
        <v>45740</v>
      </c>
      <c r="C1324" s="50" t="s">
        <v>211</v>
      </c>
      <c r="D1324" s="50" t="s">
        <v>2183</v>
      </c>
      <c r="E1324" s="50" t="n">
        <v>6</v>
      </c>
      <c r="F1324" s="50" t="s">
        <v>2167</v>
      </c>
      <c r="G1324" s="54" t="n">
        <v>2296900</v>
      </c>
    </row>
    <row r="1325" customFormat="false" ht="15" hidden="false" customHeight="false" outlineLevel="0" collapsed="false">
      <c r="A1325" s="50" t="s">
        <v>644</v>
      </c>
      <c r="B1325" s="51" t="n">
        <v>45740</v>
      </c>
      <c r="C1325" s="50" t="s">
        <v>562</v>
      </c>
      <c r="D1325" s="50" t="s">
        <v>2188</v>
      </c>
      <c r="E1325" s="50" t="n">
        <v>2</v>
      </c>
      <c r="F1325" s="50" t="s">
        <v>2167</v>
      </c>
      <c r="G1325" s="54" t="n">
        <v>2028800</v>
      </c>
    </row>
    <row r="1326" customFormat="false" ht="15" hidden="false" customHeight="false" outlineLevel="0" collapsed="false">
      <c r="A1326" s="50" t="s">
        <v>644</v>
      </c>
      <c r="B1326" s="51" t="n">
        <v>45740</v>
      </c>
      <c r="C1326" s="50" t="s">
        <v>562</v>
      </c>
      <c r="D1326" s="50" t="s">
        <v>2177</v>
      </c>
      <c r="E1326" s="50" t="n">
        <v>7</v>
      </c>
      <c r="F1326" s="50" t="s">
        <v>2174</v>
      </c>
      <c r="G1326" s="54" t="n">
        <v>7715900</v>
      </c>
    </row>
    <row r="1327" customFormat="false" ht="15" hidden="false" customHeight="false" outlineLevel="0" collapsed="false">
      <c r="A1327" s="50" t="s">
        <v>644</v>
      </c>
      <c r="B1327" s="51" t="n">
        <v>45740</v>
      </c>
      <c r="C1327" s="50" t="s">
        <v>562</v>
      </c>
      <c r="D1327" s="50" t="s">
        <v>2172</v>
      </c>
      <c r="E1327" s="50" t="n">
        <v>6</v>
      </c>
      <c r="F1327" s="50" t="s">
        <v>2167</v>
      </c>
      <c r="G1327" s="54" t="n">
        <v>3008300</v>
      </c>
    </row>
    <row r="1328" customFormat="false" ht="15" hidden="false" customHeight="false" outlineLevel="0" collapsed="false">
      <c r="A1328" s="50" t="s">
        <v>645</v>
      </c>
      <c r="B1328" s="51" t="n">
        <v>45740</v>
      </c>
      <c r="C1328" s="50" t="s">
        <v>247</v>
      </c>
      <c r="D1328" s="50" t="s">
        <v>2180</v>
      </c>
      <c r="E1328" s="50" t="n">
        <v>8</v>
      </c>
      <c r="F1328" s="50" t="s">
        <v>2167</v>
      </c>
      <c r="G1328" s="54" t="n">
        <v>3577500</v>
      </c>
    </row>
    <row r="1329" customFormat="false" ht="15" hidden="false" customHeight="false" outlineLevel="0" collapsed="false">
      <c r="A1329" s="50" t="s">
        <v>645</v>
      </c>
      <c r="B1329" s="51" t="n">
        <v>45740</v>
      </c>
      <c r="C1329" s="50" t="s">
        <v>247</v>
      </c>
      <c r="D1329" s="50" t="s">
        <v>2177</v>
      </c>
      <c r="E1329" s="50" t="n">
        <v>2</v>
      </c>
      <c r="F1329" s="50" t="s">
        <v>2174</v>
      </c>
      <c r="G1329" s="54" t="n">
        <v>2126300</v>
      </c>
    </row>
    <row r="1330" customFormat="false" ht="15" hidden="false" customHeight="false" outlineLevel="0" collapsed="false">
      <c r="A1330" s="50" t="s">
        <v>645</v>
      </c>
      <c r="B1330" s="51" t="n">
        <v>45740</v>
      </c>
      <c r="C1330" s="50" t="s">
        <v>247</v>
      </c>
      <c r="D1330" s="50" t="s">
        <v>2168</v>
      </c>
      <c r="E1330" s="50" t="n">
        <v>6</v>
      </c>
      <c r="F1330" s="50" t="s">
        <v>2167</v>
      </c>
      <c r="G1330" s="54" t="n">
        <v>2571400</v>
      </c>
    </row>
    <row r="1331" customFormat="false" ht="15" hidden="false" customHeight="false" outlineLevel="0" collapsed="false">
      <c r="A1331" s="50" t="s">
        <v>645</v>
      </c>
      <c r="B1331" s="51" t="n">
        <v>45740</v>
      </c>
      <c r="C1331" s="50" t="s">
        <v>247</v>
      </c>
      <c r="D1331" s="50" t="s">
        <v>2176</v>
      </c>
      <c r="E1331" s="50" t="n">
        <v>7</v>
      </c>
      <c r="F1331" s="50" t="s">
        <v>2167</v>
      </c>
      <c r="G1331" s="54" t="n">
        <v>2980500</v>
      </c>
    </row>
    <row r="1332" customFormat="false" ht="15" hidden="false" customHeight="false" outlineLevel="0" collapsed="false">
      <c r="A1332" s="50" t="s">
        <v>645</v>
      </c>
      <c r="B1332" s="51" t="n">
        <v>45740</v>
      </c>
      <c r="C1332" s="50" t="s">
        <v>247</v>
      </c>
      <c r="D1332" s="50" t="s">
        <v>2186</v>
      </c>
      <c r="E1332" s="50" t="n">
        <v>7</v>
      </c>
      <c r="F1332" s="50" t="s">
        <v>2167</v>
      </c>
      <c r="G1332" s="54" t="n">
        <v>4210000</v>
      </c>
    </row>
    <row r="1333" customFormat="false" ht="15" hidden="false" customHeight="false" outlineLevel="0" collapsed="false">
      <c r="A1333" s="50" t="s">
        <v>645</v>
      </c>
      <c r="B1333" s="51" t="n">
        <v>45740</v>
      </c>
      <c r="C1333" s="50" t="s">
        <v>247</v>
      </c>
      <c r="D1333" s="50" t="s">
        <v>2179</v>
      </c>
      <c r="E1333" s="50" t="n">
        <v>2</v>
      </c>
      <c r="F1333" s="50" t="s">
        <v>2174</v>
      </c>
      <c r="G1333" s="54" t="n">
        <v>2470700</v>
      </c>
    </row>
    <row r="1334" customFormat="false" ht="15" hidden="false" customHeight="false" outlineLevel="0" collapsed="false">
      <c r="A1334" s="50" t="s">
        <v>646</v>
      </c>
      <c r="B1334" s="51" t="n">
        <v>45740</v>
      </c>
      <c r="C1334" s="50" t="s">
        <v>475</v>
      </c>
      <c r="D1334" s="50" t="s">
        <v>2185</v>
      </c>
      <c r="E1334" s="50" t="n">
        <v>4</v>
      </c>
      <c r="F1334" s="50" t="s">
        <v>2174</v>
      </c>
      <c r="G1334" s="54" t="n">
        <v>3104800</v>
      </c>
    </row>
    <row r="1335" customFormat="false" ht="15" hidden="false" customHeight="false" outlineLevel="0" collapsed="false">
      <c r="A1335" s="50" t="s">
        <v>646</v>
      </c>
      <c r="B1335" s="51" t="n">
        <v>45740</v>
      </c>
      <c r="C1335" s="50" t="s">
        <v>475</v>
      </c>
      <c r="D1335" s="50" t="s">
        <v>2181</v>
      </c>
      <c r="E1335" s="50" t="n">
        <v>5</v>
      </c>
      <c r="F1335" s="50" t="s">
        <v>2167</v>
      </c>
      <c r="G1335" s="54" t="n">
        <v>5697100</v>
      </c>
    </row>
    <row r="1336" customFormat="false" ht="15" hidden="false" customHeight="false" outlineLevel="0" collapsed="false">
      <c r="A1336" s="50" t="s">
        <v>646</v>
      </c>
      <c r="B1336" s="51" t="n">
        <v>45740</v>
      </c>
      <c r="C1336" s="50" t="s">
        <v>475</v>
      </c>
      <c r="D1336" s="50" t="s">
        <v>2180</v>
      </c>
      <c r="E1336" s="50" t="n">
        <v>8</v>
      </c>
      <c r="F1336" s="50" t="s">
        <v>2167</v>
      </c>
      <c r="G1336" s="54" t="n">
        <v>3691000</v>
      </c>
    </row>
    <row r="1337" customFormat="false" ht="15" hidden="false" customHeight="false" outlineLevel="0" collapsed="false">
      <c r="A1337" s="50" t="s">
        <v>647</v>
      </c>
      <c r="B1337" s="51" t="n">
        <v>45740</v>
      </c>
      <c r="C1337" s="50" t="s">
        <v>179</v>
      </c>
      <c r="D1337" s="50" t="s">
        <v>2172</v>
      </c>
      <c r="E1337" s="50" t="n">
        <v>1</v>
      </c>
      <c r="F1337" s="50" t="s">
        <v>2167</v>
      </c>
      <c r="G1337" s="54" t="n">
        <v>511000</v>
      </c>
    </row>
    <row r="1338" customFormat="false" ht="15" hidden="false" customHeight="false" outlineLevel="0" collapsed="false">
      <c r="A1338" s="50" t="s">
        <v>647</v>
      </c>
      <c r="B1338" s="51" t="n">
        <v>45740</v>
      </c>
      <c r="C1338" s="50" t="s">
        <v>179</v>
      </c>
      <c r="D1338" s="50" t="s">
        <v>2169</v>
      </c>
      <c r="E1338" s="50" t="n">
        <v>1</v>
      </c>
      <c r="F1338" s="50" t="s">
        <v>2167</v>
      </c>
      <c r="G1338" s="54" t="n">
        <v>639200</v>
      </c>
    </row>
    <row r="1339" customFormat="false" ht="15" hidden="false" customHeight="false" outlineLevel="0" collapsed="false">
      <c r="A1339" s="50" t="s">
        <v>648</v>
      </c>
      <c r="B1339" s="51" t="n">
        <v>45741</v>
      </c>
      <c r="C1339" s="50" t="s">
        <v>225</v>
      </c>
      <c r="D1339" s="50" t="s">
        <v>2181</v>
      </c>
      <c r="E1339" s="50" t="n">
        <v>2</v>
      </c>
      <c r="F1339" s="50" t="s">
        <v>2167</v>
      </c>
      <c r="G1339" s="54" t="n">
        <v>2301900</v>
      </c>
    </row>
    <row r="1340" customFormat="false" ht="15" hidden="false" customHeight="false" outlineLevel="0" collapsed="false">
      <c r="A1340" s="50" t="s">
        <v>648</v>
      </c>
      <c r="B1340" s="51" t="n">
        <v>45741</v>
      </c>
      <c r="C1340" s="50" t="s">
        <v>225</v>
      </c>
      <c r="D1340" s="50" t="s">
        <v>2184</v>
      </c>
      <c r="E1340" s="50" t="n">
        <v>1</v>
      </c>
      <c r="F1340" s="50" t="s">
        <v>2167</v>
      </c>
      <c r="G1340" s="54" t="n">
        <v>574200</v>
      </c>
    </row>
    <row r="1341" customFormat="false" ht="15" hidden="false" customHeight="false" outlineLevel="0" collapsed="false">
      <c r="A1341" s="50" t="s">
        <v>648</v>
      </c>
      <c r="B1341" s="51" t="n">
        <v>45741</v>
      </c>
      <c r="C1341" s="50" t="s">
        <v>225</v>
      </c>
      <c r="D1341" s="50" t="s">
        <v>2166</v>
      </c>
      <c r="E1341" s="50" t="n">
        <v>2</v>
      </c>
      <c r="F1341" s="50" t="s">
        <v>2167</v>
      </c>
      <c r="G1341" s="54" t="n">
        <v>1051500</v>
      </c>
    </row>
    <row r="1342" customFormat="false" ht="15" hidden="false" customHeight="false" outlineLevel="0" collapsed="false">
      <c r="A1342" s="50" t="s">
        <v>648</v>
      </c>
      <c r="B1342" s="51" t="n">
        <v>45741</v>
      </c>
      <c r="C1342" s="50" t="s">
        <v>225</v>
      </c>
      <c r="D1342" s="50" t="s">
        <v>2176</v>
      </c>
      <c r="E1342" s="50" t="n">
        <v>4</v>
      </c>
      <c r="F1342" s="50" t="s">
        <v>2167</v>
      </c>
      <c r="G1342" s="54" t="n">
        <v>1729200</v>
      </c>
    </row>
    <row r="1343" customFormat="false" ht="15" hidden="false" customHeight="false" outlineLevel="0" collapsed="false">
      <c r="A1343" s="50" t="s">
        <v>648</v>
      </c>
      <c r="B1343" s="51" t="n">
        <v>45741</v>
      </c>
      <c r="C1343" s="50" t="s">
        <v>225</v>
      </c>
      <c r="D1343" s="50" t="s">
        <v>2183</v>
      </c>
      <c r="E1343" s="50" t="n">
        <v>1</v>
      </c>
      <c r="F1343" s="50" t="s">
        <v>2167</v>
      </c>
      <c r="G1343" s="54" t="n">
        <v>369300</v>
      </c>
    </row>
    <row r="1344" customFormat="false" ht="15" hidden="false" customHeight="false" outlineLevel="0" collapsed="false">
      <c r="A1344" s="50" t="s">
        <v>649</v>
      </c>
      <c r="B1344" s="51" t="n">
        <v>45741</v>
      </c>
      <c r="C1344" s="50" t="s">
        <v>408</v>
      </c>
      <c r="D1344" s="50" t="s">
        <v>2168</v>
      </c>
      <c r="E1344" s="50" t="n">
        <v>2</v>
      </c>
      <c r="F1344" s="50" t="s">
        <v>2167</v>
      </c>
      <c r="G1344" s="54" t="n">
        <v>860700</v>
      </c>
    </row>
    <row r="1345" customFormat="false" ht="15" hidden="false" customHeight="false" outlineLevel="0" collapsed="false">
      <c r="A1345" s="50" t="s">
        <v>649</v>
      </c>
      <c r="B1345" s="51" t="n">
        <v>45741</v>
      </c>
      <c r="C1345" s="50" t="s">
        <v>408</v>
      </c>
      <c r="D1345" s="50" t="s">
        <v>2173</v>
      </c>
      <c r="E1345" s="50" t="n">
        <v>1</v>
      </c>
      <c r="F1345" s="50" t="s">
        <v>2174</v>
      </c>
      <c r="G1345" s="54" t="n">
        <v>783600</v>
      </c>
    </row>
    <row r="1346" customFormat="false" ht="15" hidden="false" customHeight="false" outlineLevel="0" collapsed="false">
      <c r="A1346" s="50" t="s">
        <v>649</v>
      </c>
      <c r="B1346" s="51" t="n">
        <v>45741</v>
      </c>
      <c r="C1346" s="50" t="s">
        <v>408</v>
      </c>
      <c r="D1346" s="50" t="s">
        <v>2179</v>
      </c>
      <c r="E1346" s="50" t="n">
        <v>8</v>
      </c>
      <c r="F1346" s="50" t="s">
        <v>2174</v>
      </c>
      <c r="G1346" s="54" t="n">
        <v>9753300</v>
      </c>
    </row>
    <row r="1347" customFormat="false" ht="15" hidden="false" customHeight="false" outlineLevel="0" collapsed="false">
      <c r="A1347" s="50" t="s">
        <v>649</v>
      </c>
      <c r="B1347" s="51" t="n">
        <v>45741</v>
      </c>
      <c r="C1347" s="50" t="s">
        <v>408</v>
      </c>
      <c r="D1347" s="50" t="s">
        <v>2178</v>
      </c>
      <c r="E1347" s="50" t="n">
        <v>4</v>
      </c>
      <c r="F1347" s="50" t="s">
        <v>2167</v>
      </c>
      <c r="G1347" s="54" t="n">
        <v>1914700</v>
      </c>
    </row>
    <row r="1348" customFormat="false" ht="15" hidden="false" customHeight="false" outlineLevel="0" collapsed="false">
      <c r="A1348" s="50" t="s">
        <v>649</v>
      </c>
      <c r="B1348" s="51" t="n">
        <v>45741</v>
      </c>
      <c r="C1348" s="50" t="s">
        <v>408</v>
      </c>
      <c r="D1348" s="50" t="s">
        <v>2183</v>
      </c>
      <c r="E1348" s="50" t="n">
        <v>1</v>
      </c>
      <c r="F1348" s="50" t="s">
        <v>2167</v>
      </c>
      <c r="G1348" s="54" t="n">
        <v>381000</v>
      </c>
    </row>
    <row r="1349" customFormat="false" ht="15" hidden="false" customHeight="false" outlineLevel="0" collapsed="false">
      <c r="A1349" s="50" t="s">
        <v>649</v>
      </c>
      <c r="B1349" s="51" t="n">
        <v>45741</v>
      </c>
      <c r="C1349" s="50" t="s">
        <v>408</v>
      </c>
      <c r="D1349" s="50" t="s">
        <v>2169</v>
      </c>
      <c r="E1349" s="50" t="n">
        <v>3</v>
      </c>
      <c r="F1349" s="50" t="s">
        <v>2167</v>
      </c>
      <c r="G1349" s="54" t="n">
        <v>1811700</v>
      </c>
    </row>
    <row r="1350" customFormat="false" ht="15" hidden="false" customHeight="false" outlineLevel="0" collapsed="false">
      <c r="A1350" s="50" t="s">
        <v>650</v>
      </c>
      <c r="B1350" s="51" t="n">
        <v>45741</v>
      </c>
      <c r="C1350" s="50" t="s">
        <v>193</v>
      </c>
      <c r="D1350" s="50" t="s">
        <v>2184</v>
      </c>
      <c r="E1350" s="50" t="n">
        <v>5</v>
      </c>
      <c r="F1350" s="50" t="s">
        <v>2167</v>
      </c>
      <c r="G1350" s="54" t="n">
        <v>2821500</v>
      </c>
    </row>
    <row r="1351" customFormat="false" ht="15" hidden="false" customHeight="false" outlineLevel="0" collapsed="false">
      <c r="A1351" s="50" t="s">
        <v>651</v>
      </c>
      <c r="B1351" s="51" t="n">
        <v>45742</v>
      </c>
      <c r="C1351" s="50" t="s">
        <v>216</v>
      </c>
      <c r="D1351" s="50" t="s">
        <v>2186</v>
      </c>
      <c r="E1351" s="50" t="n">
        <v>2</v>
      </c>
      <c r="F1351" s="50" t="s">
        <v>2167</v>
      </c>
      <c r="G1351" s="54" t="n">
        <v>1164800</v>
      </c>
    </row>
    <row r="1352" customFormat="false" ht="15" hidden="false" customHeight="false" outlineLevel="0" collapsed="false">
      <c r="A1352" s="50" t="s">
        <v>652</v>
      </c>
      <c r="B1352" s="51" t="n">
        <v>45742</v>
      </c>
      <c r="C1352" s="50" t="s">
        <v>223</v>
      </c>
      <c r="D1352" s="50" t="s">
        <v>2188</v>
      </c>
      <c r="E1352" s="50" t="n">
        <v>4</v>
      </c>
      <c r="F1352" s="50" t="s">
        <v>2167</v>
      </c>
      <c r="G1352" s="54" t="n">
        <v>3845300</v>
      </c>
    </row>
    <row r="1353" customFormat="false" ht="15" hidden="false" customHeight="false" outlineLevel="0" collapsed="false">
      <c r="A1353" s="50" t="s">
        <v>652</v>
      </c>
      <c r="B1353" s="51" t="n">
        <v>45742</v>
      </c>
      <c r="C1353" s="50" t="s">
        <v>223</v>
      </c>
      <c r="D1353" s="50" t="s">
        <v>2180</v>
      </c>
      <c r="E1353" s="50" t="n">
        <v>5</v>
      </c>
      <c r="F1353" s="50" t="s">
        <v>2167</v>
      </c>
      <c r="G1353" s="54" t="n">
        <v>2332400</v>
      </c>
    </row>
    <row r="1354" customFormat="false" ht="15" hidden="false" customHeight="false" outlineLevel="0" collapsed="false">
      <c r="A1354" s="50" t="s">
        <v>652</v>
      </c>
      <c r="B1354" s="51" t="n">
        <v>45742</v>
      </c>
      <c r="C1354" s="50" t="s">
        <v>223</v>
      </c>
      <c r="D1354" s="50" t="s">
        <v>2166</v>
      </c>
      <c r="E1354" s="50" t="n">
        <v>1</v>
      </c>
      <c r="F1354" s="50" t="s">
        <v>2167</v>
      </c>
      <c r="G1354" s="54" t="n">
        <v>554200</v>
      </c>
    </row>
    <row r="1355" customFormat="false" ht="15" hidden="false" customHeight="false" outlineLevel="0" collapsed="false">
      <c r="A1355" s="50" t="s">
        <v>653</v>
      </c>
      <c r="B1355" s="51" t="n">
        <v>45742</v>
      </c>
      <c r="C1355" s="50" t="s">
        <v>349</v>
      </c>
      <c r="D1355" s="50" t="s">
        <v>2183</v>
      </c>
      <c r="E1355" s="50" t="n">
        <v>6</v>
      </c>
      <c r="F1355" s="50" t="s">
        <v>2167</v>
      </c>
      <c r="G1355" s="54" t="n">
        <v>2199600</v>
      </c>
    </row>
    <row r="1356" customFormat="false" ht="15" hidden="false" customHeight="false" outlineLevel="0" collapsed="false">
      <c r="A1356" s="50" t="s">
        <v>653</v>
      </c>
      <c r="B1356" s="51" t="n">
        <v>45742</v>
      </c>
      <c r="C1356" s="50" t="s">
        <v>349</v>
      </c>
      <c r="D1356" s="50" t="s">
        <v>2175</v>
      </c>
      <c r="E1356" s="50" t="n">
        <v>4</v>
      </c>
      <c r="F1356" s="50" t="s">
        <v>2167</v>
      </c>
      <c r="G1356" s="54" t="n">
        <v>2537000</v>
      </c>
    </row>
    <row r="1357" customFormat="false" ht="15" hidden="false" customHeight="false" outlineLevel="0" collapsed="false">
      <c r="A1357" s="50" t="s">
        <v>653</v>
      </c>
      <c r="B1357" s="51" t="n">
        <v>45742</v>
      </c>
      <c r="C1357" s="50" t="s">
        <v>349</v>
      </c>
      <c r="D1357" s="50" t="s">
        <v>2180</v>
      </c>
      <c r="E1357" s="50" t="n">
        <v>1</v>
      </c>
      <c r="F1357" s="50" t="s">
        <v>2167</v>
      </c>
      <c r="G1357" s="54" t="n">
        <v>434500</v>
      </c>
    </row>
    <row r="1358" customFormat="false" ht="15" hidden="false" customHeight="false" outlineLevel="0" collapsed="false">
      <c r="A1358" s="50" t="s">
        <v>654</v>
      </c>
      <c r="B1358" s="51" t="n">
        <v>45742</v>
      </c>
      <c r="C1358" s="50" t="s">
        <v>416</v>
      </c>
      <c r="D1358" s="50" t="s">
        <v>2186</v>
      </c>
      <c r="E1358" s="50" t="n">
        <v>5</v>
      </c>
      <c r="F1358" s="50" t="s">
        <v>2167</v>
      </c>
      <c r="G1358" s="54" t="n">
        <v>2901100</v>
      </c>
    </row>
    <row r="1359" customFormat="false" ht="15" hidden="false" customHeight="false" outlineLevel="0" collapsed="false">
      <c r="A1359" s="50" t="s">
        <v>654</v>
      </c>
      <c r="B1359" s="51" t="n">
        <v>45742</v>
      </c>
      <c r="C1359" s="50" t="s">
        <v>416</v>
      </c>
      <c r="D1359" s="50" t="s">
        <v>2188</v>
      </c>
      <c r="E1359" s="50" t="n">
        <v>8</v>
      </c>
      <c r="F1359" s="50" t="s">
        <v>2167</v>
      </c>
      <c r="G1359" s="54" t="n">
        <v>8127900</v>
      </c>
    </row>
    <row r="1360" customFormat="false" ht="15" hidden="false" customHeight="false" outlineLevel="0" collapsed="false">
      <c r="A1360" s="50" t="s">
        <v>654</v>
      </c>
      <c r="B1360" s="51" t="n">
        <v>45742</v>
      </c>
      <c r="C1360" s="50" t="s">
        <v>416</v>
      </c>
      <c r="D1360" s="50" t="s">
        <v>2176</v>
      </c>
      <c r="E1360" s="50" t="n">
        <v>1</v>
      </c>
      <c r="F1360" s="50" t="s">
        <v>2167</v>
      </c>
      <c r="G1360" s="54" t="n">
        <v>414100</v>
      </c>
    </row>
    <row r="1361" customFormat="false" ht="15" hidden="false" customHeight="false" outlineLevel="0" collapsed="false">
      <c r="A1361" s="50" t="s">
        <v>654</v>
      </c>
      <c r="B1361" s="51" t="n">
        <v>45742</v>
      </c>
      <c r="C1361" s="50" t="s">
        <v>416</v>
      </c>
      <c r="D1361" s="50" t="s">
        <v>2182</v>
      </c>
      <c r="E1361" s="50" t="n">
        <v>5</v>
      </c>
      <c r="F1361" s="50" t="s">
        <v>2174</v>
      </c>
      <c r="G1361" s="54" t="n">
        <v>4617600</v>
      </c>
    </row>
    <row r="1362" customFormat="false" ht="15" hidden="false" customHeight="false" outlineLevel="0" collapsed="false">
      <c r="A1362" s="50" t="s">
        <v>655</v>
      </c>
      <c r="B1362" s="51" t="n">
        <v>45742</v>
      </c>
      <c r="C1362" s="50" t="s">
        <v>188</v>
      </c>
      <c r="D1362" s="50" t="s">
        <v>2181</v>
      </c>
      <c r="E1362" s="50" t="n">
        <v>3</v>
      </c>
      <c r="F1362" s="50" t="s">
        <v>2167</v>
      </c>
      <c r="G1362" s="54" t="n">
        <v>3367900</v>
      </c>
    </row>
    <row r="1363" customFormat="false" ht="15" hidden="false" customHeight="false" outlineLevel="0" collapsed="false">
      <c r="A1363" s="50" t="s">
        <v>655</v>
      </c>
      <c r="B1363" s="51" t="n">
        <v>45742</v>
      </c>
      <c r="C1363" s="50" t="s">
        <v>188</v>
      </c>
      <c r="D1363" s="50" t="s">
        <v>2178</v>
      </c>
      <c r="E1363" s="50" t="n">
        <v>3</v>
      </c>
      <c r="F1363" s="50" t="s">
        <v>2167</v>
      </c>
      <c r="G1363" s="54" t="n">
        <v>1424800</v>
      </c>
    </row>
    <row r="1364" customFormat="false" ht="15" hidden="false" customHeight="false" outlineLevel="0" collapsed="false">
      <c r="A1364" s="50" t="s">
        <v>655</v>
      </c>
      <c r="B1364" s="51" t="n">
        <v>45742</v>
      </c>
      <c r="C1364" s="50" t="s">
        <v>188</v>
      </c>
      <c r="D1364" s="50" t="s">
        <v>2173</v>
      </c>
      <c r="E1364" s="50" t="n">
        <v>3</v>
      </c>
      <c r="F1364" s="50" t="s">
        <v>2174</v>
      </c>
      <c r="G1364" s="54" t="n">
        <v>2378200</v>
      </c>
    </row>
    <row r="1365" customFormat="false" ht="15" hidden="false" customHeight="false" outlineLevel="0" collapsed="false">
      <c r="A1365" s="50" t="s">
        <v>655</v>
      </c>
      <c r="B1365" s="51" t="n">
        <v>45742</v>
      </c>
      <c r="C1365" s="50" t="s">
        <v>188</v>
      </c>
      <c r="D1365" s="50" t="s">
        <v>2188</v>
      </c>
      <c r="E1365" s="50" t="n">
        <v>5</v>
      </c>
      <c r="F1365" s="50" t="s">
        <v>2167</v>
      </c>
      <c r="G1365" s="54" t="n">
        <v>4828900</v>
      </c>
    </row>
    <row r="1366" customFormat="false" ht="15" hidden="false" customHeight="false" outlineLevel="0" collapsed="false">
      <c r="A1366" s="50" t="s">
        <v>655</v>
      </c>
      <c r="B1366" s="51" t="n">
        <v>45742</v>
      </c>
      <c r="C1366" s="50" t="s">
        <v>188</v>
      </c>
      <c r="D1366" s="50" t="s">
        <v>2176</v>
      </c>
      <c r="E1366" s="50" t="n">
        <v>7</v>
      </c>
      <c r="F1366" s="50" t="s">
        <v>2167</v>
      </c>
      <c r="G1366" s="54" t="n">
        <v>3002500</v>
      </c>
    </row>
    <row r="1367" customFormat="false" ht="15" hidden="false" customHeight="false" outlineLevel="0" collapsed="false">
      <c r="A1367" s="50" t="s">
        <v>656</v>
      </c>
      <c r="B1367" s="51" t="n">
        <v>45743</v>
      </c>
      <c r="C1367" s="50" t="s">
        <v>481</v>
      </c>
      <c r="D1367" s="50" t="s">
        <v>2182</v>
      </c>
      <c r="E1367" s="50" t="n">
        <v>5</v>
      </c>
      <c r="F1367" s="50" t="s">
        <v>2174</v>
      </c>
      <c r="G1367" s="54" t="n">
        <v>4644700</v>
      </c>
    </row>
    <row r="1368" customFormat="false" ht="15" hidden="false" customHeight="false" outlineLevel="0" collapsed="false">
      <c r="A1368" s="50" t="s">
        <v>656</v>
      </c>
      <c r="B1368" s="51" t="n">
        <v>45743</v>
      </c>
      <c r="C1368" s="50" t="s">
        <v>481</v>
      </c>
      <c r="D1368" s="50" t="s">
        <v>2175</v>
      </c>
      <c r="E1368" s="50" t="n">
        <v>7</v>
      </c>
      <c r="F1368" s="50" t="s">
        <v>2167</v>
      </c>
      <c r="G1368" s="54" t="n">
        <v>4327400</v>
      </c>
    </row>
    <row r="1369" customFormat="false" ht="15" hidden="false" customHeight="false" outlineLevel="0" collapsed="false">
      <c r="A1369" s="50" t="s">
        <v>656</v>
      </c>
      <c r="B1369" s="51" t="n">
        <v>45743</v>
      </c>
      <c r="C1369" s="50" t="s">
        <v>481</v>
      </c>
      <c r="D1369" s="50" t="s">
        <v>2184</v>
      </c>
      <c r="E1369" s="50" t="n">
        <v>3</v>
      </c>
      <c r="F1369" s="50" t="s">
        <v>2167</v>
      </c>
      <c r="G1369" s="54" t="n">
        <v>1676100</v>
      </c>
    </row>
    <row r="1370" customFormat="false" ht="15" hidden="false" customHeight="false" outlineLevel="0" collapsed="false">
      <c r="A1370" s="50" t="s">
        <v>656</v>
      </c>
      <c r="B1370" s="51" t="n">
        <v>45743</v>
      </c>
      <c r="C1370" s="50" t="s">
        <v>481</v>
      </c>
      <c r="D1370" s="50" t="s">
        <v>2178</v>
      </c>
      <c r="E1370" s="50" t="n">
        <v>1</v>
      </c>
      <c r="F1370" s="50" t="s">
        <v>2167</v>
      </c>
      <c r="G1370" s="54" t="n">
        <v>466100</v>
      </c>
    </row>
    <row r="1371" customFormat="false" ht="15" hidden="false" customHeight="false" outlineLevel="0" collapsed="false">
      <c r="A1371" s="50" t="s">
        <v>656</v>
      </c>
      <c r="B1371" s="51" t="n">
        <v>45743</v>
      </c>
      <c r="C1371" s="50" t="s">
        <v>481</v>
      </c>
      <c r="D1371" s="50" t="s">
        <v>2172</v>
      </c>
      <c r="E1371" s="50" t="n">
        <v>8</v>
      </c>
      <c r="F1371" s="50" t="s">
        <v>2167</v>
      </c>
      <c r="G1371" s="54" t="n">
        <v>4275800</v>
      </c>
    </row>
    <row r="1372" customFormat="false" ht="15" hidden="false" customHeight="false" outlineLevel="0" collapsed="false">
      <c r="A1372" s="50" t="s">
        <v>656</v>
      </c>
      <c r="B1372" s="51" t="n">
        <v>45743</v>
      </c>
      <c r="C1372" s="50" t="s">
        <v>481</v>
      </c>
      <c r="D1372" s="50" t="s">
        <v>2173</v>
      </c>
      <c r="E1372" s="50" t="n">
        <v>6</v>
      </c>
      <c r="F1372" s="50" t="s">
        <v>2174</v>
      </c>
      <c r="G1372" s="54" t="n">
        <v>4763000</v>
      </c>
    </row>
    <row r="1373" customFormat="false" ht="15" hidden="false" customHeight="false" outlineLevel="0" collapsed="false">
      <c r="A1373" s="50" t="s">
        <v>657</v>
      </c>
      <c r="B1373" s="51" t="n">
        <v>45743</v>
      </c>
      <c r="C1373" s="50" t="s">
        <v>243</v>
      </c>
      <c r="D1373" s="50" t="s">
        <v>2166</v>
      </c>
      <c r="E1373" s="50" t="n">
        <v>5</v>
      </c>
      <c r="F1373" s="50" t="s">
        <v>2167</v>
      </c>
      <c r="G1373" s="54" t="n">
        <v>2707200</v>
      </c>
    </row>
    <row r="1374" customFormat="false" ht="15" hidden="false" customHeight="false" outlineLevel="0" collapsed="false">
      <c r="A1374" s="50" t="s">
        <v>657</v>
      </c>
      <c r="B1374" s="51" t="n">
        <v>45743</v>
      </c>
      <c r="C1374" s="50" t="s">
        <v>243</v>
      </c>
      <c r="D1374" s="50" t="s">
        <v>2187</v>
      </c>
      <c r="E1374" s="50" t="n">
        <v>1</v>
      </c>
      <c r="F1374" s="50" t="s">
        <v>2167</v>
      </c>
      <c r="G1374" s="54" t="n">
        <v>347400</v>
      </c>
    </row>
    <row r="1375" customFormat="false" ht="15" hidden="false" customHeight="false" outlineLevel="0" collapsed="false">
      <c r="A1375" s="50" t="s">
        <v>657</v>
      </c>
      <c r="B1375" s="51" t="n">
        <v>45743</v>
      </c>
      <c r="C1375" s="50" t="s">
        <v>243</v>
      </c>
      <c r="D1375" s="50" t="s">
        <v>2176</v>
      </c>
      <c r="E1375" s="50" t="n">
        <v>5</v>
      </c>
      <c r="F1375" s="50" t="s">
        <v>2167</v>
      </c>
      <c r="G1375" s="54" t="n">
        <v>2112800</v>
      </c>
    </row>
    <row r="1376" customFormat="false" ht="15" hidden="false" customHeight="false" outlineLevel="0" collapsed="false">
      <c r="A1376" s="50" t="s">
        <v>657</v>
      </c>
      <c r="B1376" s="51" t="n">
        <v>45743</v>
      </c>
      <c r="C1376" s="50" t="s">
        <v>243</v>
      </c>
      <c r="D1376" s="50" t="s">
        <v>2186</v>
      </c>
      <c r="E1376" s="50" t="n">
        <v>6</v>
      </c>
      <c r="F1376" s="50" t="s">
        <v>2167</v>
      </c>
      <c r="G1376" s="54" t="n">
        <v>3527600</v>
      </c>
    </row>
    <row r="1377" customFormat="false" ht="15" hidden="false" customHeight="false" outlineLevel="0" collapsed="false">
      <c r="A1377" s="50" t="s">
        <v>657</v>
      </c>
      <c r="B1377" s="51" t="n">
        <v>45743</v>
      </c>
      <c r="C1377" s="50" t="s">
        <v>243</v>
      </c>
      <c r="D1377" s="50" t="s">
        <v>2183</v>
      </c>
      <c r="E1377" s="50" t="n">
        <v>3</v>
      </c>
      <c r="F1377" s="50" t="s">
        <v>2167</v>
      </c>
      <c r="G1377" s="54" t="n">
        <v>1176800</v>
      </c>
    </row>
    <row r="1378" customFormat="false" ht="15" hidden="false" customHeight="false" outlineLevel="0" collapsed="false">
      <c r="A1378" s="50" t="s">
        <v>657</v>
      </c>
      <c r="B1378" s="51" t="n">
        <v>45743</v>
      </c>
      <c r="C1378" s="50" t="s">
        <v>243</v>
      </c>
      <c r="D1378" s="50" t="s">
        <v>2181</v>
      </c>
      <c r="E1378" s="50" t="n">
        <v>2</v>
      </c>
      <c r="F1378" s="50" t="s">
        <v>2167</v>
      </c>
      <c r="G1378" s="54" t="n">
        <v>2391500</v>
      </c>
    </row>
    <row r="1379" customFormat="false" ht="15" hidden="false" customHeight="false" outlineLevel="0" collapsed="false">
      <c r="A1379" s="50" t="s">
        <v>657</v>
      </c>
      <c r="B1379" s="51" t="n">
        <v>45743</v>
      </c>
      <c r="C1379" s="50" t="s">
        <v>243</v>
      </c>
      <c r="D1379" s="50" t="s">
        <v>2188</v>
      </c>
      <c r="E1379" s="50" t="n">
        <v>4</v>
      </c>
      <c r="F1379" s="50" t="s">
        <v>2167</v>
      </c>
      <c r="G1379" s="54" t="n">
        <v>4004500</v>
      </c>
    </row>
    <row r="1380" customFormat="false" ht="15" hidden="false" customHeight="false" outlineLevel="0" collapsed="false">
      <c r="A1380" s="50" t="s">
        <v>658</v>
      </c>
      <c r="B1380" s="51" t="n">
        <v>45743</v>
      </c>
      <c r="C1380" s="50" t="s">
        <v>213</v>
      </c>
      <c r="D1380" s="50" t="s">
        <v>2170</v>
      </c>
      <c r="E1380" s="50" t="n">
        <v>2</v>
      </c>
      <c r="F1380" s="50" t="s">
        <v>2171</v>
      </c>
      <c r="G1380" s="54" t="n">
        <v>14862900</v>
      </c>
    </row>
    <row r="1381" customFormat="false" ht="15" hidden="false" customHeight="false" outlineLevel="0" collapsed="false">
      <c r="A1381" s="50" t="s">
        <v>658</v>
      </c>
      <c r="B1381" s="51" t="n">
        <v>45743</v>
      </c>
      <c r="C1381" s="50" t="s">
        <v>213</v>
      </c>
      <c r="D1381" s="50" t="s">
        <v>2183</v>
      </c>
      <c r="E1381" s="50" t="n">
        <v>7</v>
      </c>
      <c r="F1381" s="50" t="s">
        <v>2167</v>
      </c>
      <c r="G1381" s="54" t="n">
        <v>2751800</v>
      </c>
    </row>
    <row r="1382" customFormat="false" ht="15" hidden="false" customHeight="false" outlineLevel="0" collapsed="false">
      <c r="A1382" s="50" t="s">
        <v>658</v>
      </c>
      <c r="B1382" s="51" t="n">
        <v>45743</v>
      </c>
      <c r="C1382" s="50" t="s">
        <v>213</v>
      </c>
      <c r="D1382" s="50" t="s">
        <v>2175</v>
      </c>
      <c r="E1382" s="50" t="n">
        <v>8</v>
      </c>
      <c r="F1382" s="50" t="s">
        <v>2167</v>
      </c>
      <c r="G1382" s="54" t="n">
        <v>5135600</v>
      </c>
    </row>
    <row r="1383" customFormat="false" ht="15" hidden="false" customHeight="false" outlineLevel="0" collapsed="false">
      <c r="A1383" s="50" t="s">
        <v>658</v>
      </c>
      <c r="B1383" s="51" t="n">
        <v>45743</v>
      </c>
      <c r="C1383" s="50" t="s">
        <v>213</v>
      </c>
      <c r="D1383" s="50" t="s">
        <v>2173</v>
      </c>
      <c r="E1383" s="50" t="n">
        <v>5</v>
      </c>
      <c r="F1383" s="50" t="s">
        <v>2174</v>
      </c>
      <c r="G1383" s="54" t="n">
        <v>4093600</v>
      </c>
    </row>
    <row r="1384" customFormat="false" ht="15" hidden="false" customHeight="false" outlineLevel="0" collapsed="false">
      <c r="A1384" s="50" t="s">
        <v>659</v>
      </c>
      <c r="B1384" s="51" t="n">
        <v>45743</v>
      </c>
      <c r="C1384" s="50" t="s">
        <v>416</v>
      </c>
      <c r="D1384" s="50" t="s">
        <v>2173</v>
      </c>
      <c r="E1384" s="50" t="n">
        <v>5</v>
      </c>
      <c r="F1384" s="50" t="s">
        <v>2174</v>
      </c>
      <c r="G1384" s="54" t="n">
        <v>3927700</v>
      </c>
    </row>
    <row r="1385" customFormat="false" ht="15" hidden="false" customHeight="false" outlineLevel="0" collapsed="false">
      <c r="A1385" s="50" t="s">
        <v>659</v>
      </c>
      <c r="B1385" s="51" t="n">
        <v>45743</v>
      </c>
      <c r="C1385" s="50" t="s">
        <v>416</v>
      </c>
      <c r="D1385" s="50" t="s">
        <v>2169</v>
      </c>
      <c r="E1385" s="50" t="n">
        <v>1</v>
      </c>
      <c r="F1385" s="50" t="s">
        <v>2167</v>
      </c>
      <c r="G1385" s="54" t="n">
        <v>642600</v>
      </c>
    </row>
    <row r="1386" customFormat="false" ht="15" hidden="false" customHeight="false" outlineLevel="0" collapsed="false">
      <c r="A1386" s="50" t="s">
        <v>660</v>
      </c>
      <c r="B1386" s="51" t="n">
        <v>45743</v>
      </c>
      <c r="C1386" s="50" t="s">
        <v>562</v>
      </c>
      <c r="D1386" s="50" t="s">
        <v>2173</v>
      </c>
      <c r="E1386" s="50" t="n">
        <v>2</v>
      </c>
      <c r="F1386" s="50" t="s">
        <v>2174</v>
      </c>
      <c r="G1386" s="54" t="n">
        <v>1662300</v>
      </c>
    </row>
    <row r="1387" customFormat="false" ht="15" hidden="false" customHeight="false" outlineLevel="0" collapsed="false">
      <c r="A1387" s="50" t="s">
        <v>660</v>
      </c>
      <c r="B1387" s="51" t="n">
        <v>45743</v>
      </c>
      <c r="C1387" s="50" t="s">
        <v>562</v>
      </c>
      <c r="D1387" s="50" t="s">
        <v>2172</v>
      </c>
      <c r="E1387" s="50" t="n">
        <v>6</v>
      </c>
      <c r="F1387" s="50" t="s">
        <v>2167</v>
      </c>
      <c r="G1387" s="54" t="n">
        <v>3175200</v>
      </c>
    </row>
    <row r="1388" customFormat="false" ht="15" hidden="false" customHeight="false" outlineLevel="0" collapsed="false">
      <c r="A1388" s="50" t="s">
        <v>661</v>
      </c>
      <c r="B1388" s="51" t="n">
        <v>45743</v>
      </c>
      <c r="C1388" s="50" t="s">
        <v>216</v>
      </c>
      <c r="D1388" s="50" t="s">
        <v>2172</v>
      </c>
      <c r="E1388" s="50" t="n">
        <v>2</v>
      </c>
      <c r="F1388" s="50" t="s">
        <v>2167</v>
      </c>
      <c r="G1388" s="54" t="n">
        <v>1019900</v>
      </c>
    </row>
    <row r="1389" customFormat="false" ht="15" hidden="false" customHeight="false" outlineLevel="0" collapsed="false">
      <c r="A1389" s="50" t="s">
        <v>661</v>
      </c>
      <c r="B1389" s="51" t="n">
        <v>45743</v>
      </c>
      <c r="C1389" s="50" t="s">
        <v>216</v>
      </c>
      <c r="D1389" s="50" t="s">
        <v>2186</v>
      </c>
      <c r="E1389" s="50" t="n">
        <v>7</v>
      </c>
      <c r="F1389" s="50" t="s">
        <v>2167</v>
      </c>
      <c r="G1389" s="54" t="n">
        <v>4038100</v>
      </c>
    </row>
    <row r="1390" customFormat="false" ht="15" hidden="false" customHeight="false" outlineLevel="0" collapsed="false">
      <c r="A1390" s="50" t="s">
        <v>661</v>
      </c>
      <c r="B1390" s="51" t="n">
        <v>45743</v>
      </c>
      <c r="C1390" s="50" t="s">
        <v>216</v>
      </c>
      <c r="D1390" s="50" t="s">
        <v>2183</v>
      </c>
      <c r="E1390" s="50" t="n">
        <v>3</v>
      </c>
      <c r="F1390" s="50" t="s">
        <v>2167</v>
      </c>
      <c r="G1390" s="54" t="n">
        <v>1162400</v>
      </c>
    </row>
    <row r="1391" customFormat="false" ht="15" hidden="false" customHeight="false" outlineLevel="0" collapsed="false">
      <c r="A1391" s="50" t="s">
        <v>661</v>
      </c>
      <c r="B1391" s="51" t="n">
        <v>45743</v>
      </c>
      <c r="C1391" s="50" t="s">
        <v>216</v>
      </c>
      <c r="D1391" s="50" t="s">
        <v>2173</v>
      </c>
      <c r="E1391" s="50" t="n">
        <v>6</v>
      </c>
      <c r="F1391" s="50" t="s">
        <v>2174</v>
      </c>
      <c r="G1391" s="54" t="n">
        <v>4675000</v>
      </c>
    </row>
    <row r="1392" customFormat="false" ht="15" hidden="false" customHeight="false" outlineLevel="0" collapsed="false">
      <c r="A1392" s="50" t="s">
        <v>661</v>
      </c>
      <c r="B1392" s="51" t="n">
        <v>45743</v>
      </c>
      <c r="C1392" s="50" t="s">
        <v>216</v>
      </c>
      <c r="D1392" s="50" t="s">
        <v>2179</v>
      </c>
      <c r="E1392" s="50" t="n">
        <v>5</v>
      </c>
      <c r="F1392" s="50" t="s">
        <v>2174</v>
      </c>
      <c r="G1392" s="54" t="n">
        <v>6359400</v>
      </c>
    </row>
    <row r="1393" customFormat="false" ht="15" hidden="false" customHeight="false" outlineLevel="0" collapsed="false">
      <c r="A1393" s="50" t="s">
        <v>661</v>
      </c>
      <c r="B1393" s="51" t="n">
        <v>45743</v>
      </c>
      <c r="C1393" s="50" t="s">
        <v>216</v>
      </c>
      <c r="D1393" s="50" t="s">
        <v>2180</v>
      </c>
      <c r="E1393" s="50" t="n">
        <v>7</v>
      </c>
      <c r="F1393" s="50" t="s">
        <v>2167</v>
      </c>
      <c r="G1393" s="54" t="n">
        <v>3112900</v>
      </c>
    </row>
    <row r="1394" customFormat="false" ht="15" hidden="false" customHeight="false" outlineLevel="0" collapsed="false">
      <c r="A1394" s="50" t="s">
        <v>662</v>
      </c>
      <c r="B1394" s="51" t="n">
        <v>45743</v>
      </c>
      <c r="C1394" s="50" t="s">
        <v>286</v>
      </c>
      <c r="D1394" s="50" t="s">
        <v>2186</v>
      </c>
      <c r="E1394" s="50" t="n">
        <v>3</v>
      </c>
      <c r="F1394" s="50" t="s">
        <v>2167</v>
      </c>
      <c r="G1394" s="54" t="n">
        <v>1810700</v>
      </c>
    </row>
    <row r="1395" customFormat="false" ht="15" hidden="false" customHeight="false" outlineLevel="0" collapsed="false">
      <c r="A1395" s="50" t="s">
        <v>662</v>
      </c>
      <c r="B1395" s="51" t="n">
        <v>45743</v>
      </c>
      <c r="C1395" s="50" t="s">
        <v>286</v>
      </c>
      <c r="D1395" s="50" t="s">
        <v>2181</v>
      </c>
      <c r="E1395" s="50" t="n">
        <v>7</v>
      </c>
      <c r="F1395" s="50" t="s">
        <v>2167</v>
      </c>
      <c r="G1395" s="54" t="n">
        <v>7748100</v>
      </c>
    </row>
    <row r="1396" customFormat="false" ht="15" hidden="false" customHeight="false" outlineLevel="0" collapsed="false">
      <c r="A1396" s="50" t="s">
        <v>662</v>
      </c>
      <c r="B1396" s="51" t="n">
        <v>45743</v>
      </c>
      <c r="C1396" s="50" t="s">
        <v>286</v>
      </c>
      <c r="D1396" s="50" t="s">
        <v>2185</v>
      </c>
      <c r="E1396" s="50" t="n">
        <v>1</v>
      </c>
      <c r="F1396" s="50" t="s">
        <v>2174</v>
      </c>
      <c r="G1396" s="54" t="n">
        <v>779100</v>
      </c>
    </row>
    <row r="1397" customFormat="false" ht="15" hidden="false" customHeight="false" outlineLevel="0" collapsed="false">
      <c r="A1397" s="50" t="s">
        <v>663</v>
      </c>
      <c r="B1397" s="51" t="n">
        <v>45744</v>
      </c>
      <c r="C1397" s="50" t="s">
        <v>166</v>
      </c>
      <c r="D1397" s="50" t="s">
        <v>2184</v>
      </c>
      <c r="E1397" s="50" t="n">
        <v>1</v>
      </c>
      <c r="F1397" s="50" t="s">
        <v>2167</v>
      </c>
      <c r="G1397" s="54" t="n">
        <v>553900</v>
      </c>
    </row>
    <row r="1398" customFormat="false" ht="15" hidden="false" customHeight="false" outlineLevel="0" collapsed="false">
      <c r="A1398" s="50" t="s">
        <v>663</v>
      </c>
      <c r="B1398" s="51" t="n">
        <v>45744</v>
      </c>
      <c r="C1398" s="50" t="s">
        <v>166</v>
      </c>
      <c r="D1398" s="50" t="s">
        <v>2178</v>
      </c>
      <c r="E1398" s="50" t="n">
        <v>2</v>
      </c>
      <c r="F1398" s="50" t="s">
        <v>2167</v>
      </c>
      <c r="G1398" s="54" t="n">
        <v>946700</v>
      </c>
    </row>
    <row r="1399" customFormat="false" ht="15" hidden="false" customHeight="false" outlineLevel="0" collapsed="false">
      <c r="A1399" s="50" t="s">
        <v>663</v>
      </c>
      <c r="B1399" s="51" t="n">
        <v>45744</v>
      </c>
      <c r="C1399" s="50" t="s">
        <v>166</v>
      </c>
      <c r="D1399" s="50" t="s">
        <v>2185</v>
      </c>
      <c r="E1399" s="50" t="n">
        <v>2</v>
      </c>
      <c r="F1399" s="50" t="s">
        <v>2174</v>
      </c>
      <c r="G1399" s="54" t="n">
        <v>1586000</v>
      </c>
    </row>
    <row r="1400" customFormat="false" ht="15" hidden="false" customHeight="false" outlineLevel="0" collapsed="false">
      <c r="A1400" s="50" t="s">
        <v>663</v>
      </c>
      <c r="B1400" s="51" t="n">
        <v>45744</v>
      </c>
      <c r="C1400" s="50" t="s">
        <v>166</v>
      </c>
      <c r="D1400" s="50" t="s">
        <v>2169</v>
      </c>
      <c r="E1400" s="50" t="n">
        <v>3</v>
      </c>
      <c r="F1400" s="50" t="s">
        <v>2167</v>
      </c>
      <c r="G1400" s="54" t="n">
        <v>1837600</v>
      </c>
    </row>
    <row r="1401" customFormat="false" ht="15" hidden="false" customHeight="false" outlineLevel="0" collapsed="false">
      <c r="A1401" s="50" t="s">
        <v>664</v>
      </c>
      <c r="B1401" s="51" t="n">
        <v>45744</v>
      </c>
      <c r="C1401" s="50" t="s">
        <v>225</v>
      </c>
      <c r="D1401" s="50" t="s">
        <v>2186</v>
      </c>
      <c r="E1401" s="50" t="n">
        <v>4</v>
      </c>
      <c r="F1401" s="50" t="s">
        <v>2167</v>
      </c>
      <c r="G1401" s="54" t="n">
        <v>2441400</v>
      </c>
    </row>
    <row r="1402" customFormat="false" ht="15" hidden="false" customHeight="false" outlineLevel="0" collapsed="false">
      <c r="A1402" s="50" t="s">
        <v>665</v>
      </c>
      <c r="B1402" s="51" t="n">
        <v>45744</v>
      </c>
      <c r="C1402" s="50" t="s">
        <v>666</v>
      </c>
      <c r="D1402" s="50" t="s">
        <v>2177</v>
      </c>
      <c r="E1402" s="50" t="n">
        <v>7</v>
      </c>
      <c r="F1402" s="50" t="s">
        <v>2174</v>
      </c>
      <c r="G1402" s="54" t="n">
        <v>7947200</v>
      </c>
    </row>
    <row r="1403" customFormat="false" ht="15" hidden="false" customHeight="false" outlineLevel="0" collapsed="false">
      <c r="A1403" s="50" t="s">
        <v>665</v>
      </c>
      <c r="B1403" s="51" t="n">
        <v>45744</v>
      </c>
      <c r="C1403" s="50" t="s">
        <v>666</v>
      </c>
      <c r="D1403" s="50" t="s">
        <v>2172</v>
      </c>
      <c r="E1403" s="50" t="n">
        <v>4</v>
      </c>
      <c r="F1403" s="50" t="s">
        <v>2167</v>
      </c>
      <c r="G1403" s="54" t="n">
        <v>2078200</v>
      </c>
    </row>
    <row r="1404" customFormat="false" ht="15" hidden="false" customHeight="false" outlineLevel="0" collapsed="false">
      <c r="A1404" s="50" t="s">
        <v>665</v>
      </c>
      <c r="B1404" s="51" t="n">
        <v>45744</v>
      </c>
      <c r="C1404" s="50" t="s">
        <v>666</v>
      </c>
      <c r="D1404" s="50" t="s">
        <v>2173</v>
      </c>
      <c r="E1404" s="50" t="n">
        <v>3</v>
      </c>
      <c r="F1404" s="50" t="s">
        <v>2174</v>
      </c>
      <c r="G1404" s="54" t="n">
        <v>2467400</v>
      </c>
    </row>
    <row r="1405" customFormat="false" ht="15" hidden="false" customHeight="false" outlineLevel="0" collapsed="false">
      <c r="A1405" s="50" t="s">
        <v>667</v>
      </c>
      <c r="B1405" s="51" t="n">
        <v>45744</v>
      </c>
      <c r="C1405" s="50" t="s">
        <v>211</v>
      </c>
      <c r="D1405" s="50" t="s">
        <v>2186</v>
      </c>
      <c r="E1405" s="50" t="n">
        <v>6</v>
      </c>
      <c r="F1405" s="50" t="s">
        <v>2167</v>
      </c>
      <c r="G1405" s="54" t="n">
        <v>3618000</v>
      </c>
    </row>
    <row r="1406" customFormat="false" ht="15" hidden="false" customHeight="false" outlineLevel="0" collapsed="false">
      <c r="A1406" s="50" t="s">
        <v>667</v>
      </c>
      <c r="B1406" s="51" t="n">
        <v>45744</v>
      </c>
      <c r="C1406" s="50" t="s">
        <v>211</v>
      </c>
      <c r="D1406" s="50" t="s">
        <v>2188</v>
      </c>
      <c r="E1406" s="50" t="n">
        <v>8</v>
      </c>
      <c r="F1406" s="50" t="s">
        <v>2167</v>
      </c>
      <c r="G1406" s="54" t="n">
        <v>7928000</v>
      </c>
    </row>
    <row r="1407" customFormat="false" ht="15" hidden="false" customHeight="false" outlineLevel="0" collapsed="false">
      <c r="A1407" s="50" t="s">
        <v>667</v>
      </c>
      <c r="B1407" s="51" t="n">
        <v>45744</v>
      </c>
      <c r="C1407" s="50" t="s">
        <v>211</v>
      </c>
      <c r="D1407" s="50" t="s">
        <v>2169</v>
      </c>
      <c r="E1407" s="50" t="n">
        <v>1</v>
      </c>
      <c r="F1407" s="50" t="s">
        <v>2167</v>
      </c>
      <c r="G1407" s="54" t="n">
        <v>604500</v>
      </c>
    </row>
    <row r="1408" customFormat="false" ht="15" hidden="false" customHeight="false" outlineLevel="0" collapsed="false">
      <c r="A1408" s="50" t="s">
        <v>668</v>
      </c>
      <c r="B1408" s="51" t="n">
        <v>45744</v>
      </c>
      <c r="C1408" s="50" t="s">
        <v>247</v>
      </c>
      <c r="D1408" s="50" t="s">
        <v>2169</v>
      </c>
      <c r="E1408" s="50" t="n">
        <v>6</v>
      </c>
      <c r="F1408" s="50" t="s">
        <v>2167</v>
      </c>
      <c r="G1408" s="54" t="n">
        <v>3655000</v>
      </c>
    </row>
    <row r="1409" customFormat="false" ht="15" hidden="false" customHeight="false" outlineLevel="0" collapsed="false">
      <c r="A1409" s="50" t="s">
        <v>668</v>
      </c>
      <c r="B1409" s="51" t="n">
        <v>45744</v>
      </c>
      <c r="C1409" s="50" t="s">
        <v>247</v>
      </c>
      <c r="D1409" s="50" t="s">
        <v>2175</v>
      </c>
      <c r="E1409" s="50" t="n">
        <v>8</v>
      </c>
      <c r="F1409" s="50" t="s">
        <v>2167</v>
      </c>
      <c r="G1409" s="54" t="n">
        <v>4919000</v>
      </c>
    </row>
    <row r="1410" customFormat="false" ht="15" hidden="false" customHeight="false" outlineLevel="0" collapsed="false">
      <c r="A1410" s="50" t="s">
        <v>668</v>
      </c>
      <c r="B1410" s="51" t="n">
        <v>45744</v>
      </c>
      <c r="C1410" s="50" t="s">
        <v>247</v>
      </c>
      <c r="D1410" s="50" t="s">
        <v>2176</v>
      </c>
      <c r="E1410" s="50" t="n">
        <v>8</v>
      </c>
      <c r="F1410" s="50" t="s">
        <v>2167</v>
      </c>
      <c r="G1410" s="54" t="n">
        <v>3422200</v>
      </c>
    </row>
    <row r="1411" customFormat="false" ht="15" hidden="false" customHeight="false" outlineLevel="0" collapsed="false">
      <c r="A1411" s="50" t="s">
        <v>668</v>
      </c>
      <c r="B1411" s="51" t="n">
        <v>45744</v>
      </c>
      <c r="C1411" s="50" t="s">
        <v>247</v>
      </c>
      <c r="D1411" s="50" t="s">
        <v>2180</v>
      </c>
      <c r="E1411" s="50" t="n">
        <v>1</v>
      </c>
      <c r="F1411" s="50" t="s">
        <v>2167</v>
      </c>
      <c r="G1411" s="54" t="n">
        <v>446100</v>
      </c>
    </row>
    <row r="1412" customFormat="false" ht="15" hidden="false" customHeight="false" outlineLevel="0" collapsed="false">
      <c r="A1412" s="50" t="s">
        <v>668</v>
      </c>
      <c r="B1412" s="51" t="n">
        <v>45744</v>
      </c>
      <c r="C1412" s="50" t="s">
        <v>247</v>
      </c>
      <c r="D1412" s="50" t="s">
        <v>2182</v>
      </c>
      <c r="E1412" s="50" t="n">
        <v>3</v>
      </c>
      <c r="F1412" s="50" t="s">
        <v>2174</v>
      </c>
      <c r="G1412" s="54" t="n">
        <v>2792800</v>
      </c>
    </row>
    <row r="1413" customFormat="false" ht="15" hidden="false" customHeight="false" outlineLevel="0" collapsed="false">
      <c r="A1413" s="50" t="s">
        <v>669</v>
      </c>
      <c r="B1413" s="51" t="n">
        <v>45744</v>
      </c>
      <c r="C1413" s="50" t="s">
        <v>296</v>
      </c>
      <c r="D1413" s="50" t="s">
        <v>2183</v>
      </c>
      <c r="E1413" s="50" t="n">
        <v>1</v>
      </c>
      <c r="F1413" s="50" t="s">
        <v>2167</v>
      </c>
      <c r="G1413" s="54" t="n">
        <v>389900</v>
      </c>
    </row>
    <row r="1414" customFormat="false" ht="15" hidden="false" customHeight="false" outlineLevel="0" collapsed="false">
      <c r="A1414" s="50" t="s">
        <v>669</v>
      </c>
      <c r="B1414" s="51" t="n">
        <v>45744</v>
      </c>
      <c r="C1414" s="50" t="s">
        <v>296</v>
      </c>
      <c r="D1414" s="50" t="s">
        <v>2178</v>
      </c>
      <c r="E1414" s="50" t="n">
        <v>8</v>
      </c>
      <c r="F1414" s="50" t="s">
        <v>2167</v>
      </c>
      <c r="G1414" s="54" t="n">
        <v>3972600</v>
      </c>
    </row>
    <row r="1415" customFormat="false" ht="15" hidden="false" customHeight="false" outlineLevel="0" collapsed="false">
      <c r="A1415" s="50" t="s">
        <v>669</v>
      </c>
      <c r="B1415" s="51" t="n">
        <v>45744</v>
      </c>
      <c r="C1415" s="50" t="s">
        <v>296</v>
      </c>
      <c r="D1415" s="50" t="s">
        <v>2176</v>
      </c>
      <c r="E1415" s="50" t="n">
        <v>6</v>
      </c>
      <c r="F1415" s="50" t="s">
        <v>2167</v>
      </c>
      <c r="G1415" s="54" t="n">
        <v>2531300</v>
      </c>
    </row>
    <row r="1416" customFormat="false" ht="15" hidden="false" customHeight="false" outlineLevel="0" collapsed="false">
      <c r="A1416" s="50" t="s">
        <v>669</v>
      </c>
      <c r="B1416" s="51" t="n">
        <v>45744</v>
      </c>
      <c r="C1416" s="50" t="s">
        <v>296</v>
      </c>
      <c r="D1416" s="50" t="s">
        <v>2186</v>
      </c>
      <c r="E1416" s="50" t="n">
        <v>1</v>
      </c>
      <c r="F1416" s="50" t="s">
        <v>2167</v>
      </c>
      <c r="G1416" s="54" t="n">
        <v>571600</v>
      </c>
    </row>
    <row r="1417" customFormat="false" ht="15" hidden="false" customHeight="false" outlineLevel="0" collapsed="false">
      <c r="A1417" s="50" t="s">
        <v>669</v>
      </c>
      <c r="B1417" s="51" t="n">
        <v>45744</v>
      </c>
      <c r="C1417" s="50" t="s">
        <v>296</v>
      </c>
      <c r="D1417" s="50" t="s">
        <v>2185</v>
      </c>
      <c r="E1417" s="50" t="n">
        <v>5</v>
      </c>
      <c r="F1417" s="50" t="s">
        <v>2174</v>
      </c>
      <c r="G1417" s="54" t="n">
        <v>3967500</v>
      </c>
    </row>
    <row r="1418" customFormat="false" ht="15" hidden="false" customHeight="false" outlineLevel="0" collapsed="false">
      <c r="A1418" s="50" t="s">
        <v>669</v>
      </c>
      <c r="B1418" s="51" t="n">
        <v>45744</v>
      </c>
      <c r="C1418" s="50" t="s">
        <v>296</v>
      </c>
      <c r="D1418" s="50" t="s">
        <v>2166</v>
      </c>
      <c r="E1418" s="50" t="n">
        <v>1</v>
      </c>
      <c r="F1418" s="50" t="s">
        <v>2167</v>
      </c>
      <c r="G1418" s="54" t="n">
        <v>526700</v>
      </c>
    </row>
    <row r="1419" customFormat="false" ht="15" hidden="false" customHeight="false" outlineLevel="0" collapsed="false">
      <c r="A1419" s="50" t="s">
        <v>670</v>
      </c>
      <c r="B1419" s="51" t="n">
        <v>45745</v>
      </c>
      <c r="C1419" s="50" t="s">
        <v>234</v>
      </c>
      <c r="D1419" s="50" t="s">
        <v>2184</v>
      </c>
      <c r="E1419" s="50" t="n">
        <v>8</v>
      </c>
      <c r="F1419" s="50" t="s">
        <v>2167</v>
      </c>
      <c r="G1419" s="54" t="n">
        <v>4357900</v>
      </c>
    </row>
    <row r="1420" customFormat="false" ht="15" hidden="false" customHeight="false" outlineLevel="0" collapsed="false">
      <c r="A1420" s="50" t="s">
        <v>670</v>
      </c>
      <c r="B1420" s="51" t="n">
        <v>45745</v>
      </c>
      <c r="C1420" s="50" t="s">
        <v>234</v>
      </c>
      <c r="D1420" s="50" t="s">
        <v>2180</v>
      </c>
      <c r="E1420" s="50" t="n">
        <v>4</v>
      </c>
      <c r="F1420" s="50" t="s">
        <v>2167</v>
      </c>
      <c r="G1420" s="54" t="n">
        <v>1805900</v>
      </c>
    </row>
    <row r="1421" customFormat="false" ht="15" hidden="false" customHeight="false" outlineLevel="0" collapsed="false">
      <c r="A1421" s="50" t="s">
        <v>670</v>
      </c>
      <c r="B1421" s="51" t="n">
        <v>45745</v>
      </c>
      <c r="C1421" s="50" t="s">
        <v>234</v>
      </c>
      <c r="D1421" s="50" t="s">
        <v>2168</v>
      </c>
      <c r="E1421" s="50" t="n">
        <v>7</v>
      </c>
      <c r="F1421" s="50" t="s">
        <v>2167</v>
      </c>
      <c r="G1421" s="54" t="n">
        <v>3086300</v>
      </c>
    </row>
    <row r="1422" customFormat="false" ht="15" hidden="false" customHeight="false" outlineLevel="0" collapsed="false">
      <c r="A1422" s="50" t="s">
        <v>670</v>
      </c>
      <c r="B1422" s="51" t="n">
        <v>45745</v>
      </c>
      <c r="C1422" s="50" t="s">
        <v>234</v>
      </c>
      <c r="D1422" s="50" t="s">
        <v>2186</v>
      </c>
      <c r="E1422" s="50" t="n">
        <v>7</v>
      </c>
      <c r="F1422" s="50" t="s">
        <v>2167</v>
      </c>
      <c r="G1422" s="54" t="n">
        <v>3967400</v>
      </c>
    </row>
    <row r="1423" customFormat="false" ht="15" hidden="false" customHeight="false" outlineLevel="0" collapsed="false">
      <c r="A1423" s="50" t="s">
        <v>671</v>
      </c>
      <c r="B1423" s="51" t="n">
        <v>45745</v>
      </c>
      <c r="C1423" s="50" t="s">
        <v>289</v>
      </c>
      <c r="D1423" s="50" t="s">
        <v>2185</v>
      </c>
      <c r="E1423" s="50" t="n">
        <v>7</v>
      </c>
      <c r="F1423" s="50" t="s">
        <v>2174</v>
      </c>
      <c r="G1423" s="54" t="n">
        <v>5649200</v>
      </c>
    </row>
    <row r="1424" customFormat="false" ht="15" hidden="false" customHeight="false" outlineLevel="0" collapsed="false">
      <c r="A1424" s="50" t="s">
        <v>671</v>
      </c>
      <c r="B1424" s="51" t="n">
        <v>45745</v>
      </c>
      <c r="C1424" s="50" t="s">
        <v>289</v>
      </c>
      <c r="D1424" s="50" t="s">
        <v>2168</v>
      </c>
      <c r="E1424" s="50" t="n">
        <v>4</v>
      </c>
      <c r="F1424" s="50" t="s">
        <v>2167</v>
      </c>
      <c r="G1424" s="54" t="n">
        <v>1740400</v>
      </c>
    </row>
    <row r="1425" customFormat="false" ht="15" hidden="false" customHeight="false" outlineLevel="0" collapsed="false">
      <c r="A1425" s="50" t="s">
        <v>672</v>
      </c>
      <c r="B1425" s="51" t="n">
        <v>45745</v>
      </c>
      <c r="C1425" s="50" t="s">
        <v>416</v>
      </c>
      <c r="D1425" s="50" t="s">
        <v>2179</v>
      </c>
      <c r="E1425" s="50" t="n">
        <v>7</v>
      </c>
      <c r="F1425" s="50" t="s">
        <v>2174</v>
      </c>
      <c r="G1425" s="54" t="n">
        <v>9055200</v>
      </c>
    </row>
    <row r="1426" customFormat="false" ht="15" hidden="false" customHeight="false" outlineLevel="0" collapsed="false">
      <c r="A1426" s="50" t="s">
        <v>672</v>
      </c>
      <c r="B1426" s="51" t="n">
        <v>45745</v>
      </c>
      <c r="C1426" s="50" t="s">
        <v>416</v>
      </c>
      <c r="D1426" s="50" t="s">
        <v>2176</v>
      </c>
      <c r="E1426" s="50" t="n">
        <v>3</v>
      </c>
      <c r="F1426" s="50" t="s">
        <v>2167</v>
      </c>
      <c r="G1426" s="54" t="n">
        <v>1308800</v>
      </c>
    </row>
    <row r="1427" customFormat="false" ht="15" hidden="false" customHeight="false" outlineLevel="0" collapsed="false">
      <c r="A1427" s="50" t="s">
        <v>672</v>
      </c>
      <c r="B1427" s="51" t="n">
        <v>45745</v>
      </c>
      <c r="C1427" s="50" t="s">
        <v>416</v>
      </c>
      <c r="D1427" s="50" t="s">
        <v>2180</v>
      </c>
      <c r="E1427" s="50" t="n">
        <v>1</v>
      </c>
      <c r="F1427" s="50" t="s">
        <v>2167</v>
      </c>
      <c r="G1427" s="54" t="n">
        <v>462400</v>
      </c>
    </row>
    <row r="1428" customFormat="false" ht="15" hidden="false" customHeight="false" outlineLevel="0" collapsed="false">
      <c r="A1428" s="50" t="s">
        <v>672</v>
      </c>
      <c r="B1428" s="51" t="n">
        <v>45745</v>
      </c>
      <c r="C1428" s="50" t="s">
        <v>416</v>
      </c>
      <c r="D1428" s="50" t="s">
        <v>2181</v>
      </c>
      <c r="E1428" s="50" t="n">
        <v>3</v>
      </c>
      <c r="F1428" s="50" t="s">
        <v>2167</v>
      </c>
      <c r="G1428" s="54" t="n">
        <v>3514500</v>
      </c>
    </row>
    <row r="1429" customFormat="false" ht="15" hidden="false" customHeight="false" outlineLevel="0" collapsed="false">
      <c r="A1429" s="50" t="s">
        <v>673</v>
      </c>
      <c r="B1429" s="51" t="n">
        <v>45745</v>
      </c>
      <c r="C1429" s="50" t="s">
        <v>247</v>
      </c>
      <c r="D1429" s="50" t="s">
        <v>2184</v>
      </c>
      <c r="E1429" s="50" t="n">
        <v>8</v>
      </c>
      <c r="F1429" s="50" t="s">
        <v>2167</v>
      </c>
      <c r="G1429" s="54" t="n">
        <v>4319900</v>
      </c>
    </row>
    <row r="1430" customFormat="false" ht="15" hidden="false" customHeight="false" outlineLevel="0" collapsed="false">
      <c r="A1430" s="50" t="s">
        <v>673</v>
      </c>
      <c r="B1430" s="51" t="n">
        <v>45745</v>
      </c>
      <c r="C1430" s="50" t="s">
        <v>247</v>
      </c>
      <c r="D1430" s="50" t="s">
        <v>2175</v>
      </c>
      <c r="E1430" s="50" t="n">
        <v>2</v>
      </c>
      <c r="F1430" s="50" t="s">
        <v>2167</v>
      </c>
      <c r="G1430" s="54" t="n">
        <v>1228900</v>
      </c>
    </row>
    <row r="1431" customFormat="false" ht="15" hidden="false" customHeight="false" outlineLevel="0" collapsed="false">
      <c r="A1431" s="50" t="s">
        <v>673</v>
      </c>
      <c r="B1431" s="51" t="n">
        <v>45745</v>
      </c>
      <c r="C1431" s="50" t="s">
        <v>247</v>
      </c>
      <c r="D1431" s="50" t="s">
        <v>2169</v>
      </c>
      <c r="E1431" s="50" t="n">
        <v>5</v>
      </c>
      <c r="F1431" s="50" t="s">
        <v>2167</v>
      </c>
      <c r="G1431" s="54" t="n">
        <v>3090400</v>
      </c>
    </row>
    <row r="1432" customFormat="false" ht="15" hidden="false" customHeight="false" outlineLevel="0" collapsed="false">
      <c r="A1432" s="50" t="s">
        <v>674</v>
      </c>
      <c r="B1432" s="51" t="n">
        <v>45745</v>
      </c>
      <c r="C1432" s="50" t="s">
        <v>271</v>
      </c>
      <c r="D1432" s="50" t="s">
        <v>2183</v>
      </c>
      <c r="E1432" s="50" t="n">
        <v>4</v>
      </c>
      <c r="F1432" s="50" t="s">
        <v>2167</v>
      </c>
      <c r="G1432" s="54" t="n">
        <v>1518600</v>
      </c>
    </row>
    <row r="1433" customFormat="false" ht="15" hidden="false" customHeight="false" outlineLevel="0" collapsed="false">
      <c r="A1433" s="50" t="s">
        <v>674</v>
      </c>
      <c r="B1433" s="51" t="n">
        <v>45745</v>
      </c>
      <c r="C1433" s="50" t="s">
        <v>271</v>
      </c>
      <c r="D1433" s="50" t="s">
        <v>2178</v>
      </c>
      <c r="E1433" s="50" t="n">
        <v>1</v>
      </c>
      <c r="F1433" s="50" t="s">
        <v>2167</v>
      </c>
      <c r="G1433" s="54" t="n">
        <v>487600</v>
      </c>
    </row>
    <row r="1434" customFormat="false" ht="15" hidden="false" customHeight="false" outlineLevel="0" collapsed="false">
      <c r="A1434" s="50" t="s">
        <v>674</v>
      </c>
      <c r="B1434" s="51" t="n">
        <v>45745</v>
      </c>
      <c r="C1434" s="50" t="s">
        <v>271</v>
      </c>
      <c r="D1434" s="50" t="s">
        <v>2187</v>
      </c>
      <c r="E1434" s="50" t="n">
        <v>6</v>
      </c>
      <c r="F1434" s="50" t="s">
        <v>2167</v>
      </c>
      <c r="G1434" s="54" t="n">
        <v>2044900</v>
      </c>
    </row>
    <row r="1435" customFormat="false" ht="15" hidden="false" customHeight="false" outlineLevel="0" collapsed="false">
      <c r="A1435" s="50" t="s">
        <v>674</v>
      </c>
      <c r="B1435" s="51" t="n">
        <v>45745</v>
      </c>
      <c r="C1435" s="50" t="s">
        <v>271</v>
      </c>
      <c r="D1435" s="50" t="s">
        <v>2175</v>
      </c>
      <c r="E1435" s="50" t="n">
        <v>1</v>
      </c>
      <c r="F1435" s="50" t="s">
        <v>2167</v>
      </c>
      <c r="G1435" s="54" t="n">
        <v>651200</v>
      </c>
    </row>
    <row r="1436" customFormat="false" ht="15" hidden="false" customHeight="false" outlineLevel="0" collapsed="false">
      <c r="A1436" s="50" t="s">
        <v>675</v>
      </c>
      <c r="B1436" s="51" t="n">
        <v>45745</v>
      </c>
      <c r="C1436" s="50" t="s">
        <v>259</v>
      </c>
      <c r="D1436" s="50" t="s">
        <v>2169</v>
      </c>
      <c r="E1436" s="50" t="n">
        <v>6</v>
      </c>
      <c r="F1436" s="50" t="s">
        <v>2167</v>
      </c>
      <c r="G1436" s="54" t="n">
        <v>3834400</v>
      </c>
    </row>
    <row r="1437" customFormat="false" ht="15" hidden="false" customHeight="false" outlineLevel="0" collapsed="false">
      <c r="A1437" s="50" t="s">
        <v>675</v>
      </c>
      <c r="B1437" s="51" t="n">
        <v>45745</v>
      </c>
      <c r="C1437" s="50" t="s">
        <v>259</v>
      </c>
      <c r="D1437" s="50" t="s">
        <v>2180</v>
      </c>
      <c r="E1437" s="50" t="n">
        <v>4</v>
      </c>
      <c r="F1437" s="50" t="s">
        <v>2167</v>
      </c>
      <c r="G1437" s="54" t="n">
        <v>1770800</v>
      </c>
    </row>
    <row r="1438" customFormat="false" ht="15" hidden="false" customHeight="false" outlineLevel="0" collapsed="false">
      <c r="A1438" s="50" t="s">
        <v>676</v>
      </c>
      <c r="B1438" s="51" t="n">
        <v>45745</v>
      </c>
      <c r="C1438" s="50" t="s">
        <v>174</v>
      </c>
      <c r="D1438" s="50" t="s">
        <v>2183</v>
      </c>
      <c r="E1438" s="50" t="n">
        <v>2</v>
      </c>
      <c r="F1438" s="50" t="s">
        <v>2167</v>
      </c>
      <c r="G1438" s="54" t="n">
        <v>785300</v>
      </c>
    </row>
    <row r="1439" customFormat="false" ht="15" hidden="false" customHeight="false" outlineLevel="0" collapsed="false">
      <c r="A1439" s="50" t="s">
        <v>676</v>
      </c>
      <c r="B1439" s="51" t="n">
        <v>45745</v>
      </c>
      <c r="C1439" s="50" t="s">
        <v>174</v>
      </c>
      <c r="D1439" s="50" t="s">
        <v>2182</v>
      </c>
      <c r="E1439" s="50" t="n">
        <v>7</v>
      </c>
      <c r="F1439" s="50" t="s">
        <v>2174</v>
      </c>
      <c r="G1439" s="54" t="n">
        <v>6690200</v>
      </c>
    </row>
    <row r="1440" customFormat="false" ht="15" hidden="false" customHeight="false" outlineLevel="0" collapsed="false">
      <c r="A1440" s="50" t="s">
        <v>676</v>
      </c>
      <c r="B1440" s="51" t="n">
        <v>45745</v>
      </c>
      <c r="C1440" s="50" t="s">
        <v>174</v>
      </c>
      <c r="D1440" s="50" t="s">
        <v>2169</v>
      </c>
      <c r="E1440" s="50" t="n">
        <v>7</v>
      </c>
      <c r="F1440" s="50" t="s">
        <v>2167</v>
      </c>
      <c r="G1440" s="54" t="n">
        <v>4179500</v>
      </c>
    </row>
    <row r="1441" customFormat="false" ht="15" hidden="false" customHeight="false" outlineLevel="0" collapsed="false">
      <c r="A1441" s="50" t="s">
        <v>676</v>
      </c>
      <c r="B1441" s="51" t="n">
        <v>45745</v>
      </c>
      <c r="C1441" s="50" t="s">
        <v>174</v>
      </c>
      <c r="D1441" s="50" t="s">
        <v>2175</v>
      </c>
      <c r="E1441" s="50" t="n">
        <v>6</v>
      </c>
      <c r="F1441" s="50" t="s">
        <v>2167</v>
      </c>
      <c r="G1441" s="54" t="n">
        <v>3808500</v>
      </c>
    </row>
    <row r="1442" customFormat="false" ht="15" hidden="false" customHeight="false" outlineLevel="0" collapsed="false">
      <c r="A1442" s="50" t="s">
        <v>676</v>
      </c>
      <c r="B1442" s="51" t="n">
        <v>45745</v>
      </c>
      <c r="C1442" s="50" t="s">
        <v>174</v>
      </c>
      <c r="D1442" s="50" t="s">
        <v>2180</v>
      </c>
      <c r="E1442" s="50" t="n">
        <v>1</v>
      </c>
      <c r="F1442" s="50" t="s">
        <v>2167</v>
      </c>
      <c r="G1442" s="54" t="n">
        <v>467300</v>
      </c>
    </row>
    <row r="1443" customFormat="false" ht="15" hidden="false" customHeight="false" outlineLevel="0" collapsed="false">
      <c r="A1443" s="50" t="s">
        <v>676</v>
      </c>
      <c r="B1443" s="51" t="n">
        <v>45745</v>
      </c>
      <c r="C1443" s="50" t="s">
        <v>174</v>
      </c>
      <c r="D1443" s="50" t="s">
        <v>2181</v>
      </c>
      <c r="E1443" s="50" t="n">
        <v>4</v>
      </c>
      <c r="F1443" s="50" t="s">
        <v>2167</v>
      </c>
      <c r="G1443" s="54" t="n">
        <v>4652300</v>
      </c>
    </row>
    <row r="1444" customFormat="false" ht="15" hidden="false" customHeight="false" outlineLevel="0" collapsed="false">
      <c r="A1444" s="50" t="s">
        <v>677</v>
      </c>
      <c r="B1444" s="51" t="n">
        <v>45747</v>
      </c>
      <c r="C1444" s="50" t="s">
        <v>179</v>
      </c>
      <c r="D1444" s="50" t="s">
        <v>2175</v>
      </c>
      <c r="E1444" s="50" t="n">
        <v>8</v>
      </c>
      <c r="F1444" s="50" t="s">
        <v>2167</v>
      </c>
      <c r="G1444" s="54" t="n">
        <v>5243800</v>
      </c>
    </row>
    <row r="1445" customFormat="false" ht="15" hidden="false" customHeight="false" outlineLevel="0" collapsed="false">
      <c r="A1445" s="50" t="s">
        <v>678</v>
      </c>
      <c r="B1445" s="51" t="n">
        <v>45747</v>
      </c>
      <c r="C1445" s="50" t="s">
        <v>181</v>
      </c>
      <c r="D1445" s="50" t="s">
        <v>2180</v>
      </c>
      <c r="E1445" s="50" t="n">
        <v>4</v>
      </c>
      <c r="F1445" s="50" t="s">
        <v>2167</v>
      </c>
      <c r="G1445" s="54" t="n">
        <v>1740900</v>
      </c>
    </row>
    <row r="1446" customFormat="false" ht="15" hidden="false" customHeight="false" outlineLevel="0" collapsed="false">
      <c r="A1446" s="50" t="s">
        <v>678</v>
      </c>
      <c r="B1446" s="51" t="n">
        <v>45747</v>
      </c>
      <c r="C1446" s="50" t="s">
        <v>181</v>
      </c>
      <c r="D1446" s="50" t="s">
        <v>2173</v>
      </c>
      <c r="E1446" s="50" t="n">
        <v>1</v>
      </c>
      <c r="F1446" s="50" t="s">
        <v>2174</v>
      </c>
      <c r="G1446" s="54" t="n">
        <v>791600</v>
      </c>
    </row>
    <row r="1447" customFormat="false" ht="15" hidden="false" customHeight="false" outlineLevel="0" collapsed="false">
      <c r="A1447" s="50" t="s">
        <v>678</v>
      </c>
      <c r="B1447" s="51" t="n">
        <v>45747</v>
      </c>
      <c r="C1447" s="50" t="s">
        <v>181</v>
      </c>
      <c r="D1447" s="50" t="s">
        <v>2176</v>
      </c>
      <c r="E1447" s="50" t="n">
        <v>8</v>
      </c>
      <c r="F1447" s="50" t="s">
        <v>2167</v>
      </c>
      <c r="G1447" s="54" t="n">
        <v>3259500</v>
      </c>
    </row>
    <row r="1448" customFormat="false" ht="15" hidden="false" customHeight="false" outlineLevel="0" collapsed="false">
      <c r="A1448" s="50" t="s">
        <v>679</v>
      </c>
      <c r="B1448" s="51" t="n">
        <v>45747</v>
      </c>
      <c r="C1448" s="50" t="s">
        <v>447</v>
      </c>
      <c r="D1448" s="50" t="s">
        <v>2180</v>
      </c>
      <c r="E1448" s="50" t="n">
        <v>1</v>
      </c>
      <c r="F1448" s="50" t="s">
        <v>2167</v>
      </c>
      <c r="G1448" s="54" t="n">
        <v>442800</v>
      </c>
    </row>
    <row r="1449" customFormat="false" ht="15" hidden="false" customHeight="false" outlineLevel="0" collapsed="false">
      <c r="A1449" s="50" t="s">
        <v>679</v>
      </c>
      <c r="B1449" s="51" t="n">
        <v>45747</v>
      </c>
      <c r="C1449" s="50" t="s">
        <v>447</v>
      </c>
      <c r="D1449" s="50" t="s">
        <v>2169</v>
      </c>
      <c r="E1449" s="50" t="n">
        <v>2</v>
      </c>
      <c r="F1449" s="50" t="s">
        <v>2167</v>
      </c>
      <c r="G1449" s="54" t="n">
        <v>1243900</v>
      </c>
    </row>
    <row r="1450" customFormat="false" ht="15" hidden="false" customHeight="false" outlineLevel="0" collapsed="false">
      <c r="A1450" s="50" t="s">
        <v>679</v>
      </c>
      <c r="B1450" s="51" t="n">
        <v>45747</v>
      </c>
      <c r="C1450" s="50" t="s">
        <v>447</v>
      </c>
      <c r="D1450" s="50" t="s">
        <v>2168</v>
      </c>
      <c r="E1450" s="50" t="n">
        <v>1</v>
      </c>
      <c r="F1450" s="50" t="s">
        <v>2167</v>
      </c>
      <c r="G1450" s="54" t="n">
        <v>423800</v>
      </c>
    </row>
    <row r="1451" customFormat="false" ht="15" hidden="false" customHeight="false" outlineLevel="0" collapsed="false">
      <c r="A1451" s="50" t="s">
        <v>680</v>
      </c>
      <c r="B1451" s="51" t="n">
        <v>45747</v>
      </c>
      <c r="C1451" s="50" t="s">
        <v>681</v>
      </c>
      <c r="D1451" s="50" t="s">
        <v>2180</v>
      </c>
      <c r="E1451" s="50" t="n">
        <v>5</v>
      </c>
      <c r="F1451" s="50" t="s">
        <v>2167</v>
      </c>
      <c r="G1451" s="54" t="n">
        <v>2229200</v>
      </c>
    </row>
    <row r="1452" customFormat="false" ht="15" hidden="false" customHeight="false" outlineLevel="0" collapsed="false">
      <c r="A1452" s="50" t="s">
        <v>680</v>
      </c>
      <c r="B1452" s="51" t="n">
        <v>45747</v>
      </c>
      <c r="C1452" s="50" t="s">
        <v>681</v>
      </c>
      <c r="D1452" s="50" t="s">
        <v>2178</v>
      </c>
      <c r="E1452" s="50" t="n">
        <v>2</v>
      </c>
      <c r="F1452" s="50" t="s">
        <v>2167</v>
      </c>
      <c r="G1452" s="54" t="n">
        <v>980900</v>
      </c>
    </row>
    <row r="1453" customFormat="false" ht="15" hidden="false" customHeight="false" outlineLevel="0" collapsed="false">
      <c r="A1453" s="50" t="s">
        <v>680</v>
      </c>
      <c r="B1453" s="51" t="n">
        <v>45747</v>
      </c>
      <c r="C1453" s="50" t="s">
        <v>681</v>
      </c>
      <c r="D1453" s="50" t="s">
        <v>2188</v>
      </c>
      <c r="E1453" s="50" t="n">
        <v>8</v>
      </c>
      <c r="F1453" s="50" t="s">
        <v>2167</v>
      </c>
      <c r="G1453" s="54" t="n">
        <v>7542900</v>
      </c>
    </row>
    <row r="1454" customFormat="false" ht="15" hidden="false" customHeight="false" outlineLevel="0" collapsed="false">
      <c r="A1454" s="50" t="s">
        <v>680</v>
      </c>
      <c r="B1454" s="51" t="n">
        <v>45747</v>
      </c>
      <c r="C1454" s="50" t="s">
        <v>681</v>
      </c>
      <c r="D1454" s="50" t="s">
        <v>2168</v>
      </c>
      <c r="E1454" s="50" t="n">
        <v>3</v>
      </c>
      <c r="F1454" s="50" t="s">
        <v>2167</v>
      </c>
      <c r="G1454" s="54" t="n">
        <v>1252700</v>
      </c>
    </row>
    <row r="1455" customFormat="false" ht="15" hidden="false" customHeight="false" outlineLevel="0" collapsed="false">
      <c r="A1455" s="50" t="s">
        <v>682</v>
      </c>
      <c r="B1455" s="51" t="n">
        <v>45747</v>
      </c>
      <c r="C1455" s="50" t="s">
        <v>177</v>
      </c>
      <c r="D1455" s="50" t="s">
        <v>2181</v>
      </c>
      <c r="E1455" s="50" t="n">
        <v>1</v>
      </c>
      <c r="F1455" s="50" t="s">
        <v>2167</v>
      </c>
      <c r="G1455" s="54" t="n">
        <v>1170900</v>
      </c>
    </row>
    <row r="1456" customFormat="false" ht="15" hidden="false" customHeight="false" outlineLevel="0" collapsed="false">
      <c r="A1456" s="50" t="s">
        <v>682</v>
      </c>
      <c r="B1456" s="51" t="n">
        <v>45747</v>
      </c>
      <c r="C1456" s="50" t="s">
        <v>177</v>
      </c>
      <c r="D1456" s="50" t="s">
        <v>2180</v>
      </c>
      <c r="E1456" s="50" t="n">
        <v>4</v>
      </c>
      <c r="F1456" s="50" t="s">
        <v>2167</v>
      </c>
      <c r="G1456" s="54" t="n">
        <v>1749200</v>
      </c>
    </row>
    <row r="1457" customFormat="false" ht="15" hidden="false" customHeight="false" outlineLevel="0" collapsed="false">
      <c r="A1457" s="50" t="s">
        <v>682</v>
      </c>
      <c r="B1457" s="51" t="n">
        <v>45747</v>
      </c>
      <c r="C1457" s="50" t="s">
        <v>177</v>
      </c>
      <c r="D1457" s="50" t="s">
        <v>2186</v>
      </c>
      <c r="E1457" s="50" t="n">
        <v>8</v>
      </c>
      <c r="F1457" s="50" t="s">
        <v>2167</v>
      </c>
      <c r="G1457" s="54" t="n">
        <v>4652100</v>
      </c>
    </row>
    <row r="1458" customFormat="false" ht="15" hidden="false" customHeight="false" outlineLevel="0" collapsed="false">
      <c r="A1458" s="50" t="s">
        <v>683</v>
      </c>
      <c r="B1458" s="51" t="n">
        <v>45747</v>
      </c>
      <c r="C1458" s="50" t="s">
        <v>223</v>
      </c>
      <c r="D1458" s="50" t="s">
        <v>2186</v>
      </c>
      <c r="E1458" s="50" t="n">
        <v>1</v>
      </c>
      <c r="F1458" s="50" t="s">
        <v>2167</v>
      </c>
      <c r="G1458" s="54" t="n">
        <v>584600</v>
      </c>
    </row>
    <row r="1459" customFormat="false" ht="15" hidden="false" customHeight="false" outlineLevel="0" collapsed="false">
      <c r="A1459" s="50" t="s">
        <v>683</v>
      </c>
      <c r="B1459" s="51" t="n">
        <v>45747</v>
      </c>
      <c r="C1459" s="50" t="s">
        <v>223</v>
      </c>
      <c r="D1459" s="50" t="s">
        <v>2178</v>
      </c>
      <c r="E1459" s="50" t="n">
        <v>8</v>
      </c>
      <c r="F1459" s="50" t="s">
        <v>2167</v>
      </c>
      <c r="G1459" s="54" t="n">
        <v>3868100</v>
      </c>
    </row>
    <row r="1460" customFormat="false" ht="15" hidden="false" customHeight="false" outlineLevel="0" collapsed="false">
      <c r="A1460" s="50" t="s">
        <v>684</v>
      </c>
      <c r="B1460" s="51" t="n">
        <v>45747</v>
      </c>
      <c r="C1460" s="50" t="s">
        <v>199</v>
      </c>
      <c r="D1460" s="50" t="s">
        <v>2185</v>
      </c>
      <c r="E1460" s="50" t="n">
        <v>7</v>
      </c>
      <c r="F1460" s="50" t="s">
        <v>2174</v>
      </c>
      <c r="G1460" s="54" t="n">
        <v>5476600</v>
      </c>
    </row>
    <row r="1461" customFormat="false" ht="15" hidden="false" customHeight="false" outlineLevel="0" collapsed="false">
      <c r="A1461" s="50" t="s">
        <v>684</v>
      </c>
      <c r="B1461" s="51" t="n">
        <v>45747</v>
      </c>
      <c r="C1461" s="50" t="s">
        <v>199</v>
      </c>
      <c r="D1461" s="50" t="s">
        <v>2188</v>
      </c>
      <c r="E1461" s="50" t="n">
        <v>1</v>
      </c>
      <c r="F1461" s="50" t="s">
        <v>2167</v>
      </c>
      <c r="G1461" s="54" t="n">
        <v>948100</v>
      </c>
    </row>
    <row r="1462" customFormat="false" ht="15" hidden="false" customHeight="false" outlineLevel="0" collapsed="false">
      <c r="A1462" s="50" t="s">
        <v>684</v>
      </c>
      <c r="B1462" s="51" t="n">
        <v>45747</v>
      </c>
      <c r="C1462" s="50" t="s">
        <v>199</v>
      </c>
      <c r="D1462" s="50" t="s">
        <v>2182</v>
      </c>
      <c r="E1462" s="50" t="n">
        <v>8</v>
      </c>
      <c r="F1462" s="50" t="s">
        <v>2174</v>
      </c>
      <c r="G1462" s="54" t="n">
        <v>7660100</v>
      </c>
    </row>
    <row r="1463" customFormat="false" ht="15" hidden="false" customHeight="false" outlineLevel="0" collapsed="false">
      <c r="A1463" s="50" t="s">
        <v>684</v>
      </c>
      <c r="B1463" s="51" t="n">
        <v>45747</v>
      </c>
      <c r="C1463" s="50" t="s">
        <v>199</v>
      </c>
      <c r="D1463" s="50" t="s">
        <v>2178</v>
      </c>
      <c r="E1463" s="50" t="n">
        <v>3</v>
      </c>
      <c r="F1463" s="50" t="s">
        <v>2167</v>
      </c>
      <c r="G1463" s="54" t="n">
        <v>1433000</v>
      </c>
    </row>
    <row r="1464" customFormat="false" ht="15" hidden="false" customHeight="false" outlineLevel="0" collapsed="false">
      <c r="A1464" s="50" t="s">
        <v>684</v>
      </c>
      <c r="B1464" s="51" t="n">
        <v>45747</v>
      </c>
      <c r="C1464" s="50" t="s">
        <v>199</v>
      </c>
      <c r="D1464" s="50" t="s">
        <v>2172</v>
      </c>
      <c r="E1464" s="50" t="n">
        <v>1</v>
      </c>
      <c r="F1464" s="50" t="s">
        <v>2167</v>
      </c>
      <c r="G1464" s="54" t="n">
        <v>517600</v>
      </c>
    </row>
    <row r="1465" customFormat="false" ht="15" hidden="false" customHeight="false" outlineLevel="0" collapsed="false">
      <c r="A1465" s="50" t="s">
        <v>685</v>
      </c>
      <c r="B1465" s="51" t="n">
        <v>45748</v>
      </c>
      <c r="C1465" s="50" t="s">
        <v>469</v>
      </c>
      <c r="D1465" s="50" t="s">
        <v>2186</v>
      </c>
      <c r="E1465" s="50" t="n">
        <v>1</v>
      </c>
      <c r="F1465" s="50" t="s">
        <v>2167</v>
      </c>
      <c r="G1465" s="54" t="n">
        <v>577000</v>
      </c>
    </row>
    <row r="1466" customFormat="false" ht="15" hidden="false" customHeight="false" outlineLevel="0" collapsed="false">
      <c r="A1466" s="50" t="s">
        <v>685</v>
      </c>
      <c r="B1466" s="51" t="n">
        <v>45748</v>
      </c>
      <c r="C1466" s="50" t="s">
        <v>469</v>
      </c>
      <c r="D1466" s="50" t="s">
        <v>2178</v>
      </c>
      <c r="E1466" s="50" t="n">
        <v>5</v>
      </c>
      <c r="F1466" s="50" t="s">
        <v>2167</v>
      </c>
      <c r="G1466" s="54" t="n">
        <v>2354900</v>
      </c>
    </row>
    <row r="1467" customFormat="false" ht="15" hidden="false" customHeight="false" outlineLevel="0" collapsed="false">
      <c r="A1467" s="50" t="s">
        <v>685</v>
      </c>
      <c r="B1467" s="51" t="n">
        <v>45748</v>
      </c>
      <c r="C1467" s="50" t="s">
        <v>469</v>
      </c>
      <c r="D1467" s="50" t="s">
        <v>2185</v>
      </c>
      <c r="E1467" s="50" t="n">
        <v>5</v>
      </c>
      <c r="F1467" s="50" t="s">
        <v>2174</v>
      </c>
      <c r="G1467" s="54" t="n">
        <v>3958700</v>
      </c>
    </row>
    <row r="1468" customFormat="false" ht="15" hidden="false" customHeight="false" outlineLevel="0" collapsed="false">
      <c r="A1468" s="50" t="s">
        <v>686</v>
      </c>
      <c r="B1468" s="51" t="n">
        <v>45748</v>
      </c>
      <c r="C1468" s="50" t="s">
        <v>179</v>
      </c>
      <c r="D1468" s="50" t="s">
        <v>2179</v>
      </c>
      <c r="E1468" s="50" t="n">
        <v>3</v>
      </c>
      <c r="F1468" s="50" t="s">
        <v>2174</v>
      </c>
      <c r="G1468" s="54" t="n">
        <v>3887600</v>
      </c>
    </row>
    <row r="1469" customFormat="false" ht="15" hidden="false" customHeight="false" outlineLevel="0" collapsed="false">
      <c r="A1469" s="50" t="s">
        <v>686</v>
      </c>
      <c r="B1469" s="51" t="n">
        <v>45748</v>
      </c>
      <c r="C1469" s="50" t="s">
        <v>179</v>
      </c>
      <c r="D1469" s="50" t="s">
        <v>2173</v>
      </c>
      <c r="E1469" s="50" t="n">
        <v>1</v>
      </c>
      <c r="F1469" s="50" t="s">
        <v>2174</v>
      </c>
      <c r="G1469" s="54" t="n">
        <v>768300</v>
      </c>
    </row>
    <row r="1470" customFormat="false" ht="15" hidden="false" customHeight="false" outlineLevel="0" collapsed="false">
      <c r="A1470" s="50" t="s">
        <v>686</v>
      </c>
      <c r="B1470" s="51" t="n">
        <v>45748</v>
      </c>
      <c r="C1470" s="50" t="s">
        <v>179</v>
      </c>
      <c r="D1470" s="50" t="s">
        <v>2180</v>
      </c>
      <c r="E1470" s="50" t="n">
        <v>1</v>
      </c>
      <c r="F1470" s="50" t="s">
        <v>2167</v>
      </c>
      <c r="G1470" s="54" t="n">
        <v>452600</v>
      </c>
    </row>
    <row r="1471" customFormat="false" ht="15" hidden="false" customHeight="false" outlineLevel="0" collapsed="false">
      <c r="A1471" s="50" t="s">
        <v>687</v>
      </c>
      <c r="B1471" s="51" t="n">
        <v>45748</v>
      </c>
      <c r="C1471" s="50" t="s">
        <v>188</v>
      </c>
      <c r="D1471" s="50" t="s">
        <v>2178</v>
      </c>
      <c r="E1471" s="50" t="n">
        <v>6</v>
      </c>
      <c r="F1471" s="50" t="s">
        <v>2167</v>
      </c>
      <c r="G1471" s="54" t="n">
        <v>2922600</v>
      </c>
    </row>
    <row r="1472" customFormat="false" ht="15" hidden="false" customHeight="false" outlineLevel="0" collapsed="false">
      <c r="A1472" s="50" t="s">
        <v>687</v>
      </c>
      <c r="B1472" s="51" t="n">
        <v>45748</v>
      </c>
      <c r="C1472" s="50" t="s">
        <v>188</v>
      </c>
      <c r="D1472" s="50" t="s">
        <v>2176</v>
      </c>
      <c r="E1472" s="50" t="n">
        <v>2</v>
      </c>
      <c r="F1472" s="50" t="s">
        <v>2167</v>
      </c>
      <c r="G1472" s="54" t="n">
        <v>830500</v>
      </c>
    </row>
    <row r="1473" customFormat="false" ht="15" hidden="false" customHeight="false" outlineLevel="0" collapsed="false">
      <c r="A1473" s="50" t="s">
        <v>687</v>
      </c>
      <c r="B1473" s="51" t="n">
        <v>45748</v>
      </c>
      <c r="C1473" s="50" t="s">
        <v>188</v>
      </c>
      <c r="D1473" s="50" t="s">
        <v>2180</v>
      </c>
      <c r="E1473" s="50" t="n">
        <v>4</v>
      </c>
      <c r="F1473" s="50" t="s">
        <v>2167</v>
      </c>
      <c r="G1473" s="54" t="n">
        <v>1737800</v>
      </c>
    </row>
    <row r="1474" customFormat="false" ht="15" hidden="false" customHeight="false" outlineLevel="0" collapsed="false">
      <c r="A1474" s="50" t="s">
        <v>687</v>
      </c>
      <c r="B1474" s="51" t="n">
        <v>45748</v>
      </c>
      <c r="C1474" s="50" t="s">
        <v>188</v>
      </c>
      <c r="D1474" s="50" t="s">
        <v>2175</v>
      </c>
      <c r="E1474" s="50" t="n">
        <v>3</v>
      </c>
      <c r="F1474" s="50" t="s">
        <v>2167</v>
      </c>
      <c r="G1474" s="54" t="n">
        <v>1910000</v>
      </c>
    </row>
    <row r="1475" customFormat="false" ht="15" hidden="false" customHeight="false" outlineLevel="0" collapsed="false">
      <c r="A1475" s="50" t="s">
        <v>688</v>
      </c>
      <c r="B1475" s="51" t="n">
        <v>45749</v>
      </c>
      <c r="C1475" s="50" t="s">
        <v>174</v>
      </c>
      <c r="D1475" s="50" t="s">
        <v>2169</v>
      </c>
      <c r="E1475" s="50" t="n">
        <v>6</v>
      </c>
      <c r="F1475" s="50" t="s">
        <v>2167</v>
      </c>
      <c r="G1475" s="54" t="n">
        <v>3790100</v>
      </c>
    </row>
    <row r="1476" customFormat="false" ht="15" hidden="false" customHeight="false" outlineLevel="0" collapsed="false">
      <c r="A1476" s="50" t="s">
        <v>688</v>
      </c>
      <c r="B1476" s="51" t="n">
        <v>45749</v>
      </c>
      <c r="C1476" s="50" t="s">
        <v>174</v>
      </c>
      <c r="D1476" s="50" t="s">
        <v>2178</v>
      </c>
      <c r="E1476" s="50" t="n">
        <v>7</v>
      </c>
      <c r="F1476" s="50" t="s">
        <v>2167</v>
      </c>
      <c r="G1476" s="54" t="n">
        <v>3253300</v>
      </c>
    </row>
    <row r="1477" customFormat="false" ht="15" hidden="false" customHeight="false" outlineLevel="0" collapsed="false">
      <c r="A1477" s="50" t="s">
        <v>688</v>
      </c>
      <c r="B1477" s="51" t="n">
        <v>45749</v>
      </c>
      <c r="C1477" s="50" t="s">
        <v>174</v>
      </c>
      <c r="D1477" s="50" t="s">
        <v>2175</v>
      </c>
      <c r="E1477" s="50" t="n">
        <v>7</v>
      </c>
      <c r="F1477" s="50" t="s">
        <v>2167</v>
      </c>
      <c r="G1477" s="54" t="n">
        <v>4510800</v>
      </c>
    </row>
    <row r="1478" customFormat="false" ht="15" hidden="false" customHeight="false" outlineLevel="0" collapsed="false">
      <c r="A1478" s="50" t="s">
        <v>689</v>
      </c>
      <c r="B1478" s="51" t="n">
        <v>45749</v>
      </c>
      <c r="C1478" s="50" t="s">
        <v>191</v>
      </c>
      <c r="D1478" s="50" t="s">
        <v>2184</v>
      </c>
      <c r="E1478" s="50" t="n">
        <v>4</v>
      </c>
      <c r="F1478" s="50" t="s">
        <v>2167</v>
      </c>
      <c r="G1478" s="54" t="n">
        <v>2270600</v>
      </c>
    </row>
    <row r="1479" customFormat="false" ht="15" hidden="false" customHeight="false" outlineLevel="0" collapsed="false">
      <c r="A1479" s="50" t="s">
        <v>690</v>
      </c>
      <c r="B1479" s="51" t="n">
        <v>45749</v>
      </c>
      <c r="C1479" s="50" t="s">
        <v>166</v>
      </c>
      <c r="D1479" s="50" t="s">
        <v>2182</v>
      </c>
      <c r="E1479" s="50" t="n">
        <v>7</v>
      </c>
      <c r="F1479" s="50" t="s">
        <v>2174</v>
      </c>
      <c r="G1479" s="54" t="n">
        <v>6664400</v>
      </c>
    </row>
    <row r="1480" customFormat="false" ht="15" hidden="false" customHeight="false" outlineLevel="0" collapsed="false">
      <c r="A1480" s="50" t="s">
        <v>690</v>
      </c>
      <c r="B1480" s="51" t="n">
        <v>45749</v>
      </c>
      <c r="C1480" s="50" t="s">
        <v>166</v>
      </c>
      <c r="D1480" s="50" t="s">
        <v>2181</v>
      </c>
      <c r="E1480" s="50" t="n">
        <v>5</v>
      </c>
      <c r="F1480" s="50" t="s">
        <v>2167</v>
      </c>
      <c r="G1480" s="54" t="n">
        <v>5566000</v>
      </c>
    </row>
    <row r="1481" customFormat="false" ht="15" hidden="false" customHeight="false" outlineLevel="0" collapsed="false">
      <c r="A1481" s="50" t="s">
        <v>690</v>
      </c>
      <c r="B1481" s="51" t="n">
        <v>45749</v>
      </c>
      <c r="C1481" s="50" t="s">
        <v>166</v>
      </c>
      <c r="D1481" s="50" t="s">
        <v>2180</v>
      </c>
      <c r="E1481" s="50" t="n">
        <v>6</v>
      </c>
      <c r="F1481" s="50" t="s">
        <v>2167</v>
      </c>
      <c r="G1481" s="54" t="n">
        <v>2601200</v>
      </c>
    </row>
    <row r="1482" customFormat="false" ht="15" hidden="false" customHeight="false" outlineLevel="0" collapsed="false">
      <c r="A1482" s="50" t="s">
        <v>691</v>
      </c>
      <c r="B1482" s="51" t="n">
        <v>45749</v>
      </c>
      <c r="C1482" s="50" t="s">
        <v>298</v>
      </c>
      <c r="D1482" s="50" t="s">
        <v>2181</v>
      </c>
      <c r="E1482" s="50" t="n">
        <v>5</v>
      </c>
      <c r="F1482" s="50" t="s">
        <v>2167</v>
      </c>
      <c r="G1482" s="54" t="n">
        <v>5851100</v>
      </c>
    </row>
    <row r="1483" customFormat="false" ht="15" hidden="false" customHeight="false" outlineLevel="0" collapsed="false">
      <c r="A1483" s="50" t="s">
        <v>691</v>
      </c>
      <c r="B1483" s="51" t="n">
        <v>45749</v>
      </c>
      <c r="C1483" s="50" t="s">
        <v>298</v>
      </c>
      <c r="D1483" s="50" t="s">
        <v>2166</v>
      </c>
      <c r="E1483" s="50" t="n">
        <v>5</v>
      </c>
      <c r="F1483" s="50" t="s">
        <v>2167</v>
      </c>
      <c r="G1483" s="54" t="n">
        <v>2706300</v>
      </c>
    </row>
    <row r="1484" customFormat="false" ht="15" hidden="false" customHeight="false" outlineLevel="0" collapsed="false">
      <c r="A1484" s="50" t="s">
        <v>691</v>
      </c>
      <c r="B1484" s="51" t="n">
        <v>45749</v>
      </c>
      <c r="C1484" s="50" t="s">
        <v>298</v>
      </c>
      <c r="D1484" s="50" t="s">
        <v>2175</v>
      </c>
      <c r="E1484" s="50" t="n">
        <v>2</v>
      </c>
      <c r="F1484" s="50" t="s">
        <v>2167</v>
      </c>
      <c r="G1484" s="54" t="n">
        <v>1322500</v>
      </c>
    </row>
    <row r="1485" customFormat="false" ht="15" hidden="false" customHeight="false" outlineLevel="0" collapsed="false">
      <c r="A1485" s="50" t="s">
        <v>692</v>
      </c>
      <c r="B1485" s="51" t="n">
        <v>45749</v>
      </c>
      <c r="C1485" s="50" t="s">
        <v>693</v>
      </c>
      <c r="D1485" s="50" t="s">
        <v>2182</v>
      </c>
      <c r="E1485" s="50" t="n">
        <v>4</v>
      </c>
      <c r="F1485" s="50" t="s">
        <v>2174</v>
      </c>
      <c r="G1485" s="54" t="n">
        <v>3947000</v>
      </c>
    </row>
    <row r="1486" customFormat="false" ht="15" hidden="false" customHeight="false" outlineLevel="0" collapsed="false">
      <c r="A1486" s="50" t="s">
        <v>692</v>
      </c>
      <c r="B1486" s="51" t="n">
        <v>45749</v>
      </c>
      <c r="C1486" s="50" t="s">
        <v>693</v>
      </c>
      <c r="D1486" s="50" t="s">
        <v>2179</v>
      </c>
      <c r="E1486" s="50" t="n">
        <v>5</v>
      </c>
      <c r="F1486" s="50" t="s">
        <v>2174</v>
      </c>
      <c r="G1486" s="54" t="n">
        <v>6418700</v>
      </c>
    </row>
    <row r="1487" customFormat="false" ht="15" hidden="false" customHeight="false" outlineLevel="0" collapsed="false">
      <c r="A1487" s="50" t="s">
        <v>692</v>
      </c>
      <c r="B1487" s="51" t="n">
        <v>45749</v>
      </c>
      <c r="C1487" s="50" t="s">
        <v>693</v>
      </c>
      <c r="D1487" s="50" t="s">
        <v>2176</v>
      </c>
      <c r="E1487" s="50" t="n">
        <v>2</v>
      </c>
      <c r="F1487" s="50" t="s">
        <v>2167</v>
      </c>
      <c r="G1487" s="54" t="n">
        <v>820800</v>
      </c>
    </row>
    <row r="1488" customFormat="false" ht="15" hidden="false" customHeight="false" outlineLevel="0" collapsed="false">
      <c r="A1488" s="50" t="s">
        <v>692</v>
      </c>
      <c r="B1488" s="51" t="n">
        <v>45749</v>
      </c>
      <c r="C1488" s="50" t="s">
        <v>693</v>
      </c>
      <c r="D1488" s="50" t="s">
        <v>2178</v>
      </c>
      <c r="E1488" s="50" t="n">
        <v>3</v>
      </c>
      <c r="F1488" s="50" t="s">
        <v>2167</v>
      </c>
      <c r="G1488" s="54" t="n">
        <v>1418400</v>
      </c>
    </row>
    <row r="1489" customFormat="false" ht="15" hidden="false" customHeight="false" outlineLevel="0" collapsed="false">
      <c r="A1489" s="50" t="s">
        <v>692</v>
      </c>
      <c r="B1489" s="51" t="n">
        <v>45749</v>
      </c>
      <c r="C1489" s="50" t="s">
        <v>693</v>
      </c>
      <c r="D1489" s="50" t="s">
        <v>2175</v>
      </c>
      <c r="E1489" s="50" t="n">
        <v>8</v>
      </c>
      <c r="F1489" s="50" t="s">
        <v>2167</v>
      </c>
      <c r="G1489" s="54" t="n">
        <v>5247000</v>
      </c>
    </row>
    <row r="1490" customFormat="false" ht="15" hidden="false" customHeight="false" outlineLevel="0" collapsed="false">
      <c r="A1490" s="50" t="s">
        <v>694</v>
      </c>
      <c r="B1490" s="51" t="n">
        <v>45749</v>
      </c>
      <c r="C1490" s="50" t="s">
        <v>216</v>
      </c>
      <c r="D1490" s="50" t="s">
        <v>2170</v>
      </c>
      <c r="E1490" s="50" t="n">
        <v>1</v>
      </c>
      <c r="F1490" s="50" t="s">
        <v>2171</v>
      </c>
      <c r="G1490" s="54" t="n">
        <v>7826200</v>
      </c>
    </row>
    <row r="1491" customFormat="false" ht="15" hidden="false" customHeight="false" outlineLevel="0" collapsed="false">
      <c r="A1491" s="50" t="s">
        <v>694</v>
      </c>
      <c r="B1491" s="51" t="n">
        <v>45749</v>
      </c>
      <c r="C1491" s="50" t="s">
        <v>216</v>
      </c>
      <c r="D1491" s="50" t="s">
        <v>2177</v>
      </c>
      <c r="E1491" s="50" t="n">
        <v>5</v>
      </c>
      <c r="F1491" s="50" t="s">
        <v>2174</v>
      </c>
      <c r="G1491" s="54" t="n">
        <v>5441800</v>
      </c>
    </row>
    <row r="1492" customFormat="false" ht="15" hidden="false" customHeight="false" outlineLevel="0" collapsed="false">
      <c r="A1492" s="50" t="s">
        <v>694</v>
      </c>
      <c r="B1492" s="51" t="n">
        <v>45749</v>
      </c>
      <c r="C1492" s="50" t="s">
        <v>216</v>
      </c>
      <c r="D1492" s="50" t="s">
        <v>2176</v>
      </c>
      <c r="E1492" s="50" t="n">
        <v>7</v>
      </c>
      <c r="F1492" s="50" t="s">
        <v>2167</v>
      </c>
      <c r="G1492" s="54" t="n">
        <v>3042200</v>
      </c>
    </row>
    <row r="1493" customFormat="false" ht="15" hidden="false" customHeight="false" outlineLevel="0" collapsed="false">
      <c r="A1493" s="50" t="s">
        <v>694</v>
      </c>
      <c r="B1493" s="51" t="n">
        <v>45749</v>
      </c>
      <c r="C1493" s="50" t="s">
        <v>216</v>
      </c>
      <c r="D1493" s="50" t="s">
        <v>2179</v>
      </c>
      <c r="E1493" s="50" t="n">
        <v>6</v>
      </c>
      <c r="F1493" s="50" t="s">
        <v>2174</v>
      </c>
      <c r="G1493" s="54" t="n">
        <v>7332900</v>
      </c>
    </row>
    <row r="1494" customFormat="false" ht="15" hidden="false" customHeight="false" outlineLevel="0" collapsed="false">
      <c r="A1494" s="50" t="s">
        <v>694</v>
      </c>
      <c r="B1494" s="51" t="n">
        <v>45749</v>
      </c>
      <c r="C1494" s="50" t="s">
        <v>216</v>
      </c>
      <c r="D1494" s="50" t="s">
        <v>2188</v>
      </c>
      <c r="E1494" s="50" t="n">
        <v>4</v>
      </c>
      <c r="F1494" s="50" t="s">
        <v>2167</v>
      </c>
      <c r="G1494" s="54" t="n">
        <v>3941300</v>
      </c>
    </row>
    <row r="1495" customFormat="false" ht="15" hidden="false" customHeight="false" outlineLevel="0" collapsed="false">
      <c r="A1495" s="50" t="s">
        <v>695</v>
      </c>
      <c r="B1495" s="51" t="n">
        <v>45749</v>
      </c>
      <c r="C1495" s="50" t="s">
        <v>298</v>
      </c>
      <c r="D1495" s="50" t="s">
        <v>2182</v>
      </c>
      <c r="E1495" s="50" t="n">
        <v>2</v>
      </c>
      <c r="F1495" s="50" t="s">
        <v>2174</v>
      </c>
      <c r="G1495" s="54" t="n">
        <v>1848800</v>
      </c>
    </row>
    <row r="1496" customFormat="false" ht="15" hidden="false" customHeight="false" outlineLevel="0" collapsed="false">
      <c r="A1496" s="50" t="s">
        <v>695</v>
      </c>
      <c r="B1496" s="51" t="n">
        <v>45749</v>
      </c>
      <c r="C1496" s="50" t="s">
        <v>298</v>
      </c>
      <c r="D1496" s="50" t="s">
        <v>2179</v>
      </c>
      <c r="E1496" s="50" t="n">
        <v>4</v>
      </c>
      <c r="F1496" s="50" t="s">
        <v>2174</v>
      </c>
      <c r="G1496" s="54" t="n">
        <v>4800400</v>
      </c>
    </row>
    <row r="1497" customFormat="false" ht="15" hidden="false" customHeight="false" outlineLevel="0" collapsed="false">
      <c r="A1497" s="50" t="s">
        <v>695</v>
      </c>
      <c r="B1497" s="51" t="n">
        <v>45749</v>
      </c>
      <c r="C1497" s="50" t="s">
        <v>298</v>
      </c>
      <c r="D1497" s="50" t="s">
        <v>2168</v>
      </c>
      <c r="E1497" s="50" t="n">
        <v>8</v>
      </c>
      <c r="F1497" s="50" t="s">
        <v>2167</v>
      </c>
      <c r="G1497" s="54" t="n">
        <v>3458100</v>
      </c>
    </row>
    <row r="1498" customFormat="false" ht="15" hidden="false" customHeight="false" outlineLevel="0" collapsed="false">
      <c r="A1498" s="50" t="s">
        <v>695</v>
      </c>
      <c r="B1498" s="51" t="n">
        <v>45749</v>
      </c>
      <c r="C1498" s="50" t="s">
        <v>298</v>
      </c>
      <c r="D1498" s="50" t="s">
        <v>2176</v>
      </c>
      <c r="E1498" s="50" t="n">
        <v>3</v>
      </c>
      <c r="F1498" s="50" t="s">
        <v>2167</v>
      </c>
      <c r="G1498" s="54" t="n">
        <v>1239400</v>
      </c>
    </row>
    <row r="1499" customFormat="false" ht="15" hidden="false" customHeight="false" outlineLevel="0" collapsed="false">
      <c r="A1499" s="50" t="s">
        <v>695</v>
      </c>
      <c r="B1499" s="51" t="n">
        <v>45749</v>
      </c>
      <c r="C1499" s="50" t="s">
        <v>298</v>
      </c>
      <c r="D1499" s="50" t="s">
        <v>2170</v>
      </c>
      <c r="E1499" s="50" t="n">
        <v>2</v>
      </c>
      <c r="F1499" s="50" t="s">
        <v>2171</v>
      </c>
      <c r="G1499" s="54" t="n">
        <v>14917300</v>
      </c>
    </row>
    <row r="1500" customFormat="false" ht="15" hidden="false" customHeight="false" outlineLevel="0" collapsed="false">
      <c r="A1500" s="50" t="s">
        <v>695</v>
      </c>
      <c r="B1500" s="51" t="n">
        <v>45749</v>
      </c>
      <c r="C1500" s="50" t="s">
        <v>298</v>
      </c>
      <c r="D1500" s="50" t="s">
        <v>2183</v>
      </c>
      <c r="E1500" s="50" t="n">
        <v>7</v>
      </c>
      <c r="F1500" s="50" t="s">
        <v>2167</v>
      </c>
      <c r="G1500" s="54" t="n">
        <v>2672000</v>
      </c>
    </row>
    <row r="1501" customFormat="false" ht="15" hidden="false" customHeight="false" outlineLevel="0" collapsed="false">
      <c r="A1501" s="50" t="s">
        <v>696</v>
      </c>
      <c r="B1501" s="51" t="n">
        <v>45750</v>
      </c>
      <c r="C1501" s="50" t="s">
        <v>320</v>
      </c>
      <c r="D1501" s="50" t="s">
        <v>2173</v>
      </c>
      <c r="E1501" s="50" t="n">
        <v>3</v>
      </c>
      <c r="F1501" s="50" t="s">
        <v>2174</v>
      </c>
      <c r="G1501" s="54" t="n">
        <v>2345300</v>
      </c>
    </row>
    <row r="1502" customFormat="false" ht="15" hidden="false" customHeight="false" outlineLevel="0" collapsed="false">
      <c r="A1502" s="50" t="s">
        <v>696</v>
      </c>
      <c r="B1502" s="51" t="n">
        <v>45750</v>
      </c>
      <c r="C1502" s="50" t="s">
        <v>320</v>
      </c>
      <c r="D1502" s="50" t="s">
        <v>2181</v>
      </c>
      <c r="E1502" s="50" t="n">
        <v>4</v>
      </c>
      <c r="F1502" s="50" t="s">
        <v>2167</v>
      </c>
      <c r="G1502" s="54" t="n">
        <v>4631900</v>
      </c>
    </row>
    <row r="1503" customFormat="false" ht="15" hidden="false" customHeight="false" outlineLevel="0" collapsed="false">
      <c r="A1503" s="50" t="s">
        <v>696</v>
      </c>
      <c r="B1503" s="51" t="n">
        <v>45750</v>
      </c>
      <c r="C1503" s="50" t="s">
        <v>320</v>
      </c>
      <c r="D1503" s="50" t="s">
        <v>2170</v>
      </c>
      <c r="E1503" s="50" t="n">
        <v>2</v>
      </c>
      <c r="F1503" s="50" t="s">
        <v>2171</v>
      </c>
      <c r="G1503" s="54" t="n">
        <v>15137500</v>
      </c>
    </row>
    <row r="1504" customFormat="false" ht="15" hidden="false" customHeight="false" outlineLevel="0" collapsed="false">
      <c r="A1504" s="50" t="s">
        <v>696</v>
      </c>
      <c r="B1504" s="51" t="n">
        <v>45750</v>
      </c>
      <c r="C1504" s="50" t="s">
        <v>320</v>
      </c>
      <c r="D1504" s="50" t="s">
        <v>2184</v>
      </c>
      <c r="E1504" s="50" t="n">
        <v>8</v>
      </c>
      <c r="F1504" s="50" t="s">
        <v>2167</v>
      </c>
      <c r="G1504" s="54" t="n">
        <v>4657800</v>
      </c>
    </row>
    <row r="1505" customFormat="false" ht="15" hidden="false" customHeight="false" outlineLevel="0" collapsed="false">
      <c r="A1505" s="50" t="s">
        <v>696</v>
      </c>
      <c r="B1505" s="51" t="n">
        <v>45750</v>
      </c>
      <c r="C1505" s="50" t="s">
        <v>320</v>
      </c>
      <c r="D1505" s="50" t="s">
        <v>2186</v>
      </c>
      <c r="E1505" s="50" t="n">
        <v>7</v>
      </c>
      <c r="F1505" s="50" t="s">
        <v>2167</v>
      </c>
      <c r="G1505" s="54" t="n">
        <v>4177700</v>
      </c>
    </row>
    <row r="1506" customFormat="false" ht="15" hidden="false" customHeight="false" outlineLevel="0" collapsed="false">
      <c r="A1506" s="50" t="s">
        <v>696</v>
      </c>
      <c r="B1506" s="51" t="n">
        <v>45750</v>
      </c>
      <c r="C1506" s="50" t="s">
        <v>320</v>
      </c>
      <c r="D1506" s="50" t="s">
        <v>2180</v>
      </c>
      <c r="E1506" s="50" t="n">
        <v>4</v>
      </c>
      <c r="F1506" s="50" t="s">
        <v>2167</v>
      </c>
      <c r="G1506" s="54" t="n">
        <v>1809600</v>
      </c>
    </row>
    <row r="1507" customFormat="false" ht="15" hidden="false" customHeight="false" outlineLevel="0" collapsed="false">
      <c r="A1507" s="50" t="s">
        <v>697</v>
      </c>
      <c r="B1507" s="51" t="n">
        <v>45750</v>
      </c>
      <c r="C1507" s="50" t="s">
        <v>223</v>
      </c>
      <c r="D1507" s="50" t="s">
        <v>2186</v>
      </c>
      <c r="E1507" s="50" t="n">
        <v>2</v>
      </c>
      <c r="F1507" s="50" t="s">
        <v>2167</v>
      </c>
      <c r="G1507" s="54" t="n">
        <v>1153100</v>
      </c>
    </row>
    <row r="1508" customFormat="false" ht="15" hidden="false" customHeight="false" outlineLevel="0" collapsed="false">
      <c r="A1508" s="50" t="s">
        <v>697</v>
      </c>
      <c r="B1508" s="51" t="n">
        <v>45750</v>
      </c>
      <c r="C1508" s="50" t="s">
        <v>223</v>
      </c>
      <c r="D1508" s="50" t="s">
        <v>2185</v>
      </c>
      <c r="E1508" s="50" t="n">
        <v>1</v>
      </c>
      <c r="F1508" s="50" t="s">
        <v>2174</v>
      </c>
      <c r="G1508" s="54" t="n">
        <v>770600</v>
      </c>
    </row>
    <row r="1509" customFormat="false" ht="15" hidden="false" customHeight="false" outlineLevel="0" collapsed="false">
      <c r="A1509" s="50" t="s">
        <v>698</v>
      </c>
      <c r="B1509" s="51" t="n">
        <v>45750</v>
      </c>
      <c r="C1509" s="50" t="s">
        <v>243</v>
      </c>
      <c r="D1509" s="50" t="s">
        <v>2172</v>
      </c>
      <c r="E1509" s="50" t="n">
        <v>5</v>
      </c>
      <c r="F1509" s="50" t="s">
        <v>2167</v>
      </c>
      <c r="G1509" s="54" t="n">
        <v>2527200</v>
      </c>
    </row>
    <row r="1510" customFormat="false" ht="15" hidden="false" customHeight="false" outlineLevel="0" collapsed="false">
      <c r="A1510" s="50" t="s">
        <v>698</v>
      </c>
      <c r="B1510" s="51" t="n">
        <v>45750</v>
      </c>
      <c r="C1510" s="50" t="s">
        <v>243</v>
      </c>
      <c r="D1510" s="50" t="s">
        <v>2183</v>
      </c>
      <c r="E1510" s="50" t="n">
        <v>1</v>
      </c>
      <c r="F1510" s="50" t="s">
        <v>2167</v>
      </c>
      <c r="G1510" s="54" t="n">
        <v>370100</v>
      </c>
    </row>
    <row r="1511" customFormat="false" ht="15" hidden="false" customHeight="false" outlineLevel="0" collapsed="false">
      <c r="A1511" s="50" t="s">
        <v>698</v>
      </c>
      <c r="B1511" s="51" t="n">
        <v>45750</v>
      </c>
      <c r="C1511" s="50" t="s">
        <v>243</v>
      </c>
      <c r="D1511" s="50" t="s">
        <v>2168</v>
      </c>
      <c r="E1511" s="50" t="n">
        <v>5</v>
      </c>
      <c r="F1511" s="50" t="s">
        <v>2167</v>
      </c>
      <c r="G1511" s="54" t="n">
        <v>2160800</v>
      </c>
    </row>
    <row r="1512" customFormat="false" ht="15" hidden="false" customHeight="false" outlineLevel="0" collapsed="false">
      <c r="A1512" s="50" t="s">
        <v>699</v>
      </c>
      <c r="B1512" s="51" t="n">
        <v>45750</v>
      </c>
      <c r="C1512" s="50" t="s">
        <v>256</v>
      </c>
      <c r="D1512" s="50" t="s">
        <v>2186</v>
      </c>
      <c r="E1512" s="50" t="n">
        <v>6</v>
      </c>
      <c r="F1512" s="50" t="s">
        <v>2167</v>
      </c>
      <c r="G1512" s="54" t="n">
        <v>3488800</v>
      </c>
    </row>
    <row r="1513" customFormat="false" ht="15" hidden="false" customHeight="false" outlineLevel="0" collapsed="false">
      <c r="A1513" s="50" t="s">
        <v>699</v>
      </c>
      <c r="B1513" s="51" t="n">
        <v>45750</v>
      </c>
      <c r="C1513" s="50" t="s">
        <v>256</v>
      </c>
      <c r="D1513" s="50" t="s">
        <v>2180</v>
      </c>
      <c r="E1513" s="50" t="n">
        <v>7</v>
      </c>
      <c r="F1513" s="50" t="s">
        <v>2167</v>
      </c>
      <c r="G1513" s="54" t="n">
        <v>3122100</v>
      </c>
    </row>
    <row r="1514" customFormat="false" ht="15" hidden="false" customHeight="false" outlineLevel="0" collapsed="false">
      <c r="A1514" s="50" t="s">
        <v>699</v>
      </c>
      <c r="B1514" s="51" t="n">
        <v>45750</v>
      </c>
      <c r="C1514" s="50" t="s">
        <v>256</v>
      </c>
      <c r="D1514" s="50" t="s">
        <v>2178</v>
      </c>
      <c r="E1514" s="50" t="n">
        <v>3</v>
      </c>
      <c r="F1514" s="50" t="s">
        <v>2167</v>
      </c>
      <c r="G1514" s="54" t="n">
        <v>1477100</v>
      </c>
    </row>
    <row r="1515" customFormat="false" ht="15" hidden="false" customHeight="false" outlineLevel="0" collapsed="false">
      <c r="A1515" s="50" t="s">
        <v>699</v>
      </c>
      <c r="B1515" s="51" t="n">
        <v>45750</v>
      </c>
      <c r="C1515" s="50" t="s">
        <v>256</v>
      </c>
      <c r="D1515" s="50" t="s">
        <v>2172</v>
      </c>
      <c r="E1515" s="50" t="n">
        <v>8</v>
      </c>
      <c r="F1515" s="50" t="s">
        <v>2167</v>
      </c>
      <c r="G1515" s="54" t="n">
        <v>4072900</v>
      </c>
    </row>
    <row r="1516" customFormat="false" ht="15" hidden="false" customHeight="false" outlineLevel="0" collapsed="false">
      <c r="A1516" s="50" t="s">
        <v>699</v>
      </c>
      <c r="B1516" s="51" t="n">
        <v>45750</v>
      </c>
      <c r="C1516" s="50" t="s">
        <v>256</v>
      </c>
      <c r="D1516" s="50" t="s">
        <v>2176</v>
      </c>
      <c r="E1516" s="50" t="n">
        <v>8</v>
      </c>
      <c r="F1516" s="50" t="s">
        <v>2167</v>
      </c>
      <c r="G1516" s="54" t="n">
        <v>3385600</v>
      </c>
    </row>
    <row r="1517" customFormat="false" ht="15" hidden="false" customHeight="false" outlineLevel="0" collapsed="false">
      <c r="A1517" s="50" t="s">
        <v>700</v>
      </c>
      <c r="B1517" s="51" t="n">
        <v>45751</v>
      </c>
      <c r="C1517" s="50" t="s">
        <v>195</v>
      </c>
      <c r="D1517" s="50" t="s">
        <v>2184</v>
      </c>
      <c r="E1517" s="50" t="n">
        <v>5</v>
      </c>
      <c r="F1517" s="50" t="s">
        <v>2167</v>
      </c>
      <c r="G1517" s="54" t="n">
        <v>2712900</v>
      </c>
    </row>
    <row r="1518" customFormat="false" ht="15" hidden="false" customHeight="false" outlineLevel="0" collapsed="false">
      <c r="A1518" s="50" t="s">
        <v>700</v>
      </c>
      <c r="B1518" s="51" t="n">
        <v>45751</v>
      </c>
      <c r="C1518" s="50" t="s">
        <v>195</v>
      </c>
      <c r="D1518" s="50" t="s">
        <v>2180</v>
      </c>
      <c r="E1518" s="50" t="n">
        <v>3</v>
      </c>
      <c r="F1518" s="50" t="s">
        <v>2167</v>
      </c>
      <c r="G1518" s="54" t="n">
        <v>1297900</v>
      </c>
    </row>
    <row r="1519" customFormat="false" ht="15" hidden="false" customHeight="false" outlineLevel="0" collapsed="false">
      <c r="A1519" s="50" t="s">
        <v>700</v>
      </c>
      <c r="B1519" s="51" t="n">
        <v>45751</v>
      </c>
      <c r="C1519" s="50" t="s">
        <v>195</v>
      </c>
      <c r="D1519" s="50" t="s">
        <v>2186</v>
      </c>
      <c r="E1519" s="50" t="n">
        <v>8</v>
      </c>
      <c r="F1519" s="50" t="s">
        <v>2167</v>
      </c>
      <c r="G1519" s="54" t="n">
        <v>4614400</v>
      </c>
    </row>
    <row r="1520" customFormat="false" ht="15" hidden="false" customHeight="false" outlineLevel="0" collapsed="false">
      <c r="A1520" s="50" t="s">
        <v>700</v>
      </c>
      <c r="B1520" s="51" t="n">
        <v>45751</v>
      </c>
      <c r="C1520" s="50" t="s">
        <v>195</v>
      </c>
      <c r="D1520" s="50" t="s">
        <v>2172</v>
      </c>
      <c r="E1520" s="50" t="n">
        <v>4</v>
      </c>
      <c r="F1520" s="50" t="s">
        <v>2167</v>
      </c>
      <c r="G1520" s="54" t="n">
        <v>2162700</v>
      </c>
    </row>
    <row r="1521" customFormat="false" ht="15" hidden="false" customHeight="false" outlineLevel="0" collapsed="false">
      <c r="A1521" s="50" t="s">
        <v>701</v>
      </c>
      <c r="B1521" s="51" t="n">
        <v>45751</v>
      </c>
      <c r="C1521" s="50" t="s">
        <v>188</v>
      </c>
      <c r="D1521" s="50" t="s">
        <v>2186</v>
      </c>
      <c r="E1521" s="50" t="n">
        <v>1</v>
      </c>
      <c r="F1521" s="50" t="s">
        <v>2167</v>
      </c>
      <c r="G1521" s="54" t="n">
        <v>591300</v>
      </c>
    </row>
    <row r="1522" customFormat="false" ht="15" hidden="false" customHeight="false" outlineLevel="0" collapsed="false">
      <c r="A1522" s="50" t="s">
        <v>701</v>
      </c>
      <c r="B1522" s="51" t="n">
        <v>45751</v>
      </c>
      <c r="C1522" s="50" t="s">
        <v>188</v>
      </c>
      <c r="D1522" s="50" t="s">
        <v>2169</v>
      </c>
      <c r="E1522" s="50" t="n">
        <v>1</v>
      </c>
      <c r="F1522" s="50" t="s">
        <v>2167</v>
      </c>
      <c r="G1522" s="54" t="n">
        <v>606100</v>
      </c>
    </row>
    <row r="1523" customFormat="false" ht="15" hidden="false" customHeight="false" outlineLevel="0" collapsed="false">
      <c r="A1523" s="50" t="s">
        <v>701</v>
      </c>
      <c r="B1523" s="51" t="n">
        <v>45751</v>
      </c>
      <c r="C1523" s="50" t="s">
        <v>188</v>
      </c>
      <c r="D1523" s="50" t="s">
        <v>2168</v>
      </c>
      <c r="E1523" s="50" t="n">
        <v>2</v>
      </c>
      <c r="F1523" s="50" t="s">
        <v>2167</v>
      </c>
      <c r="G1523" s="54" t="n">
        <v>865500</v>
      </c>
    </row>
    <row r="1524" customFormat="false" ht="15" hidden="false" customHeight="false" outlineLevel="0" collapsed="false">
      <c r="A1524" s="50" t="s">
        <v>701</v>
      </c>
      <c r="B1524" s="51" t="n">
        <v>45751</v>
      </c>
      <c r="C1524" s="50" t="s">
        <v>188</v>
      </c>
      <c r="D1524" s="50" t="s">
        <v>2185</v>
      </c>
      <c r="E1524" s="50" t="n">
        <v>7</v>
      </c>
      <c r="F1524" s="50" t="s">
        <v>2174</v>
      </c>
      <c r="G1524" s="54" t="n">
        <v>5625000</v>
      </c>
    </row>
    <row r="1525" customFormat="false" ht="15" hidden="false" customHeight="false" outlineLevel="0" collapsed="false">
      <c r="A1525" s="50" t="s">
        <v>702</v>
      </c>
      <c r="B1525" s="51" t="n">
        <v>45751</v>
      </c>
      <c r="C1525" s="50" t="s">
        <v>197</v>
      </c>
      <c r="D1525" s="50" t="s">
        <v>2169</v>
      </c>
      <c r="E1525" s="50" t="n">
        <v>5</v>
      </c>
      <c r="F1525" s="50" t="s">
        <v>2167</v>
      </c>
      <c r="G1525" s="54" t="n">
        <v>3070900</v>
      </c>
    </row>
    <row r="1526" customFormat="false" ht="15" hidden="false" customHeight="false" outlineLevel="0" collapsed="false">
      <c r="A1526" s="50" t="s">
        <v>702</v>
      </c>
      <c r="B1526" s="51" t="n">
        <v>45751</v>
      </c>
      <c r="C1526" s="50" t="s">
        <v>197</v>
      </c>
      <c r="D1526" s="50" t="s">
        <v>2176</v>
      </c>
      <c r="E1526" s="50" t="n">
        <v>1</v>
      </c>
      <c r="F1526" s="50" t="s">
        <v>2167</v>
      </c>
      <c r="G1526" s="54" t="n">
        <v>410600</v>
      </c>
    </row>
    <row r="1527" customFormat="false" ht="15" hidden="false" customHeight="false" outlineLevel="0" collapsed="false">
      <c r="A1527" s="50" t="s">
        <v>702</v>
      </c>
      <c r="B1527" s="51" t="n">
        <v>45751</v>
      </c>
      <c r="C1527" s="50" t="s">
        <v>197</v>
      </c>
      <c r="D1527" s="50" t="s">
        <v>2168</v>
      </c>
      <c r="E1527" s="50" t="n">
        <v>5</v>
      </c>
      <c r="F1527" s="50" t="s">
        <v>2167</v>
      </c>
      <c r="G1527" s="54" t="n">
        <v>2146700</v>
      </c>
    </row>
    <row r="1528" customFormat="false" ht="15" hidden="false" customHeight="false" outlineLevel="0" collapsed="false">
      <c r="A1528" s="50" t="s">
        <v>702</v>
      </c>
      <c r="B1528" s="51" t="n">
        <v>45751</v>
      </c>
      <c r="C1528" s="50" t="s">
        <v>197</v>
      </c>
      <c r="D1528" s="50" t="s">
        <v>2181</v>
      </c>
      <c r="E1528" s="50" t="n">
        <v>1</v>
      </c>
      <c r="F1528" s="50" t="s">
        <v>2167</v>
      </c>
      <c r="G1528" s="54" t="n">
        <v>1155900</v>
      </c>
    </row>
    <row r="1529" customFormat="false" ht="15" hidden="false" customHeight="false" outlineLevel="0" collapsed="false">
      <c r="A1529" s="50" t="s">
        <v>703</v>
      </c>
      <c r="B1529" s="51" t="n">
        <v>45751</v>
      </c>
      <c r="C1529" s="50" t="s">
        <v>358</v>
      </c>
      <c r="D1529" s="50" t="s">
        <v>2181</v>
      </c>
      <c r="E1529" s="50" t="n">
        <v>8</v>
      </c>
      <c r="F1529" s="50" t="s">
        <v>2167</v>
      </c>
      <c r="G1529" s="54" t="n">
        <v>9352300</v>
      </c>
    </row>
    <row r="1530" customFormat="false" ht="15" hidden="false" customHeight="false" outlineLevel="0" collapsed="false">
      <c r="A1530" s="50" t="s">
        <v>703</v>
      </c>
      <c r="B1530" s="51" t="n">
        <v>45751</v>
      </c>
      <c r="C1530" s="50" t="s">
        <v>358</v>
      </c>
      <c r="D1530" s="50" t="s">
        <v>2169</v>
      </c>
      <c r="E1530" s="50" t="n">
        <v>1</v>
      </c>
      <c r="F1530" s="50" t="s">
        <v>2167</v>
      </c>
      <c r="G1530" s="54" t="n">
        <v>618400</v>
      </c>
    </row>
    <row r="1531" customFormat="false" ht="15" hidden="false" customHeight="false" outlineLevel="0" collapsed="false">
      <c r="A1531" s="50" t="s">
        <v>704</v>
      </c>
      <c r="B1531" s="51" t="n">
        <v>45751</v>
      </c>
      <c r="C1531" s="50" t="s">
        <v>358</v>
      </c>
      <c r="D1531" s="50" t="s">
        <v>2180</v>
      </c>
      <c r="E1531" s="50" t="n">
        <v>8</v>
      </c>
      <c r="F1531" s="50" t="s">
        <v>2167</v>
      </c>
      <c r="G1531" s="54" t="n">
        <v>3528500</v>
      </c>
    </row>
    <row r="1532" customFormat="false" ht="15" hidden="false" customHeight="false" outlineLevel="0" collapsed="false">
      <c r="A1532" s="50" t="s">
        <v>704</v>
      </c>
      <c r="B1532" s="51" t="n">
        <v>45751</v>
      </c>
      <c r="C1532" s="50" t="s">
        <v>358</v>
      </c>
      <c r="D1532" s="50" t="s">
        <v>2166</v>
      </c>
      <c r="E1532" s="50" t="n">
        <v>4</v>
      </c>
      <c r="F1532" s="50" t="s">
        <v>2167</v>
      </c>
      <c r="G1532" s="54" t="n">
        <v>2114000</v>
      </c>
    </row>
    <row r="1533" customFormat="false" ht="15" hidden="false" customHeight="false" outlineLevel="0" collapsed="false">
      <c r="A1533" s="50" t="s">
        <v>704</v>
      </c>
      <c r="B1533" s="51" t="n">
        <v>45751</v>
      </c>
      <c r="C1533" s="50" t="s">
        <v>358</v>
      </c>
      <c r="D1533" s="50" t="s">
        <v>2186</v>
      </c>
      <c r="E1533" s="50" t="n">
        <v>5</v>
      </c>
      <c r="F1533" s="50" t="s">
        <v>2167</v>
      </c>
      <c r="G1533" s="54" t="n">
        <v>3039400</v>
      </c>
    </row>
    <row r="1534" customFormat="false" ht="15" hidden="false" customHeight="false" outlineLevel="0" collapsed="false">
      <c r="A1534" s="50" t="s">
        <v>705</v>
      </c>
      <c r="B1534" s="51" t="n">
        <v>45752</v>
      </c>
      <c r="C1534" s="50" t="s">
        <v>447</v>
      </c>
      <c r="D1534" s="50" t="s">
        <v>2184</v>
      </c>
      <c r="E1534" s="50" t="n">
        <v>5</v>
      </c>
      <c r="F1534" s="50" t="s">
        <v>2167</v>
      </c>
      <c r="G1534" s="54" t="n">
        <v>2740600</v>
      </c>
    </row>
    <row r="1535" customFormat="false" ht="15" hidden="false" customHeight="false" outlineLevel="0" collapsed="false">
      <c r="A1535" s="50" t="s">
        <v>705</v>
      </c>
      <c r="B1535" s="51" t="n">
        <v>45752</v>
      </c>
      <c r="C1535" s="50" t="s">
        <v>447</v>
      </c>
      <c r="D1535" s="50" t="s">
        <v>2183</v>
      </c>
      <c r="E1535" s="50" t="n">
        <v>6</v>
      </c>
      <c r="F1535" s="50" t="s">
        <v>2167</v>
      </c>
      <c r="G1535" s="54" t="n">
        <v>2322300</v>
      </c>
    </row>
    <row r="1536" customFormat="false" ht="15" hidden="false" customHeight="false" outlineLevel="0" collapsed="false">
      <c r="A1536" s="50" t="s">
        <v>705</v>
      </c>
      <c r="B1536" s="51" t="n">
        <v>45752</v>
      </c>
      <c r="C1536" s="50" t="s">
        <v>447</v>
      </c>
      <c r="D1536" s="50" t="s">
        <v>2181</v>
      </c>
      <c r="E1536" s="50" t="n">
        <v>1</v>
      </c>
      <c r="F1536" s="50" t="s">
        <v>2167</v>
      </c>
      <c r="G1536" s="54" t="n">
        <v>1112700</v>
      </c>
    </row>
    <row r="1537" customFormat="false" ht="15" hidden="false" customHeight="false" outlineLevel="0" collapsed="false">
      <c r="A1537" s="50" t="s">
        <v>705</v>
      </c>
      <c r="B1537" s="51" t="n">
        <v>45752</v>
      </c>
      <c r="C1537" s="50" t="s">
        <v>447</v>
      </c>
      <c r="D1537" s="50" t="s">
        <v>2178</v>
      </c>
      <c r="E1537" s="50" t="n">
        <v>1</v>
      </c>
      <c r="F1537" s="50" t="s">
        <v>2167</v>
      </c>
      <c r="G1537" s="54" t="n">
        <v>486700</v>
      </c>
    </row>
    <row r="1538" customFormat="false" ht="15" hidden="false" customHeight="false" outlineLevel="0" collapsed="false">
      <c r="A1538" s="50" t="s">
        <v>705</v>
      </c>
      <c r="B1538" s="51" t="n">
        <v>45752</v>
      </c>
      <c r="C1538" s="50" t="s">
        <v>447</v>
      </c>
      <c r="D1538" s="50" t="s">
        <v>2182</v>
      </c>
      <c r="E1538" s="50" t="n">
        <v>6</v>
      </c>
      <c r="F1538" s="50" t="s">
        <v>2174</v>
      </c>
      <c r="G1538" s="54" t="n">
        <v>5633900</v>
      </c>
    </row>
    <row r="1539" customFormat="false" ht="15" hidden="false" customHeight="false" outlineLevel="0" collapsed="false">
      <c r="A1539" s="50" t="s">
        <v>706</v>
      </c>
      <c r="B1539" s="51" t="n">
        <v>45752</v>
      </c>
      <c r="C1539" s="50" t="s">
        <v>170</v>
      </c>
      <c r="D1539" s="50" t="s">
        <v>2188</v>
      </c>
      <c r="E1539" s="50" t="n">
        <v>6</v>
      </c>
      <c r="F1539" s="50" t="s">
        <v>2167</v>
      </c>
      <c r="G1539" s="54" t="n">
        <v>6107200</v>
      </c>
    </row>
    <row r="1540" customFormat="false" ht="15" hidden="false" customHeight="false" outlineLevel="0" collapsed="false">
      <c r="A1540" s="50" t="s">
        <v>706</v>
      </c>
      <c r="B1540" s="51" t="n">
        <v>45752</v>
      </c>
      <c r="C1540" s="50" t="s">
        <v>170</v>
      </c>
      <c r="D1540" s="50" t="s">
        <v>2184</v>
      </c>
      <c r="E1540" s="50" t="n">
        <v>2</v>
      </c>
      <c r="F1540" s="50" t="s">
        <v>2167</v>
      </c>
      <c r="G1540" s="54" t="n">
        <v>1081500</v>
      </c>
    </row>
    <row r="1541" customFormat="false" ht="15" hidden="false" customHeight="false" outlineLevel="0" collapsed="false">
      <c r="A1541" s="50" t="s">
        <v>706</v>
      </c>
      <c r="B1541" s="51" t="n">
        <v>45752</v>
      </c>
      <c r="C1541" s="50" t="s">
        <v>170</v>
      </c>
      <c r="D1541" s="50" t="s">
        <v>2166</v>
      </c>
      <c r="E1541" s="50" t="n">
        <v>3</v>
      </c>
      <c r="F1541" s="50" t="s">
        <v>2167</v>
      </c>
      <c r="G1541" s="54" t="n">
        <v>1663800</v>
      </c>
    </row>
    <row r="1542" customFormat="false" ht="15" hidden="false" customHeight="false" outlineLevel="0" collapsed="false">
      <c r="A1542" s="50" t="s">
        <v>707</v>
      </c>
      <c r="B1542" s="51" t="n">
        <v>45752</v>
      </c>
      <c r="C1542" s="50" t="s">
        <v>271</v>
      </c>
      <c r="D1542" s="50" t="s">
        <v>2178</v>
      </c>
      <c r="E1542" s="50" t="n">
        <v>1</v>
      </c>
      <c r="F1542" s="50" t="s">
        <v>2167</v>
      </c>
      <c r="G1542" s="54" t="n">
        <v>467200</v>
      </c>
    </row>
    <row r="1543" customFormat="false" ht="15" hidden="false" customHeight="false" outlineLevel="0" collapsed="false">
      <c r="A1543" s="50" t="s">
        <v>707</v>
      </c>
      <c r="B1543" s="51" t="n">
        <v>45752</v>
      </c>
      <c r="C1543" s="50" t="s">
        <v>271</v>
      </c>
      <c r="D1543" s="50" t="s">
        <v>2176</v>
      </c>
      <c r="E1543" s="50" t="n">
        <v>1</v>
      </c>
      <c r="F1543" s="50" t="s">
        <v>2167</v>
      </c>
      <c r="G1543" s="54" t="n">
        <v>425600</v>
      </c>
    </row>
    <row r="1544" customFormat="false" ht="15" hidden="false" customHeight="false" outlineLevel="0" collapsed="false">
      <c r="A1544" s="50" t="s">
        <v>708</v>
      </c>
      <c r="B1544" s="51" t="n">
        <v>45752</v>
      </c>
      <c r="C1544" s="50" t="s">
        <v>358</v>
      </c>
      <c r="D1544" s="50" t="s">
        <v>2177</v>
      </c>
      <c r="E1544" s="50" t="n">
        <v>3</v>
      </c>
      <c r="F1544" s="50" t="s">
        <v>2174</v>
      </c>
      <c r="G1544" s="54" t="n">
        <v>3355700</v>
      </c>
    </row>
    <row r="1545" customFormat="false" ht="15" hidden="false" customHeight="false" outlineLevel="0" collapsed="false">
      <c r="A1545" s="50" t="s">
        <v>708</v>
      </c>
      <c r="B1545" s="51" t="n">
        <v>45752</v>
      </c>
      <c r="C1545" s="50" t="s">
        <v>358</v>
      </c>
      <c r="D1545" s="50" t="s">
        <v>2185</v>
      </c>
      <c r="E1545" s="50" t="n">
        <v>6</v>
      </c>
      <c r="F1545" s="50" t="s">
        <v>2174</v>
      </c>
      <c r="G1545" s="54" t="n">
        <v>4657100</v>
      </c>
    </row>
    <row r="1546" customFormat="false" ht="15" hidden="false" customHeight="false" outlineLevel="0" collapsed="false">
      <c r="A1546" s="50" t="s">
        <v>708</v>
      </c>
      <c r="B1546" s="51" t="n">
        <v>45752</v>
      </c>
      <c r="C1546" s="50" t="s">
        <v>358</v>
      </c>
      <c r="D1546" s="50" t="s">
        <v>2172</v>
      </c>
      <c r="E1546" s="50" t="n">
        <v>5</v>
      </c>
      <c r="F1546" s="50" t="s">
        <v>2167</v>
      </c>
      <c r="G1546" s="54" t="n">
        <v>2641700</v>
      </c>
    </row>
    <row r="1547" customFormat="false" ht="15" hidden="false" customHeight="false" outlineLevel="0" collapsed="false">
      <c r="A1547" s="50" t="s">
        <v>708</v>
      </c>
      <c r="B1547" s="51" t="n">
        <v>45752</v>
      </c>
      <c r="C1547" s="50" t="s">
        <v>358</v>
      </c>
      <c r="D1547" s="50" t="s">
        <v>2169</v>
      </c>
      <c r="E1547" s="50" t="n">
        <v>2</v>
      </c>
      <c r="F1547" s="50" t="s">
        <v>2167</v>
      </c>
      <c r="G1547" s="54" t="n">
        <v>1196600</v>
      </c>
    </row>
    <row r="1548" customFormat="false" ht="15" hidden="false" customHeight="false" outlineLevel="0" collapsed="false">
      <c r="A1548" s="50" t="s">
        <v>708</v>
      </c>
      <c r="B1548" s="51" t="n">
        <v>45752</v>
      </c>
      <c r="C1548" s="50" t="s">
        <v>358</v>
      </c>
      <c r="D1548" s="50" t="s">
        <v>2168</v>
      </c>
      <c r="E1548" s="50" t="n">
        <v>8</v>
      </c>
      <c r="F1548" s="50" t="s">
        <v>2167</v>
      </c>
      <c r="G1548" s="54" t="n">
        <v>3307500</v>
      </c>
    </row>
    <row r="1549" customFormat="false" ht="15" hidden="false" customHeight="false" outlineLevel="0" collapsed="false">
      <c r="A1549" s="50" t="s">
        <v>709</v>
      </c>
      <c r="B1549" s="51" t="n">
        <v>45752</v>
      </c>
      <c r="C1549" s="50" t="s">
        <v>317</v>
      </c>
      <c r="D1549" s="50" t="s">
        <v>2169</v>
      </c>
      <c r="E1549" s="50" t="n">
        <v>3</v>
      </c>
      <c r="F1549" s="50" t="s">
        <v>2167</v>
      </c>
      <c r="G1549" s="54" t="n">
        <v>1789400</v>
      </c>
    </row>
    <row r="1550" customFormat="false" ht="15" hidden="false" customHeight="false" outlineLevel="0" collapsed="false">
      <c r="A1550" s="50" t="s">
        <v>709</v>
      </c>
      <c r="B1550" s="51" t="n">
        <v>45752</v>
      </c>
      <c r="C1550" s="50" t="s">
        <v>317</v>
      </c>
      <c r="D1550" s="50" t="s">
        <v>2176</v>
      </c>
      <c r="E1550" s="50" t="n">
        <v>3</v>
      </c>
      <c r="F1550" s="50" t="s">
        <v>2167</v>
      </c>
      <c r="G1550" s="54" t="n">
        <v>1230900</v>
      </c>
    </row>
    <row r="1551" customFormat="false" ht="15" hidden="false" customHeight="false" outlineLevel="0" collapsed="false">
      <c r="A1551" s="50" t="s">
        <v>709</v>
      </c>
      <c r="B1551" s="51" t="n">
        <v>45752</v>
      </c>
      <c r="C1551" s="50" t="s">
        <v>317</v>
      </c>
      <c r="D1551" s="50" t="s">
        <v>2181</v>
      </c>
      <c r="E1551" s="50" t="n">
        <v>3</v>
      </c>
      <c r="F1551" s="50" t="s">
        <v>2167</v>
      </c>
      <c r="G1551" s="54" t="n">
        <v>3555900</v>
      </c>
    </row>
    <row r="1552" customFormat="false" ht="15" hidden="false" customHeight="false" outlineLevel="0" collapsed="false">
      <c r="A1552" s="50" t="s">
        <v>710</v>
      </c>
      <c r="B1552" s="51" t="n">
        <v>45752</v>
      </c>
      <c r="C1552" s="50" t="s">
        <v>562</v>
      </c>
      <c r="D1552" s="50" t="s">
        <v>2183</v>
      </c>
      <c r="E1552" s="50" t="n">
        <v>1</v>
      </c>
      <c r="F1552" s="50" t="s">
        <v>2167</v>
      </c>
      <c r="G1552" s="54" t="n">
        <v>394000</v>
      </c>
    </row>
    <row r="1553" customFormat="false" ht="15" hidden="false" customHeight="false" outlineLevel="0" collapsed="false">
      <c r="A1553" s="50" t="s">
        <v>710</v>
      </c>
      <c r="B1553" s="51" t="n">
        <v>45752</v>
      </c>
      <c r="C1553" s="50" t="s">
        <v>562</v>
      </c>
      <c r="D1553" s="50" t="s">
        <v>2180</v>
      </c>
      <c r="E1553" s="50" t="n">
        <v>2</v>
      </c>
      <c r="F1553" s="50" t="s">
        <v>2167</v>
      </c>
      <c r="G1553" s="54" t="n">
        <v>935400</v>
      </c>
    </row>
    <row r="1554" customFormat="false" ht="15" hidden="false" customHeight="false" outlineLevel="0" collapsed="false">
      <c r="A1554" s="50" t="s">
        <v>710</v>
      </c>
      <c r="B1554" s="51" t="n">
        <v>45752</v>
      </c>
      <c r="C1554" s="50" t="s">
        <v>562</v>
      </c>
      <c r="D1554" s="50" t="s">
        <v>2179</v>
      </c>
      <c r="E1554" s="50" t="n">
        <v>4</v>
      </c>
      <c r="F1554" s="50" t="s">
        <v>2174</v>
      </c>
      <c r="G1554" s="54" t="n">
        <v>4966600</v>
      </c>
    </row>
    <row r="1555" customFormat="false" ht="15" hidden="false" customHeight="false" outlineLevel="0" collapsed="false">
      <c r="A1555" s="50" t="s">
        <v>710</v>
      </c>
      <c r="B1555" s="51" t="n">
        <v>45752</v>
      </c>
      <c r="C1555" s="50" t="s">
        <v>562</v>
      </c>
      <c r="D1555" s="50" t="s">
        <v>2185</v>
      </c>
      <c r="E1555" s="50" t="n">
        <v>1</v>
      </c>
      <c r="F1555" s="50" t="s">
        <v>2174</v>
      </c>
      <c r="G1555" s="54" t="n">
        <v>809600</v>
      </c>
    </row>
    <row r="1556" customFormat="false" ht="15" hidden="false" customHeight="false" outlineLevel="0" collapsed="false">
      <c r="A1556" s="50" t="s">
        <v>711</v>
      </c>
      <c r="B1556" s="51" t="n">
        <v>45754</v>
      </c>
      <c r="C1556" s="50" t="s">
        <v>174</v>
      </c>
      <c r="D1556" s="50" t="s">
        <v>2188</v>
      </c>
      <c r="E1556" s="50" t="n">
        <v>7</v>
      </c>
      <c r="F1556" s="50" t="s">
        <v>2167</v>
      </c>
      <c r="G1556" s="54" t="n">
        <v>6710500</v>
      </c>
    </row>
    <row r="1557" customFormat="false" ht="15" hidden="false" customHeight="false" outlineLevel="0" collapsed="false">
      <c r="A1557" s="50" t="s">
        <v>711</v>
      </c>
      <c r="B1557" s="51" t="n">
        <v>45754</v>
      </c>
      <c r="C1557" s="50" t="s">
        <v>174</v>
      </c>
      <c r="D1557" s="50" t="s">
        <v>2169</v>
      </c>
      <c r="E1557" s="50" t="n">
        <v>4</v>
      </c>
      <c r="F1557" s="50" t="s">
        <v>2167</v>
      </c>
      <c r="G1557" s="54" t="n">
        <v>2383900</v>
      </c>
    </row>
    <row r="1558" customFormat="false" ht="15" hidden="false" customHeight="false" outlineLevel="0" collapsed="false">
      <c r="A1558" s="50" t="s">
        <v>713</v>
      </c>
      <c r="B1558" s="51" t="n">
        <v>45754</v>
      </c>
      <c r="C1558" s="50" t="s">
        <v>714</v>
      </c>
      <c r="D1558" s="50" t="s">
        <v>2185</v>
      </c>
      <c r="E1558" s="50" t="n">
        <v>6</v>
      </c>
      <c r="F1558" s="50" t="s">
        <v>2174</v>
      </c>
      <c r="G1558" s="54" t="n">
        <v>4532600</v>
      </c>
    </row>
    <row r="1559" customFormat="false" ht="15" hidden="false" customHeight="false" outlineLevel="0" collapsed="false">
      <c r="A1559" s="50" t="s">
        <v>713</v>
      </c>
      <c r="B1559" s="51" t="n">
        <v>45754</v>
      </c>
      <c r="C1559" s="50" t="s">
        <v>714</v>
      </c>
      <c r="D1559" s="50" t="s">
        <v>2184</v>
      </c>
      <c r="E1559" s="50" t="n">
        <v>7</v>
      </c>
      <c r="F1559" s="50" t="s">
        <v>2167</v>
      </c>
      <c r="G1559" s="54" t="n">
        <v>4067700</v>
      </c>
    </row>
    <row r="1560" customFormat="false" ht="15" hidden="false" customHeight="false" outlineLevel="0" collapsed="false">
      <c r="A1560" s="50" t="s">
        <v>713</v>
      </c>
      <c r="B1560" s="51" t="n">
        <v>45754</v>
      </c>
      <c r="C1560" s="50" t="s">
        <v>714</v>
      </c>
      <c r="D1560" s="50" t="s">
        <v>2168</v>
      </c>
      <c r="E1560" s="50" t="n">
        <v>7</v>
      </c>
      <c r="F1560" s="50" t="s">
        <v>2167</v>
      </c>
      <c r="G1560" s="54" t="n">
        <v>2896700</v>
      </c>
    </row>
    <row r="1561" customFormat="false" ht="15" hidden="false" customHeight="false" outlineLevel="0" collapsed="false">
      <c r="A1561" s="50" t="s">
        <v>715</v>
      </c>
      <c r="B1561" s="51" t="n">
        <v>45754</v>
      </c>
      <c r="C1561" s="50" t="s">
        <v>179</v>
      </c>
      <c r="D1561" s="50" t="s">
        <v>2175</v>
      </c>
      <c r="E1561" s="50" t="n">
        <v>3</v>
      </c>
      <c r="F1561" s="50" t="s">
        <v>2167</v>
      </c>
      <c r="G1561" s="54" t="n">
        <v>1926200</v>
      </c>
    </row>
    <row r="1562" customFormat="false" ht="15" hidden="false" customHeight="false" outlineLevel="0" collapsed="false">
      <c r="A1562" s="50" t="s">
        <v>715</v>
      </c>
      <c r="B1562" s="51" t="n">
        <v>45754</v>
      </c>
      <c r="C1562" s="50" t="s">
        <v>179</v>
      </c>
      <c r="D1562" s="50" t="s">
        <v>2169</v>
      </c>
      <c r="E1562" s="50" t="n">
        <v>3</v>
      </c>
      <c r="F1562" s="50" t="s">
        <v>2167</v>
      </c>
      <c r="G1562" s="54" t="n">
        <v>1816000</v>
      </c>
    </row>
    <row r="1563" customFormat="false" ht="15" hidden="false" customHeight="false" outlineLevel="0" collapsed="false">
      <c r="A1563" s="50" t="s">
        <v>715</v>
      </c>
      <c r="B1563" s="51" t="n">
        <v>45754</v>
      </c>
      <c r="C1563" s="50" t="s">
        <v>179</v>
      </c>
      <c r="D1563" s="50" t="s">
        <v>2181</v>
      </c>
      <c r="E1563" s="50" t="n">
        <v>3</v>
      </c>
      <c r="F1563" s="50" t="s">
        <v>2167</v>
      </c>
      <c r="G1563" s="54" t="n">
        <v>3462500</v>
      </c>
    </row>
    <row r="1564" customFormat="false" ht="15" hidden="false" customHeight="false" outlineLevel="0" collapsed="false">
      <c r="A1564" s="50" t="s">
        <v>715</v>
      </c>
      <c r="B1564" s="51" t="n">
        <v>45754</v>
      </c>
      <c r="C1564" s="50" t="s">
        <v>179</v>
      </c>
      <c r="D1564" s="50" t="s">
        <v>2177</v>
      </c>
      <c r="E1564" s="50" t="n">
        <v>7</v>
      </c>
      <c r="F1564" s="50" t="s">
        <v>2174</v>
      </c>
      <c r="G1564" s="54" t="n">
        <v>7965600</v>
      </c>
    </row>
    <row r="1565" customFormat="false" ht="15" hidden="false" customHeight="false" outlineLevel="0" collapsed="false">
      <c r="A1565" s="50" t="s">
        <v>716</v>
      </c>
      <c r="B1565" s="51" t="n">
        <v>45754</v>
      </c>
      <c r="C1565" s="50" t="s">
        <v>241</v>
      </c>
      <c r="D1565" s="50" t="s">
        <v>2181</v>
      </c>
      <c r="E1565" s="50" t="n">
        <v>5</v>
      </c>
      <c r="F1565" s="50" t="s">
        <v>2167</v>
      </c>
      <c r="G1565" s="54" t="n">
        <v>5613300</v>
      </c>
    </row>
    <row r="1566" customFormat="false" ht="15" hidden="false" customHeight="false" outlineLevel="0" collapsed="false">
      <c r="A1566" s="50" t="s">
        <v>716</v>
      </c>
      <c r="B1566" s="51" t="n">
        <v>45754</v>
      </c>
      <c r="C1566" s="50" t="s">
        <v>241</v>
      </c>
      <c r="D1566" s="50" t="s">
        <v>2166</v>
      </c>
      <c r="E1566" s="50" t="n">
        <v>6</v>
      </c>
      <c r="F1566" s="50" t="s">
        <v>2167</v>
      </c>
      <c r="G1566" s="54" t="n">
        <v>3357500</v>
      </c>
    </row>
    <row r="1567" customFormat="false" ht="15" hidden="false" customHeight="false" outlineLevel="0" collapsed="false">
      <c r="A1567" s="50" t="s">
        <v>716</v>
      </c>
      <c r="B1567" s="51" t="n">
        <v>45754</v>
      </c>
      <c r="C1567" s="50" t="s">
        <v>241</v>
      </c>
      <c r="D1567" s="50" t="s">
        <v>2183</v>
      </c>
      <c r="E1567" s="50" t="n">
        <v>7</v>
      </c>
      <c r="F1567" s="50" t="s">
        <v>2167</v>
      </c>
      <c r="G1567" s="54" t="n">
        <v>2762600</v>
      </c>
    </row>
    <row r="1568" customFormat="false" ht="15" hidden="false" customHeight="false" outlineLevel="0" collapsed="false">
      <c r="A1568" s="50" t="s">
        <v>716</v>
      </c>
      <c r="B1568" s="51" t="n">
        <v>45754</v>
      </c>
      <c r="C1568" s="50" t="s">
        <v>241</v>
      </c>
      <c r="D1568" s="50" t="s">
        <v>2168</v>
      </c>
      <c r="E1568" s="50" t="n">
        <v>1</v>
      </c>
      <c r="F1568" s="50" t="s">
        <v>2167</v>
      </c>
      <c r="G1568" s="54" t="n">
        <v>431600</v>
      </c>
    </row>
    <row r="1569" customFormat="false" ht="15" hidden="false" customHeight="false" outlineLevel="0" collapsed="false">
      <c r="A1569" s="50" t="s">
        <v>716</v>
      </c>
      <c r="B1569" s="51" t="n">
        <v>45754</v>
      </c>
      <c r="C1569" s="50" t="s">
        <v>241</v>
      </c>
      <c r="D1569" s="50" t="s">
        <v>2176</v>
      </c>
      <c r="E1569" s="50" t="n">
        <v>7</v>
      </c>
      <c r="F1569" s="50" t="s">
        <v>2167</v>
      </c>
      <c r="G1569" s="54" t="n">
        <v>2911300</v>
      </c>
    </row>
    <row r="1570" customFormat="false" ht="15" hidden="false" customHeight="false" outlineLevel="0" collapsed="false">
      <c r="A1570" s="50" t="s">
        <v>717</v>
      </c>
      <c r="B1570" s="51" t="n">
        <v>45754</v>
      </c>
      <c r="C1570" s="50" t="s">
        <v>216</v>
      </c>
      <c r="D1570" s="50" t="s">
        <v>2183</v>
      </c>
      <c r="E1570" s="50" t="n">
        <v>5</v>
      </c>
      <c r="F1570" s="50" t="s">
        <v>2167</v>
      </c>
      <c r="G1570" s="54" t="n">
        <v>1840300</v>
      </c>
    </row>
    <row r="1571" customFormat="false" ht="15" hidden="false" customHeight="false" outlineLevel="0" collapsed="false">
      <c r="A1571" s="50" t="s">
        <v>717</v>
      </c>
      <c r="B1571" s="51" t="n">
        <v>45754</v>
      </c>
      <c r="C1571" s="50" t="s">
        <v>216</v>
      </c>
      <c r="D1571" s="50" t="s">
        <v>2168</v>
      </c>
      <c r="E1571" s="50" t="n">
        <v>3</v>
      </c>
      <c r="F1571" s="50" t="s">
        <v>2167</v>
      </c>
      <c r="G1571" s="54" t="n">
        <v>1244300</v>
      </c>
    </row>
    <row r="1572" customFormat="false" ht="15" hidden="false" customHeight="false" outlineLevel="0" collapsed="false">
      <c r="A1572" s="50" t="s">
        <v>718</v>
      </c>
      <c r="B1572" s="51" t="n">
        <v>45755</v>
      </c>
      <c r="C1572" s="50" t="s">
        <v>419</v>
      </c>
      <c r="D1572" s="50" t="s">
        <v>2181</v>
      </c>
      <c r="E1572" s="50" t="n">
        <v>2</v>
      </c>
      <c r="F1572" s="50" t="s">
        <v>2167</v>
      </c>
      <c r="G1572" s="54" t="n">
        <v>2382000</v>
      </c>
    </row>
    <row r="1573" customFormat="false" ht="15" hidden="false" customHeight="false" outlineLevel="0" collapsed="false">
      <c r="A1573" s="50" t="s">
        <v>718</v>
      </c>
      <c r="B1573" s="51" t="n">
        <v>45755</v>
      </c>
      <c r="C1573" s="50" t="s">
        <v>419</v>
      </c>
      <c r="D1573" s="50" t="s">
        <v>2166</v>
      </c>
      <c r="E1573" s="50" t="n">
        <v>6</v>
      </c>
      <c r="F1573" s="50" t="s">
        <v>2167</v>
      </c>
      <c r="G1573" s="54" t="n">
        <v>3138100</v>
      </c>
    </row>
    <row r="1574" customFormat="false" ht="15" hidden="false" customHeight="false" outlineLevel="0" collapsed="false">
      <c r="A1574" s="50" t="s">
        <v>718</v>
      </c>
      <c r="B1574" s="51" t="n">
        <v>45755</v>
      </c>
      <c r="C1574" s="50" t="s">
        <v>419</v>
      </c>
      <c r="D1574" s="50" t="s">
        <v>2182</v>
      </c>
      <c r="E1574" s="50" t="n">
        <v>7</v>
      </c>
      <c r="F1574" s="50" t="s">
        <v>2174</v>
      </c>
      <c r="G1574" s="54" t="n">
        <v>6443300</v>
      </c>
    </row>
    <row r="1575" customFormat="false" ht="15" hidden="false" customHeight="false" outlineLevel="0" collapsed="false">
      <c r="A1575" s="50" t="s">
        <v>718</v>
      </c>
      <c r="B1575" s="51" t="n">
        <v>45755</v>
      </c>
      <c r="C1575" s="50" t="s">
        <v>419</v>
      </c>
      <c r="D1575" s="50" t="s">
        <v>2179</v>
      </c>
      <c r="E1575" s="50" t="n">
        <v>8</v>
      </c>
      <c r="F1575" s="50" t="s">
        <v>2174</v>
      </c>
      <c r="G1575" s="54" t="n">
        <v>9739100</v>
      </c>
    </row>
    <row r="1576" customFormat="false" ht="15" hidden="false" customHeight="false" outlineLevel="0" collapsed="false">
      <c r="A1576" s="50" t="s">
        <v>718</v>
      </c>
      <c r="B1576" s="51" t="n">
        <v>45755</v>
      </c>
      <c r="C1576" s="50" t="s">
        <v>419</v>
      </c>
      <c r="D1576" s="50" t="s">
        <v>2169</v>
      </c>
      <c r="E1576" s="50" t="n">
        <v>5</v>
      </c>
      <c r="F1576" s="50" t="s">
        <v>2167</v>
      </c>
      <c r="G1576" s="54" t="n">
        <v>3012500</v>
      </c>
    </row>
    <row r="1577" customFormat="false" ht="15" hidden="false" customHeight="false" outlineLevel="0" collapsed="false">
      <c r="A1577" s="50" t="s">
        <v>718</v>
      </c>
      <c r="B1577" s="51" t="n">
        <v>45755</v>
      </c>
      <c r="C1577" s="50" t="s">
        <v>419</v>
      </c>
      <c r="D1577" s="50" t="s">
        <v>2184</v>
      </c>
      <c r="E1577" s="50" t="n">
        <v>4</v>
      </c>
      <c r="F1577" s="50" t="s">
        <v>2167</v>
      </c>
      <c r="G1577" s="54" t="n">
        <v>2249700</v>
      </c>
    </row>
    <row r="1578" customFormat="false" ht="15" hidden="false" customHeight="false" outlineLevel="0" collapsed="false">
      <c r="A1578" s="50" t="s">
        <v>719</v>
      </c>
      <c r="B1578" s="51" t="n">
        <v>45755</v>
      </c>
      <c r="C1578" s="50" t="s">
        <v>174</v>
      </c>
      <c r="D1578" s="50" t="s">
        <v>2185</v>
      </c>
      <c r="E1578" s="50" t="n">
        <v>4</v>
      </c>
      <c r="F1578" s="50" t="s">
        <v>2174</v>
      </c>
      <c r="G1578" s="54" t="n">
        <v>3203400</v>
      </c>
    </row>
    <row r="1579" customFormat="false" ht="15" hidden="false" customHeight="false" outlineLevel="0" collapsed="false">
      <c r="A1579" s="50" t="s">
        <v>719</v>
      </c>
      <c r="B1579" s="51" t="n">
        <v>45755</v>
      </c>
      <c r="C1579" s="50" t="s">
        <v>174</v>
      </c>
      <c r="D1579" s="50" t="s">
        <v>2176</v>
      </c>
      <c r="E1579" s="50" t="n">
        <v>4</v>
      </c>
      <c r="F1579" s="50" t="s">
        <v>2167</v>
      </c>
      <c r="G1579" s="54" t="n">
        <v>1697000</v>
      </c>
    </row>
    <row r="1580" customFormat="false" ht="15" hidden="false" customHeight="false" outlineLevel="0" collapsed="false">
      <c r="A1580" s="50" t="s">
        <v>719</v>
      </c>
      <c r="B1580" s="51" t="n">
        <v>45755</v>
      </c>
      <c r="C1580" s="50" t="s">
        <v>174</v>
      </c>
      <c r="D1580" s="50" t="s">
        <v>2172</v>
      </c>
      <c r="E1580" s="50" t="n">
        <v>7</v>
      </c>
      <c r="F1580" s="50" t="s">
        <v>2167</v>
      </c>
      <c r="G1580" s="54" t="n">
        <v>3723300</v>
      </c>
    </row>
    <row r="1581" customFormat="false" ht="15" hidden="false" customHeight="false" outlineLevel="0" collapsed="false">
      <c r="A1581" s="50" t="s">
        <v>719</v>
      </c>
      <c r="B1581" s="51" t="n">
        <v>45755</v>
      </c>
      <c r="C1581" s="50" t="s">
        <v>174</v>
      </c>
      <c r="D1581" s="50" t="s">
        <v>2166</v>
      </c>
      <c r="E1581" s="50" t="n">
        <v>3</v>
      </c>
      <c r="F1581" s="50" t="s">
        <v>2167</v>
      </c>
      <c r="G1581" s="54" t="n">
        <v>1601000</v>
      </c>
    </row>
    <row r="1582" customFormat="false" ht="15" hidden="false" customHeight="false" outlineLevel="0" collapsed="false">
      <c r="A1582" s="50" t="s">
        <v>720</v>
      </c>
      <c r="B1582" s="51" t="n">
        <v>45755</v>
      </c>
      <c r="C1582" s="50" t="s">
        <v>199</v>
      </c>
      <c r="D1582" s="50" t="s">
        <v>2173</v>
      </c>
      <c r="E1582" s="50" t="n">
        <v>3</v>
      </c>
      <c r="F1582" s="50" t="s">
        <v>2174</v>
      </c>
      <c r="G1582" s="54" t="n">
        <v>2452500</v>
      </c>
    </row>
    <row r="1583" customFormat="false" ht="15" hidden="false" customHeight="false" outlineLevel="0" collapsed="false">
      <c r="A1583" s="50" t="s">
        <v>720</v>
      </c>
      <c r="B1583" s="51" t="n">
        <v>45755</v>
      </c>
      <c r="C1583" s="50" t="s">
        <v>199</v>
      </c>
      <c r="D1583" s="50" t="s">
        <v>2177</v>
      </c>
      <c r="E1583" s="50" t="n">
        <v>8</v>
      </c>
      <c r="F1583" s="50" t="s">
        <v>2174</v>
      </c>
      <c r="G1583" s="54" t="n">
        <v>9072000</v>
      </c>
    </row>
    <row r="1584" customFormat="false" ht="15" hidden="false" customHeight="false" outlineLevel="0" collapsed="false">
      <c r="A1584" s="50" t="s">
        <v>720</v>
      </c>
      <c r="B1584" s="51" t="n">
        <v>45755</v>
      </c>
      <c r="C1584" s="50" t="s">
        <v>199</v>
      </c>
      <c r="D1584" s="50" t="s">
        <v>2185</v>
      </c>
      <c r="E1584" s="50" t="n">
        <v>7</v>
      </c>
      <c r="F1584" s="50" t="s">
        <v>2174</v>
      </c>
      <c r="G1584" s="54" t="n">
        <v>5596400</v>
      </c>
    </row>
    <row r="1585" customFormat="false" ht="15" hidden="false" customHeight="false" outlineLevel="0" collapsed="false">
      <c r="A1585" s="50" t="s">
        <v>720</v>
      </c>
      <c r="B1585" s="51" t="n">
        <v>45755</v>
      </c>
      <c r="C1585" s="50" t="s">
        <v>199</v>
      </c>
      <c r="D1585" s="50" t="s">
        <v>2172</v>
      </c>
      <c r="E1585" s="50" t="n">
        <v>3</v>
      </c>
      <c r="F1585" s="50" t="s">
        <v>2167</v>
      </c>
      <c r="G1585" s="54" t="n">
        <v>1614100</v>
      </c>
    </row>
    <row r="1586" customFormat="false" ht="15" hidden="false" customHeight="false" outlineLevel="0" collapsed="false">
      <c r="A1586" s="50" t="s">
        <v>720</v>
      </c>
      <c r="B1586" s="51" t="n">
        <v>45755</v>
      </c>
      <c r="C1586" s="50" t="s">
        <v>199</v>
      </c>
      <c r="D1586" s="50" t="s">
        <v>2175</v>
      </c>
      <c r="E1586" s="50" t="n">
        <v>6</v>
      </c>
      <c r="F1586" s="50" t="s">
        <v>2167</v>
      </c>
      <c r="G1586" s="54" t="n">
        <v>3738200</v>
      </c>
    </row>
    <row r="1587" customFormat="false" ht="15" hidden="false" customHeight="false" outlineLevel="0" collapsed="false">
      <c r="A1587" s="50" t="s">
        <v>720</v>
      </c>
      <c r="B1587" s="51" t="n">
        <v>45755</v>
      </c>
      <c r="C1587" s="50" t="s">
        <v>199</v>
      </c>
      <c r="D1587" s="50" t="s">
        <v>2168</v>
      </c>
      <c r="E1587" s="50" t="n">
        <v>4</v>
      </c>
      <c r="F1587" s="50" t="s">
        <v>2167</v>
      </c>
      <c r="G1587" s="54" t="n">
        <v>1684800</v>
      </c>
    </row>
    <row r="1588" customFormat="false" ht="15" hidden="false" customHeight="false" outlineLevel="0" collapsed="false">
      <c r="A1588" s="50" t="s">
        <v>721</v>
      </c>
      <c r="B1588" s="51" t="n">
        <v>45756</v>
      </c>
      <c r="C1588" s="50" t="s">
        <v>358</v>
      </c>
      <c r="D1588" s="50" t="s">
        <v>2184</v>
      </c>
      <c r="E1588" s="50" t="n">
        <v>2</v>
      </c>
      <c r="F1588" s="50" t="s">
        <v>2167</v>
      </c>
      <c r="G1588" s="54" t="n">
        <v>1094500</v>
      </c>
    </row>
    <row r="1589" customFormat="false" ht="15" hidden="false" customHeight="false" outlineLevel="0" collapsed="false">
      <c r="A1589" s="50" t="s">
        <v>721</v>
      </c>
      <c r="B1589" s="51" t="n">
        <v>45756</v>
      </c>
      <c r="C1589" s="50" t="s">
        <v>358</v>
      </c>
      <c r="D1589" s="50" t="s">
        <v>2169</v>
      </c>
      <c r="E1589" s="50" t="n">
        <v>4</v>
      </c>
      <c r="F1589" s="50" t="s">
        <v>2167</v>
      </c>
      <c r="G1589" s="54" t="n">
        <v>2402800</v>
      </c>
    </row>
    <row r="1590" customFormat="false" ht="15" hidden="false" customHeight="false" outlineLevel="0" collapsed="false">
      <c r="A1590" s="50" t="s">
        <v>721</v>
      </c>
      <c r="B1590" s="51" t="n">
        <v>45756</v>
      </c>
      <c r="C1590" s="50" t="s">
        <v>358</v>
      </c>
      <c r="D1590" s="50" t="s">
        <v>2176</v>
      </c>
      <c r="E1590" s="50" t="n">
        <v>4</v>
      </c>
      <c r="F1590" s="50" t="s">
        <v>2167</v>
      </c>
      <c r="G1590" s="54" t="n">
        <v>1699900</v>
      </c>
    </row>
    <row r="1591" customFormat="false" ht="15" hidden="false" customHeight="false" outlineLevel="0" collapsed="false">
      <c r="A1591" s="50" t="s">
        <v>722</v>
      </c>
      <c r="B1591" s="51" t="n">
        <v>45756</v>
      </c>
      <c r="C1591" s="50" t="s">
        <v>382</v>
      </c>
      <c r="D1591" s="50" t="s">
        <v>2181</v>
      </c>
      <c r="E1591" s="50" t="n">
        <v>1</v>
      </c>
      <c r="F1591" s="50" t="s">
        <v>2167</v>
      </c>
      <c r="G1591" s="54" t="n">
        <v>1193200</v>
      </c>
    </row>
    <row r="1592" customFormat="false" ht="15" hidden="false" customHeight="false" outlineLevel="0" collapsed="false">
      <c r="A1592" s="50" t="s">
        <v>722</v>
      </c>
      <c r="B1592" s="51" t="n">
        <v>45756</v>
      </c>
      <c r="C1592" s="50" t="s">
        <v>382</v>
      </c>
      <c r="D1592" s="50" t="s">
        <v>2186</v>
      </c>
      <c r="E1592" s="50" t="n">
        <v>5</v>
      </c>
      <c r="F1592" s="50" t="s">
        <v>2167</v>
      </c>
      <c r="G1592" s="54" t="n">
        <v>3005200</v>
      </c>
    </row>
    <row r="1593" customFormat="false" ht="15" hidden="false" customHeight="false" outlineLevel="0" collapsed="false">
      <c r="A1593" s="50" t="s">
        <v>722</v>
      </c>
      <c r="B1593" s="51" t="n">
        <v>45756</v>
      </c>
      <c r="C1593" s="50" t="s">
        <v>382</v>
      </c>
      <c r="D1593" s="50" t="s">
        <v>2166</v>
      </c>
      <c r="E1593" s="50" t="n">
        <v>4</v>
      </c>
      <c r="F1593" s="50" t="s">
        <v>2167</v>
      </c>
      <c r="G1593" s="54" t="n">
        <v>2090100</v>
      </c>
    </row>
    <row r="1594" customFormat="false" ht="15" hidden="false" customHeight="false" outlineLevel="0" collapsed="false">
      <c r="A1594" s="50" t="s">
        <v>722</v>
      </c>
      <c r="B1594" s="51" t="n">
        <v>45756</v>
      </c>
      <c r="C1594" s="50" t="s">
        <v>382</v>
      </c>
      <c r="D1594" s="50" t="s">
        <v>2183</v>
      </c>
      <c r="E1594" s="50" t="n">
        <v>1</v>
      </c>
      <c r="F1594" s="50" t="s">
        <v>2167</v>
      </c>
      <c r="G1594" s="54" t="n">
        <v>395000</v>
      </c>
    </row>
    <row r="1595" customFormat="false" ht="15" hidden="false" customHeight="false" outlineLevel="0" collapsed="false">
      <c r="A1595" s="50" t="s">
        <v>722</v>
      </c>
      <c r="B1595" s="51" t="n">
        <v>45756</v>
      </c>
      <c r="C1595" s="50" t="s">
        <v>382</v>
      </c>
      <c r="D1595" s="50" t="s">
        <v>2180</v>
      </c>
      <c r="E1595" s="50" t="n">
        <v>3</v>
      </c>
      <c r="F1595" s="50" t="s">
        <v>2167</v>
      </c>
      <c r="G1595" s="54" t="n">
        <v>1381400</v>
      </c>
    </row>
    <row r="1596" customFormat="false" ht="15" hidden="false" customHeight="false" outlineLevel="0" collapsed="false">
      <c r="A1596" s="50" t="s">
        <v>722</v>
      </c>
      <c r="B1596" s="51" t="n">
        <v>45756</v>
      </c>
      <c r="C1596" s="50" t="s">
        <v>382</v>
      </c>
      <c r="D1596" s="50" t="s">
        <v>2184</v>
      </c>
      <c r="E1596" s="50" t="n">
        <v>4</v>
      </c>
      <c r="F1596" s="50" t="s">
        <v>2167</v>
      </c>
      <c r="G1596" s="54" t="n">
        <v>2174100</v>
      </c>
    </row>
    <row r="1597" customFormat="false" ht="15" hidden="false" customHeight="false" outlineLevel="0" collapsed="false">
      <c r="A1597" s="50" t="s">
        <v>723</v>
      </c>
      <c r="B1597" s="51" t="n">
        <v>45756</v>
      </c>
      <c r="C1597" s="50" t="s">
        <v>243</v>
      </c>
      <c r="D1597" s="50" t="s">
        <v>2169</v>
      </c>
      <c r="E1597" s="50" t="n">
        <v>7</v>
      </c>
      <c r="F1597" s="50" t="s">
        <v>2167</v>
      </c>
      <c r="G1597" s="54" t="n">
        <v>4403400</v>
      </c>
    </row>
    <row r="1598" customFormat="false" ht="15" hidden="false" customHeight="false" outlineLevel="0" collapsed="false">
      <c r="A1598" s="50" t="s">
        <v>724</v>
      </c>
      <c r="B1598" s="51" t="n">
        <v>45756</v>
      </c>
      <c r="C1598" s="50" t="s">
        <v>174</v>
      </c>
      <c r="D1598" s="50" t="s">
        <v>2180</v>
      </c>
      <c r="E1598" s="50" t="n">
        <v>5</v>
      </c>
      <c r="F1598" s="50" t="s">
        <v>2167</v>
      </c>
      <c r="G1598" s="54" t="n">
        <v>2260100</v>
      </c>
    </row>
    <row r="1599" customFormat="false" ht="15" hidden="false" customHeight="false" outlineLevel="0" collapsed="false">
      <c r="A1599" s="50" t="s">
        <v>724</v>
      </c>
      <c r="B1599" s="51" t="n">
        <v>45756</v>
      </c>
      <c r="C1599" s="50" t="s">
        <v>174</v>
      </c>
      <c r="D1599" s="50" t="s">
        <v>2188</v>
      </c>
      <c r="E1599" s="50" t="n">
        <v>7</v>
      </c>
      <c r="F1599" s="50" t="s">
        <v>2167</v>
      </c>
      <c r="G1599" s="54" t="n">
        <v>6899900</v>
      </c>
    </row>
    <row r="1600" customFormat="false" ht="15" hidden="false" customHeight="false" outlineLevel="0" collapsed="false">
      <c r="A1600" s="50" t="s">
        <v>724</v>
      </c>
      <c r="B1600" s="51" t="n">
        <v>45756</v>
      </c>
      <c r="C1600" s="50" t="s">
        <v>174</v>
      </c>
      <c r="D1600" s="50" t="s">
        <v>2169</v>
      </c>
      <c r="E1600" s="50" t="n">
        <v>7</v>
      </c>
      <c r="F1600" s="50" t="s">
        <v>2167</v>
      </c>
      <c r="G1600" s="54" t="n">
        <v>4426200</v>
      </c>
    </row>
    <row r="1601" customFormat="false" ht="15" hidden="false" customHeight="false" outlineLevel="0" collapsed="false">
      <c r="A1601" s="50" t="s">
        <v>725</v>
      </c>
      <c r="B1601" s="51" t="n">
        <v>45756</v>
      </c>
      <c r="C1601" s="50" t="s">
        <v>234</v>
      </c>
      <c r="D1601" s="50" t="s">
        <v>2169</v>
      </c>
      <c r="E1601" s="50" t="n">
        <v>8</v>
      </c>
      <c r="F1601" s="50" t="s">
        <v>2167</v>
      </c>
      <c r="G1601" s="54" t="n">
        <v>5157200</v>
      </c>
    </row>
    <row r="1602" customFormat="false" ht="15" hidden="false" customHeight="false" outlineLevel="0" collapsed="false">
      <c r="A1602" s="50" t="s">
        <v>725</v>
      </c>
      <c r="B1602" s="51" t="n">
        <v>45756</v>
      </c>
      <c r="C1602" s="50" t="s">
        <v>234</v>
      </c>
      <c r="D1602" s="50" t="s">
        <v>2180</v>
      </c>
      <c r="E1602" s="50" t="n">
        <v>3</v>
      </c>
      <c r="F1602" s="50" t="s">
        <v>2167</v>
      </c>
      <c r="G1602" s="54" t="n">
        <v>1320900</v>
      </c>
    </row>
    <row r="1603" customFormat="false" ht="15" hidden="false" customHeight="false" outlineLevel="0" collapsed="false">
      <c r="A1603" s="50" t="s">
        <v>725</v>
      </c>
      <c r="B1603" s="51" t="n">
        <v>45756</v>
      </c>
      <c r="C1603" s="50" t="s">
        <v>234</v>
      </c>
      <c r="D1603" s="50" t="s">
        <v>2172</v>
      </c>
      <c r="E1603" s="50" t="n">
        <v>7</v>
      </c>
      <c r="F1603" s="50" t="s">
        <v>2167</v>
      </c>
      <c r="G1603" s="54" t="n">
        <v>3669100</v>
      </c>
    </row>
    <row r="1604" customFormat="false" ht="15" hidden="false" customHeight="false" outlineLevel="0" collapsed="false">
      <c r="A1604" s="50" t="s">
        <v>726</v>
      </c>
      <c r="B1604" s="51" t="n">
        <v>45757</v>
      </c>
      <c r="C1604" s="50" t="s">
        <v>284</v>
      </c>
      <c r="D1604" s="50" t="s">
        <v>2185</v>
      </c>
      <c r="E1604" s="50" t="n">
        <v>1</v>
      </c>
      <c r="F1604" s="50" t="s">
        <v>2174</v>
      </c>
      <c r="G1604" s="54" t="n">
        <v>767600</v>
      </c>
    </row>
    <row r="1605" customFormat="false" ht="15" hidden="false" customHeight="false" outlineLevel="0" collapsed="false">
      <c r="A1605" s="50" t="s">
        <v>726</v>
      </c>
      <c r="B1605" s="51" t="n">
        <v>45757</v>
      </c>
      <c r="C1605" s="50" t="s">
        <v>284</v>
      </c>
      <c r="D1605" s="50" t="s">
        <v>2169</v>
      </c>
      <c r="E1605" s="50" t="n">
        <v>8</v>
      </c>
      <c r="F1605" s="50" t="s">
        <v>2167</v>
      </c>
      <c r="G1605" s="54" t="n">
        <v>4969200</v>
      </c>
    </row>
    <row r="1606" customFormat="false" ht="15" hidden="false" customHeight="false" outlineLevel="0" collapsed="false">
      <c r="A1606" s="50" t="s">
        <v>726</v>
      </c>
      <c r="B1606" s="51" t="n">
        <v>45757</v>
      </c>
      <c r="C1606" s="50" t="s">
        <v>284</v>
      </c>
      <c r="D1606" s="50" t="s">
        <v>2181</v>
      </c>
      <c r="E1606" s="50" t="n">
        <v>5</v>
      </c>
      <c r="F1606" s="50" t="s">
        <v>2167</v>
      </c>
      <c r="G1606" s="54" t="n">
        <v>5898200</v>
      </c>
    </row>
    <row r="1607" customFormat="false" ht="15" hidden="false" customHeight="false" outlineLevel="0" collapsed="false">
      <c r="A1607" s="50" t="s">
        <v>727</v>
      </c>
      <c r="B1607" s="51" t="n">
        <v>45757</v>
      </c>
      <c r="C1607" s="50" t="s">
        <v>166</v>
      </c>
      <c r="D1607" s="50" t="s">
        <v>2187</v>
      </c>
      <c r="E1607" s="50" t="n">
        <v>5</v>
      </c>
      <c r="F1607" s="50" t="s">
        <v>2167</v>
      </c>
      <c r="G1607" s="54" t="n">
        <v>1784400</v>
      </c>
    </row>
    <row r="1608" customFormat="false" ht="15" hidden="false" customHeight="false" outlineLevel="0" collapsed="false">
      <c r="A1608" s="50" t="s">
        <v>727</v>
      </c>
      <c r="B1608" s="51" t="n">
        <v>45757</v>
      </c>
      <c r="C1608" s="50" t="s">
        <v>166</v>
      </c>
      <c r="D1608" s="50" t="s">
        <v>2173</v>
      </c>
      <c r="E1608" s="50" t="n">
        <v>8</v>
      </c>
      <c r="F1608" s="50" t="s">
        <v>2174</v>
      </c>
      <c r="G1608" s="54" t="n">
        <v>6582400</v>
      </c>
    </row>
    <row r="1609" customFormat="false" ht="15" hidden="false" customHeight="false" outlineLevel="0" collapsed="false">
      <c r="A1609" s="50" t="s">
        <v>727</v>
      </c>
      <c r="B1609" s="51" t="n">
        <v>45757</v>
      </c>
      <c r="C1609" s="50" t="s">
        <v>166</v>
      </c>
      <c r="D1609" s="50" t="s">
        <v>2177</v>
      </c>
      <c r="E1609" s="50" t="n">
        <v>1</v>
      </c>
      <c r="F1609" s="50" t="s">
        <v>2174</v>
      </c>
      <c r="G1609" s="54" t="n">
        <v>1060100</v>
      </c>
    </row>
    <row r="1610" customFormat="false" ht="15" hidden="false" customHeight="false" outlineLevel="0" collapsed="false">
      <c r="A1610" s="50" t="s">
        <v>727</v>
      </c>
      <c r="B1610" s="51" t="n">
        <v>45757</v>
      </c>
      <c r="C1610" s="50" t="s">
        <v>166</v>
      </c>
      <c r="D1610" s="50" t="s">
        <v>2166</v>
      </c>
      <c r="E1610" s="50" t="n">
        <v>3</v>
      </c>
      <c r="F1610" s="50" t="s">
        <v>2167</v>
      </c>
      <c r="G1610" s="54" t="n">
        <v>1555700</v>
      </c>
    </row>
    <row r="1611" customFormat="false" ht="15" hidden="false" customHeight="false" outlineLevel="0" collapsed="false">
      <c r="A1611" s="50" t="s">
        <v>728</v>
      </c>
      <c r="B1611" s="51" t="n">
        <v>45757</v>
      </c>
      <c r="C1611" s="50" t="s">
        <v>168</v>
      </c>
      <c r="D1611" s="50" t="s">
        <v>2185</v>
      </c>
      <c r="E1611" s="50" t="n">
        <v>1</v>
      </c>
      <c r="F1611" s="50" t="s">
        <v>2174</v>
      </c>
      <c r="G1611" s="54" t="n">
        <v>759500</v>
      </c>
    </row>
    <row r="1612" customFormat="false" ht="15" hidden="false" customHeight="false" outlineLevel="0" collapsed="false">
      <c r="A1612" s="50" t="s">
        <v>728</v>
      </c>
      <c r="B1612" s="51" t="n">
        <v>45757</v>
      </c>
      <c r="C1612" s="50" t="s">
        <v>168</v>
      </c>
      <c r="D1612" s="50" t="s">
        <v>2166</v>
      </c>
      <c r="E1612" s="50" t="n">
        <v>4</v>
      </c>
      <c r="F1612" s="50" t="s">
        <v>2167</v>
      </c>
      <c r="G1612" s="54" t="n">
        <v>2153000</v>
      </c>
    </row>
    <row r="1613" customFormat="false" ht="15" hidden="false" customHeight="false" outlineLevel="0" collapsed="false">
      <c r="A1613" s="50" t="s">
        <v>728</v>
      </c>
      <c r="B1613" s="51" t="n">
        <v>45757</v>
      </c>
      <c r="C1613" s="50" t="s">
        <v>168</v>
      </c>
      <c r="D1613" s="50" t="s">
        <v>2168</v>
      </c>
      <c r="E1613" s="50" t="n">
        <v>8</v>
      </c>
      <c r="F1613" s="50" t="s">
        <v>2167</v>
      </c>
      <c r="G1613" s="54" t="n">
        <v>3461600</v>
      </c>
    </row>
    <row r="1614" customFormat="false" ht="15" hidden="false" customHeight="false" outlineLevel="0" collapsed="false">
      <c r="A1614" s="50" t="s">
        <v>729</v>
      </c>
      <c r="B1614" s="51" t="n">
        <v>45757</v>
      </c>
      <c r="C1614" s="50" t="s">
        <v>308</v>
      </c>
      <c r="D1614" s="50" t="s">
        <v>2169</v>
      </c>
      <c r="E1614" s="50" t="n">
        <v>4</v>
      </c>
      <c r="F1614" s="50" t="s">
        <v>2167</v>
      </c>
      <c r="G1614" s="54" t="n">
        <v>2460400</v>
      </c>
    </row>
    <row r="1615" customFormat="false" ht="15" hidden="false" customHeight="false" outlineLevel="0" collapsed="false">
      <c r="A1615" s="50" t="s">
        <v>729</v>
      </c>
      <c r="B1615" s="51" t="n">
        <v>45757</v>
      </c>
      <c r="C1615" s="50" t="s">
        <v>308</v>
      </c>
      <c r="D1615" s="50" t="s">
        <v>2178</v>
      </c>
      <c r="E1615" s="50" t="n">
        <v>3</v>
      </c>
      <c r="F1615" s="50" t="s">
        <v>2167</v>
      </c>
      <c r="G1615" s="54" t="n">
        <v>1417600</v>
      </c>
    </row>
    <row r="1616" customFormat="false" ht="15" hidden="false" customHeight="false" outlineLevel="0" collapsed="false">
      <c r="A1616" s="50" t="s">
        <v>729</v>
      </c>
      <c r="B1616" s="51" t="n">
        <v>45757</v>
      </c>
      <c r="C1616" s="50" t="s">
        <v>308</v>
      </c>
      <c r="D1616" s="50" t="s">
        <v>2173</v>
      </c>
      <c r="E1616" s="50" t="n">
        <v>8</v>
      </c>
      <c r="F1616" s="50" t="s">
        <v>2174</v>
      </c>
      <c r="G1616" s="54" t="n">
        <v>6645300</v>
      </c>
    </row>
    <row r="1617" customFormat="false" ht="15" hidden="false" customHeight="false" outlineLevel="0" collapsed="false">
      <c r="A1617" s="50" t="s">
        <v>729</v>
      </c>
      <c r="B1617" s="51" t="n">
        <v>45757</v>
      </c>
      <c r="C1617" s="50" t="s">
        <v>308</v>
      </c>
      <c r="D1617" s="50" t="s">
        <v>2166</v>
      </c>
      <c r="E1617" s="50" t="n">
        <v>2</v>
      </c>
      <c r="F1617" s="50" t="s">
        <v>2167</v>
      </c>
      <c r="G1617" s="54" t="n">
        <v>1053600</v>
      </c>
    </row>
    <row r="1618" customFormat="false" ht="15" hidden="false" customHeight="false" outlineLevel="0" collapsed="false">
      <c r="A1618" s="50" t="s">
        <v>729</v>
      </c>
      <c r="B1618" s="51" t="n">
        <v>45757</v>
      </c>
      <c r="C1618" s="50" t="s">
        <v>308</v>
      </c>
      <c r="D1618" s="50" t="s">
        <v>2183</v>
      </c>
      <c r="E1618" s="50" t="n">
        <v>2</v>
      </c>
      <c r="F1618" s="50" t="s">
        <v>2167</v>
      </c>
      <c r="G1618" s="54" t="n">
        <v>773000</v>
      </c>
    </row>
    <row r="1619" customFormat="false" ht="15" hidden="false" customHeight="false" outlineLevel="0" collapsed="false">
      <c r="A1619" s="50" t="s">
        <v>729</v>
      </c>
      <c r="B1619" s="51" t="n">
        <v>45757</v>
      </c>
      <c r="C1619" s="50" t="s">
        <v>308</v>
      </c>
      <c r="D1619" s="50" t="s">
        <v>2180</v>
      </c>
      <c r="E1619" s="50" t="n">
        <v>1</v>
      </c>
      <c r="F1619" s="50" t="s">
        <v>2167</v>
      </c>
      <c r="G1619" s="54" t="n">
        <v>436400</v>
      </c>
    </row>
    <row r="1620" customFormat="false" ht="15" hidden="false" customHeight="false" outlineLevel="0" collapsed="false">
      <c r="A1620" s="50" t="s">
        <v>730</v>
      </c>
      <c r="B1620" s="51" t="n">
        <v>45757</v>
      </c>
      <c r="C1620" s="50" t="s">
        <v>179</v>
      </c>
      <c r="D1620" s="50" t="s">
        <v>2186</v>
      </c>
      <c r="E1620" s="50" t="n">
        <v>2</v>
      </c>
      <c r="F1620" s="50" t="s">
        <v>2167</v>
      </c>
      <c r="G1620" s="54" t="n">
        <v>1133100</v>
      </c>
    </row>
    <row r="1621" customFormat="false" ht="15" hidden="false" customHeight="false" outlineLevel="0" collapsed="false">
      <c r="A1621" s="50" t="s">
        <v>730</v>
      </c>
      <c r="B1621" s="51" t="n">
        <v>45757</v>
      </c>
      <c r="C1621" s="50" t="s">
        <v>179</v>
      </c>
      <c r="D1621" s="50" t="s">
        <v>2184</v>
      </c>
      <c r="E1621" s="50" t="n">
        <v>4</v>
      </c>
      <c r="F1621" s="50" t="s">
        <v>2167</v>
      </c>
      <c r="G1621" s="54" t="n">
        <v>2230200</v>
      </c>
    </row>
    <row r="1622" customFormat="false" ht="15" hidden="false" customHeight="false" outlineLevel="0" collapsed="false">
      <c r="A1622" s="50" t="s">
        <v>731</v>
      </c>
      <c r="B1622" s="51" t="n">
        <v>45757</v>
      </c>
      <c r="C1622" s="50" t="s">
        <v>329</v>
      </c>
      <c r="D1622" s="50" t="s">
        <v>2177</v>
      </c>
      <c r="E1622" s="50" t="n">
        <v>2</v>
      </c>
      <c r="F1622" s="50" t="s">
        <v>2174</v>
      </c>
      <c r="G1622" s="54" t="n">
        <v>2274000</v>
      </c>
    </row>
    <row r="1623" customFormat="false" ht="15" hidden="false" customHeight="false" outlineLevel="0" collapsed="false">
      <c r="A1623" s="50" t="s">
        <v>732</v>
      </c>
      <c r="B1623" s="51" t="n">
        <v>45758</v>
      </c>
      <c r="C1623" s="50" t="s">
        <v>574</v>
      </c>
      <c r="D1623" s="50" t="s">
        <v>2168</v>
      </c>
      <c r="E1623" s="50" t="n">
        <v>5</v>
      </c>
      <c r="F1623" s="50" t="s">
        <v>2167</v>
      </c>
      <c r="G1623" s="54" t="n">
        <v>2078200</v>
      </c>
    </row>
    <row r="1624" customFormat="false" ht="15" hidden="false" customHeight="false" outlineLevel="0" collapsed="false">
      <c r="A1624" s="50" t="s">
        <v>732</v>
      </c>
      <c r="B1624" s="51" t="n">
        <v>45758</v>
      </c>
      <c r="C1624" s="50" t="s">
        <v>574</v>
      </c>
      <c r="D1624" s="50" t="s">
        <v>2186</v>
      </c>
      <c r="E1624" s="50" t="n">
        <v>6</v>
      </c>
      <c r="F1624" s="50" t="s">
        <v>2167</v>
      </c>
      <c r="G1624" s="54" t="n">
        <v>3401100</v>
      </c>
    </row>
    <row r="1625" customFormat="false" ht="15" hidden="false" customHeight="false" outlineLevel="0" collapsed="false">
      <c r="A1625" s="50" t="s">
        <v>732</v>
      </c>
      <c r="B1625" s="51" t="n">
        <v>45758</v>
      </c>
      <c r="C1625" s="50" t="s">
        <v>574</v>
      </c>
      <c r="D1625" s="50" t="s">
        <v>2169</v>
      </c>
      <c r="E1625" s="50" t="n">
        <v>4</v>
      </c>
      <c r="F1625" s="50" t="s">
        <v>2167</v>
      </c>
      <c r="G1625" s="54" t="n">
        <v>2566800</v>
      </c>
    </row>
    <row r="1626" customFormat="false" ht="15" hidden="false" customHeight="false" outlineLevel="0" collapsed="false">
      <c r="A1626" s="50" t="s">
        <v>732</v>
      </c>
      <c r="B1626" s="51" t="n">
        <v>45758</v>
      </c>
      <c r="C1626" s="50" t="s">
        <v>574</v>
      </c>
      <c r="D1626" s="50" t="s">
        <v>2173</v>
      </c>
      <c r="E1626" s="50" t="n">
        <v>6</v>
      </c>
      <c r="F1626" s="50" t="s">
        <v>2174</v>
      </c>
      <c r="G1626" s="54" t="n">
        <v>4944600</v>
      </c>
    </row>
    <row r="1627" customFormat="false" ht="15" hidden="false" customHeight="false" outlineLevel="0" collapsed="false">
      <c r="A1627" s="50" t="s">
        <v>733</v>
      </c>
      <c r="B1627" s="51" t="n">
        <v>45758</v>
      </c>
      <c r="C1627" s="50" t="s">
        <v>205</v>
      </c>
      <c r="D1627" s="50" t="s">
        <v>2182</v>
      </c>
      <c r="E1627" s="50" t="n">
        <v>3</v>
      </c>
      <c r="F1627" s="50" t="s">
        <v>2174</v>
      </c>
      <c r="G1627" s="54" t="n">
        <v>2842400</v>
      </c>
    </row>
    <row r="1628" customFormat="false" ht="15" hidden="false" customHeight="false" outlineLevel="0" collapsed="false">
      <c r="A1628" s="50" t="s">
        <v>733</v>
      </c>
      <c r="B1628" s="51" t="n">
        <v>45758</v>
      </c>
      <c r="C1628" s="50" t="s">
        <v>205</v>
      </c>
      <c r="D1628" s="50" t="s">
        <v>2169</v>
      </c>
      <c r="E1628" s="50" t="n">
        <v>3</v>
      </c>
      <c r="F1628" s="50" t="s">
        <v>2167</v>
      </c>
      <c r="G1628" s="54" t="n">
        <v>1855000</v>
      </c>
    </row>
    <row r="1629" customFormat="false" ht="15" hidden="false" customHeight="false" outlineLevel="0" collapsed="false">
      <c r="A1629" s="50" t="s">
        <v>734</v>
      </c>
      <c r="B1629" s="51" t="n">
        <v>45758</v>
      </c>
      <c r="C1629" s="50" t="s">
        <v>188</v>
      </c>
      <c r="D1629" s="50" t="s">
        <v>2181</v>
      </c>
      <c r="E1629" s="50" t="n">
        <v>7</v>
      </c>
      <c r="F1629" s="50" t="s">
        <v>2167</v>
      </c>
      <c r="G1629" s="54" t="n">
        <v>8150000</v>
      </c>
    </row>
    <row r="1630" customFormat="false" ht="15" hidden="false" customHeight="false" outlineLevel="0" collapsed="false">
      <c r="A1630" s="50" t="s">
        <v>734</v>
      </c>
      <c r="B1630" s="51" t="n">
        <v>45758</v>
      </c>
      <c r="C1630" s="50" t="s">
        <v>188</v>
      </c>
      <c r="D1630" s="50" t="s">
        <v>2185</v>
      </c>
      <c r="E1630" s="50" t="n">
        <v>5</v>
      </c>
      <c r="F1630" s="50" t="s">
        <v>2174</v>
      </c>
      <c r="G1630" s="54" t="n">
        <v>3873800</v>
      </c>
    </row>
    <row r="1631" customFormat="false" ht="15" hidden="false" customHeight="false" outlineLevel="0" collapsed="false">
      <c r="A1631" s="50" t="s">
        <v>735</v>
      </c>
      <c r="B1631" s="51" t="n">
        <v>45758</v>
      </c>
      <c r="C1631" s="50" t="s">
        <v>199</v>
      </c>
      <c r="D1631" s="50" t="s">
        <v>2180</v>
      </c>
      <c r="E1631" s="50" t="n">
        <v>2</v>
      </c>
      <c r="F1631" s="50" t="s">
        <v>2167</v>
      </c>
      <c r="G1631" s="54" t="n">
        <v>868100</v>
      </c>
    </row>
    <row r="1632" customFormat="false" ht="15" hidden="false" customHeight="false" outlineLevel="0" collapsed="false">
      <c r="A1632" s="50" t="s">
        <v>735</v>
      </c>
      <c r="B1632" s="51" t="n">
        <v>45758</v>
      </c>
      <c r="C1632" s="50" t="s">
        <v>199</v>
      </c>
      <c r="D1632" s="50" t="s">
        <v>2186</v>
      </c>
      <c r="E1632" s="50" t="n">
        <v>4</v>
      </c>
      <c r="F1632" s="50" t="s">
        <v>2167</v>
      </c>
      <c r="G1632" s="54" t="n">
        <v>2286200</v>
      </c>
    </row>
    <row r="1633" customFormat="false" ht="15" hidden="false" customHeight="false" outlineLevel="0" collapsed="false">
      <c r="A1633" s="50" t="s">
        <v>735</v>
      </c>
      <c r="B1633" s="51" t="n">
        <v>45758</v>
      </c>
      <c r="C1633" s="50" t="s">
        <v>199</v>
      </c>
      <c r="D1633" s="50" t="s">
        <v>2168</v>
      </c>
      <c r="E1633" s="50" t="n">
        <v>6</v>
      </c>
      <c r="F1633" s="50" t="s">
        <v>2167</v>
      </c>
      <c r="G1633" s="54" t="n">
        <v>2535800</v>
      </c>
    </row>
    <row r="1634" customFormat="false" ht="15" hidden="false" customHeight="false" outlineLevel="0" collapsed="false">
      <c r="A1634" s="50" t="s">
        <v>735</v>
      </c>
      <c r="B1634" s="51" t="n">
        <v>45758</v>
      </c>
      <c r="C1634" s="50" t="s">
        <v>199</v>
      </c>
      <c r="D1634" s="50" t="s">
        <v>2184</v>
      </c>
      <c r="E1634" s="50" t="n">
        <v>1</v>
      </c>
      <c r="F1634" s="50" t="s">
        <v>2167</v>
      </c>
      <c r="G1634" s="54" t="n">
        <v>549900</v>
      </c>
    </row>
    <row r="1635" customFormat="false" ht="15" hidden="false" customHeight="false" outlineLevel="0" collapsed="false">
      <c r="A1635" s="50" t="s">
        <v>736</v>
      </c>
      <c r="B1635" s="51" t="n">
        <v>45758</v>
      </c>
      <c r="C1635" s="50" t="s">
        <v>737</v>
      </c>
      <c r="D1635" s="50" t="s">
        <v>2177</v>
      </c>
      <c r="E1635" s="50" t="n">
        <v>1</v>
      </c>
      <c r="F1635" s="50" t="s">
        <v>2174</v>
      </c>
      <c r="G1635" s="54" t="n">
        <v>1066400</v>
      </c>
    </row>
    <row r="1636" customFormat="false" ht="15" hidden="false" customHeight="false" outlineLevel="0" collapsed="false">
      <c r="A1636" s="50" t="s">
        <v>736</v>
      </c>
      <c r="B1636" s="51" t="n">
        <v>45758</v>
      </c>
      <c r="C1636" s="50" t="s">
        <v>737</v>
      </c>
      <c r="D1636" s="50" t="s">
        <v>2186</v>
      </c>
      <c r="E1636" s="50" t="n">
        <v>3</v>
      </c>
      <c r="F1636" s="50" t="s">
        <v>2167</v>
      </c>
      <c r="G1636" s="54" t="n">
        <v>1822200</v>
      </c>
    </row>
    <row r="1637" customFormat="false" ht="15" hidden="false" customHeight="false" outlineLevel="0" collapsed="false">
      <c r="A1637" s="50" t="s">
        <v>736</v>
      </c>
      <c r="B1637" s="51" t="n">
        <v>45758</v>
      </c>
      <c r="C1637" s="50" t="s">
        <v>737</v>
      </c>
      <c r="D1637" s="50" t="s">
        <v>2176</v>
      </c>
      <c r="E1637" s="50" t="n">
        <v>3</v>
      </c>
      <c r="F1637" s="50" t="s">
        <v>2167</v>
      </c>
      <c r="G1637" s="54" t="n">
        <v>1248100</v>
      </c>
    </row>
    <row r="1638" customFormat="false" ht="15" hidden="false" customHeight="false" outlineLevel="0" collapsed="false">
      <c r="A1638" s="50" t="s">
        <v>736</v>
      </c>
      <c r="B1638" s="51" t="n">
        <v>45758</v>
      </c>
      <c r="C1638" s="50" t="s">
        <v>737</v>
      </c>
      <c r="D1638" s="50" t="s">
        <v>2172</v>
      </c>
      <c r="E1638" s="50" t="n">
        <v>8</v>
      </c>
      <c r="F1638" s="50" t="s">
        <v>2167</v>
      </c>
      <c r="G1638" s="54" t="n">
        <v>4055600</v>
      </c>
    </row>
    <row r="1639" customFormat="false" ht="15" hidden="false" customHeight="false" outlineLevel="0" collapsed="false">
      <c r="A1639" s="50" t="s">
        <v>738</v>
      </c>
      <c r="B1639" s="51" t="n">
        <v>45758</v>
      </c>
      <c r="C1639" s="50" t="s">
        <v>188</v>
      </c>
      <c r="D1639" s="50" t="s">
        <v>2179</v>
      </c>
      <c r="E1639" s="50" t="n">
        <v>8</v>
      </c>
      <c r="F1639" s="50" t="s">
        <v>2174</v>
      </c>
      <c r="G1639" s="54" t="n">
        <v>9905600</v>
      </c>
    </row>
    <row r="1640" customFormat="false" ht="15" hidden="false" customHeight="false" outlineLevel="0" collapsed="false">
      <c r="A1640" s="50" t="s">
        <v>738</v>
      </c>
      <c r="B1640" s="51" t="n">
        <v>45758</v>
      </c>
      <c r="C1640" s="50" t="s">
        <v>188</v>
      </c>
      <c r="D1640" s="50" t="s">
        <v>2183</v>
      </c>
      <c r="E1640" s="50" t="n">
        <v>4</v>
      </c>
      <c r="F1640" s="50" t="s">
        <v>2167</v>
      </c>
      <c r="G1640" s="54" t="n">
        <v>1501600</v>
      </c>
    </row>
    <row r="1641" customFormat="false" ht="15" hidden="false" customHeight="false" outlineLevel="0" collapsed="false">
      <c r="A1641" s="50" t="s">
        <v>738</v>
      </c>
      <c r="B1641" s="51" t="n">
        <v>45758</v>
      </c>
      <c r="C1641" s="50" t="s">
        <v>188</v>
      </c>
      <c r="D1641" s="50" t="s">
        <v>2184</v>
      </c>
      <c r="E1641" s="50" t="n">
        <v>4</v>
      </c>
      <c r="F1641" s="50" t="s">
        <v>2167</v>
      </c>
      <c r="G1641" s="54" t="n">
        <v>2307300</v>
      </c>
    </row>
    <row r="1642" customFormat="false" ht="15" hidden="false" customHeight="false" outlineLevel="0" collapsed="false">
      <c r="A1642" s="50" t="s">
        <v>738</v>
      </c>
      <c r="B1642" s="51" t="n">
        <v>45758</v>
      </c>
      <c r="C1642" s="50" t="s">
        <v>188</v>
      </c>
      <c r="D1642" s="50" t="s">
        <v>2186</v>
      </c>
      <c r="E1642" s="50" t="n">
        <v>2</v>
      </c>
      <c r="F1642" s="50" t="s">
        <v>2167</v>
      </c>
      <c r="G1642" s="54" t="n">
        <v>1169600</v>
      </c>
    </row>
    <row r="1643" customFormat="false" ht="15" hidden="false" customHeight="false" outlineLevel="0" collapsed="false">
      <c r="A1643" s="50" t="s">
        <v>739</v>
      </c>
      <c r="B1643" s="51" t="n">
        <v>45759</v>
      </c>
      <c r="C1643" s="50" t="s">
        <v>574</v>
      </c>
      <c r="D1643" s="50" t="s">
        <v>2181</v>
      </c>
      <c r="E1643" s="50" t="n">
        <v>8</v>
      </c>
      <c r="F1643" s="50" t="s">
        <v>2167</v>
      </c>
      <c r="G1643" s="54" t="n">
        <v>9078800</v>
      </c>
    </row>
    <row r="1644" customFormat="false" ht="15" hidden="false" customHeight="false" outlineLevel="0" collapsed="false">
      <c r="A1644" s="50" t="s">
        <v>739</v>
      </c>
      <c r="B1644" s="51" t="n">
        <v>45759</v>
      </c>
      <c r="C1644" s="50" t="s">
        <v>574</v>
      </c>
      <c r="D1644" s="50" t="s">
        <v>2186</v>
      </c>
      <c r="E1644" s="50" t="n">
        <v>2</v>
      </c>
      <c r="F1644" s="50" t="s">
        <v>2167</v>
      </c>
      <c r="G1644" s="54" t="n">
        <v>1189300</v>
      </c>
    </row>
    <row r="1645" customFormat="false" ht="15" hidden="false" customHeight="false" outlineLevel="0" collapsed="false">
      <c r="A1645" s="50" t="s">
        <v>739</v>
      </c>
      <c r="B1645" s="51" t="n">
        <v>45759</v>
      </c>
      <c r="C1645" s="50" t="s">
        <v>574</v>
      </c>
      <c r="D1645" s="50" t="s">
        <v>2180</v>
      </c>
      <c r="E1645" s="50" t="n">
        <v>3</v>
      </c>
      <c r="F1645" s="50" t="s">
        <v>2167</v>
      </c>
      <c r="G1645" s="54" t="n">
        <v>1366900</v>
      </c>
    </row>
    <row r="1646" customFormat="false" ht="15" hidden="false" customHeight="false" outlineLevel="0" collapsed="false">
      <c r="A1646" s="50" t="s">
        <v>740</v>
      </c>
      <c r="B1646" s="51" t="n">
        <v>45759</v>
      </c>
      <c r="C1646" s="50" t="s">
        <v>666</v>
      </c>
      <c r="D1646" s="50" t="s">
        <v>2185</v>
      </c>
      <c r="E1646" s="50" t="n">
        <v>2</v>
      </c>
      <c r="F1646" s="50" t="s">
        <v>2174</v>
      </c>
      <c r="G1646" s="54" t="n">
        <v>1614200</v>
      </c>
    </row>
    <row r="1647" customFormat="false" ht="15" hidden="false" customHeight="false" outlineLevel="0" collapsed="false">
      <c r="A1647" s="50" t="s">
        <v>740</v>
      </c>
      <c r="B1647" s="51" t="n">
        <v>45759</v>
      </c>
      <c r="C1647" s="50" t="s">
        <v>666</v>
      </c>
      <c r="D1647" s="50" t="s">
        <v>2173</v>
      </c>
      <c r="E1647" s="50" t="n">
        <v>8</v>
      </c>
      <c r="F1647" s="50" t="s">
        <v>2174</v>
      </c>
      <c r="G1647" s="54" t="n">
        <v>6577400</v>
      </c>
    </row>
    <row r="1648" customFormat="false" ht="15" hidden="false" customHeight="false" outlineLevel="0" collapsed="false">
      <c r="A1648" s="50" t="s">
        <v>740</v>
      </c>
      <c r="B1648" s="51" t="n">
        <v>45759</v>
      </c>
      <c r="C1648" s="50" t="s">
        <v>666</v>
      </c>
      <c r="D1648" s="50" t="s">
        <v>2180</v>
      </c>
      <c r="E1648" s="50" t="n">
        <v>4</v>
      </c>
      <c r="F1648" s="50" t="s">
        <v>2167</v>
      </c>
      <c r="G1648" s="54" t="n">
        <v>1732300</v>
      </c>
    </row>
    <row r="1649" customFormat="false" ht="15" hidden="false" customHeight="false" outlineLevel="0" collapsed="false">
      <c r="A1649" s="50" t="s">
        <v>741</v>
      </c>
      <c r="B1649" s="51" t="n">
        <v>45759</v>
      </c>
      <c r="C1649" s="50" t="s">
        <v>174</v>
      </c>
      <c r="D1649" s="50" t="s">
        <v>2181</v>
      </c>
      <c r="E1649" s="50" t="n">
        <v>4</v>
      </c>
      <c r="F1649" s="50" t="s">
        <v>2167</v>
      </c>
      <c r="G1649" s="54" t="n">
        <v>4457300</v>
      </c>
    </row>
    <row r="1650" customFormat="false" ht="15" hidden="false" customHeight="false" outlineLevel="0" collapsed="false">
      <c r="A1650" s="50" t="s">
        <v>742</v>
      </c>
      <c r="B1650" s="51" t="n">
        <v>45759</v>
      </c>
      <c r="C1650" s="50" t="s">
        <v>166</v>
      </c>
      <c r="D1650" s="50" t="s">
        <v>2169</v>
      </c>
      <c r="E1650" s="50" t="n">
        <v>5</v>
      </c>
      <c r="F1650" s="50" t="s">
        <v>2167</v>
      </c>
      <c r="G1650" s="54" t="n">
        <v>3211100</v>
      </c>
    </row>
    <row r="1651" customFormat="false" ht="15" hidden="false" customHeight="false" outlineLevel="0" collapsed="false">
      <c r="A1651" s="50" t="s">
        <v>742</v>
      </c>
      <c r="B1651" s="51" t="n">
        <v>45759</v>
      </c>
      <c r="C1651" s="50" t="s">
        <v>166</v>
      </c>
      <c r="D1651" s="50" t="s">
        <v>2176</v>
      </c>
      <c r="E1651" s="50" t="n">
        <v>8</v>
      </c>
      <c r="F1651" s="50" t="s">
        <v>2167</v>
      </c>
      <c r="G1651" s="54" t="n">
        <v>3402900</v>
      </c>
    </row>
    <row r="1652" customFormat="false" ht="15" hidden="false" customHeight="false" outlineLevel="0" collapsed="false">
      <c r="A1652" s="50" t="s">
        <v>743</v>
      </c>
      <c r="B1652" s="51" t="n">
        <v>45759</v>
      </c>
      <c r="C1652" s="50" t="s">
        <v>271</v>
      </c>
      <c r="D1652" s="50" t="s">
        <v>2184</v>
      </c>
      <c r="E1652" s="50" t="n">
        <v>2</v>
      </c>
      <c r="F1652" s="50" t="s">
        <v>2167</v>
      </c>
      <c r="G1652" s="54" t="n">
        <v>1118700</v>
      </c>
    </row>
    <row r="1653" customFormat="false" ht="15" hidden="false" customHeight="false" outlineLevel="0" collapsed="false">
      <c r="A1653" s="50" t="s">
        <v>743</v>
      </c>
      <c r="B1653" s="51" t="n">
        <v>45759</v>
      </c>
      <c r="C1653" s="50" t="s">
        <v>271</v>
      </c>
      <c r="D1653" s="50" t="s">
        <v>2169</v>
      </c>
      <c r="E1653" s="50" t="n">
        <v>6</v>
      </c>
      <c r="F1653" s="50" t="s">
        <v>2167</v>
      </c>
      <c r="G1653" s="54" t="n">
        <v>3678100</v>
      </c>
    </row>
    <row r="1654" customFormat="false" ht="15" hidden="false" customHeight="false" outlineLevel="0" collapsed="false">
      <c r="A1654" s="50" t="s">
        <v>743</v>
      </c>
      <c r="B1654" s="51" t="n">
        <v>45759</v>
      </c>
      <c r="C1654" s="50" t="s">
        <v>271</v>
      </c>
      <c r="D1654" s="50" t="s">
        <v>2172</v>
      </c>
      <c r="E1654" s="50" t="n">
        <v>2</v>
      </c>
      <c r="F1654" s="50" t="s">
        <v>2167</v>
      </c>
      <c r="G1654" s="54" t="n">
        <v>1078800</v>
      </c>
    </row>
    <row r="1655" customFormat="false" ht="15" hidden="false" customHeight="false" outlineLevel="0" collapsed="false">
      <c r="A1655" s="50" t="s">
        <v>743</v>
      </c>
      <c r="B1655" s="51" t="n">
        <v>45759</v>
      </c>
      <c r="C1655" s="50" t="s">
        <v>271</v>
      </c>
      <c r="D1655" s="50" t="s">
        <v>2180</v>
      </c>
      <c r="E1655" s="50" t="n">
        <v>2</v>
      </c>
      <c r="F1655" s="50" t="s">
        <v>2167</v>
      </c>
      <c r="G1655" s="54" t="n">
        <v>896000</v>
      </c>
    </row>
    <row r="1656" customFormat="false" ht="15" hidden="false" customHeight="false" outlineLevel="0" collapsed="false">
      <c r="A1656" s="50" t="s">
        <v>743</v>
      </c>
      <c r="B1656" s="51" t="n">
        <v>45759</v>
      </c>
      <c r="C1656" s="50" t="s">
        <v>271</v>
      </c>
      <c r="D1656" s="50" t="s">
        <v>2182</v>
      </c>
      <c r="E1656" s="50" t="n">
        <v>7</v>
      </c>
      <c r="F1656" s="50" t="s">
        <v>2174</v>
      </c>
      <c r="G1656" s="54" t="n">
        <v>6687600</v>
      </c>
    </row>
    <row r="1657" customFormat="false" ht="15" hidden="false" customHeight="false" outlineLevel="0" collapsed="false">
      <c r="A1657" s="50" t="s">
        <v>744</v>
      </c>
      <c r="B1657" s="51" t="n">
        <v>45759</v>
      </c>
      <c r="C1657" s="50" t="s">
        <v>358</v>
      </c>
      <c r="D1657" s="50" t="s">
        <v>2184</v>
      </c>
      <c r="E1657" s="50" t="n">
        <v>3</v>
      </c>
      <c r="F1657" s="50" t="s">
        <v>2167</v>
      </c>
      <c r="G1657" s="54" t="n">
        <v>1658000</v>
      </c>
    </row>
    <row r="1658" customFormat="false" ht="15" hidden="false" customHeight="false" outlineLevel="0" collapsed="false">
      <c r="A1658" s="50" t="s">
        <v>744</v>
      </c>
      <c r="B1658" s="51" t="n">
        <v>45759</v>
      </c>
      <c r="C1658" s="50" t="s">
        <v>358</v>
      </c>
      <c r="D1658" s="50" t="s">
        <v>2173</v>
      </c>
      <c r="E1658" s="50" t="n">
        <v>1</v>
      </c>
      <c r="F1658" s="50" t="s">
        <v>2174</v>
      </c>
      <c r="G1658" s="54" t="n">
        <v>807800</v>
      </c>
    </row>
    <row r="1659" customFormat="false" ht="15" hidden="false" customHeight="false" outlineLevel="0" collapsed="false">
      <c r="A1659" s="50" t="s">
        <v>744</v>
      </c>
      <c r="B1659" s="51" t="n">
        <v>45759</v>
      </c>
      <c r="C1659" s="50" t="s">
        <v>358</v>
      </c>
      <c r="D1659" s="50" t="s">
        <v>2168</v>
      </c>
      <c r="E1659" s="50" t="n">
        <v>5</v>
      </c>
      <c r="F1659" s="50" t="s">
        <v>2167</v>
      </c>
      <c r="G1659" s="54" t="n">
        <v>2101300</v>
      </c>
    </row>
    <row r="1660" customFormat="false" ht="15" hidden="false" customHeight="false" outlineLevel="0" collapsed="false">
      <c r="A1660" s="50" t="s">
        <v>744</v>
      </c>
      <c r="B1660" s="51" t="n">
        <v>45759</v>
      </c>
      <c r="C1660" s="50" t="s">
        <v>358</v>
      </c>
      <c r="D1660" s="50" t="s">
        <v>2188</v>
      </c>
      <c r="E1660" s="50" t="n">
        <v>8</v>
      </c>
      <c r="F1660" s="50" t="s">
        <v>2167</v>
      </c>
      <c r="G1660" s="54" t="n">
        <v>7743700</v>
      </c>
    </row>
    <row r="1661" customFormat="false" ht="15" hidden="false" customHeight="false" outlineLevel="0" collapsed="false">
      <c r="A1661" s="50" t="s">
        <v>744</v>
      </c>
      <c r="B1661" s="51" t="n">
        <v>45759</v>
      </c>
      <c r="C1661" s="50" t="s">
        <v>358</v>
      </c>
      <c r="D1661" s="50" t="s">
        <v>2181</v>
      </c>
      <c r="E1661" s="50" t="n">
        <v>7</v>
      </c>
      <c r="F1661" s="50" t="s">
        <v>2167</v>
      </c>
      <c r="G1661" s="54" t="n">
        <v>8182000</v>
      </c>
    </row>
    <row r="1662" customFormat="false" ht="15" hidden="false" customHeight="false" outlineLevel="0" collapsed="false">
      <c r="A1662" s="50" t="s">
        <v>744</v>
      </c>
      <c r="B1662" s="51" t="n">
        <v>45759</v>
      </c>
      <c r="C1662" s="50" t="s">
        <v>358</v>
      </c>
      <c r="D1662" s="50" t="s">
        <v>2176</v>
      </c>
      <c r="E1662" s="50" t="n">
        <v>5</v>
      </c>
      <c r="F1662" s="50" t="s">
        <v>2167</v>
      </c>
      <c r="G1662" s="54" t="n">
        <v>2042000</v>
      </c>
    </row>
    <row r="1663" customFormat="false" ht="15" hidden="false" customHeight="false" outlineLevel="0" collapsed="false">
      <c r="A1663" s="50" t="s">
        <v>745</v>
      </c>
      <c r="B1663" s="51" t="n">
        <v>45761</v>
      </c>
      <c r="C1663" s="50" t="s">
        <v>166</v>
      </c>
      <c r="D1663" s="50" t="s">
        <v>2186</v>
      </c>
      <c r="E1663" s="50" t="n">
        <v>2</v>
      </c>
      <c r="F1663" s="50" t="s">
        <v>2167</v>
      </c>
      <c r="G1663" s="54" t="n">
        <v>1172100</v>
      </c>
    </row>
    <row r="1664" customFormat="false" ht="15" hidden="false" customHeight="false" outlineLevel="0" collapsed="false">
      <c r="A1664" s="50" t="s">
        <v>745</v>
      </c>
      <c r="B1664" s="51" t="n">
        <v>45761</v>
      </c>
      <c r="C1664" s="50" t="s">
        <v>166</v>
      </c>
      <c r="D1664" s="50" t="s">
        <v>2187</v>
      </c>
      <c r="E1664" s="50" t="n">
        <v>5</v>
      </c>
      <c r="F1664" s="50" t="s">
        <v>2167</v>
      </c>
      <c r="G1664" s="54" t="n">
        <v>1734300</v>
      </c>
    </row>
    <row r="1665" customFormat="false" ht="15" hidden="false" customHeight="false" outlineLevel="0" collapsed="false">
      <c r="A1665" s="50" t="s">
        <v>745</v>
      </c>
      <c r="B1665" s="51" t="n">
        <v>45761</v>
      </c>
      <c r="C1665" s="50" t="s">
        <v>166</v>
      </c>
      <c r="D1665" s="50" t="s">
        <v>2177</v>
      </c>
      <c r="E1665" s="50" t="n">
        <v>2</v>
      </c>
      <c r="F1665" s="50" t="s">
        <v>2174</v>
      </c>
      <c r="G1665" s="54" t="n">
        <v>2179700</v>
      </c>
    </row>
    <row r="1666" customFormat="false" ht="15" hidden="false" customHeight="false" outlineLevel="0" collapsed="false">
      <c r="A1666" s="50" t="s">
        <v>745</v>
      </c>
      <c r="B1666" s="51" t="n">
        <v>45761</v>
      </c>
      <c r="C1666" s="50" t="s">
        <v>166</v>
      </c>
      <c r="D1666" s="50" t="s">
        <v>2185</v>
      </c>
      <c r="E1666" s="50" t="n">
        <v>8</v>
      </c>
      <c r="F1666" s="50" t="s">
        <v>2174</v>
      </c>
      <c r="G1666" s="54" t="n">
        <v>6004900</v>
      </c>
    </row>
    <row r="1667" customFormat="false" ht="15" hidden="false" customHeight="false" outlineLevel="0" collapsed="false">
      <c r="A1667" s="50" t="s">
        <v>745</v>
      </c>
      <c r="B1667" s="51" t="n">
        <v>45761</v>
      </c>
      <c r="C1667" s="50" t="s">
        <v>166</v>
      </c>
      <c r="D1667" s="50" t="s">
        <v>2169</v>
      </c>
      <c r="E1667" s="50" t="n">
        <v>3</v>
      </c>
      <c r="F1667" s="50" t="s">
        <v>2167</v>
      </c>
      <c r="G1667" s="54" t="n">
        <v>1866600</v>
      </c>
    </row>
    <row r="1668" customFormat="false" ht="15" hidden="false" customHeight="false" outlineLevel="0" collapsed="false">
      <c r="A1668" s="50" t="s">
        <v>745</v>
      </c>
      <c r="B1668" s="51" t="n">
        <v>45761</v>
      </c>
      <c r="C1668" s="50" t="s">
        <v>166</v>
      </c>
      <c r="D1668" s="50" t="s">
        <v>2180</v>
      </c>
      <c r="E1668" s="50" t="n">
        <v>7</v>
      </c>
      <c r="F1668" s="50" t="s">
        <v>2167</v>
      </c>
      <c r="G1668" s="54" t="n">
        <v>3221500</v>
      </c>
    </row>
    <row r="1669" customFormat="false" ht="15" hidden="false" customHeight="false" outlineLevel="0" collapsed="false">
      <c r="A1669" s="50" t="s">
        <v>746</v>
      </c>
      <c r="B1669" s="51" t="n">
        <v>45761</v>
      </c>
      <c r="C1669" s="50" t="s">
        <v>170</v>
      </c>
      <c r="D1669" s="50" t="s">
        <v>2166</v>
      </c>
      <c r="E1669" s="50" t="n">
        <v>5</v>
      </c>
      <c r="F1669" s="50" t="s">
        <v>2167</v>
      </c>
      <c r="G1669" s="54" t="n">
        <v>2662200</v>
      </c>
    </row>
    <row r="1670" customFormat="false" ht="15" hidden="false" customHeight="false" outlineLevel="0" collapsed="false">
      <c r="A1670" s="50" t="s">
        <v>746</v>
      </c>
      <c r="B1670" s="51" t="n">
        <v>45761</v>
      </c>
      <c r="C1670" s="50" t="s">
        <v>170</v>
      </c>
      <c r="D1670" s="50" t="s">
        <v>2184</v>
      </c>
      <c r="E1670" s="50" t="n">
        <v>1</v>
      </c>
      <c r="F1670" s="50" t="s">
        <v>2167</v>
      </c>
      <c r="G1670" s="54" t="n">
        <v>538900</v>
      </c>
    </row>
    <row r="1671" customFormat="false" ht="15" hidden="false" customHeight="false" outlineLevel="0" collapsed="false">
      <c r="A1671" s="50" t="s">
        <v>746</v>
      </c>
      <c r="B1671" s="51" t="n">
        <v>45761</v>
      </c>
      <c r="C1671" s="50" t="s">
        <v>170</v>
      </c>
      <c r="D1671" s="50" t="s">
        <v>2176</v>
      </c>
      <c r="E1671" s="50" t="n">
        <v>3</v>
      </c>
      <c r="F1671" s="50" t="s">
        <v>2167</v>
      </c>
      <c r="G1671" s="54" t="n">
        <v>1229500</v>
      </c>
    </row>
    <row r="1672" customFormat="false" ht="15" hidden="false" customHeight="false" outlineLevel="0" collapsed="false">
      <c r="A1672" s="50" t="s">
        <v>746</v>
      </c>
      <c r="B1672" s="51" t="n">
        <v>45761</v>
      </c>
      <c r="C1672" s="50" t="s">
        <v>170</v>
      </c>
      <c r="D1672" s="50" t="s">
        <v>2169</v>
      </c>
      <c r="E1672" s="50" t="n">
        <v>6</v>
      </c>
      <c r="F1672" s="50" t="s">
        <v>2167</v>
      </c>
      <c r="G1672" s="54" t="n">
        <v>3619500</v>
      </c>
    </row>
    <row r="1673" customFormat="false" ht="15" hidden="false" customHeight="false" outlineLevel="0" collapsed="false">
      <c r="A1673" s="50" t="s">
        <v>747</v>
      </c>
      <c r="B1673" s="51" t="n">
        <v>45761</v>
      </c>
      <c r="C1673" s="50" t="s">
        <v>174</v>
      </c>
      <c r="D1673" s="50" t="s">
        <v>2176</v>
      </c>
      <c r="E1673" s="50" t="n">
        <v>8</v>
      </c>
      <c r="F1673" s="50" t="s">
        <v>2167</v>
      </c>
      <c r="G1673" s="54" t="n">
        <v>3244000</v>
      </c>
    </row>
    <row r="1674" customFormat="false" ht="15" hidden="false" customHeight="false" outlineLevel="0" collapsed="false">
      <c r="A1674" s="50" t="s">
        <v>747</v>
      </c>
      <c r="B1674" s="51" t="n">
        <v>45761</v>
      </c>
      <c r="C1674" s="50" t="s">
        <v>174</v>
      </c>
      <c r="D1674" s="50" t="s">
        <v>2166</v>
      </c>
      <c r="E1674" s="50" t="n">
        <v>1</v>
      </c>
      <c r="F1674" s="50" t="s">
        <v>2167</v>
      </c>
      <c r="G1674" s="54" t="n">
        <v>530300</v>
      </c>
    </row>
    <row r="1675" customFormat="false" ht="15" hidden="false" customHeight="false" outlineLevel="0" collapsed="false">
      <c r="A1675" s="50" t="s">
        <v>747</v>
      </c>
      <c r="B1675" s="51" t="n">
        <v>45761</v>
      </c>
      <c r="C1675" s="50" t="s">
        <v>174</v>
      </c>
      <c r="D1675" s="50" t="s">
        <v>2183</v>
      </c>
      <c r="E1675" s="50" t="n">
        <v>4</v>
      </c>
      <c r="F1675" s="50" t="s">
        <v>2167</v>
      </c>
      <c r="G1675" s="54" t="n">
        <v>1575100</v>
      </c>
    </row>
    <row r="1676" customFormat="false" ht="15" hidden="false" customHeight="false" outlineLevel="0" collapsed="false">
      <c r="A1676" s="50" t="s">
        <v>747</v>
      </c>
      <c r="B1676" s="51" t="n">
        <v>45761</v>
      </c>
      <c r="C1676" s="50" t="s">
        <v>174</v>
      </c>
      <c r="D1676" s="50" t="s">
        <v>2177</v>
      </c>
      <c r="E1676" s="50" t="n">
        <v>5</v>
      </c>
      <c r="F1676" s="50" t="s">
        <v>2174</v>
      </c>
      <c r="G1676" s="54" t="n">
        <v>5355400</v>
      </c>
    </row>
    <row r="1677" customFormat="false" ht="15" hidden="false" customHeight="false" outlineLevel="0" collapsed="false">
      <c r="A1677" s="50" t="s">
        <v>748</v>
      </c>
      <c r="B1677" s="51" t="n">
        <v>45761</v>
      </c>
      <c r="C1677" s="50" t="s">
        <v>197</v>
      </c>
      <c r="D1677" s="50" t="s">
        <v>2176</v>
      </c>
      <c r="E1677" s="50" t="n">
        <v>7</v>
      </c>
      <c r="F1677" s="50" t="s">
        <v>2167</v>
      </c>
      <c r="G1677" s="54" t="n">
        <v>2921700</v>
      </c>
    </row>
    <row r="1678" customFormat="false" ht="15" hidden="false" customHeight="false" outlineLevel="0" collapsed="false">
      <c r="A1678" s="50" t="s">
        <v>748</v>
      </c>
      <c r="B1678" s="51" t="n">
        <v>45761</v>
      </c>
      <c r="C1678" s="50" t="s">
        <v>197</v>
      </c>
      <c r="D1678" s="50" t="s">
        <v>2178</v>
      </c>
      <c r="E1678" s="50" t="n">
        <v>7</v>
      </c>
      <c r="F1678" s="50" t="s">
        <v>2167</v>
      </c>
      <c r="G1678" s="54" t="n">
        <v>3474900</v>
      </c>
    </row>
    <row r="1679" customFormat="false" ht="15" hidden="false" customHeight="false" outlineLevel="0" collapsed="false">
      <c r="A1679" s="50" t="s">
        <v>748</v>
      </c>
      <c r="B1679" s="51" t="n">
        <v>45761</v>
      </c>
      <c r="C1679" s="50" t="s">
        <v>197</v>
      </c>
      <c r="D1679" s="50" t="s">
        <v>2179</v>
      </c>
      <c r="E1679" s="50" t="n">
        <v>5</v>
      </c>
      <c r="F1679" s="50" t="s">
        <v>2174</v>
      </c>
      <c r="G1679" s="54" t="n">
        <v>6138400</v>
      </c>
    </row>
    <row r="1680" customFormat="false" ht="15" hidden="false" customHeight="false" outlineLevel="0" collapsed="false">
      <c r="A1680" s="50" t="s">
        <v>749</v>
      </c>
      <c r="B1680" s="51" t="n">
        <v>45761</v>
      </c>
      <c r="C1680" s="50" t="s">
        <v>737</v>
      </c>
      <c r="D1680" s="50" t="s">
        <v>2185</v>
      </c>
      <c r="E1680" s="50" t="n">
        <v>5</v>
      </c>
      <c r="F1680" s="50" t="s">
        <v>2174</v>
      </c>
      <c r="G1680" s="54" t="n">
        <v>3936900</v>
      </c>
    </row>
    <row r="1681" customFormat="false" ht="15" hidden="false" customHeight="false" outlineLevel="0" collapsed="false">
      <c r="A1681" s="50" t="s">
        <v>749</v>
      </c>
      <c r="B1681" s="51" t="n">
        <v>45761</v>
      </c>
      <c r="C1681" s="50" t="s">
        <v>737</v>
      </c>
      <c r="D1681" s="50" t="s">
        <v>2180</v>
      </c>
      <c r="E1681" s="50" t="n">
        <v>1</v>
      </c>
      <c r="F1681" s="50" t="s">
        <v>2167</v>
      </c>
      <c r="G1681" s="54" t="n">
        <v>460400</v>
      </c>
    </row>
    <row r="1682" customFormat="false" ht="15" hidden="false" customHeight="false" outlineLevel="0" collapsed="false">
      <c r="A1682" s="50" t="s">
        <v>749</v>
      </c>
      <c r="B1682" s="51" t="n">
        <v>45761</v>
      </c>
      <c r="C1682" s="50" t="s">
        <v>737</v>
      </c>
      <c r="D1682" s="50" t="s">
        <v>2181</v>
      </c>
      <c r="E1682" s="50" t="n">
        <v>8</v>
      </c>
      <c r="F1682" s="50" t="s">
        <v>2167</v>
      </c>
      <c r="G1682" s="54" t="n">
        <v>8971900</v>
      </c>
    </row>
    <row r="1683" customFormat="false" ht="15" hidden="false" customHeight="false" outlineLevel="0" collapsed="false">
      <c r="A1683" s="50" t="s">
        <v>750</v>
      </c>
      <c r="B1683" s="51" t="n">
        <v>45761</v>
      </c>
      <c r="C1683" s="50" t="s">
        <v>737</v>
      </c>
      <c r="D1683" s="50" t="s">
        <v>2180</v>
      </c>
      <c r="E1683" s="50" t="n">
        <v>6</v>
      </c>
      <c r="F1683" s="50" t="s">
        <v>2167</v>
      </c>
      <c r="G1683" s="54" t="n">
        <v>2766600</v>
      </c>
    </row>
    <row r="1684" customFormat="false" ht="15" hidden="false" customHeight="false" outlineLevel="0" collapsed="false">
      <c r="A1684" s="50" t="s">
        <v>751</v>
      </c>
      <c r="B1684" s="51" t="n">
        <v>45762</v>
      </c>
      <c r="C1684" s="50" t="s">
        <v>174</v>
      </c>
      <c r="D1684" s="50" t="s">
        <v>2187</v>
      </c>
      <c r="E1684" s="50" t="n">
        <v>8</v>
      </c>
      <c r="F1684" s="50" t="s">
        <v>2167</v>
      </c>
      <c r="G1684" s="54" t="n">
        <v>2835500</v>
      </c>
    </row>
    <row r="1685" customFormat="false" ht="15" hidden="false" customHeight="false" outlineLevel="0" collapsed="false">
      <c r="A1685" s="50" t="s">
        <v>751</v>
      </c>
      <c r="B1685" s="51" t="n">
        <v>45762</v>
      </c>
      <c r="C1685" s="50" t="s">
        <v>174</v>
      </c>
      <c r="D1685" s="50" t="s">
        <v>2182</v>
      </c>
      <c r="E1685" s="50" t="n">
        <v>1</v>
      </c>
      <c r="F1685" s="50" t="s">
        <v>2174</v>
      </c>
      <c r="G1685" s="54" t="n">
        <v>974600</v>
      </c>
    </row>
    <row r="1686" customFormat="false" ht="15" hidden="false" customHeight="false" outlineLevel="0" collapsed="false">
      <c r="A1686" s="50" t="s">
        <v>752</v>
      </c>
      <c r="B1686" s="51" t="n">
        <v>45762</v>
      </c>
      <c r="C1686" s="50" t="s">
        <v>188</v>
      </c>
      <c r="D1686" s="50" t="s">
        <v>2188</v>
      </c>
      <c r="E1686" s="50" t="n">
        <v>3</v>
      </c>
      <c r="F1686" s="50" t="s">
        <v>2167</v>
      </c>
      <c r="G1686" s="54" t="n">
        <v>3018600</v>
      </c>
    </row>
    <row r="1687" customFormat="false" ht="15" hidden="false" customHeight="false" outlineLevel="0" collapsed="false">
      <c r="A1687" s="50" t="s">
        <v>752</v>
      </c>
      <c r="B1687" s="51" t="n">
        <v>45762</v>
      </c>
      <c r="C1687" s="50" t="s">
        <v>188</v>
      </c>
      <c r="D1687" s="50" t="s">
        <v>2172</v>
      </c>
      <c r="E1687" s="50" t="n">
        <v>3</v>
      </c>
      <c r="F1687" s="50" t="s">
        <v>2167</v>
      </c>
      <c r="G1687" s="54" t="n">
        <v>1521300</v>
      </c>
    </row>
    <row r="1688" customFormat="false" ht="15" hidden="false" customHeight="false" outlineLevel="0" collapsed="false">
      <c r="A1688" s="50" t="s">
        <v>752</v>
      </c>
      <c r="B1688" s="51" t="n">
        <v>45762</v>
      </c>
      <c r="C1688" s="50" t="s">
        <v>188</v>
      </c>
      <c r="D1688" s="50" t="s">
        <v>2182</v>
      </c>
      <c r="E1688" s="50" t="n">
        <v>4</v>
      </c>
      <c r="F1688" s="50" t="s">
        <v>2174</v>
      </c>
      <c r="G1688" s="54" t="n">
        <v>3892400</v>
      </c>
    </row>
    <row r="1689" customFormat="false" ht="15" hidden="false" customHeight="false" outlineLevel="0" collapsed="false">
      <c r="A1689" s="50" t="s">
        <v>752</v>
      </c>
      <c r="B1689" s="51" t="n">
        <v>45762</v>
      </c>
      <c r="C1689" s="50" t="s">
        <v>188</v>
      </c>
      <c r="D1689" s="50" t="s">
        <v>2168</v>
      </c>
      <c r="E1689" s="50" t="n">
        <v>3</v>
      </c>
      <c r="F1689" s="50" t="s">
        <v>2167</v>
      </c>
      <c r="G1689" s="54" t="n">
        <v>1329100</v>
      </c>
    </row>
    <row r="1690" customFormat="false" ht="15" hidden="false" customHeight="false" outlineLevel="0" collapsed="false">
      <c r="A1690" s="50" t="s">
        <v>752</v>
      </c>
      <c r="B1690" s="51" t="n">
        <v>45762</v>
      </c>
      <c r="C1690" s="50" t="s">
        <v>188</v>
      </c>
      <c r="D1690" s="50" t="s">
        <v>2181</v>
      </c>
      <c r="E1690" s="50" t="n">
        <v>4</v>
      </c>
      <c r="F1690" s="50" t="s">
        <v>2167</v>
      </c>
      <c r="G1690" s="54" t="n">
        <v>4711400</v>
      </c>
    </row>
    <row r="1691" customFormat="false" ht="15" hidden="false" customHeight="false" outlineLevel="0" collapsed="false">
      <c r="A1691" s="50" t="s">
        <v>753</v>
      </c>
      <c r="B1691" s="51" t="n">
        <v>45762</v>
      </c>
      <c r="C1691" s="50" t="s">
        <v>289</v>
      </c>
      <c r="D1691" s="50" t="s">
        <v>2173</v>
      </c>
      <c r="E1691" s="50" t="n">
        <v>2</v>
      </c>
      <c r="F1691" s="50" t="s">
        <v>2174</v>
      </c>
      <c r="G1691" s="54" t="n">
        <v>1554800</v>
      </c>
    </row>
    <row r="1692" customFormat="false" ht="15" hidden="false" customHeight="false" outlineLevel="0" collapsed="false">
      <c r="A1692" s="50" t="s">
        <v>753</v>
      </c>
      <c r="B1692" s="51" t="n">
        <v>45762</v>
      </c>
      <c r="C1692" s="50" t="s">
        <v>289</v>
      </c>
      <c r="D1692" s="50" t="s">
        <v>2184</v>
      </c>
      <c r="E1692" s="50" t="n">
        <v>4</v>
      </c>
      <c r="F1692" s="50" t="s">
        <v>2167</v>
      </c>
      <c r="G1692" s="54" t="n">
        <v>2310100</v>
      </c>
    </row>
    <row r="1693" customFormat="false" ht="15" hidden="false" customHeight="false" outlineLevel="0" collapsed="false">
      <c r="A1693" s="50" t="s">
        <v>754</v>
      </c>
      <c r="B1693" s="51" t="n">
        <v>45762</v>
      </c>
      <c r="C1693" s="50" t="s">
        <v>566</v>
      </c>
      <c r="D1693" s="50" t="s">
        <v>2168</v>
      </c>
      <c r="E1693" s="50" t="n">
        <v>7</v>
      </c>
      <c r="F1693" s="50" t="s">
        <v>2167</v>
      </c>
      <c r="G1693" s="54" t="n">
        <v>2974900</v>
      </c>
    </row>
    <row r="1694" customFormat="false" ht="15" hidden="false" customHeight="false" outlineLevel="0" collapsed="false">
      <c r="A1694" s="50" t="s">
        <v>754</v>
      </c>
      <c r="B1694" s="51" t="n">
        <v>45762</v>
      </c>
      <c r="C1694" s="50" t="s">
        <v>566</v>
      </c>
      <c r="D1694" s="50" t="s">
        <v>2180</v>
      </c>
      <c r="E1694" s="50" t="n">
        <v>5</v>
      </c>
      <c r="F1694" s="50" t="s">
        <v>2167</v>
      </c>
      <c r="G1694" s="54" t="n">
        <v>2251400</v>
      </c>
    </row>
    <row r="1695" customFormat="false" ht="15" hidden="false" customHeight="false" outlineLevel="0" collapsed="false">
      <c r="A1695" s="50" t="s">
        <v>754</v>
      </c>
      <c r="B1695" s="51" t="n">
        <v>45762</v>
      </c>
      <c r="C1695" s="50" t="s">
        <v>566</v>
      </c>
      <c r="D1695" s="50" t="s">
        <v>2172</v>
      </c>
      <c r="E1695" s="50" t="n">
        <v>8</v>
      </c>
      <c r="F1695" s="50" t="s">
        <v>2167</v>
      </c>
      <c r="G1695" s="54" t="n">
        <v>4265800</v>
      </c>
    </row>
    <row r="1696" customFormat="false" ht="15" hidden="false" customHeight="false" outlineLevel="0" collapsed="false">
      <c r="A1696" s="50" t="s">
        <v>755</v>
      </c>
      <c r="B1696" s="51" t="n">
        <v>45762</v>
      </c>
      <c r="C1696" s="50" t="s">
        <v>191</v>
      </c>
      <c r="D1696" s="50" t="s">
        <v>2169</v>
      </c>
      <c r="E1696" s="50" t="n">
        <v>3</v>
      </c>
      <c r="F1696" s="50" t="s">
        <v>2167</v>
      </c>
      <c r="G1696" s="54" t="n">
        <v>1820500</v>
      </c>
    </row>
    <row r="1697" customFormat="false" ht="15" hidden="false" customHeight="false" outlineLevel="0" collapsed="false">
      <c r="A1697" s="50" t="s">
        <v>755</v>
      </c>
      <c r="B1697" s="51" t="n">
        <v>45762</v>
      </c>
      <c r="C1697" s="50" t="s">
        <v>191</v>
      </c>
      <c r="D1697" s="50" t="s">
        <v>2184</v>
      </c>
      <c r="E1697" s="50" t="n">
        <v>7</v>
      </c>
      <c r="F1697" s="50" t="s">
        <v>2167</v>
      </c>
      <c r="G1697" s="54" t="n">
        <v>4049900</v>
      </c>
    </row>
    <row r="1698" customFormat="false" ht="15" hidden="false" customHeight="false" outlineLevel="0" collapsed="false">
      <c r="A1698" s="50" t="s">
        <v>755</v>
      </c>
      <c r="B1698" s="51" t="n">
        <v>45762</v>
      </c>
      <c r="C1698" s="50" t="s">
        <v>191</v>
      </c>
      <c r="D1698" s="50" t="s">
        <v>2185</v>
      </c>
      <c r="E1698" s="50" t="n">
        <v>1</v>
      </c>
      <c r="F1698" s="50" t="s">
        <v>2174</v>
      </c>
      <c r="G1698" s="54" t="n">
        <v>789500</v>
      </c>
    </row>
    <row r="1699" customFormat="false" ht="15" hidden="false" customHeight="false" outlineLevel="0" collapsed="false">
      <c r="A1699" s="50" t="s">
        <v>756</v>
      </c>
      <c r="B1699" s="51" t="n">
        <v>45762</v>
      </c>
      <c r="C1699" s="50" t="s">
        <v>280</v>
      </c>
      <c r="D1699" s="50" t="s">
        <v>2184</v>
      </c>
      <c r="E1699" s="50" t="n">
        <v>8</v>
      </c>
      <c r="F1699" s="50" t="s">
        <v>2167</v>
      </c>
      <c r="G1699" s="54" t="n">
        <v>4652800</v>
      </c>
    </row>
    <row r="1700" customFormat="false" ht="15" hidden="false" customHeight="false" outlineLevel="0" collapsed="false">
      <c r="A1700" s="50" t="s">
        <v>756</v>
      </c>
      <c r="B1700" s="51" t="n">
        <v>45762</v>
      </c>
      <c r="C1700" s="50" t="s">
        <v>280</v>
      </c>
      <c r="D1700" s="50" t="s">
        <v>2173</v>
      </c>
      <c r="E1700" s="50" t="n">
        <v>5</v>
      </c>
      <c r="F1700" s="50" t="s">
        <v>2174</v>
      </c>
      <c r="G1700" s="54" t="n">
        <v>4064000</v>
      </c>
    </row>
    <row r="1701" customFormat="false" ht="15" hidden="false" customHeight="false" outlineLevel="0" collapsed="false">
      <c r="A1701" s="50" t="s">
        <v>756</v>
      </c>
      <c r="B1701" s="51" t="n">
        <v>45762</v>
      </c>
      <c r="C1701" s="50" t="s">
        <v>280</v>
      </c>
      <c r="D1701" s="50" t="s">
        <v>2179</v>
      </c>
      <c r="E1701" s="50" t="n">
        <v>5</v>
      </c>
      <c r="F1701" s="50" t="s">
        <v>2174</v>
      </c>
      <c r="G1701" s="54" t="n">
        <v>6408100</v>
      </c>
    </row>
    <row r="1702" customFormat="false" ht="15" hidden="false" customHeight="false" outlineLevel="0" collapsed="false">
      <c r="A1702" s="50" t="s">
        <v>757</v>
      </c>
      <c r="B1702" s="51" t="n">
        <v>45763</v>
      </c>
      <c r="C1702" s="50" t="s">
        <v>419</v>
      </c>
      <c r="D1702" s="50" t="s">
        <v>2176</v>
      </c>
      <c r="E1702" s="50" t="n">
        <v>4</v>
      </c>
      <c r="F1702" s="50" t="s">
        <v>2167</v>
      </c>
      <c r="G1702" s="54" t="n">
        <v>1708300</v>
      </c>
    </row>
    <row r="1703" customFormat="false" ht="15" hidden="false" customHeight="false" outlineLevel="0" collapsed="false">
      <c r="A1703" s="50" t="s">
        <v>757</v>
      </c>
      <c r="B1703" s="51" t="n">
        <v>45763</v>
      </c>
      <c r="C1703" s="50" t="s">
        <v>419</v>
      </c>
      <c r="D1703" s="50" t="s">
        <v>2180</v>
      </c>
      <c r="E1703" s="50" t="n">
        <v>4</v>
      </c>
      <c r="F1703" s="50" t="s">
        <v>2167</v>
      </c>
      <c r="G1703" s="54" t="n">
        <v>1842000</v>
      </c>
    </row>
    <row r="1704" customFormat="false" ht="15" hidden="false" customHeight="false" outlineLevel="0" collapsed="false">
      <c r="A1704" s="50" t="s">
        <v>757</v>
      </c>
      <c r="B1704" s="51" t="n">
        <v>45763</v>
      </c>
      <c r="C1704" s="50" t="s">
        <v>419</v>
      </c>
      <c r="D1704" s="50" t="s">
        <v>2179</v>
      </c>
      <c r="E1704" s="50" t="n">
        <v>8</v>
      </c>
      <c r="F1704" s="50" t="s">
        <v>2174</v>
      </c>
      <c r="G1704" s="54" t="n">
        <v>10132600</v>
      </c>
    </row>
    <row r="1705" customFormat="false" ht="15" hidden="false" customHeight="false" outlineLevel="0" collapsed="false">
      <c r="A1705" s="50" t="s">
        <v>757</v>
      </c>
      <c r="B1705" s="51" t="n">
        <v>45763</v>
      </c>
      <c r="C1705" s="50" t="s">
        <v>419</v>
      </c>
      <c r="D1705" s="50" t="s">
        <v>2188</v>
      </c>
      <c r="E1705" s="50" t="n">
        <v>2</v>
      </c>
      <c r="F1705" s="50" t="s">
        <v>2167</v>
      </c>
      <c r="G1705" s="54" t="n">
        <v>1897400</v>
      </c>
    </row>
    <row r="1706" customFormat="false" ht="15" hidden="false" customHeight="false" outlineLevel="0" collapsed="false">
      <c r="A1706" s="50" t="s">
        <v>758</v>
      </c>
      <c r="B1706" s="51" t="n">
        <v>45763</v>
      </c>
      <c r="C1706" s="50" t="s">
        <v>174</v>
      </c>
      <c r="D1706" s="50" t="s">
        <v>2168</v>
      </c>
      <c r="E1706" s="50" t="n">
        <v>2</v>
      </c>
      <c r="F1706" s="50" t="s">
        <v>2167</v>
      </c>
      <c r="G1706" s="54" t="n">
        <v>873800</v>
      </c>
    </row>
    <row r="1707" customFormat="false" ht="15" hidden="false" customHeight="false" outlineLevel="0" collapsed="false">
      <c r="A1707" s="50" t="s">
        <v>758</v>
      </c>
      <c r="B1707" s="51" t="n">
        <v>45763</v>
      </c>
      <c r="C1707" s="50" t="s">
        <v>174</v>
      </c>
      <c r="D1707" s="50" t="s">
        <v>2172</v>
      </c>
      <c r="E1707" s="50" t="n">
        <v>6</v>
      </c>
      <c r="F1707" s="50" t="s">
        <v>2167</v>
      </c>
      <c r="G1707" s="54" t="n">
        <v>3147200</v>
      </c>
    </row>
    <row r="1708" customFormat="false" ht="15" hidden="false" customHeight="false" outlineLevel="0" collapsed="false">
      <c r="A1708" s="50" t="s">
        <v>758</v>
      </c>
      <c r="B1708" s="51" t="n">
        <v>45763</v>
      </c>
      <c r="C1708" s="50" t="s">
        <v>174</v>
      </c>
      <c r="D1708" s="50" t="s">
        <v>2185</v>
      </c>
      <c r="E1708" s="50" t="n">
        <v>7</v>
      </c>
      <c r="F1708" s="50" t="s">
        <v>2174</v>
      </c>
      <c r="G1708" s="54" t="n">
        <v>5611300</v>
      </c>
    </row>
    <row r="1709" customFormat="false" ht="15" hidden="false" customHeight="false" outlineLevel="0" collapsed="false">
      <c r="A1709" s="50" t="s">
        <v>759</v>
      </c>
      <c r="B1709" s="51" t="n">
        <v>45763</v>
      </c>
      <c r="C1709" s="50" t="s">
        <v>395</v>
      </c>
      <c r="D1709" s="50" t="s">
        <v>2180</v>
      </c>
      <c r="E1709" s="50" t="n">
        <v>2</v>
      </c>
      <c r="F1709" s="50" t="s">
        <v>2167</v>
      </c>
      <c r="G1709" s="54" t="n">
        <v>910900</v>
      </c>
    </row>
    <row r="1710" customFormat="false" ht="15" hidden="false" customHeight="false" outlineLevel="0" collapsed="false">
      <c r="A1710" s="50" t="s">
        <v>759</v>
      </c>
      <c r="B1710" s="51" t="n">
        <v>45763</v>
      </c>
      <c r="C1710" s="50" t="s">
        <v>395</v>
      </c>
      <c r="D1710" s="50" t="s">
        <v>2185</v>
      </c>
      <c r="E1710" s="50" t="n">
        <v>7</v>
      </c>
      <c r="F1710" s="50" t="s">
        <v>2174</v>
      </c>
      <c r="G1710" s="54" t="n">
        <v>5370600</v>
      </c>
    </row>
    <row r="1711" customFormat="false" ht="15" hidden="false" customHeight="false" outlineLevel="0" collapsed="false">
      <c r="A1711" s="50" t="s">
        <v>760</v>
      </c>
      <c r="B1711" s="51" t="n">
        <v>45763</v>
      </c>
      <c r="C1711" s="50" t="s">
        <v>170</v>
      </c>
      <c r="D1711" s="50" t="s">
        <v>2181</v>
      </c>
      <c r="E1711" s="50" t="n">
        <v>8</v>
      </c>
      <c r="F1711" s="50" t="s">
        <v>2167</v>
      </c>
      <c r="G1711" s="54" t="n">
        <v>8945100</v>
      </c>
    </row>
    <row r="1712" customFormat="false" ht="15" hidden="false" customHeight="false" outlineLevel="0" collapsed="false">
      <c r="A1712" s="50" t="s">
        <v>760</v>
      </c>
      <c r="B1712" s="51" t="n">
        <v>45763</v>
      </c>
      <c r="C1712" s="50" t="s">
        <v>170</v>
      </c>
      <c r="D1712" s="50" t="s">
        <v>2178</v>
      </c>
      <c r="E1712" s="50" t="n">
        <v>4</v>
      </c>
      <c r="F1712" s="50" t="s">
        <v>2167</v>
      </c>
      <c r="G1712" s="54" t="n">
        <v>1861800</v>
      </c>
    </row>
    <row r="1713" customFormat="false" ht="15" hidden="false" customHeight="false" outlineLevel="0" collapsed="false">
      <c r="A1713" s="50" t="s">
        <v>760</v>
      </c>
      <c r="B1713" s="51" t="n">
        <v>45763</v>
      </c>
      <c r="C1713" s="50" t="s">
        <v>170</v>
      </c>
      <c r="D1713" s="50" t="s">
        <v>2169</v>
      </c>
      <c r="E1713" s="50" t="n">
        <v>8</v>
      </c>
      <c r="F1713" s="50" t="s">
        <v>2167</v>
      </c>
      <c r="G1713" s="54" t="n">
        <v>4771700</v>
      </c>
    </row>
    <row r="1714" customFormat="false" ht="15" hidden="false" customHeight="false" outlineLevel="0" collapsed="false">
      <c r="A1714" s="50" t="s">
        <v>760</v>
      </c>
      <c r="B1714" s="51" t="n">
        <v>45763</v>
      </c>
      <c r="C1714" s="50" t="s">
        <v>170</v>
      </c>
      <c r="D1714" s="50" t="s">
        <v>2176</v>
      </c>
      <c r="E1714" s="50" t="n">
        <v>5</v>
      </c>
      <c r="F1714" s="50" t="s">
        <v>2167</v>
      </c>
      <c r="G1714" s="54" t="n">
        <v>2165800</v>
      </c>
    </row>
    <row r="1715" customFormat="false" ht="15" hidden="false" customHeight="false" outlineLevel="0" collapsed="false">
      <c r="A1715" s="50" t="s">
        <v>761</v>
      </c>
      <c r="B1715" s="51" t="n">
        <v>45763</v>
      </c>
      <c r="C1715" s="50" t="s">
        <v>174</v>
      </c>
      <c r="D1715" s="50" t="s">
        <v>2176</v>
      </c>
      <c r="E1715" s="50" t="n">
        <v>4</v>
      </c>
      <c r="F1715" s="50" t="s">
        <v>2167</v>
      </c>
      <c r="G1715" s="54" t="n">
        <v>1641200</v>
      </c>
    </row>
    <row r="1716" customFormat="false" ht="15" hidden="false" customHeight="false" outlineLevel="0" collapsed="false">
      <c r="A1716" s="50" t="s">
        <v>761</v>
      </c>
      <c r="B1716" s="51" t="n">
        <v>45763</v>
      </c>
      <c r="C1716" s="50" t="s">
        <v>174</v>
      </c>
      <c r="D1716" s="50" t="s">
        <v>2169</v>
      </c>
      <c r="E1716" s="50" t="n">
        <v>5</v>
      </c>
      <c r="F1716" s="50" t="s">
        <v>2167</v>
      </c>
      <c r="G1716" s="54" t="n">
        <v>3041300</v>
      </c>
    </row>
    <row r="1717" customFormat="false" ht="15" hidden="false" customHeight="false" outlineLevel="0" collapsed="false">
      <c r="A1717" s="50" t="s">
        <v>761</v>
      </c>
      <c r="B1717" s="51" t="n">
        <v>45763</v>
      </c>
      <c r="C1717" s="50" t="s">
        <v>174</v>
      </c>
      <c r="D1717" s="50" t="s">
        <v>2183</v>
      </c>
      <c r="E1717" s="50" t="n">
        <v>1</v>
      </c>
      <c r="F1717" s="50" t="s">
        <v>2167</v>
      </c>
      <c r="G1717" s="54" t="n">
        <v>381400</v>
      </c>
    </row>
    <row r="1718" customFormat="false" ht="15" hidden="false" customHeight="false" outlineLevel="0" collapsed="false">
      <c r="A1718" s="50" t="s">
        <v>761</v>
      </c>
      <c r="B1718" s="51" t="n">
        <v>45763</v>
      </c>
      <c r="C1718" s="50" t="s">
        <v>174</v>
      </c>
      <c r="D1718" s="50" t="s">
        <v>2178</v>
      </c>
      <c r="E1718" s="50" t="n">
        <v>6</v>
      </c>
      <c r="F1718" s="50" t="s">
        <v>2167</v>
      </c>
      <c r="G1718" s="54" t="n">
        <v>2973900</v>
      </c>
    </row>
    <row r="1719" customFormat="false" ht="15" hidden="false" customHeight="false" outlineLevel="0" collapsed="false">
      <c r="A1719" s="50" t="s">
        <v>762</v>
      </c>
      <c r="B1719" s="51" t="n">
        <v>45763</v>
      </c>
      <c r="C1719" s="50" t="s">
        <v>317</v>
      </c>
      <c r="D1719" s="50" t="s">
        <v>2180</v>
      </c>
      <c r="E1719" s="50" t="n">
        <v>6</v>
      </c>
      <c r="F1719" s="50" t="s">
        <v>2167</v>
      </c>
      <c r="G1719" s="54" t="n">
        <v>2679300</v>
      </c>
    </row>
    <row r="1720" customFormat="false" ht="15" hidden="false" customHeight="false" outlineLevel="0" collapsed="false">
      <c r="A1720" s="50" t="s">
        <v>762</v>
      </c>
      <c r="B1720" s="51" t="n">
        <v>45763</v>
      </c>
      <c r="C1720" s="50" t="s">
        <v>317</v>
      </c>
      <c r="D1720" s="50" t="s">
        <v>2187</v>
      </c>
      <c r="E1720" s="50" t="n">
        <v>6</v>
      </c>
      <c r="F1720" s="50" t="s">
        <v>2167</v>
      </c>
      <c r="G1720" s="54" t="n">
        <v>2183300</v>
      </c>
    </row>
    <row r="1721" customFormat="false" ht="15" hidden="false" customHeight="false" outlineLevel="0" collapsed="false">
      <c r="A1721" s="50" t="s">
        <v>762</v>
      </c>
      <c r="B1721" s="51" t="n">
        <v>45763</v>
      </c>
      <c r="C1721" s="50" t="s">
        <v>317</v>
      </c>
      <c r="D1721" s="50" t="s">
        <v>2172</v>
      </c>
      <c r="E1721" s="50" t="n">
        <v>8</v>
      </c>
      <c r="F1721" s="50" t="s">
        <v>2167</v>
      </c>
      <c r="G1721" s="54" t="n">
        <v>4236000</v>
      </c>
    </row>
    <row r="1722" customFormat="false" ht="15" hidden="false" customHeight="false" outlineLevel="0" collapsed="false">
      <c r="A1722" s="50" t="s">
        <v>762</v>
      </c>
      <c r="B1722" s="51" t="n">
        <v>45763</v>
      </c>
      <c r="C1722" s="50" t="s">
        <v>317</v>
      </c>
      <c r="D1722" s="50" t="s">
        <v>2186</v>
      </c>
      <c r="E1722" s="50" t="n">
        <v>7</v>
      </c>
      <c r="F1722" s="50" t="s">
        <v>2167</v>
      </c>
      <c r="G1722" s="54" t="n">
        <v>4278200</v>
      </c>
    </row>
    <row r="1723" customFormat="false" ht="15" hidden="false" customHeight="false" outlineLevel="0" collapsed="false">
      <c r="A1723" s="50" t="s">
        <v>763</v>
      </c>
      <c r="B1723" s="51" t="n">
        <v>45763</v>
      </c>
      <c r="C1723" s="50" t="s">
        <v>168</v>
      </c>
      <c r="D1723" s="50" t="s">
        <v>2176</v>
      </c>
      <c r="E1723" s="50" t="n">
        <v>5</v>
      </c>
      <c r="F1723" s="50" t="s">
        <v>2167</v>
      </c>
      <c r="G1723" s="54" t="n">
        <v>2119800</v>
      </c>
    </row>
    <row r="1724" customFormat="false" ht="15" hidden="false" customHeight="false" outlineLevel="0" collapsed="false">
      <c r="A1724" s="50" t="s">
        <v>763</v>
      </c>
      <c r="B1724" s="51" t="n">
        <v>45763</v>
      </c>
      <c r="C1724" s="50" t="s">
        <v>168</v>
      </c>
      <c r="D1724" s="50" t="s">
        <v>2169</v>
      </c>
      <c r="E1724" s="50" t="n">
        <v>5</v>
      </c>
      <c r="F1724" s="50" t="s">
        <v>2167</v>
      </c>
      <c r="G1724" s="54" t="n">
        <v>3039600</v>
      </c>
    </row>
    <row r="1725" customFormat="false" ht="15" hidden="false" customHeight="false" outlineLevel="0" collapsed="false">
      <c r="A1725" s="50" t="s">
        <v>763</v>
      </c>
      <c r="B1725" s="51" t="n">
        <v>45763</v>
      </c>
      <c r="C1725" s="50" t="s">
        <v>168</v>
      </c>
      <c r="D1725" s="50" t="s">
        <v>2185</v>
      </c>
      <c r="E1725" s="50" t="n">
        <v>6</v>
      </c>
      <c r="F1725" s="50" t="s">
        <v>2174</v>
      </c>
      <c r="G1725" s="54" t="n">
        <v>4814900</v>
      </c>
    </row>
    <row r="1726" customFormat="false" ht="15" hidden="false" customHeight="false" outlineLevel="0" collapsed="false">
      <c r="A1726" s="50" t="s">
        <v>763</v>
      </c>
      <c r="B1726" s="51" t="n">
        <v>45763</v>
      </c>
      <c r="C1726" s="50" t="s">
        <v>168</v>
      </c>
      <c r="D1726" s="50" t="s">
        <v>2181</v>
      </c>
      <c r="E1726" s="50" t="n">
        <v>4</v>
      </c>
      <c r="F1726" s="50" t="s">
        <v>2167</v>
      </c>
      <c r="G1726" s="54" t="n">
        <v>4663300</v>
      </c>
    </row>
    <row r="1727" customFormat="false" ht="15" hidden="false" customHeight="false" outlineLevel="0" collapsed="false">
      <c r="A1727" s="50" t="s">
        <v>763</v>
      </c>
      <c r="B1727" s="51" t="n">
        <v>45763</v>
      </c>
      <c r="C1727" s="50" t="s">
        <v>168</v>
      </c>
      <c r="D1727" s="50" t="s">
        <v>2186</v>
      </c>
      <c r="E1727" s="50" t="n">
        <v>1</v>
      </c>
      <c r="F1727" s="50" t="s">
        <v>2167</v>
      </c>
      <c r="G1727" s="54" t="n">
        <v>569300</v>
      </c>
    </row>
    <row r="1728" customFormat="false" ht="15" hidden="false" customHeight="false" outlineLevel="0" collapsed="false">
      <c r="A1728" s="50" t="s">
        <v>763</v>
      </c>
      <c r="B1728" s="51" t="n">
        <v>45763</v>
      </c>
      <c r="C1728" s="50" t="s">
        <v>168</v>
      </c>
      <c r="D1728" s="50" t="s">
        <v>2172</v>
      </c>
      <c r="E1728" s="50" t="n">
        <v>3</v>
      </c>
      <c r="F1728" s="50" t="s">
        <v>2167</v>
      </c>
      <c r="G1728" s="54" t="n">
        <v>1599300</v>
      </c>
    </row>
    <row r="1729" customFormat="false" ht="15" hidden="false" customHeight="false" outlineLevel="0" collapsed="false">
      <c r="A1729" s="50" t="s">
        <v>763</v>
      </c>
      <c r="B1729" s="51" t="n">
        <v>45763</v>
      </c>
      <c r="C1729" s="50" t="s">
        <v>168</v>
      </c>
      <c r="D1729" s="50" t="s">
        <v>2182</v>
      </c>
      <c r="E1729" s="50" t="n">
        <v>5</v>
      </c>
      <c r="F1729" s="50" t="s">
        <v>2174</v>
      </c>
      <c r="G1729" s="54" t="n">
        <v>4922100</v>
      </c>
    </row>
    <row r="1730" customFormat="false" ht="15" hidden="false" customHeight="false" outlineLevel="0" collapsed="false">
      <c r="A1730" s="50" t="s">
        <v>763</v>
      </c>
      <c r="B1730" s="51" t="n">
        <v>45763</v>
      </c>
      <c r="C1730" s="50" t="s">
        <v>168</v>
      </c>
      <c r="D1730" s="50" t="s">
        <v>2187</v>
      </c>
      <c r="E1730" s="50" t="n">
        <v>3</v>
      </c>
      <c r="F1730" s="50" t="s">
        <v>2167</v>
      </c>
      <c r="G1730" s="54" t="n">
        <v>1071100</v>
      </c>
    </row>
    <row r="1731" customFormat="false" ht="15" hidden="false" customHeight="false" outlineLevel="0" collapsed="false">
      <c r="A1731" s="50" t="s">
        <v>764</v>
      </c>
      <c r="B1731" s="51" t="n">
        <v>45763</v>
      </c>
      <c r="C1731" s="50" t="s">
        <v>467</v>
      </c>
      <c r="D1731" s="50" t="s">
        <v>2183</v>
      </c>
      <c r="E1731" s="50" t="n">
        <v>3</v>
      </c>
      <c r="F1731" s="50" t="s">
        <v>2167</v>
      </c>
      <c r="G1731" s="54" t="n">
        <v>1167500</v>
      </c>
    </row>
    <row r="1732" customFormat="false" ht="15" hidden="false" customHeight="false" outlineLevel="0" collapsed="false">
      <c r="A1732" s="50" t="s">
        <v>764</v>
      </c>
      <c r="B1732" s="51" t="n">
        <v>45763</v>
      </c>
      <c r="C1732" s="50" t="s">
        <v>467</v>
      </c>
      <c r="D1732" s="50" t="s">
        <v>2181</v>
      </c>
      <c r="E1732" s="50" t="n">
        <v>1</v>
      </c>
      <c r="F1732" s="50" t="s">
        <v>2167</v>
      </c>
      <c r="G1732" s="54" t="n">
        <v>1173700</v>
      </c>
    </row>
    <row r="1733" customFormat="false" ht="15" hidden="false" customHeight="false" outlineLevel="0" collapsed="false">
      <c r="A1733" s="50" t="s">
        <v>764</v>
      </c>
      <c r="B1733" s="51" t="n">
        <v>45763</v>
      </c>
      <c r="C1733" s="50" t="s">
        <v>467</v>
      </c>
      <c r="D1733" s="50" t="s">
        <v>2184</v>
      </c>
      <c r="E1733" s="50" t="n">
        <v>6</v>
      </c>
      <c r="F1733" s="50" t="s">
        <v>2167</v>
      </c>
      <c r="G1733" s="54" t="n">
        <v>3385700</v>
      </c>
    </row>
    <row r="1734" customFormat="false" ht="15" hidden="false" customHeight="false" outlineLevel="0" collapsed="false">
      <c r="A1734" s="50" t="s">
        <v>764</v>
      </c>
      <c r="B1734" s="51" t="n">
        <v>45763</v>
      </c>
      <c r="C1734" s="50" t="s">
        <v>467</v>
      </c>
      <c r="D1734" s="50" t="s">
        <v>2185</v>
      </c>
      <c r="E1734" s="50" t="n">
        <v>2</v>
      </c>
      <c r="F1734" s="50" t="s">
        <v>2174</v>
      </c>
      <c r="G1734" s="54" t="n">
        <v>1585300</v>
      </c>
    </row>
    <row r="1735" customFormat="false" ht="15" hidden="false" customHeight="false" outlineLevel="0" collapsed="false">
      <c r="A1735" s="50" t="s">
        <v>764</v>
      </c>
      <c r="B1735" s="51" t="n">
        <v>45763</v>
      </c>
      <c r="C1735" s="50" t="s">
        <v>467</v>
      </c>
      <c r="D1735" s="50" t="s">
        <v>2173</v>
      </c>
      <c r="E1735" s="50" t="n">
        <v>3</v>
      </c>
      <c r="F1735" s="50" t="s">
        <v>2174</v>
      </c>
      <c r="G1735" s="54" t="n">
        <v>2493000</v>
      </c>
    </row>
    <row r="1736" customFormat="false" ht="15" hidden="false" customHeight="false" outlineLevel="0" collapsed="false">
      <c r="A1736" s="50" t="s">
        <v>765</v>
      </c>
      <c r="B1736" s="51" t="n">
        <v>45764</v>
      </c>
      <c r="C1736" s="50" t="s">
        <v>766</v>
      </c>
      <c r="D1736" s="50" t="s">
        <v>2179</v>
      </c>
      <c r="E1736" s="50" t="n">
        <v>3</v>
      </c>
      <c r="F1736" s="50" t="s">
        <v>2174</v>
      </c>
      <c r="G1736" s="54" t="n">
        <v>3863300</v>
      </c>
    </row>
    <row r="1737" customFormat="false" ht="15" hidden="false" customHeight="false" outlineLevel="0" collapsed="false">
      <c r="A1737" s="50" t="s">
        <v>765</v>
      </c>
      <c r="B1737" s="51" t="n">
        <v>45764</v>
      </c>
      <c r="C1737" s="50" t="s">
        <v>766</v>
      </c>
      <c r="D1737" s="50" t="s">
        <v>2187</v>
      </c>
      <c r="E1737" s="50" t="n">
        <v>1</v>
      </c>
      <c r="F1737" s="50" t="s">
        <v>2167</v>
      </c>
      <c r="G1737" s="54" t="n">
        <v>362700</v>
      </c>
    </row>
    <row r="1738" customFormat="false" ht="15" hidden="false" customHeight="false" outlineLevel="0" collapsed="false">
      <c r="A1738" s="50" t="s">
        <v>765</v>
      </c>
      <c r="B1738" s="51" t="n">
        <v>45764</v>
      </c>
      <c r="C1738" s="50" t="s">
        <v>766</v>
      </c>
      <c r="D1738" s="50" t="s">
        <v>2168</v>
      </c>
      <c r="E1738" s="50" t="n">
        <v>2</v>
      </c>
      <c r="F1738" s="50" t="s">
        <v>2167</v>
      </c>
      <c r="G1738" s="54" t="n">
        <v>844300</v>
      </c>
    </row>
    <row r="1739" customFormat="false" ht="15" hidden="false" customHeight="false" outlineLevel="0" collapsed="false">
      <c r="A1739" s="50" t="s">
        <v>767</v>
      </c>
      <c r="B1739" s="51" t="n">
        <v>45764</v>
      </c>
      <c r="C1739" s="50" t="s">
        <v>205</v>
      </c>
      <c r="D1739" s="50" t="s">
        <v>2173</v>
      </c>
      <c r="E1739" s="50" t="n">
        <v>7</v>
      </c>
      <c r="F1739" s="50" t="s">
        <v>2174</v>
      </c>
      <c r="G1739" s="54" t="n">
        <v>5466700</v>
      </c>
    </row>
    <row r="1740" customFormat="false" ht="15" hidden="false" customHeight="false" outlineLevel="0" collapsed="false">
      <c r="A1740" s="50" t="s">
        <v>767</v>
      </c>
      <c r="B1740" s="51" t="n">
        <v>45764</v>
      </c>
      <c r="C1740" s="50" t="s">
        <v>205</v>
      </c>
      <c r="D1740" s="50" t="s">
        <v>2181</v>
      </c>
      <c r="E1740" s="50" t="n">
        <v>2</v>
      </c>
      <c r="F1740" s="50" t="s">
        <v>2167</v>
      </c>
      <c r="G1740" s="54" t="n">
        <v>2385200</v>
      </c>
    </row>
    <row r="1741" customFormat="false" ht="15" hidden="false" customHeight="false" outlineLevel="0" collapsed="false">
      <c r="A1741" s="50" t="s">
        <v>767</v>
      </c>
      <c r="B1741" s="51" t="n">
        <v>45764</v>
      </c>
      <c r="C1741" s="50" t="s">
        <v>205</v>
      </c>
      <c r="D1741" s="50" t="s">
        <v>2180</v>
      </c>
      <c r="E1741" s="50" t="n">
        <v>6</v>
      </c>
      <c r="F1741" s="50" t="s">
        <v>2167</v>
      </c>
      <c r="G1741" s="54" t="n">
        <v>2636600</v>
      </c>
    </row>
    <row r="1742" customFormat="false" ht="15" hidden="false" customHeight="false" outlineLevel="0" collapsed="false">
      <c r="A1742" s="50" t="s">
        <v>768</v>
      </c>
      <c r="B1742" s="51" t="n">
        <v>45764</v>
      </c>
      <c r="C1742" s="50" t="s">
        <v>174</v>
      </c>
      <c r="D1742" s="50" t="s">
        <v>2175</v>
      </c>
      <c r="E1742" s="50" t="n">
        <v>4</v>
      </c>
      <c r="F1742" s="50" t="s">
        <v>2167</v>
      </c>
      <c r="G1742" s="54" t="n">
        <v>2644900</v>
      </c>
    </row>
    <row r="1743" customFormat="false" ht="15" hidden="false" customHeight="false" outlineLevel="0" collapsed="false">
      <c r="A1743" s="50" t="s">
        <v>768</v>
      </c>
      <c r="B1743" s="51" t="n">
        <v>45764</v>
      </c>
      <c r="C1743" s="50" t="s">
        <v>174</v>
      </c>
      <c r="D1743" s="50" t="s">
        <v>2181</v>
      </c>
      <c r="E1743" s="50" t="n">
        <v>6</v>
      </c>
      <c r="F1743" s="50" t="s">
        <v>2167</v>
      </c>
      <c r="G1743" s="54" t="n">
        <v>6872100</v>
      </c>
    </row>
    <row r="1744" customFormat="false" ht="15" hidden="false" customHeight="false" outlineLevel="0" collapsed="false">
      <c r="A1744" s="50" t="s">
        <v>769</v>
      </c>
      <c r="B1744" s="51" t="n">
        <v>45764</v>
      </c>
      <c r="C1744" s="50" t="s">
        <v>737</v>
      </c>
      <c r="D1744" s="50" t="s">
        <v>2173</v>
      </c>
      <c r="E1744" s="50" t="n">
        <v>3</v>
      </c>
      <c r="F1744" s="50" t="s">
        <v>2174</v>
      </c>
      <c r="G1744" s="54" t="n">
        <v>2364800</v>
      </c>
    </row>
    <row r="1745" customFormat="false" ht="15" hidden="false" customHeight="false" outlineLevel="0" collapsed="false">
      <c r="A1745" s="50" t="s">
        <v>769</v>
      </c>
      <c r="B1745" s="51" t="n">
        <v>45764</v>
      </c>
      <c r="C1745" s="50" t="s">
        <v>737</v>
      </c>
      <c r="D1745" s="50" t="s">
        <v>2180</v>
      </c>
      <c r="E1745" s="50" t="n">
        <v>5</v>
      </c>
      <c r="F1745" s="50" t="s">
        <v>2167</v>
      </c>
      <c r="G1745" s="54" t="n">
        <v>2310400</v>
      </c>
    </row>
    <row r="1746" customFormat="false" ht="15" hidden="false" customHeight="false" outlineLevel="0" collapsed="false">
      <c r="A1746" s="50" t="s">
        <v>769</v>
      </c>
      <c r="B1746" s="51" t="n">
        <v>45764</v>
      </c>
      <c r="C1746" s="50" t="s">
        <v>737</v>
      </c>
      <c r="D1746" s="50" t="s">
        <v>2186</v>
      </c>
      <c r="E1746" s="50" t="n">
        <v>3</v>
      </c>
      <c r="F1746" s="50" t="s">
        <v>2167</v>
      </c>
      <c r="G1746" s="54" t="n">
        <v>1819700</v>
      </c>
    </row>
    <row r="1747" customFormat="false" ht="15" hidden="false" customHeight="false" outlineLevel="0" collapsed="false">
      <c r="A1747" s="50" t="s">
        <v>770</v>
      </c>
      <c r="B1747" s="51" t="n">
        <v>45764</v>
      </c>
      <c r="C1747" s="50" t="s">
        <v>571</v>
      </c>
      <c r="D1747" s="50" t="s">
        <v>2186</v>
      </c>
      <c r="E1747" s="50" t="n">
        <v>5</v>
      </c>
      <c r="F1747" s="50" t="s">
        <v>2167</v>
      </c>
      <c r="G1747" s="54" t="n">
        <v>3026900</v>
      </c>
    </row>
    <row r="1748" customFormat="false" ht="15" hidden="false" customHeight="false" outlineLevel="0" collapsed="false">
      <c r="A1748" s="50" t="s">
        <v>770</v>
      </c>
      <c r="B1748" s="51" t="n">
        <v>45764</v>
      </c>
      <c r="C1748" s="50" t="s">
        <v>571</v>
      </c>
      <c r="D1748" s="50" t="s">
        <v>2178</v>
      </c>
      <c r="E1748" s="50" t="n">
        <v>7</v>
      </c>
      <c r="F1748" s="50" t="s">
        <v>2167</v>
      </c>
      <c r="G1748" s="54" t="n">
        <v>3389000</v>
      </c>
    </row>
    <row r="1749" customFormat="false" ht="15" hidden="false" customHeight="false" outlineLevel="0" collapsed="false">
      <c r="A1749" s="50" t="s">
        <v>770</v>
      </c>
      <c r="B1749" s="51" t="n">
        <v>45764</v>
      </c>
      <c r="C1749" s="50" t="s">
        <v>571</v>
      </c>
      <c r="D1749" s="50" t="s">
        <v>2185</v>
      </c>
      <c r="E1749" s="50" t="n">
        <v>8</v>
      </c>
      <c r="F1749" s="50" t="s">
        <v>2174</v>
      </c>
      <c r="G1749" s="54" t="n">
        <v>6100900</v>
      </c>
    </row>
    <row r="1750" customFormat="false" ht="15" hidden="false" customHeight="false" outlineLevel="0" collapsed="false">
      <c r="A1750" s="50" t="s">
        <v>771</v>
      </c>
      <c r="B1750" s="51" t="n">
        <v>45764</v>
      </c>
      <c r="C1750" s="50" t="s">
        <v>213</v>
      </c>
      <c r="D1750" s="50" t="s">
        <v>2169</v>
      </c>
      <c r="E1750" s="50" t="n">
        <v>7</v>
      </c>
      <c r="F1750" s="50" t="s">
        <v>2167</v>
      </c>
      <c r="G1750" s="54" t="n">
        <v>4171100</v>
      </c>
    </row>
    <row r="1751" customFormat="false" ht="15" hidden="false" customHeight="false" outlineLevel="0" collapsed="false">
      <c r="A1751" s="50" t="s">
        <v>771</v>
      </c>
      <c r="B1751" s="51" t="n">
        <v>45764</v>
      </c>
      <c r="C1751" s="50" t="s">
        <v>213</v>
      </c>
      <c r="D1751" s="50" t="s">
        <v>2184</v>
      </c>
      <c r="E1751" s="50" t="n">
        <v>5</v>
      </c>
      <c r="F1751" s="50" t="s">
        <v>2167</v>
      </c>
      <c r="G1751" s="54" t="n">
        <v>2723400</v>
      </c>
    </row>
    <row r="1752" customFormat="false" ht="15" hidden="false" customHeight="false" outlineLevel="0" collapsed="false">
      <c r="A1752" s="50" t="s">
        <v>771</v>
      </c>
      <c r="B1752" s="51" t="n">
        <v>45764</v>
      </c>
      <c r="C1752" s="50" t="s">
        <v>213</v>
      </c>
      <c r="D1752" s="50" t="s">
        <v>2172</v>
      </c>
      <c r="E1752" s="50" t="n">
        <v>1</v>
      </c>
      <c r="F1752" s="50" t="s">
        <v>2167</v>
      </c>
      <c r="G1752" s="54" t="n">
        <v>539100</v>
      </c>
    </row>
    <row r="1753" customFormat="false" ht="15" hidden="false" customHeight="false" outlineLevel="0" collapsed="false">
      <c r="A1753" s="50" t="s">
        <v>772</v>
      </c>
      <c r="B1753" s="51" t="n">
        <v>45765</v>
      </c>
      <c r="C1753" s="50" t="s">
        <v>296</v>
      </c>
      <c r="D1753" s="50" t="s">
        <v>2178</v>
      </c>
      <c r="E1753" s="50" t="n">
        <v>1</v>
      </c>
      <c r="F1753" s="50" t="s">
        <v>2167</v>
      </c>
      <c r="G1753" s="54" t="n">
        <v>498100</v>
      </c>
    </row>
    <row r="1754" customFormat="false" ht="15" hidden="false" customHeight="false" outlineLevel="0" collapsed="false">
      <c r="A1754" s="50" t="s">
        <v>772</v>
      </c>
      <c r="B1754" s="51" t="n">
        <v>45765</v>
      </c>
      <c r="C1754" s="50" t="s">
        <v>296</v>
      </c>
      <c r="D1754" s="50" t="s">
        <v>2186</v>
      </c>
      <c r="E1754" s="50" t="n">
        <v>4</v>
      </c>
      <c r="F1754" s="50" t="s">
        <v>2167</v>
      </c>
      <c r="G1754" s="54" t="n">
        <v>2284600</v>
      </c>
    </row>
    <row r="1755" customFormat="false" ht="15" hidden="false" customHeight="false" outlineLevel="0" collapsed="false">
      <c r="A1755" s="50" t="s">
        <v>772</v>
      </c>
      <c r="B1755" s="51" t="n">
        <v>45765</v>
      </c>
      <c r="C1755" s="50" t="s">
        <v>296</v>
      </c>
      <c r="D1755" s="50" t="s">
        <v>2183</v>
      </c>
      <c r="E1755" s="50" t="n">
        <v>6</v>
      </c>
      <c r="F1755" s="50" t="s">
        <v>2167</v>
      </c>
      <c r="G1755" s="54" t="n">
        <v>2249600</v>
      </c>
    </row>
    <row r="1756" customFormat="false" ht="15" hidden="false" customHeight="false" outlineLevel="0" collapsed="false">
      <c r="A1756" s="50" t="s">
        <v>773</v>
      </c>
      <c r="B1756" s="51" t="n">
        <v>45765</v>
      </c>
      <c r="C1756" s="50" t="s">
        <v>410</v>
      </c>
      <c r="D1756" s="50" t="s">
        <v>2182</v>
      </c>
      <c r="E1756" s="50" t="n">
        <v>1</v>
      </c>
      <c r="F1756" s="50" t="s">
        <v>2174</v>
      </c>
      <c r="G1756" s="54" t="n">
        <v>920800</v>
      </c>
    </row>
    <row r="1757" customFormat="false" ht="15" hidden="false" customHeight="false" outlineLevel="0" collapsed="false">
      <c r="A1757" s="50" t="s">
        <v>773</v>
      </c>
      <c r="B1757" s="51" t="n">
        <v>45765</v>
      </c>
      <c r="C1757" s="50" t="s">
        <v>410</v>
      </c>
      <c r="D1757" s="50" t="s">
        <v>2179</v>
      </c>
      <c r="E1757" s="50" t="n">
        <v>1</v>
      </c>
      <c r="F1757" s="50" t="s">
        <v>2174</v>
      </c>
      <c r="G1757" s="54" t="n">
        <v>1281000</v>
      </c>
    </row>
    <row r="1758" customFormat="false" ht="15" hidden="false" customHeight="false" outlineLevel="0" collapsed="false">
      <c r="A1758" s="50" t="s">
        <v>773</v>
      </c>
      <c r="B1758" s="51" t="n">
        <v>45765</v>
      </c>
      <c r="C1758" s="50" t="s">
        <v>410</v>
      </c>
      <c r="D1758" s="50" t="s">
        <v>2173</v>
      </c>
      <c r="E1758" s="50" t="n">
        <v>5</v>
      </c>
      <c r="F1758" s="50" t="s">
        <v>2174</v>
      </c>
      <c r="G1758" s="54" t="n">
        <v>3934100</v>
      </c>
    </row>
    <row r="1759" customFormat="false" ht="15" hidden="false" customHeight="false" outlineLevel="0" collapsed="false">
      <c r="A1759" s="50" t="s">
        <v>774</v>
      </c>
      <c r="B1759" s="51" t="n">
        <v>45765</v>
      </c>
      <c r="C1759" s="50" t="s">
        <v>174</v>
      </c>
      <c r="D1759" s="50" t="s">
        <v>2172</v>
      </c>
      <c r="E1759" s="50" t="n">
        <v>6</v>
      </c>
      <c r="F1759" s="50" t="s">
        <v>2167</v>
      </c>
      <c r="G1759" s="54" t="n">
        <v>3086100</v>
      </c>
    </row>
    <row r="1760" customFormat="false" ht="15" hidden="false" customHeight="false" outlineLevel="0" collapsed="false">
      <c r="A1760" s="50" t="s">
        <v>774</v>
      </c>
      <c r="B1760" s="51" t="n">
        <v>45765</v>
      </c>
      <c r="C1760" s="50" t="s">
        <v>174</v>
      </c>
      <c r="D1760" s="50" t="s">
        <v>2177</v>
      </c>
      <c r="E1760" s="50" t="n">
        <v>6</v>
      </c>
      <c r="F1760" s="50" t="s">
        <v>2174</v>
      </c>
      <c r="G1760" s="54" t="n">
        <v>6498600</v>
      </c>
    </row>
    <row r="1761" customFormat="false" ht="15" hidden="false" customHeight="false" outlineLevel="0" collapsed="false">
      <c r="A1761" s="50" t="s">
        <v>774</v>
      </c>
      <c r="B1761" s="51" t="n">
        <v>45765</v>
      </c>
      <c r="C1761" s="50" t="s">
        <v>174</v>
      </c>
      <c r="D1761" s="50" t="s">
        <v>2180</v>
      </c>
      <c r="E1761" s="50" t="n">
        <v>1</v>
      </c>
      <c r="F1761" s="50" t="s">
        <v>2167</v>
      </c>
      <c r="G1761" s="54" t="n">
        <v>433600</v>
      </c>
    </row>
    <row r="1762" customFormat="false" ht="15" hidden="false" customHeight="false" outlineLevel="0" collapsed="false">
      <c r="A1762" s="50" t="s">
        <v>774</v>
      </c>
      <c r="B1762" s="51" t="n">
        <v>45765</v>
      </c>
      <c r="C1762" s="50" t="s">
        <v>174</v>
      </c>
      <c r="D1762" s="50" t="s">
        <v>2185</v>
      </c>
      <c r="E1762" s="50" t="n">
        <v>3</v>
      </c>
      <c r="F1762" s="50" t="s">
        <v>2174</v>
      </c>
      <c r="G1762" s="54" t="n">
        <v>2330500</v>
      </c>
    </row>
    <row r="1763" customFormat="false" ht="15" hidden="false" customHeight="false" outlineLevel="0" collapsed="false">
      <c r="A1763" s="50" t="s">
        <v>774</v>
      </c>
      <c r="B1763" s="51" t="n">
        <v>45765</v>
      </c>
      <c r="C1763" s="50" t="s">
        <v>174</v>
      </c>
      <c r="D1763" s="50" t="s">
        <v>2173</v>
      </c>
      <c r="E1763" s="50" t="n">
        <v>5</v>
      </c>
      <c r="F1763" s="50" t="s">
        <v>2174</v>
      </c>
      <c r="G1763" s="54" t="n">
        <v>4029400</v>
      </c>
    </row>
    <row r="1764" customFormat="false" ht="15" hidden="false" customHeight="false" outlineLevel="0" collapsed="false">
      <c r="A1764" s="50" t="s">
        <v>774</v>
      </c>
      <c r="B1764" s="51" t="n">
        <v>45765</v>
      </c>
      <c r="C1764" s="50" t="s">
        <v>174</v>
      </c>
      <c r="D1764" s="50" t="s">
        <v>2179</v>
      </c>
      <c r="E1764" s="50" t="n">
        <v>5</v>
      </c>
      <c r="F1764" s="50" t="s">
        <v>2174</v>
      </c>
      <c r="G1764" s="54" t="n">
        <v>6085300</v>
      </c>
    </row>
    <row r="1765" customFormat="false" ht="15" hidden="false" customHeight="false" outlineLevel="0" collapsed="false">
      <c r="A1765" s="50" t="s">
        <v>774</v>
      </c>
      <c r="B1765" s="51" t="n">
        <v>45765</v>
      </c>
      <c r="C1765" s="50" t="s">
        <v>174</v>
      </c>
      <c r="D1765" s="50" t="s">
        <v>2168</v>
      </c>
      <c r="E1765" s="50" t="n">
        <v>7</v>
      </c>
      <c r="F1765" s="50" t="s">
        <v>2167</v>
      </c>
      <c r="G1765" s="54" t="n">
        <v>3108700</v>
      </c>
    </row>
    <row r="1766" customFormat="false" ht="15" hidden="false" customHeight="false" outlineLevel="0" collapsed="false">
      <c r="A1766" s="50" t="s">
        <v>774</v>
      </c>
      <c r="B1766" s="51" t="n">
        <v>45765</v>
      </c>
      <c r="C1766" s="50" t="s">
        <v>174</v>
      </c>
      <c r="D1766" s="50" t="s">
        <v>2175</v>
      </c>
      <c r="E1766" s="50" t="n">
        <v>7</v>
      </c>
      <c r="F1766" s="50" t="s">
        <v>2167</v>
      </c>
      <c r="G1766" s="54" t="n">
        <v>4499400</v>
      </c>
    </row>
    <row r="1767" customFormat="false" ht="15" hidden="false" customHeight="false" outlineLevel="0" collapsed="false">
      <c r="A1767" s="50" t="s">
        <v>774</v>
      </c>
      <c r="B1767" s="51" t="n">
        <v>45765</v>
      </c>
      <c r="C1767" s="50" t="s">
        <v>174</v>
      </c>
      <c r="D1767" s="50" t="s">
        <v>2178</v>
      </c>
      <c r="E1767" s="50" t="n">
        <v>3</v>
      </c>
      <c r="F1767" s="50" t="s">
        <v>2167</v>
      </c>
      <c r="G1767" s="54" t="n">
        <v>1493000</v>
      </c>
    </row>
    <row r="1768" customFormat="false" ht="15" hidden="false" customHeight="false" outlineLevel="0" collapsed="false">
      <c r="A1768" s="50" t="s">
        <v>775</v>
      </c>
      <c r="B1768" s="51" t="n">
        <v>45765</v>
      </c>
      <c r="C1768" s="50" t="s">
        <v>223</v>
      </c>
      <c r="D1768" s="50" t="s">
        <v>2183</v>
      </c>
      <c r="E1768" s="50" t="n">
        <v>8</v>
      </c>
      <c r="F1768" s="50" t="s">
        <v>2167</v>
      </c>
      <c r="G1768" s="54" t="n">
        <v>3093700</v>
      </c>
    </row>
    <row r="1769" customFormat="false" ht="15" hidden="false" customHeight="false" outlineLevel="0" collapsed="false">
      <c r="A1769" s="50" t="s">
        <v>775</v>
      </c>
      <c r="B1769" s="51" t="n">
        <v>45765</v>
      </c>
      <c r="C1769" s="50" t="s">
        <v>223</v>
      </c>
      <c r="D1769" s="50" t="s">
        <v>2178</v>
      </c>
      <c r="E1769" s="50" t="n">
        <v>6</v>
      </c>
      <c r="F1769" s="50" t="s">
        <v>2167</v>
      </c>
      <c r="G1769" s="54" t="n">
        <v>2779700</v>
      </c>
    </row>
    <row r="1770" customFormat="false" ht="15" hidden="false" customHeight="false" outlineLevel="0" collapsed="false">
      <c r="A1770" s="50" t="s">
        <v>775</v>
      </c>
      <c r="B1770" s="51" t="n">
        <v>45765</v>
      </c>
      <c r="C1770" s="50" t="s">
        <v>223</v>
      </c>
      <c r="D1770" s="50" t="s">
        <v>2173</v>
      </c>
      <c r="E1770" s="50" t="n">
        <v>3</v>
      </c>
      <c r="F1770" s="50" t="s">
        <v>2174</v>
      </c>
      <c r="G1770" s="54" t="n">
        <v>2455000</v>
      </c>
    </row>
    <row r="1771" customFormat="false" ht="15" hidden="false" customHeight="false" outlineLevel="0" collapsed="false">
      <c r="A1771" s="50" t="s">
        <v>775</v>
      </c>
      <c r="B1771" s="51" t="n">
        <v>45765</v>
      </c>
      <c r="C1771" s="50" t="s">
        <v>223</v>
      </c>
      <c r="D1771" s="50" t="s">
        <v>2169</v>
      </c>
      <c r="E1771" s="50" t="n">
        <v>5</v>
      </c>
      <c r="F1771" s="50" t="s">
        <v>2167</v>
      </c>
      <c r="G1771" s="54" t="n">
        <v>3170400</v>
      </c>
    </row>
    <row r="1772" customFormat="false" ht="15" hidden="false" customHeight="false" outlineLevel="0" collapsed="false">
      <c r="A1772" s="50" t="s">
        <v>775</v>
      </c>
      <c r="B1772" s="51" t="n">
        <v>45765</v>
      </c>
      <c r="C1772" s="50" t="s">
        <v>223</v>
      </c>
      <c r="D1772" s="50" t="s">
        <v>2176</v>
      </c>
      <c r="E1772" s="50" t="n">
        <v>2</v>
      </c>
      <c r="F1772" s="50" t="s">
        <v>2167</v>
      </c>
      <c r="G1772" s="54" t="n">
        <v>870800</v>
      </c>
    </row>
    <row r="1773" customFormat="false" ht="15" hidden="false" customHeight="false" outlineLevel="0" collapsed="false">
      <c r="A1773" s="50" t="s">
        <v>775</v>
      </c>
      <c r="B1773" s="51" t="n">
        <v>45765</v>
      </c>
      <c r="C1773" s="50" t="s">
        <v>223</v>
      </c>
      <c r="D1773" s="50" t="s">
        <v>2172</v>
      </c>
      <c r="E1773" s="50" t="n">
        <v>6</v>
      </c>
      <c r="F1773" s="50" t="s">
        <v>2167</v>
      </c>
      <c r="G1773" s="54" t="n">
        <v>3156400</v>
      </c>
    </row>
    <row r="1774" customFormat="false" ht="15" hidden="false" customHeight="false" outlineLevel="0" collapsed="false">
      <c r="A1774" s="50" t="s">
        <v>775</v>
      </c>
      <c r="B1774" s="51" t="n">
        <v>45765</v>
      </c>
      <c r="C1774" s="50" t="s">
        <v>223</v>
      </c>
      <c r="D1774" s="50" t="s">
        <v>2166</v>
      </c>
      <c r="E1774" s="50" t="n">
        <v>6</v>
      </c>
      <c r="F1774" s="50" t="s">
        <v>2167</v>
      </c>
      <c r="G1774" s="54" t="n">
        <v>3227900</v>
      </c>
    </row>
    <row r="1775" customFormat="false" ht="15" hidden="false" customHeight="false" outlineLevel="0" collapsed="false">
      <c r="A1775" s="50" t="s">
        <v>776</v>
      </c>
      <c r="B1775" s="51" t="n">
        <v>45766</v>
      </c>
      <c r="C1775" s="50" t="s">
        <v>207</v>
      </c>
      <c r="D1775" s="50" t="s">
        <v>2186</v>
      </c>
      <c r="E1775" s="50" t="n">
        <v>7</v>
      </c>
      <c r="F1775" s="50" t="s">
        <v>2167</v>
      </c>
      <c r="G1775" s="54" t="n">
        <v>3967600</v>
      </c>
    </row>
    <row r="1776" customFormat="false" ht="15" hidden="false" customHeight="false" outlineLevel="0" collapsed="false">
      <c r="A1776" s="50" t="s">
        <v>776</v>
      </c>
      <c r="B1776" s="51" t="n">
        <v>45766</v>
      </c>
      <c r="C1776" s="50" t="s">
        <v>207</v>
      </c>
      <c r="D1776" s="50" t="s">
        <v>2180</v>
      </c>
      <c r="E1776" s="50" t="n">
        <v>3</v>
      </c>
      <c r="F1776" s="50" t="s">
        <v>2167</v>
      </c>
      <c r="G1776" s="54" t="n">
        <v>1360000</v>
      </c>
    </row>
    <row r="1777" customFormat="false" ht="15" hidden="false" customHeight="false" outlineLevel="0" collapsed="false">
      <c r="A1777" s="50" t="s">
        <v>777</v>
      </c>
      <c r="B1777" s="51" t="n">
        <v>45766</v>
      </c>
      <c r="C1777" s="50" t="s">
        <v>778</v>
      </c>
      <c r="D1777" s="50" t="s">
        <v>2186</v>
      </c>
      <c r="E1777" s="50" t="n">
        <v>5</v>
      </c>
      <c r="F1777" s="50" t="s">
        <v>2167</v>
      </c>
      <c r="G1777" s="54" t="n">
        <v>2858100</v>
      </c>
    </row>
    <row r="1778" customFormat="false" ht="15" hidden="false" customHeight="false" outlineLevel="0" collapsed="false">
      <c r="A1778" s="50" t="s">
        <v>777</v>
      </c>
      <c r="B1778" s="51" t="n">
        <v>45766</v>
      </c>
      <c r="C1778" s="50" t="s">
        <v>778</v>
      </c>
      <c r="D1778" s="50" t="s">
        <v>2166</v>
      </c>
      <c r="E1778" s="50" t="n">
        <v>6</v>
      </c>
      <c r="F1778" s="50" t="s">
        <v>2167</v>
      </c>
      <c r="G1778" s="54" t="n">
        <v>3142400</v>
      </c>
    </row>
    <row r="1779" customFormat="false" ht="15" hidden="false" customHeight="false" outlineLevel="0" collapsed="false">
      <c r="A1779" s="50" t="s">
        <v>777</v>
      </c>
      <c r="B1779" s="51" t="n">
        <v>45766</v>
      </c>
      <c r="C1779" s="50" t="s">
        <v>778</v>
      </c>
      <c r="D1779" s="50" t="s">
        <v>2179</v>
      </c>
      <c r="E1779" s="50" t="n">
        <v>3</v>
      </c>
      <c r="F1779" s="50" t="s">
        <v>2174</v>
      </c>
      <c r="G1779" s="54" t="n">
        <v>3646500</v>
      </c>
    </row>
    <row r="1780" customFormat="false" ht="15" hidden="false" customHeight="false" outlineLevel="0" collapsed="false">
      <c r="A1780" s="50" t="s">
        <v>777</v>
      </c>
      <c r="B1780" s="51" t="n">
        <v>45766</v>
      </c>
      <c r="C1780" s="50" t="s">
        <v>778</v>
      </c>
      <c r="D1780" s="50" t="s">
        <v>2187</v>
      </c>
      <c r="E1780" s="50" t="n">
        <v>2</v>
      </c>
      <c r="F1780" s="50" t="s">
        <v>2167</v>
      </c>
      <c r="G1780" s="54" t="n">
        <v>711200</v>
      </c>
    </row>
    <row r="1781" customFormat="false" ht="15" hidden="false" customHeight="false" outlineLevel="0" collapsed="false">
      <c r="A1781" s="50" t="s">
        <v>777</v>
      </c>
      <c r="B1781" s="51" t="n">
        <v>45766</v>
      </c>
      <c r="C1781" s="50" t="s">
        <v>778</v>
      </c>
      <c r="D1781" s="50" t="s">
        <v>2181</v>
      </c>
      <c r="E1781" s="50" t="n">
        <v>7</v>
      </c>
      <c r="F1781" s="50" t="s">
        <v>2167</v>
      </c>
      <c r="G1781" s="54" t="n">
        <v>7949700</v>
      </c>
    </row>
    <row r="1782" customFormat="false" ht="15" hidden="false" customHeight="false" outlineLevel="0" collapsed="false">
      <c r="A1782" s="50" t="s">
        <v>779</v>
      </c>
      <c r="B1782" s="51" t="n">
        <v>45766</v>
      </c>
      <c r="C1782" s="50" t="s">
        <v>611</v>
      </c>
      <c r="D1782" s="50" t="s">
        <v>2183</v>
      </c>
      <c r="E1782" s="50" t="n">
        <v>8</v>
      </c>
      <c r="F1782" s="50" t="s">
        <v>2167</v>
      </c>
      <c r="G1782" s="54" t="n">
        <v>2957700</v>
      </c>
    </row>
    <row r="1783" customFormat="false" ht="15" hidden="false" customHeight="false" outlineLevel="0" collapsed="false">
      <c r="A1783" s="50" t="s">
        <v>779</v>
      </c>
      <c r="B1783" s="51" t="n">
        <v>45766</v>
      </c>
      <c r="C1783" s="50" t="s">
        <v>611</v>
      </c>
      <c r="D1783" s="50" t="s">
        <v>2185</v>
      </c>
      <c r="E1783" s="50" t="n">
        <v>1</v>
      </c>
      <c r="F1783" s="50" t="s">
        <v>2174</v>
      </c>
      <c r="G1783" s="54" t="n">
        <v>778200</v>
      </c>
    </row>
    <row r="1784" customFormat="false" ht="15" hidden="false" customHeight="false" outlineLevel="0" collapsed="false">
      <c r="A1784" s="50" t="s">
        <v>779</v>
      </c>
      <c r="B1784" s="51" t="n">
        <v>45766</v>
      </c>
      <c r="C1784" s="50" t="s">
        <v>611</v>
      </c>
      <c r="D1784" s="50" t="s">
        <v>2173</v>
      </c>
      <c r="E1784" s="50" t="n">
        <v>3</v>
      </c>
      <c r="F1784" s="50" t="s">
        <v>2174</v>
      </c>
      <c r="G1784" s="54" t="n">
        <v>2483400</v>
      </c>
    </row>
    <row r="1785" customFormat="false" ht="15" hidden="false" customHeight="false" outlineLevel="0" collapsed="false">
      <c r="A1785" s="50" t="s">
        <v>779</v>
      </c>
      <c r="B1785" s="51" t="n">
        <v>45766</v>
      </c>
      <c r="C1785" s="50" t="s">
        <v>611</v>
      </c>
      <c r="D1785" s="50" t="s">
        <v>2179</v>
      </c>
      <c r="E1785" s="50" t="n">
        <v>6</v>
      </c>
      <c r="F1785" s="50" t="s">
        <v>2174</v>
      </c>
      <c r="G1785" s="54" t="n">
        <v>7613300</v>
      </c>
    </row>
    <row r="1786" customFormat="false" ht="15" hidden="false" customHeight="false" outlineLevel="0" collapsed="false">
      <c r="A1786" s="50" t="s">
        <v>779</v>
      </c>
      <c r="B1786" s="51" t="n">
        <v>45766</v>
      </c>
      <c r="C1786" s="50" t="s">
        <v>611</v>
      </c>
      <c r="D1786" s="50" t="s">
        <v>2182</v>
      </c>
      <c r="E1786" s="50" t="n">
        <v>5</v>
      </c>
      <c r="F1786" s="50" t="s">
        <v>2174</v>
      </c>
      <c r="G1786" s="54" t="n">
        <v>4601300</v>
      </c>
    </row>
    <row r="1787" customFormat="false" ht="15" hidden="false" customHeight="false" outlineLevel="0" collapsed="false">
      <c r="A1787" s="50" t="s">
        <v>780</v>
      </c>
      <c r="B1787" s="51" t="n">
        <v>45766</v>
      </c>
      <c r="C1787" s="50" t="s">
        <v>693</v>
      </c>
      <c r="D1787" s="50" t="s">
        <v>2186</v>
      </c>
      <c r="E1787" s="50" t="n">
        <v>4</v>
      </c>
      <c r="F1787" s="50" t="s">
        <v>2167</v>
      </c>
      <c r="G1787" s="54" t="n">
        <v>2431900</v>
      </c>
    </row>
    <row r="1788" customFormat="false" ht="15" hidden="false" customHeight="false" outlineLevel="0" collapsed="false">
      <c r="A1788" s="50" t="s">
        <v>780</v>
      </c>
      <c r="B1788" s="51" t="n">
        <v>45766</v>
      </c>
      <c r="C1788" s="50" t="s">
        <v>693</v>
      </c>
      <c r="D1788" s="50" t="s">
        <v>2185</v>
      </c>
      <c r="E1788" s="50" t="n">
        <v>6</v>
      </c>
      <c r="F1788" s="50" t="s">
        <v>2174</v>
      </c>
      <c r="G1788" s="54" t="n">
        <v>4657100</v>
      </c>
    </row>
    <row r="1789" customFormat="false" ht="15" hidden="false" customHeight="false" outlineLevel="0" collapsed="false">
      <c r="A1789" s="50" t="s">
        <v>780</v>
      </c>
      <c r="B1789" s="51" t="n">
        <v>45766</v>
      </c>
      <c r="C1789" s="50" t="s">
        <v>693</v>
      </c>
      <c r="D1789" s="50" t="s">
        <v>2179</v>
      </c>
      <c r="E1789" s="50" t="n">
        <v>8</v>
      </c>
      <c r="F1789" s="50" t="s">
        <v>2174</v>
      </c>
      <c r="G1789" s="54" t="n">
        <v>9993100</v>
      </c>
    </row>
    <row r="1790" customFormat="false" ht="15" hidden="false" customHeight="false" outlineLevel="0" collapsed="false">
      <c r="A1790" s="50" t="s">
        <v>780</v>
      </c>
      <c r="B1790" s="51" t="n">
        <v>45766</v>
      </c>
      <c r="C1790" s="50" t="s">
        <v>693</v>
      </c>
      <c r="D1790" s="50" t="s">
        <v>2166</v>
      </c>
      <c r="E1790" s="50" t="n">
        <v>8</v>
      </c>
      <c r="F1790" s="50" t="s">
        <v>2167</v>
      </c>
      <c r="G1790" s="54" t="n">
        <v>4189800</v>
      </c>
    </row>
    <row r="1791" customFormat="false" ht="15" hidden="false" customHeight="false" outlineLevel="0" collapsed="false">
      <c r="A1791" s="50" t="s">
        <v>780</v>
      </c>
      <c r="B1791" s="51" t="n">
        <v>45766</v>
      </c>
      <c r="C1791" s="50" t="s">
        <v>693</v>
      </c>
      <c r="D1791" s="50" t="s">
        <v>2182</v>
      </c>
      <c r="E1791" s="50" t="n">
        <v>4</v>
      </c>
      <c r="F1791" s="50" t="s">
        <v>2174</v>
      </c>
      <c r="G1791" s="54" t="n">
        <v>3829300</v>
      </c>
    </row>
    <row r="1792" customFormat="false" ht="15" hidden="false" customHeight="false" outlineLevel="0" collapsed="false">
      <c r="A1792" s="50" t="s">
        <v>780</v>
      </c>
      <c r="B1792" s="51" t="n">
        <v>45766</v>
      </c>
      <c r="C1792" s="50" t="s">
        <v>693</v>
      </c>
      <c r="D1792" s="50" t="s">
        <v>2178</v>
      </c>
      <c r="E1792" s="50" t="n">
        <v>1</v>
      </c>
      <c r="F1792" s="50" t="s">
        <v>2167</v>
      </c>
      <c r="G1792" s="54" t="n">
        <v>494400</v>
      </c>
    </row>
    <row r="1793" customFormat="false" ht="15" hidden="false" customHeight="false" outlineLevel="0" collapsed="false">
      <c r="A1793" s="50" t="s">
        <v>780</v>
      </c>
      <c r="B1793" s="51" t="n">
        <v>45766</v>
      </c>
      <c r="C1793" s="50" t="s">
        <v>693</v>
      </c>
      <c r="D1793" s="50" t="s">
        <v>2176</v>
      </c>
      <c r="E1793" s="50" t="n">
        <v>4</v>
      </c>
      <c r="F1793" s="50" t="s">
        <v>2167</v>
      </c>
      <c r="G1793" s="54" t="n">
        <v>1624100</v>
      </c>
    </row>
    <row r="1794" customFormat="false" ht="15" hidden="false" customHeight="false" outlineLevel="0" collapsed="false">
      <c r="A1794" s="50" t="s">
        <v>780</v>
      </c>
      <c r="B1794" s="51" t="n">
        <v>45766</v>
      </c>
      <c r="C1794" s="50" t="s">
        <v>693</v>
      </c>
      <c r="D1794" s="50" t="s">
        <v>2184</v>
      </c>
      <c r="E1794" s="50" t="n">
        <v>2</v>
      </c>
      <c r="F1794" s="50" t="s">
        <v>2167</v>
      </c>
      <c r="G1794" s="54" t="n">
        <v>1080900</v>
      </c>
    </row>
    <row r="1795" customFormat="false" ht="15" hidden="false" customHeight="false" outlineLevel="0" collapsed="false">
      <c r="A1795" s="50" t="s">
        <v>780</v>
      </c>
      <c r="B1795" s="51" t="n">
        <v>45766</v>
      </c>
      <c r="C1795" s="50" t="s">
        <v>693</v>
      </c>
      <c r="D1795" s="50" t="s">
        <v>2169</v>
      </c>
      <c r="E1795" s="50" t="n">
        <v>6</v>
      </c>
      <c r="F1795" s="50" t="s">
        <v>2167</v>
      </c>
      <c r="G1795" s="54" t="n">
        <v>3752700</v>
      </c>
    </row>
    <row r="1796" customFormat="false" ht="15" hidden="false" customHeight="false" outlineLevel="0" collapsed="false">
      <c r="A1796" s="50" t="s">
        <v>780</v>
      </c>
      <c r="B1796" s="51" t="n">
        <v>45766</v>
      </c>
      <c r="C1796" s="50" t="s">
        <v>693</v>
      </c>
      <c r="D1796" s="50" t="s">
        <v>2183</v>
      </c>
      <c r="E1796" s="50" t="n">
        <v>7</v>
      </c>
      <c r="F1796" s="50" t="s">
        <v>2167</v>
      </c>
      <c r="G1796" s="54" t="n">
        <v>2611600</v>
      </c>
    </row>
    <row r="1797" customFormat="false" ht="15" hidden="false" customHeight="false" outlineLevel="0" collapsed="false">
      <c r="A1797" s="50" t="s">
        <v>781</v>
      </c>
      <c r="B1797" s="51" t="n">
        <v>45766</v>
      </c>
      <c r="C1797" s="50" t="s">
        <v>436</v>
      </c>
      <c r="D1797" s="50" t="s">
        <v>2186</v>
      </c>
      <c r="E1797" s="50" t="n">
        <v>6</v>
      </c>
      <c r="F1797" s="50" t="s">
        <v>2167</v>
      </c>
      <c r="G1797" s="54" t="n">
        <v>3619700</v>
      </c>
    </row>
    <row r="1798" customFormat="false" ht="15" hidden="false" customHeight="false" outlineLevel="0" collapsed="false">
      <c r="A1798" s="50" t="s">
        <v>781</v>
      </c>
      <c r="B1798" s="51" t="n">
        <v>45766</v>
      </c>
      <c r="C1798" s="50" t="s">
        <v>436</v>
      </c>
      <c r="D1798" s="50" t="s">
        <v>2168</v>
      </c>
      <c r="E1798" s="50" t="n">
        <v>7</v>
      </c>
      <c r="F1798" s="50" t="s">
        <v>2167</v>
      </c>
      <c r="G1798" s="54" t="n">
        <v>2989200</v>
      </c>
    </row>
    <row r="1799" customFormat="false" ht="15" hidden="false" customHeight="false" outlineLevel="0" collapsed="false">
      <c r="A1799" s="50" t="s">
        <v>781</v>
      </c>
      <c r="B1799" s="51" t="n">
        <v>45766</v>
      </c>
      <c r="C1799" s="50" t="s">
        <v>436</v>
      </c>
      <c r="D1799" s="50" t="s">
        <v>2172</v>
      </c>
      <c r="E1799" s="50" t="n">
        <v>1</v>
      </c>
      <c r="F1799" s="50" t="s">
        <v>2167</v>
      </c>
      <c r="G1799" s="54" t="n">
        <v>501200</v>
      </c>
    </row>
    <row r="1800" customFormat="false" ht="15" hidden="false" customHeight="false" outlineLevel="0" collapsed="false">
      <c r="A1800" s="50" t="s">
        <v>782</v>
      </c>
      <c r="B1800" s="51" t="n">
        <v>45766</v>
      </c>
      <c r="C1800" s="50" t="s">
        <v>320</v>
      </c>
      <c r="D1800" s="50" t="s">
        <v>2172</v>
      </c>
      <c r="E1800" s="50" t="n">
        <v>3</v>
      </c>
      <c r="F1800" s="50" t="s">
        <v>2167</v>
      </c>
      <c r="G1800" s="54" t="n">
        <v>1519600</v>
      </c>
    </row>
    <row r="1801" customFormat="false" ht="15" hidden="false" customHeight="false" outlineLevel="0" collapsed="false">
      <c r="A1801" s="50" t="s">
        <v>783</v>
      </c>
      <c r="B1801" s="51" t="n">
        <v>45766</v>
      </c>
      <c r="C1801" s="50" t="s">
        <v>195</v>
      </c>
      <c r="D1801" s="50" t="s">
        <v>2179</v>
      </c>
      <c r="E1801" s="50" t="n">
        <v>5</v>
      </c>
      <c r="F1801" s="50" t="s">
        <v>2174</v>
      </c>
      <c r="G1801" s="54" t="n">
        <v>6301300</v>
      </c>
    </row>
    <row r="1802" customFormat="false" ht="15" hidden="false" customHeight="false" outlineLevel="0" collapsed="false">
      <c r="A1802" s="50" t="s">
        <v>783</v>
      </c>
      <c r="B1802" s="51" t="n">
        <v>45766</v>
      </c>
      <c r="C1802" s="50" t="s">
        <v>195</v>
      </c>
      <c r="D1802" s="50" t="s">
        <v>2175</v>
      </c>
      <c r="E1802" s="50" t="n">
        <v>6</v>
      </c>
      <c r="F1802" s="50" t="s">
        <v>2167</v>
      </c>
      <c r="G1802" s="54" t="n">
        <v>3688200</v>
      </c>
    </row>
    <row r="1803" customFormat="false" ht="15" hidden="false" customHeight="false" outlineLevel="0" collapsed="false">
      <c r="A1803" s="50" t="s">
        <v>784</v>
      </c>
      <c r="B1803" s="51" t="n">
        <v>45768</v>
      </c>
      <c r="C1803" s="50" t="s">
        <v>228</v>
      </c>
      <c r="D1803" s="50" t="s">
        <v>2169</v>
      </c>
      <c r="E1803" s="50" t="n">
        <v>1</v>
      </c>
      <c r="F1803" s="50" t="s">
        <v>2167</v>
      </c>
      <c r="G1803" s="54" t="n">
        <v>595900</v>
      </c>
    </row>
    <row r="1804" customFormat="false" ht="15" hidden="false" customHeight="false" outlineLevel="0" collapsed="false">
      <c r="A1804" s="50" t="s">
        <v>784</v>
      </c>
      <c r="B1804" s="51" t="n">
        <v>45768</v>
      </c>
      <c r="C1804" s="50" t="s">
        <v>228</v>
      </c>
      <c r="D1804" s="50" t="s">
        <v>2172</v>
      </c>
      <c r="E1804" s="50" t="n">
        <v>2</v>
      </c>
      <c r="F1804" s="50" t="s">
        <v>2167</v>
      </c>
      <c r="G1804" s="54" t="n">
        <v>1003400</v>
      </c>
    </row>
    <row r="1805" customFormat="false" ht="15" hidden="false" customHeight="false" outlineLevel="0" collapsed="false">
      <c r="A1805" s="50" t="s">
        <v>784</v>
      </c>
      <c r="B1805" s="51" t="n">
        <v>45768</v>
      </c>
      <c r="C1805" s="50" t="s">
        <v>228</v>
      </c>
      <c r="D1805" s="50" t="s">
        <v>2181</v>
      </c>
      <c r="E1805" s="50" t="n">
        <v>1</v>
      </c>
      <c r="F1805" s="50" t="s">
        <v>2167</v>
      </c>
      <c r="G1805" s="54" t="n">
        <v>1164800</v>
      </c>
    </row>
    <row r="1806" customFormat="false" ht="15" hidden="false" customHeight="false" outlineLevel="0" collapsed="false">
      <c r="A1806" s="50" t="s">
        <v>784</v>
      </c>
      <c r="B1806" s="51" t="n">
        <v>45768</v>
      </c>
      <c r="C1806" s="50" t="s">
        <v>228</v>
      </c>
      <c r="D1806" s="50" t="s">
        <v>2179</v>
      </c>
      <c r="E1806" s="50" t="n">
        <v>3</v>
      </c>
      <c r="F1806" s="50" t="s">
        <v>2174</v>
      </c>
      <c r="G1806" s="54" t="n">
        <v>3647800</v>
      </c>
    </row>
    <row r="1807" customFormat="false" ht="15" hidden="false" customHeight="false" outlineLevel="0" collapsed="false">
      <c r="A1807" s="50" t="s">
        <v>785</v>
      </c>
      <c r="B1807" s="51" t="n">
        <v>45768</v>
      </c>
      <c r="C1807" s="50" t="s">
        <v>298</v>
      </c>
      <c r="D1807" s="50" t="s">
        <v>2173</v>
      </c>
      <c r="E1807" s="50" t="n">
        <v>5</v>
      </c>
      <c r="F1807" s="50" t="s">
        <v>2174</v>
      </c>
      <c r="G1807" s="54" t="n">
        <v>3850900</v>
      </c>
    </row>
    <row r="1808" customFormat="false" ht="15" hidden="false" customHeight="false" outlineLevel="0" collapsed="false">
      <c r="A1808" s="50" t="s">
        <v>785</v>
      </c>
      <c r="B1808" s="51" t="n">
        <v>45768</v>
      </c>
      <c r="C1808" s="50" t="s">
        <v>298</v>
      </c>
      <c r="D1808" s="50" t="s">
        <v>2180</v>
      </c>
      <c r="E1808" s="50" t="n">
        <v>6</v>
      </c>
      <c r="F1808" s="50" t="s">
        <v>2167</v>
      </c>
      <c r="G1808" s="54" t="n">
        <v>2618000</v>
      </c>
    </row>
    <row r="1809" customFormat="false" ht="15" hidden="false" customHeight="false" outlineLevel="0" collapsed="false">
      <c r="A1809" s="50" t="s">
        <v>786</v>
      </c>
      <c r="B1809" s="51" t="n">
        <v>45768</v>
      </c>
      <c r="C1809" s="50" t="s">
        <v>197</v>
      </c>
      <c r="D1809" s="50" t="s">
        <v>2186</v>
      </c>
      <c r="E1809" s="50" t="n">
        <v>3</v>
      </c>
      <c r="F1809" s="50" t="s">
        <v>2167</v>
      </c>
      <c r="G1809" s="54" t="n">
        <v>1781900</v>
      </c>
    </row>
    <row r="1810" customFormat="false" ht="15" hidden="false" customHeight="false" outlineLevel="0" collapsed="false">
      <c r="A1810" s="50" t="s">
        <v>786</v>
      </c>
      <c r="B1810" s="51" t="n">
        <v>45768</v>
      </c>
      <c r="C1810" s="50" t="s">
        <v>197</v>
      </c>
      <c r="D1810" s="50" t="s">
        <v>2176</v>
      </c>
      <c r="E1810" s="50" t="n">
        <v>2</v>
      </c>
      <c r="F1810" s="50" t="s">
        <v>2167</v>
      </c>
      <c r="G1810" s="54" t="n">
        <v>817100</v>
      </c>
    </row>
    <row r="1811" customFormat="false" ht="15" hidden="false" customHeight="false" outlineLevel="0" collapsed="false">
      <c r="A1811" s="50" t="s">
        <v>786</v>
      </c>
      <c r="B1811" s="51" t="n">
        <v>45768</v>
      </c>
      <c r="C1811" s="50" t="s">
        <v>197</v>
      </c>
      <c r="D1811" s="50" t="s">
        <v>2172</v>
      </c>
      <c r="E1811" s="50" t="n">
        <v>1</v>
      </c>
      <c r="F1811" s="50" t="s">
        <v>2167</v>
      </c>
      <c r="G1811" s="54" t="n">
        <v>505300</v>
      </c>
    </row>
    <row r="1812" customFormat="false" ht="15" hidden="false" customHeight="false" outlineLevel="0" collapsed="false">
      <c r="A1812" s="50" t="s">
        <v>786</v>
      </c>
      <c r="B1812" s="51" t="n">
        <v>45768</v>
      </c>
      <c r="C1812" s="50" t="s">
        <v>197</v>
      </c>
      <c r="D1812" s="50" t="s">
        <v>2187</v>
      </c>
      <c r="E1812" s="50" t="n">
        <v>4</v>
      </c>
      <c r="F1812" s="50" t="s">
        <v>2167</v>
      </c>
      <c r="G1812" s="54" t="n">
        <v>1424100</v>
      </c>
    </row>
    <row r="1813" customFormat="false" ht="15" hidden="false" customHeight="false" outlineLevel="0" collapsed="false">
      <c r="A1813" s="50" t="s">
        <v>786</v>
      </c>
      <c r="B1813" s="51" t="n">
        <v>45768</v>
      </c>
      <c r="C1813" s="50" t="s">
        <v>197</v>
      </c>
      <c r="D1813" s="50" t="s">
        <v>2183</v>
      </c>
      <c r="E1813" s="50" t="n">
        <v>8</v>
      </c>
      <c r="F1813" s="50" t="s">
        <v>2167</v>
      </c>
      <c r="G1813" s="54" t="n">
        <v>3107100</v>
      </c>
    </row>
    <row r="1814" customFormat="false" ht="15" hidden="false" customHeight="false" outlineLevel="0" collapsed="false">
      <c r="A1814" s="50" t="s">
        <v>786</v>
      </c>
      <c r="B1814" s="51" t="n">
        <v>45768</v>
      </c>
      <c r="C1814" s="50" t="s">
        <v>197</v>
      </c>
      <c r="D1814" s="50" t="s">
        <v>2180</v>
      </c>
      <c r="E1814" s="50" t="n">
        <v>7</v>
      </c>
      <c r="F1814" s="50" t="s">
        <v>2167</v>
      </c>
      <c r="G1814" s="54" t="n">
        <v>3202900</v>
      </c>
    </row>
    <row r="1815" customFormat="false" ht="15" hidden="false" customHeight="false" outlineLevel="0" collapsed="false">
      <c r="A1815" s="50" t="s">
        <v>787</v>
      </c>
      <c r="B1815" s="51" t="n">
        <v>45769</v>
      </c>
      <c r="C1815" s="50" t="s">
        <v>666</v>
      </c>
      <c r="D1815" s="50" t="s">
        <v>2184</v>
      </c>
      <c r="E1815" s="50" t="n">
        <v>5</v>
      </c>
      <c r="F1815" s="50" t="s">
        <v>2167</v>
      </c>
      <c r="G1815" s="54" t="n">
        <v>2891200</v>
      </c>
    </row>
    <row r="1816" customFormat="false" ht="15" hidden="false" customHeight="false" outlineLevel="0" collapsed="false">
      <c r="A1816" s="50" t="s">
        <v>787</v>
      </c>
      <c r="B1816" s="51" t="n">
        <v>45769</v>
      </c>
      <c r="C1816" s="50" t="s">
        <v>666</v>
      </c>
      <c r="D1816" s="50" t="s">
        <v>2186</v>
      </c>
      <c r="E1816" s="50" t="n">
        <v>5</v>
      </c>
      <c r="F1816" s="50" t="s">
        <v>2167</v>
      </c>
      <c r="G1816" s="54" t="n">
        <v>2927200</v>
      </c>
    </row>
    <row r="1817" customFormat="false" ht="15" hidden="false" customHeight="false" outlineLevel="0" collapsed="false">
      <c r="A1817" s="50" t="s">
        <v>788</v>
      </c>
      <c r="B1817" s="51" t="n">
        <v>45769</v>
      </c>
      <c r="C1817" s="50" t="s">
        <v>166</v>
      </c>
      <c r="D1817" s="50" t="s">
        <v>2176</v>
      </c>
      <c r="E1817" s="50" t="n">
        <v>8</v>
      </c>
      <c r="F1817" s="50" t="s">
        <v>2167</v>
      </c>
      <c r="G1817" s="54" t="n">
        <v>3345700</v>
      </c>
    </row>
    <row r="1818" customFormat="false" ht="15" hidden="false" customHeight="false" outlineLevel="0" collapsed="false">
      <c r="A1818" s="50" t="s">
        <v>788</v>
      </c>
      <c r="B1818" s="51" t="n">
        <v>45769</v>
      </c>
      <c r="C1818" s="50" t="s">
        <v>166</v>
      </c>
      <c r="D1818" s="50" t="s">
        <v>2172</v>
      </c>
      <c r="E1818" s="50" t="n">
        <v>8</v>
      </c>
      <c r="F1818" s="50" t="s">
        <v>2167</v>
      </c>
      <c r="G1818" s="54" t="n">
        <v>4042400</v>
      </c>
    </row>
    <row r="1819" customFormat="false" ht="15" hidden="false" customHeight="false" outlineLevel="0" collapsed="false">
      <c r="A1819" s="50" t="s">
        <v>788</v>
      </c>
      <c r="B1819" s="51" t="n">
        <v>45769</v>
      </c>
      <c r="C1819" s="50" t="s">
        <v>166</v>
      </c>
      <c r="D1819" s="50" t="s">
        <v>2186</v>
      </c>
      <c r="E1819" s="50" t="n">
        <v>5</v>
      </c>
      <c r="F1819" s="50" t="s">
        <v>2167</v>
      </c>
      <c r="G1819" s="54" t="n">
        <v>3039300</v>
      </c>
    </row>
    <row r="1820" customFormat="false" ht="15" hidden="false" customHeight="false" outlineLevel="0" collapsed="false">
      <c r="A1820" s="50" t="s">
        <v>789</v>
      </c>
      <c r="B1820" s="51" t="n">
        <v>45769</v>
      </c>
      <c r="C1820" s="50" t="s">
        <v>403</v>
      </c>
      <c r="D1820" s="50" t="s">
        <v>2183</v>
      </c>
      <c r="E1820" s="50" t="n">
        <v>4</v>
      </c>
      <c r="F1820" s="50" t="s">
        <v>2167</v>
      </c>
      <c r="G1820" s="54" t="n">
        <v>1484800</v>
      </c>
    </row>
    <row r="1821" customFormat="false" ht="15" hidden="false" customHeight="false" outlineLevel="0" collapsed="false">
      <c r="A1821" s="50" t="s">
        <v>789</v>
      </c>
      <c r="B1821" s="51" t="n">
        <v>45769</v>
      </c>
      <c r="C1821" s="50" t="s">
        <v>403</v>
      </c>
      <c r="D1821" s="50" t="s">
        <v>2175</v>
      </c>
      <c r="E1821" s="50" t="n">
        <v>3</v>
      </c>
      <c r="F1821" s="50" t="s">
        <v>2167</v>
      </c>
      <c r="G1821" s="54" t="n">
        <v>1955400</v>
      </c>
    </row>
    <row r="1822" customFormat="false" ht="15" hidden="false" customHeight="false" outlineLevel="0" collapsed="false">
      <c r="A1822" s="50" t="s">
        <v>789</v>
      </c>
      <c r="B1822" s="51" t="n">
        <v>45769</v>
      </c>
      <c r="C1822" s="50" t="s">
        <v>403</v>
      </c>
      <c r="D1822" s="50" t="s">
        <v>2187</v>
      </c>
      <c r="E1822" s="50" t="n">
        <v>2</v>
      </c>
      <c r="F1822" s="50" t="s">
        <v>2167</v>
      </c>
      <c r="G1822" s="54" t="n">
        <v>677300</v>
      </c>
    </row>
    <row r="1823" customFormat="false" ht="15" hidden="false" customHeight="false" outlineLevel="0" collapsed="false">
      <c r="A1823" s="50" t="s">
        <v>789</v>
      </c>
      <c r="B1823" s="51" t="n">
        <v>45769</v>
      </c>
      <c r="C1823" s="50" t="s">
        <v>403</v>
      </c>
      <c r="D1823" s="50" t="s">
        <v>2185</v>
      </c>
      <c r="E1823" s="50" t="n">
        <v>7</v>
      </c>
      <c r="F1823" s="50" t="s">
        <v>2174</v>
      </c>
      <c r="G1823" s="54" t="n">
        <v>5483700</v>
      </c>
    </row>
    <row r="1824" customFormat="false" ht="15" hidden="false" customHeight="false" outlineLevel="0" collapsed="false">
      <c r="A1824" s="50" t="s">
        <v>790</v>
      </c>
      <c r="B1824" s="51" t="n">
        <v>45769</v>
      </c>
      <c r="C1824" s="50" t="s">
        <v>358</v>
      </c>
      <c r="D1824" s="50" t="s">
        <v>2184</v>
      </c>
      <c r="E1824" s="50" t="n">
        <v>3</v>
      </c>
      <c r="F1824" s="50" t="s">
        <v>2167</v>
      </c>
      <c r="G1824" s="54" t="n">
        <v>1621100</v>
      </c>
    </row>
    <row r="1825" customFormat="false" ht="15" hidden="false" customHeight="false" outlineLevel="0" collapsed="false">
      <c r="A1825" s="50" t="s">
        <v>790</v>
      </c>
      <c r="B1825" s="51" t="n">
        <v>45769</v>
      </c>
      <c r="C1825" s="50" t="s">
        <v>358</v>
      </c>
      <c r="D1825" s="50" t="s">
        <v>2166</v>
      </c>
      <c r="E1825" s="50" t="n">
        <v>5</v>
      </c>
      <c r="F1825" s="50" t="s">
        <v>2167</v>
      </c>
      <c r="G1825" s="54" t="n">
        <v>2670000</v>
      </c>
    </row>
    <row r="1826" customFormat="false" ht="15" hidden="false" customHeight="false" outlineLevel="0" collapsed="false">
      <c r="A1826" s="50" t="s">
        <v>790</v>
      </c>
      <c r="B1826" s="51" t="n">
        <v>45769</v>
      </c>
      <c r="C1826" s="50" t="s">
        <v>358</v>
      </c>
      <c r="D1826" s="50" t="s">
        <v>2172</v>
      </c>
      <c r="E1826" s="50" t="n">
        <v>7</v>
      </c>
      <c r="F1826" s="50" t="s">
        <v>2167</v>
      </c>
      <c r="G1826" s="54" t="n">
        <v>3733600</v>
      </c>
    </row>
    <row r="1827" customFormat="false" ht="15" hidden="false" customHeight="false" outlineLevel="0" collapsed="false">
      <c r="A1827" s="50" t="s">
        <v>790</v>
      </c>
      <c r="B1827" s="51" t="n">
        <v>45769</v>
      </c>
      <c r="C1827" s="50" t="s">
        <v>358</v>
      </c>
      <c r="D1827" s="50" t="s">
        <v>2173</v>
      </c>
      <c r="E1827" s="50" t="n">
        <v>6</v>
      </c>
      <c r="F1827" s="50" t="s">
        <v>2174</v>
      </c>
      <c r="G1827" s="54" t="n">
        <v>4759800</v>
      </c>
    </row>
    <row r="1828" customFormat="false" ht="15" hidden="false" customHeight="false" outlineLevel="0" collapsed="false">
      <c r="A1828" s="50" t="s">
        <v>790</v>
      </c>
      <c r="B1828" s="51" t="n">
        <v>45769</v>
      </c>
      <c r="C1828" s="50" t="s">
        <v>358</v>
      </c>
      <c r="D1828" s="50" t="s">
        <v>2169</v>
      </c>
      <c r="E1828" s="50" t="n">
        <v>3</v>
      </c>
      <c r="F1828" s="50" t="s">
        <v>2167</v>
      </c>
      <c r="G1828" s="54" t="n">
        <v>1801900</v>
      </c>
    </row>
    <row r="1829" customFormat="false" ht="15" hidden="false" customHeight="false" outlineLevel="0" collapsed="false">
      <c r="A1829" s="50" t="s">
        <v>791</v>
      </c>
      <c r="B1829" s="51" t="n">
        <v>45769</v>
      </c>
      <c r="C1829" s="50" t="s">
        <v>256</v>
      </c>
      <c r="D1829" s="50" t="s">
        <v>2184</v>
      </c>
      <c r="E1829" s="50" t="n">
        <v>4</v>
      </c>
      <c r="F1829" s="50" t="s">
        <v>2167</v>
      </c>
      <c r="G1829" s="54" t="n">
        <v>2169500</v>
      </c>
    </row>
    <row r="1830" customFormat="false" ht="15" hidden="false" customHeight="false" outlineLevel="0" collapsed="false">
      <c r="A1830" s="50" t="s">
        <v>791</v>
      </c>
      <c r="B1830" s="51" t="n">
        <v>45769</v>
      </c>
      <c r="C1830" s="50" t="s">
        <v>256</v>
      </c>
      <c r="D1830" s="50" t="s">
        <v>2183</v>
      </c>
      <c r="E1830" s="50" t="n">
        <v>7</v>
      </c>
      <c r="F1830" s="50" t="s">
        <v>2167</v>
      </c>
      <c r="G1830" s="54" t="n">
        <v>2664000</v>
      </c>
    </row>
    <row r="1831" customFormat="false" ht="15" hidden="false" customHeight="false" outlineLevel="0" collapsed="false">
      <c r="A1831" s="50" t="s">
        <v>792</v>
      </c>
      <c r="B1831" s="51" t="n">
        <v>45770</v>
      </c>
      <c r="C1831" s="50" t="s">
        <v>174</v>
      </c>
      <c r="D1831" s="50" t="s">
        <v>2177</v>
      </c>
      <c r="E1831" s="50" t="n">
        <v>3</v>
      </c>
      <c r="F1831" s="50" t="s">
        <v>2174</v>
      </c>
      <c r="G1831" s="54" t="n">
        <v>3246200</v>
      </c>
    </row>
    <row r="1832" customFormat="false" ht="15" hidden="false" customHeight="false" outlineLevel="0" collapsed="false">
      <c r="A1832" s="50" t="s">
        <v>792</v>
      </c>
      <c r="B1832" s="51" t="n">
        <v>45770</v>
      </c>
      <c r="C1832" s="50" t="s">
        <v>174</v>
      </c>
      <c r="D1832" s="50" t="s">
        <v>2182</v>
      </c>
      <c r="E1832" s="50" t="n">
        <v>3</v>
      </c>
      <c r="F1832" s="50" t="s">
        <v>2174</v>
      </c>
      <c r="G1832" s="54" t="n">
        <v>2869400</v>
      </c>
    </row>
    <row r="1833" customFormat="false" ht="15" hidden="false" customHeight="false" outlineLevel="0" collapsed="false">
      <c r="A1833" s="50" t="s">
        <v>793</v>
      </c>
      <c r="B1833" s="51" t="n">
        <v>45770</v>
      </c>
      <c r="C1833" s="50" t="s">
        <v>256</v>
      </c>
      <c r="D1833" s="50" t="s">
        <v>2184</v>
      </c>
      <c r="E1833" s="50" t="n">
        <v>3</v>
      </c>
      <c r="F1833" s="50" t="s">
        <v>2167</v>
      </c>
      <c r="G1833" s="54" t="n">
        <v>1653600</v>
      </c>
    </row>
    <row r="1834" customFormat="false" ht="15" hidden="false" customHeight="false" outlineLevel="0" collapsed="false">
      <c r="A1834" s="50" t="s">
        <v>793</v>
      </c>
      <c r="B1834" s="51" t="n">
        <v>45770</v>
      </c>
      <c r="C1834" s="50" t="s">
        <v>256</v>
      </c>
      <c r="D1834" s="50" t="s">
        <v>2177</v>
      </c>
      <c r="E1834" s="50" t="n">
        <v>5</v>
      </c>
      <c r="F1834" s="50" t="s">
        <v>2174</v>
      </c>
      <c r="G1834" s="54" t="n">
        <v>5658900</v>
      </c>
    </row>
    <row r="1835" customFormat="false" ht="15" hidden="false" customHeight="false" outlineLevel="0" collapsed="false">
      <c r="A1835" s="50" t="s">
        <v>793</v>
      </c>
      <c r="B1835" s="51" t="n">
        <v>45770</v>
      </c>
      <c r="C1835" s="50" t="s">
        <v>256</v>
      </c>
      <c r="D1835" s="50" t="s">
        <v>2176</v>
      </c>
      <c r="E1835" s="50" t="n">
        <v>1</v>
      </c>
      <c r="F1835" s="50" t="s">
        <v>2167</v>
      </c>
      <c r="G1835" s="54" t="n">
        <v>413600</v>
      </c>
    </row>
    <row r="1836" customFormat="false" ht="15" hidden="false" customHeight="false" outlineLevel="0" collapsed="false">
      <c r="A1836" s="50" t="s">
        <v>793</v>
      </c>
      <c r="B1836" s="51" t="n">
        <v>45770</v>
      </c>
      <c r="C1836" s="50" t="s">
        <v>256</v>
      </c>
      <c r="D1836" s="50" t="s">
        <v>2166</v>
      </c>
      <c r="E1836" s="50" t="n">
        <v>3</v>
      </c>
      <c r="F1836" s="50" t="s">
        <v>2167</v>
      </c>
      <c r="G1836" s="54" t="n">
        <v>1604800</v>
      </c>
    </row>
    <row r="1837" customFormat="false" ht="15" hidden="false" customHeight="false" outlineLevel="0" collapsed="false">
      <c r="A1837" s="50" t="s">
        <v>794</v>
      </c>
      <c r="B1837" s="51" t="n">
        <v>45770</v>
      </c>
      <c r="C1837" s="50" t="s">
        <v>168</v>
      </c>
      <c r="D1837" s="50" t="s">
        <v>2179</v>
      </c>
      <c r="E1837" s="50" t="n">
        <v>5</v>
      </c>
      <c r="F1837" s="50" t="s">
        <v>2174</v>
      </c>
      <c r="G1837" s="54" t="n">
        <v>6373200</v>
      </c>
    </row>
    <row r="1838" customFormat="false" ht="15" hidden="false" customHeight="false" outlineLevel="0" collapsed="false">
      <c r="A1838" s="50" t="s">
        <v>794</v>
      </c>
      <c r="B1838" s="51" t="n">
        <v>45770</v>
      </c>
      <c r="C1838" s="50" t="s">
        <v>168</v>
      </c>
      <c r="D1838" s="50" t="s">
        <v>2177</v>
      </c>
      <c r="E1838" s="50" t="n">
        <v>4</v>
      </c>
      <c r="F1838" s="50" t="s">
        <v>2174</v>
      </c>
      <c r="G1838" s="54" t="n">
        <v>4444200</v>
      </c>
    </row>
    <row r="1839" customFormat="false" ht="15" hidden="false" customHeight="false" outlineLevel="0" collapsed="false">
      <c r="A1839" s="50" t="s">
        <v>795</v>
      </c>
      <c r="B1839" s="51" t="n">
        <v>45770</v>
      </c>
      <c r="C1839" s="50" t="s">
        <v>469</v>
      </c>
      <c r="D1839" s="50" t="s">
        <v>2168</v>
      </c>
      <c r="E1839" s="50" t="n">
        <v>5</v>
      </c>
      <c r="F1839" s="50" t="s">
        <v>2167</v>
      </c>
      <c r="G1839" s="54" t="n">
        <v>2194000</v>
      </c>
    </row>
    <row r="1840" customFormat="false" ht="15" hidden="false" customHeight="false" outlineLevel="0" collapsed="false">
      <c r="A1840" s="50" t="s">
        <v>796</v>
      </c>
      <c r="B1840" s="51" t="n">
        <v>45770</v>
      </c>
      <c r="C1840" s="50" t="s">
        <v>447</v>
      </c>
      <c r="D1840" s="50" t="s">
        <v>2184</v>
      </c>
      <c r="E1840" s="50" t="n">
        <v>5</v>
      </c>
      <c r="F1840" s="50" t="s">
        <v>2167</v>
      </c>
      <c r="G1840" s="54" t="n">
        <v>2692400</v>
      </c>
    </row>
    <row r="1841" customFormat="false" ht="15" hidden="false" customHeight="false" outlineLevel="0" collapsed="false">
      <c r="A1841" s="50" t="s">
        <v>796</v>
      </c>
      <c r="B1841" s="51" t="n">
        <v>45770</v>
      </c>
      <c r="C1841" s="50" t="s">
        <v>447</v>
      </c>
      <c r="D1841" s="50" t="s">
        <v>2181</v>
      </c>
      <c r="E1841" s="50" t="n">
        <v>8</v>
      </c>
      <c r="F1841" s="50" t="s">
        <v>2167</v>
      </c>
      <c r="G1841" s="54" t="n">
        <v>9117700</v>
      </c>
    </row>
    <row r="1842" customFormat="false" ht="15" hidden="false" customHeight="false" outlineLevel="0" collapsed="false">
      <c r="A1842" s="50" t="s">
        <v>797</v>
      </c>
      <c r="B1842" s="51" t="n">
        <v>45770</v>
      </c>
      <c r="C1842" s="50" t="s">
        <v>798</v>
      </c>
      <c r="D1842" s="50" t="s">
        <v>2178</v>
      </c>
      <c r="E1842" s="50" t="n">
        <v>5</v>
      </c>
      <c r="F1842" s="50" t="s">
        <v>2167</v>
      </c>
      <c r="G1842" s="54" t="n">
        <v>2359300</v>
      </c>
    </row>
    <row r="1843" customFormat="false" ht="15" hidden="false" customHeight="false" outlineLevel="0" collapsed="false">
      <c r="A1843" s="50" t="s">
        <v>799</v>
      </c>
      <c r="B1843" s="51" t="n">
        <v>45770</v>
      </c>
      <c r="C1843" s="50" t="s">
        <v>430</v>
      </c>
      <c r="D1843" s="50" t="s">
        <v>2182</v>
      </c>
      <c r="E1843" s="50" t="n">
        <v>8</v>
      </c>
      <c r="F1843" s="50" t="s">
        <v>2174</v>
      </c>
      <c r="G1843" s="54" t="n">
        <v>7362400</v>
      </c>
    </row>
    <row r="1844" customFormat="false" ht="15" hidden="false" customHeight="false" outlineLevel="0" collapsed="false">
      <c r="A1844" s="50" t="s">
        <v>799</v>
      </c>
      <c r="B1844" s="51" t="n">
        <v>45770</v>
      </c>
      <c r="C1844" s="50" t="s">
        <v>430</v>
      </c>
      <c r="D1844" s="50" t="s">
        <v>2169</v>
      </c>
      <c r="E1844" s="50" t="n">
        <v>5</v>
      </c>
      <c r="F1844" s="50" t="s">
        <v>2167</v>
      </c>
      <c r="G1844" s="54" t="n">
        <v>3014400</v>
      </c>
    </row>
    <row r="1845" customFormat="false" ht="15" hidden="false" customHeight="false" outlineLevel="0" collapsed="false">
      <c r="A1845" s="50" t="s">
        <v>799</v>
      </c>
      <c r="B1845" s="51" t="n">
        <v>45770</v>
      </c>
      <c r="C1845" s="50" t="s">
        <v>430</v>
      </c>
      <c r="D1845" s="50" t="s">
        <v>2183</v>
      </c>
      <c r="E1845" s="50" t="n">
        <v>1</v>
      </c>
      <c r="F1845" s="50" t="s">
        <v>2167</v>
      </c>
      <c r="G1845" s="54" t="n">
        <v>386100</v>
      </c>
    </row>
    <row r="1846" customFormat="false" ht="15" hidden="false" customHeight="false" outlineLevel="0" collapsed="false">
      <c r="A1846" s="50" t="s">
        <v>799</v>
      </c>
      <c r="B1846" s="51" t="n">
        <v>45770</v>
      </c>
      <c r="C1846" s="50" t="s">
        <v>430</v>
      </c>
      <c r="D1846" s="50" t="s">
        <v>2186</v>
      </c>
      <c r="E1846" s="50" t="n">
        <v>2</v>
      </c>
      <c r="F1846" s="50" t="s">
        <v>2167</v>
      </c>
      <c r="G1846" s="54" t="n">
        <v>1196800</v>
      </c>
    </row>
    <row r="1847" customFormat="false" ht="15" hidden="false" customHeight="false" outlineLevel="0" collapsed="false">
      <c r="A1847" s="50" t="s">
        <v>799</v>
      </c>
      <c r="B1847" s="51" t="n">
        <v>45770</v>
      </c>
      <c r="C1847" s="50" t="s">
        <v>430</v>
      </c>
      <c r="D1847" s="50" t="s">
        <v>2178</v>
      </c>
      <c r="E1847" s="50" t="n">
        <v>1</v>
      </c>
      <c r="F1847" s="50" t="s">
        <v>2167</v>
      </c>
      <c r="G1847" s="54" t="n">
        <v>464100</v>
      </c>
    </row>
    <row r="1848" customFormat="false" ht="15" hidden="false" customHeight="false" outlineLevel="0" collapsed="false">
      <c r="A1848" s="50" t="s">
        <v>800</v>
      </c>
      <c r="B1848" s="51" t="n">
        <v>45770</v>
      </c>
      <c r="C1848" s="50" t="s">
        <v>199</v>
      </c>
      <c r="D1848" s="50" t="s">
        <v>2186</v>
      </c>
      <c r="E1848" s="50" t="n">
        <v>2</v>
      </c>
      <c r="F1848" s="50" t="s">
        <v>2167</v>
      </c>
      <c r="G1848" s="54" t="n">
        <v>1152300</v>
      </c>
    </row>
    <row r="1849" customFormat="false" ht="15" hidden="false" customHeight="false" outlineLevel="0" collapsed="false">
      <c r="A1849" s="50" t="s">
        <v>800</v>
      </c>
      <c r="B1849" s="51" t="n">
        <v>45770</v>
      </c>
      <c r="C1849" s="50" t="s">
        <v>199</v>
      </c>
      <c r="D1849" s="50" t="s">
        <v>2181</v>
      </c>
      <c r="E1849" s="50" t="n">
        <v>7</v>
      </c>
      <c r="F1849" s="50" t="s">
        <v>2167</v>
      </c>
      <c r="G1849" s="54" t="n">
        <v>8215400</v>
      </c>
    </row>
    <row r="1850" customFormat="false" ht="15" hidden="false" customHeight="false" outlineLevel="0" collapsed="false">
      <c r="A1850" s="50" t="s">
        <v>800</v>
      </c>
      <c r="B1850" s="51" t="n">
        <v>45770</v>
      </c>
      <c r="C1850" s="50" t="s">
        <v>199</v>
      </c>
      <c r="D1850" s="50" t="s">
        <v>2183</v>
      </c>
      <c r="E1850" s="50" t="n">
        <v>5</v>
      </c>
      <c r="F1850" s="50" t="s">
        <v>2167</v>
      </c>
      <c r="G1850" s="54" t="n">
        <v>1908600</v>
      </c>
    </row>
    <row r="1851" customFormat="false" ht="15" hidden="false" customHeight="false" outlineLevel="0" collapsed="false">
      <c r="A1851" s="50" t="s">
        <v>800</v>
      </c>
      <c r="B1851" s="51" t="n">
        <v>45770</v>
      </c>
      <c r="C1851" s="50" t="s">
        <v>199</v>
      </c>
      <c r="D1851" s="50" t="s">
        <v>2176</v>
      </c>
      <c r="E1851" s="50" t="n">
        <v>1</v>
      </c>
      <c r="F1851" s="50" t="s">
        <v>2167</v>
      </c>
      <c r="G1851" s="54" t="n">
        <v>423400</v>
      </c>
    </row>
    <row r="1852" customFormat="false" ht="15" hidden="false" customHeight="false" outlineLevel="0" collapsed="false">
      <c r="A1852" s="50" t="s">
        <v>800</v>
      </c>
      <c r="B1852" s="51" t="n">
        <v>45770</v>
      </c>
      <c r="C1852" s="50" t="s">
        <v>199</v>
      </c>
      <c r="D1852" s="50" t="s">
        <v>2184</v>
      </c>
      <c r="E1852" s="50" t="n">
        <v>5</v>
      </c>
      <c r="F1852" s="50" t="s">
        <v>2167</v>
      </c>
      <c r="G1852" s="54" t="n">
        <v>2771200</v>
      </c>
    </row>
    <row r="1853" customFormat="false" ht="15" hidden="false" customHeight="false" outlineLevel="0" collapsed="false">
      <c r="A1853" s="50" t="s">
        <v>801</v>
      </c>
      <c r="B1853" s="51" t="n">
        <v>45770</v>
      </c>
      <c r="C1853" s="50" t="s">
        <v>505</v>
      </c>
      <c r="D1853" s="50" t="s">
        <v>2175</v>
      </c>
      <c r="E1853" s="50" t="n">
        <v>6</v>
      </c>
      <c r="F1853" s="50" t="s">
        <v>2167</v>
      </c>
      <c r="G1853" s="54" t="n">
        <v>3705400</v>
      </c>
    </row>
    <row r="1854" customFormat="false" ht="15" hidden="false" customHeight="false" outlineLevel="0" collapsed="false">
      <c r="A1854" s="50" t="s">
        <v>801</v>
      </c>
      <c r="B1854" s="51" t="n">
        <v>45770</v>
      </c>
      <c r="C1854" s="50" t="s">
        <v>505</v>
      </c>
      <c r="D1854" s="50" t="s">
        <v>2181</v>
      </c>
      <c r="E1854" s="50" t="n">
        <v>6</v>
      </c>
      <c r="F1854" s="50" t="s">
        <v>2167</v>
      </c>
      <c r="G1854" s="54" t="n">
        <v>6974100</v>
      </c>
    </row>
    <row r="1855" customFormat="false" ht="15" hidden="false" customHeight="false" outlineLevel="0" collapsed="false">
      <c r="A1855" s="50" t="s">
        <v>801</v>
      </c>
      <c r="B1855" s="51" t="n">
        <v>45770</v>
      </c>
      <c r="C1855" s="50" t="s">
        <v>505</v>
      </c>
      <c r="D1855" s="50" t="s">
        <v>2169</v>
      </c>
      <c r="E1855" s="50" t="n">
        <v>1</v>
      </c>
      <c r="F1855" s="50" t="s">
        <v>2167</v>
      </c>
      <c r="G1855" s="54" t="n">
        <v>609300</v>
      </c>
    </row>
    <row r="1856" customFormat="false" ht="15" hidden="false" customHeight="false" outlineLevel="0" collapsed="false">
      <c r="A1856" s="50" t="s">
        <v>801</v>
      </c>
      <c r="B1856" s="51" t="n">
        <v>45770</v>
      </c>
      <c r="C1856" s="50" t="s">
        <v>505</v>
      </c>
      <c r="D1856" s="50" t="s">
        <v>2176</v>
      </c>
      <c r="E1856" s="50" t="n">
        <v>2</v>
      </c>
      <c r="F1856" s="50" t="s">
        <v>2167</v>
      </c>
      <c r="G1856" s="54" t="n">
        <v>865100</v>
      </c>
    </row>
    <row r="1857" customFormat="false" ht="15" hidden="false" customHeight="false" outlineLevel="0" collapsed="false">
      <c r="A1857" s="50" t="s">
        <v>802</v>
      </c>
      <c r="B1857" s="51" t="n">
        <v>45770</v>
      </c>
      <c r="C1857" s="50" t="s">
        <v>174</v>
      </c>
      <c r="D1857" s="50" t="s">
        <v>2173</v>
      </c>
      <c r="E1857" s="50" t="n">
        <v>4</v>
      </c>
      <c r="F1857" s="50" t="s">
        <v>2174</v>
      </c>
      <c r="G1857" s="54" t="n">
        <v>3094200</v>
      </c>
    </row>
    <row r="1858" customFormat="false" ht="15" hidden="false" customHeight="false" outlineLevel="0" collapsed="false">
      <c r="A1858" s="50" t="s">
        <v>802</v>
      </c>
      <c r="B1858" s="51" t="n">
        <v>45770</v>
      </c>
      <c r="C1858" s="50" t="s">
        <v>174</v>
      </c>
      <c r="D1858" s="50" t="s">
        <v>2169</v>
      </c>
      <c r="E1858" s="50" t="n">
        <v>4</v>
      </c>
      <c r="F1858" s="50" t="s">
        <v>2167</v>
      </c>
      <c r="G1858" s="54" t="n">
        <v>2565700</v>
      </c>
    </row>
    <row r="1859" customFormat="false" ht="15" hidden="false" customHeight="false" outlineLevel="0" collapsed="false">
      <c r="A1859" s="50" t="s">
        <v>802</v>
      </c>
      <c r="B1859" s="51" t="n">
        <v>45770</v>
      </c>
      <c r="C1859" s="50" t="s">
        <v>174</v>
      </c>
      <c r="D1859" s="50" t="s">
        <v>2188</v>
      </c>
      <c r="E1859" s="50" t="n">
        <v>2</v>
      </c>
      <c r="F1859" s="50" t="s">
        <v>2167</v>
      </c>
      <c r="G1859" s="54" t="n">
        <v>2038200</v>
      </c>
    </row>
    <row r="1860" customFormat="false" ht="15" hidden="false" customHeight="false" outlineLevel="0" collapsed="false">
      <c r="A1860" s="50" t="s">
        <v>803</v>
      </c>
      <c r="B1860" s="51" t="n">
        <v>45771</v>
      </c>
      <c r="C1860" s="50" t="s">
        <v>174</v>
      </c>
      <c r="D1860" s="50" t="s">
        <v>2170</v>
      </c>
      <c r="E1860" s="50" t="n">
        <v>2</v>
      </c>
      <c r="F1860" s="50" t="s">
        <v>2171</v>
      </c>
      <c r="G1860" s="54" t="n">
        <v>15770600</v>
      </c>
    </row>
    <row r="1861" customFormat="false" ht="15" hidden="false" customHeight="false" outlineLevel="0" collapsed="false">
      <c r="A1861" s="50" t="s">
        <v>803</v>
      </c>
      <c r="B1861" s="51" t="n">
        <v>45771</v>
      </c>
      <c r="C1861" s="50" t="s">
        <v>174</v>
      </c>
      <c r="D1861" s="50" t="s">
        <v>2179</v>
      </c>
      <c r="E1861" s="50" t="n">
        <v>8</v>
      </c>
      <c r="F1861" s="50" t="s">
        <v>2174</v>
      </c>
      <c r="G1861" s="54" t="n">
        <v>9631100</v>
      </c>
    </row>
    <row r="1862" customFormat="false" ht="15" hidden="false" customHeight="false" outlineLevel="0" collapsed="false">
      <c r="A1862" s="50" t="s">
        <v>803</v>
      </c>
      <c r="B1862" s="51" t="n">
        <v>45771</v>
      </c>
      <c r="C1862" s="50" t="s">
        <v>174</v>
      </c>
      <c r="D1862" s="50" t="s">
        <v>2172</v>
      </c>
      <c r="E1862" s="50" t="n">
        <v>4</v>
      </c>
      <c r="F1862" s="50" t="s">
        <v>2167</v>
      </c>
      <c r="G1862" s="54" t="n">
        <v>2020100</v>
      </c>
    </row>
    <row r="1863" customFormat="false" ht="15" hidden="false" customHeight="false" outlineLevel="0" collapsed="false">
      <c r="A1863" s="50" t="s">
        <v>803</v>
      </c>
      <c r="B1863" s="51" t="n">
        <v>45771</v>
      </c>
      <c r="C1863" s="50" t="s">
        <v>174</v>
      </c>
      <c r="D1863" s="50" t="s">
        <v>2181</v>
      </c>
      <c r="E1863" s="50" t="n">
        <v>1</v>
      </c>
      <c r="F1863" s="50" t="s">
        <v>2167</v>
      </c>
      <c r="G1863" s="54" t="n">
        <v>1164000</v>
      </c>
    </row>
    <row r="1864" customFormat="false" ht="15" hidden="false" customHeight="false" outlineLevel="0" collapsed="false">
      <c r="A1864" s="50" t="s">
        <v>803</v>
      </c>
      <c r="B1864" s="51" t="n">
        <v>45771</v>
      </c>
      <c r="C1864" s="50" t="s">
        <v>174</v>
      </c>
      <c r="D1864" s="50" t="s">
        <v>2188</v>
      </c>
      <c r="E1864" s="50" t="n">
        <v>5</v>
      </c>
      <c r="F1864" s="50" t="s">
        <v>2167</v>
      </c>
      <c r="G1864" s="54" t="n">
        <v>4885800</v>
      </c>
    </row>
    <row r="1865" customFormat="false" ht="15" hidden="false" customHeight="false" outlineLevel="0" collapsed="false">
      <c r="A1865" s="50" t="s">
        <v>803</v>
      </c>
      <c r="B1865" s="51" t="n">
        <v>45771</v>
      </c>
      <c r="C1865" s="50" t="s">
        <v>174</v>
      </c>
      <c r="D1865" s="50" t="s">
        <v>2184</v>
      </c>
      <c r="E1865" s="50" t="n">
        <v>3</v>
      </c>
      <c r="F1865" s="50" t="s">
        <v>2167</v>
      </c>
      <c r="G1865" s="54" t="n">
        <v>1628600</v>
      </c>
    </row>
    <row r="1866" customFormat="false" ht="15" hidden="false" customHeight="false" outlineLevel="0" collapsed="false">
      <c r="A1866" s="50" t="s">
        <v>803</v>
      </c>
      <c r="B1866" s="51" t="n">
        <v>45771</v>
      </c>
      <c r="C1866" s="50" t="s">
        <v>174</v>
      </c>
      <c r="D1866" s="50" t="s">
        <v>2176</v>
      </c>
      <c r="E1866" s="50" t="n">
        <v>7</v>
      </c>
      <c r="F1866" s="50" t="s">
        <v>2167</v>
      </c>
      <c r="G1866" s="54" t="n">
        <v>3052300</v>
      </c>
    </row>
    <row r="1867" customFormat="false" ht="15" hidden="false" customHeight="false" outlineLevel="0" collapsed="false">
      <c r="A1867" s="50" t="s">
        <v>804</v>
      </c>
      <c r="B1867" s="51" t="n">
        <v>45771</v>
      </c>
      <c r="C1867" s="50" t="s">
        <v>174</v>
      </c>
      <c r="D1867" s="50" t="s">
        <v>2176</v>
      </c>
      <c r="E1867" s="50" t="n">
        <v>3</v>
      </c>
      <c r="F1867" s="50" t="s">
        <v>2167</v>
      </c>
      <c r="G1867" s="54" t="n">
        <v>1224100</v>
      </c>
    </row>
    <row r="1868" customFormat="false" ht="15" hidden="false" customHeight="false" outlineLevel="0" collapsed="false">
      <c r="A1868" s="50" t="s">
        <v>804</v>
      </c>
      <c r="B1868" s="51" t="n">
        <v>45771</v>
      </c>
      <c r="C1868" s="50" t="s">
        <v>174</v>
      </c>
      <c r="D1868" s="50" t="s">
        <v>2185</v>
      </c>
      <c r="E1868" s="50" t="n">
        <v>8</v>
      </c>
      <c r="F1868" s="50" t="s">
        <v>2174</v>
      </c>
      <c r="G1868" s="54" t="n">
        <v>6242700</v>
      </c>
    </row>
    <row r="1869" customFormat="false" ht="15" hidden="false" customHeight="false" outlineLevel="0" collapsed="false">
      <c r="A1869" s="50" t="s">
        <v>804</v>
      </c>
      <c r="B1869" s="51" t="n">
        <v>45771</v>
      </c>
      <c r="C1869" s="50" t="s">
        <v>174</v>
      </c>
      <c r="D1869" s="50" t="s">
        <v>2180</v>
      </c>
      <c r="E1869" s="50" t="n">
        <v>4</v>
      </c>
      <c r="F1869" s="50" t="s">
        <v>2167</v>
      </c>
      <c r="G1869" s="54" t="n">
        <v>1769500</v>
      </c>
    </row>
    <row r="1870" customFormat="false" ht="15" hidden="false" customHeight="false" outlineLevel="0" collapsed="false">
      <c r="A1870" s="50" t="s">
        <v>805</v>
      </c>
      <c r="B1870" s="51" t="n">
        <v>45771</v>
      </c>
      <c r="C1870" s="50" t="s">
        <v>419</v>
      </c>
      <c r="D1870" s="50" t="s">
        <v>2173</v>
      </c>
      <c r="E1870" s="50" t="n">
        <v>4</v>
      </c>
      <c r="F1870" s="50" t="s">
        <v>2174</v>
      </c>
      <c r="G1870" s="54" t="n">
        <v>3248400</v>
      </c>
    </row>
    <row r="1871" customFormat="false" ht="15" hidden="false" customHeight="false" outlineLevel="0" collapsed="false">
      <c r="A1871" s="50" t="s">
        <v>806</v>
      </c>
      <c r="B1871" s="51" t="n">
        <v>45771</v>
      </c>
      <c r="C1871" s="50" t="s">
        <v>475</v>
      </c>
      <c r="D1871" s="50" t="s">
        <v>2183</v>
      </c>
      <c r="E1871" s="50" t="n">
        <v>7</v>
      </c>
      <c r="F1871" s="50" t="s">
        <v>2167</v>
      </c>
      <c r="G1871" s="54" t="n">
        <v>2594800</v>
      </c>
    </row>
    <row r="1872" customFormat="false" ht="15" hidden="false" customHeight="false" outlineLevel="0" collapsed="false">
      <c r="A1872" s="50" t="s">
        <v>806</v>
      </c>
      <c r="B1872" s="51" t="n">
        <v>45771</v>
      </c>
      <c r="C1872" s="50" t="s">
        <v>475</v>
      </c>
      <c r="D1872" s="50" t="s">
        <v>2176</v>
      </c>
      <c r="E1872" s="50" t="n">
        <v>7</v>
      </c>
      <c r="F1872" s="50" t="s">
        <v>2167</v>
      </c>
      <c r="G1872" s="54" t="n">
        <v>3011600</v>
      </c>
    </row>
    <row r="1873" customFormat="false" ht="15" hidden="false" customHeight="false" outlineLevel="0" collapsed="false">
      <c r="A1873" s="50" t="s">
        <v>806</v>
      </c>
      <c r="B1873" s="51" t="n">
        <v>45771</v>
      </c>
      <c r="C1873" s="50" t="s">
        <v>475</v>
      </c>
      <c r="D1873" s="50" t="s">
        <v>2175</v>
      </c>
      <c r="E1873" s="50" t="n">
        <v>7</v>
      </c>
      <c r="F1873" s="50" t="s">
        <v>2167</v>
      </c>
      <c r="G1873" s="54" t="n">
        <v>4392800</v>
      </c>
    </row>
    <row r="1874" customFormat="false" ht="15" hidden="false" customHeight="false" outlineLevel="0" collapsed="false">
      <c r="A1874" s="50" t="s">
        <v>806</v>
      </c>
      <c r="B1874" s="51" t="n">
        <v>45771</v>
      </c>
      <c r="C1874" s="50" t="s">
        <v>475</v>
      </c>
      <c r="D1874" s="50" t="s">
        <v>2181</v>
      </c>
      <c r="E1874" s="50" t="n">
        <v>4</v>
      </c>
      <c r="F1874" s="50" t="s">
        <v>2167</v>
      </c>
      <c r="G1874" s="54" t="n">
        <v>4744200</v>
      </c>
    </row>
    <row r="1875" customFormat="false" ht="15" hidden="false" customHeight="false" outlineLevel="0" collapsed="false">
      <c r="A1875" s="50" t="s">
        <v>806</v>
      </c>
      <c r="B1875" s="51" t="n">
        <v>45771</v>
      </c>
      <c r="C1875" s="50" t="s">
        <v>475</v>
      </c>
      <c r="D1875" s="50" t="s">
        <v>2186</v>
      </c>
      <c r="E1875" s="50" t="n">
        <v>5</v>
      </c>
      <c r="F1875" s="50" t="s">
        <v>2167</v>
      </c>
      <c r="G1875" s="54" t="n">
        <v>2943200</v>
      </c>
    </row>
    <row r="1876" customFormat="false" ht="15" hidden="false" customHeight="false" outlineLevel="0" collapsed="false">
      <c r="A1876" s="50" t="s">
        <v>806</v>
      </c>
      <c r="B1876" s="51" t="n">
        <v>45771</v>
      </c>
      <c r="C1876" s="50" t="s">
        <v>475</v>
      </c>
      <c r="D1876" s="50" t="s">
        <v>2184</v>
      </c>
      <c r="E1876" s="50" t="n">
        <v>5</v>
      </c>
      <c r="F1876" s="50" t="s">
        <v>2167</v>
      </c>
      <c r="G1876" s="54" t="n">
        <v>2798000</v>
      </c>
    </row>
    <row r="1877" customFormat="false" ht="15" hidden="false" customHeight="false" outlineLevel="0" collapsed="false">
      <c r="A1877" s="50" t="s">
        <v>806</v>
      </c>
      <c r="B1877" s="51" t="n">
        <v>45771</v>
      </c>
      <c r="C1877" s="50" t="s">
        <v>475</v>
      </c>
      <c r="D1877" s="50" t="s">
        <v>2173</v>
      </c>
      <c r="E1877" s="50" t="n">
        <v>3</v>
      </c>
      <c r="F1877" s="50" t="s">
        <v>2174</v>
      </c>
      <c r="G1877" s="54" t="n">
        <v>2466200</v>
      </c>
    </row>
    <row r="1878" customFormat="false" ht="15" hidden="false" customHeight="false" outlineLevel="0" collapsed="false">
      <c r="A1878" s="50" t="s">
        <v>807</v>
      </c>
      <c r="B1878" s="51" t="n">
        <v>45771</v>
      </c>
      <c r="C1878" s="50" t="s">
        <v>216</v>
      </c>
      <c r="D1878" s="50" t="s">
        <v>2180</v>
      </c>
      <c r="E1878" s="50" t="n">
        <v>7</v>
      </c>
      <c r="F1878" s="50" t="s">
        <v>2167</v>
      </c>
      <c r="G1878" s="54" t="n">
        <v>3154600</v>
      </c>
    </row>
    <row r="1879" customFormat="false" ht="15" hidden="false" customHeight="false" outlineLevel="0" collapsed="false">
      <c r="A1879" s="50" t="s">
        <v>807</v>
      </c>
      <c r="B1879" s="51" t="n">
        <v>45771</v>
      </c>
      <c r="C1879" s="50" t="s">
        <v>216</v>
      </c>
      <c r="D1879" s="50" t="s">
        <v>2179</v>
      </c>
      <c r="E1879" s="50" t="n">
        <v>1</v>
      </c>
      <c r="F1879" s="50" t="s">
        <v>2174</v>
      </c>
      <c r="G1879" s="54" t="n">
        <v>1232800</v>
      </c>
    </row>
    <row r="1880" customFormat="false" ht="15" hidden="false" customHeight="false" outlineLevel="0" collapsed="false">
      <c r="A1880" s="50" t="s">
        <v>807</v>
      </c>
      <c r="B1880" s="51" t="n">
        <v>45771</v>
      </c>
      <c r="C1880" s="50" t="s">
        <v>216</v>
      </c>
      <c r="D1880" s="50" t="s">
        <v>2186</v>
      </c>
      <c r="E1880" s="50" t="n">
        <v>2</v>
      </c>
      <c r="F1880" s="50" t="s">
        <v>2167</v>
      </c>
      <c r="G1880" s="54" t="n">
        <v>1134000</v>
      </c>
    </row>
    <row r="1881" customFormat="false" ht="15" hidden="false" customHeight="false" outlineLevel="0" collapsed="false">
      <c r="A1881" s="50" t="s">
        <v>808</v>
      </c>
      <c r="B1881" s="51" t="n">
        <v>45771</v>
      </c>
      <c r="C1881" s="50" t="s">
        <v>205</v>
      </c>
      <c r="D1881" s="50" t="s">
        <v>2178</v>
      </c>
      <c r="E1881" s="50" t="n">
        <v>3</v>
      </c>
      <c r="F1881" s="50" t="s">
        <v>2167</v>
      </c>
      <c r="G1881" s="54" t="n">
        <v>1457400</v>
      </c>
    </row>
    <row r="1882" customFormat="false" ht="15" hidden="false" customHeight="false" outlineLevel="0" collapsed="false">
      <c r="A1882" s="50" t="s">
        <v>808</v>
      </c>
      <c r="B1882" s="51" t="n">
        <v>45771</v>
      </c>
      <c r="C1882" s="50" t="s">
        <v>205</v>
      </c>
      <c r="D1882" s="50" t="s">
        <v>2175</v>
      </c>
      <c r="E1882" s="50" t="n">
        <v>5</v>
      </c>
      <c r="F1882" s="50" t="s">
        <v>2167</v>
      </c>
      <c r="G1882" s="54" t="n">
        <v>3215400</v>
      </c>
    </row>
    <row r="1883" customFormat="false" ht="15" hidden="false" customHeight="false" outlineLevel="0" collapsed="false">
      <c r="A1883" s="50" t="s">
        <v>809</v>
      </c>
      <c r="B1883" s="51" t="n">
        <v>45771</v>
      </c>
      <c r="C1883" s="50" t="s">
        <v>199</v>
      </c>
      <c r="D1883" s="50" t="s">
        <v>2172</v>
      </c>
      <c r="E1883" s="50" t="n">
        <v>5</v>
      </c>
      <c r="F1883" s="50" t="s">
        <v>2167</v>
      </c>
      <c r="G1883" s="54" t="n">
        <v>2568000</v>
      </c>
    </row>
    <row r="1884" customFormat="false" ht="15" hidden="false" customHeight="false" outlineLevel="0" collapsed="false">
      <c r="A1884" s="50" t="s">
        <v>809</v>
      </c>
      <c r="B1884" s="51" t="n">
        <v>45771</v>
      </c>
      <c r="C1884" s="50" t="s">
        <v>199</v>
      </c>
      <c r="D1884" s="50" t="s">
        <v>2169</v>
      </c>
      <c r="E1884" s="50" t="n">
        <v>2</v>
      </c>
      <c r="F1884" s="50" t="s">
        <v>2167</v>
      </c>
      <c r="G1884" s="54" t="n">
        <v>1270700</v>
      </c>
    </row>
    <row r="1885" customFormat="false" ht="15" hidden="false" customHeight="false" outlineLevel="0" collapsed="false">
      <c r="A1885" s="50" t="s">
        <v>809</v>
      </c>
      <c r="B1885" s="51" t="n">
        <v>45771</v>
      </c>
      <c r="C1885" s="50" t="s">
        <v>199</v>
      </c>
      <c r="D1885" s="50" t="s">
        <v>2176</v>
      </c>
      <c r="E1885" s="50" t="n">
        <v>5</v>
      </c>
      <c r="F1885" s="50" t="s">
        <v>2167</v>
      </c>
      <c r="G1885" s="54" t="n">
        <v>2149300</v>
      </c>
    </row>
    <row r="1886" customFormat="false" ht="15" hidden="false" customHeight="false" outlineLevel="0" collapsed="false">
      <c r="A1886" s="50" t="s">
        <v>809</v>
      </c>
      <c r="B1886" s="51" t="n">
        <v>45771</v>
      </c>
      <c r="C1886" s="50" t="s">
        <v>199</v>
      </c>
      <c r="D1886" s="50" t="s">
        <v>2180</v>
      </c>
      <c r="E1886" s="50" t="n">
        <v>5</v>
      </c>
      <c r="F1886" s="50" t="s">
        <v>2167</v>
      </c>
      <c r="G1886" s="54" t="n">
        <v>2214300</v>
      </c>
    </row>
    <row r="1887" customFormat="false" ht="15" hidden="false" customHeight="false" outlineLevel="0" collapsed="false">
      <c r="A1887" s="50" t="s">
        <v>809</v>
      </c>
      <c r="B1887" s="51" t="n">
        <v>45771</v>
      </c>
      <c r="C1887" s="50" t="s">
        <v>199</v>
      </c>
      <c r="D1887" s="50" t="s">
        <v>2175</v>
      </c>
      <c r="E1887" s="50" t="n">
        <v>7</v>
      </c>
      <c r="F1887" s="50" t="s">
        <v>2167</v>
      </c>
      <c r="G1887" s="54" t="n">
        <v>4524000</v>
      </c>
    </row>
    <row r="1888" customFormat="false" ht="15" hidden="false" customHeight="false" outlineLevel="0" collapsed="false">
      <c r="A1888" s="50" t="s">
        <v>810</v>
      </c>
      <c r="B1888" s="51" t="n">
        <v>45772</v>
      </c>
      <c r="C1888" s="50" t="s">
        <v>188</v>
      </c>
      <c r="D1888" s="50" t="s">
        <v>2179</v>
      </c>
      <c r="E1888" s="50" t="n">
        <v>6</v>
      </c>
      <c r="F1888" s="50" t="s">
        <v>2174</v>
      </c>
      <c r="G1888" s="54" t="n">
        <v>7430300</v>
      </c>
    </row>
    <row r="1889" customFormat="false" ht="15" hidden="false" customHeight="false" outlineLevel="0" collapsed="false">
      <c r="A1889" s="50" t="s">
        <v>810</v>
      </c>
      <c r="B1889" s="51" t="n">
        <v>45772</v>
      </c>
      <c r="C1889" s="50" t="s">
        <v>188</v>
      </c>
      <c r="D1889" s="50" t="s">
        <v>2188</v>
      </c>
      <c r="E1889" s="50" t="n">
        <v>7</v>
      </c>
      <c r="F1889" s="50" t="s">
        <v>2167</v>
      </c>
      <c r="G1889" s="54" t="n">
        <v>6900500</v>
      </c>
    </row>
    <row r="1890" customFormat="false" ht="15" hidden="false" customHeight="false" outlineLevel="0" collapsed="false">
      <c r="A1890" s="50" t="s">
        <v>810</v>
      </c>
      <c r="B1890" s="51" t="n">
        <v>45772</v>
      </c>
      <c r="C1890" s="50" t="s">
        <v>188</v>
      </c>
      <c r="D1890" s="50" t="s">
        <v>2186</v>
      </c>
      <c r="E1890" s="50" t="n">
        <v>5</v>
      </c>
      <c r="F1890" s="50" t="s">
        <v>2167</v>
      </c>
      <c r="G1890" s="54" t="n">
        <v>3059100</v>
      </c>
    </row>
    <row r="1891" customFormat="false" ht="15" hidden="false" customHeight="false" outlineLevel="0" collapsed="false">
      <c r="A1891" s="50" t="s">
        <v>811</v>
      </c>
      <c r="B1891" s="51" t="n">
        <v>45772</v>
      </c>
      <c r="C1891" s="50" t="s">
        <v>216</v>
      </c>
      <c r="D1891" s="50" t="s">
        <v>2176</v>
      </c>
      <c r="E1891" s="50" t="n">
        <v>4</v>
      </c>
      <c r="F1891" s="50" t="s">
        <v>2167</v>
      </c>
      <c r="G1891" s="54" t="n">
        <v>1662800</v>
      </c>
    </row>
    <row r="1892" customFormat="false" ht="15" hidden="false" customHeight="false" outlineLevel="0" collapsed="false">
      <c r="A1892" s="50" t="s">
        <v>811</v>
      </c>
      <c r="B1892" s="51" t="n">
        <v>45772</v>
      </c>
      <c r="C1892" s="50" t="s">
        <v>216</v>
      </c>
      <c r="D1892" s="50" t="s">
        <v>2166</v>
      </c>
      <c r="E1892" s="50" t="n">
        <v>8</v>
      </c>
      <c r="F1892" s="50" t="s">
        <v>2167</v>
      </c>
      <c r="G1892" s="54" t="n">
        <v>4174500</v>
      </c>
    </row>
    <row r="1893" customFormat="false" ht="15" hidden="false" customHeight="false" outlineLevel="0" collapsed="false">
      <c r="A1893" s="50" t="s">
        <v>811</v>
      </c>
      <c r="B1893" s="51" t="n">
        <v>45772</v>
      </c>
      <c r="C1893" s="50" t="s">
        <v>216</v>
      </c>
      <c r="D1893" s="50" t="s">
        <v>2184</v>
      </c>
      <c r="E1893" s="50" t="n">
        <v>7</v>
      </c>
      <c r="F1893" s="50" t="s">
        <v>2167</v>
      </c>
      <c r="G1893" s="54" t="n">
        <v>4011800</v>
      </c>
    </row>
    <row r="1894" customFormat="false" ht="15" hidden="false" customHeight="false" outlineLevel="0" collapsed="false">
      <c r="A1894" s="50" t="s">
        <v>811</v>
      </c>
      <c r="B1894" s="51" t="n">
        <v>45772</v>
      </c>
      <c r="C1894" s="50" t="s">
        <v>216</v>
      </c>
      <c r="D1894" s="50" t="s">
        <v>2185</v>
      </c>
      <c r="E1894" s="50" t="n">
        <v>1</v>
      </c>
      <c r="F1894" s="50" t="s">
        <v>2174</v>
      </c>
      <c r="G1894" s="54" t="n">
        <v>810900</v>
      </c>
    </row>
    <row r="1895" customFormat="false" ht="15" hidden="false" customHeight="false" outlineLevel="0" collapsed="false">
      <c r="A1895" s="50" t="s">
        <v>811</v>
      </c>
      <c r="B1895" s="51" t="n">
        <v>45772</v>
      </c>
      <c r="C1895" s="50" t="s">
        <v>216</v>
      </c>
      <c r="D1895" s="50" t="s">
        <v>2178</v>
      </c>
      <c r="E1895" s="50" t="n">
        <v>3</v>
      </c>
      <c r="F1895" s="50" t="s">
        <v>2167</v>
      </c>
      <c r="G1895" s="54" t="n">
        <v>1474700</v>
      </c>
    </row>
    <row r="1896" customFormat="false" ht="15" hidden="false" customHeight="false" outlineLevel="0" collapsed="false">
      <c r="A1896" s="50" t="s">
        <v>812</v>
      </c>
      <c r="B1896" s="51" t="n">
        <v>45772</v>
      </c>
      <c r="C1896" s="50" t="s">
        <v>188</v>
      </c>
      <c r="D1896" s="50" t="s">
        <v>2182</v>
      </c>
      <c r="E1896" s="50" t="n">
        <v>6</v>
      </c>
      <c r="F1896" s="50" t="s">
        <v>2174</v>
      </c>
      <c r="G1896" s="54" t="n">
        <v>5896300</v>
      </c>
    </row>
    <row r="1897" customFormat="false" ht="15" hidden="false" customHeight="false" outlineLevel="0" collapsed="false">
      <c r="A1897" s="50" t="s">
        <v>812</v>
      </c>
      <c r="B1897" s="51" t="n">
        <v>45772</v>
      </c>
      <c r="C1897" s="50" t="s">
        <v>188</v>
      </c>
      <c r="D1897" s="50" t="s">
        <v>2168</v>
      </c>
      <c r="E1897" s="50" t="n">
        <v>6</v>
      </c>
      <c r="F1897" s="50" t="s">
        <v>2167</v>
      </c>
      <c r="G1897" s="54" t="n">
        <v>2514000</v>
      </c>
    </row>
    <row r="1898" customFormat="false" ht="15" hidden="false" customHeight="false" outlineLevel="0" collapsed="false">
      <c r="A1898" s="50" t="s">
        <v>812</v>
      </c>
      <c r="B1898" s="51" t="n">
        <v>45772</v>
      </c>
      <c r="C1898" s="50" t="s">
        <v>188</v>
      </c>
      <c r="D1898" s="50" t="s">
        <v>2176</v>
      </c>
      <c r="E1898" s="50" t="n">
        <v>8</v>
      </c>
      <c r="F1898" s="50" t="s">
        <v>2167</v>
      </c>
      <c r="G1898" s="54" t="n">
        <v>3398900</v>
      </c>
    </row>
    <row r="1899" customFormat="false" ht="15" hidden="false" customHeight="false" outlineLevel="0" collapsed="false">
      <c r="A1899" s="50" t="s">
        <v>813</v>
      </c>
      <c r="B1899" s="51" t="n">
        <v>45772</v>
      </c>
      <c r="C1899" s="50" t="s">
        <v>814</v>
      </c>
      <c r="D1899" s="50" t="s">
        <v>2186</v>
      </c>
      <c r="E1899" s="50" t="n">
        <v>3</v>
      </c>
      <c r="F1899" s="50" t="s">
        <v>2167</v>
      </c>
      <c r="G1899" s="54" t="n">
        <v>1794600</v>
      </c>
    </row>
    <row r="1900" customFormat="false" ht="15" hidden="false" customHeight="false" outlineLevel="0" collapsed="false">
      <c r="A1900" s="50" t="s">
        <v>813</v>
      </c>
      <c r="B1900" s="51" t="n">
        <v>45772</v>
      </c>
      <c r="C1900" s="50" t="s">
        <v>814</v>
      </c>
      <c r="D1900" s="50" t="s">
        <v>2179</v>
      </c>
      <c r="E1900" s="50" t="n">
        <v>8</v>
      </c>
      <c r="F1900" s="50" t="s">
        <v>2174</v>
      </c>
      <c r="G1900" s="54" t="n">
        <v>10114700</v>
      </c>
    </row>
    <row r="1901" customFormat="false" ht="15" hidden="false" customHeight="false" outlineLevel="0" collapsed="false">
      <c r="A1901" s="50" t="s">
        <v>813</v>
      </c>
      <c r="B1901" s="51" t="n">
        <v>45772</v>
      </c>
      <c r="C1901" s="50" t="s">
        <v>814</v>
      </c>
      <c r="D1901" s="50" t="s">
        <v>2172</v>
      </c>
      <c r="E1901" s="50" t="n">
        <v>8</v>
      </c>
      <c r="F1901" s="50" t="s">
        <v>2167</v>
      </c>
      <c r="G1901" s="54" t="n">
        <v>4078400</v>
      </c>
    </row>
    <row r="1902" customFormat="false" ht="15" hidden="false" customHeight="false" outlineLevel="0" collapsed="false">
      <c r="A1902" s="50" t="s">
        <v>813</v>
      </c>
      <c r="B1902" s="51" t="n">
        <v>45772</v>
      </c>
      <c r="C1902" s="50" t="s">
        <v>814</v>
      </c>
      <c r="D1902" s="50" t="s">
        <v>2187</v>
      </c>
      <c r="E1902" s="50" t="n">
        <v>3</v>
      </c>
      <c r="F1902" s="50" t="s">
        <v>2167</v>
      </c>
      <c r="G1902" s="54" t="n">
        <v>1089500</v>
      </c>
    </row>
    <row r="1903" customFormat="false" ht="15" hidden="false" customHeight="false" outlineLevel="0" collapsed="false">
      <c r="A1903" s="50" t="s">
        <v>815</v>
      </c>
      <c r="B1903" s="51" t="n">
        <v>45772</v>
      </c>
      <c r="C1903" s="50" t="s">
        <v>197</v>
      </c>
      <c r="D1903" s="50" t="s">
        <v>2185</v>
      </c>
      <c r="E1903" s="50" t="n">
        <v>2</v>
      </c>
      <c r="F1903" s="50" t="s">
        <v>2174</v>
      </c>
      <c r="G1903" s="54" t="n">
        <v>1538200</v>
      </c>
    </row>
    <row r="1904" customFormat="false" ht="15" hidden="false" customHeight="false" outlineLevel="0" collapsed="false">
      <c r="A1904" s="50" t="s">
        <v>815</v>
      </c>
      <c r="B1904" s="51" t="n">
        <v>45772</v>
      </c>
      <c r="C1904" s="50" t="s">
        <v>197</v>
      </c>
      <c r="D1904" s="50" t="s">
        <v>2183</v>
      </c>
      <c r="E1904" s="50" t="n">
        <v>3</v>
      </c>
      <c r="F1904" s="50" t="s">
        <v>2167</v>
      </c>
      <c r="G1904" s="54" t="n">
        <v>1161900</v>
      </c>
    </row>
    <row r="1905" customFormat="false" ht="15" hidden="false" customHeight="false" outlineLevel="0" collapsed="false">
      <c r="A1905" s="50" t="s">
        <v>815</v>
      </c>
      <c r="B1905" s="51" t="n">
        <v>45772</v>
      </c>
      <c r="C1905" s="50" t="s">
        <v>197</v>
      </c>
      <c r="D1905" s="50" t="s">
        <v>2169</v>
      </c>
      <c r="E1905" s="50" t="n">
        <v>7</v>
      </c>
      <c r="F1905" s="50" t="s">
        <v>2167</v>
      </c>
      <c r="G1905" s="54" t="n">
        <v>4457100</v>
      </c>
    </row>
    <row r="1906" customFormat="false" ht="15" hidden="false" customHeight="false" outlineLevel="0" collapsed="false">
      <c r="A1906" s="50" t="s">
        <v>815</v>
      </c>
      <c r="B1906" s="51" t="n">
        <v>45772</v>
      </c>
      <c r="C1906" s="50" t="s">
        <v>197</v>
      </c>
      <c r="D1906" s="50" t="s">
        <v>2180</v>
      </c>
      <c r="E1906" s="50" t="n">
        <v>5</v>
      </c>
      <c r="F1906" s="50" t="s">
        <v>2167</v>
      </c>
      <c r="G1906" s="54" t="n">
        <v>2244400</v>
      </c>
    </row>
    <row r="1907" customFormat="false" ht="15" hidden="false" customHeight="false" outlineLevel="0" collapsed="false">
      <c r="A1907" s="50" t="s">
        <v>816</v>
      </c>
      <c r="B1907" s="51" t="n">
        <v>45773</v>
      </c>
      <c r="C1907" s="50" t="s">
        <v>216</v>
      </c>
      <c r="D1907" s="50" t="s">
        <v>2178</v>
      </c>
      <c r="E1907" s="50" t="n">
        <v>1</v>
      </c>
      <c r="F1907" s="50" t="s">
        <v>2167</v>
      </c>
      <c r="G1907" s="54" t="n">
        <v>476400</v>
      </c>
    </row>
    <row r="1908" customFormat="false" ht="15" hidden="false" customHeight="false" outlineLevel="0" collapsed="false">
      <c r="A1908" s="50" t="s">
        <v>816</v>
      </c>
      <c r="B1908" s="51" t="n">
        <v>45773</v>
      </c>
      <c r="C1908" s="50" t="s">
        <v>216</v>
      </c>
      <c r="D1908" s="50" t="s">
        <v>2186</v>
      </c>
      <c r="E1908" s="50" t="n">
        <v>1</v>
      </c>
      <c r="F1908" s="50" t="s">
        <v>2167</v>
      </c>
      <c r="G1908" s="54" t="n">
        <v>587500</v>
      </c>
    </row>
    <row r="1909" customFormat="false" ht="15" hidden="false" customHeight="false" outlineLevel="0" collapsed="false">
      <c r="A1909" s="50" t="s">
        <v>817</v>
      </c>
      <c r="B1909" s="51" t="n">
        <v>45773</v>
      </c>
      <c r="C1909" s="50" t="s">
        <v>174</v>
      </c>
      <c r="D1909" s="50" t="s">
        <v>2181</v>
      </c>
      <c r="E1909" s="50" t="n">
        <v>6</v>
      </c>
      <c r="F1909" s="50" t="s">
        <v>2167</v>
      </c>
      <c r="G1909" s="54" t="n">
        <v>6737700</v>
      </c>
    </row>
    <row r="1910" customFormat="false" ht="15" hidden="false" customHeight="false" outlineLevel="0" collapsed="false">
      <c r="A1910" s="50" t="s">
        <v>817</v>
      </c>
      <c r="B1910" s="51" t="n">
        <v>45773</v>
      </c>
      <c r="C1910" s="50" t="s">
        <v>174</v>
      </c>
      <c r="D1910" s="50" t="s">
        <v>2180</v>
      </c>
      <c r="E1910" s="50" t="n">
        <v>7</v>
      </c>
      <c r="F1910" s="50" t="s">
        <v>2167</v>
      </c>
      <c r="G1910" s="54" t="n">
        <v>3247400</v>
      </c>
    </row>
    <row r="1911" customFormat="false" ht="15" hidden="false" customHeight="false" outlineLevel="0" collapsed="false">
      <c r="A1911" s="50" t="s">
        <v>817</v>
      </c>
      <c r="B1911" s="51" t="n">
        <v>45773</v>
      </c>
      <c r="C1911" s="50" t="s">
        <v>174</v>
      </c>
      <c r="D1911" s="50" t="s">
        <v>2179</v>
      </c>
      <c r="E1911" s="50" t="n">
        <v>7</v>
      </c>
      <c r="F1911" s="50" t="s">
        <v>2174</v>
      </c>
      <c r="G1911" s="54" t="n">
        <v>8612900</v>
      </c>
    </row>
    <row r="1912" customFormat="false" ht="15" hidden="false" customHeight="false" outlineLevel="0" collapsed="false">
      <c r="A1912" s="50" t="s">
        <v>817</v>
      </c>
      <c r="B1912" s="51" t="n">
        <v>45773</v>
      </c>
      <c r="C1912" s="50" t="s">
        <v>174</v>
      </c>
      <c r="D1912" s="50" t="s">
        <v>2176</v>
      </c>
      <c r="E1912" s="50" t="n">
        <v>7</v>
      </c>
      <c r="F1912" s="50" t="s">
        <v>2167</v>
      </c>
      <c r="G1912" s="54" t="n">
        <v>2952500</v>
      </c>
    </row>
    <row r="1913" customFormat="false" ht="15" hidden="false" customHeight="false" outlineLevel="0" collapsed="false">
      <c r="A1913" s="50" t="s">
        <v>817</v>
      </c>
      <c r="B1913" s="51" t="n">
        <v>45773</v>
      </c>
      <c r="C1913" s="50" t="s">
        <v>174</v>
      </c>
      <c r="D1913" s="50" t="s">
        <v>2184</v>
      </c>
      <c r="E1913" s="50" t="n">
        <v>4</v>
      </c>
      <c r="F1913" s="50" t="s">
        <v>2167</v>
      </c>
      <c r="G1913" s="54" t="n">
        <v>2192300</v>
      </c>
    </row>
    <row r="1914" customFormat="false" ht="15" hidden="false" customHeight="false" outlineLevel="0" collapsed="false">
      <c r="A1914" s="50" t="s">
        <v>817</v>
      </c>
      <c r="B1914" s="51" t="n">
        <v>45773</v>
      </c>
      <c r="C1914" s="50" t="s">
        <v>174</v>
      </c>
      <c r="D1914" s="50" t="s">
        <v>2183</v>
      </c>
      <c r="E1914" s="50" t="n">
        <v>2</v>
      </c>
      <c r="F1914" s="50" t="s">
        <v>2167</v>
      </c>
      <c r="G1914" s="54" t="n">
        <v>784000</v>
      </c>
    </row>
    <row r="1915" customFormat="false" ht="15" hidden="false" customHeight="false" outlineLevel="0" collapsed="false">
      <c r="A1915" s="50" t="s">
        <v>817</v>
      </c>
      <c r="B1915" s="51" t="n">
        <v>45773</v>
      </c>
      <c r="C1915" s="50" t="s">
        <v>174</v>
      </c>
      <c r="D1915" s="50" t="s">
        <v>2182</v>
      </c>
      <c r="E1915" s="50" t="n">
        <v>5</v>
      </c>
      <c r="F1915" s="50" t="s">
        <v>2174</v>
      </c>
      <c r="G1915" s="54" t="n">
        <v>4712200</v>
      </c>
    </row>
    <row r="1916" customFormat="false" ht="15" hidden="false" customHeight="false" outlineLevel="0" collapsed="false">
      <c r="A1916" s="50" t="s">
        <v>818</v>
      </c>
      <c r="B1916" s="51" t="n">
        <v>45773</v>
      </c>
      <c r="C1916" s="50" t="s">
        <v>232</v>
      </c>
      <c r="D1916" s="50" t="s">
        <v>2184</v>
      </c>
      <c r="E1916" s="50" t="n">
        <v>8</v>
      </c>
      <c r="F1916" s="50" t="s">
        <v>2167</v>
      </c>
      <c r="G1916" s="54" t="n">
        <v>4617600</v>
      </c>
    </row>
    <row r="1917" customFormat="false" ht="15" hidden="false" customHeight="false" outlineLevel="0" collapsed="false">
      <c r="A1917" s="50" t="s">
        <v>818</v>
      </c>
      <c r="B1917" s="51" t="n">
        <v>45773</v>
      </c>
      <c r="C1917" s="50" t="s">
        <v>232</v>
      </c>
      <c r="D1917" s="50" t="s">
        <v>2186</v>
      </c>
      <c r="E1917" s="50" t="n">
        <v>5</v>
      </c>
      <c r="F1917" s="50" t="s">
        <v>2167</v>
      </c>
      <c r="G1917" s="54" t="n">
        <v>3015300</v>
      </c>
    </row>
    <row r="1918" customFormat="false" ht="15" hidden="false" customHeight="false" outlineLevel="0" collapsed="false">
      <c r="A1918" s="50" t="s">
        <v>818</v>
      </c>
      <c r="B1918" s="51" t="n">
        <v>45773</v>
      </c>
      <c r="C1918" s="50" t="s">
        <v>232</v>
      </c>
      <c r="D1918" s="50" t="s">
        <v>2182</v>
      </c>
      <c r="E1918" s="50" t="n">
        <v>3</v>
      </c>
      <c r="F1918" s="50" t="s">
        <v>2174</v>
      </c>
      <c r="G1918" s="54" t="n">
        <v>2922000</v>
      </c>
    </row>
    <row r="1919" customFormat="false" ht="15" hidden="false" customHeight="false" outlineLevel="0" collapsed="false">
      <c r="A1919" s="50" t="s">
        <v>818</v>
      </c>
      <c r="B1919" s="51" t="n">
        <v>45773</v>
      </c>
      <c r="C1919" s="50" t="s">
        <v>232</v>
      </c>
      <c r="D1919" s="50" t="s">
        <v>2173</v>
      </c>
      <c r="E1919" s="50" t="n">
        <v>2</v>
      </c>
      <c r="F1919" s="50" t="s">
        <v>2174</v>
      </c>
      <c r="G1919" s="54" t="n">
        <v>1556400</v>
      </c>
    </row>
    <row r="1920" customFormat="false" ht="15" hidden="false" customHeight="false" outlineLevel="0" collapsed="false">
      <c r="A1920" s="50" t="s">
        <v>819</v>
      </c>
      <c r="B1920" s="51" t="n">
        <v>45773</v>
      </c>
      <c r="C1920" s="50" t="s">
        <v>174</v>
      </c>
      <c r="D1920" s="50" t="s">
        <v>2183</v>
      </c>
      <c r="E1920" s="50" t="n">
        <v>2</v>
      </c>
      <c r="F1920" s="50" t="s">
        <v>2167</v>
      </c>
      <c r="G1920" s="54" t="n">
        <v>743200</v>
      </c>
    </row>
    <row r="1921" customFormat="false" ht="15" hidden="false" customHeight="false" outlineLevel="0" collapsed="false">
      <c r="A1921" s="50" t="s">
        <v>819</v>
      </c>
      <c r="B1921" s="51" t="n">
        <v>45773</v>
      </c>
      <c r="C1921" s="50" t="s">
        <v>174</v>
      </c>
      <c r="D1921" s="50" t="s">
        <v>2181</v>
      </c>
      <c r="E1921" s="50" t="n">
        <v>1</v>
      </c>
      <c r="F1921" s="50" t="s">
        <v>2167</v>
      </c>
      <c r="G1921" s="54" t="n">
        <v>1169500</v>
      </c>
    </row>
    <row r="1922" customFormat="false" ht="15" hidden="false" customHeight="false" outlineLevel="0" collapsed="false">
      <c r="A1922" s="50" t="s">
        <v>819</v>
      </c>
      <c r="B1922" s="51" t="n">
        <v>45773</v>
      </c>
      <c r="C1922" s="50" t="s">
        <v>174</v>
      </c>
      <c r="D1922" s="50" t="s">
        <v>2166</v>
      </c>
      <c r="E1922" s="50" t="n">
        <v>1</v>
      </c>
      <c r="F1922" s="50" t="s">
        <v>2167</v>
      </c>
      <c r="G1922" s="54" t="n">
        <v>532500</v>
      </c>
    </row>
    <row r="1923" customFormat="false" ht="15" hidden="false" customHeight="false" outlineLevel="0" collapsed="false">
      <c r="A1923" s="50" t="s">
        <v>819</v>
      </c>
      <c r="B1923" s="51" t="n">
        <v>45773</v>
      </c>
      <c r="C1923" s="50" t="s">
        <v>174</v>
      </c>
      <c r="D1923" s="50" t="s">
        <v>2180</v>
      </c>
      <c r="E1923" s="50" t="n">
        <v>2</v>
      </c>
      <c r="F1923" s="50" t="s">
        <v>2167</v>
      </c>
      <c r="G1923" s="54" t="n">
        <v>878800</v>
      </c>
    </row>
    <row r="1924" customFormat="false" ht="15" hidden="false" customHeight="false" outlineLevel="0" collapsed="false">
      <c r="A1924" s="50" t="s">
        <v>819</v>
      </c>
      <c r="B1924" s="51" t="n">
        <v>45773</v>
      </c>
      <c r="C1924" s="50" t="s">
        <v>174</v>
      </c>
      <c r="D1924" s="50" t="s">
        <v>2185</v>
      </c>
      <c r="E1924" s="50" t="n">
        <v>5</v>
      </c>
      <c r="F1924" s="50" t="s">
        <v>2174</v>
      </c>
      <c r="G1924" s="54" t="n">
        <v>3915400</v>
      </c>
    </row>
    <row r="1925" customFormat="false" ht="15" hidden="false" customHeight="false" outlineLevel="0" collapsed="false">
      <c r="A1925" s="50" t="s">
        <v>819</v>
      </c>
      <c r="B1925" s="51" t="n">
        <v>45773</v>
      </c>
      <c r="C1925" s="50" t="s">
        <v>174</v>
      </c>
      <c r="D1925" s="50" t="s">
        <v>2169</v>
      </c>
      <c r="E1925" s="50" t="n">
        <v>7</v>
      </c>
      <c r="F1925" s="50" t="s">
        <v>2167</v>
      </c>
      <c r="G1925" s="54" t="n">
        <v>4427200</v>
      </c>
    </row>
    <row r="1926" customFormat="false" ht="15" hidden="false" customHeight="false" outlineLevel="0" collapsed="false">
      <c r="A1926" s="50" t="s">
        <v>819</v>
      </c>
      <c r="B1926" s="51" t="n">
        <v>45773</v>
      </c>
      <c r="C1926" s="50" t="s">
        <v>174</v>
      </c>
      <c r="D1926" s="50" t="s">
        <v>2168</v>
      </c>
      <c r="E1926" s="50" t="n">
        <v>7</v>
      </c>
      <c r="F1926" s="50" t="s">
        <v>2167</v>
      </c>
      <c r="G1926" s="54" t="n">
        <v>3057500</v>
      </c>
    </row>
    <row r="1927" customFormat="false" ht="15" hidden="false" customHeight="false" outlineLevel="0" collapsed="false">
      <c r="A1927" s="50" t="s">
        <v>819</v>
      </c>
      <c r="B1927" s="51" t="n">
        <v>45773</v>
      </c>
      <c r="C1927" s="50" t="s">
        <v>174</v>
      </c>
      <c r="D1927" s="50" t="s">
        <v>2184</v>
      </c>
      <c r="E1927" s="50" t="n">
        <v>8</v>
      </c>
      <c r="F1927" s="50" t="s">
        <v>2167</v>
      </c>
      <c r="G1927" s="54" t="n">
        <v>4597200</v>
      </c>
    </row>
    <row r="1928" customFormat="false" ht="15" hidden="false" customHeight="false" outlineLevel="0" collapsed="false">
      <c r="A1928" s="50" t="s">
        <v>820</v>
      </c>
      <c r="B1928" s="51" t="n">
        <v>45773</v>
      </c>
      <c r="C1928" s="50" t="s">
        <v>286</v>
      </c>
      <c r="D1928" s="50" t="s">
        <v>2179</v>
      </c>
      <c r="E1928" s="50" t="n">
        <v>3</v>
      </c>
      <c r="F1928" s="50" t="s">
        <v>2174</v>
      </c>
      <c r="G1928" s="54" t="n">
        <v>3863700</v>
      </c>
    </row>
    <row r="1929" customFormat="false" ht="15" hidden="false" customHeight="false" outlineLevel="0" collapsed="false">
      <c r="A1929" s="50" t="s">
        <v>820</v>
      </c>
      <c r="B1929" s="51" t="n">
        <v>45773</v>
      </c>
      <c r="C1929" s="50" t="s">
        <v>286</v>
      </c>
      <c r="D1929" s="50" t="s">
        <v>2168</v>
      </c>
      <c r="E1929" s="50" t="n">
        <v>6</v>
      </c>
      <c r="F1929" s="50" t="s">
        <v>2167</v>
      </c>
      <c r="G1929" s="54" t="n">
        <v>2649300</v>
      </c>
    </row>
    <row r="1930" customFormat="false" ht="15" hidden="false" customHeight="false" outlineLevel="0" collapsed="false">
      <c r="A1930" s="50" t="s">
        <v>820</v>
      </c>
      <c r="B1930" s="51" t="n">
        <v>45773</v>
      </c>
      <c r="C1930" s="50" t="s">
        <v>286</v>
      </c>
      <c r="D1930" s="50" t="s">
        <v>2176</v>
      </c>
      <c r="E1930" s="50" t="n">
        <v>1</v>
      </c>
      <c r="F1930" s="50" t="s">
        <v>2167</v>
      </c>
      <c r="G1930" s="54" t="n">
        <v>436100</v>
      </c>
    </row>
    <row r="1931" customFormat="false" ht="15" hidden="false" customHeight="false" outlineLevel="0" collapsed="false">
      <c r="A1931" s="50" t="s">
        <v>821</v>
      </c>
      <c r="B1931" s="51" t="n">
        <v>45773</v>
      </c>
      <c r="C1931" s="50" t="s">
        <v>232</v>
      </c>
      <c r="D1931" s="50" t="s">
        <v>2181</v>
      </c>
      <c r="E1931" s="50" t="n">
        <v>4</v>
      </c>
      <c r="F1931" s="50" t="s">
        <v>2167</v>
      </c>
      <c r="G1931" s="54" t="n">
        <v>4551200</v>
      </c>
    </row>
    <row r="1932" customFormat="false" ht="15" hidden="false" customHeight="false" outlineLevel="0" collapsed="false">
      <c r="A1932" s="50" t="s">
        <v>821</v>
      </c>
      <c r="B1932" s="51" t="n">
        <v>45773</v>
      </c>
      <c r="C1932" s="50" t="s">
        <v>232</v>
      </c>
      <c r="D1932" s="50" t="s">
        <v>2183</v>
      </c>
      <c r="E1932" s="50" t="n">
        <v>7</v>
      </c>
      <c r="F1932" s="50" t="s">
        <v>2167</v>
      </c>
      <c r="G1932" s="54" t="n">
        <v>2698400</v>
      </c>
    </row>
    <row r="1933" customFormat="false" ht="15" hidden="false" customHeight="false" outlineLevel="0" collapsed="false">
      <c r="A1933" s="50" t="s">
        <v>821</v>
      </c>
      <c r="B1933" s="51" t="n">
        <v>45773</v>
      </c>
      <c r="C1933" s="50" t="s">
        <v>232</v>
      </c>
      <c r="D1933" s="50" t="s">
        <v>2188</v>
      </c>
      <c r="E1933" s="50" t="n">
        <v>4</v>
      </c>
      <c r="F1933" s="50" t="s">
        <v>2167</v>
      </c>
      <c r="G1933" s="54" t="n">
        <v>3846300</v>
      </c>
    </row>
    <row r="1934" customFormat="false" ht="15" hidden="false" customHeight="false" outlineLevel="0" collapsed="false">
      <c r="A1934" s="50" t="s">
        <v>822</v>
      </c>
      <c r="B1934" s="51" t="n">
        <v>45773</v>
      </c>
      <c r="C1934" s="50" t="s">
        <v>278</v>
      </c>
      <c r="D1934" s="50" t="s">
        <v>2183</v>
      </c>
      <c r="E1934" s="50" t="n">
        <v>5</v>
      </c>
      <c r="F1934" s="50" t="s">
        <v>2167</v>
      </c>
      <c r="G1934" s="54" t="n">
        <v>1902900</v>
      </c>
    </row>
    <row r="1935" customFormat="false" ht="15" hidden="false" customHeight="false" outlineLevel="0" collapsed="false">
      <c r="A1935" s="50" t="s">
        <v>822</v>
      </c>
      <c r="B1935" s="51" t="n">
        <v>45773</v>
      </c>
      <c r="C1935" s="50" t="s">
        <v>278</v>
      </c>
      <c r="D1935" s="50" t="s">
        <v>2173</v>
      </c>
      <c r="E1935" s="50" t="n">
        <v>1</v>
      </c>
      <c r="F1935" s="50" t="s">
        <v>2174</v>
      </c>
      <c r="G1935" s="54" t="n">
        <v>821200</v>
      </c>
    </row>
    <row r="1936" customFormat="false" ht="15" hidden="false" customHeight="false" outlineLevel="0" collapsed="false">
      <c r="A1936" s="50" t="s">
        <v>823</v>
      </c>
      <c r="B1936" s="51" t="n">
        <v>45773</v>
      </c>
      <c r="C1936" s="50" t="s">
        <v>566</v>
      </c>
      <c r="D1936" s="50" t="s">
        <v>2175</v>
      </c>
      <c r="E1936" s="50" t="n">
        <v>7</v>
      </c>
      <c r="F1936" s="50" t="s">
        <v>2167</v>
      </c>
      <c r="G1936" s="54" t="n">
        <v>4480500</v>
      </c>
    </row>
    <row r="1937" customFormat="false" ht="15" hidden="false" customHeight="false" outlineLevel="0" collapsed="false">
      <c r="A1937" s="50" t="s">
        <v>823</v>
      </c>
      <c r="B1937" s="51" t="n">
        <v>45773</v>
      </c>
      <c r="C1937" s="50" t="s">
        <v>566</v>
      </c>
      <c r="D1937" s="50" t="s">
        <v>2173</v>
      </c>
      <c r="E1937" s="50" t="n">
        <v>2</v>
      </c>
      <c r="F1937" s="50" t="s">
        <v>2174</v>
      </c>
      <c r="G1937" s="54" t="n">
        <v>1554100</v>
      </c>
    </row>
    <row r="1938" customFormat="false" ht="15" hidden="false" customHeight="false" outlineLevel="0" collapsed="false">
      <c r="A1938" s="50" t="s">
        <v>823</v>
      </c>
      <c r="B1938" s="51" t="n">
        <v>45773</v>
      </c>
      <c r="C1938" s="50" t="s">
        <v>566</v>
      </c>
      <c r="D1938" s="50" t="s">
        <v>2172</v>
      </c>
      <c r="E1938" s="50" t="n">
        <v>4</v>
      </c>
      <c r="F1938" s="50" t="s">
        <v>2167</v>
      </c>
      <c r="G1938" s="54" t="n">
        <v>2102000</v>
      </c>
    </row>
    <row r="1939" customFormat="false" ht="15" hidden="false" customHeight="false" outlineLevel="0" collapsed="false">
      <c r="A1939" s="50" t="s">
        <v>824</v>
      </c>
      <c r="B1939" s="51" t="n">
        <v>45775</v>
      </c>
      <c r="C1939" s="50" t="s">
        <v>825</v>
      </c>
      <c r="D1939" s="50" t="s">
        <v>2176</v>
      </c>
      <c r="E1939" s="50" t="n">
        <v>3</v>
      </c>
      <c r="F1939" s="50" t="s">
        <v>2167</v>
      </c>
      <c r="G1939" s="54" t="n">
        <v>1295900</v>
      </c>
    </row>
    <row r="1940" customFormat="false" ht="15" hidden="false" customHeight="false" outlineLevel="0" collapsed="false">
      <c r="A1940" s="50" t="s">
        <v>824</v>
      </c>
      <c r="B1940" s="51" t="n">
        <v>45775</v>
      </c>
      <c r="C1940" s="50" t="s">
        <v>825</v>
      </c>
      <c r="D1940" s="50" t="s">
        <v>2180</v>
      </c>
      <c r="E1940" s="50" t="n">
        <v>2</v>
      </c>
      <c r="F1940" s="50" t="s">
        <v>2167</v>
      </c>
      <c r="G1940" s="54" t="n">
        <v>926000</v>
      </c>
    </row>
    <row r="1941" customFormat="false" ht="15" hidden="false" customHeight="false" outlineLevel="0" collapsed="false">
      <c r="A1941" s="50" t="s">
        <v>824</v>
      </c>
      <c r="B1941" s="51" t="n">
        <v>45775</v>
      </c>
      <c r="C1941" s="50" t="s">
        <v>825</v>
      </c>
      <c r="D1941" s="50" t="s">
        <v>2166</v>
      </c>
      <c r="E1941" s="50" t="n">
        <v>5</v>
      </c>
      <c r="F1941" s="50" t="s">
        <v>2167</v>
      </c>
      <c r="G1941" s="54" t="n">
        <v>2724700</v>
      </c>
    </row>
    <row r="1942" customFormat="false" ht="15" hidden="false" customHeight="false" outlineLevel="0" collapsed="false">
      <c r="A1942" s="50" t="s">
        <v>826</v>
      </c>
      <c r="B1942" s="51" t="n">
        <v>45775</v>
      </c>
      <c r="C1942" s="50" t="s">
        <v>293</v>
      </c>
      <c r="D1942" s="50" t="s">
        <v>2178</v>
      </c>
      <c r="E1942" s="50" t="n">
        <v>8</v>
      </c>
      <c r="F1942" s="50" t="s">
        <v>2167</v>
      </c>
      <c r="G1942" s="54" t="n">
        <v>3964200</v>
      </c>
    </row>
    <row r="1943" customFormat="false" ht="15" hidden="false" customHeight="false" outlineLevel="0" collapsed="false">
      <c r="A1943" s="50" t="s">
        <v>826</v>
      </c>
      <c r="B1943" s="51" t="n">
        <v>45775</v>
      </c>
      <c r="C1943" s="50" t="s">
        <v>293</v>
      </c>
      <c r="D1943" s="50" t="s">
        <v>2177</v>
      </c>
      <c r="E1943" s="50" t="n">
        <v>6</v>
      </c>
      <c r="F1943" s="50" t="s">
        <v>2174</v>
      </c>
      <c r="G1943" s="54" t="n">
        <v>6549900</v>
      </c>
    </row>
    <row r="1944" customFormat="false" ht="15" hidden="false" customHeight="false" outlineLevel="0" collapsed="false">
      <c r="A1944" s="50" t="s">
        <v>826</v>
      </c>
      <c r="B1944" s="51" t="n">
        <v>45775</v>
      </c>
      <c r="C1944" s="50" t="s">
        <v>293</v>
      </c>
      <c r="D1944" s="50" t="s">
        <v>2182</v>
      </c>
      <c r="E1944" s="50" t="n">
        <v>6</v>
      </c>
      <c r="F1944" s="50" t="s">
        <v>2174</v>
      </c>
      <c r="G1944" s="54" t="n">
        <v>5666400</v>
      </c>
    </row>
    <row r="1945" customFormat="false" ht="15" hidden="false" customHeight="false" outlineLevel="0" collapsed="false">
      <c r="A1945" s="50" t="s">
        <v>827</v>
      </c>
      <c r="B1945" s="51" t="n">
        <v>45775</v>
      </c>
      <c r="C1945" s="50" t="s">
        <v>205</v>
      </c>
      <c r="D1945" s="50" t="s">
        <v>2173</v>
      </c>
      <c r="E1945" s="50" t="n">
        <v>2</v>
      </c>
      <c r="F1945" s="50" t="s">
        <v>2174</v>
      </c>
      <c r="G1945" s="54" t="n">
        <v>1572600</v>
      </c>
    </row>
    <row r="1946" customFormat="false" ht="15" hidden="false" customHeight="false" outlineLevel="0" collapsed="false">
      <c r="A1946" s="50" t="s">
        <v>827</v>
      </c>
      <c r="B1946" s="51" t="n">
        <v>45775</v>
      </c>
      <c r="C1946" s="50" t="s">
        <v>205</v>
      </c>
      <c r="D1946" s="50" t="s">
        <v>2179</v>
      </c>
      <c r="E1946" s="50" t="n">
        <v>5</v>
      </c>
      <c r="F1946" s="50" t="s">
        <v>2174</v>
      </c>
      <c r="G1946" s="54" t="n">
        <v>6404600</v>
      </c>
    </row>
    <row r="1947" customFormat="false" ht="15" hidden="false" customHeight="false" outlineLevel="0" collapsed="false">
      <c r="A1947" s="50" t="s">
        <v>827</v>
      </c>
      <c r="B1947" s="51" t="n">
        <v>45775</v>
      </c>
      <c r="C1947" s="50" t="s">
        <v>205</v>
      </c>
      <c r="D1947" s="50" t="s">
        <v>2169</v>
      </c>
      <c r="E1947" s="50" t="n">
        <v>1</v>
      </c>
      <c r="F1947" s="50" t="s">
        <v>2167</v>
      </c>
      <c r="G1947" s="54" t="n">
        <v>628100</v>
      </c>
    </row>
    <row r="1948" customFormat="false" ht="15" hidden="false" customHeight="false" outlineLevel="0" collapsed="false">
      <c r="A1948" s="50" t="s">
        <v>827</v>
      </c>
      <c r="B1948" s="51" t="n">
        <v>45775</v>
      </c>
      <c r="C1948" s="50" t="s">
        <v>205</v>
      </c>
      <c r="D1948" s="50" t="s">
        <v>2177</v>
      </c>
      <c r="E1948" s="50" t="n">
        <v>6</v>
      </c>
      <c r="F1948" s="50" t="s">
        <v>2174</v>
      </c>
      <c r="G1948" s="54" t="n">
        <v>6518600</v>
      </c>
    </row>
    <row r="1949" customFormat="false" ht="15" hidden="false" customHeight="false" outlineLevel="0" collapsed="false">
      <c r="A1949" s="50" t="s">
        <v>828</v>
      </c>
      <c r="B1949" s="51" t="n">
        <v>45775</v>
      </c>
      <c r="C1949" s="50" t="s">
        <v>358</v>
      </c>
      <c r="D1949" s="50" t="s">
        <v>2169</v>
      </c>
      <c r="E1949" s="50" t="n">
        <v>4</v>
      </c>
      <c r="F1949" s="50" t="s">
        <v>2167</v>
      </c>
      <c r="G1949" s="54" t="n">
        <v>2567500</v>
      </c>
    </row>
    <row r="1950" customFormat="false" ht="15" hidden="false" customHeight="false" outlineLevel="0" collapsed="false">
      <c r="A1950" s="50" t="s">
        <v>828</v>
      </c>
      <c r="B1950" s="51" t="n">
        <v>45775</v>
      </c>
      <c r="C1950" s="50" t="s">
        <v>358</v>
      </c>
      <c r="D1950" s="50" t="s">
        <v>2178</v>
      </c>
      <c r="E1950" s="50" t="n">
        <v>4</v>
      </c>
      <c r="F1950" s="50" t="s">
        <v>2167</v>
      </c>
      <c r="G1950" s="54" t="n">
        <v>1949200</v>
      </c>
    </row>
    <row r="1951" customFormat="false" ht="15" hidden="false" customHeight="false" outlineLevel="0" collapsed="false">
      <c r="A1951" s="50" t="s">
        <v>828</v>
      </c>
      <c r="B1951" s="51" t="n">
        <v>45775</v>
      </c>
      <c r="C1951" s="50" t="s">
        <v>358</v>
      </c>
      <c r="D1951" s="50" t="s">
        <v>2188</v>
      </c>
      <c r="E1951" s="50" t="n">
        <v>7</v>
      </c>
      <c r="F1951" s="50" t="s">
        <v>2167</v>
      </c>
      <c r="G1951" s="54" t="n">
        <v>6806400</v>
      </c>
    </row>
    <row r="1952" customFormat="false" ht="15" hidden="false" customHeight="false" outlineLevel="0" collapsed="false">
      <c r="A1952" s="50" t="s">
        <v>828</v>
      </c>
      <c r="B1952" s="51" t="n">
        <v>45775</v>
      </c>
      <c r="C1952" s="50" t="s">
        <v>358</v>
      </c>
      <c r="D1952" s="50" t="s">
        <v>2172</v>
      </c>
      <c r="E1952" s="50" t="n">
        <v>4</v>
      </c>
      <c r="F1952" s="50" t="s">
        <v>2167</v>
      </c>
      <c r="G1952" s="54" t="n">
        <v>2076400</v>
      </c>
    </row>
    <row r="1953" customFormat="false" ht="15" hidden="false" customHeight="false" outlineLevel="0" collapsed="false">
      <c r="A1953" s="50" t="s">
        <v>829</v>
      </c>
      <c r="B1953" s="51" t="n">
        <v>45776</v>
      </c>
      <c r="C1953" s="50" t="s">
        <v>247</v>
      </c>
      <c r="D1953" s="50" t="s">
        <v>2184</v>
      </c>
      <c r="E1953" s="50" t="n">
        <v>6</v>
      </c>
      <c r="F1953" s="50" t="s">
        <v>2167</v>
      </c>
      <c r="G1953" s="54" t="n">
        <v>3431800</v>
      </c>
    </row>
    <row r="1954" customFormat="false" ht="15" hidden="false" customHeight="false" outlineLevel="0" collapsed="false">
      <c r="A1954" s="50" t="s">
        <v>829</v>
      </c>
      <c r="B1954" s="51" t="n">
        <v>45776</v>
      </c>
      <c r="C1954" s="50" t="s">
        <v>247</v>
      </c>
      <c r="D1954" s="50" t="s">
        <v>2181</v>
      </c>
      <c r="E1954" s="50" t="n">
        <v>7</v>
      </c>
      <c r="F1954" s="50" t="s">
        <v>2167</v>
      </c>
      <c r="G1954" s="54" t="n">
        <v>7855800</v>
      </c>
    </row>
    <row r="1955" customFormat="false" ht="15" hidden="false" customHeight="false" outlineLevel="0" collapsed="false">
      <c r="A1955" s="50" t="s">
        <v>829</v>
      </c>
      <c r="B1955" s="51" t="n">
        <v>45776</v>
      </c>
      <c r="C1955" s="50" t="s">
        <v>247</v>
      </c>
      <c r="D1955" s="50" t="s">
        <v>2169</v>
      </c>
      <c r="E1955" s="50" t="n">
        <v>8</v>
      </c>
      <c r="F1955" s="50" t="s">
        <v>2167</v>
      </c>
      <c r="G1955" s="54" t="n">
        <v>4867000</v>
      </c>
    </row>
    <row r="1956" customFormat="false" ht="15" hidden="false" customHeight="false" outlineLevel="0" collapsed="false">
      <c r="A1956" s="50" t="s">
        <v>830</v>
      </c>
      <c r="B1956" s="51" t="n">
        <v>45776</v>
      </c>
      <c r="C1956" s="50" t="s">
        <v>403</v>
      </c>
      <c r="D1956" s="50" t="s">
        <v>2182</v>
      </c>
      <c r="E1956" s="50" t="n">
        <v>2</v>
      </c>
      <c r="F1956" s="50" t="s">
        <v>2174</v>
      </c>
      <c r="G1956" s="54" t="n">
        <v>1854200</v>
      </c>
    </row>
    <row r="1957" customFormat="false" ht="15" hidden="false" customHeight="false" outlineLevel="0" collapsed="false">
      <c r="A1957" s="50" t="s">
        <v>830</v>
      </c>
      <c r="B1957" s="51" t="n">
        <v>45776</v>
      </c>
      <c r="C1957" s="50" t="s">
        <v>403</v>
      </c>
      <c r="D1957" s="50" t="s">
        <v>2186</v>
      </c>
      <c r="E1957" s="50" t="n">
        <v>8</v>
      </c>
      <c r="F1957" s="50" t="s">
        <v>2167</v>
      </c>
      <c r="G1957" s="54" t="n">
        <v>4707100</v>
      </c>
    </row>
    <row r="1958" customFormat="false" ht="15" hidden="false" customHeight="false" outlineLevel="0" collapsed="false">
      <c r="A1958" s="50" t="s">
        <v>831</v>
      </c>
      <c r="B1958" s="51" t="n">
        <v>45776</v>
      </c>
      <c r="C1958" s="50" t="s">
        <v>634</v>
      </c>
      <c r="D1958" s="50" t="s">
        <v>2184</v>
      </c>
      <c r="E1958" s="50" t="n">
        <v>2</v>
      </c>
      <c r="F1958" s="50" t="s">
        <v>2167</v>
      </c>
      <c r="G1958" s="54" t="n">
        <v>1105100</v>
      </c>
    </row>
    <row r="1959" customFormat="false" ht="15" hidden="false" customHeight="false" outlineLevel="0" collapsed="false">
      <c r="A1959" s="50" t="s">
        <v>831</v>
      </c>
      <c r="B1959" s="51" t="n">
        <v>45776</v>
      </c>
      <c r="C1959" s="50" t="s">
        <v>634</v>
      </c>
      <c r="D1959" s="50" t="s">
        <v>2179</v>
      </c>
      <c r="E1959" s="50" t="n">
        <v>4</v>
      </c>
      <c r="F1959" s="50" t="s">
        <v>2174</v>
      </c>
      <c r="G1959" s="54" t="n">
        <v>4820600</v>
      </c>
    </row>
    <row r="1960" customFormat="false" ht="15" hidden="false" customHeight="false" outlineLevel="0" collapsed="false">
      <c r="A1960" s="50" t="s">
        <v>831</v>
      </c>
      <c r="B1960" s="51" t="n">
        <v>45776</v>
      </c>
      <c r="C1960" s="50" t="s">
        <v>634</v>
      </c>
      <c r="D1960" s="50" t="s">
        <v>2168</v>
      </c>
      <c r="E1960" s="50" t="n">
        <v>6</v>
      </c>
      <c r="F1960" s="50" t="s">
        <v>2167</v>
      </c>
      <c r="G1960" s="54" t="n">
        <v>2518700</v>
      </c>
    </row>
    <row r="1961" customFormat="false" ht="15" hidden="false" customHeight="false" outlineLevel="0" collapsed="false">
      <c r="A1961" s="50" t="s">
        <v>831</v>
      </c>
      <c r="B1961" s="51" t="n">
        <v>45776</v>
      </c>
      <c r="C1961" s="50" t="s">
        <v>634</v>
      </c>
      <c r="D1961" s="50" t="s">
        <v>2185</v>
      </c>
      <c r="E1961" s="50" t="n">
        <v>3</v>
      </c>
      <c r="F1961" s="50" t="s">
        <v>2174</v>
      </c>
      <c r="G1961" s="54" t="n">
        <v>2344700</v>
      </c>
    </row>
    <row r="1962" customFormat="false" ht="15" hidden="false" customHeight="false" outlineLevel="0" collapsed="false">
      <c r="A1962" s="50" t="s">
        <v>831</v>
      </c>
      <c r="B1962" s="51" t="n">
        <v>45776</v>
      </c>
      <c r="C1962" s="50" t="s">
        <v>634</v>
      </c>
      <c r="D1962" s="50" t="s">
        <v>2169</v>
      </c>
      <c r="E1962" s="50" t="n">
        <v>1</v>
      </c>
      <c r="F1962" s="50" t="s">
        <v>2167</v>
      </c>
      <c r="G1962" s="54" t="n">
        <v>635400</v>
      </c>
    </row>
    <row r="1963" customFormat="false" ht="15" hidden="false" customHeight="false" outlineLevel="0" collapsed="false">
      <c r="A1963" s="50" t="s">
        <v>832</v>
      </c>
      <c r="B1963" s="51" t="n">
        <v>45776</v>
      </c>
      <c r="C1963" s="50" t="s">
        <v>358</v>
      </c>
      <c r="D1963" s="50" t="s">
        <v>2180</v>
      </c>
      <c r="E1963" s="50" t="n">
        <v>6</v>
      </c>
      <c r="F1963" s="50" t="s">
        <v>2167</v>
      </c>
      <c r="G1963" s="54" t="n">
        <v>2685000</v>
      </c>
    </row>
    <row r="1964" customFormat="false" ht="15" hidden="false" customHeight="false" outlineLevel="0" collapsed="false">
      <c r="A1964" s="50" t="s">
        <v>832</v>
      </c>
      <c r="B1964" s="51" t="n">
        <v>45776</v>
      </c>
      <c r="C1964" s="50" t="s">
        <v>358</v>
      </c>
      <c r="D1964" s="50" t="s">
        <v>2179</v>
      </c>
      <c r="E1964" s="50" t="n">
        <v>1</v>
      </c>
      <c r="F1964" s="50" t="s">
        <v>2174</v>
      </c>
      <c r="G1964" s="54" t="n">
        <v>1277000</v>
      </c>
    </row>
    <row r="1965" customFormat="false" ht="15" hidden="false" customHeight="false" outlineLevel="0" collapsed="false">
      <c r="A1965" s="50" t="s">
        <v>832</v>
      </c>
      <c r="B1965" s="51" t="n">
        <v>45776</v>
      </c>
      <c r="C1965" s="50" t="s">
        <v>358</v>
      </c>
      <c r="D1965" s="50" t="s">
        <v>2173</v>
      </c>
      <c r="E1965" s="50" t="n">
        <v>2</v>
      </c>
      <c r="F1965" s="50" t="s">
        <v>2174</v>
      </c>
      <c r="G1965" s="54" t="n">
        <v>1640700</v>
      </c>
    </row>
    <row r="1966" customFormat="false" ht="15" hidden="false" customHeight="false" outlineLevel="0" collapsed="false">
      <c r="A1966" s="50" t="s">
        <v>833</v>
      </c>
      <c r="B1966" s="51" t="n">
        <v>45776</v>
      </c>
      <c r="C1966" s="50" t="s">
        <v>403</v>
      </c>
      <c r="D1966" s="50" t="s">
        <v>2168</v>
      </c>
      <c r="E1966" s="50" t="n">
        <v>1</v>
      </c>
      <c r="F1966" s="50" t="s">
        <v>2167</v>
      </c>
      <c r="G1966" s="54" t="n">
        <v>439800</v>
      </c>
    </row>
    <row r="1967" customFormat="false" ht="15" hidden="false" customHeight="false" outlineLevel="0" collapsed="false">
      <c r="A1967" s="50" t="s">
        <v>833</v>
      </c>
      <c r="B1967" s="51" t="n">
        <v>45776</v>
      </c>
      <c r="C1967" s="50" t="s">
        <v>403</v>
      </c>
      <c r="D1967" s="50" t="s">
        <v>2175</v>
      </c>
      <c r="E1967" s="50" t="n">
        <v>6</v>
      </c>
      <c r="F1967" s="50" t="s">
        <v>2167</v>
      </c>
      <c r="G1967" s="54" t="n">
        <v>3743000</v>
      </c>
    </row>
    <row r="1968" customFormat="false" ht="15" hidden="false" customHeight="false" outlineLevel="0" collapsed="false">
      <c r="A1968" s="50" t="s">
        <v>833</v>
      </c>
      <c r="B1968" s="51" t="n">
        <v>45776</v>
      </c>
      <c r="C1968" s="50" t="s">
        <v>403</v>
      </c>
      <c r="D1968" s="50" t="s">
        <v>2183</v>
      </c>
      <c r="E1968" s="50" t="n">
        <v>5</v>
      </c>
      <c r="F1968" s="50" t="s">
        <v>2167</v>
      </c>
      <c r="G1968" s="54" t="n">
        <v>1965700</v>
      </c>
    </row>
    <row r="1969" customFormat="false" ht="15" hidden="false" customHeight="false" outlineLevel="0" collapsed="false">
      <c r="A1969" s="50" t="s">
        <v>834</v>
      </c>
      <c r="B1969" s="51" t="n">
        <v>45777</v>
      </c>
      <c r="C1969" s="50" t="s">
        <v>205</v>
      </c>
      <c r="D1969" s="50" t="s">
        <v>2178</v>
      </c>
      <c r="E1969" s="50" t="n">
        <v>6</v>
      </c>
      <c r="F1969" s="50" t="s">
        <v>2167</v>
      </c>
      <c r="G1969" s="54" t="n">
        <v>2917900</v>
      </c>
    </row>
    <row r="1970" customFormat="false" ht="15" hidden="false" customHeight="false" outlineLevel="0" collapsed="false">
      <c r="A1970" s="50" t="s">
        <v>834</v>
      </c>
      <c r="B1970" s="51" t="n">
        <v>45777</v>
      </c>
      <c r="C1970" s="50" t="s">
        <v>205</v>
      </c>
      <c r="D1970" s="50" t="s">
        <v>2180</v>
      </c>
      <c r="E1970" s="50" t="n">
        <v>4</v>
      </c>
      <c r="F1970" s="50" t="s">
        <v>2167</v>
      </c>
      <c r="G1970" s="54" t="n">
        <v>1796500</v>
      </c>
    </row>
    <row r="1971" customFormat="false" ht="15" hidden="false" customHeight="false" outlineLevel="0" collapsed="false">
      <c r="A1971" s="50" t="s">
        <v>834</v>
      </c>
      <c r="B1971" s="51" t="n">
        <v>45777</v>
      </c>
      <c r="C1971" s="50" t="s">
        <v>205</v>
      </c>
      <c r="D1971" s="50" t="s">
        <v>2184</v>
      </c>
      <c r="E1971" s="50" t="n">
        <v>1</v>
      </c>
      <c r="F1971" s="50" t="s">
        <v>2167</v>
      </c>
      <c r="G1971" s="54" t="n">
        <v>566200</v>
      </c>
    </row>
    <row r="1972" customFormat="false" ht="15" hidden="false" customHeight="false" outlineLevel="0" collapsed="false">
      <c r="A1972" s="50" t="s">
        <v>835</v>
      </c>
      <c r="B1972" s="51" t="n">
        <v>45777</v>
      </c>
      <c r="C1972" s="50" t="s">
        <v>358</v>
      </c>
      <c r="D1972" s="50" t="s">
        <v>2180</v>
      </c>
      <c r="E1972" s="50" t="n">
        <v>3</v>
      </c>
      <c r="F1972" s="50" t="s">
        <v>2167</v>
      </c>
      <c r="G1972" s="54" t="n">
        <v>1325300</v>
      </c>
    </row>
    <row r="1973" customFormat="false" ht="15" hidden="false" customHeight="false" outlineLevel="0" collapsed="false">
      <c r="A1973" s="50" t="s">
        <v>835</v>
      </c>
      <c r="B1973" s="51" t="n">
        <v>45777</v>
      </c>
      <c r="C1973" s="50" t="s">
        <v>358</v>
      </c>
      <c r="D1973" s="50" t="s">
        <v>2186</v>
      </c>
      <c r="E1973" s="50" t="n">
        <v>4</v>
      </c>
      <c r="F1973" s="50" t="s">
        <v>2167</v>
      </c>
      <c r="G1973" s="54" t="n">
        <v>2446300</v>
      </c>
    </row>
    <row r="1974" customFormat="false" ht="15" hidden="false" customHeight="false" outlineLevel="0" collapsed="false">
      <c r="A1974" s="50" t="s">
        <v>835</v>
      </c>
      <c r="B1974" s="51" t="n">
        <v>45777</v>
      </c>
      <c r="C1974" s="50" t="s">
        <v>358</v>
      </c>
      <c r="D1974" s="50" t="s">
        <v>2179</v>
      </c>
      <c r="E1974" s="50" t="n">
        <v>3</v>
      </c>
      <c r="F1974" s="50" t="s">
        <v>2174</v>
      </c>
      <c r="G1974" s="54" t="n">
        <v>3680300</v>
      </c>
    </row>
    <row r="1975" customFormat="false" ht="15" hidden="false" customHeight="false" outlineLevel="0" collapsed="false">
      <c r="A1975" s="50" t="s">
        <v>835</v>
      </c>
      <c r="B1975" s="51" t="n">
        <v>45777</v>
      </c>
      <c r="C1975" s="50" t="s">
        <v>358</v>
      </c>
      <c r="D1975" s="50" t="s">
        <v>2172</v>
      </c>
      <c r="E1975" s="50" t="n">
        <v>3</v>
      </c>
      <c r="F1975" s="50" t="s">
        <v>2167</v>
      </c>
      <c r="G1975" s="54" t="n">
        <v>1561000</v>
      </c>
    </row>
    <row r="1976" customFormat="false" ht="15" hidden="false" customHeight="false" outlineLevel="0" collapsed="false">
      <c r="A1976" s="50" t="s">
        <v>836</v>
      </c>
      <c r="B1976" s="51" t="n">
        <v>45777</v>
      </c>
      <c r="C1976" s="50" t="s">
        <v>574</v>
      </c>
      <c r="D1976" s="50" t="s">
        <v>2180</v>
      </c>
      <c r="E1976" s="50" t="n">
        <v>3</v>
      </c>
      <c r="F1976" s="50" t="s">
        <v>2167</v>
      </c>
      <c r="G1976" s="54" t="n">
        <v>1387400</v>
      </c>
    </row>
    <row r="1977" customFormat="false" ht="15" hidden="false" customHeight="false" outlineLevel="0" collapsed="false">
      <c r="A1977" s="50" t="s">
        <v>836</v>
      </c>
      <c r="B1977" s="51" t="n">
        <v>45777</v>
      </c>
      <c r="C1977" s="50" t="s">
        <v>574</v>
      </c>
      <c r="D1977" s="50" t="s">
        <v>2186</v>
      </c>
      <c r="E1977" s="50" t="n">
        <v>7</v>
      </c>
      <c r="F1977" s="50" t="s">
        <v>2167</v>
      </c>
      <c r="G1977" s="54" t="n">
        <v>4263300</v>
      </c>
    </row>
    <row r="1978" customFormat="false" ht="15" hidden="false" customHeight="false" outlineLevel="0" collapsed="false">
      <c r="A1978" s="50" t="s">
        <v>836</v>
      </c>
      <c r="B1978" s="51" t="n">
        <v>45777</v>
      </c>
      <c r="C1978" s="50" t="s">
        <v>574</v>
      </c>
      <c r="D1978" s="50" t="s">
        <v>2176</v>
      </c>
      <c r="E1978" s="50" t="n">
        <v>2</v>
      </c>
      <c r="F1978" s="50" t="s">
        <v>2167</v>
      </c>
      <c r="G1978" s="54" t="n">
        <v>837800</v>
      </c>
    </row>
    <row r="1979" customFormat="false" ht="15" hidden="false" customHeight="false" outlineLevel="0" collapsed="false">
      <c r="A1979" s="50" t="s">
        <v>837</v>
      </c>
      <c r="B1979" s="51" t="n">
        <v>45777</v>
      </c>
      <c r="C1979" s="50" t="s">
        <v>838</v>
      </c>
      <c r="D1979" s="50" t="s">
        <v>2173</v>
      </c>
      <c r="E1979" s="50" t="n">
        <v>6</v>
      </c>
      <c r="F1979" s="50" t="s">
        <v>2174</v>
      </c>
      <c r="G1979" s="54" t="n">
        <v>4902800</v>
      </c>
    </row>
    <row r="1980" customFormat="false" ht="15" hidden="false" customHeight="false" outlineLevel="0" collapsed="false">
      <c r="A1980" s="50" t="s">
        <v>837</v>
      </c>
      <c r="B1980" s="51" t="n">
        <v>45777</v>
      </c>
      <c r="C1980" s="50" t="s">
        <v>838</v>
      </c>
      <c r="D1980" s="50" t="s">
        <v>2168</v>
      </c>
      <c r="E1980" s="50" t="n">
        <v>1</v>
      </c>
      <c r="F1980" s="50" t="s">
        <v>2167</v>
      </c>
      <c r="G1980" s="54" t="n">
        <v>424700</v>
      </c>
    </row>
    <row r="1981" customFormat="false" ht="15" hidden="false" customHeight="false" outlineLevel="0" collapsed="false">
      <c r="A1981" s="50" t="s">
        <v>837</v>
      </c>
      <c r="B1981" s="51" t="n">
        <v>45777</v>
      </c>
      <c r="C1981" s="50" t="s">
        <v>838</v>
      </c>
      <c r="D1981" s="50" t="s">
        <v>2185</v>
      </c>
      <c r="E1981" s="50" t="n">
        <v>8</v>
      </c>
      <c r="F1981" s="50" t="s">
        <v>2174</v>
      </c>
      <c r="G1981" s="54" t="n">
        <v>6255800</v>
      </c>
    </row>
    <row r="1982" customFormat="false" ht="15" hidden="false" customHeight="false" outlineLevel="0" collapsed="false">
      <c r="A1982" s="50" t="s">
        <v>839</v>
      </c>
      <c r="B1982" s="51" t="n">
        <v>45778</v>
      </c>
      <c r="C1982" s="50" t="s">
        <v>195</v>
      </c>
      <c r="D1982" s="50" t="s">
        <v>2187</v>
      </c>
      <c r="E1982" s="50" t="n">
        <v>3</v>
      </c>
      <c r="F1982" s="50" t="s">
        <v>2167</v>
      </c>
      <c r="G1982" s="54" t="n">
        <v>1080000</v>
      </c>
    </row>
    <row r="1983" customFormat="false" ht="15" hidden="false" customHeight="false" outlineLevel="0" collapsed="false">
      <c r="A1983" s="50" t="s">
        <v>839</v>
      </c>
      <c r="B1983" s="51" t="n">
        <v>45778</v>
      </c>
      <c r="C1983" s="50" t="s">
        <v>195</v>
      </c>
      <c r="D1983" s="50" t="s">
        <v>2168</v>
      </c>
      <c r="E1983" s="50" t="n">
        <v>4</v>
      </c>
      <c r="F1983" s="50" t="s">
        <v>2167</v>
      </c>
      <c r="G1983" s="54" t="n">
        <v>1682700</v>
      </c>
    </row>
    <row r="1984" customFormat="false" ht="15" hidden="false" customHeight="false" outlineLevel="0" collapsed="false">
      <c r="A1984" s="50" t="s">
        <v>839</v>
      </c>
      <c r="B1984" s="51" t="n">
        <v>45778</v>
      </c>
      <c r="C1984" s="50" t="s">
        <v>195</v>
      </c>
      <c r="D1984" s="50" t="s">
        <v>2177</v>
      </c>
      <c r="E1984" s="50" t="n">
        <v>8</v>
      </c>
      <c r="F1984" s="50" t="s">
        <v>2174</v>
      </c>
      <c r="G1984" s="54" t="n">
        <v>8927200</v>
      </c>
    </row>
    <row r="1985" customFormat="false" ht="15" hidden="false" customHeight="false" outlineLevel="0" collapsed="false">
      <c r="A1985" s="50" t="s">
        <v>839</v>
      </c>
      <c r="B1985" s="51" t="n">
        <v>45778</v>
      </c>
      <c r="C1985" s="50" t="s">
        <v>195</v>
      </c>
      <c r="D1985" s="50" t="s">
        <v>2180</v>
      </c>
      <c r="E1985" s="50" t="n">
        <v>2</v>
      </c>
      <c r="F1985" s="50" t="s">
        <v>2167</v>
      </c>
      <c r="G1985" s="54" t="n">
        <v>881800</v>
      </c>
    </row>
    <row r="1986" customFormat="false" ht="15" hidden="false" customHeight="false" outlineLevel="0" collapsed="false">
      <c r="A1986" s="50" t="s">
        <v>840</v>
      </c>
      <c r="B1986" s="51" t="n">
        <v>45778</v>
      </c>
      <c r="C1986" s="50" t="s">
        <v>278</v>
      </c>
      <c r="D1986" s="50" t="s">
        <v>2177</v>
      </c>
      <c r="E1986" s="50" t="n">
        <v>1</v>
      </c>
      <c r="F1986" s="50" t="s">
        <v>2174</v>
      </c>
      <c r="G1986" s="54" t="n">
        <v>1143000</v>
      </c>
    </row>
    <row r="1987" customFormat="false" ht="15" hidden="false" customHeight="false" outlineLevel="0" collapsed="false">
      <c r="A1987" s="50" t="s">
        <v>840</v>
      </c>
      <c r="B1987" s="51" t="n">
        <v>45778</v>
      </c>
      <c r="C1987" s="50" t="s">
        <v>278</v>
      </c>
      <c r="D1987" s="50" t="s">
        <v>2187</v>
      </c>
      <c r="E1987" s="50" t="n">
        <v>3</v>
      </c>
      <c r="F1987" s="50" t="s">
        <v>2167</v>
      </c>
      <c r="G1987" s="54" t="n">
        <v>1054800</v>
      </c>
    </row>
    <row r="1988" customFormat="false" ht="15" hidden="false" customHeight="false" outlineLevel="0" collapsed="false">
      <c r="A1988" s="50" t="s">
        <v>840</v>
      </c>
      <c r="B1988" s="51" t="n">
        <v>45778</v>
      </c>
      <c r="C1988" s="50" t="s">
        <v>278</v>
      </c>
      <c r="D1988" s="50" t="s">
        <v>2181</v>
      </c>
      <c r="E1988" s="50" t="n">
        <v>8</v>
      </c>
      <c r="F1988" s="50" t="s">
        <v>2167</v>
      </c>
      <c r="G1988" s="54" t="n">
        <v>9562000</v>
      </c>
    </row>
    <row r="1989" customFormat="false" ht="15" hidden="false" customHeight="false" outlineLevel="0" collapsed="false">
      <c r="A1989" s="50" t="s">
        <v>840</v>
      </c>
      <c r="B1989" s="51" t="n">
        <v>45778</v>
      </c>
      <c r="C1989" s="50" t="s">
        <v>278</v>
      </c>
      <c r="D1989" s="50" t="s">
        <v>2179</v>
      </c>
      <c r="E1989" s="50" t="n">
        <v>3</v>
      </c>
      <c r="F1989" s="50" t="s">
        <v>2174</v>
      </c>
      <c r="G1989" s="54" t="n">
        <v>3807900</v>
      </c>
    </row>
    <row r="1990" customFormat="false" ht="15" hidden="false" customHeight="false" outlineLevel="0" collapsed="false">
      <c r="A1990" s="50" t="s">
        <v>841</v>
      </c>
      <c r="B1990" s="51" t="n">
        <v>45778</v>
      </c>
      <c r="C1990" s="50" t="s">
        <v>421</v>
      </c>
      <c r="D1990" s="50" t="s">
        <v>2185</v>
      </c>
      <c r="E1990" s="50" t="n">
        <v>7</v>
      </c>
      <c r="F1990" s="50" t="s">
        <v>2174</v>
      </c>
      <c r="G1990" s="54" t="n">
        <v>5356700</v>
      </c>
    </row>
    <row r="1991" customFormat="false" ht="15" hidden="false" customHeight="false" outlineLevel="0" collapsed="false">
      <c r="A1991" s="50" t="s">
        <v>841</v>
      </c>
      <c r="B1991" s="51" t="n">
        <v>45778</v>
      </c>
      <c r="C1991" s="50" t="s">
        <v>421</v>
      </c>
      <c r="D1991" s="50" t="s">
        <v>2175</v>
      </c>
      <c r="E1991" s="50" t="n">
        <v>2</v>
      </c>
      <c r="F1991" s="50" t="s">
        <v>2167</v>
      </c>
      <c r="G1991" s="54" t="n">
        <v>1305500</v>
      </c>
    </row>
    <row r="1992" customFormat="false" ht="15" hidden="false" customHeight="false" outlineLevel="0" collapsed="false">
      <c r="A1992" s="50" t="s">
        <v>841</v>
      </c>
      <c r="B1992" s="51" t="n">
        <v>45778</v>
      </c>
      <c r="C1992" s="50" t="s">
        <v>421</v>
      </c>
      <c r="D1992" s="50" t="s">
        <v>2178</v>
      </c>
      <c r="E1992" s="50" t="n">
        <v>8</v>
      </c>
      <c r="F1992" s="50" t="s">
        <v>2167</v>
      </c>
      <c r="G1992" s="54" t="n">
        <v>3971000</v>
      </c>
    </row>
    <row r="1993" customFormat="false" ht="15" hidden="false" customHeight="false" outlineLevel="0" collapsed="false">
      <c r="A1993" s="50" t="s">
        <v>841</v>
      </c>
      <c r="B1993" s="51" t="n">
        <v>45778</v>
      </c>
      <c r="C1993" s="50" t="s">
        <v>421</v>
      </c>
      <c r="D1993" s="50" t="s">
        <v>2180</v>
      </c>
      <c r="E1993" s="50" t="n">
        <v>2</v>
      </c>
      <c r="F1993" s="50" t="s">
        <v>2167</v>
      </c>
      <c r="G1993" s="54" t="n">
        <v>871700</v>
      </c>
    </row>
    <row r="1994" customFormat="false" ht="15" hidden="false" customHeight="false" outlineLevel="0" collapsed="false">
      <c r="A1994" s="50" t="s">
        <v>841</v>
      </c>
      <c r="B1994" s="51" t="n">
        <v>45778</v>
      </c>
      <c r="C1994" s="50" t="s">
        <v>421</v>
      </c>
      <c r="D1994" s="50" t="s">
        <v>2186</v>
      </c>
      <c r="E1994" s="50" t="n">
        <v>7</v>
      </c>
      <c r="F1994" s="50" t="s">
        <v>2167</v>
      </c>
      <c r="G1994" s="54" t="n">
        <v>4124700</v>
      </c>
    </row>
    <row r="1995" customFormat="false" ht="15" hidden="false" customHeight="false" outlineLevel="0" collapsed="false">
      <c r="A1995" s="50" t="s">
        <v>841</v>
      </c>
      <c r="B1995" s="51" t="n">
        <v>45778</v>
      </c>
      <c r="C1995" s="50" t="s">
        <v>421</v>
      </c>
      <c r="D1995" s="50" t="s">
        <v>2176</v>
      </c>
      <c r="E1995" s="50" t="n">
        <v>6</v>
      </c>
      <c r="F1995" s="50" t="s">
        <v>2167</v>
      </c>
      <c r="G1995" s="54" t="n">
        <v>2448400</v>
      </c>
    </row>
    <row r="1996" customFormat="false" ht="15" hidden="false" customHeight="false" outlineLevel="0" collapsed="false">
      <c r="A1996" s="50" t="s">
        <v>842</v>
      </c>
      <c r="B1996" s="51" t="n">
        <v>45778</v>
      </c>
      <c r="C1996" s="50" t="s">
        <v>354</v>
      </c>
      <c r="D1996" s="50" t="s">
        <v>2178</v>
      </c>
      <c r="E1996" s="50" t="n">
        <v>8</v>
      </c>
      <c r="F1996" s="50" t="s">
        <v>2167</v>
      </c>
      <c r="G1996" s="54" t="n">
        <v>3790700</v>
      </c>
    </row>
    <row r="1997" customFormat="false" ht="15" hidden="false" customHeight="false" outlineLevel="0" collapsed="false">
      <c r="A1997" s="50" t="s">
        <v>842</v>
      </c>
      <c r="B1997" s="51" t="n">
        <v>45778</v>
      </c>
      <c r="C1997" s="50" t="s">
        <v>354</v>
      </c>
      <c r="D1997" s="50" t="s">
        <v>2180</v>
      </c>
      <c r="E1997" s="50" t="n">
        <v>3</v>
      </c>
      <c r="F1997" s="50" t="s">
        <v>2167</v>
      </c>
      <c r="G1997" s="54" t="n">
        <v>1377000</v>
      </c>
    </row>
    <row r="1998" customFormat="false" ht="15" hidden="false" customHeight="false" outlineLevel="0" collapsed="false">
      <c r="A1998" s="50" t="s">
        <v>842</v>
      </c>
      <c r="B1998" s="51" t="n">
        <v>45778</v>
      </c>
      <c r="C1998" s="50" t="s">
        <v>354</v>
      </c>
      <c r="D1998" s="50" t="s">
        <v>2181</v>
      </c>
      <c r="E1998" s="50" t="n">
        <v>2</v>
      </c>
      <c r="F1998" s="50" t="s">
        <v>2167</v>
      </c>
      <c r="G1998" s="54" t="n">
        <v>2327600</v>
      </c>
    </row>
    <row r="1999" customFormat="false" ht="15" hidden="false" customHeight="false" outlineLevel="0" collapsed="false">
      <c r="A1999" s="50" t="s">
        <v>843</v>
      </c>
      <c r="B1999" s="51" t="n">
        <v>45778</v>
      </c>
      <c r="C1999" s="50" t="s">
        <v>317</v>
      </c>
      <c r="D1999" s="50" t="s">
        <v>2185</v>
      </c>
      <c r="E1999" s="50" t="n">
        <v>1</v>
      </c>
      <c r="F1999" s="50" t="s">
        <v>2174</v>
      </c>
      <c r="G1999" s="54" t="n">
        <v>769700</v>
      </c>
    </row>
    <row r="2000" customFormat="false" ht="15" hidden="false" customHeight="false" outlineLevel="0" collapsed="false">
      <c r="A2000" s="50" t="s">
        <v>843</v>
      </c>
      <c r="B2000" s="51" t="n">
        <v>45778</v>
      </c>
      <c r="C2000" s="50" t="s">
        <v>317</v>
      </c>
      <c r="D2000" s="50" t="s">
        <v>2176</v>
      </c>
      <c r="E2000" s="50" t="n">
        <v>4</v>
      </c>
      <c r="F2000" s="50" t="s">
        <v>2167</v>
      </c>
      <c r="G2000" s="54" t="n">
        <v>1725200</v>
      </c>
    </row>
    <row r="2001" customFormat="false" ht="15" hidden="false" customHeight="false" outlineLevel="0" collapsed="false">
      <c r="A2001" s="50" t="s">
        <v>844</v>
      </c>
      <c r="B2001" s="51" t="n">
        <v>45778</v>
      </c>
      <c r="C2001" s="50" t="s">
        <v>174</v>
      </c>
      <c r="D2001" s="50" t="s">
        <v>2188</v>
      </c>
      <c r="E2001" s="50" t="n">
        <v>5</v>
      </c>
      <c r="F2001" s="50" t="s">
        <v>2167</v>
      </c>
      <c r="G2001" s="54" t="n">
        <v>4892300</v>
      </c>
    </row>
    <row r="2002" customFormat="false" ht="15" hidden="false" customHeight="false" outlineLevel="0" collapsed="false">
      <c r="A2002" s="50" t="s">
        <v>844</v>
      </c>
      <c r="B2002" s="51" t="n">
        <v>45778</v>
      </c>
      <c r="C2002" s="50" t="s">
        <v>174</v>
      </c>
      <c r="D2002" s="50" t="s">
        <v>2180</v>
      </c>
      <c r="E2002" s="50" t="n">
        <v>4</v>
      </c>
      <c r="F2002" s="50" t="s">
        <v>2167</v>
      </c>
      <c r="G2002" s="54" t="n">
        <v>1774900</v>
      </c>
    </row>
    <row r="2003" customFormat="false" ht="15" hidden="false" customHeight="false" outlineLevel="0" collapsed="false">
      <c r="A2003" s="50" t="s">
        <v>845</v>
      </c>
      <c r="B2003" s="51" t="n">
        <v>45779</v>
      </c>
      <c r="C2003" s="50" t="s">
        <v>846</v>
      </c>
      <c r="D2003" s="50" t="s">
        <v>2176</v>
      </c>
      <c r="E2003" s="50" t="n">
        <v>4</v>
      </c>
      <c r="F2003" s="50" t="s">
        <v>2167</v>
      </c>
      <c r="G2003" s="54" t="n">
        <v>1685600</v>
      </c>
    </row>
    <row r="2004" customFormat="false" ht="15" hidden="false" customHeight="false" outlineLevel="0" collapsed="false">
      <c r="A2004" s="50" t="s">
        <v>845</v>
      </c>
      <c r="B2004" s="51" t="n">
        <v>45779</v>
      </c>
      <c r="C2004" s="50" t="s">
        <v>846</v>
      </c>
      <c r="D2004" s="50" t="s">
        <v>2178</v>
      </c>
      <c r="E2004" s="50" t="n">
        <v>6</v>
      </c>
      <c r="F2004" s="50" t="s">
        <v>2167</v>
      </c>
      <c r="G2004" s="54" t="n">
        <v>2852700</v>
      </c>
    </row>
    <row r="2005" customFormat="false" ht="15" hidden="false" customHeight="false" outlineLevel="0" collapsed="false">
      <c r="A2005" s="50" t="s">
        <v>845</v>
      </c>
      <c r="B2005" s="51" t="n">
        <v>45779</v>
      </c>
      <c r="C2005" s="50" t="s">
        <v>846</v>
      </c>
      <c r="D2005" s="50" t="s">
        <v>2170</v>
      </c>
      <c r="E2005" s="50" t="n">
        <v>2</v>
      </c>
      <c r="F2005" s="50" t="s">
        <v>2171</v>
      </c>
      <c r="G2005" s="54" t="n">
        <v>15272500</v>
      </c>
    </row>
    <row r="2006" customFormat="false" ht="15" hidden="false" customHeight="false" outlineLevel="0" collapsed="false">
      <c r="A2006" s="50" t="s">
        <v>845</v>
      </c>
      <c r="B2006" s="51" t="n">
        <v>45779</v>
      </c>
      <c r="C2006" s="50" t="s">
        <v>846</v>
      </c>
      <c r="D2006" s="50" t="s">
        <v>2183</v>
      </c>
      <c r="E2006" s="50" t="n">
        <v>6</v>
      </c>
      <c r="F2006" s="50" t="s">
        <v>2167</v>
      </c>
      <c r="G2006" s="54" t="n">
        <v>2302900</v>
      </c>
    </row>
    <row r="2007" customFormat="false" ht="15" hidden="false" customHeight="false" outlineLevel="0" collapsed="false">
      <c r="A2007" s="50" t="s">
        <v>847</v>
      </c>
      <c r="B2007" s="51" t="n">
        <v>45779</v>
      </c>
      <c r="C2007" s="50" t="s">
        <v>419</v>
      </c>
      <c r="D2007" s="50" t="s">
        <v>2181</v>
      </c>
      <c r="E2007" s="50" t="n">
        <v>7</v>
      </c>
      <c r="F2007" s="50" t="s">
        <v>2167</v>
      </c>
      <c r="G2007" s="54" t="n">
        <v>7784100</v>
      </c>
    </row>
    <row r="2008" customFormat="false" ht="15" hidden="false" customHeight="false" outlineLevel="0" collapsed="false">
      <c r="A2008" s="50" t="s">
        <v>847</v>
      </c>
      <c r="B2008" s="51" t="n">
        <v>45779</v>
      </c>
      <c r="C2008" s="50" t="s">
        <v>419</v>
      </c>
      <c r="D2008" s="50" t="s">
        <v>2179</v>
      </c>
      <c r="E2008" s="50" t="n">
        <v>4</v>
      </c>
      <c r="F2008" s="50" t="s">
        <v>2174</v>
      </c>
      <c r="G2008" s="54" t="n">
        <v>4960000</v>
      </c>
    </row>
    <row r="2009" customFormat="false" ht="15" hidden="false" customHeight="false" outlineLevel="0" collapsed="false">
      <c r="A2009" s="50" t="s">
        <v>847</v>
      </c>
      <c r="B2009" s="51" t="n">
        <v>45779</v>
      </c>
      <c r="C2009" s="50" t="s">
        <v>419</v>
      </c>
      <c r="D2009" s="50" t="s">
        <v>2182</v>
      </c>
      <c r="E2009" s="50" t="n">
        <v>2</v>
      </c>
      <c r="F2009" s="50" t="s">
        <v>2174</v>
      </c>
      <c r="G2009" s="54" t="n">
        <v>1870200</v>
      </c>
    </row>
    <row r="2010" customFormat="false" ht="15" hidden="false" customHeight="false" outlineLevel="0" collapsed="false">
      <c r="A2010" s="50" t="s">
        <v>848</v>
      </c>
      <c r="B2010" s="51" t="n">
        <v>45779</v>
      </c>
      <c r="C2010" s="50" t="s">
        <v>166</v>
      </c>
      <c r="D2010" s="50" t="s">
        <v>2176</v>
      </c>
      <c r="E2010" s="50" t="n">
        <v>4</v>
      </c>
      <c r="F2010" s="50" t="s">
        <v>2167</v>
      </c>
      <c r="G2010" s="54" t="n">
        <v>1650100</v>
      </c>
    </row>
    <row r="2011" customFormat="false" ht="15" hidden="false" customHeight="false" outlineLevel="0" collapsed="false">
      <c r="A2011" s="50" t="s">
        <v>848</v>
      </c>
      <c r="B2011" s="51" t="n">
        <v>45779</v>
      </c>
      <c r="C2011" s="50" t="s">
        <v>166</v>
      </c>
      <c r="D2011" s="50" t="s">
        <v>2175</v>
      </c>
      <c r="E2011" s="50" t="n">
        <v>6</v>
      </c>
      <c r="F2011" s="50" t="s">
        <v>2167</v>
      </c>
      <c r="G2011" s="54" t="n">
        <v>3898600</v>
      </c>
    </row>
    <row r="2012" customFormat="false" ht="15" hidden="false" customHeight="false" outlineLevel="0" collapsed="false">
      <c r="A2012" s="50" t="s">
        <v>848</v>
      </c>
      <c r="B2012" s="51" t="n">
        <v>45779</v>
      </c>
      <c r="C2012" s="50" t="s">
        <v>166</v>
      </c>
      <c r="D2012" s="50" t="s">
        <v>2169</v>
      </c>
      <c r="E2012" s="50" t="n">
        <v>1</v>
      </c>
      <c r="F2012" s="50" t="s">
        <v>2167</v>
      </c>
      <c r="G2012" s="54" t="n">
        <v>605900</v>
      </c>
    </row>
    <row r="2013" customFormat="false" ht="15" hidden="false" customHeight="false" outlineLevel="0" collapsed="false">
      <c r="A2013" s="50" t="s">
        <v>848</v>
      </c>
      <c r="B2013" s="51" t="n">
        <v>45779</v>
      </c>
      <c r="C2013" s="50" t="s">
        <v>166</v>
      </c>
      <c r="D2013" s="50" t="s">
        <v>2185</v>
      </c>
      <c r="E2013" s="50" t="n">
        <v>1</v>
      </c>
      <c r="F2013" s="50" t="s">
        <v>2174</v>
      </c>
      <c r="G2013" s="54" t="n">
        <v>805200</v>
      </c>
    </row>
    <row r="2014" customFormat="false" ht="15" hidden="false" customHeight="false" outlineLevel="0" collapsed="false">
      <c r="A2014" s="50" t="s">
        <v>849</v>
      </c>
      <c r="B2014" s="51" t="n">
        <v>45779</v>
      </c>
      <c r="C2014" s="50" t="s">
        <v>186</v>
      </c>
      <c r="D2014" s="50" t="s">
        <v>2170</v>
      </c>
      <c r="E2014" s="50" t="n">
        <v>2</v>
      </c>
      <c r="F2014" s="50" t="s">
        <v>2171</v>
      </c>
      <c r="G2014" s="54" t="n">
        <v>15497000</v>
      </c>
    </row>
    <row r="2015" customFormat="false" ht="15" hidden="false" customHeight="false" outlineLevel="0" collapsed="false">
      <c r="A2015" s="50" t="s">
        <v>849</v>
      </c>
      <c r="B2015" s="51" t="n">
        <v>45779</v>
      </c>
      <c r="C2015" s="50" t="s">
        <v>186</v>
      </c>
      <c r="D2015" s="50" t="s">
        <v>2188</v>
      </c>
      <c r="E2015" s="50" t="n">
        <v>2</v>
      </c>
      <c r="F2015" s="50" t="s">
        <v>2167</v>
      </c>
      <c r="G2015" s="54" t="n">
        <v>2002000</v>
      </c>
    </row>
    <row r="2016" customFormat="false" ht="15" hidden="false" customHeight="false" outlineLevel="0" collapsed="false">
      <c r="A2016" s="50" t="s">
        <v>849</v>
      </c>
      <c r="B2016" s="51" t="n">
        <v>45779</v>
      </c>
      <c r="C2016" s="50" t="s">
        <v>186</v>
      </c>
      <c r="D2016" s="50" t="s">
        <v>2186</v>
      </c>
      <c r="E2016" s="50" t="n">
        <v>1</v>
      </c>
      <c r="F2016" s="50" t="s">
        <v>2167</v>
      </c>
      <c r="G2016" s="54" t="n">
        <v>570600</v>
      </c>
    </row>
    <row r="2017" customFormat="false" ht="15" hidden="false" customHeight="false" outlineLevel="0" collapsed="false">
      <c r="A2017" s="50" t="s">
        <v>850</v>
      </c>
      <c r="B2017" s="51" t="n">
        <v>45779</v>
      </c>
      <c r="C2017" s="50" t="s">
        <v>382</v>
      </c>
      <c r="D2017" s="50" t="s">
        <v>2172</v>
      </c>
      <c r="E2017" s="50" t="n">
        <v>2</v>
      </c>
      <c r="F2017" s="50" t="s">
        <v>2167</v>
      </c>
      <c r="G2017" s="54" t="n">
        <v>1040700</v>
      </c>
    </row>
    <row r="2018" customFormat="false" ht="15" hidden="false" customHeight="false" outlineLevel="0" collapsed="false">
      <c r="A2018" s="50" t="s">
        <v>850</v>
      </c>
      <c r="B2018" s="51" t="n">
        <v>45779</v>
      </c>
      <c r="C2018" s="50" t="s">
        <v>382</v>
      </c>
      <c r="D2018" s="50" t="s">
        <v>2184</v>
      </c>
      <c r="E2018" s="50" t="n">
        <v>3</v>
      </c>
      <c r="F2018" s="50" t="s">
        <v>2167</v>
      </c>
      <c r="G2018" s="54" t="n">
        <v>1621000</v>
      </c>
    </row>
    <row r="2019" customFormat="false" ht="15" hidden="false" customHeight="false" outlineLevel="0" collapsed="false">
      <c r="A2019" s="50" t="s">
        <v>129</v>
      </c>
      <c r="B2019" s="51" t="n">
        <v>45779</v>
      </c>
      <c r="C2019" s="50" t="s">
        <v>174</v>
      </c>
      <c r="D2019" s="50" t="s">
        <v>2178</v>
      </c>
      <c r="E2019" s="50" t="n">
        <v>4</v>
      </c>
      <c r="F2019" s="50" t="s">
        <v>2167</v>
      </c>
      <c r="G2019" s="54" t="n">
        <v>1964400</v>
      </c>
    </row>
    <row r="2020" customFormat="false" ht="15" hidden="false" customHeight="false" outlineLevel="0" collapsed="false">
      <c r="A2020" s="50" t="s">
        <v>129</v>
      </c>
      <c r="B2020" s="51" t="n">
        <v>45779</v>
      </c>
      <c r="C2020" s="50" t="s">
        <v>174</v>
      </c>
      <c r="D2020" s="50" t="s">
        <v>2176</v>
      </c>
      <c r="E2020" s="50" t="n">
        <v>5</v>
      </c>
      <c r="F2020" s="50" t="s">
        <v>2167</v>
      </c>
      <c r="G2020" s="54" t="n">
        <v>2120500</v>
      </c>
    </row>
    <row r="2021" customFormat="false" ht="15" hidden="false" customHeight="false" outlineLevel="0" collapsed="false">
      <c r="A2021" s="50" t="s">
        <v>129</v>
      </c>
      <c r="B2021" s="51" t="n">
        <v>45779</v>
      </c>
      <c r="C2021" s="50" t="s">
        <v>174</v>
      </c>
      <c r="D2021" s="50" t="s">
        <v>2186</v>
      </c>
      <c r="E2021" s="50" t="n">
        <v>6</v>
      </c>
      <c r="F2021" s="50" t="s">
        <v>2167</v>
      </c>
      <c r="G2021" s="54" t="n">
        <v>3569600</v>
      </c>
    </row>
    <row r="2022" customFormat="false" ht="15" hidden="false" customHeight="false" outlineLevel="0" collapsed="false">
      <c r="A2022" s="50" t="s">
        <v>129</v>
      </c>
      <c r="B2022" s="51" t="n">
        <v>45779</v>
      </c>
      <c r="C2022" s="50" t="s">
        <v>174</v>
      </c>
      <c r="D2022" s="50" t="s">
        <v>2170</v>
      </c>
      <c r="E2022" s="50" t="n">
        <v>2</v>
      </c>
      <c r="F2022" s="50" t="s">
        <v>2171</v>
      </c>
      <c r="G2022" s="54" t="n">
        <v>15664500</v>
      </c>
    </row>
    <row r="2023" customFormat="false" ht="15" hidden="false" customHeight="false" outlineLevel="0" collapsed="false">
      <c r="A2023" s="50" t="s">
        <v>129</v>
      </c>
      <c r="B2023" s="51" t="n">
        <v>45779</v>
      </c>
      <c r="C2023" s="50" t="s">
        <v>174</v>
      </c>
      <c r="D2023" s="50" t="s">
        <v>2181</v>
      </c>
      <c r="E2023" s="50" t="n">
        <v>2</v>
      </c>
      <c r="F2023" s="50" t="s">
        <v>2167</v>
      </c>
      <c r="G2023" s="54" t="n">
        <v>2322000</v>
      </c>
    </row>
    <row r="2024" customFormat="false" ht="15" hidden="false" customHeight="false" outlineLevel="0" collapsed="false">
      <c r="A2024" s="50" t="s">
        <v>851</v>
      </c>
      <c r="B2024" s="51" t="n">
        <v>45780</v>
      </c>
      <c r="C2024" s="50" t="s">
        <v>778</v>
      </c>
      <c r="D2024" s="50" t="s">
        <v>2184</v>
      </c>
      <c r="E2024" s="50" t="n">
        <v>4</v>
      </c>
      <c r="F2024" s="50" t="s">
        <v>2167</v>
      </c>
      <c r="G2024" s="54" t="n">
        <v>2285100</v>
      </c>
    </row>
    <row r="2025" customFormat="false" ht="15" hidden="false" customHeight="false" outlineLevel="0" collapsed="false">
      <c r="A2025" s="50" t="s">
        <v>851</v>
      </c>
      <c r="B2025" s="51" t="n">
        <v>45780</v>
      </c>
      <c r="C2025" s="50" t="s">
        <v>778</v>
      </c>
      <c r="D2025" s="50" t="s">
        <v>2180</v>
      </c>
      <c r="E2025" s="50" t="n">
        <v>2</v>
      </c>
      <c r="F2025" s="50" t="s">
        <v>2167</v>
      </c>
      <c r="G2025" s="54" t="n">
        <v>901600</v>
      </c>
    </row>
    <row r="2026" customFormat="false" ht="15" hidden="false" customHeight="false" outlineLevel="0" collapsed="false">
      <c r="A2026" s="50" t="s">
        <v>851</v>
      </c>
      <c r="B2026" s="51" t="n">
        <v>45780</v>
      </c>
      <c r="C2026" s="50" t="s">
        <v>778</v>
      </c>
      <c r="D2026" s="50" t="s">
        <v>2182</v>
      </c>
      <c r="E2026" s="50" t="n">
        <v>7</v>
      </c>
      <c r="F2026" s="50" t="s">
        <v>2174</v>
      </c>
      <c r="G2026" s="54" t="n">
        <v>6640800</v>
      </c>
    </row>
    <row r="2027" customFormat="false" ht="15" hidden="false" customHeight="false" outlineLevel="0" collapsed="false">
      <c r="A2027" s="50" t="s">
        <v>852</v>
      </c>
      <c r="B2027" s="51" t="n">
        <v>45780</v>
      </c>
      <c r="C2027" s="50" t="s">
        <v>179</v>
      </c>
      <c r="D2027" s="50" t="s">
        <v>2183</v>
      </c>
      <c r="E2027" s="50" t="n">
        <v>6</v>
      </c>
      <c r="F2027" s="50" t="s">
        <v>2167</v>
      </c>
      <c r="G2027" s="54" t="n">
        <v>2352200</v>
      </c>
    </row>
    <row r="2028" customFormat="false" ht="15" hidden="false" customHeight="false" outlineLevel="0" collapsed="false">
      <c r="A2028" s="50" t="s">
        <v>852</v>
      </c>
      <c r="B2028" s="51" t="n">
        <v>45780</v>
      </c>
      <c r="C2028" s="50" t="s">
        <v>179</v>
      </c>
      <c r="D2028" s="50" t="s">
        <v>2176</v>
      </c>
      <c r="E2028" s="50" t="n">
        <v>7</v>
      </c>
      <c r="F2028" s="50" t="s">
        <v>2167</v>
      </c>
      <c r="G2028" s="54" t="n">
        <v>2834200</v>
      </c>
    </row>
    <row r="2029" customFormat="false" ht="15" hidden="false" customHeight="false" outlineLevel="0" collapsed="false">
      <c r="A2029" s="50" t="s">
        <v>852</v>
      </c>
      <c r="B2029" s="51" t="n">
        <v>45780</v>
      </c>
      <c r="C2029" s="50" t="s">
        <v>179</v>
      </c>
      <c r="D2029" s="50" t="s">
        <v>2169</v>
      </c>
      <c r="E2029" s="50" t="n">
        <v>5</v>
      </c>
      <c r="F2029" s="50" t="s">
        <v>2167</v>
      </c>
      <c r="G2029" s="54" t="n">
        <v>3108500</v>
      </c>
    </row>
    <row r="2030" customFormat="false" ht="15" hidden="false" customHeight="false" outlineLevel="0" collapsed="false">
      <c r="A2030" s="50" t="s">
        <v>853</v>
      </c>
      <c r="B2030" s="51" t="n">
        <v>45780</v>
      </c>
      <c r="C2030" s="50" t="s">
        <v>168</v>
      </c>
      <c r="D2030" s="50" t="s">
        <v>2172</v>
      </c>
      <c r="E2030" s="50" t="n">
        <v>7</v>
      </c>
      <c r="F2030" s="50" t="s">
        <v>2167</v>
      </c>
      <c r="G2030" s="54" t="n">
        <v>3581800</v>
      </c>
    </row>
    <row r="2031" customFormat="false" ht="15" hidden="false" customHeight="false" outlineLevel="0" collapsed="false">
      <c r="A2031" s="50" t="s">
        <v>853</v>
      </c>
      <c r="B2031" s="51" t="n">
        <v>45780</v>
      </c>
      <c r="C2031" s="50" t="s">
        <v>168</v>
      </c>
      <c r="D2031" s="50" t="s">
        <v>2178</v>
      </c>
      <c r="E2031" s="50" t="n">
        <v>1</v>
      </c>
      <c r="F2031" s="50" t="s">
        <v>2167</v>
      </c>
      <c r="G2031" s="54" t="n">
        <v>471700</v>
      </c>
    </row>
    <row r="2032" customFormat="false" ht="15" hidden="false" customHeight="false" outlineLevel="0" collapsed="false">
      <c r="A2032" s="50" t="s">
        <v>854</v>
      </c>
      <c r="B2032" s="51" t="n">
        <v>45780</v>
      </c>
      <c r="C2032" s="50" t="s">
        <v>211</v>
      </c>
      <c r="D2032" s="50" t="s">
        <v>2186</v>
      </c>
      <c r="E2032" s="50" t="n">
        <v>2</v>
      </c>
      <c r="F2032" s="50" t="s">
        <v>2167</v>
      </c>
      <c r="G2032" s="54" t="n">
        <v>1165300</v>
      </c>
    </row>
    <row r="2033" customFormat="false" ht="15" hidden="false" customHeight="false" outlineLevel="0" collapsed="false">
      <c r="A2033" s="50" t="s">
        <v>854</v>
      </c>
      <c r="B2033" s="51" t="n">
        <v>45780</v>
      </c>
      <c r="C2033" s="50" t="s">
        <v>211</v>
      </c>
      <c r="D2033" s="50" t="s">
        <v>2169</v>
      </c>
      <c r="E2033" s="50" t="n">
        <v>8</v>
      </c>
      <c r="F2033" s="50" t="s">
        <v>2167</v>
      </c>
      <c r="G2033" s="54" t="n">
        <v>4850400</v>
      </c>
    </row>
    <row r="2034" customFormat="false" ht="15" hidden="false" customHeight="false" outlineLevel="0" collapsed="false">
      <c r="A2034" s="50" t="s">
        <v>854</v>
      </c>
      <c r="B2034" s="51" t="n">
        <v>45780</v>
      </c>
      <c r="C2034" s="50" t="s">
        <v>211</v>
      </c>
      <c r="D2034" s="50" t="s">
        <v>2185</v>
      </c>
      <c r="E2034" s="50" t="n">
        <v>7</v>
      </c>
      <c r="F2034" s="50" t="s">
        <v>2174</v>
      </c>
      <c r="G2034" s="54" t="n">
        <v>5581600</v>
      </c>
    </row>
    <row r="2035" customFormat="false" ht="15" hidden="false" customHeight="false" outlineLevel="0" collapsed="false">
      <c r="A2035" s="50" t="s">
        <v>854</v>
      </c>
      <c r="B2035" s="51" t="n">
        <v>45780</v>
      </c>
      <c r="C2035" s="50" t="s">
        <v>211</v>
      </c>
      <c r="D2035" s="50" t="s">
        <v>2176</v>
      </c>
      <c r="E2035" s="50" t="n">
        <v>7</v>
      </c>
      <c r="F2035" s="50" t="s">
        <v>2167</v>
      </c>
      <c r="G2035" s="54" t="n">
        <v>2933000</v>
      </c>
    </row>
    <row r="2036" customFormat="false" ht="15" hidden="false" customHeight="false" outlineLevel="0" collapsed="false">
      <c r="A2036" s="50" t="s">
        <v>854</v>
      </c>
      <c r="B2036" s="51" t="n">
        <v>45780</v>
      </c>
      <c r="C2036" s="50" t="s">
        <v>211</v>
      </c>
      <c r="D2036" s="50" t="s">
        <v>2188</v>
      </c>
      <c r="E2036" s="50" t="n">
        <v>8</v>
      </c>
      <c r="F2036" s="50" t="s">
        <v>2167</v>
      </c>
      <c r="G2036" s="54" t="n">
        <v>7970300</v>
      </c>
    </row>
    <row r="2037" customFormat="false" ht="15" hidden="false" customHeight="false" outlineLevel="0" collapsed="false">
      <c r="A2037" s="50" t="s">
        <v>854</v>
      </c>
      <c r="B2037" s="51" t="n">
        <v>45780</v>
      </c>
      <c r="C2037" s="50" t="s">
        <v>211</v>
      </c>
      <c r="D2037" s="50" t="s">
        <v>2175</v>
      </c>
      <c r="E2037" s="50" t="n">
        <v>6</v>
      </c>
      <c r="F2037" s="50" t="s">
        <v>2167</v>
      </c>
      <c r="G2037" s="54" t="n">
        <v>3703200</v>
      </c>
    </row>
    <row r="2038" customFormat="false" ht="15" hidden="false" customHeight="false" outlineLevel="0" collapsed="false">
      <c r="A2038" s="50" t="s">
        <v>855</v>
      </c>
      <c r="B2038" s="51" t="n">
        <v>45782</v>
      </c>
      <c r="C2038" s="50" t="s">
        <v>491</v>
      </c>
      <c r="D2038" s="50" t="s">
        <v>2188</v>
      </c>
      <c r="E2038" s="50" t="n">
        <v>8</v>
      </c>
      <c r="F2038" s="50" t="s">
        <v>2167</v>
      </c>
      <c r="G2038" s="54" t="n">
        <v>7987700</v>
      </c>
    </row>
    <row r="2039" customFormat="false" ht="15" hidden="false" customHeight="false" outlineLevel="0" collapsed="false">
      <c r="A2039" s="50" t="s">
        <v>856</v>
      </c>
      <c r="B2039" s="51" t="n">
        <v>45782</v>
      </c>
      <c r="C2039" s="50" t="s">
        <v>168</v>
      </c>
      <c r="D2039" s="50" t="s">
        <v>2173</v>
      </c>
      <c r="E2039" s="50" t="n">
        <v>7</v>
      </c>
      <c r="F2039" s="50" t="s">
        <v>2174</v>
      </c>
      <c r="G2039" s="54" t="n">
        <v>5543100</v>
      </c>
    </row>
    <row r="2040" customFormat="false" ht="15" hidden="false" customHeight="false" outlineLevel="0" collapsed="false">
      <c r="A2040" s="50" t="s">
        <v>856</v>
      </c>
      <c r="B2040" s="51" t="n">
        <v>45782</v>
      </c>
      <c r="C2040" s="50" t="s">
        <v>168</v>
      </c>
      <c r="D2040" s="50" t="s">
        <v>2184</v>
      </c>
      <c r="E2040" s="50" t="n">
        <v>6</v>
      </c>
      <c r="F2040" s="50" t="s">
        <v>2167</v>
      </c>
      <c r="G2040" s="54" t="n">
        <v>3459200</v>
      </c>
    </row>
    <row r="2041" customFormat="false" ht="15" hidden="false" customHeight="false" outlineLevel="0" collapsed="false">
      <c r="A2041" s="50" t="s">
        <v>856</v>
      </c>
      <c r="B2041" s="51" t="n">
        <v>45782</v>
      </c>
      <c r="C2041" s="50" t="s">
        <v>168</v>
      </c>
      <c r="D2041" s="50" t="s">
        <v>2172</v>
      </c>
      <c r="E2041" s="50" t="n">
        <v>5</v>
      </c>
      <c r="F2041" s="50" t="s">
        <v>2167</v>
      </c>
      <c r="G2041" s="54" t="n">
        <v>2557200</v>
      </c>
    </row>
    <row r="2042" customFormat="false" ht="15" hidden="false" customHeight="false" outlineLevel="0" collapsed="false">
      <c r="A2042" s="50" t="s">
        <v>857</v>
      </c>
      <c r="B2042" s="51" t="n">
        <v>45783</v>
      </c>
      <c r="C2042" s="50" t="s">
        <v>205</v>
      </c>
      <c r="D2042" s="50" t="s">
        <v>2183</v>
      </c>
      <c r="E2042" s="50" t="n">
        <v>3</v>
      </c>
      <c r="F2042" s="50" t="s">
        <v>2167</v>
      </c>
      <c r="G2042" s="54" t="n">
        <v>1116900</v>
      </c>
    </row>
    <row r="2043" customFormat="false" ht="15" hidden="false" customHeight="false" outlineLevel="0" collapsed="false">
      <c r="A2043" s="50" t="s">
        <v>857</v>
      </c>
      <c r="B2043" s="51" t="n">
        <v>45783</v>
      </c>
      <c r="C2043" s="50" t="s">
        <v>205</v>
      </c>
      <c r="D2043" s="50" t="s">
        <v>2186</v>
      </c>
      <c r="E2043" s="50" t="n">
        <v>2</v>
      </c>
      <c r="F2043" s="50" t="s">
        <v>2167</v>
      </c>
      <c r="G2043" s="54" t="n">
        <v>1184300</v>
      </c>
    </row>
    <row r="2044" customFormat="false" ht="15" hidden="false" customHeight="false" outlineLevel="0" collapsed="false">
      <c r="A2044" s="50" t="s">
        <v>857</v>
      </c>
      <c r="B2044" s="51" t="n">
        <v>45783</v>
      </c>
      <c r="C2044" s="50" t="s">
        <v>205</v>
      </c>
      <c r="D2044" s="50" t="s">
        <v>2169</v>
      </c>
      <c r="E2044" s="50" t="n">
        <v>7</v>
      </c>
      <c r="F2044" s="50" t="s">
        <v>2167</v>
      </c>
      <c r="G2044" s="54" t="n">
        <v>4417600</v>
      </c>
    </row>
    <row r="2045" customFormat="false" ht="15" hidden="false" customHeight="false" outlineLevel="0" collapsed="false">
      <c r="A2045" s="50" t="s">
        <v>857</v>
      </c>
      <c r="B2045" s="51" t="n">
        <v>45783</v>
      </c>
      <c r="C2045" s="50" t="s">
        <v>205</v>
      </c>
      <c r="D2045" s="50" t="s">
        <v>2166</v>
      </c>
      <c r="E2045" s="50" t="n">
        <v>2</v>
      </c>
      <c r="F2045" s="50" t="s">
        <v>2167</v>
      </c>
      <c r="G2045" s="54" t="n">
        <v>1081400</v>
      </c>
    </row>
    <row r="2046" customFormat="false" ht="15" hidden="false" customHeight="false" outlineLevel="0" collapsed="false">
      <c r="A2046" s="50" t="s">
        <v>858</v>
      </c>
      <c r="B2046" s="51" t="n">
        <v>45783</v>
      </c>
      <c r="C2046" s="50" t="s">
        <v>197</v>
      </c>
      <c r="D2046" s="50" t="s">
        <v>2172</v>
      </c>
      <c r="E2046" s="50" t="n">
        <v>5</v>
      </c>
      <c r="F2046" s="50" t="s">
        <v>2167</v>
      </c>
      <c r="G2046" s="54" t="n">
        <v>2693400</v>
      </c>
    </row>
    <row r="2047" customFormat="false" ht="15" hidden="false" customHeight="false" outlineLevel="0" collapsed="false">
      <c r="A2047" s="50" t="s">
        <v>858</v>
      </c>
      <c r="B2047" s="51" t="n">
        <v>45783</v>
      </c>
      <c r="C2047" s="50" t="s">
        <v>197</v>
      </c>
      <c r="D2047" s="50" t="s">
        <v>2184</v>
      </c>
      <c r="E2047" s="50" t="n">
        <v>8</v>
      </c>
      <c r="F2047" s="50" t="s">
        <v>2167</v>
      </c>
      <c r="G2047" s="54" t="n">
        <v>4417400</v>
      </c>
    </row>
    <row r="2048" customFormat="false" ht="15" hidden="false" customHeight="false" outlineLevel="0" collapsed="false">
      <c r="A2048" s="50" t="s">
        <v>858</v>
      </c>
      <c r="B2048" s="51" t="n">
        <v>45783</v>
      </c>
      <c r="C2048" s="50" t="s">
        <v>197</v>
      </c>
      <c r="D2048" s="50" t="s">
        <v>2175</v>
      </c>
      <c r="E2048" s="50" t="n">
        <v>5</v>
      </c>
      <c r="F2048" s="50" t="s">
        <v>2167</v>
      </c>
      <c r="G2048" s="54" t="n">
        <v>3133700</v>
      </c>
    </row>
    <row r="2049" customFormat="false" ht="15" hidden="false" customHeight="false" outlineLevel="0" collapsed="false">
      <c r="A2049" s="50" t="s">
        <v>858</v>
      </c>
      <c r="B2049" s="51" t="n">
        <v>45783</v>
      </c>
      <c r="C2049" s="50" t="s">
        <v>197</v>
      </c>
      <c r="D2049" s="50" t="s">
        <v>2183</v>
      </c>
      <c r="E2049" s="50" t="n">
        <v>6</v>
      </c>
      <c r="F2049" s="50" t="s">
        <v>2167</v>
      </c>
      <c r="G2049" s="54" t="n">
        <v>2280500</v>
      </c>
    </row>
    <row r="2050" customFormat="false" ht="15" hidden="false" customHeight="false" outlineLevel="0" collapsed="false">
      <c r="A2050" s="50" t="s">
        <v>858</v>
      </c>
      <c r="B2050" s="51" t="n">
        <v>45783</v>
      </c>
      <c r="C2050" s="50" t="s">
        <v>197</v>
      </c>
      <c r="D2050" s="50" t="s">
        <v>2186</v>
      </c>
      <c r="E2050" s="50" t="n">
        <v>3</v>
      </c>
      <c r="F2050" s="50" t="s">
        <v>2167</v>
      </c>
      <c r="G2050" s="54" t="n">
        <v>1801600</v>
      </c>
    </row>
    <row r="2051" customFormat="false" ht="15" hidden="false" customHeight="false" outlineLevel="0" collapsed="false">
      <c r="A2051" s="50" t="s">
        <v>858</v>
      </c>
      <c r="B2051" s="51" t="n">
        <v>45783</v>
      </c>
      <c r="C2051" s="50" t="s">
        <v>197</v>
      </c>
      <c r="D2051" s="50" t="s">
        <v>2181</v>
      </c>
      <c r="E2051" s="50" t="n">
        <v>6</v>
      </c>
      <c r="F2051" s="50" t="s">
        <v>2167</v>
      </c>
      <c r="G2051" s="54" t="n">
        <v>7141700</v>
      </c>
    </row>
    <row r="2052" customFormat="false" ht="15" hidden="false" customHeight="false" outlineLevel="0" collapsed="false">
      <c r="A2052" s="50" t="s">
        <v>859</v>
      </c>
      <c r="B2052" s="51" t="n">
        <v>45783</v>
      </c>
      <c r="C2052" s="50" t="s">
        <v>666</v>
      </c>
      <c r="D2052" s="50" t="s">
        <v>2180</v>
      </c>
      <c r="E2052" s="50" t="n">
        <v>3</v>
      </c>
      <c r="F2052" s="50" t="s">
        <v>2167</v>
      </c>
      <c r="G2052" s="54" t="n">
        <v>1396000</v>
      </c>
    </row>
    <row r="2053" customFormat="false" ht="15" hidden="false" customHeight="false" outlineLevel="0" collapsed="false">
      <c r="A2053" s="50" t="s">
        <v>859</v>
      </c>
      <c r="B2053" s="51" t="n">
        <v>45783</v>
      </c>
      <c r="C2053" s="50" t="s">
        <v>666</v>
      </c>
      <c r="D2053" s="50" t="s">
        <v>2177</v>
      </c>
      <c r="E2053" s="50" t="n">
        <v>7</v>
      </c>
      <c r="F2053" s="50" t="s">
        <v>2174</v>
      </c>
      <c r="G2053" s="54" t="n">
        <v>7521500</v>
      </c>
    </row>
    <row r="2054" customFormat="false" ht="15" hidden="false" customHeight="false" outlineLevel="0" collapsed="false">
      <c r="A2054" s="50" t="s">
        <v>859</v>
      </c>
      <c r="B2054" s="51" t="n">
        <v>45783</v>
      </c>
      <c r="C2054" s="50" t="s">
        <v>666</v>
      </c>
      <c r="D2054" s="50" t="s">
        <v>2168</v>
      </c>
      <c r="E2054" s="50" t="n">
        <v>4</v>
      </c>
      <c r="F2054" s="50" t="s">
        <v>2167</v>
      </c>
      <c r="G2054" s="54" t="n">
        <v>1734300</v>
      </c>
    </row>
    <row r="2055" customFormat="false" ht="15" hidden="false" customHeight="false" outlineLevel="0" collapsed="false">
      <c r="A2055" s="50" t="s">
        <v>859</v>
      </c>
      <c r="B2055" s="51" t="n">
        <v>45783</v>
      </c>
      <c r="C2055" s="50" t="s">
        <v>666</v>
      </c>
      <c r="D2055" s="50" t="s">
        <v>2185</v>
      </c>
      <c r="E2055" s="50" t="n">
        <v>7</v>
      </c>
      <c r="F2055" s="50" t="s">
        <v>2174</v>
      </c>
      <c r="G2055" s="54" t="n">
        <v>5632700</v>
      </c>
    </row>
    <row r="2056" customFormat="false" ht="15" hidden="false" customHeight="false" outlineLevel="0" collapsed="false">
      <c r="A2056" s="50" t="s">
        <v>859</v>
      </c>
      <c r="B2056" s="51" t="n">
        <v>45783</v>
      </c>
      <c r="C2056" s="50" t="s">
        <v>666</v>
      </c>
      <c r="D2056" s="50" t="s">
        <v>2179</v>
      </c>
      <c r="E2056" s="50" t="n">
        <v>4</v>
      </c>
      <c r="F2056" s="50" t="s">
        <v>2174</v>
      </c>
      <c r="G2056" s="54" t="n">
        <v>5157700</v>
      </c>
    </row>
    <row r="2057" customFormat="false" ht="15" hidden="false" customHeight="false" outlineLevel="0" collapsed="false">
      <c r="A2057" s="50" t="s">
        <v>859</v>
      </c>
      <c r="B2057" s="51" t="n">
        <v>45783</v>
      </c>
      <c r="C2057" s="50" t="s">
        <v>666</v>
      </c>
      <c r="D2057" s="50" t="s">
        <v>2186</v>
      </c>
      <c r="E2057" s="50" t="n">
        <v>8</v>
      </c>
      <c r="F2057" s="50" t="s">
        <v>2167</v>
      </c>
      <c r="G2057" s="54" t="n">
        <v>4532500</v>
      </c>
    </row>
    <row r="2058" customFormat="false" ht="15" hidden="false" customHeight="false" outlineLevel="0" collapsed="false">
      <c r="A2058" s="50" t="s">
        <v>860</v>
      </c>
      <c r="B2058" s="51" t="n">
        <v>45783</v>
      </c>
      <c r="C2058" s="50" t="s">
        <v>286</v>
      </c>
      <c r="D2058" s="50" t="s">
        <v>2173</v>
      </c>
      <c r="E2058" s="50" t="n">
        <v>7</v>
      </c>
      <c r="F2058" s="50" t="s">
        <v>2174</v>
      </c>
      <c r="G2058" s="54" t="n">
        <v>5592700</v>
      </c>
    </row>
    <row r="2059" customFormat="false" ht="15" hidden="false" customHeight="false" outlineLevel="0" collapsed="false">
      <c r="A2059" s="50" t="s">
        <v>861</v>
      </c>
      <c r="B2059" s="51" t="n">
        <v>45784</v>
      </c>
      <c r="C2059" s="50" t="s">
        <v>243</v>
      </c>
      <c r="D2059" s="50" t="s">
        <v>2169</v>
      </c>
      <c r="E2059" s="50" t="n">
        <v>1</v>
      </c>
      <c r="F2059" s="50" t="s">
        <v>2167</v>
      </c>
      <c r="G2059" s="54" t="n">
        <v>637000</v>
      </c>
    </row>
    <row r="2060" customFormat="false" ht="15" hidden="false" customHeight="false" outlineLevel="0" collapsed="false">
      <c r="A2060" s="50" t="s">
        <v>861</v>
      </c>
      <c r="B2060" s="51" t="n">
        <v>45784</v>
      </c>
      <c r="C2060" s="50" t="s">
        <v>243</v>
      </c>
      <c r="D2060" s="50" t="s">
        <v>2181</v>
      </c>
      <c r="E2060" s="50" t="n">
        <v>3</v>
      </c>
      <c r="F2060" s="50" t="s">
        <v>2167</v>
      </c>
      <c r="G2060" s="54" t="n">
        <v>3425900</v>
      </c>
    </row>
    <row r="2061" customFormat="false" ht="15" hidden="false" customHeight="false" outlineLevel="0" collapsed="false">
      <c r="A2061" s="50" t="s">
        <v>861</v>
      </c>
      <c r="B2061" s="51" t="n">
        <v>45784</v>
      </c>
      <c r="C2061" s="50" t="s">
        <v>243</v>
      </c>
      <c r="D2061" s="50" t="s">
        <v>2166</v>
      </c>
      <c r="E2061" s="50" t="n">
        <v>3</v>
      </c>
      <c r="F2061" s="50" t="s">
        <v>2167</v>
      </c>
      <c r="G2061" s="54" t="n">
        <v>1608000</v>
      </c>
    </row>
    <row r="2062" customFormat="false" ht="15" hidden="false" customHeight="false" outlineLevel="0" collapsed="false">
      <c r="A2062" s="50" t="s">
        <v>861</v>
      </c>
      <c r="B2062" s="51" t="n">
        <v>45784</v>
      </c>
      <c r="C2062" s="50" t="s">
        <v>243</v>
      </c>
      <c r="D2062" s="50" t="s">
        <v>2178</v>
      </c>
      <c r="E2062" s="50" t="n">
        <v>1</v>
      </c>
      <c r="F2062" s="50" t="s">
        <v>2167</v>
      </c>
      <c r="G2062" s="54" t="n">
        <v>470000</v>
      </c>
    </row>
    <row r="2063" customFormat="false" ht="15" hidden="false" customHeight="false" outlineLevel="0" collapsed="false">
      <c r="A2063" s="50" t="s">
        <v>861</v>
      </c>
      <c r="B2063" s="51" t="n">
        <v>45784</v>
      </c>
      <c r="C2063" s="50" t="s">
        <v>243</v>
      </c>
      <c r="D2063" s="50" t="s">
        <v>2184</v>
      </c>
      <c r="E2063" s="50" t="n">
        <v>1</v>
      </c>
      <c r="F2063" s="50" t="s">
        <v>2167</v>
      </c>
      <c r="G2063" s="54" t="n">
        <v>581400</v>
      </c>
    </row>
    <row r="2064" customFormat="false" ht="15" hidden="false" customHeight="false" outlineLevel="0" collapsed="false">
      <c r="A2064" s="50" t="s">
        <v>862</v>
      </c>
      <c r="B2064" s="51" t="n">
        <v>45784</v>
      </c>
      <c r="C2064" s="50" t="s">
        <v>166</v>
      </c>
      <c r="D2064" s="50" t="s">
        <v>2176</v>
      </c>
      <c r="E2064" s="50" t="n">
        <v>8</v>
      </c>
      <c r="F2064" s="50" t="s">
        <v>2167</v>
      </c>
      <c r="G2064" s="54" t="n">
        <v>3313900</v>
      </c>
    </row>
    <row r="2065" customFormat="false" ht="15" hidden="false" customHeight="false" outlineLevel="0" collapsed="false">
      <c r="A2065" s="50" t="s">
        <v>862</v>
      </c>
      <c r="B2065" s="51" t="n">
        <v>45784</v>
      </c>
      <c r="C2065" s="50" t="s">
        <v>166</v>
      </c>
      <c r="D2065" s="50" t="s">
        <v>2172</v>
      </c>
      <c r="E2065" s="50" t="n">
        <v>8</v>
      </c>
      <c r="F2065" s="50" t="s">
        <v>2167</v>
      </c>
      <c r="G2065" s="54" t="n">
        <v>4221400</v>
      </c>
    </row>
    <row r="2066" customFormat="false" ht="15" hidden="false" customHeight="false" outlineLevel="0" collapsed="false">
      <c r="A2066" s="50" t="s">
        <v>862</v>
      </c>
      <c r="B2066" s="51" t="n">
        <v>45784</v>
      </c>
      <c r="C2066" s="50" t="s">
        <v>166</v>
      </c>
      <c r="D2066" s="50" t="s">
        <v>2177</v>
      </c>
      <c r="E2066" s="50" t="n">
        <v>5</v>
      </c>
      <c r="F2066" s="50" t="s">
        <v>2174</v>
      </c>
      <c r="G2066" s="54" t="n">
        <v>5523400</v>
      </c>
    </row>
    <row r="2067" customFormat="false" ht="15" hidden="false" customHeight="false" outlineLevel="0" collapsed="false">
      <c r="A2067" s="50" t="s">
        <v>863</v>
      </c>
      <c r="B2067" s="51" t="n">
        <v>45784</v>
      </c>
      <c r="C2067" s="50" t="s">
        <v>298</v>
      </c>
      <c r="D2067" s="50" t="s">
        <v>2186</v>
      </c>
      <c r="E2067" s="50" t="n">
        <v>1</v>
      </c>
      <c r="F2067" s="50" t="s">
        <v>2167</v>
      </c>
      <c r="G2067" s="54" t="n">
        <v>577600</v>
      </c>
    </row>
    <row r="2068" customFormat="false" ht="15" hidden="false" customHeight="false" outlineLevel="0" collapsed="false">
      <c r="A2068" s="50" t="s">
        <v>863</v>
      </c>
      <c r="B2068" s="51" t="n">
        <v>45784</v>
      </c>
      <c r="C2068" s="50" t="s">
        <v>298</v>
      </c>
      <c r="D2068" s="50" t="s">
        <v>2183</v>
      </c>
      <c r="E2068" s="50" t="n">
        <v>5</v>
      </c>
      <c r="F2068" s="50" t="s">
        <v>2167</v>
      </c>
      <c r="G2068" s="54" t="n">
        <v>1941700</v>
      </c>
    </row>
    <row r="2069" customFormat="false" ht="15" hidden="false" customHeight="false" outlineLevel="0" collapsed="false">
      <c r="A2069" s="50" t="s">
        <v>863</v>
      </c>
      <c r="B2069" s="51" t="n">
        <v>45784</v>
      </c>
      <c r="C2069" s="50" t="s">
        <v>298</v>
      </c>
      <c r="D2069" s="50" t="s">
        <v>2166</v>
      </c>
      <c r="E2069" s="50" t="n">
        <v>8</v>
      </c>
      <c r="F2069" s="50" t="s">
        <v>2167</v>
      </c>
      <c r="G2069" s="54" t="n">
        <v>4443800</v>
      </c>
    </row>
    <row r="2070" customFormat="false" ht="15" hidden="false" customHeight="false" outlineLevel="0" collapsed="false">
      <c r="A2070" s="50" t="s">
        <v>864</v>
      </c>
      <c r="B2070" s="51" t="n">
        <v>45785</v>
      </c>
      <c r="C2070" s="50" t="s">
        <v>289</v>
      </c>
      <c r="D2070" s="50" t="s">
        <v>2181</v>
      </c>
      <c r="E2070" s="50" t="n">
        <v>5</v>
      </c>
      <c r="F2070" s="50" t="s">
        <v>2167</v>
      </c>
      <c r="G2070" s="54" t="n">
        <v>5702900</v>
      </c>
    </row>
    <row r="2071" customFormat="false" ht="15" hidden="false" customHeight="false" outlineLevel="0" collapsed="false">
      <c r="A2071" s="50" t="s">
        <v>864</v>
      </c>
      <c r="B2071" s="51" t="n">
        <v>45785</v>
      </c>
      <c r="C2071" s="50" t="s">
        <v>289</v>
      </c>
      <c r="D2071" s="50" t="s">
        <v>2166</v>
      </c>
      <c r="E2071" s="50" t="n">
        <v>2</v>
      </c>
      <c r="F2071" s="50" t="s">
        <v>2167</v>
      </c>
      <c r="G2071" s="54" t="n">
        <v>1091700</v>
      </c>
    </row>
    <row r="2072" customFormat="false" ht="15" hidden="false" customHeight="false" outlineLevel="0" collapsed="false">
      <c r="A2072" s="50" t="s">
        <v>865</v>
      </c>
      <c r="B2072" s="51" t="n">
        <v>45785</v>
      </c>
      <c r="C2072" s="50" t="s">
        <v>369</v>
      </c>
      <c r="D2072" s="50" t="s">
        <v>2166</v>
      </c>
      <c r="E2072" s="50" t="n">
        <v>2</v>
      </c>
      <c r="F2072" s="50" t="s">
        <v>2167</v>
      </c>
      <c r="G2072" s="54" t="n">
        <v>1100100</v>
      </c>
    </row>
    <row r="2073" customFormat="false" ht="15" hidden="false" customHeight="false" outlineLevel="0" collapsed="false">
      <c r="A2073" s="50" t="s">
        <v>865</v>
      </c>
      <c r="B2073" s="51" t="n">
        <v>45785</v>
      </c>
      <c r="C2073" s="50" t="s">
        <v>369</v>
      </c>
      <c r="D2073" s="50" t="s">
        <v>2186</v>
      </c>
      <c r="E2073" s="50" t="n">
        <v>6</v>
      </c>
      <c r="F2073" s="50" t="s">
        <v>2167</v>
      </c>
      <c r="G2073" s="54" t="n">
        <v>3416700</v>
      </c>
    </row>
    <row r="2074" customFormat="false" ht="15" hidden="false" customHeight="false" outlineLevel="0" collapsed="false">
      <c r="A2074" s="50" t="s">
        <v>865</v>
      </c>
      <c r="B2074" s="51" t="n">
        <v>45785</v>
      </c>
      <c r="C2074" s="50" t="s">
        <v>369</v>
      </c>
      <c r="D2074" s="50" t="s">
        <v>2185</v>
      </c>
      <c r="E2074" s="50" t="n">
        <v>8</v>
      </c>
      <c r="F2074" s="50" t="s">
        <v>2174</v>
      </c>
      <c r="G2074" s="54" t="n">
        <v>6083500</v>
      </c>
    </row>
    <row r="2075" customFormat="false" ht="15" hidden="false" customHeight="false" outlineLevel="0" collapsed="false">
      <c r="A2075" s="50" t="s">
        <v>866</v>
      </c>
      <c r="B2075" s="51" t="n">
        <v>45785</v>
      </c>
      <c r="C2075" s="50" t="s">
        <v>188</v>
      </c>
      <c r="D2075" s="50" t="s">
        <v>2176</v>
      </c>
      <c r="E2075" s="50" t="n">
        <v>6</v>
      </c>
      <c r="F2075" s="50" t="s">
        <v>2167</v>
      </c>
      <c r="G2075" s="54" t="n">
        <v>2489800</v>
      </c>
    </row>
    <row r="2076" customFormat="false" ht="15" hidden="false" customHeight="false" outlineLevel="0" collapsed="false">
      <c r="A2076" s="50" t="s">
        <v>866</v>
      </c>
      <c r="B2076" s="51" t="n">
        <v>45785</v>
      </c>
      <c r="C2076" s="50" t="s">
        <v>188</v>
      </c>
      <c r="D2076" s="50" t="s">
        <v>2188</v>
      </c>
      <c r="E2076" s="50" t="n">
        <v>2</v>
      </c>
      <c r="F2076" s="50" t="s">
        <v>2167</v>
      </c>
      <c r="G2076" s="54" t="n">
        <v>1882000</v>
      </c>
    </row>
    <row r="2077" customFormat="false" ht="15" hidden="false" customHeight="false" outlineLevel="0" collapsed="false">
      <c r="A2077" s="50" t="s">
        <v>866</v>
      </c>
      <c r="B2077" s="51" t="n">
        <v>45785</v>
      </c>
      <c r="C2077" s="50" t="s">
        <v>188</v>
      </c>
      <c r="D2077" s="50" t="s">
        <v>2180</v>
      </c>
      <c r="E2077" s="50" t="n">
        <v>3</v>
      </c>
      <c r="F2077" s="50" t="s">
        <v>2167</v>
      </c>
      <c r="G2077" s="54" t="n">
        <v>1385200</v>
      </c>
    </row>
    <row r="2078" customFormat="false" ht="15" hidden="false" customHeight="false" outlineLevel="0" collapsed="false">
      <c r="A2078" s="50" t="s">
        <v>867</v>
      </c>
      <c r="B2078" s="51" t="n">
        <v>45785</v>
      </c>
      <c r="C2078" s="50" t="s">
        <v>527</v>
      </c>
      <c r="D2078" s="50" t="s">
        <v>2173</v>
      </c>
      <c r="E2078" s="50" t="n">
        <v>5</v>
      </c>
      <c r="F2078" s="50" t="s">
        <v>2174</v>
      </c>
      <c r="G2078" s="54" t="n">
        <v>3840200</v>
      </c>
    </row>
    <row r="2079" customFormat="false" ht="15" hidden="false" customHeight="false" outlineLevel="0" collapsed="false">
      <c r="A2079" s="50" t="s">
        <v>867</v>
      </c>
      <c r="B2079" s="51" t="n">
        <v>45785</v>
      </c>
      <c r="C2079" s="50" t="s">
        <v>527</v>
      </c>
      <c r="D2079" s="50" t="s">
        <v>2181</v>
      </c>
      <c r="E2079" s="50" t="n">
        <v>2</v>
      </c>
      <c r="F2079" s="50" t="s">
        <v>2167</v>
      </c>
      <c r="G2079" s="54" t="n">
        <v>2357000</v>
      </c>
    </row>
    <row r="2080" customFormat="false" ht="15" hidden="false" customHeight="false" outlineLevel="0" collapsed="false">
      <c r="A2080" s="50" t="s">
        <v>867</v>
      </c>
      <c r="B2080" s="51" t="n">
        <v>45785</v>
      </c>
      <c r="C2080" s="50" t="s">
        <v>527</v>
      </c>
      <c r="D2080" s="50" t="s">
        <v>2186</v>
      </c>
      <c r="E2080" s="50" t="n">
        <v>4</v>
      </c>
      <c r="F2080" s="50" t="s">
        <v>2167</v>
      </c>
      <c r="G2080" s="54" t="n">
        <v>2299500</v>
      </c>
    </row>
    <row r="2081" customFormat="false" ht="15" hidden="false" customHeight="false" outlineLevel="0" collapsed="false">
      <c r="A2081" s="50" t="s">
        <v>867</v>
      </c>
      <c r="B2081" s="51" t="n">
        <v>45785</v>
      </c>
      <c r="C2081" s="50" t="s">
        <v>527</v>
      </c>
      <c r="D2081" s="50" t="s">
        <v>2168</v>
      </c>
      <c r="E2081" s="50" t="n">
        <v>1</v>
      </c>
      <c r="F2081" s="50" t="s">
        <v>2167</v>
      </c>
      <c r="G2081" s="54" t="n">
        <v>422800</v>
      </c>
    </row>
    <row r="2082" customFormat="false" ht="15" hidden="false" customHeight="false" outlineLevel="0" collapsed="false">
      <c r="A2082" s="50" t="s">
        <v>868</v>
      </c>
      <c r="B2082" s="51" t="n">
        <v>45785</v>
      </c>
      <c r="C2082" s="50" t="s">
        <v>256</v>
      </c>
      <c r="D2082" s="50" t="s">
        <v>2188</v>
      </c>
      <c r="E2082" s="50" t="n">
        <v>3</v>
      </c>
      <c r="F2082" s="50" t="s">
        <v>2167</v>
      </c>
      <c r="G2082" s="54" t="n">
        <v>2912200</v>
      </c>
    </row>
    <row r="2083" customFormat="false" ht="15" hidden="false" customHeight="false" outlineLevel="0" collapsed="false">
      <c r="A2083" s="50" t="s">
        <v>868</v>
      </c>
      <c r="B2083" s="51" t="n">
        <v>45785</v>
      </c>
      <c r="C2083" s="50" t="s">
        <v>256</v>
      </c>
      <c r="D2083" s="50" t="s">
        <v>2175</v>
      </c>
      <c r="E2083" s="50" t="n">
        <v>6</v>
      </c>
      <c r="F2083" s="50" t="s">
        <v>2167</v>
      </c>
      <c r="G2083" s="54" t="n">
        <v>3711600</v>
      </c>
    </row>
    <row r="2084" customFormat="false" ht="15" hidden="false" customHeight="false" outlineLevel="0" collapsed="false">
      <c r="A2084" s="50" t="s">
        <v>868</v>
      </c>
      <c r="B2084" s="51" t="n">
        <v>45785</v>
      </c>
      <c r="C2084" s="50" t="s">
        <v>256</v>
      </c>
      <c r="D2084" s="50" t="s">
        <v>2177</v>
      </c>
      <c r="E2084" s="50" t="n">
        <v>2</v>
      </c>
      <c r="F2084" s="50" t="s">
        <v>2174</v>
      </c>
      <c r="G2084" s="54" t="n">
        <v>2201500</v>
      </c>
    </row>
    <row r="2085" customFormat="false" ht="15" hidden="false" customHeight="false" outlineLevel="0" collapsed="false">
      <c r="A2085" s="50" t="s">
        <v>868</v>
      </c>
      <c r="B2085" s="51" t="n">
        <v>45785</v>
      </c>
      <c r="C2085" s="50" t="s">
        <v>256</v>
      </c>
      <c r="D2085" s="50" t="s">
        <v>2168</v>
      </c>
      <c r="E2085" s="50" t="n">
        <v>5</v>
      </c>
      <c r="F2085" s="50" t="s">
        <v>2167</v>
      </c>
      <c r="G2085" s="54" t="n">
        <v>2101900</v>
      </c>
    </row>
    <row r="2086" customFormat="false" ht="15" hidden="false" customHeight="false" outlineLevel="0" collapsed="false">
      <c r="A2086" s="50" t="s">
        <v>868</v>
      </c>
      <c r="B2086" s="51" t="n">
        <v>45785</v>
      </c>
      <c r="C2086" s="50" t="s">
        <v>256</v>
      </c>
      <c r="D2086" s="50" t="s">
        <v>2187</v>
      </c>
      <c r="E2086" s="50" t="n">
        <v>6</v>
      </c>
      <c r="F2086" s="50" t="s">
        <v>2167</v>
      </c>
      <c r="G2086" s="54" t="n">
        <v>2171200</v>
      </c>
    </row>
    <row r="2087" customFormat="false" ht="15" hidden="false" customHeight="false" outlineLevel="0" collapsed="false">
      <c r="A2087" s="50" t="s">
        <v>868</v>
      </c>
      <c r="B2087" s="51" t="n">
        <v>45785</v>
      </c>
      <c r="C2087" s="50" t="s">
        <v>256</v>
      </c>
      <c r="D2087" s="50" t="s">
        <v>2173</v>
      </c>
      <c r="E2087" s="50" t="n">
        <v>6</v>
      </c>
      <c r="F2087" s="50" t="s">
        <v>2174</v>
      </c>
      <c r="G2087" s="54" t="n">
        <v>4794100</v>
      </c>
    </row>
    <row r="2088" customFormat="false" ht="15" hidden="false" customHeight="false" outlineLevel="0" collapsed="false">
      <c r="A2088" s="50" t="s">
        <v>869</v>
      </c>
      <c r="B2088" s="51" t="n">
        <v>45786</v>
      </c>
      <c r="C2088" s="50" t="s">
        <v>177</v>
      </c>
      <c r="D2088" s="50" t="s">
        <v>2169</v>
      </c>
      <c r="E2088" s="50" t="n">
        <v>8</v>
      </c>
      <c r="F2088" s="50" t="s">
        <v>2167</v>
      </c>
      <c r="G2088" s="54" t="n">
        <v>4814400</v>
      </c>
    </row>
    <row r="2089" customFormat="false" ht="15" hidden="false" customHeight="false" outlineLevel="0" collapsed="false">
      <c r="A2089" s="50" t="s">
        <v>869</v>
      </c>
      <c r="B2089" s="51" t="n">
        <v>45786</v>
      </c>
      <c r="C2089" s="50" t="s">
        <v>177</v>
      </c>
      <c r="D2089" s="50" t="s">
        <v>2172</v>
      </c>
      <c r="E2089" s="50" t="n">
        <v>2</v>
      </c>
      <c r="F2089" s="50" t="s">
        <v>2167</v>
      </c>
      <c r="G2089" s="54" t="n">
        <v>1005100</v>
      </c>
    </row>
    <row r="2090" customFormat="false" ht="15" hidden="false" customHeight="false" outlineLevel="0" collapsed="false">
      <c r="A2090" s="50" t="s">
        <v>869</v>
      </c>
      <c r="B2090" s="51" t="n">
        <v>45786</v>
      </c>
      <c r="C2090" s="50" t="s">
        <v>177</v>
      </c>
      <c r="D2090" s="50" t="s">
        <v>2184</v>
      </c>
      <c r="E2090" s="50" t="n">
        <v>7</v>
      </c>
      <c r="F2090" s="50" t="s">
        <v>2167</v>
      </c>
      <c r="G2090" s="54" t="n">
        <v>3994100</v>
      </c>
    </row>
    <row r="2091" customFormat="false" ht="15" hidden="false" customHeight="false" outlineLevel="0" collapsed="false">
      <c r="A2091" s="50" t="s">
        <v>869</v>
      </c>
      <c r="B2091" s="51" t="n">
        <v>45786</v>
      </c>
      <c r="C2091" s="50" t="s">
        <v>177</v>
      </c>
      <c r="D2091" s="50" t="s">
        <v>2186</v>
      </c>
      <c r="E2091" s="50" t="n">
        <v>4</v>
      </c>
      <c r="F2091" s="50" t="s">
        <v>2167</v>
      </c>
      <c r="G2091" s="54" t="n">
        <v>2414300</v>
      </c>
    </row>
    <row r="2092" customFormat="false" ht="15" hidden="false" customHeight="false" outlineLevel="0" collapsed="false">
      <c r="A2092" s="50" t="s">
        <v>869</v>
      </c>
      <c r="B2092" s="51" t="n">
        <v>45786</v>
      </c>
      <c r="C2092" s="50" t="s">
        <v>177</v>
      </c>
      <c r="D2092" s="50" t="s">
        <v>2187</v>
      </c>
      <c r="E2092" s="50" t="n">
        <v>8</v>
      </c>
      <c r="F2092" s="50" t="s">
        <v>2167</v>
      </c>
      <c r="G2092" s="54" t="n">
        <v>2729100</v>
      </c>
    </row>
    <row r="2093" customFormat="false" ht="15" hidden="false" customHeight="false" outlineLevel="0" collapsed="false">
      <c r="A2093" s="50" t="s">
        <v>870</v>
      </c>
      <c r="B2093" s="51" t="n">
        <v>45786</v>
      </c>
      <c r="C2093" s="50" t="s">
        <v>467</v>
      </c>
      <c r="D2093" s="50" t="s">
        <v>2184</v>
      </c>
      <c r="E2093" s="50" t="n">
        <v>5</v>
      </c>
      <c r="F2093" s="50" t="s">
        <v>2167</v>
      </c>
      <c r="G2093" s="54" t="n">
        <v>2790900</v>
      </c>
    </row>
    <row r="2094" customFormat="false" ht="15" hidden="false" customHeight="false" outlineLevel="0" collapsed="false">
      <c r="A2094" s="50" t="s">
        <v>870</v>
      </c>
      <c r="B2094" s="51" t="n">
        <v>45786</v>
      </c>
      <c r="C2094" s="50" t="s">
        <v>467</v>
      </c>
      <c r="D2094" s="50" t="s">
        <v>2177</v>
      </c>
      <c r="E2094" s="50" t="n">
        <v>8</v>
      </c>
      <c r="F2094" s="50" t="s">
        <v>2174</v>
      </c>
      <c r="G2094" s="54" t="n">
        <v>8742500</v>
      </c>
    </row>
    <row r="2095" customFormat="false" ht="15" hidden="false" customHeight="false" outlineLevel="0" collapsed="false">
      <c r="A2095" s="50" t="s">
        <v>870</v>
      </c>
      <c r="B2095" s="51" t="n">
        <v>45786</v>
      </c>
      <c r="C2095" s="50" t="s">
        <v>467</v>
      </c>
      <c r="D2095" s="50" t="s">
        <v>2172</v>
      </c>
      <c r="E2095" s="50" t="n">
        <v>3</v>
      </c>
      <c r="F2095" s="50" t="s">
        <v>2167</v>
      </c>
      <c r="G2095" s="54" t="n">
        <v>1568600</v>
      </c>
    </row>
    <row r="2096" customFormat="false" ht="15" hidden="false" customHeight="false" outlineLevel="0" collapsed="false">
      <c r="A2096" s="50" t="s">
        <v>871</v>
      </c>
      <c r="B2096" s="51" t="n">
        <v>45786</v>
      </c>
      <c r="C2096" s="50" t="s">
        <v>174</v>
      </c>
      <c r="D2096" s="50" t="s">
        <v>2169</v>
      </c>
      <c r="E2096" s="50" t="n">
        <v>8</v>
      </c>
      <c r="F2096" s="50" t="s">
        <v>2167</v>
      </c>
      <c r="G2096" s="54" t="n">
        <v>4994400</v>
      </c>
    </row>
    <row r="2097" customFormat="false" ht="15" hidden="false" customHeight="false" outlineLevel="0" collapsed="false">
      <c r="A2097" s="50" t="s">
        <v>871</v>
      </c>
      <c r="B2097" s="51" t="n">
        <v>45786</v>
      </c>
      <c r="C2097" s="50" t="s">
        <v>174</v>
      </c>
      <c r="D2097" s="50" t="s">
        <v>2187</v>
      </c>
      <c r="E2097" s="50" t="n">
        <v>1</v>
      </c>
      <c r="F2097" s="50" t="s">
        <v>2167</v>
      </c>
      <c r="G2097" s="54" t="n">
        <v>350000</v>
      </c>
    </row>
    <row r="2098" customFormat="false" ht="15" hidden="false" customHeight="false" outlineLevel="0" collapsed="false">
      <c r="A2098" s="50" t="s">
        <v>871</v>
      </c>
      <c r="B2098" s="51" t="n">
        <v>45786</v>
      </c>
      <c r="C2098" s="50" t="s">
        <v>174</v>
      </c>
      <c r="D2098" s="50" t="s">
        <v>2176</v>
      </c>
      <c r="E2098" s="50" t="n">
        <v>6</v>
      </c>
      <c r="F2098" s="50" t="s">
        <v>2167</v>
      </c>
      <c r="G2098" s="54" t="n">
        <v>2486600</v>
      </c>
    </row>
    <row r="2099" customFormat="false" ht="15" hidden="false" customHeight="false" outlineLevel="0" collapsed="false">
      <c r="A2099" s="50" t="s">
        <v>872</v>
      </c>
      <c r="B2099" s="51" t="n">
        <v>45786</v>
      </c>
      <c r="C2099" s="50" t="s">
        <v>369</v>
      </c>
      <c r="D2099" s="50" t="s">
        <v>2181</v>
      </c>
      <c r="E2099" s="50" t="n">
        <v>3</v>
      </c>
      <c r="F2099" s="50" t="s">
        <v>2167</v>
      </c>
      <c r="G2099" s="54" t="n">
        <v>3354500</v>
      </c>
    </row>
    <row r="2100" customFormat="false" ht="15" hidden="false" customHeight="false" outlineLevel="0" collapsed="false">
      <c r="A2100" s="50" t="s">
        <v>872</v>
      </c>
      <c r="B2100" s="51" t="n">
        <v>45786</v>
      </c>
      <c r="C2100" s="50" t="s">
        <v>369</v>
      </c>
      <c r="D2100" s="50" t="s">
        <v>2176</v>
      </c>
      <c r="E2100" s="50" t="n">
        <v>7</v>
      </c>
      <c r="F2100" s="50" t="s">
        <v>2167</v>
      </c>
      <c r="G2100" s="54" t="n">
        <v>2952900</v>
      </c>
    </row>
    <row r="2101" customFormat="false" ht="15" hidden="false" customHeight="false" outlineLevel="0" collapsed="false">
      <c r="A2101" s="50" t="s">
        <v>872</v>
      </c>
      <c r="B2101" s="51" t="n">
        <v>45786</v>
      </c>
      <c r="C2101" s="50" t="s">
        <v>369</v>
      </c>
      <c r="D2101" s="50" t="s">
        <v>2184</v>
      </c>
      <c r="E2101" s="50" t="n">
        <v>7</v>
      </c>
      <c r="F2101" s="50" t="s">
        <v>2167</v>
      </c>
      <c r="G2101" s="54" t="n">
        <v>3811700</v>
      </c>
    </row>
    <row r="2102" customFormat="false" ht="15" hidden="false" customHeight="false" outlineLevel="0" collapsed="false">
      <c r="A2102" s="50" t="s">
        <v>872</v>
      </c>
      <c r="B2102" s="51" t="n">
        <v>45786</v>
      </c>
      <c r="C2102" s="50" t="s">
        <v>369</v>
      </c>
      <c r="D2102" s="50" t="s">
        <v>2187</v>
      </c>
      <c r="E2102" s="50" t="n">
        <v>5</v>
      </c>
      <c r="F2102" s="50" t="s">
        <v>2167</v>
      </c>
      <c r="G2102" s="54" t="n">
        <v>1697400</v>
      </c>
    </row>
    <row r="2103" customFormat="false" ht="15" hidden="false" customHeight="false" outlineLevel="0" collapsed="false">
      <c r="A2103" s="50" t="s">
        <v>873</v>
      </c>
      <c r="B2103" s="51" t="n">
        <v>45786</v>
      </c>
      <c r="C2103" s="50" t="s">
        <v>284</v>
      </c>
      <c r="D2103" s="50" t="s">
        <v>2178</v>
      </c>
      <c r="E2103" s="50" t="n">
        <v>3</v>
      </c>
      <c r="F2103" s="50" t="s">
        <v>2167</v>
      </c>
      <c r="G2103" s="54" t="n">
        <v>1475300</v>
      </c>
    </row>
    <row r="2104" customFormat="false" ht="15" hidden="false" customHeight="false" outlineLevel="0" collapsed="false">
      <c r="A2104" s="50" t="s">
        <v>873</v>
      </c>
      <c r="B2104" s="51" t="n">
        <v>45786</v>
      </c>
      <c r="C2104" s="50" t="s">
        <v>284</v>
      </c>
      <c r="D2104" s="50" t="s">
        <v>2169</v>
      </c>
      <c r="E2104" s="50" t="n">
        <v>1</v>
      </c>
      <c r="F2104" s="50" t="s">
        <v>2167</v>
      </c>
      <c r="G2104" s="54" t="n">
        <v>636800</v>
      </c>
    </row>
    <row r="2105" customFormat="false" ht="15" hidden="false" customHeight="false" outlineLevel="0" collapsed="false">
      <c r="A2105" s="50" t="s">
        <v>873</v>
      </c>
      <c r="B2105" s="51" t="n">
        <v>45786</v>
      </c>
      <c r="C2105" s="50" t="s">
        <v>284</v>
      </c>
      <c r="D2105" s="50" t="s">
        <v>2181</v>
      </c>
      <c r="E2105" s="50" t="n">
        <v>2</v>
      </c>
      <c r="F2105" s="50" t="s">
        <v>2167</v>
      </c>
      <c r="G2105" s="54" t="n">
        <v>2216700</v>
      </c>
    </row>
    <row r="2106" customFormat="false" ht="15" hidden="false" customHeight="false" outlineLevel="0" collapsed="false">
      <c r="A2106" s="50" t="s">
        <v>873</v>
      </c>
      <c r="B2106" s="51" t="n">
        <v>45786</v>
      </c>
      <c r="C2106" s="50" t="s">
        <v>284</v>
      </c>
      <c r="D2106" s="50" t="s">
        <v>2185</v>
      </c>
      <c r="E2106" s="50" t="n">
        <v>7</v>
      </c>
      <c r="F2106" s="50" t="s">
        <v>2174</v>
      </c>
      <c r="G2106" s="54" t="n">
        <v>5399600</v>
      </c>
    </row>
    <row r="2107" customFormat="false" ht="15" hidden="false" customHeight="false" outlineLevel="0" collapsed="false">
      <c r="A2107" s="50" t="s">
        <v>874</v>
      </c>
      <c r="B2107" s="51" t="n">
        <v>45786</v>
      </c>
      <c r="C2107" s="50" t="s">
        <v>186</v>
      </c>
      <c r="D2107" s="50" t="s">
        <v>2168</v>
      </c>
      <c r="E2107" s="50" t="n">
        <v>1</v>
      </c>
      <c r="F2107" s="50" t="s">
        <v>2167</v>
      </c>
      <c r="G2107" s="54" t="n">
        <v>423300</v>
      </c>
    </row>
    <row r="2108" customFormat="false" ht="15" hidden="false" customHeight="false" outlineLevel="0" collapsed="false">
      <c r="A2108" s="50" t="s">
        <v>874</v>
      </c>
      <c r="B2108" s="51" t="n">
        <v>45786</v>
      </c>
      <c r="C2108" s="50" t="s">
        <v>186</v>
      </c>
      <c r="D2108" s="50" t="s">
        <v>2166</v>
      </c>
      <c r="E2108" s="50" t="n">
        <v>3</v>
      </c>
      <c r="F2108" s="50" t="s">
        <v>2167</v>
      </c>
      <c r="G2108" s="54" t="n">
        <v>1660600</v>
      </c>
    </row>
    <row r="2109" customFormat="false" ht="15" hidden="false" customHeight="false" outlineLevel="0" collapsed="false">
      <c r="A2109" s="50" t="s">
        <v>874</v>
      </c>
      <c r="B2109" s="51" t="n">
        <v>45786</v>
      </c>
      <c r="C2109" s="50" t="s">
        <v>186</v>
      </c>
      <c r="D2109" s="50" t="s">
        <v>2172</v>
      </c>
      <c r="E2109" s="50" t="n">
        <v>5</v>
      </c>
      <c r="F2109" s="50" t="s">
        <v>2167</v>
      </c>
      <c r="G2109" s="54" t="n">
        <v>2591300</v>
      </c>
    </row>
    <row r="2110" customFormat="false" ht="15" hidden="false" customHeight="false" outlineLevel="0" collapsed="false">
      <c r="A2110" s="50" t="s">
        <v>874</v>
      </c>
      <c r="B2110" s="51" t="n">
        <v>45786</v>
      </c>
      <c r="C2110" s="50" t="s">
        <v>186</v>
      </c>
      <c r="D2110" s="50" t="s">
        <v>2181</v>
      </c>
      <c r="E2110" s="50" t="n">
        <v>6</v>
      </c>
      <c r="F2110" s="50" t="s">
        <v>2167</v>
      </c>
      <c r="G2110" s="54" t="n">
        <v>6818100</v>
      </c>
    </row>
    <row r="2111" customFormat="false" ht="15" hidden="false" customHeight="false" outlineLevel="0" collapsed="false">
      <c r="A2111" s="50" t="s">
        <v>875</v>
      </c>
      <c r="B2111" s="51" t="n">
        <v>45787</v>
      </c>
      <c r="C2111" s="50" t="s">
        <v>209</v>
      </c>
      <c r="D2111" s="50" t="s">
        <v>2179</v>
      </c>
      <c r="E2111" s="50" t="n">
        <v>3</v>
      </c>
      <c r="F2111" s="50" t="s">
        <v>2174</v>
      </c>
      <c r="G2111" s="54" t="n">
        <v>3718600</v>
      </c>
    </row>
    <row r="2112" customFormat="false" ht="15" hidden="false" customHeight="false" outlineLevel="0" collapsed="false">
      <c r="A2112" s="50" t="s">
        <v>875</v>
      </c>
      <c r="B2112" s="51" t="n">
        <v>45787</v>
      </c>
      <c r="C2112" s="50" t="s">
        <v>209</v>
      </c>
      <c r="D2112" s="50" t="s">
        <v>2178</v>
      </c>
      <c r="E2112" s="50" t="n">
        <v>5</v>
      </c>
      <c r="F2112" s="50" t="s">
        <v>2167</v>
      </c>
      <c r="G2112" s="54" t="n">
        <v>2331300</v>
      </c>
    </row>
    <row r="2113" customFormat="false" ht="15" hidden="false" customHeight="false" outlineLevel="0" collapsed="false">
      <c r="A2113" s="50" t="s">
        <v>875</v>
      </c>
      <c r="B2113" s="51" t="n">
        <v>45787</v>
      </c>
      <c r="C2113" s="50" t="s">
        <v>209</v>
      </c>
      <c r="D2113" s="50" t="s">
        <v>2175</v>
      </c>
      <c r="E2113" s="50" t="n">
        <v>1</v>
      </c>
      <c r="F2113" s="50" t="s">
        <v>2167</v>
      </c>
      <c r="G2113" s="54" t="n">
        <v>639100</v>
      </c>
    </row>
    <row r="2114" customFormat="false" ht="15" hidden="false" customHeight="false" outlineLevel="0" collapsed="false">
      <c r="A2114" s="50" t="s">
        <v>875</v>
      </c>
      <c r="B2114" s="51" t="n">
        <v>45787</v>
      </c>
      <c r="C2114" s="50" t="s">
        <v>209</v>
      </c>
      <c r="D2114" s="50" t="s">
        <v>2180</v>
      </c>
      <c r="E2114" s="50" t="n">
        <v>7</v>
      </c>
      <c r="F2114" s="50" t="s">
        <v>2167</v>
      </c>
      <c r="G2114" s="54" t="n">
        <v>3265400</v>
      </c>
    </row>
    <row r="2115" customFormat="false" ht="15" hidden="false" customHeight="false" outlineLevel="0" collapsed="false">
      <c r="A2115" s="50" t="s">
        <v>876</v>
      </c>
      <c r="B2115" s="51" t="n">
        <v>45787</v>
      </c>
      <c r="C2115" s="50" t="s">
        <v>611</v>
      </c>
      <c r="D2115" s="50" t="s">
        <v>2188</v>
      </c>
      <c r="E2115" s="50" t="n">
        <v>1</v>
      </c>
      <c r="F2115" s="50" t="s">
        <v>2167</v>
      </c>
      <c r="G2115" s="54" t="n">
        <v>999800</v>
      </c>
    </row>
    <row r="2116" customFormat="false" ht="15" hidden="false" customHeight="false" outlineLevel="0" collapsed="false">
      <c r="A2116" s="50" t="s">
        <v>876</v>
      </c>
      <c r="B2116" s="51" t="n">
        <v>45787</v>
      </c>
      <c r="C2116" s="50" t="s">
        <v>611</v>
      </c>
      <c r="D2116" s="50" t="s">
        <v>2186</v>
      </c>
      <c r="E2116" s="50" t="n">
        <v>4</v>
      </c>
      <c r="F2116" s="50" t="s">
        <v>2167</v>
      </c>
      <c r="G2116" s="54" t="n">
        <v>2401400</v>
      </c>
    </row>
    <row r="2117" customFormat="false" ht="15" hidden="false" customHeight="false" outlineLevel="0" collapsed="false">
      <c r="A2117" s="50" t="s">
        <v>876</v>
      </c>
      <c r="B2117" s="51" t="n">
        <v>45787</v>
      </c>
      <c r="C2117" s="50" t="s">
        <v>611</v>
      </c>
      <c r="D2117" s="50" t="s">
        <v>2181</v>
      </c>
      <c r="E2117" s="50" t="n">
        <v>3</v>
      </c>
      <c r="F2117" s="50" t="s">
        <v>2167</v>
      </c>
      <c r="G2117" s="54" t="n">
        <v>3491600</v>
      </c>
    </row>
    <row r="2118" customFormat="false" ht="15" hidden="false" customHeight="false" outlineLevel="0" collapsed="false">
      <c r="A2118" s="50" t="s">
        <v>877</v>
      </c>
      <c r="B2118" s="51" t="n">
        <v>45787</v>
      </c>
      <c r="C2118" s="50" t="s">
        <v>174</v>
      </c>
      <c r="D2118" s="50" t="s">
        <v>2181</v>
      </c>
      <c r="E2118" s="50" t="n">
        <v>6</v>
      </c>
      <c r="F2118" s="50" t="s">
        <v>2167</v>
      </c>
      <c r="G2118" s="54" t="n">
        <v>6741300</v>
      </c>
    </row>
    <row r="2119" customFormat="false" ht="15" hidden="false" customHeight="false" outlineLevel="0" collapsed="false">
      <c r="A2119" s="50" t="s">
        <v>877</v>
      </c>
      <c r="B2119" s="51" t="n">
        <v>45787</v>
      </c>
      <c r="C2119" s="50" t="s">
        <v>174</v>
      </c>
      <c r="D2119" s="50" t="s">
        <v>2180</v>
      </c>
      <c r="E2119" s="50" t="n">
        <v>2</v>
      </c>
      <c r="F2119" s="50" t="s">
        <v>2167</v>
      </c>
      <c r="G2119" s="54" t="n">
        <v>935100</v>
      </c>
    </row>
    <row r="2120" customFormat="false" ht="15" hidden="false" customHeight="false" outlineLevel="0" collapsed="false">
      <c r="A2120" s="50" t="s">
        <v>877</v>
      </c>
      <c r="B2120" s="51" t="n">
        <v>45787</v>
      </c>
      <c r="C2120" s="50" t="s">
        <v>174</v>
      </c>
      <c r="D2120" s="50" t="s">
        <v>2186</v>
      </c>
      <c r="E2120" s="50" t="n">
        <v>4</v>
      </c>
      <c r="F2120" s="50" t="s">
        <v>2167</v>
      </c>
      <c r="G2120" s="54" t="n">
        <v>2390300</v>
      </c>
    </row>
    <row r="2121" customFormat="false" ht="15" hidden="false" customHeight="false" outlineLevel="0" collapsed="false">
      <c r="A2121" s="50" t="s">
        <v>878</v>
      </c>
      <c r="B2121" s="51" t="n">
        <v>45787</v>
      </c>
      <c r="C2121" s="50" t="s">
        <v>247</v>
      </c>
      <c r="D2121" s="50" t="s">
        <v>2176</v>
      </c>
      <c r="E2121" s="50" t="n">
        <v>1</v>
      </c>
      <c r="F2121" s="50" t="s">
        <v>2167</v>
      </c>
      <c r="G2121" s="54" t="n">
        <v>404500</v>
      </c>
    </row>
    <row r="2122" customFormat="false" ht="15" hidden="false" customHeight="false" outlineLevel="0" collapsed="false">
      <c r="A2122" s="50" t="s">
        <v>878</v>
      </c>
      <c r="B2122" s="51" t="n">
        <v>45787</v>
      </c>
      <c r="C2122" s="50" t="s">
        <v>247</v>
      </c>
      <c r="D2122" s="50" t="s">
        <v>2172</v>
      </c>
      <c r="E2122" s="50" t="n">
        <v>3</v>
      </c>
      <c r="F2122" s="50" t="s">
        <v>2167</v>
      </c>
      <c r="G2122" s="54" t="n">
        <v>1520400</v>
      </c>
    </row>
    <row r="2123" customFormat="false" ht="15" hidden="false" customHeight="false" outlineLevel="0" collapsed="false">
      <c r="A2123" s="50" t="s">
        <v>878</v>
      </c>
      <c r="B2123" s="51" t="n">
        <v>45787</v>
      </c>
      <c r="C2123" s="50" t="s">
        <v>247</v>
      </c>
      <c r="D2123" s="50" t="s">
        <v>2170</v>
      </c>
      <c r="E2123" s="50" t="n">
        <v>2</v>
      </c>
      <c r="F2123" s="50" t="s">
        <v>2171</v>
      </c>
      <c r="G2123" s="54" t="n">
        <v>15534100</v>
      </c>
    </row>
    <row r="2124" customFormat="false" ht="15" hidden="false" customHeight="false" outlineLevel="0" collapsed="false">
      <c r="A2124" s="50" t="s">
        <v>878</v>
      </c>
      <c r="B2124" s="51" t="n">
        <v>45787</v>
      </c>
      <c r="C2124" s="50" t="s">
        <v>247</v>
      </c>
      <c r="D2124" s="50" t="s">
        <v>2187</v>
      </c>
      <c r="E2124" s="50" t="n">
        <v>2</v>
      </c>
      <c r="F2124" s="50" t="s">
        <v>2167</v>
      </c>
      <c r="G2124" s="54" t="n">
        <v>700100</v>
      </c>
    </row>
    <row r="2125" customFormat="false" ht="15" hidden="false" customHeight="false" outlineLevel="0" collapsed="false">
      <c r="A2125" s="50" t="s">
        <v>879</v>
      </c>
      <c r="B2125" s="51" t="n">
        <v>45787</v>
      </c>
      <c r="C2125" s="50" t="s">
        <v>179</v>
      </c>
      <c r="D2125" s="50" t="s">
        <v>2184</v>
      </c>
      <c r="E2125" s="50" t="n">
        <v>5</v>
      </c>
      <c r="F2125" s="50" t="s">
        <v>2167</v>
      </c>
      <c r="G2125" s="54" t="n">
        <v>2881300</v>
      </c>
    </row>
    <row r="2126" customFormat="false" ht="15" hidden="false" customHeight="false" outlineLevel="0" collapsed="false">
      <c r="A2126" s="50" t="s">
        <v>879</v>
      </c>
      <c r="B2126" s="51" t="n">
        <v>45787</v>
      </c>
      <c r="C2126" s="50" t="s">
        <v>179</v>
      </c>
      <c r="D2126" s="50" t="s">
        <v>2176</v>
      </c>
      <c r="E2126" s="50" t="n">
        <v>2</v>
      </c>
      <c r="F2126" s="50" t="s">
        <v>2167</v>
      </c>
      <c r="G2126" s="54" t="n">
        <v>815100</v>
      </c>
    </row>
    <row r="2127" customFormat="false" ht="15" hidden="false" customHeight="false" outlineLevel="0" collapsed="false">
      <c r="A2127" s="50" t="s">
        <v>879</v>
      </c>
      <c r="B2127" s="51" t="n">
        <v>45787</v>
      </c>
      <c r="C2127" s="50" t="s">
        <v>179</v>
      </c>
      <c r="D2127" s="50" t="s">
        <v>2179</v>
      </c>
      <c r="E2127" s="50" t="n">
        <v>6</v>
      </c>
      <c r="F2127" s="50" t="s">
        <v>2174</v>
      </c>
      <c r="G2127" s="54" t="n">
        <v>7364300</v>
      </c>
    </row>
    <row r="2128" customFormat="false" ht="15" hidden="false" customHeight="false" outlineLevel="0" collapsed="false">
      <c r="A2128" s="50" t="s">
        <v>880</v>
      </c>
      <c r="B2128" s="51" t="n">
        <v>45787</v>
      </c>
      <c r="C2128" s="50" t="s">
        <v>315</v>
      </c>
      <c r="D2128" s="50" t="s">
        <v>2185</v>
      </c>
      <c r="E2128" s="50" t="n">
        <v>1</v>
      </c>
      <c r="F2128" s="50" t="s">
        <v>2174</v>
      </c>
      <c r="G2128" s="54" t="n">
        <v>792200</v>
      </c>
    </row>
    <row r="2129" customFormat="false" ht="15" hidden="false" customHeight="false" outlineLevel="0" collapsed="false">
      <c r="A2129" s="50" t="s">
        <v>880</v>
      </c>
      <c r="B2129" s="51" t="n">
        <v>45787</v>
      </c>
      <c r="C2129" s="50" t="s">
        <v>315</v>
      </c>
      <c r="D2129" s="50" t="s">
        <v>2176</v>
      </c>
      <c r="E2129" s="50" t="n">
        <v>1</v>
      </c>
      <c r="F2129" s="50" t="s">
        <v>2167</v>
      </c>
      <c r="G2129" s="54" t="n">
        <v>421700</v>
      </c>
    </row>
    <row r="2130" customFormat="false" ht="15" hidden="false" customHeight="false" outlineLevel="0" collapsed="false">
      <c r="A2130" s="50" t="s">
        <v>881</v>
      </c>
      <c r="B2130" s="51" t="n">
        <v>45787</v>
      </c>
      <c r="C2130" s="50" t="s">
        <v>241</v>
      </c>
      <c r="D2130" s="50" t="s">
        <v>2168</v>
      </c>
      <c r="E2130" s="50" t="n">
        <v>5</v>
      </c>
      <c r="F2130" s="50" t="s">
        <v>2167</v>
      </c>
      <c r="G2130" s="54" t="n">
        <v>2203700</v>
      </c>
    </row>
    <row r="2131" customFormat="false" ht="15" hidden="false" customHeight="false" outlineLevel="0" collapsed="false">
      <c r="A2131" s="50" t="s">
        <v>881</v>
      </c>
      <c r="B2131" s="51" t="n">
        <v>45787</v>
      </c>
      <c r="C2131" s="50" t="s">
        <v>241</v>
      </c>
      <c r="D2131" s="50" t="s">
        <v>2187</v>
      </c>
      <c r="E2131" s="50" t="n">
        <v>4</v>
      </c>
      <c r="F2131" s="50" t="s">
        <v>2167</v>
      </c>
      <c r="G2131" s="54" t="n">
        <v>1373200</v>
      </c>
    </row>
    <row r="2132" customFormat="false" ht="15" hidden="false" customHeight="false" outlineLevel="0" collapsed="false">
      <c r="A2132" s="50" t="s">
        <v>881</v>
      </c>
      <c r="B2132" s="51" t="n">
        <v>45787</v>
      </c>
      <c r="C2132" s="50" t="s">
        <v>241</v>
      </c>
      <c r="D2132" s="50" t="s">
        <v>2188</v>
      </c>
      <c r="E2132" s="50" t="n">
        <v>5</v>
      </c>
      <c r="F2132" s="50" t="s">
        <v>2167</v>
      </c>
      <c r="G2132" s="54" t="n">
        <v>4908600</v>
      </c>
    </row>
    <row r="2133" customFormat="false" ht="15" hidden="false" customHeight="false" outlineLevel="0" collapsed="false">
      <c r="A2133" s="50" t="s">
        <v>881</v>
      </c>
      <c r="B2133" s="51" t="n">
        <v>45787</v>
      </c>
      <c r="C2133" s="50" t="s">
        <v>241</v>
      </c>
      <c r="D2133" s="50" t="s">
        <v>2173</v>
      </c>
      <c r="E2133" s="50" t="n">
        <v>3</v>
      </c>
      <c r="F2133" s="50" t="s">
        <v>2174</v>
      </c>
      <c r="G2133" s="54" t="n">
        <v>2377400</v>
      </c>
    </row>
    <row r="2134" customFormat="false" ht="15" hidden="false" customHeight="false" outlineLevel="0" collapsed="false">
      <c r="A2134" s="50" t="s">
        <v>881</v>
      </c>
      <c r="B2134" s="51" t="n">
        <v>45787</v>
      </c>
      <c r="C2134" s="50" t="s">
        <v>241</v>
      </c>
      <c r="D2134" s="50" t="s">
        <v>2169</v>
      </c>
      <c r="E2134" s="50" t="n">
        <v>7</v>
      </c>
      <c r="F2134" s="50" t="s">
        <v>2167</v>
      </c>
      <c r="G2134" s="54" t="n">
        <v>4496600</v>
      </c>
    </row>
    <row r="2135" customFormat="false" ht="15" hidden="false" customHeight="false" outlineLevel="0" collapsed="false">
      <c r="A2135" s="50" t="s">
        <v>882</v>
      </c>
      <c r="B2135" s="51" t="n">
        <v>45787</v>
      </c>
      <c r="C2135" s="50" t="s">
        <v>230</v>
      </c>
      <c r="D2135" s="50" t="s">
        <v>2181</v>
      </c>
      <c r="E2135" s="50" t="n">
        <v>8</v>
      </c>
      <c r="F2135" s="50" t="s">
        <v>2167</v>
      </c>
      <c r="G2135" s="54" t="n">
        <v>9227200</v>
      </c>
    </row>
    <row r="2136" customFormat="false" ht="15" hidden="false" customHeight="false" outlineLevel="0" collapsed="false">
      <c r="A2136" s="50" t="s">
        <v>882</v>
      </c>
      <c r="B2136" s="51" t="n">
        <v>45787</v>
      </c>
      <c r="C2136" s="50" t="s">
        <v>230</v>
      </c>
      <c r="D2136" s="50" t="s">
        <v>2172</v>
      </c>
      <c r="E2136" s="50" t="n">
        <v>6</v>
      </c>
      <c r="F2136" s="50" t="s">
        <v>2167</v>
      </c>
      <c r="G2136" s="54" t="n">
        <v>3101100</v>
      </c>
    </row>
    <row r="2137" customFormat="false" ht="15" hidden="false" customHeight="false" outlineLevel="0" collapsed="false">
      <c r="A2137" s="50" t="s">
        <v>882</v>
      </c>
      <c r="B2137" s="51" t="n">
        <v>45787</v>
      </c>
      <c r="C2137" s="50" t="s">
        <v>230</v>
      </c>
      <c r="D2137" s="50" t="s">
        <v>2180</v>
      </c>
      <c r="E2137" s="50" t="n">
        <v>8</v>
      </c>
      <c r="F2137" s="50" t="s">
        <v>2167</v>
      </c>
      <c r="G2137" s="54" t="n">
        <v>3518300</v>
      </c>
    </row>
    <row r="2138" customFormat="false" ht="15" hidden="false" customHeight="false" outlineLevel="0" collapsed="false">
      <c r="A2138" s="50" t="s">
        <v>882</v>
      </c>
      <c r="B2138" s="51" t="n">
        <v>45787</v>
      </c>
      <c r="C2138" s="50" t="s">
        <v>230</v>
      </c>
      <c r="D2138" s="50" t="s">
        <v>2166</v>
      </c>
      <c r="E2138" s="50" t="n">
        <v>5</v>
      </c>
      <c r="F2138" s="50" t="s">
        <v>2167</v>
      </c>
      <c r="G2138" s="54" t="n">
        <v>2744100</v>
      </c>
    </row>
    <row r="2139" customFormat="false" ht="15" hidden="false" customHeight="false" outlineLevel="0" collapsed="false">
      <c r="A2139" s="50" t="s">
        <v>882</v>
      </c>
      <c r="B2139" s="51" t="n">
        <v>45787</v>
      </c>
      <c r="C2139" s="50" t="s">
        <v>230</v>
      </c>
      <c r="D2139" s="50" t="s">
        <v>2184</v>
      </c>
      <c r="E2139" s="50" t="n">
        <v>2</v>
      </c>
      <c r="F2139" s="50" t="s">
        <v>2167</v>
      </c>
      <c r="G2139" s="54" t="n">
        <v>1080900</v>
      </c>
    </row>
    <row r="2140" customFormat="false" ht="15" hidden="false" customHeight="false" outlineLevel="0" collapsed="false">
      <c r="A2140" s="50" t="s">
        <v>882</v>
      </c>
      <c r="B2140" s="51" t="n">
        <v>45787</v>
      </c>
      <c r="C2140" s="50" t="s">
        <v>230</v>
      </c>
      <c r="D2140" s="50" t="s">
        <v>2175</v>
      </c>
      <c r="E2140" s="50" t="n">
        <v>4</v>
      </c>
      <c r="F2140" s="50" t="s">
        <v>2167</v>
      </c>
      <c r="G2140" s="54" t="n">
        <v>2606700</v>
      </c>
    </row>
    <row r="2141" customFormat="false" ht="15" hidden="false" customHeight="false" outlineLevel="0" collapsed="false">
      <c r="A2141" s="50" t="s">
        <v>882</v>
      </c>
      <c r="B2141" s="51" t="n">
        <v>45787</v>
      </c>
      <c r="C2141" s="50" t="s">
        <v>230</v>
      </c>
      <c r="D2141" s="50" t="s">
        <v>2187</v>
      </c>
      <c r="E2141" s="50" t="n">
        <v>7</v>
      </c>
      <c r="F2141" s="50" t="s">
        <v>2167</v>
      </c>
      <c r="G2141" s="54" t="n">
        <v>2390400</v>
      </c>
    </row>
    <row r="2142" customFormat="false" ht="15" hidden="false" customHeight="false" outlineLevel="0" collapsed="false">
      <c r="A2142" s="50" t="s">
        <v>882</v>
      </c>
      <c r="B2142" s="51" t="n">
        <v>45787</v>
      </c>
      <c r="C2142" s="50" t="s">
        <v>230</v>
      </c>
      <c r="D2142" s="50" t="s">
        <v>2169</v>
      </c>
      <c r="E2142" s="50" t="n">
        <v>4</v>
      </c>
      <c r="F2142" s="50" t="s">
        <v>2167</v>
      </c>
      <c r="G2142" s="54" t="n">
        <v>2431800</v>
      </c>
    </row>
    <row r="2143" customFormat="false" ht="15" hidden="false" customHeight="false" outlineLevel="0" collapsed="false">
      <c r="A2143" s="50" t="s">
        <v>882</v>
      </c>
      <c r="B2143" s="51" t="n">
        <v>45787</v>
      </c>
      <c r="C2143" s="50" t="s">
        <v>230</v>
      </c>
      <c r="D2143" s="50" t="s">
        <v>2186</v>
      </c>
      <c r="E2143" s="50" t="n">
        <v>3</v>
      </c>
      <c r="F2143" s="50" t="s">
        <v>2167</v>
      </c>
      <c r="G2143" s="54" t="n">
        <v>1809000</v>
      </c>
    </row>
    <row r="2144" customFormat="false" ht="15" hidden="false" customHeight="false" outlineLevel="0" collapsed="false">
      <c r="A2144" s="50" t="s">
        <v>883</v>
      </c>
      <c r="B2144" s="51" t="n">
        <v>45787</v>
      </c>
      <c r="C2144" s="50" t="s">
        <v>289</v>
      </c>
      <c r="D2144" s="50" t="s">
        <v>2180</v>
      </c>
      <c r="E2144" s="50" t="n">
        <v>2</v>
      </c>
      <c r="F2144" s="50" t="s">
        <v>2167</v>
      </c>
      <c r="G2144" s="54" t="n">
        <v>929000</v>
      </c>
    </row>
    <row r="2145" customFormat="false" ht="15" hidden="false" customHeight="false" outlineLevel="0" collapsed="false">
      <c r="A2145" s="50" t="s">
        <v>883</v>
      </c>
      <c r="B2145" s="51" t="n">
        <v>45787</v>
      </c>
      <c r="C2145" s="50" t="s">
        <v>289</v>
      </c>
      <c r="D2145" s="50" t="s">
        <v>2181</v>
      </c>
      <c r="E2145" s="50" t="n">
        <v>5</v>
      </c>
      <c r="F2145" s="50" t="s">
        <v>2167</v>
      </c>
      <c r="G2145" s="54" t="n">
        <v>5822700</v>
      </c>
    </row>
    <row r="2146" customFormat="false" ht="15" hidden="false" customHeight="false" outlineLevel="0" collapsed="false">
      <c r="A2146" s="50" t="s">
        <v>884</v>
      </c>
      <c r="B2146" s="51" t="n">
        <v>45789</v>
      </c>
      <c r="C2146" s="50" t="s">
        <v>213</v>
      </c>
      <c r="D2146" s="50" t="s">
        <v>2172</v>
      </c>
      <c r="E2146" s="50" t="n">
        <v>1</v>
      </c>
      <c r="F2146" s="50" t="s">
        <v>2167</v>
      </c>
      <c r="G2146" s="54" t="n">
        <v>528500</v>
      </c>
    </row>
    <row r="2147" customFormat="false" ht="15" hidden="false" customHeight="false" outlineLevel="0" collapsed="false">
      <c r="A2147" s="50" t="s">
        <v>884</v>
      </c>
      <c r="B2147" s="51" t="n">
        <v>45789</v>
      </c>
      <c r="C2147" s="50" t="s">
        <v>213</v>
      </c>
      <c r="D2147" s="50" t="s">
        <v>2182</v>
      </c>
      <c r="E2147" s="50" t="n">
        <v>6</v>
      </c>
      <c r="F2147" s="50" t="s">
        <v>2174</v>
      </c>
      <c r="G2147" s="54" t="n">
        <v>5681800</v>
      </c>
    </row>
    <row r="2148" customFormat="false" ht="15" hidden="false" customHeight="false" outlineLevel="0" collapsed="false">
      <c r="A2148" s="50" t="s">
        <v>884</v>
      </c>
      <c r="B2148" s="51" t="n">
        <v>45789</v>
      </c>
      <c r="C2148" s="50" t="s">
        <v>213</v>
      </c>
      <c r="D2148" s="50" t="s">
        <v>2173</v>
      </c>
      <c r="E2148" s="50" t="n">
        <v>7</v>
      </c>
      <c r="F2148" s="50" t="s">
        <v>2174</v>
      </c>
      <c r="G2148" s="54" t="n">
        <v>5738400</v>
      </c>
    </row>
    <row r="2149" customFormat="false" ht="15" hidden="false" customHeight="false" outlineLevel="0" collapsed="false">
      <c r="A2149" s="50" t="s">
        <v>885</v>
      </c>
      <c r="B2149" s="51" t="n">
        <v>45789</v>
      </c>
      <c r="C2149" s="50" t="s">
        <v>174</v>
      </c>
      <c r="D2149" s="50" t="s">
        <v>2184</v>
      </c>
      <c r="E2149" s="50" t="n">
        <v>1</v>
      </c>
      <c r="F2149" s="50" t="s">
        <v>2167</v>
      </c>
      <c r="G2149" s="54" t="n">
        <v>574500</v>
      </c>
    </row>
    <row r="2150" customFormat="false" ht="15" hidden="false" customHeight="false" outlineLevel="0" collapsed="false">
      <c r="A2150" s="50" t="s">
        <v>885</v>
      </c>
      <c r="B2150" s="51" t="n">
        <v>45789</v>
      </c>
      <c r="C2150" s="50" t="s">
        <v>174</v>
      </c>
      <c r="D2150" s="50" t="s">
        <v>2186</v>
      </c>
      <c r="E2150" s="50" t="n">
        <v>8</v>
      </c>
      <c r="F2150" s="50" t="s">
        <v>2167</v>
      </c>
      <c r="G2150" s="54" t="n">
        <v>4763900</v>
      </c>
    </row>
    <row r="2151" customFormat="false" ht="15" hidden="false" customHeight="false" outlineLevel="0" collapsed="false">
      <c r="A2151" s="50" t="s">
        <v>885</v>
      </c>
      <c r="B2151" s="51" t="n">
        <v>45789</v>
      </c>
      <c r="C2151" s="50" t="s">
        <v>174</v>
      </c>
      <c r="D2151" s="50" t="s">
        <v>2169</v>
      </c>
      <c r="E2151" s="50" t="n">
        <v>1</v>
      </c>
      <c r="F2151" s="50" t="s">
        <v>2167</v>
      </c>
      <c r="G2151" s="54" t="n">
        <v>604100</v>
      </c>
    </row>
    <row r="2152" customFormat="false" ht="15" hidden="false" customHeight="false" outlineLevel="0" collapsed="false">
      <c r="A2152" s="50" t="s">
        <v>885</v>
      </c>
      <c r="B2152" s="51" t="n">
        <v>45789</v>
      </c>
      <c r="C2152" s="50" t="s">
        <v>174</v>
      </c>
      <c r="D2152" s="50" t="s">
        <v>2185</v>
      </c>
      <c r="E2152" s="50" t="n">
        <v>7</v>
      </c>
      <c r="F2152" s="50" t="s">
        <v>2174</v>
      </c>
      <c r="G2152" s="54" t="n">
        <v>5372300</v>
      </c>
    </row>
    <row r="2153" customFormat="false" ht="15" hidden="false" customHeight="false" outlineLevel="0" collapsed="false">
      <c r="A2153" s="50" t="s">
        <v>886</v>
      </c>
      <c r="B2153" s="51" t="n">
        <v>45789</v>
      </c>
      <c r="C2153" s="50" t="s">
        <v>174</v>
      </c>
      <c r="D2153" s="50" t="s">
        <v>2180</v>
      </c>
      <c r="E2153" s="50" t="n">
        <v>2</v>
      </c>
      <c r="F2153" s="50" t="s">
        <v>2167</v>
      </c>
      <c r="G2153" s="54" t="n">
        <v>902900</v>
      </c>
    </row>
    <row r="2154" customFormat="false" ht="15" hidden="false" customHeight="false" outlineLevel="0" collapsed="false">
      <c r="A2154" s="50" t="s">
        <v>886</v>
      </c>
      <c r="B2154" s="51" t="n">
        <v>45789</v>
      </c>
      <c r="C2154" s="50" t="s">
        <v>174</v>
      </c>
      <c r="D2154" s="50" t="s">
        <v>2169</v>
      </c>
      <c r="E2154" s="50" t="n">
        <v>5</v>
      </c>
      <c r="F2154" s="50" t="s">
        <v>2167</v>
      </c>
      <c r="G2154" s="54" t="n">
        <v>3192200</v>
      </c>
    </row>
    <row r="2155" customFormat="false" ht="15" hidden="false" customHeight="false" outlineLevel="0" collapsed="false">
      <c r="A2155" s="50" t="s">
        <v>887</v>
      </c>
      <c r="B2155" s="51" t="n">
        <v>45789</v>
      </c>
      <c r="C2155" s="50" t="s">
        <v>168</v>
      </c>
      <c r="D2155" s="50" t="s">
        <v>2168</v>
      </c>
      <c r="E2155" s="50" t="n">
        <v>8</v>
      </c>
      <c r="F2155" s="50" t="s">
        <v>2167</v>
      </c>
      <c r="G2155" s="54" t="n">
        <v>3412600</v>
      </c>
    </row>
    <row r="2156" customFormat="false" ht="15" hidden="false" customHeight="false" outlineLevel="0" collapsed="false">
      <c r="A2156" s="50" t="s">
        <v>888</v>
      </c>
      <c r="B2156" s="51" t="n">
        <v>45789</v>
      </c>
      <c r="C2156" s="50" t="s">
        <v>177</v>
      </c>
      <c r="D2156" s="50" t="s">
        <v>2186</v>
      </c>
      <c r="E2156" s="50" t="n">
        <v>5</v>
      </c>
      <c r="F2156" s="50" t="s">
        <v>2167</v>
      </c>
      <c r="G2156" s="54" t="n">
        <v>2991100</v>
      </c>
    </row>
    <row r="2157" customFormat="false" ht="15" hidden="false" customHeight="false" outlineLevel="0" collapsed="false">
      <c r="A2157" s="50" t="s">
        <v>889</v>
      </c>
      <c r="B2157" s="51" t="n">
        <v>45789</v>
      </c>
      <c r="C2157" s="50" t="s">
        <v>666</v>
      </c>
      <c r="D2157" s="50" t="s">
        <v>2181</v>
      </c>
      <c r="E2157" s="50" t="n">
        <v>8</v>
      </c>
      <c r="F2157" s="50" t="s">
        <v>2167</v>
      </c>
      <c r="G2157" s="54" t="n">
        <v>9038500</v>
      </c>
    </row>
    <row r="2158" customFormat="false" ht="15" hidden="false" customHeight="false" outlineLevel="0" collapsed="false">
      <c r="A2158" s="50" t="s">
        <v>889</v>
      </c>
      <c r="B2158" s="51" t="n">
        <v>45789</v>
      </c>
      <c r="C2158" s="50" t="s">
        <v>666</v>
      </c>
      <c r="D2158" s="50" t="s">
        <v>2168</v>
      </c>
      <c r="E2158" s="50" t="n">
        <v>7</v>
      </c>
      <c r="F2158" s="50" t="s">
        <v>2167</v>
      </c>
      <c r="G2158" s="54" t="n">
        <v>2912000</v>
      </c>
    </row>
    <row r="2159" customFormat="false" ht="15" hidden="false" customHeight="false" outlineLevel="0" collapsed="false">
      <c r="A2159" s="50" t="s">
        <v>889</v>
      </c>
      <c r="B2159" s="51" t="n">
        <v>45789</v>
      </c>
      <c r="C2159" s="50" t="s">
        <v>666</v>
      </c>
      <c r="D2159" s="50" t="s">
        <v>2166</v>
      </c>
      <c r="E2159" s="50" t="n">
        <v>3</v>
      </c>
      <c r="F2159" s="50" t="s">
        <v>2167</v>
      </c>
      <c r="G2159" s="54" t="n">
        <v>1603800</v>
      </c>
    </row>
    <row r="2160" customFormat="false" ht="15" hidden="false" customHeight="false" outlineLevel="0" collapsed="false">
      <c r="A2160" s="50" t="s">
        <v>889</v>
      </c>
      <c r="B2160" s="51" t="n">
        <v>45789</v>
      </c>
      <c r="C2160" s="50" t="s">
        <v>666</v>
      </c>
      <c r="D2160" s="50" t="s">
        <v>2180</v>
      </c>
      <c r="E2160" s="50" t="n">
        <v>5</v>
      </c>
      <c r="F2160" s="50" t="s">
        <v>2167</v>
      </c>
      <c r="G2160" s="54" t="n">
        <v>2298300</v>
      </c>
    </row>
    <row r="2161" customFormat="false" ht="15" hidden="false" customHeight="false" outlineLevel="0" collapsed="false">
      <c r="A2161" s="50" t="s">
        <v>890</v>
      </c>
      <c r="B2161" s="51" t="n">
        <v>45789</v>
      </c>
      <c r="C2161" s="50" t="s">
        <v>562</v>
      </c>
      <c r="D2161" s="50" t="s">
        <v>2181</v>
      </c>
      <c r="E2161" s="50" t="n">
        <v>2</v>
      </c>
      <c r="F2161" s="50" t="s">
        <v>2167</v>
      </c>
      <c r="G2161" s="54" t="n">
        <v>2363100</v>
      </c>
    </row>
    <row r="2162" customFormat="false" ht="15" hidden="false" customHeight="false" outlineLevel="0" collapsed="false">
      <c r="A2162" s="50" t="s">
        <v>890</v>
      </c>
      <c r="B2162" s="51" t="n">
        <v>45789</v>
      </c>
      <c r="C2162" s="50" t="s">
        <v>562</v>
      </c>
      <c r="D2162" s="50" t="s">
        <v>2168</v>
      </c>
      <c r="E2162" s="50" t="n">
        <v>1</v>
      </c>
      <c r="F2162" s="50" t="s">
        <v>2167</v>
      </c>
      <c r="G2162" s="54" t="n">
        <v>441500</v>
      </c>
    </row>
    <row r="2163" customFormat="false" ht="15" hidden="false" customHeight="false" outlineLevel="0" collapsed="false">
      <c r="A2163" s="50" t="s">
        <v>890</v>
      </c>
      <c r="B2163" s="51" t="n">
        <v>45789</v>
      </c>
      <c r="C2163" s="50" t="s">
        <v>562</v>
      </c>
      <c r="D2163" s="50" t="s">
        <v>2184</v>
      </c>
      <c r="E2163" s="50" t="n">
        <v>3</v>
      </c>
      <c r="F2163" s="50" t="s">
        <v>2167</v>
      </c>
      <c r="G2163" s="54" t="n">
        <v>1645400</v>
      </c>
    </row>
    <row r="2164" customFormat="false" ht="15" hidden="false" customHeight="false" outlineLevel="0" collapsed="false">
      <c r="A2164" s="50" t="s">
        <v>890</v>
      </c>
      <c r="B2164" s="51" t="n">
        <v>45789</v>
      </c>
      <c r="C2164" s="50" t="s">
        <v>562</v>
      </c>
      <c r="D2164" s="50" t="s">
        <v>2177</v>
      </c>
      <c r="E2164" s="50" t="n">
        <v>1</v>
      </c>
      <c r="F2164" s="50" t="s">
        <v>2174</v>
      </c>
      <c r="G2164" s="54" t="n">
        <v>1076000</v>
      </c>
    </row>
    <row r="2165" customFormat="false" ht="15" hidden="false" customHeight="false" outlineLevel="0" collapsed="false">
      <c r="A2165" s="50" t="s">
        <v>890</v>
      </c>
      <c r="B2165" s="51" t="n">
        <v>45789</v>
      </c>
      <c r="C2165" s="50" t="s">
        <v>562</v>
      </c>
      <c r="D2165" s="50" t="s">
        <v>2180</v>
      </c>
      <c r="E2165" s="50" t="n">
        <v>2</v>
      </c>
      <c r="F2165" s="50" t="s">
        <v>2167</v>
      </c>
      <c r="G2165" s="54" t="n">
        <v>930200</v>
      </c>
    </row>
    <row r="2166" customFormat="false" ht="15" hidden="false" customHeight="false" outlineLevel="0" collapsed="false">
      <c r="A2166" s="50" t="s">
        <v>891</v>
      </c>
      <c r="B2166" s="51" t="n">
        <v>45790</v>
      </c>
      <c r="C2166" s="50" t="s">
        <v>205</v>
      </c>
      <c r="D2166" s="50" t="s">
        <v>2166</v>
      </c>
      <c r="E2166" s="50" t="n">
        <v>5</v>
      </c>
      <c r="F2166" s="50" t="s">
        <v>2167</v>
      </c>
      <c r="G2166" s="54" t="n">
        <v>2799200</v>
      </c>
    </row>
    <row r="2167" customFormat="false" ht="15" hidden="false" customHeight="false" outlineLevel="0" collapsed="false">
      <c r="A2167" s="50" t="s">
        <v>891</v>
      </c>
      <c r="B2167" s="51" t="n">
        <v>45790</v>
      </c>
      <c r="C2167" s="50" t="s">
        <v>205</v>
      </c>
      <c r="D2167" s="50" t="s">
        <v>2178</v>
      </c>
      <c r="E2167" s="50" t="n">
        <v>4</v>
      </c>
      <c r="F2167" s="50" t="s">
        <v>2167</v>
      </c>
      <c r="G2167" s="54" t="n">
        <v>1910100</v>
      </c>
    </row>
    <row r="2168" customFormat="false" ht="15" hidden="false" customHeight="false" outlineLevel="0" collapsed="false">
      <c r="A2168" s="50" t="s">
        <v>891</v>
      </c>
      <c r="B2168" s="51" t="n">
        <v>45790</v>
      </c>
      <c r="C2168" s="50" t="s">
        <v>205</v>
      </c>
      <c r="D2168" s="50" t="s">
        <v>2173</v>
      </c>
      <c r="E2168" s="50" t="n">
        <v>3</v>
      </c>
      <c r="F2168" s="50" t="s">
        <v>2174</v>
      </c>
      <c r="G2168" s="54" t="n">
        <v>2444800</v>
      </c>
    </row>
    <row r="2169" customFormat="false" ht="15" hidden="false" customHeight="false" outlineLevel="0" collapsed="false">
      <c r="A2169" s="50" t="s">
        <v>891</v>
      </c>
      <c r="B2169" s="51" t="n">
        <v>45790</v>
      </c>
      <c r="C2169" s="50" t="s">
        <v>205</v>
      </c>
      <c r="D2169" s="50" t="s">
        <v>2180</v>
      </c>
      <c r="E2169" s="50" t="n">
        <v>8</v>
      </c>
      <c r="F2169" s="50" t="s">
        <v>2167</v>
      </c>
      <c r="G2169" s="54" t="n">
        <v>3680700</v>
      </c>
    </row>
    <row r="2170" customFormat="false" ht="15" hidden="false" customHeight="false" outlineLevel="0" collapsed="false">
      <c r="A2170" s="50" t="s">
        <v>892</v>
      </c>
      <c r="B2170" s="51" t="n">
        <v>45790</v>
      </c>
      <c r="C2170" s="50" t="s">
        <v>168</v>
      </c>
      <c r="D2170" s="50" t="s">
        <v>2181</v>
      </c>
      <c r="E2170" s="50" t="n">
        <v>3</v>
      </c>
      <c r="F2170" s="50" t="s">
        <v>2167</v>
      </c>
      <c r="G2170" s="54" t="n">
        <v>3371800</v>
      </c>
    </row>
    <row r="2171" customFormat="false" ht="15" hidden="false" customHeight="false" outlineLevel="0" collapsed="false">
      <c r="A2171" s="50" t="s">
        <v>892</v>
      </c>
      <c r="B2171" s="51" t="n">
        <v>45790</v>
      </c>
      <c r="C2171" s="50" t="s">
        <v>168</v>
      </c>
      <c r="D2171" s="50" t="s">
        <v>2183</v>
      </c>
      <c r="E2171" s="50" t="n">
        <v>8</v>
      </c>
      <c r="F2171" s="50" t="s">
        <v>2167</v>
      </c>
      <c r="G2171" s="54" t="n">
        <v>3046800</v>
      </c>
    </row>
    <row r="2172" customFormat="false" ht="15" hidden="false" customHeight="false" outlineLevel="0" collapsed="false">
      <c r="A2172" s="50" t="s">
        <v>892</v>
      </c>
      <c r="B2172" s="51" t="n">
        <v>45790</v>
      </c>
      <c r="C2172" s="50" t="s">
        <v>168</v>
      </c>
      <c r="D2172" s="50" t="s">
        <v>2173</v>
      </c>
      <c r="E2172" s="50" t="n">
        <v>5</v>
      </c>
      <c r="F2172" s="50" t="s">
        <v>2174</v>
      </c>
      <c r="G2172" s="54" t="n">
        <v>3884700</v>
      </c>
    </row>
    <row r="2173" customFormat="false" ht="15" hidden="false" customHeight="false" outlineLevel="0" collapsed="false">
      <c r="A2173" s="50" t="s">
        <v>892</v>
      </c>
      <c r="B2173" s="51" t="n">
        <v>45790</v>
      </c>
      <c r="C2173" s="50" t="s">
        <v>168</v>
      </c>
      <c r="D2173" s="50" t="s">
        <v>2176</v>
      </c>
      <c r="E2173" s="50" t="n">
        <v>1</v>
      </c>
      <c r="F2173" s="50" t="s">
        <v>2167</v>
      </c>
      <c r="G2173" s="54" t="n">
        <v>412600</v>
      </c>
    </row>
    <row r="2174" customFormat="false" ht="15" hidden="false" customHeight="false" outlineLevel="0" collapsed="false">
      <c r="A2174" s="50" t="s">
        <v>893</v>
      </c>
      <c r="B2174" s="51" t="n">
        <v>45790</v>
      </c>
      <c r="C2174" s="50" t="s">
        <v>475</v>
      </c>
      <c r="D2174" s="50" t="s">
        <v>2176</v>
      </c>
      <c r="E2174" s="50" t="n">
        <v>8</v>
      </c>
      <c r="F2174" s="50" t="s">
        <v>2167</v>
      </c>
      <c r="G2174" s="54" t="n">
        <v>3387400</v>
      </c>
    </row>
    <row r="2175" customFormat="false" ht="15" hidden="false" customHeight="false" outlineLevel="0" collapsed="false">
      <c r="A2175" s="50" t="s">
        <v>893</v>
      </c>
      <c r="B2175" s="51" t="n">
        <v>45790</v>
      </c>
      <c r="C2175" s="50" t="s">
        <v>475</v>
      </c>
      <c r="D2175" s="50" t="s">
        <v>2184</v>
      </c>
      <c r="E2175" s="50" t="n">
        <v>5</v>
      </c>
      <c r="F2175" s="50" t="s">
        <v>2167</v>
      </c>
      <c r="G2175" s="54" t="n">
        <v>2771000</v>
      </c>
    </row>
    <row r="2176" customFormat="false" ht="15" hidden="false" customHeight="false" outlineLevel="0" collapsed="false">
      <c r="A2176" s="50" t="s">
        <v>893</v>
      </c>
      <c r="B2176" s="51" t="n">
        <v>45790</v>
      </c>
      <c r="C2176" s="50" t="s">
        <v>475</v>
      </c>
      <c r="D2176" s="50" t="s">
        <v>2168</v>
      </c>
      <c r="E2176" s="50" t="n">
        <v>7</v>
      </c>
      <c r="F2176" s="50" t="s">
        <v>2167</v>
      </c>
      <c r="G2176" s="54" t="n">
        <v>3048600</v>
      </c>
    </row>
    <row r="2177" customFormat="false" ht="15" hidden="false" customHeight="false" outlineLevel="0" collapsed="false">
      <c r="A2177" s="50" t="s">
        <v>893</v>
      </c>
      <c r="B2177" s="51" t="n">
        <v>45790</v>
      </c>
      <c r="C2177" s="50" t="s">
        <v>475</v>
      </c>
      <c r="D2177" s="50" t="s">
        <v>2172</v>
      </c>
      <c r="E2177" s="50" t="n">
        <v>1</v>
      </c>
      <c r="F2177" s="50" t="s">
        <v>2167</v>
      </c>
      <c r="G2177" s="54" t="n">
        <v>506000</v>
      </c>
    </row>
    <row r="2178" customFormat="false" ht="15" hidden="false" customHeight="false" outlineLevel="0" collapsed="false">
      <c r="A2178" s="50" t="s">
        <v>894</v>
      </c>
      <c r="B2178" s="51" t="n">
        <v>45790</v>
      </c>
      <c r="C2178" s="50" t="s">
        <v>560</v>
      </c>
      <c r="D2178" s="50" t="s">
        <v>2178</v>
      </c>
      <c r="E2178" s="50" t="n">
        <v>2</v>
      </c>
      <c r="F2178" s="50" t="s">
        <v>2167</v>
      </c>
      <c r="G2178" s="54" t="n">
        <v>984000</v>
      </c>
    </row>
    <row r="2179" customFormat="false" ht="15" hidden="false" customHeight="false" outlineLevel="0" collapsed="false">
      <c r="A2179" s="50" t="s">
        <v>895</v>
      </c>
      <c r="B2179" s="51" t="n">
        <v>45790</v>
      </c>
      <c r="C2179" s="50" t="s">
        <v>211</v>
      </c>
      <c r="D2179" s="50" t="s">
        <v>2183</v>
      </c>
      <c r="E2179" s="50" t="n">
        <v>7</v>
      </c>
      <c r="F2179" s="50" t="s">
        <v>2167</v>
      </c>
      <c r="G2179" s="54" t="n">
        <v>2677300</v>
      </c>
    </row>
    <row r="2180" customFormat="false" ht="15" hidden="false" customHeight="false" outlineLevel="0" collapsed="false">
      <c r="A2180" s="50" t="s">
        <v>895</v>
      </c>
      <c r="B2180" s="51" t="n">
        <v>45790</v>
      </c>
      <c r="C2180" s="50" t="s">
        <v>211</v>
      </c>
      <c r="D2180" s="50" t="s">
        <v>2173</v>
      </c>
      <c r="E2180" s="50" t="n">
        <v>8</v>
      </c>
      <c r="F2180" s="50" t="s">
        <v>2174</v>
      </c>
      <c r="G2180" s="54" t="n">
        <v>6189300</v>
      </c>
    </row>
    <row r="2181" customFormat="false" ht="15" hidden="false" customHeight="false" outlineLevel="0" collapsed="false">
      <c r="A2181" s="50" t="s">
        <v>895</v>
      </c>
      <c r="B2181" s="51" t="n">
        <v>45790</v>
      </c>
      <c r="C2181" s="50" t="s">
        <v>211</v>
      </c>
      <c r="D2181" s="50" t="s">
        <v>2168</v>
      </c>
      <c r="E2181" s="50" t="n">
        <v>3</v>
      </c>
      <c r="F2181" s="50" t="s">
        <v>2167</v>
      </c>
      <c r="G2181" s="54" t="n">
        <v>1318100</v>
      </c>
    </row>
    <row r="2182" customFormat="false" ht="15" hidden="false" customHeight="false" outlineLevel="0" collapsed="false">
      <c r="A2182" s="50" t="s">
        <v>896</v>
      </c>
      <c r="B2182" s="51" t="n">
        <v>45791</v>
      </c>
      <c r="C2182" s="50" t="s">
        <v>221</v>
      </c>
      <c r="D2182" s="50" t="s">
        <v>2183</v>
      </c>
      <c r="E2182" s="50" t="n">
        <v>7</v>
      </c>
      <c r="F2182" s="50" t="s">
        <v>2167</v>
      </c>
      <c r="G2182" s="54" t="n">
        <v>2737800</v>
      </c>
    </row>
    <row r="2183" customFormat="false" ht="15" hidden="false" customHeight="false" outlineLevel="0" collapsed="false">
      <c r="A2183" s="50" t="s">
        <v>896</v>
      </c>
      <c r="B2183" s="51" t="n">
        <v>45791</v>
      </c>
      <c r="C2183" s="50" t="s">
        <v>221</v>
      </c>
      <c r="D2183" s="50" t="s">
        <v>2168</v>
      </c>
      <c r="E2183" s="50" t="n">
        <v>2</v>
      </c>
      <c r="F2183" s="50" t="s">
        <v>2167</v>
      </c>
      <c r="G2183" s="54" t="n">
        <v>828300</v>
      </c>
    </row>
    <row r="2184" customFormat="false" ht="15" hidden="false" customHeight="false" outlineLevel="0" collapsed="false">
      <c r="A2184" s="50" t="s">
        <v>896</v>
      </c>
      <c r="B2184" s="51" t="n">
        <v>45791</v>
      </c>
      <c r="C2184" s="50" t="s">
        <v>221</v>
      </c>
      <c r="D2184" s="50" t="s">
        <v>2173</v>
      </c>
      <c r="E2184" s="50" t="n">
        <v>8</v>
      </c>
      <c r="F2184" s="50" t="s">
        <v>2174</v>
      </c>
      <c r="G2184" s="54" t="n">
        <v>6502500</v>
      </c>
    </row>
    <row r="2185" customFormat="false" ht="15" hidden="false" customHeight="false" outlineLevel="0" collapsed="false">
      <c r="A2185" s="50" t="s">
        <v>897</v>
      </c>
      <c r="B2185" s="51" t="n">
        <v>45791</v>
      </c>
      <c r="C2185" s="50" t="s">
        <v>261</v>
      </c>
      <c r="D2185" s="50" t="s">
        <v>2169</v>
      </c>
      <c r="E2185" s="50" t="n">
        <v>8</v>
      </c>
      <c r="F2185" s="50" t="s">
        <v>2167</v>
      </c>
      <c r="G2185" s="54" t="n">
        <v>5057300</v>
      </c>
    </row>
    <row r="2186" customFormat="false" ht="15" hidden="false" customHeight="false" outlineLevel="0" collapsed="false">
      <c r="A2186" s="50" t="s">
        <v>897</v>
      </c>
      <c r="B2186" s="51" t="n">
        <v>45791</v>
      </c>
      <c r="C2186" s="50" t="s">
        <v>261</v>
      </c>
      <c r="D2186" s="50" t="s">
        <v>2188</v>
      </c>
      <c r="E2186" s="50" t="n">
        <v>2</v>
      </c>
      <c r="F2186" s="50" t="s">
        <v>2167</v>
      </c>
      <c r="G2186" s="54" t="n">
        <v>1929400</v>
      </c>
    </row>
    <row r="2187" customFormat="false" ht="15" hidden="false" customHeight="false" outlineLevel="0" collapsed="false">
      <c r="A2187" s="50" t="s">
        <v>897</v>
      </c>
      <c r="B2187" s="51" t="n">
        <v>45791</v>
      </c>
      <c r="C2187" s="50" t="s">
        <v>261</v>
      </c>
      <c r="D2187" s="50" t="s">
        <v>2181</v>
      </c>
      <c r="E2187" s="50" t="n">
        <v>3</v>
      </c>
      <c r="F2187" s="50" t="s">
        <v>2167</v>
      </c>
      <c r="G2187" s="54" t="n">
        <v>3501200</v>
      </c>
    </row>
    <row r="2188" customFormat="false" ht="15" hidden="false" customHeight="false" outlineLevel="0" collapsed="false">
      <c r="A2188" s="50" t="s">
        <v>897</v>
      </c>
      <c r="B2188" s="51" t="n">
        <v>45791</v>
      </c>
      <c r="C2188" s="50" t="s">
        <v>261</v>
      </c>
      <c r="D2188" s="50" t="s">
        <v>2186</v>
      </c>
      <c r="E2188" s="50" t="n">
        <v>7</v>
      </c>
      <c r="F2188" s="50" t="s">
        <v>2167</v>
      </c>
      <c r="G2188" s="54" t="n">
        <v>4073600</v>
      </c>
    </row>
    <row r="2189" customFormat="false" ht="15" hidden="false" customHeight="false" outlineLevel="0" collapsed="false">
      <c r="A2189" s="50" t="s">
        <v>898</v>
      </c>
      <c r="B2189" s="51" t="n">
        <v>45791</v>
      </c>
      <c r="C2189" s="50" t="s">
        <v>310</v>
      </c>
      <c r="D2189" s="50" t="s">
        <v>2166</v>
      </c>
      <c r="E2189" s="50" t="n">
        <v>4</v>
      </c>
      <c r="F2189" s="50" t="s">
        <v>2167</v>
      </c>
      <c r="G2189" s="54" t="n">
        <v>2122000</v>
      </c>
    </row>
    <row r="2190" customFormat="false" ht="15" hidden="false" customHeight="false" outlineLevel="0" collapsed="false">
      <c r="A2190" s="50" t="s">
        <v>898</v>
      </c>
      <c r="B2190" s="51" t="n">
        <v>45791</v>
      </c>
      <c r="C2190" s="50" t="s">
        <v>310</v>
      </c>
      <c r="D2190" s="50" t="s">
        <v>2178</v>
      </c>
      <c r="E2190" s="50" t="n">
        <v>4</v>
      </c>
      <c r="F2190" s="50" t="s">
        <v>2167</v>
      </c>
      <c r="G2190" s="54" t="n">
        <v>1843200</v>
      </c>
    </row>
    <row r="2191" customFormat="false" ht="15" hidden="false" customHeight="false" outlineLevel="0" collapsed="false">
      <c r="A2191" s="50" t="s">
        <v>899</v>
      </c>
      <c r="B2191" s="51" t="n">
        <v>45791</v>
      </c>
      <c r="C2191" s="50" t="s">
        <v>421</v>
      </c>
      <c r="D2191" s="50" t="s">
        <v>2168</v>
      </c>
      <c r="E2191" s="50" t="n">
        <v>5</v>
      </c>
      <c r="F2191" s="50" t="s">
        <v>2167</v>
      </c>
      <c r="G2191" s="54" t="n">
        <v>2084300</v>
      </c>
    </row>
    <row r="2192" customFormat="false" ht="15" hidden="false" customHeight="false" outlineLevel="0" collapsed="false">
      <c r="A2192" s="50" t="s">
        <v>899</v>
      </c>
      <c r="B2192" s="51" t="n">
        <v>45791</v>
      </c>
      <c r="C2192" s="50" t="s">
        <v>421</v>
      </c>
      <c r="D2192" s="50" t="s">
        <v>2186</v>
      </c>
      <c r="E2192" s="50" t="n">
        <v>5</v>
      </c>
      <c r="F2192" s="50" t="s">
        <v>2167</v>
      </c>
      <c r="G2192" s="54" t="n">
        <v>2846900</v>
      </c>
    </row>
    <row r="2193" customFormat="false" ht="15" hidden="false" customHeight="false" outlineLevel="0" collapsed="false">
      <c r="A2193" s="50" t="s">
        <v>899</v>
      </c>
      <c r="B2193" s="51" t="n">
        <v>45791</v>
      </c>
      <c r="C2193" s="50" t="s">
        <v>421</v>
      </c>
      <c r="D2193" s="50" t="s">
        <v>2185</v>
      </c>
      <c r="E2193" s="50" t="n">
        <v>7</v>
      </c>
      <c r="F2193" s="50" t="s">
        <v>2174</v>
      </c>
      <c r="G2193" s="54" t="n">
        <v>5476600</v>
      </c>
    </row>
    <row r="2194" customFormat="false" ht="15" hidden="false" customHeight="false" outlineLevel="0" collapsed="false">
      <c r="A2194" s="50" t="s">
        <v>899</v>
      </c>
      <c r="B2194" s="51" t="n">
        <v>45791</v>
      </c>
      <c r="C2194" s="50" t="s">
        <v>421</v>
      </c>
      <c r="D2194" s="50" t="s">
        <v>2172</v>
      </c>
      <c r="E2194" s="50" t="n">
        <v>6</v>
      </c>
      <c r="F2194" s="50" t="s">
        <v>2167</v>
      </c>
      <c r="G2194" s="54" t="n">
        <v>3063400</v>
      </c>
    </row>
    <row r="2195" customFormat="false" ht="15" hidden="false" customHeight="false" outlineLevel="0" collapsed="false">
      <c r="A2195" s="50" t="s">
        <v>899</v>
      </c>
      <c r="B2195" s="51" t="n">
        <v>45791</v>
      </c>
      <c r="C2195" s="50" t="s">
        <v>421</v>
      </c>
      <c r="D2195" s="50" t="s">
        <v>2181</v>
      </c>
      <c r="E2195" s="50" t="n">
        <v>6</v>
      </c>
      <c r="F2195" s="50" t="s">
        <v>2167</v>
      </c>
      <c r="G2195" s="54" t="n">
        <v>6800300</v>
      </c>
    </row>
    <row r="2196" customFormat="false" ht="15" hidden="false" customHeight="false" outlineLevel="0" collapsed="false">
      <c r="A2196" s="50" t="s">
        <v>899</v>
      </c>
      <c r="B2196" s="51" t="n">
        <v>45791</v>
      </c>
      <c r="C2196" s="50" t="s">
        <v>421</v>
      </c>
      <c r="D2196" s="50" t="s">
        <v>2166</v>
      </c>
      <c r="E2196" s="50" t="n">
        <v>5</v>
      </c>
      <c r="F2196" s="50" t="s">
        <v>2167</v>
      </c>
      <c r="G2196" s="54" t="n">
        <v>2665700</v>
      </c>
    </row>
    <row r="2197" customFormat="false" ht="15" hidden="false" customHeight="false" outlineLevel="0" collapsed="false">
      <c r="A2197" s="50" t="s">
        <v>900</v>
      </c>
      <c r="B2197" s="51" t="n">
        <v>45792</v>
      </c>
      <c r="C2197" s="50" t="s">
        <v>207</v>
      </c>
      <c r="D2197" s="50" t="s">
        <v>2184</v>
      </c>
      <c r="E2197" s="50" t="n">
        <v>5</v>
      </c>
      <c r="F2197" s="50" t="s">
        <v>2167</v>
      </c>
      <c r="G2197" s="54" t="n">
        <v>2902200</v>
      </c>
    </row>
    <row r="2198" customFormat="false" ht="15" hidden="false" customHeight="false" outlineLevel="0" collapsed="false">
      <c r="A2198" s="50" t="s">
        <v>901</v>
      </c>
      <c r="B2198" s="51" t="n">
        <v>45792</v>
      </c>
      <c r="C2198" s="50" t="s">
        <v>199</v>
      </c>
      <c r="D2198" s="50" t="s">
        <v>2168</v>
      </c>
      <c r="E2198" s="50" t="n">
        <v>8</v>
      </c>
      <c r="F2198" s="50" t="s">
        <v>2167</v>
      </c>
      <c r="G2198" s="54" t="n">
        <v>3321600</v>
      </c>
    </row>
    <row r="2199" customFormat="false" ht="15" hidden="false" customHeight="false" outlineLevel="0" collapsed="false">
      <c r="A2199" s="50" t="s">
        <v>901</v>
      </c>
      <c r="B2199" s="51" t="n">
        <v>45792</v>
      </c>
      <c r="C2199" s="50" t="s">
        <v>199</v>
      </c>
      <c r="D2199" s="50" t="s">
        <v>2185</v>
      </c>
      <c r="E2199" s="50" t="n">
        <v>3</v>
      </c>
      <c r="F2199" s="50" t="s">
        <v>2174</v>
      </c>
      <c r="G2199" s="54" t="n">
        <v>2252500</v>
      </c>
    </row>
    <row r="2200" customFormat="false" ht="15" hidden="false" customHeight="false" outlineLevel="0" collapsed="false">
      <c r="A2200" s="50" t="s">
        <v>902</v>
      </c>
      <c r="B2200" s="51" t="n">
        <v>45792</v>
      </c>
      <c r="C2200" s="50" t="s">
        <v>249</v>
      </c>
      <c r="D2200" s="50" t="s">
        <v>2169</v>
      </c>
      <c r="E2200" s="50" t="n">
        <v>4</v>
      </c>
      <c r="F2200" s="50" t="s">
        <v>2167</v>
      </c>
      <c r="G2200" s="54" t="n">
        <v>2439400</v>
      </c>
    </row>
    <row r="2201" customFormat="false" ht="15" hidden="false" customHeight="false" outlineLevel="0" collapsed="false">
      <c r="A2201" s="50" t="s">
        <v>903</v>
      </c>
      <c r="B2201" s="51" t="n">
        <v>45792</v>
      </c>
      <c r="C2201" s="50" t="s">
        <v>382</v>
      </c>
      <c r="D2201" s="50" t="s">
        <v>2180</v>
      </c>
      <c r="E2201" s="50" t="n">
        <v>1</v>
      </c>
      <c r="F2201" s="50" t="s">
        <v>2167</v>
      </c>
      <c r="G2201" s="54" t="n">
        <v>457000</v>
      </c>
    </row>
    <row r="2202" customFormat="false" ht="15" hidden="false" customHeight="false" outlineLevel="0" collapsed="false">
      <c r="A2202" s="50" t="s">
        <v>903</v>
      </c>
      <c r="B2202" s="51" t="n">
        <v>45792</v>
      </c>
      <c r="C2202" s="50" t="s">
        <v>382</v>
      </c>
      <c r="D2202" s="50" t="s">
        <v>2179</v>
      </c>
      <c r="E2202" s="50" t="n">
        <v>6</v>
      </c>
      <c r="F2202" s="50" t="s">
        <v>2174</v>
      </c>
      <c r="G2202" s="54" t="n">
        <v>7261700</v>
      </c>
    </row>
    <row r="2203" customFormat="false" ht="15" hidden="false" customHeight="false" outlineLevel="0" collapsed="false">
      <c r="A2203" s="50" t="s">
        <v>903</v>
      </c>
      <c r="B2203" s="51" t="n">
        <v>45792</v>
      </c>
      <c r="C2203" s="50" t="s">
        <v>382</v>
      </c>
      <c r="D2203" s="50" t="s">
        <v>2177</v>
      </c>
      <c r="E2203" s="50" t="n">
        <v>2</v>
      </c>
      <c r="F2203" s="50" t="s">
        <v>2174</v>
      </c>
      <c r="G2203" s="54" t="n">
        <v>2242300</v>
      </c>
    </row>
    <row r="2204" customFormat="false" ht="15" hidden="false" customHeight="false" outlineLevel="0" collapsed="false">
      <c r="A2204" s="50" t="s">
        <v>903</v>
      </c>
      <c r="B2204" s="51" t="n">
        <v>45792</v>
      </c>
      <c r="C2204" s="50" t="s">
        <v>382</v>
      </c>
      <c r="D2204" s="50" t="s">
        <v>2178</v>
      </c>
      <c r="E2204" s="50" t="n">
        <v>4</v>
      </c>
      <c r="F2204" s="50" t="s">
        <v>2167</v>
      </c>
      <c r="G2204" s="54" t="n">
        <v>1889700</v>
      </c>
    </row>
    <row r="2205" customFormat="false" ht="15" hidden="false" customHeight="false" outlineLevel="0" collapsed="false">
      <c r="A2205" s="50" t="s">
        <v>904</v>
      </c>
      <c r="B2205" s="51" t="n">
        <v>45792</v>
      </c>
      <c r="C2205" s="50" t="s">
        <v>237</v>
      </c>
      <c r="D2205" s="50" t="s">
        <v>2168</v>
      </c>
      <c r="E2205" s="50" t="n">
        <v>5</v>
      </c>
      <c r="F2205" s="50" t="s">
        <v>2167</v>
      </c>
      <c r="G2205" s="54" t="n">
        <v>2187100</v>
      </c>
    </row>
    <row r="2206" customFormat="false" ht="15" hidden="false" customHeight="false" outlineLevel="0" collapsed="false">
      <c r="A2206" s="50" t="s">
        <v>904</v>
      </c>
      <c r="B2206" s="51" t="n">
        <v>45792</v>
      </c>
      <c r="C2206" s="50" t="s">
        <v>237</v>
      </c>
      <c r="D2206" s="50" t="s">
        <v>2186</v>
      </c>
      <c r="E2206" s="50" t="n">
        <v>4</v>
      </c>
      <c r="F2206" s="50" t="s">
        <v>2167</v>
      </c>
      <c r="G2206" s="54" t="n">
        <v>2343600</v>
      </c>
    </row>
    <row r="2207" customFormat="false" ht="15" hidden="false" customHeight="false" outlineLevel="0" collapsed="false">
      <c r="A2207" s="50" t="s">
        <v>905</v>
      </c>
      <c r="B2207" s="51" t="n">
        <v>45792</v>
      </c>
      <c r="C2207" s="50" t="s">
        <v>216</v>
      </c>
      <c r="D2207" s="50" t="s">
        <v>2176</v>
      </c>
      <c r="E2207" s="50" t="n">
        <v>3</v>
      </c>
      <c r="F2207" s="50" t="s">
        <v>2167</v>
      </c>
      <c r="G2207" s="54" t="n">
        <v>1225500</v>
      </c>
    </row>
    <row r="2208" customFormat="false" ht="15" hidden="false" customHeight="false" outlineLevel="0" collapsed="false">
      <c r="A2208" s="50" t="s">
        <v>905</v>
      </c>
      <c r="B2208" s="51" t="n">
        <v>45792</v>
      </c>
      <c r="C2208" s="50" t="s">
        <v>216</v>
      </c>
      <c r="D2208" s="50" t="s">
        <v>2177</v>
      </c>
      <c r="E2208" s="50" t="n">
        <v>7</v>
      </c>
      <c r="F2208" s="50" t="s">
        <v>2174</v>
      </c>
      <c r="G2208" s="54" t="n">
        <v>7658800</v>
      </c>
    </row>
    <row r="2209" customFormat="false" ht="15" hidden="false" customHeight="false" outlineLevel="0" collapsed="false">
      <c r="A2209" s="50" t="s">
        <v>905</v>
      </c>
      <c r="B2209" s="51" t="n">
        <v>45792</v>
      </c>
      <c r="C2209" s="50" t="s">
        <v>216</v>
      </c>
      <c r="D2209" s="50" t="s">
        <v>2180</v>
      </c>
      <c r="E2209" s="50" t="n">
        <v>3</v>
      </c>
      <c r="F2209" s="50" t="s">
        <v>2167</v>
      </c>
      <c r="G2209" s="54" t="n">
        <v>1327000</v>
      </c>
    </row>
    <row r="2210" customFormat="false" ht="15" hidden="false" customHeight="false" outlineLevel="0" collapsed="false">
      <c r="A2210" s="50" t="s">
        <v>906</v>
      </c>
      <c r="B2210" s="51" t="n">
        <v>45792</v>
      </c>
      <c r="C2210" s="50" t="s">
        <v>221</v>
      </c>
      <c r="D2210" s="50" t="s">
        <v>2178</v>
      </c>
      <c r="E2210" s="50" t="n">
        <v>5</v>
      </c>
      <c r="F2210" s="50" t="s">
        <v>2167</v>
      </c>
      <c r="G2210" s="54" t="n">
        <v>2348300</v>
      </c>
    </row>
    <row r="2211" customFormat="false" ht="15" hidden="false" customHeight="false" outlineLevel="0" collapsed="false">
      <c r="A2211" s="50" t="s">
        <v>906</v>
      </c>
      <c r="B2211" s="51" t="n">
        <v>45792</v>
      </c>
      <c r="C2211" s="50" t="s">
        <v>221</v>
      </c>
      <c r="D2211" s="50" t="s">
        <v>2173</v>
      </c>
      <c r="E2211" s="50" t="n">
        <v>3</v>
      </c>
      <c r="F2211" s="50" t="s">
        <v>2174</v>
      </c>
      <c r="G2211" s="54" t="n">
        <v>2398600</v>
      </c>
    </row>
    <row r="2212" customFormat="false" ht="15" hidden="false" customHeight="false" outlineLevel="0" collapsed="false">
      <c r="A2212" s="50" t="s">
        <v>906</v>
      </c>
      <c r="B2212" s="51" t="n">
        <v>45792</v>
      </c>
      <c r="C2212" s="50" t="s">
        <v>221</v>
      </c>
      <c r="D2212" s="50" t="s">
        <v>2186</v>
      </c>
      <c r="E2212" s="50" t="n">
        <v>4</v>
      </c>
      <c r="F2212" s="50" t="s">
        <v>2167</v>
      </c>
      <c r="G2212" s="54" t="n">
        <v>2305700</v>
      </c>
    </row>
    <row r="2213" customFormat="false" ht="15" hidden="false" customHeight="false" outlineLevel="0" collapsed="false">
      <c r="A2213" s="50" t="s">
        <v>906</v>
      </c>
      <c r="B2213" s="51" t="n">
        <v>45792</v>
      </c>
      <c r="C2213" s="50" t="s">
        <v>221</v>
      </c>
      <c r="D2213" s="50" t="s">
        <v>2184</v>
      </c>
      <c r="E2213" s="50" t="n">
        <v>6</v>
      </c>
      <c r="F2213" s="50" t="s">
        <v>2167</v>
      </c>
      <c r="G2213" s="54" t="n">
        <v>3282000</v>
      </c>
    </row>
    <row r="2214" customFormat="false" ht="15" hidden="false" customHeight="false" outlineLevel="0" collapsed="false">
      <c r="A2214" s="50" t="s">
        <v>906</v>
      </c>
      <c r="B2214" s="51" t="n">
        <v>45792</v>
      </c>
      <c r="C2214" s="50" t="s">
        <v>221</v>
      </c>
      <c r="D2214" s="50" t="s">
        <v>2176</v>
      </c>
      <c r="E2214" s="50" t="n">
        <v>7</v>
      </c>
      <c r="F2214" s="50" t="s">
        <v>2167</v>
      </c>
      <c r="G2214" s="54" t="n">
        <v>2949400</v>
      </c>
    </row>
    <row r="2215" customFormat="false" ht="15" hidden="false" customHeight="false" outlineLevel="0" collapsed="false">
      <c r="A2215" s="50" t="s">
        <v>906</v>
      </c>
      <c r="B2215" s="51" t="n">
        <v>45792</v>
      </c>
      <c r="C2215" s="50" t="s">
        <v>221</v>
      </c>
      <c r="D2215" s="50" t="s">
        <v>2175</v>
      </c>
      <c r="E2215" s="50" t="n">
        <v>7</v>
      </c>
      <c r="F2215" s="50" t="s">
        <v>2167</v>
      </c>
      <c r="G2215" s="54" t="n">
        <v>4420600</v>
      </c>
    </row>
    <row r="2216" customFormat="false" ht="15" hidden="false" customHeight="false" outlineLevel="0" collapsed="false">
      <c r="A2216" s="50" t="s">
        <v>907</v>
      </c>
      <c r="B2216" s="51" t="n">
        <v>45792</v>
      </c>
      <c r="C2216" s="50" t="s">
        <v>199</v>
      </c>
      <c r="D2216" s="50" t="s">
        <v>2176</v>
      </c>
      <c r="E2216" s="50" t="n">
        <v>8</v>
      </c>
      <c r="F2216" s="50" t="s">
        <v>2167</v>
      </c>
      <c r="G2216" s="54" t="n">
        <v>3268200</v>
      </c>
    </row>
    <row r="2217" customFormat="false" ht="15" hidden="false" customHeight="false" outlineLevel="0" collapsed="false">
      <c r="A2217" s="50" t="s">
        <v>907</v>
      </c>
      <c r="B2217" s="51" t="n">
        <v>45792</v>
      </c>
      <c r="C2217" s="50" t="s">
        <v>199</v>
      </c>
      <c r="D2217" s="50" t="s">
        <v>2184</v>
      </c>
      <c r="E2217" s="50" t="n">
        <v>3</v>
      </c>
      <c r="F2217" s="50" t="s">
        <v>2167</v>
      </c>
      <c r="G2217" s="54" t="n">
        <v>1706600</v>
      </c>
    </row>
    <row r="2218" customFormat="false" ht="15" hidden="false" customHeight="false" outlineLevel="0" collapsed="false">
      <c r="A2218" s="50" t="s">
        <v>908</v>
      </c>
      <c r="B2218" s="51" t="n">
        <v>45793</v>
      </c>
      <c r="C2218" s="50" t="s">
        <v>293</v>
      </c>
      <c r="D2218" s="50" t="s">
        <v>2185</v>
      </c>
      <c r="E2218" s="50" t="n">
        <v>7</v>
      </c>
      <c r="F2218" s="50" t="s">
        <v>2174</v>
      </c>
      <c r="G2218" s="54" t="n">
        <v>5384100</v>
      </c>
    </row>
    <row r="2219" customFormat="false" ht="15" hidden="false" customHeight="false" outlineLevel="0" collapsed="false">
      <c r="A2219" s="50" t="s">
        <v>908</v>
      </c>
      <c r="B2219" s="51" t="n">
        <v>45793</v>
      </c>
      <c r="C2219" s="50" t="s">
        <v>293</v>
      </c>
      <c r="D2219" s="50" t="s">
        <v>2169</v>
      </c>
      <c r="E2219" s="50" t="n">
        <v>5</v>
      </c>
      <c r="F2219" s="50" t="s">
        <v>2167</v>
      </c>
      <c r="G2219" s="54" t="n">
        <v>3138700</v>
      </c>
    </row>
    <row r="2220" customFormat="false" ht="15" hidden="false" customHeight="false" outlineLevel="0" collapsed="false">
      <c r="A2220" s="50" t="s">
        <v>908</v>
      </c>
      <c r="B2220" s="51" t="n">
        <v>45793</v>
      </c>
      <c r="C2220" s="50" t="s">
        <v>293</v>
      </c>
      <c r="D2220" s="50" t="s">
        <v>2186</v>
      </c>
      <c r="E2220" s="50" t="n">
        <v>8</v>
      </c>
      <c r="F2220" s="50" t="s">
        <v>2167</v>
      </c>
      <c r="G2220" s="54" t="n">
        <v>4804300</v>
      </c>
    </row>
    <row r="2221" customFormat="false" ht="15" hidden="false" customHeight="false" outlineLevel="0" collapsed="false">
      <c r="A2221" s="50" t="s">
        <v>136</v>
      </c>
      <c r="B2221" s="51" t="n">
        <v>45793</v>
      </c>
      <c r="C2221" s="50" t="s">
        <v>174</v>
      </c>
      <c r="D2221" s="50" t="s">
        <v>2180</v>
      </c>
      <c r="E2221" s="50" t="n">
        <v>5</v>
      </c>
      <c r="F2221" s="50" t="s">
        <v>2167</v>
      </c>
      <c r="G2221" s="54" t="n">
        <v>2200400</v>
      </c>
    </row>
    <row r="2222" customFormat="false" ht="15" hidden="false" customHeight="false" outlineLevel="0" collapsed="false">
      <c r="A2222" s="50" t="s">
        <v>136</v>
      </c>
      <c r="B2222" s="51" t="n">
        <v>45793</v>
      </c>
      <c r="C2222" s="50" t="s">
        <v>174</v>
      </c>
      <c r="D2222" s="50" t="s">
        <v>2179</v>
      </c>
      <c r="E2222" s="50" t="n">
        <v>4</v>
      </c>
      <c r="F2222" s="50" t="s">
        <v>2174</v>
      </c>
      <c r="G2222" s="54" t="n">
        <v>4802300</v>
      </c>
    </row>
    <row r="2223" customFormat="false" ht="15" hidden="false" customHeight="false" outlineLevel="0" collapsed="false">
      <c r="A2223" s="50" t="s">
        <v>136</v>
      </c>
      <c r="B2223" s="51" t="n">
        <v>45793</v>
      </c>
      <c r="C2223" s="50" t="s">
        <v>174</v>
      </c>
      <c r="D2223" s="50" t="s">
        <v>2178</v>
      </c>
      <c r="E2223" s="50" t="n">
        <v>8</v>
      </c>
      <c r="F2223" s="50" t="s">
        <v>2167</v>
      </c>
      <c r="G2223" s="54" t="n">
        <v>3988800</v>
      </c>
    </row>
    <row r="2224" customFormat="false" ht="15" hidden="false" customHeight="false" outlineLevel="0" collapsed="false">
      <c r="A2224" s="50" t="s">
        <v>136</v>
      </c>
      <c r="B2224" s="51" t="n">
        <v>45793</v>
      </c>
      <c r="C2224" s="50" t="s">
        <v>174</v>
      </c>
      <c r="D2224" s="50" t="s">
        <v>2183</v>
      </c>
      <c r="E2224" s="50" t="n">
        <v>1</v>
      </c>
      <c r="F2224" s="50" t="s">
        <v>2167</v>
      </c>
      <c r="G2224" s="54" t="n">
        <v>380300</v>
      </c>
    </row>
    <row r="2225" customFormat="false" ht="15" hidden="false" customHeight="false" outlineLevel="0" collapsed="false">
      <c r="A2225" s="50" t="s">
        <v>136</v>
      </c>
      <c r="B2225" s="51" t="n">
        <v>45793</v>
      </c>
      <c r="C2225" s="50" t="s">
        <v>174</v>
      </c>
      <c r="D2225" s="50" t="s">
        <v>2173</v>
      </c>
      <c r="E2225" s="50" t="n">
        <v>5</v>
      </c>
      <c r="F2225" s="50" t="s">
        <v>2174</v>
      </c>
      <c r="G2225" s="54" t="n">
        <v>4001000</v>
      </c>
    </row>
    <row r="2226" customFormat="false" ht="15" hidden="false" customHeight="false" outlineLevel="0" collapsed="false">
      <c r="A2226" s="50" t="s">
        <v>136</v>
      </c>
      <c r="B2226" s="51" t="n">
        <v>45793</v>
      </c>
      <c r="C2226" s="50" t="s">
        <v>174</v>
      </c>
      <c r="D2226" s="50" t="s">
        <v>2166</v>
      </c>
      <c r="E2226" s="50" t="n">
        <v>5</v>
      </c>
      <c r="F2226" s="50" t="s">
        <v>2167</v>
      </c>
      <c r="G2226" s="54" t="n">
        <v>2713500</v>
      </c>
    </row>
    <row r="2227" customFormat="false" ht="15" hidden="false" customHeight="false" outlineLevel="0" collapsed="false">
      <c r="A2227" s="50" t="s">
        <v>136</v>
      </c>
      <c r="B2227" s="51" t="n">
        <v>45793</v>
      </c>
      <c r="C2227" s="50" t="s">
        <v>174</v>
      </c>
      <c r="D2227" s="50" t="s">
        <v>2186</v>
      </c>
      <c r="E2227" s="50" t="n">
        <v>5</v>
      </c>
      <c r="F2227" s="50" t="s">
        <v>2167</v>
      </c>
      <c r="G2227" s="54" t="n">
        <v>3052200</v>
      </c>
    </row>
    <row r="2228" customFormat="false" ht="15" hidden="false" customHeight="false" outlineLevel="0" collapsed="false">
      <c r="A2228" s="50" t="s">
        <v>909</v>
      </c>
      <c r="B2228" s="51" t="n">
        <v>45793</v>
      </c>
      <c r="C2228" s="50" t="s">
        <v>205</v>
      </c>
      <c r="D2228" s="50" t="s">
        <v>2180</v>
      </c>
      <c r="E2228" s="50" t="n">
        <v>1</v>
      </c>
      <c r="F2228" s="50" t="s">
        <v>2167</v>
      </c>
      <c r="G2228" s="54" t="n">
        <v>433700</v>
      </c>
    </row>
    <row r="2229" customFormat="false" ht="15" hidden="false" customHeight="false" outlineLevel="0" collapsed="false">
      <c r="A2229" s="50" t="s">
        <v>909</v>
      </c>
      <c r="B2229" s="51" t="n">
        <v>45793</v>
      </c>
      <c r="C2229" s="50" t="s">
        <v>205</v>
      </c>
      <c r="D2229" s="50" t="s">
        <v>2181</v>
      </c>
      <c r="E2229" s="50" t="n">
        <v>7</v>
      </c>
      <c r="F2229" s="50" t="s">
        <v>2167</v>
      </c>
      <c r="G2229" s="54" t="n">
        <v>8250000</v>
      </c>
    </row>
    <row r="2230" customFormat="false" ht="15" hidden="false" customHeight="false" outlineLevel="0" collapsed="false">
      <c r="A2230" s="50" t="s">
        <v>910</v>
      </c>
      <c r="B2230" s="51" t="n">
        <v>45793</v>
      </c>
      <c r="C2230" s="50" t="s">
        <v>209</v>
      </c>
      <c r="D2230" s="50" t="s">
        <v>2175</v>
      </c>
      <c r="E2230" s="50" t="n">
        <v>8</v>
      </c>
      <c r="F2230" s="50" t="s">
        <v>2167</v>
      </c>
      <c r="G2230" s="54" t="n">
        <v>5096700</v>
      </c>
    </row>
    <row r="2231" customFormat="false" ht="15" hidden="false" customHeight="false" outlineLevel="0" collapsed="false">
      <c r="A2231" s="50" t="s">
        <v>910</v>
      </c>
      <c r="B2231" s="51" t="n">
        <v>45793</v>
      </c>
      <c r="C2231" s="50" t="s">
        <v>209</v>
      </c>
      <c r="D2231" s="50" t="s">
        <v>2168</v>
      </c>
      <c r="E2231" s="50" t="n">
        <v>6</v>
      </c>
      <c r="F2231" s="50" t="s">
        <v>2167</v>
      </c>
      <c r="G2231" s="54" t="n">
        <v>2531500</v>
      </c>
    </row>
    <row r="2232" customFormat="false" ht="15" hidden="false" customHeight="false" outlineLevel="0" collapsed="false">
      <c r="A2232" s="50" t="s">
        <v>910</v>
      </c>
      <c r="B2232" s="51" t="n">
        <v>45793</v>
      </c>
      <c r="C2232" s="50" t="s">
        <v>209</v>
      </c>
      <c r="D2232" s="50" t="s">
        <v>2186</v>
      </c>
      <c r="E2232" s="50" t="n">
        <v>3</v>
      </c>
      <c r="F2232" s="50" t="s">
        <v>2167</v>
      </c>
      <c r="G2232" s="54" t="n">
        <v>1812500</v>
      </c>
    </row>
    <row r="2233" customFormat="false" ht="15" hidden="false" customHeight="false" outlineLevel="0" collapsed="false">
      <c r="A2233" s="50" t="s">
        <v>910</v>
      </c>
      <c r="B2233" s="51" t="n">
        <v>45793</v>
      </c>
      <c r="C2233" s="50" t="s">
        <v>209</v>
      </c>
      <c r="D2233" s="50" t="s">
        <v>2183</v>
      </c>
      <c r="E2233" s="50" t="n">
        <v>2</v>
      </c>
      <c r="F2233" s="50" t="s">
        <v>2167</v>
      </c>
      <c r="G2233" s="54" t="n">
        <v>769400</v>
      </c>
    </row>
    <row r="2234" customFormat="false" ht="15" hidden="false" customHeight="false" outlineLevel="0" collapsed="false">
      <c r="A2234" s="50" t="s">
        <v>910</v>
      </c>
      <c r="B2234" s="51" t="n">
        <v>45793</v>
      </c>
      <c r="C2234" s="50" t="s">
        <v>209</v>
      </c>
      <c r="D2234" s="50" t="s">
        <v>2182</v>
      </c>
      <c r="E2234" s="50" t="n">
        <v>6</v>
      </c>
      <c r="F2234" s="50" t="s">
        <v>2174</v>
      </c>
      <c r="G2234" s="54" t="n">
        <v>5802200</v>
      </c>
    </row>
    <row r="2235" customFormat="false" ht="15" hidden="false" customHeight="false" outlineLevel="0" collapsed="false">
      <c r="A2235" s="50" t="s">
        <v>910</v>
      </c>
      <c r="B2235" s="51" t="n">
        <v>45793</v>
      </c>
      <c r="C2235" s="50" t="s">
        <v>209</v>
      </c>
      <c r="D2235" s="50" t="s">
        <v>2180</v>
      </c>
      <c r="E2235" s="50" t="n">
        <v>3</v>
      </c>
      <c r="F2235" s="50" t="s">
        <v>2167</v>
      </c>
      <c r="G2235" s="54" t="n">
        <v>1392900</v>
      </c>
    </row>
    <row r="2236" customFormat="false" ht="15" hidden="false" customHeight="false" outlineLevel="0" collapsed="false">
      <c r="A2236" s="50" t="s">
        <v>911</v>
      </c>
      <c r="B2236" s="51" t="n">
        <v>45793</v>
      </c>
      <c r="C2236" s="50" t="s">
        <v>266</v>
      </c>
      <c r="D2236" s="50" t="s">
        <v>2186</v>
      </c>
      <c r="E2236" s="50" t="n">
        <v>2</v>
      </c>
      <c r="F2236" s="50" t="s">
        <v>2167</v>
      </c>
      <c r="G2236" s="54" t="n">
        <v>1156700</v>
      </c>
    </row>
    <row r="2237" customFormat="false" ht="15" hidden="false" customHeight="false" outlineLevel="0" collapsed="false">
      <c r="A2237" s="50" t="s">
        <v>911</v>
      </c>
      <c r="B2237" s="51" t="n">
        <v>45793</v>
      </c>
      <c r="C2237" s="50" t="s">
        <v>266</v>
      </c>
      <c r="D2237" s="50" t="s">
        <v>2169</v>
      </c>
      <c r="E2237" s="50" t="n">
        <v>1</v>
      </c>
      <c r="F2237" s="50" t="s">
        <v>2167</v>
      </c>
      <c r="G2237" s="54" t="n">
        <v>607400</v>
      </c>
    </row>
    <row r="2238" customFormat="false" ht="15" hidden="false" customHeight="false" outlineLevel="0" collapsed="false">
      <c r="A2238" s="50" t="s">
        <v>911</v>
      </c>
      <c r="B2238" s="51" t="n">
        <v>45793</v>
      </c>
      <c r="C2238" s="50" t="s">
        <v>266</v>
      </c>
      <c r="D2238" s="50" t="s">
        <v>2168</v>
      </c>
      <c r="E2238" s="50" t="n">
        <v>2</v>
      </c>
      <c r="F2238" s="50" t="s">
        <v>2167</v>
      </c>
      <c r="G2238" s="54" t="n">
        <v>890100</v>
      </c>
    </row>
    <row r="2239" customFormat="false" ht="15" hidden="false" customHeight="false" outlineLevel="0" collapsed="false">
      <c r="A2239" s="50" t="s">
        <v>912</v>
      </c>
      <c r="B2239" s="51" t="n">
        <v>45793</v>
      </c>
      <c r="C2239" s="50" t="s">
        <v>329</v>
      </c>
      <c r="D2239" s="50" t="s">
        <v>2173</v>
      </c>
      <c r="E2239" s="50" t="n">
        <v>2</v>
      </c>
      <c r="F2239" s="50" t="s">
        <v>2174</v>
      </c>
      <c r="G2239" s="54" t="n">
        <v>1617900</v>
      </c>
    </row>
    <row r="2240" customFormat="false" ht="15" hidden="false" customHeight="false" outlineLevel="0" collapsed="false">
      <c r="A2240" s="50" t="s">
        <v>912</v>
      </c>
      <c r="B2240" s="51" t="n">
        <v>45793</v>
      </c>
      <c r="C2240" s="50" t="s">
        <v>329</v>
      </c>
      <c r="D2240" s="50" t="s">
        <v>2186</v>
      </c>
      <c r="E2240" s="50" t="n">
        <v>5</v>
      </c>
      <c r="F2240" s="50" t="s">
        <v>2167</v>
      </c>
      <c r="G2240" s="54" t="n">
        <v>2902500</v>
      </c>
    </row>
    <row r="2241" customFormat="false" ht="15" hidden="false" customHeight="false" outlineLevel="0" collapsed="false">
      <c r="A2241" s="50" t="s">
        <v>912</v>
      </c>
      <c r="B2241" s="51" t="n">
        <v>45793</v>
      </c>
      <c r="C2241" s="50" t="s">
        <v>329</v>
      </c>
      <c r="D2241" s="50" t="s">
        <v>2176</v>
      </c>
      <c r="E2241" s="50" t="n">
        <v>2</v>
      </c>
      <c r="F2241" s="50" t="s">
        <v>2167</v>
      </c>
      <c r="G2241" s="54" t="n">
        <v>827300</v>
      </c>
    </row>
    <row r="2242" customFormat="false" ht="15" hidden="false" customHeight="false" outlineLevel="0" collapsed="false">
      <c r="A2242" s="50" t="s">
        <v>912</v>
      </c>
      <c r="B2242" s="51" t="n">
        <v>45793</v>
      </c>
      <c r="C2242" s="50" t="s">
        <v>329</v>
      </c>
      <c r="D2242" s="50" t="s">
        <v>2178</v>
      </c>
      <c r="E2242" s="50" t="n">
        <v>4</v>
      </c>
      <c r="F2242" s="50" t="s">
        <v>2167</v>
      </c>
      <c r="G2242" s="54" t="n">
        <v>1920900</v>
      </c>
    </row>
    <row r="2243" customFormat="false" ht="15" hidden="false" customHeight="false" outlineLevel="0" collapsed="false">
      <c r="A2243" s="50" t="s">
        <v>912</v>
      </c>
      <c r="B2243" s="51" t="n">
        <v>45793</v>
      </c>
      <c r="C2243" s="50" t="s">
        <v>329</v>
      </c>
      <c r="D2243" s="50" t="s">
        <v>2180</v>
      </c>
      <c r="E2243" s="50" t="n">
        <v>7</v>
      </c>
      <c r="F2243" s="50" t="s">
        <v>2167</v>
      </c>
      <c r="G2243" s="54" t="n">
        <v>3099200</v>
      </c>
    </row>
    <row r="2244" customFormat="false" ht="15" hidden="false" customHeight="false" outlineLevel="0" collapsed="false">
      <c r="A2244" s="50" t="s">
        <v>912</v>
      </c>
      <c r="B2244" s="51" t="n">
        <v>45793</v>
      </c>
      <c r="C2244" s="50" t="s">
        <v>329</v>
      </c>
      <c r="D2244" s="50" t="s">
        <v>2169</v>
      </c>
      <c r="E2244" s="50" t="n">
        <v>5</v>
      </c>
      <c r="F2244" s="50" t="s">
        <v>2167</v>
      </c>
      <c r="G2244" s="54" t="n">
        <v>3087200</v>
      </c>
    </row>
    <row r="2245" customFormat="false" ht="15" hidden="false" customHeight="false" outlineLevel="0" collapsed="false">
      <c r="A2245" s="50" t="s">
        <v>913</v>
      </c>
      <c r="B2245" s="51" t="n">
        <v>45794</v>
      </c>
      <c r="C2245" s="50" t="s">
        <v>177</v>
      </c>
      <c r="D2245" s="50" t="s">
        <v>2177</v>
      </c>
      <c r="E2245" s="50" t="n">
        <v>6</v>
      </c>
      <c r="F2245" s="50" t="s">
        <v>2174</v>
      </c>
      <c r="G2245" s="54" t="n">
        <v>6671500</v>
      </c>
    </row>
    <row r="2246" customFormat="false" ht="15" hidden="false" customHeight="false" outlineLevel="0" collapsed="false">
      <c r="A2246" s="50" t="s">
        <v>913</v>
      </c>
      <c r="B2246" s="51" t="n">
        <v>45794</v>
      </c>
      <c r="C2246" s="50" t="s">
        <v>177</v>
      </c>
      <c r="D2246" s="50" t="s">
        <v>2176</v>
      </c>
      <c r="E2246" s="50" t="n">
        <v>4</v>
      </c>
      <c r="F2246" s="50" t="s">
        <v>2167</v>
      </c>
      <c r="G2246" s="54" t="n">
        <v>1615100</v>
      </c>
    </row>
    <row r="2247" customFormat="false" ht="15" hidden="false" customHeight="false" outlineLevel="0" collapsed="false">
      <c r="A2247" s="50" t="s">
        <v>913</v>
      </c>
      <c r="B2247" s="51" t="n">
        <v>45794</v>
      </c>
      <c r="C2247" s="50" t="s">
        <v>177</v>
      </c>
      <c r="D2247" s="50" t="s">
        <v>2178</v>
      </c>
      <c r="E2247" s="50" t="n">
        <v>4</v>
      </c>
      <c r="F2247" s="50" t="s">
        <v>2167</v>
      </c>
      <c r="G2247" s="54" t="n">
        <v>1872300</v>
      </c>
    </row>
    <row r="2248" customFormat="false" ht="15" hidden="false" customHeight="false" outlineLevel="0" collapsed="false">
      <c r="A2248" s="50" t="s">
        <v>913</v>
      </c>
      <c r="B2248" s="51" t="n">
        <v>45794</v>
      </c>
      <c r="C2248" s="50" t="s">
        <v>177</v>
      </c>
      <c r="D2248" s="50" t="s">
        <v>2168</v>
      </c>
      <c r="E2248" s="50" t="n">
        <v>7</v>
      </c>
      <c r="F2248" s="50" t="s">
        <v>2167</v>
      </c>
      <c r="G2248" s="54" t="n">
        <v>3075000</v>
      </c>
    </row>
    <row r="2249" customFormat="false" ht="15" hidden="false" customHeight="false" outlineLevel="0" collapsed="false">
      <c r="A2249" s="50" t="s">
        <v>913</v>
      </c>
      <c r="B2249" s="51" t="n">
        <v>45794</v>
      </c>
      <c r="C2249" s="50" t="s">
        <v>177</v>
      </c>
      <c r="D2249" s="50" t="s">
        <v>2182</v>
      </c>
      <c r="E2249" s="50" t="n">
        <v>8</v>
      </c>
      <c r="F2249" s="50" t="s">
        <v>2174</v>
      </c>
      <c r="G2249" s="54" t="n">
        <v>7342300</v>
      </c>
    </row>
    <row r="2250" customFormat="false" ht="15" hidden="false" customHeight="false" outlineLevel="0" collapsed="false">
      <c r="A2250" s="50" t="s">
        <v>913</v>
      </c>
      <c r="B2250" s="51" t="n">
        <v>45794</v>
      </c>
      <c r="C2250" s="50" t="s">
        <v>177</v>
      </c>
      <c r="D2250" s="50" t="s">
        <v>2180</v>
      </c>
      <c r="E2250" s="50" t="n">
        <v>5</v>
      </c>
      <c r="F2250" s="50" t="s">
        <v>2167</v>
      </c>
      <c r="G2250" s="54" t="n">
        <v>2223500</v>
      </c>
    </row>
    <row r="2251" customFormat="false" ht="15" hidden="false" customHeight="false" outlineLevel="0" collapsed="false">
      <c r="A2251" s="50" t="s">
        <v>913</v>
      </c>
      <c r="B2251" s="51" t="n">
        <v>45794</v>
      </c>
      <c r="C2251" s="50" t="s">
        <v>177</v>
      </c>
      <c r="D2251" s="50" t="s">
        <v>2188</v>
      </c>
      <c r="E2251" s="50" t="n">
        <v>3</v>
      </c>
      <c r="F2251" s="50" t="s">
        <v>2167</v>
      </c>
      <c r="G2251" s="54" t="n">
        <v>2985500</v>
      </c>
    </row>
    <row r="2252" customFormat="false" ht="15" hidden="false" customHeight="false" outlineLevel="0" collapsed="false">
      <c r="A2252" s="50" t="s">
        <v>914</v>
      </c>
      <c r="B2252" s="51" t="n">
        <v>45794</v>
      </c>
      <c r="C2252" s="50" t="s">
        <v>365</v>
      </c>
      <c r="D2252" s="50" t="s">
        <v>2186</v>
      </c>
      <c r="E2252" s="50" t="n">
        <v>3</v>
      </c>
      <c r="F2252" s="50" t="s">
        <v>2167</v>
      </c>
      <c r="G2252" s="54" t="n">
        <v>1778100</v>
      </c>
    </row>
    <row r="2253" customFormat="false" ht="15" hidden="false" customHeight="false" outlineLevel="0" collapsed="false">
      <c r="A2253" s="50" t="s">
        <v>914</v>
      </c>
      <c r="B2253" s="51" t="n">
        <v>45794</v>
      </c>
      <c r="C2253" s="50" t="s">
        <v>365</v>
      </c>
      <c r="D2253" s="50" t="s">
        <v>2181</v>
      </c>
      <c r="E2253" s="50" t="n">
        <v>5</v>
      </c>
      <c r="F2253" s="50" t="s">
        <v>2167</v>
      </c>
      <c r="G2253" s="54" t="n">
        <v>5616200</v>
      </c>
    </row>
    <row r="2254" customFormat="false" ht="15" hidden="false" customHeight="false" outlineLevel="0" collapsed="false">
      <c r="A2254" s="50" t="s">
        <v>914</v>
      </c>
      <c r="B2254" s="51" t="n">
        <v>45794</v>
      </c>
      <c r="C2254" s="50" t="s">
        <v>365</v>
      </c>
      <c r="D2254" s="50" t="s">
        <v>2169</v>
      </c>
      <c r="E2254" s="50" t="n">
        <v>6</v>
      </c>
      <c r="F2254" s="50" t="s">
        <v>2167</v>
      </c>
      <c r="G2254" s="54" t="n">
        <v>3574600</v>
      </c>
    </row>
    <row r="2255" customFormat="false" ht="15" hidden="false" customHeight="false" outlineLevel="0" collapsed="false">
      <c r="A2255" s="50" t="s">
        <v>914</v>
      </c>
      <c r="B2255" s="51" t="n">
        <v>45794</v>
      </c>
      <c r="C2255" s="50" t="s">
        <v>365</v>
      </c>
      <c r="D2255" s="50" t="s">
        <v>2172</v>
      </c>
      <c r="E2255" s="50" t="n">
        <v>8</v>
      </c>
      <c r="F2255" s="50" t="s">
        <v>2167</v>
      </c>
      <c r="G2255" s="54" t="n">
        <v>4277200</v>
      </c>
    </row>
    <row r="2256" customFormat="false" ht="15" hidden="false" customHeight="false" outlineLevel="0" collapsed="false">
      <c r="A2256" s="50" t="s">
        <v>914</v>
      </c>
      <c r="B2256" s="51" t="n">
        <v>45794</v>
      </c>
      <c r="C2256" s="50" t="s">
        <v>365</v>
      </c>
      <c r="D2256" s="50" t="s">
        <v>2176</v>
      </c>
      <c r="E2256" s="50" t="n">
        <v>5</v>
      </c>
      <c r="F2256" s="50" t="s">
        <v>2167</v>
      </c>
      <c r="G2256" s="54" t="n">
        <v>2175400</v>
      </c>
    </row>
    <row r="2257" customFormat="false" ht="15" hidden="false" customHeight="false" outlineLevel="0" collapsed="false">
      <c r="A2257" s="50" t="s">
        <v>914</v>
      </c>
      <c r="B2257" s="51" t="n">
        <v>45794</v>
      </c>
      <c r="C2257" s="50" t="s">
        <v>365</v>
      </c>
      <c r="D2257" s="50" t="s">
        <v>2179</v>
      </c>
      <c r="E2257" s="50" t="n">
        <v>1</v>
      </c>
      <c r="F2257" s="50" t="s">
        <v>2174</v>
      </c>
      <c r="G2257" s="54" t="n">
        <v>1296000</v>
      </c>
    </row>
    <row r="2258" customFormat="false" ht="15" hidden="false" customHeight="false" outlineLevel="0" collapsed="false">
      <c r="A2258" s="50" t="s">
        <v>915</v>
      </c>
      <c r="B2258" s="51" t="n">
        <v>45794</v>
      </c>
      <c r="C2258" s="50" t="s">
        <v>205</v>
      </c>
      <c r="D2258" s="50" t="s">
        <v>2185</v>
      </c>
      <c r="E2258" s="50" t="n">
        <v>6</v>
      </c>
      <c r="F2258" s="50" t="s">
        <v>2174</v>
      </c>
      <c r="G2258" s="54" t="n">
        <v>4625600</v>
      </c>
    </row>
    <row r="2259" customFormat="false" ht="15" hidden="false" customHeight="false" outlineLevel="0" collapsed="false">
      <c r="A2259" s="50" t="s">
        <v>916</v>
      </c>
      <c r="B2259" s="51" t="n">
        <v>45794</v>
      </c>
      <c r="C2259" s="50" t="s">
        <v>358</v>
      </c>
      <c r="D2259" s="50" t="s">
        <v>2177</v>
      </c>
      <c r="E2259" s="50" t="n">
        <v>4</v>
      </c>
      <c r="F2259" s="50" t="s">
        <v>2174</v>
      </c>
      <c r="G2259" s="54" t="n">
        <v>4387800</v>
      </c>
    </row>
    <row r="2260" customFormat="false" ht="15" hidden="false" customHeight="false" outlineLevel="0" collapsed="false">
      <c r="A2260" s="50" t="s">
        <v>916</v>
      </c>
      <c r="B2260" s="51" t="n">
        <v>45794</v>
      </c>
      <c r="C2260" s="50" t="s">
        <v>358</v>
      </c>
      <c r="D2260" s="50" t="s">
        <v>2173</v>
      </c>
      <c r="E2260" s="50" t="n">
        <v>7</v>
      </c>
      <c r="F2260" s="50" t="s">
        <v>2174</v>
      </c>
      <c r="G2260" s="54" t="n">
        <v>5448200</v>
      </c>
    </row>
    <row r="2261" customFormat="false" ht="15" hidden="false" customHeight="false" outlineLevel="0" collapsed="false">
      <c r="A2261" s="50" t="s">
        <v>916</v>
      </c>
      <c r="B2261" s="51" t="n">
        <v>45794</v>
      </c>
      <c r="C2261" s="50" t="s">
        <v>358</v>
      </c>
      <c r="D2261" s="50" t="s">
        <v>2176</v>
      </c>
      <c r="E2261" s="50" t="n">
        <v>6</v>
      </c>
      <c r="F2261" s="50" t="s">
        <v>2167</v>
      </c>
      <c r="G2261" s="54" t="n">
        <v>2510600</v>
      </c>
    </row>
    <row r="2262" customFormat="false" ht="15" hidden="false" customHeight="false" outlineLevel="0" collapsed="false">
      <c r="A2262" s="50" t="s">
        <v>917</v>
      </c>
      <c r="B2262" s="51" t="n">
        <v>45794</v>
      </c>
      <c r="C2262" s="50" t="s">
        <v>211</v>
      </c>
      <c r="D2262" s="50" t="s">
        <v>2181</v>
      </c>
      <c r="E2262" s="50" t="n">
        <v>8</v>
      </c>
      <c r="F2262" s="50" t="s">
        <v>2167</v>
      </c>
      <c r="G2262" s="54" t="n">
        <v>9215400</v>
      </c>
    </row>
    <row r="2263" customFormat="false" ht="15" hidden="false" customHeight="false" outlineLevel="0" collapsed="false">
      <c r="A2263" s="50" t="s">
        <v>917</v>
      </c>
      <c r="B2263" s="51" t="n">
        <v>45794</v>
      </c>
      <c r="C2263" s="50" t="s">
        <v>211</v>
      </c>
      <c r="D2263" s="50" t="s">
        <v>2172</v>
      </c>
      <c r="E2263" s="50" t="n">
        <v>2</v>
      </c>
      <c r="F2263" s="50" t="s">
        <v>2167</v>
      </c>
      <c r="G2263" s="54" t="n">
        <v>1045800</v>
      </c>
    </row>
    <row r="2264" customFormat="false" ht="15" hidden="false" customHeight="false" outlineLevel="0" collapsed="false">
      <c r="A2264" s="50" t="s">
        <v>917</v>
      </c>
      <c r="B2264" s="51" t="n">
        <v>45794</v>
      </c>
      <c r="C2264" s="50" t="s">
        <v>211</v>
      </c>
      <c r="D2264" s="50" t="s">
        <v>2180</v>
      </c>
      <c r="E2264" s="50" t="n">
        <v>3</v>
      </c>
      <c r="F2264" s="50" t="s">
        <v>2167</v>
      </c>
      <c r="G2264" s="54" t="n">
        <v>1323400</v>
      </c>
    </row>
    <row r="2265" customFormat="false" ht="15" hidden="false" customHeight="false" outlineLevel="0" collapsed="false">
      <c r="A2265" s="50" t="s">
        <v>917</v>
      </c>
      <c r="B2265" s="51" t="n">
        <v>45794</v>
      </c>
      <c r="C2265" s="50" t="s">
        <v>211</v>
      </c>
      <c r="D2265" s="50" t="s">
        <v>2187</v>
      </c>
      <c r="E2265" s="50" t="n">
        <v>7</v>
      </c>
      <c r="F2265" s="50" t="s">
        <v>2167</v>
      </c>
      <c r="G2265" s="54" t="n">
        <v>2538200</v>
      </c>
    </row>
    <row r="2266" customFormat="false" ht="15" hidden="false" customHeight="false" outlineLevel="0" collapsed="false">
      <c r="A2266" s="50" t="s">
        <v>917</v>
      </c>
      <c r="B2266" s="51" t="n">
        <v>45794</v>
      </c>
      <c r="C2266" s="50" t="s">
        <v>211</v>
      </c>
      <c r="D2266" s="50" t="s">
        <v>2168</v>
      </c>
      <c r="E2266" s="50" t="n">
        <v>6</v>
      </c>
      <c r="F2266" s="50" t="s">
        <v>2167</v>
      </c>
      <c r="G2266" s="54" t="n">
        <v>2640200</v>
      </c>
    </row>
    <row r="2267" customFormat="false" ht="15" hidden="false" customHeight="false" outlineLevel="0" collapsed="false">
      <c r="A2267" s="50" t="s">
        <v>918</v>
      </c>
      <c r="B2267" s="51" t="n">
        <v>45794</v>
      </c>
      <c r="C2267" s="50" t="s">
        <v>223</v>
      </c>
      <c r="D2267" s="50" t="s">
        <v>2178</v>
      </c>
      <c r="E2267" s="50" t="n">
        <v>1</v>
      </c>
      <c r="F2267" s="50" t="s">
        <v>2167</v>
      </c>
      <c r="G2267" s="54" t="n">
        <v>476300</v>
      </c>
    </row>
    <row r="2268" customFormat="false" ht="15" hidden="false" customHeight="false" outlineLevel="0" collapsed="false">
      <c r="A2268" s="50" t="s">
        <v>918</v>
      </c>
      <c r="B2268" s="51" t="n">
        <v>45794</v>
      </c>
      <c r="C2268" s="50" t="s">
        <v>223</v>
      </c>
      <c r="D2268" s="50" t="s">
        <v>2166</v>
      </c>
      <c r="E2268" s="50" t="n">
        <v>8</v>
      </c>
      <c r="F2268" s="50" t="s">
        <v>2167</v>
      </c>
      <c r="G2268" s="54" t="n">
        <v>4480400</v>
      </c>
    </row>
    <row r="2269" customFormat="false" ht="15" hidden="false" customHeight="false" outlineLevel="0" collapsed="false">
      <c r="A2269" s="50" t="s">
        <v>919</v>
      </c>
      <c r="B2269" s="51" t="n">
        <v>45794</v>
      </c>
      <c r="C2269" s="50" t="s">
        <v>218</v>
      </c>
      <c r="D2269" s="50" t="s">
        <v>2169</v>
      </c>
      <c r="E2269" s="50" t="n">
        <v>7</v>
      </c>
      <c r="F2269" s="50" t="s">
        <v>2167</v>
      </c>
      <c r="G2269" s="54" t="n">
        <v>4170400</v>
      </c>
    </row>
    <row r="2270" customFormat="false" ht="15" hidden="false" customHeight="false" outlineLevel="0" collapsed="false">
      <c r="A2270" s="50" t="s">
        <v>919</v>
      </c>
      <c r="B2270" s="51" t="n">
        <v>45794</v>
      </c>
      <c r="C2270" s="50" t="s">
        <v>218</v>
      </c>
      <c r="D2270" s="50" t="s">
        <v>2180</v>
      </c>
      <c r="E2270" s="50" t="n">
        <v>1</v>
      </c>
      <c r="F2270" s="50" t="s">
        <v>2167</v>
      </c>
      <c r="G2270" s="54" t="n">
        <v>463100</v>
      </c>
    </row>
    <row r="2271" customFormat="false" ht="15" hidden="false" customHeight="false" outlineLevel="0" collapsed="false">
      <c r="A2271" s="50" t="s">
        <v>919</v>
      </c>
      <c r="B2271" s="51" t="n">
        <v>45794</v>
      </c>
      <c r="C2271" s="50" t="s">
        <v>218</v>
      </c>
      <c r="D2271" s="50" t="s">
        <v>2181</v>
      </c>
      <c r="E2271" s="50" t="n">
        <v>7</v>
      </c>
      <c r="F2271" s="50" t="s">
        <v>2167</v>
      </c>
      <c r="G2271" s="54" t="n">
        <v>8316100</v>
      </c>
    </row>
    <row r="2272" customFormat="false" ht="15" hidden="false" customHeight="false" outlineLevel="0" collapsed="false">
      <c r="A2272" s="50" t="s">
        <v>919</v>
      </c>
      <c r="B2272" s="51" t="n">
        <v>45794</v>
      </c>
      <c r="C2272" s="50" t="s">
        <v>218</v>
      </c>
      <c r="D2272" s="50" t="s">
        <v>2173</v>
      </c>
      <c r="E2272" s="50" t="n">
        <v>5</v>
      </c>
      <c r="F2272" s="50" t="s">
        <v>2174</v>
      </c>
      <c r="G2272" s="54" t="n">
        <v>4156800</v>
      </c>
    </row>
    <row r="2273" customFormat="false" ht="15" hidden="false" customHeight="false" outlineLevel="0" collapsed="false">
      <c r="A2273" s="50" t="s">
        <v>920</v>
      </c>
      <c r="B2273" s="51" t="n">
        <v>45796</v>
      </c>
      <c r="C2273" s="50" t="s">
        <v>358</v>
      </c>
      <c r="D2273" s="50" t="s">
        <v>2179</v>
      </c>
      <c r="E2273" s="50" t="n">
        <v>1</v>
      </c>
      <c r="F2273" s="50" t="s">
        <v>2174</v>
      </c>
      <c r="G2273" s="54" t="n">
        <v>1256700</v>
      </c>
    </row>
    <row r="2274" customFormat="false" ht="15" hidden="false" customHeight="false" outlineLevel="0" collapsed="false">
      <c r="A2274" s="50" t="s">
        <v>920</v>
      </c>
      <c r="B2274" s="51" t="n">
        <v>45796</v>
      </c>
      <c r="C2274" s="50" t="s">
        <v>358</v>
      </c>
      <c r="D2274" s="50" t="s">
        <v>2176</v>
      </c>
      <c r="E2274" s="50" t="n">
        <v>4</v>
      </c>
      <c r="F2274" s="50" t="s">
        <v>2167</v>
      </c>
      <c r="G2274" s="54" t="n">
        <v>1715400</v>
      </c>
    </row>
    <row r="2275" customFormat="false" ht="15" hidden="false" customHeight="false" outlineLevel="0" collapsed="false">
      <c r="A2275" s="50" t="s">
        <v>920</v>
      </c>
      <c r="B2275" s="51" t="n">
        <v>45796</v>
      </c>
      <c r="C2275" s="50" t="s">
        <v>358</v>
      </c>
      <c r="D2275" s="50" t="s">
        <v>2182</v>
      </c>
      <c r="E2275" s="50" t="n">
        <v>8</v>
      </c>
      <c r="F2275" s="50" t="s">
        <v>2174</v>
      </c>
      <c r="G2275" s="54" t="n">
        <v>7832800</v>
      </c>
    </row>
    <row r="2276" customFormat="false" ht="15" hidden="false" customHeight="false" outlineLevel="0" collapsed="false">
      <c r="A2276" s="50" t="s">
        <v>921</v>
      </c>
      <c r="B2276" s="51" t="n">
        <v>45796</v>
      </c>
      <c r="C2276" s="50" t="s">
        <v>419</v>
      </c>
      <c r="D2276" s="50" t="s">
        <v>2176</v>
      </c>
      <c r="E2276" s="50" t="n">
        <v>7</v>
      </c>
      <c r="F2276" s="50" t="s">
        <v>2167</v>
      </c>
      <c r="G2276" s="54" t="n">
        <v>2900800</v>
      </c>
    </row>
    <row r="2277" customFormat="false" ht="15" hidden="false" customHeight="false" outlineLevel="0" collapsed="false">
      <c r="A2277" s="50" t="s">
        <v>921</v>
      </c>
      <c r="B2277" s="51" t="n">
        <v>45796</v>
      </c>
      <c r="C2277" s="50" t="s">
        <v>419</v>
      </c>
      <c r="D2277" s="50" t="s">
        <v>2169</v>
      </c>
      <c r="E2277" s="50" t="n">
        <v>4</v>
      </c>
      <c r="F2277" s="50" t="s">
        <v>2167</v>
      </c>
      <c r="G2277" s="54" t="n">
        <v>2559900</v>
      </c>
    </row>
    <row r="2278" customFormat="false" ht="15" hidden="false" customHeight="false" outlineLevel="0" collapsed="false">
      <c r="A2278" s="50" t="s">
        <v>921</v>
      </c>
      <c r="B2278" s="51" t="n">
        <v>45796</v>
      </c>
      <c r="C2278" s="50" t="s">
        <v>419</v>
      </c>
      <c r="D2278" s="50" t="s">
        <v>2188</v>
      </c>
      <c r="E2278" s="50" t="n">
        <v>5</v>
      </c>
      <c r="F2278" s="50" t="s">
        <v>2167</v>
      </c>
      <c r="G2278" s="54" t="n">
        <v>4746100</v>
      </c>
    </row>
    <row r="2279" customFormat="false" ht="15" hidden="false" customHeight="false" outlineLevel="0" collapsed="false">
      <c r="A2279" s="50" t="s">
        <v>922</v>
      </c>
      <c r="B2279" s="51" t="n">
        <v>45796</v>
      </c>
      <c r="C2279" s="50" t="s">
        <v>174</v>
      </c>
      <c r="D2279" s="50" t="s">
        <v>2180</v>
      </c>
      <c r="E2279" s="50" t="n">
        <v>6</v>
      </c>
      <c r="F2279" s="50" t="s">
        <v>2167</v>
      </c>
      <c r="G2279" s="54" t="n">
        <v>2787400</v>
      </c>
    </row>
    <row r="2280" customFormat="false" ht="15" hidden="false" customHeight="false" outlineLevel="0" collapsed="false">
      <c r="A2280" s="50" t="s">
        <v>922</v>
      </c>
      <c r="B2280" s="51" t="n">
        <v>45796</v>
      </c>
      <c r="C2280" s="50" t="s">
        <v>174</v>
      </c>
      <c r="D2280" s="50" t="s">
        <v>2176</v>
      </c>
      <c r="E2280" s="50" t="n">
        <v>6</v>
      </c>
      <c r="F2280" s="50" t="s">
        <v>2167</v>
      </c>
      <c r="G2280" s="54" t="n">
        <v>2612400</v>
      </c>
    </row>
    <row r="2281" customFormat="false" ht="15" hidden="false" customHeight="false" outlineLevel="0" collapsed="false">
      <c r="A2281" s="50" t="s">
        <v>922</v>
      </c>
      <c r="B2281" s="51" t="n">
        <v>45796</v>
      </c>
      <c r="C2281" s="50" t="s">
        <v>174</v>
      </c>
      <c r="D2281" s="50" t="s">
        <v>2186</v>
      </c>
      <c r="E2281" s="50" t="n">
        <v>2</v>
      </c>
      <c r="F2281" s="50" t="s">
        <v>2167</v>
      </c>
      <c r="G2281" s="54" t="n">
        <v>1191100</v>
      </c>
    </row>
    <row r="2282" customFormat="false" ht="15" hidden="false" customHeight="false" outlineLevel="0" collapsed="false">
      <c r="A2282" s="50" t="s">
        <v>922</v>
      </c>
      <c r="B2282" s="51" t="n">
        <v>45796</v>
      </c>
      <c r="C2282" s="50" t="s">
        <v>174</v>
      </c>
      <c r="D2282" s="50" t="s">
        <v>2183</v>
      </c>
      <c r="E2282" s="50" t="n">
        <v>3</v>
      </c>
      <c r="F2282" s="50" t="s">
        <v>2167</v>
      </c>
      <c r="G2282" s="54" t="n">
        <v>1118600</v>
      </c>
    </row>
    <row r="2283" customFormat="false" ht="15" hidden="false" customHeight="false" outlineLevel="0" collapsed="false">
      <c r="A2283" s="50" t="s">
        <v>922</v>
      </c>
      <c r="B2283" s="51" t="n">
        <v>45796</v>
      </c>
      <c r="C2283" s="50" t="s">
        <v>174</v>
      </c>
      <c r="D2283" s="50" t="s">
        <v>2188</v>
      </c>
      <c r="E2283" s="50" t="n">
        <v>6</v>
      </c>
      <c r="F2283" s="50" t="s">
        <v>2167</v>
      </c>
      <c r="G2283" s="54" t="n">
        <v>6013000</v>
      </c>
    </row>
    <row r="2284" customFormat="false" ht="15" hidden="false" customHeight="false" outlineLevel="0" collapsed="false">
      <c r="A2284" s="50" t="s">
        <v>923</v>
      </c>
      <c r="B2284" s="51" t="n">
        <v>45796</v>
      </c>
      <c r="C2284" s="50" t="s">
        <v>237</v>
      </c>
      <c r="D2284" s="50" t="s">
        <v>2184</v>
      </c>
      <c r="E2284" s="50" t="n">
        <v>2</v>
      </c>
      <c r="F2284" s="50" t="s">
        <v>2167</v>
      </c>
      <c r="G2284" s="54" t="n">
        <v>1148900</v>
      </c>
    </row>
    <row r="2285" customFormat="false" ht="15" hidden="false" customHeight="false" outlineLevel="0" collapsed="false">
      <c r="A2285" s="50" t="s">
        <v>923</v>
      </c>
      <c r="B2285" s="51" t="n">
        <v>45796</v>
      </c>
      <c r="C2285" s="50" t="s">
        <v>237</v>
      </c>
      <c r="D2285" s="50" t="s">
        <v>2187</v>
      </c>
      <c r="E2285" s="50" t="n">
        <v>1</v>
      </c>
      <c r="F2285" s="50" t="s">
        <v>2167</v>
      </c>
      <c r="G2285" s="54" t="n">
        <v>348500</v>
      </c>
    </row>
    <row r="2286" customFormat="false" ht="15" hidden="false" customHeight="false" outlineLevel="0" collapsed="false">
      <c r="A2286" s="50" t="s">
        <v>923</v>
      </c>
      <c r="B2286" s="51" t="n">
        <v>45796</v>
      </c>
      <c r="C2286" s="50" t="s">
        <v>237</v>
      </c>
      <c r="D2286" s="50" t="s">
        <v>2173</v>
      </c>
      <c r="E2286" s="50" t="n">
        <v>5</v>
      </c>
      <c r="F2286" s="50" t="s">
        <v>2174</v>
      </c>
      <c r="G2286" s="54" t="n">
        <v>3933400</v>
      </c>
    </row>
    <row r="2287" customFormat="false" ht="15" hidden="false" customHeight="false" outlineLevel="0" collapsed="false">
      <c r="A2287" s="50" t="s">
        <v>923</v>
      </c>
      <c r="B2287" s="51" t="n">
        <v>45796</v>
      </c>
      <c r="C2287" s="50" t="s">
        <v>237</v>
      </c>
      <c r="D2287" s="50" t="s">
        <v>2185</v>
      </c>
      <c r="E2287" s="50" t="n">
        <v>7</v>
      </c>
      <c r="F2287" s="50" t="s">
        <v>2174</v>
      </c>
      <c r="G2287" s="54" t="n">
        <v>5332000</v>
      </c>
    </row>
    <row r="2288" customFormat="false" ht="15" hidden="false" customHeight="false" outlineLevel="0" collapsed="false">
      <c r="A2288" s="50" t="s">
        <v>923</v>
      </c>
      <c r="B2288" s="51" t="n">
        <v>45796</v>
      </c>
      <c r="C2288" s="50" t="s">
        <v>237</v>
      </c>
      <c r="D2288" s="50" t="s">
        <v>2178</v>
      </c>
      <c r="E2288" s="50" t="n">
        <v>6</v>
      </c>
      <c r="F2288" s="50" t="s">
        <v>2167</v>
      </c>
      <c r="G2288" s="54" t="n">
        <v>2780600</v>
      </c>
    </row>
    <row r="2289" customFormat="false" ht="15" hidden="false" customHeight="false" outlineLevel="0" collapsed="false">
      <c r="A2289" s="50" t="s">
        <v>923</v>
      </c>
      <c r="B2289" s="51" t="n">
        <v>45796</v>
      </c>
      <c r="C2289" s="50" t="s">
        <v>237</v>
      </c>
      <c r="D2289" s="50" t="s">
        <v>2186</v>
      </c>
      <c r="E2289" s="50" t="n">
        <v>7</v>
      </c>
      <c r="F2289" s="50" t="s">
        <v>2167</v>
      </c>
      <c r="G2289" s="54" t="n">
        <v>4058700</v>
      </c>
    </row>
    <row r="2290" customFormat="false" ht="15" hidden="false" customHeight="false" outlineLevel="0" collapsed="false">
      <c r="A2290" s="50" t="s">
        <v>924</v>
      </c>
      <c r="B2290" s="51" t="n">
        <v>45796</v>
      </c>
      <c r="C2290" s="50" t="s">
        <v>540</v>
      </c>
      <c r="D2290" s="50" t="s">
        <v>2186</v>
      </c>
      <c r="E2290" s="50" t="n">
        <v>3</v>
      </c>
      <c r="F2290" s="50" t="s">
        <v>2167</v>
      </c>
      <c r="G2290" s="54" t="n">
        <v>1730200</v>
      </c>
    </row>
    <row r="2291" customFormat="false" ht="15" hidden="false" customHeight="false" outlineLevel="0" collapsed="false">
      <c r="A2291" s="50" t="s">
        <v>924</v>
      </c>
      <c r="B2291" s="51" t="n">
        <v>45796</v>
      </c>
      <c r="C2291" s="50" t="s">
        <v>540</v>
      </c>
      <c r="D2291" s="50" t="s">
        <v>2182</v>
      </c>
      <c r="E2291" s="50" t="n">
        <v>5</v>
      </c>
      <c r="F2291" s="50" t="s">
        <v>2174</v>
      </c>
      <c r="G2291" s="54" t="n">
        <v>4867400</v>
      </c>
    </row>
    <row r="2292" customFormat="false" ht="15" hidden="false" customHeight="false" outlineLevel="0" collapsed="false">
      <c r="A2292" s="50" t="s">
        <v>924</v>
      </c>
      <c r="B2292" s="51" t="n">
        <v>45796</v>
      </c>
      <c r="C2292" s="50" t="s">
        <v>540</v>
      </c>
      <c r="D2292" s="50" t="s">
        <v>2179</v>
      </c>
      <c r="E2292" s="50" t="n">
        <v>2</v>
      </c>
      <c r="F2292" s="50" t="s">
        <v>2174</v>
      </c>
      <c r="G2292" s="54" t="n">
        <v>2578400</v>
      </c>
    </row>
    <row r="2293" customFormat="false" ht="15" hidden="false" customHeight="false" outlineLevel="0" collapsed="false">
      <c r="A2293" s="50" t="s">
        <v>924</v>
      </c>
      <c r="B2293" s="51" t="n">
        <v>45796</v>
      </c>
      <c r="C2293" s="50" t="s">
        <v>540</v>
      </c>
      <c r="D2293" s="50" t="s">
        <v>2169</v>
      </c>
      <c r="E2293" s="50" t="n">
        <v>7</v>
      </c>
      <c r="F2293" s="50" t="s">
        <v>2167</v>
      </c>
      <c r="G2293" s="54" t="n">
        <v>4482900</v>
      </c>
    </row>
    <row r="2294" customFormat="false" ht="15" hidden="false" customHeight="false" outlineLevel="0" collapsed="false">
      <c r="A2294" s="50" t="s">
        <v>925</v>
      </c>
      <c r="B2294" s="51" t="n">
        <v>45796</v>
      </c>
      <c r="C2294" s="50" t="s">
        <v>562</v>
      </c>
      <c r="D2294" s="50" t="s">
        <v>2166</v>
      </c>
      <c r="E2294" s="50" t="n">
        <v>3</v>
      </c>
      <c r="F2294" s="50" t="s">
        <v>2167</v>
      </c>
      <c r="G2294" s="54" t="n">
        <v>1634900</v>
      </c>
    </row>
    <row r="2295" customFormat="false" ht="15" hidden="false" customHeight="false" outlineLevel="0" collapsed="false">
      <c r="A2295" s="50" t="s">
        <v>925</v>
      </c>
      <c r="B2295" s="51" t="n">
        <v>45796</v>
      </c>
      <c r="C2295" s="50" t="s">
        <v>562</v>
      </c>
      <c r="D2295" s="50" t="s">
        <v>2169</v>
      </c>
      <c r="E2295" s="50" t="n">
        <v>5</v>
      </c>
      <c r="F2295" s="50" t="s">
        <v>2167</v>
      </c>
      <c r="G2295" s="54" t="n">
        <v>3038400</v>
      </c>
    </row>
    <row r="2296" customFormat="false" ht="15" hidden="false" customHeight="false" outlineLevel="0" collapsed="false">
      <c r="A2296" s="50" t="s">
        <v>926</v>
      </c>
      <c r="B2296" s="51" t="n">
        <v>45796</v>
      </c>
      <c r="C2296" s="50" t="s">
        <v>199</v>
      </c>
      <c r="D2296" s="50" t="s">
        <v>2168</v>
      </c>
      <c r="E2296" s="50" t="n">
        <v>7</v>
      </c>
      <c r="F2296" s="50" t="s">
        <v>2167</v>
      </c>
      <c r="G2296" s="54" t="n">
        <v>2933100</v>
      </c>
    </row>
    <row r="2297" customFormat="false" ht="15" hidden="false" customHeight="false" outlineLevel="0" collapsed="false">
      <c r="A2297" s="50" t="s">
        <v>926</v>
      </c>
      <c r="B2297" s="51" t="n">
        <v>45796</v>
      </c>
      <c r="C2297" s="50" t="s">
        <v>199</v>
      </c>
      <c r="D2297" s="50" t="s">
        <v>2184</v>
      </c>
      <c r="E2297" s="50" t="n">
        <v>4</v>
      </c>
      <c r="F2297" s="50" t="s">
        <v>2167</v>
      </c>
      <c r="G2297" s="54" t="n">
        <v>2175900</v>
      </c>
    </row>
    <row r="2298" customFormat="false" ht="15" hidden="false" customHeight="false" outlineLevel="0" collapsed="false">
      <c r="A2298" s="50" t="s">
        <v>926</v>
      </c>
      <c r="B2298" s="51" t="n">
        <v>45796</v>
      </c>
      <c r="C2298" s="50" t="s">
        <v>199</v>
      </c>
      <c r="D2298" s="50" t="s">
        <v>2173</v>
      </c>
      <c r="E2298" s="50" t="n">
        <v>7</v>
      </c>
      <c r="F2298" s="50" t="s">
        <v>2174</v>
      </c>
      <c r="G2298" s="54" t="n">
        <v>5560600</v>
      </c>
    </row>
    <row r="2299" customFormat="false" ht="15" hidden="false" customHeight="false" outlineLevel="0" collapsed="false">
      <c r="A2299" s="50" t="s">
        <v>927</v>
      </c>
      <c r="B2299" s="51" t="n">
        <v>45797</v>
      </c>
      <c r="C2299" s="50" t="s">
        <v>298</v>
      </c>
      <c r="D2299" s="50" t="s">
        <v>2169</v>
      </c>
      <c r="E2299" s="50" t="n">
        <v>6</v>
      </c>
      <c r="F2299" s="50" t="s">
        <v>2167</v>
      </c>
      <c r="G2299" s="54" t="n">
        <v>3863800</v>
      </c>
    </row>
    <row r="2300" customFormat="false" ht="15" hidden="false" customHeight="false" outlineLevel="0" collapsed="false">
      <c r="A2300" s="50" t="s">
        <v>927</v>
      </c>
      <c r="B2300" s="51" t="n">
        <v>45797</v>
      </c>
      <c r="C2300" s="50" t="s">
        <v>298</v>
      </c>
      <c r="D2300" s="50" t="s">
        <v>2180</v>
      </c>
      <c r="E2300" s="50" t="n">
        <v>5</v>
      </c>
      <c r="F2300" s="50" t="s">
        <v>2167</v>
      </c>
      <c r="G2300" s="54" t="n">
        <v>2318900</v>
      </c>
    </row>
    <row r="2301" customFormat="false" ht="15" hidden="false" customHeight="false" outlineLevel="0" collapsed="false">
      <c r="A2301" s="50" t="s">
        <v>927</v>
      </c>
      <c r="B2301" s="51" t="n">
        <v>45797</v>
      </c>
      <c r="C2301" s="50" t="s">
        <v>298</v>
      </c>
      <c r="D2301" s="50" t="s">
        <v>2186</v>
      </c>
      <c r="E2301" s="50" t="n">
        <v>1</v>
      </c>
      <c r="F2301" s="50" t="s">
        <v>2167</v>
      </c>
      <c r="G2301" s="54" t="n">
        <v>573200</v>
      </c>
    </row>
    <row r="2302" customFormat="false" ht="15" hidden="false" customHeight="false" outlineLevel="0" collapsed="false">
      <c r="A2302" s="50" t="s">
        <v>927</v>
      </c>
      <c r="B2302" s="51" t="n">
        <v>45797</v>
      </c>
      <c r="C2302" s="50" t="s">
        <v>298</v>
      </c>
      <c r="D2302" s="50" t="s">
        <v>2176</v>
      </c>
      <c r="E2302" s="50" t="n">
        <v>4</v>
      </c>
      <c r="F2302" s="50" t="s">
        <v>2167</v>
      </c>
      <c r="G2302" s="54" t="n">
        <v>1671100</v>
      </c>
    </row>
    <row r="2303" customFormat="false" ht="15" hidden="false" customHeight="false" outlineLevel="0" collapsed="false">
      <c r="A2303" s="50" t="s">
        <v>928</v>
      </c>
      <c r="B2303" s="51" t="n">
        <v>45797</v>
      </c>
      <c r="C2303" s="50" t="s">
        <v>174</v>
      </c>
      <c r="D2303" s="50" t="s">
        <v>2172</v>
      </c>
      <c r="E2303" s="50" t="n">
        <v>2</v>
      </c>
      <c r="F2303" s="50" t="s">
        <v>2167</v>
      </c>
      <c r="G2303" s="54" t="n">
        <v>1000200</v>
      </c>
    </row>
    <row r="2304" customFormat="false" ht="15" hidden="false" customHeight="false" outlineLevel="0" collapsed="false">
      <c r="A2304" s="50" t="s">
        <v>928</v>
      </c>
      <c r="B2304" s="51" t="n">
        <v>45797</v>
      </c>
      <c r="C2304" s="50" t="s">
        <v>174</v>
      </c>
      <c r="D2304" s="50" t="s">
        <v>2176</v>
      </c>
      <c r="E2304" s="50" t="n">
        <v>7</v>
      </c>
      <c r="F2304" s="50" t="s">
        <v>2167</v>
      </c>
      <c r="G2304" s="54" t="n">
        <v>2893500</v>
      </c>
    </row>
    <row r="2305" customFormat="false" ht="15" hidden="false" customHeight="false" outlineLevel="0" collapsed="false">
      <c r="A2305" s="50" t="s">
        <v>928</v>
      </c>
      <c r="B2305" s="51" t="n">
        <v>45797</v>
      </c>
      <c r="C2305" s="50" t="s">
        <v>174</v>
      </c>
      <c r="D2305" s="50" t="s">
        <v>2180</v>
      </c>
      <c r="E2305" s="50" t="n">
        <v>3</v>
      </c>
      <c r="F2305" s="50" t="s">
        <v>2167</v>
      </c>
      <c r="G2305" s="54" t="n">
        <v>1400500</v>
      </c>
    </row>
    <row r="2306" customFormat="false" ht="15" hidden="false" customHeight="false" outlineLevel="0" collapsed="false">
      <c r="A2306" s="50" t="s">
        <v>928</v>
      </c>
      <c r="B2306" s="51" t="n">
        <v>45797</v>
      </c>
      <c r="C2306" s="50" t="s">
        <v>174</v>
      </c>
      <c r="D2306" s="50" t="s">
        <v>2182</v>
      </c>
      <c r="E2306" s="50" t="n">
        <v>8</v>
      </c>
      <c r="F2306" s="50" t="s">
        <v>2174</v>
      </c>
      <c r="G2306" s="54" t="n">
        <v>7484800</v>
      </c>
    </row>
    <row r="2307" customFormat="false" ht="15" hidden="false" customHeight="false" outlineLevel="0" collapsed="false">
      <c r="A2307" s="50" t="s">
        <v>929</v>
      </c>
      <c r="B2307" s="51" t="n">
        <v>45797</v>
      </c>
      <c r="C2307" s="50" t="s">
        <v>475</v>
      </c>
      <c r="D2307" s="50" t="s">
        <v>2185</v>
      </c>
      <c r="E2307" s="50" t="n">
        <v>2</v>
      </c>
      <c r="F2307" s="50" t="s">
        <v>2174</v>
      </c>
      <c r="G2307" s="54" t="n">
        <v>1548900</v>
      </c>
    </row>
    <row r="2308" customFormat="false" ht="15" hidden="false" customHeight="false" outlineLevel="0" collapsed="false">
      <c r="A2308" s="50" t="s">
        <v>929</v>
      </c>
      <c r="B2308" s="51" t="n">
        <v>45797</v>
      </c>
      <c r="C2308" s="50" t="s">
        <v>475</v>
      </c>
      <c r="D2308" s="50" t="s">
        <v>2176</v>
      </c>
      <c r="E2308" s="50" t="n">
        <v>7</v>
      </c>
      <c r="F2308" s="50" t="s">
        <v>2167</v>
      </c>
      <c r="G2308" s="54" t="n">
        <v>2979400</v>
      </c>
    </row>
    <row r="2309" customFormat="false" ht="15" hidden="false" customHeight="false" outlineLevel="0" collapsed="false">
      <c r="A2309" s="50" t="s">
        <v>929</v>
      </c>
      <c r="B2309" s="51" t="n">
        <v>45797</v>
      </c>
      <c r="C2309" s="50" t="s">
        <v>475</v>
      </c>
      <c r="D2309" s="50" t="s">
        <v>2178</v>
      </c>
      <c r="E2309" s="50" t="n">
        <v>8</v>
      </c>
      <c r="F2309" s="50" t="s">
        <v>2167</v>
      </c>
      <c r="G2309" s="54" t="n">
        <v>3733700</v>
      </c>
    </row>
    <row r="2310" customFormat="false" ht="15" hidden="false" customHeight="false" outlineLevel="0" collapsed="false">
      <c r="A2310" s="50" t="s">
        <v>929</v>
      </c>
      <c r="B2310" s="51" t="n">
        <v>45797</v>
      </c>
      <c r="C2310" s="50" t="s">
        <v>475</v>
      </c>
      <c r="D2310" s="50" t="s">
        <v>2172</v>
      </c>
      <c r="E2310" s="50" t="n">
        <v>5</v>
      </c>
      <c r="F2310" s="50" t="s">
        <v>2167</v>
      </c>
      <c r="G2310" s="54" t="n">
        <v>2628600</v>
      </c>
    </row>
    <row r="2311" customFormat="false" ht="15" hidden="false" customHeight="false" outlineLevel="0" collapsed="false">
      <c r="A2311" s="50" t="s">
        <v>930</v>
      </c>
      <c r="B2311" s="51" t="n">
        <v>45797</v>
      </c>
      <c r="C2311" s="50" t="s">
        <v>205</v>
      </c>
      <c r="D2311" s="50" t="s">
        <v>2169</v>
      </c>
      <c r="E2311" s="50" t="n">
        <v>4</v>
      </c>
      <c r="F2311" s="50" t="s">
        <v>2167</v>
      </c>
      <c r="G2311" s="54" t="n">
        <v>2459800</v>
      </c>
    </row>
    <row r="2312" customFormat="false" ht="15" hidden="false" customHeight="false" outlineLevel="0" collapsed="false">
      <c r="A2312" s="50" t="s">
        <v>930</v>
      </c>
      <c r="B2312" s="51" t="n">
        <v>45797</v>
      </c>
      <c r="C2312" s="50" t="s">
        <v>205</v>
      </c>
      <c r="D2312" s="50" t="s">
        <v>2175</v>
      </c>
      <c r="E2312" s="50" t="n">
        <v>6</v>
      </c>
      <c r="F2312" s="50" t="s">
        <v>2167</v>
      </c>
      <c r="G2312" s="54" t="n">
        <v>3729700</v>
      </c>
    </row>
    <row r="2313" customFormat="false" ht="15" hidden="false" customHeight="false" outlineLevel="0" collapsed="false">
      <c r="A2313" s="50" t="s">
        <v>930</v>
      </c>
      <c r="B2313" s="51" t="n">
        <v>45797</v>
      </c>
      <c r="C2313" s="50" t="s">
        <v>205</v>
      </c>
      <c r="D2313" s="50" t="s">
        <v>2180</v>
      </c>
      <c r="E2313" s="50" t="n">
        <v>6</v>
      </c>
      <c r="F2313" s="50" t="s">
        <v>2167</v>
      </c>
      <c r="G2313" s="54" t="n">
        <v>2800000</v>
      </c>
    </row>
    <row r="2314" customFormat="false" ht="15" hidden="false" customHeight="false" outlineLevel="0" collapsed="false">
      <c r="A2314" s="50" t="s">
        <v>930</v>
      </c>
      <c r="B2314" s="51" t="n">
        <v>45797</v>
      </c>
      <c r="C2314" s="50" t="s">
        <v>205</v>
      </c>
      <c r="D2314" s="50" t="s">
        <v>2179</v>
      </c>
      <c r="E2314" s="50" t="n">
        <v>7</v>
      </c>
      <c r="F2314" s="50" t="s">
        <v>2174</v>
      </c>
      <c r="G2314" s="54" t="n">
        <v>8642400</v>
      </c>
    </row>
    <row r="2315" customFormat="false" ht="15" hidden="false" customHeight="false" outlineLevel="0" collapsed="false">
      <c r="A2315" s="50" t="s">
        <v>931</v>
      </c>
      <c r="B2315" s="51" t="n">
        <v>45798</v>
      </c>
      <c r="C2315" s="50" t="s">
        <v>241</v>
      </c>
      <c r="D2315" s="50" t="s">
        <v>2179</v>
      </c>
      <c r="E2315" s="50" t="n">
        <v>8</v>
      </c>
      <c r="F2315" s="50" t="s">
        <v>2174</v>
      </c>
      <c r="G2315" s="54" t="n">
        <v>10192700</v>
      </c>
    </row>
    <row r="2316" customFormat="false" ht="15" hidden="false" customHeight="false" outlineLevel="0" collapsed="false">
      <c r="A2316" s="50" t="s">
        <v>931</v>
      </c>
      <c r="B2316" s="51" t="n">
        <v>45798</v>
      </c>
      <c r="C2316" s="50" t="s">
        <v>241</v>
      </c>
      <c r="D2316" s="50" t="s">
        <v>2185</v>
      </c>
      <c r="E2316" s="50" t="n">
        <v>6</v>
      </c>
      <c r="F2316" s="50" t="s">
        <v>2174</v>
      </c>
      <c r="G2316" s="54" t="n">
        <v>4632400</v>
      </c>
    </row>
    <row r="2317" customFormat="false" ht="15" hidden="false" customHeight="false" outlineLevel="0" collapsed="false">
      <c r="A2317" s="50" t="s">
        <v>931</v>
      </c>
      <c r="B2317" s="51" t="n">
        <v>45798</v>
      </c>
      <c r="C2317" s="50" t="s">
        <v>241</v>
      </c>
      <c r="D2317" s="50" t="s">
        <v>2173</v>
      </c>
      <c r="E2317" s="50" t="n">
        <v>5</v>
      </c>
      <c r="F2317" s="50" t="s">
        <v>2174</v>
      </c>
      <c r="G2317" s="54" t="n">
        <v>4009600</v>
      </c>
    </row>
    <row r="2318" customFormat="false" ht="15" hidden="false" customHeight="false" outlineLevel="0" collapsed="false">
      <c r="A2318" s="50" t="s">
        <v>932</v>
      </c>
      <c r="B2318" s="51" t="n">
        <v>45798</v>
      </c>
      <c r="C2318" s="50" t="s">
        <v>197</v>
      </c>
      <c r="D2318" s="50" t="s">
        <v>2173</v>
      </c>
      <c r="E2318" s="50" t="n">
        <v>6</v>
      </c>
      <c r="F2318" s="50" t="s">
        <v>2174</v>
      </c>
      <c r="G2318" s="54" t="n">
        <v>4772300</v>
      </c>
    </row>
    <row r="2319" customFormat="false" ht="15" hidden="false" customHeight="false" outlineLevel="0" collapsed="false">
      <c r="A2319" s="50" t="s">
        <v>932</v>
      </c>
      <c r="B2319" s="51" t="n">
        <v>45798</v>
      </c>
      <c r="C2319" s="50" t="s">
        <v>197</v>
      </c>
      <c r="D2319" s="50" t="s">
        <v>2186</v>
      </c>
      <c r="E2319" s="50" t="n">
        <v>1</v>
      </c>
      <c r="F2319" s="50" t="s">
        <v>2167</v>
      </c>
      <c r="G2319" s="54" t="n">
        <v>583600</v>
      </c>
    </row>
    <row r="2320" customFormat="false" ht="15" hidden="false" customHeight="false" outlineLevel="0" collapsed="false">
      <c r="A2320" s="50" t="s">
        <v>932</v>
      </c>
      <c r="B2320" s="51" t="n">
        <v>45798</v>
      </c>
      <c r="C2320" s="50" t="s">
        <v>197</v>
      </c>
      <c r="D2320" s="50" t="s">
        <v>2179</v>
      </c>
      <c r="E2320" s="50" t="n">
        <v>5</v>
      </c>
      <c r="F2320" s="50" t="s">
        <v>2174</v>
      </c>
      <c r="G2320" s="54" t="n">
        <v>6056000</v>
      </c>
    </row>
    <row r="2321" customFormat="false" ht="15" hidden="false" customHeight="false" outlineLevel="0" collapsed="false">
      <c r="A2321" s="50" t="s">
        <v>933</v>
      </c>
      <c r="B2321" s="51" t="n">
        <v>45798</v>
      </c>
      <c r="C2321" s="50" t="s">
        <v>213</v>
      </c>
      <c r="D2321" s="50" t="s">
        <v>2168</v>
      </c>
      <c r="E2321" s="50" t="n">
        <v>1</v>
      </c>
      <c r="F2321" s="50" t="s">
        <v>2167</v>
      </c>
      <c r="G2321" s="54" t="n">
        <v>432500</v>
      </c>
    </row>
    <row r="2322" customFormat="false" ht="15" hidden="false" customHeight="false" outlineLevel="0" collapsed="false">
      <c r="A2322" s="50" t="s">
        <v>933</v>
      </c>
      <c r="B2322" s="51" t="n">
        <v>45798</v>
      </c>
      <c r="C2322" s="50" t="s">
        <v>213</v>
      </c>
      <c r="D2322" s="50" t="s">
        <v>2178</v>
      </c>
      <c r="E2322" s="50" t="n">
        <v>1</v>
      </c>
      <c r="F2322" s="50" t="s">
        <v>2167</v>
      </c>
      <c r="G2322" s="54" t="n">
        <v>462600</v>
      </c>
    </row>
    <row r="2323" customFormat="false" ht="15" hidden="false" customHeight="false" outlineLevel="0" collapsed="false">
      <c r="A2323" s="50" t="s">
        <v>933</v>
      </c>
      <c r="B2323" s="51" t="n">
        <v>45798</v>
      </c>
      <c r="C2323" s="50" t="s">
        <v>213</v>
      </c>
      <c r="D2323" s="50" t="s">
        <v>2184</v>
      </c>
      <c r="E2323" s="50" t="n">
        <v>6</v>
      </c>
      <c r="F2323" s="50" t="s">
        <v>2167</v>
      </c>
      <c r="G2323" s="54" t="n">
        <v>3469100</v>
      </c>
    </row>
    <row r="2324" customFormat="false" ht="15" hidden="false" customHeight="false" outlineLevel="0" collapsed="false">
      <c r="A2324" s="50" t="s">
        <v>933</v>
      </c>
      <c r="B2324" s="51" t="n">
        <v>45798</v>
      </c>
      <c r="C2324" s="50" t="s">
        <v>213</v>
      </c>
      <c r="D2324" s="50" t="s">
        <v>2182</v>
      </c>
      <c r="E2324" s="50" t="n">
        <v>8</v>
      </c>
      <c r="F2324" s="50" t="s">
        <v>2174</v>
      </c>
      <c r="G2324" s="54" t="n">
        <v>7769700</v>
      </c>
    </row>
    <row r="2325" customFormat="false" ht="15" hidden="false" customHeight="false" outlineLevel="0" collapsed="false">
      <c r="A2325" s="50" t="s">
        <v>934</v>
      </c>
      <c r="B2325" s="51" t="n">
        <v>45798</v>
      </c>
      <c r="C2325" s="50" t="s">
        <v>271</v>
      </c>
      <c r="D2325" s="50" t="s">
        <v>2185</v>
      </c>
      <c r="E2325" s="50" t="n">
        <v>1</v>
      </c>
      <c r="F2325" s="50" t="s">
        <v>2174</v>
      </c>
      <c r="G2325" s="54" t="n">
        <v>780400</v>
      </c>
    </row>
    <row r="2326" customFormat="false" ht="15" hidden="false" customHeight="false" outlineLevel="0" collapsed="false">
      <c r="A2326" s="50" t="s">
        <v>934</v>
      </c>
      <c r="B2326" s="51" t="n">
        <v>45798</v>
      </c>
      <c r="C2326" s="50" t="s">
        <v>271</v>
      </c>
      <c r="D2326" s="50" t="s">
        <v>2178</v>
      </c>
      <c r="E2326" s="50" t="n">
        <v>8</v>
      </c>
      <c r="F2326" s="50" t="s">
        <v>2167</v>
      </c>
      <c r="G2326" s="54" t="n">
        <v>3862100</v>
      </c>
    </row>
    <row r="2327" customFormat="false" ht="15" hidden="false" customHeight="false" outlineLevel="0" collapsed="false">
      <c r="A2327" s="50" t="s">
        <v>935</v>
      </c>
      <c r="B2327" s="51" t="n">
        <v>45798</v>
      </c>
      <c r="C2327" s="50" t="s">
        <v>174</v>
      </c>
      <c r="D2327" s="50" t="s">
        <v>2179</v>
      </c>
      <c r="E2327" s="50" t="n">
        <v>8</v>
      </c>
      <c r="F2327" s="50" t="s">
        <v>2174</v>
      </c>
      <c r="G2327" s="54" t="n">
        <v>9773100</v>
      </c>
    </row>
    <row r="2328" customFormat="false" ht="15" hidden="false" customHeight="false" outlineLevel="0" collapsed="false">
      <c r="A2328" s="50" t="s">
        <v>935</v>
      </c>
      <c r="B2328" s="51" t="n">
        <v>45798</v>
      </c>
      <c r="C2328" s="50" t="s">
        <v>174</v>
      </c>
      <c r="D2328" s="50" t="s">
        <v>2176</v>
      </c>
      <c r="E2328" s="50" t="n">
        <v>1</v>
      </c>
      <c r="F2328" s="50" t="s">
        <v>2167</v>
      </c>
      <c r="G2328" s="54" t="n">
        <v>427700</v>
      </c>
    </row>
    <row r="2329" customFormat="false" ht="15" hidden="false" customHeight="false" outlineLevel="0" collapsed="false">
      <c r="A2329" s="50" t="s">
        <v>936</v>
      </c>
      <c r="B2329" s="51" t="n">
        <v>45799</v>
      </c>
      <c r="C2329" s="50" t="s">
        <v>166</v>
      </c>
      <c r="D2329" s="50" t="s">
        <v>2175</v>
      </c>
      <c r="E2329" s="50" t="n">
        <v>3</v>
      </c>
      <c r="F2329" s="50" t="s">
        <v>2167</v>
      </c>
      <c r="G2329" s="54" t="n">
        <v>1975500</v>
      </c>
    </row>
    <row r="2330" customFormat="false" ht="15" hidden="false" customHeight="false" outlineLevel="0" collapsed="false">
      <c r="A2330" s="50" t="s">
        <v>936</v>
      </c>
      <c r="B2330" s="51" t="n">
        <v>45799</v>
      </c>
      <c r="C2330" s="50" t="s">
        <v>166</v>
      </c>
      <c r="D2330" s="50" t="s">
        <v>2176</v>
      </c>
      <c r="E2330" s="50" t="n">
        <v>8</v>
      </c>
      <c r="F2330" s="50" t="s">
        <v>2167</v>
      </c>
      <c r="G2330" s="54" t="n">
        <v>3489200</v>
      </c>
    </row>
    <row r="2331" customFormat="false" ht="15" hidden="false" customHeight="false" outlineLevel="0" collapsed="false">
      <c r="A2331" s="50" t="s">
        <v>936</v>
      </c>
      <c r="B2331" s="51" t="n">
        <v>45799</v>
      </c>
      <c r="C2331" s="50" t="s">
        <v>166</v>
      </c>
      <c r="D2331" s="50" t="s">
        <v>2179</v>
      </c>
      <c r="E2331" s="50" t="n">
        <v>5</v>
      </c>
      <c r="F2331" s="50" t="s">
        <v>2174</v>
      </c>
      <c r="G2331" s="54" t="n">
        <v>6374300</v>
      </c>
    </row>
    <row r="2332" customFormat="false" ht="15" hidden="false" customHeight="false" outlineLevel="0" collapsed="false">
      <c r="A2332" s="50" t="s">
        <v>937</v>
      </c>
      <c r="B2332" s="51" t="n">
        <v>45799</v>
      </c>
      <c r="C2332" s="50" t="s">
        <v>170</v>
      </c>
      <c r="D2332" s="50" t="s">
        <v>2175</v>
      </c>
      <c r="E2332" s="50" t="n">
        <v>6</v>
      </c>
      <c r="F2332" s="50" t="s">
        <v>2167</v>
      </c>
      <c r="G2332" s="54" t="n">
        <v>3844200</v>
      </c>
    </row>
    <row r="2333" customFormat="false" ht="15" hidden="false" customHeight="false" outlineLevel="0" collapsed="false">
      <c r="A2333" s="50" t="s">
        <v>937</v>
      </c>
      <c r="B2333" s="51" t="n">
        <v>45799</v>
      </c>
      <c r="C2333" s="50" t="s">
        <v>170</v>
      </c>
      <c r="D2333" s="50" t="s">
        <v>2182</v>
      </c>
      <c r="E2333" s="50" t="n">
        <v>3</v>
      </c>
      <c r="F2333" s="50" t="s">
        <v>2174</v>
      </c>
      <c r="G2333" s="54" t="n">
        <v>2764600</v>
      </c>
    </row>
    <row r="2334" customFormat="false" ht="15" hidden="false" customHeight="false" outlineLevel="0" collapsed="false">
      <c r="A2334" s="50" t="s">
        <v>938</v>
      </c>
      <c r="B2334" s="51" t="n">
        <v>45800</v>
      </c>
      <c r="C2334" s="50" t="s">
        <v>174</v>
      </c>
      <c r="D2334" s="50" t="s">
        <v>2178</v>
      </c>
      <c r="E2334" s="50" t="n">
        <v>3</v>
      </c>
      <c r="F2334" s="50" t="s">
        <v>2167</v>
      </c>
      <c r="G2334" s="54" t="n">
        <v>1421100</v>
      </c>
    </row>
    <row r="2335" customFormat="false" ht="15" hidden="false" customHeight="false" outlineLevel="0" collapsed="false">
      <c r="A2335" s="50" t="s">
        <v>938</v>
      </c>
      <c r="B2335" s="51" t="n">
        <v>45800</v>
      </c>
      <c r="C2335" s="50" t="s">
        <v>174</v>
      </c>
      <c r="D2335" s="50" t="s">
        <v>2169</v>
      </c>
      <c r="E2335" s="50" t="n">
        <v>4</v>
      </c>
      <c r="F2335" s="50" t="s">
        <v>2167</v>
      </c>
      <c r="G2335" s="54" t="n">
        <v>2444500</v>
      </c>
    </row>
    <row r="2336" customFormat="false" ht="15" hidden="false" customHeight="false" outlineLevel="0" collapsed="false">
      <c r="A2336" s="50" t="s">
        <v>939</v>
      </c>
      <c r="B2336" s="51" t="n">
        <v>45800</v>
      </c>
      <c r="C2336" s="50" t="s">
        <v>540</v>
      </c>
      <c r="D2336" s="50" t="s">
        <v>2182</v>
      </c>
      <c r="E2336" s="50" t="n">
        <v>8</v>
      </c>
      <c r="F2336" s="50" t="s">
        <v>2174</v>
      </c>
      <c r="G2336" s="54" t="n">
        <v>7664200</v>
      </c>
    </row>
    <row r="2337" customFormat="false" ht="15" hidden="false" customHeight="false" outlineLevel="0" collapsed="false">
      <c r="A2337" s="50" t="s">
        <v>939</v>
      </c>
      <c r="B2337" s="51" t="n">
        <v>45800</v>
      </c>
      <c r="C2337" s="50" t="s">
        <v>540</v>
      </c>
      <c r="D2337" s="50" t="s">
        <v>2187</v>
      </c>
      <c r="E2337" s="50" t="n">
        <v>2</v>
      </c>
      <c r="F2337" s="50" t="s">
        <v>2167</v>
      </c>
      <c r="G2337" s="54" t="n">
        <v>681100</v>
      </c>
    </row>
    <row r="2338" customFormat="false" ht="15" hidden="false" customHeight="false" outlineLevel="0" collapsed="false">
      <c r="A2338" s="50" t="s">
        <v>940</v>
      </c>
      <c r="B2338" s="51" t="n">
        <v>45800</v>
      </c>
      <c r="C2338" s="50" t="s">
        <v>430</v>
      </c>
      <c r="D2338" s="50" t="s">
        <v>2176</v>
      </c>
      <c r="E2338" s="50" t="n">
        <v>6</v>
      </c>
      <c r="F2338" s="50" t="s">
        <v>2167</v>
      </c>
      <c r="G2338" s="54" t="n">
        <v>2500400</v>
      </c>
    </row>
    <row r="2339" customFormat="false" ht="15" hidden="false" customHeight="false" outlineLevel="0" collapsed="false">
      <c r="A2339" s="50" t="s">
        <v>940</v>
      </c>
      <c r="B2339" s="51" t="n">
        <v>45800</v>
      </c>
      <c r="C2339" s="50" t="s">
        <v>430</v>
      </c>
      <c r="D2339" s="50" t="s">
        <v>2172</v>
      </c>
      <c r="E2339" s="50" t="n">
        <v>5</v>
      </c>
      <c r="F2339" s="50" t="s">
        <v>2167</v>
      </c>
      <c r="G2339" s="54" t="n">
        <v>2667200</v>
      </c>
    </row>
    <row r="2340" customFormat="false" ht="15" hidden="false" customHeight="false" outlineLevel="0" collapsed="false">
      <c r="A2340" s="50" t="s">
        <v>940</v>
      </c>
      <c r="B2340" s="51" t="n">
        <v>45800</v>
      </c>
      <c r="C2340" s="50" t="s">
        <v>430</v>
      </c>
      <c r="D2340" s="50" t="s">
        <v>2179</v>
      </c>
      <c r="E2340" s="50" t="n">
        <v>4</v>
      </c>
      <c r="F2340" s="50" t="s">
        <v>2174</v>
      </c>
      <c r="G2340" s="54" t="n">
        <v>4977900</v>
      </c>
    </row>
    <row r="2341" customFormat="false" ht="15" hidden="false" customHeight="false" outlineLevel="0" collapsed="false">
      <c r="A2341" s="50" t="s">
        <v>940</v>
      </c>
      <c r="B2341" s="51" t="n">
        <v>45800</v>
      </c>
      <c r="C2341" s="50" t="s">
        <v>430</v>
      </c>
      <c r="D2341" s="50" t="s">
        <v>2180</v>
      </c>
      <c r="E2341" s="50" t="n">
        <v>4</v>
      </c>
      <c r="F2341" s="50" t="s">
        <v>2167</v>
      </c>
      <c r="G2341" s="54" t="n">
        <v>1807700</v>
      </c>
    </row>
    <row r="2342" customFormat="false" ht="15" hidden="false" customHeight="false" outlineLevel="0" collapsed="false">
      <c r="A2342" s="50" t="s">
        <v>940</v>
      </c>
      <c r="B2342" s="51" t="n">
        <v>45800</v>
      </c>
      <c r="C2342" s="50" t="s">
        <v>430</v>
      </c>
      <c r="D2342" s="50" t="s">
        <v>2168</v>
      </c>
      <c r="E2342" s="50" t="n">
        <v>4</v>
      </c>
      <c r="F2342" s="50" t="s">
        <v>2167</v>
      </c>
      <c r="G2342" s="54" t="n">
        <v>1769400</v>
      </c>
    </row>
    <row r="2343" customFormat="false" ht="15" hidden="false" customHeight="false" outlineLevel="0" collapsed="false">
      <c r="A2343" s="50" t="s">
        <v>941</v>
      </c>
      <c r="B2343" s="51" t="n">
        <v>45800</v>
      </c>
      <c r="C2343" s="50" t="s">
        <v>166</v>
      </c>
      <c r="D2343" s="50" t="s">
        <v>2169</v>
      </c>
      <c r="E2343" s="50" t="n">
        <v>3</v>
      </c>
      <c r="F2343" s="50" t="s">
        <v>2167</v>
      </c>
      <c r="G2343" s="54" t="n">
        <v>1796200</v>
      </c>
    </row>
    <row r="2344" customFormat="false" ht="15" hidden="false" customHeight="false" outlineLevel="0" collapsed="false">
      <c r="A2344" s="50" t="s">
        <v>941</v>
      </c>
      <c r="B2344" s="51" t="n">
        <v>45800</v>
      </c>
      <c r="C2344" s="50" t="s">
        <v>166</v>
      </c>
      <c r="D2344" s="50" t="s">
        <v>2168</v>
      </c>
      <c r="E2344" s="50" t="n">
        <v>1</v>
      </c>
      <c r="F2344" s="50" t="s">
        <v>2167</v>
      </c>
      <c r="G2344" s="54" t="n">
        <v>417000</v>
      </c>
    </row>
    <row r="2345" customFormat="false" ht="15" hidden="false" customHeight="false" outlineLevel="0" collapsed="false">
      <c r="A2345" s="50" t="s">
        <v>941</v>
      </c>
      <c r="B2345" s="51" t="n">
        <v>45800</v>
      </c>
      <c r="C2345" s="50" t="s">
        <v>166</v>
      </c>
      <c r="D2345" s="50" t="s">
        <v>2179</v>
      </c>
      <c r="E2345" s="50" t="n">
        <v>6</v>
      </c>
      <c r="F2345" s="50" t="s">
        <v>2174</v>
      </c>
      <c r="G2345" s="54" t="n">
        <v>7747200</v>
      </c>
    </row>
    <row r="2346" customFormat="false" ht="15" hidden="false" customHeight="false" outlineLevel="0" collapsed="false">
      <c r="A2346" s="50" t="s">
        <v>941</v>
      </c>
      <c r="B2346" s="51" t="n">
        <v>45800</v>
      </c>
      <c r="C2346" s="50" t="s">
        <v>166</v>
      </c>
      <c r="D2346" s="50" t="s">
        <v>2180</v>
      </c>
      <c r="E2346" s="50" t="n">
        <v>7</v>
      </c>
      <c r="F2346" s="50" t="s">
        <v>2167</v>
      </c>
      <c r="G2346" s="54" t="n">
        <v>3233100</v>
      </c>
    </row>
    <row r="2347" customFormat="false" ht="15" hidden="false" customHeight="false" outlineLevel="0" collapsed="false">
      <c r="A2347" s="50" t="s">
        <v>942</v>
      </c>
      <c r="B2347" s="51" t="n">
        <v>45800</v>
      </c>
      <c r="C2347" s="50" t="s">
        <v>298</v>
      </c>
      <c r="D2347" s="50" t="s">
        <v>2177</v>
      </c>
      <c r="E2347" s="50" t="n">
        <v>7</v>
      </c>
      <c r="F2347" s="50" t="s">
        <v>2174</v>
      </c>
      <c r="G2347" s="54" t="n">
        <v>7631800</v>
      </c>
    </row>
    <row r="2348" customFormat="false" ht="15" hidden="false" customHeight="false" outlineLevel="0" collapsed="false">
      <c r="A2348" s="50" t="s">
        <v>942</v>
      </c>
      <c r="B2348" s="51" t="n">
        <v>45800</v>
      </c>
      <c r="C2348" s="50" t="s">
        <v>298</v>
      </c>
      <c r="D2348" s="50" t="s">
        <v>2180</v>
      </c>
      <c r="E2348" s="50" t="n">
        <v>3</v>
      </c>
      <c r="F2348" s="50" t="s">
        <v>2167</v>
      </c>
      <c r="G2348" s="54" t="n">
        <v>1347300</v>
      </c>
    </row>
    <row r="2349" customFormat="false" ht="15" hidden="false" customHeight="false" outlineLevel="0" collapsed="false">
      <c r="A2349" s="50" t="s">
        <v>942</v>
      </c>
      <c r="B2349" s="51" t="n">
        <v>45800</v>
      </c>
      <c r="C2349" s="50" t="s">
        <v>298</v>
      </c>
      <c r="D2349" s="50" t="s">
        <v>2184</v>
      </c>
      <c r="E2349" s="50" t="n">
        <v>3</v>
      </c>
      <c r="F2349" s="50" t="s">
        <v>2167</v>
      </c>
      <c r="G2349" s="54" t="n">
        <v>1690700</v>
      </c>
    </row>
    <row r="2350" customFormat="false" ht="15" hidden="false" customHeight="false" outlineLevel="0" collapsed="false">
      <c r="A2350" s="50" t="s">
        <v>942</v>
      </c>
      <c r="B2350" s="51" t="n">
        <v>45800</v>
      </c>
      <c r="C2350" s="50" t="s">
        <v>298</v>
      </c>
      <c r="D2350" s="50" t="s">
        <v>2185</v>
      </c>
      <c r="E2350" s="50" t="n">
        <v>2</v>
      </c>
      <c r="F2350" s="50" t="s">
        <v>2174</v>
      </c>
      <c r="G2350" s="54" t="n">
        <v>1621300</v>
      </c>
    </row>
    <row r="2351" customFormat="false" ht="15" hidden="false" customHeight="false" outlineLevel="0" collapsed="false">
      <c r="A2351" s="50" t="s">
        <v>942</v>
      </c>
      <c r="B2351" s="51" t="n">
        <v>45800</v>
      </c>
      <c r="C2351" s="50" t="s">
        <v>298</v>
      </c>
      <c r="D2351" s="50" t="s">
        <v>2169</v>
      </c>
      <c r="E2351" s="50" t="n">
        <v>7</v>
      </c>
      <c r="F2351" s="50" t="s">
        <v>2167</v>
      </c>
      <c r="G2351" s="54" t="n">
        <v>4180400</v>
      </c>
    </row>
    <row r="2352" customFormat="false" ht="15" hidden="false" customHeight="false" outlineLevel="0" collapsed="false">
      <c r="A2352" s="50" t="s">
        <v>943</v>
      </c>
      <c r="B2352" s="51" t="n">
        <v>45801</v>
      </c>
      <c r="C2352" s="50" t="s">
        <v>574</v>
      </c>
      <c r="D2352" s="50" t="s">
        <v>2169</v>
      </c>
      <c r="E2352" s="50" t="n">
        <v>2</v>
      </c>
      <c r="F2352" s="50" t="s">
        <v>2167</v>
      </c>
      <c r="G2352" s="54" t="n">
        <v>1266100</v>
      </c>
    </row>
    <row r="2353" customFormat="false" ht="15" hidden="false" customHeight="false" outlineLevel="0" collapsed="false">
      <c r="A2353" s="50" t="s">
        <v>944</v>
      </c>
      <c r="B2353" s="51" t="n">
        <v>45801</v>
      </c>
      <c r="C2353" s="50" t="s">
        <v>241</v>
      </c>
      <c r="D2353" s="50" t="s">
        <v>2176</v>
      </c>
      <c r="E2353" s="50" t="n">
        <v>7</v>
      </c>
      <c r="F2353" s="50" t="s">
        <v>2167</v>
      </c>
      <c r="G2353" s="54" t="n">
        <v>2925500</v>
      </c>
    </row>
    <row r="2354" customFormat="false" ht="15" hidden="false" customHeight="false" outlineLevel="0" collapsed="false">
      <c r="A2354" s="50" t="s">
        <v>944</v>
      </c>
      <c r="B2354" s="51" t="n">
        <v>45801</v>
      </c>
      <c r="C2354" s="50" t="s">
        <v>241</v>
      </c>
      <c r="D2354" s="50" t="s">
        <v>2184</v>
      </c>
      <c r="E2354" s="50" t="n">
        <v>8</v>
      </c>
      <c r="F2354" s="50" t="s">
        <v>2167</v>
      </c>
      <c r="G2354" s="54" t="n">
        <v>4477700</v>
      </c>
    </row>
    <row r="2355" customFormat="false" ht="15" hidden="false" customHeight="false" outlineLevel="0" collapsed="false">
      <c r="A2355" s="50" t="s">
        <v>944</v>
      </c>
      <c r="B2355" s="51" t="n">
        <v>45801</v>
      </c>
      <c r="C2355" s="50" t="s">
        <v>241</v>
      </c>
      <c r="D2355" s="50" t="s">
        <v>2181</v>
      </c>
      <c r="E2355" s="50" t="n">
        <v>4</v>
      </c>
      <c r="F2355" s="50" t="s">
        <v>2167</v>
      </c>
      <c r="G2355" s="54" t="n">
        <v>4452600</v>
      </c>
    </row>
    <row r="2356" customFormat="false" ht="15" hidden="false" customHeight="false" outlineLevel="0" collapsed="false">
      <c r="A2356" s="50" t="s">
        <v>944</v>
      </c>
      <c r="B2356" s="51" t="n">
        <v>45801</v>
      </c>
      <c r="C2356" s="50" t="s">
        <v>241</v>
      </c>
      <c r="D2356" s="50" t="s">
        <v>2188</v>
      </c>
      <c r="E2356" s="50" t="n">
        <v>5</v>
      </c>
      <c r="F2356" s="50" t="s">
        <v>2167</v>
      </c>
      <c r="G2356" s="54" t="n">
        <v>4843600</v>
      </c>
    </row>
    <row r="2357" customFormat="false" ht="15" hidden="false" customHeight="false" outlineLevel="0" collapsed="false">
      <c r="A2357" s="50" t="s">
        <v>945</v>
      </c>
      <c r="B2357" s="51" t="n">
        <v>45801</v>
      </c>
      <c r="C2357" s="50" t="s">
        <v>191</v>
      </c>
      <c r="D2357" s="50" t="s">
        <v>2172</v>
      </c>
      <c r="E2357" s="50" t="n">
        <v>1</v>
      </c>
      <c r="F2357" s="50" t="s">
        <v>2167</v>
      </c>
      <c r="G2357" s="54" t="n">
        <v>540700</v>
      </c>
    </row>
    <row r="2358" customFormat="false" ht="15" hidden="false" customHeight="false" outlineLevel="0" collapsed="false">
      <c r="A2358" s="50" t="s">
        <v>945</v>
      </c>
      <c r="B2358" s="51" t="n">
        <v>45801</v>
      </c>
      <c r="C2358" s="50" t="s">
        <v>191</v>
      </c>
      <c r="D2358" s="50" t="s">
        <v>2185</v>
      </c>
      <c r="E2358" s="50" t="n">
        <v>5</v>
      </c>
      <c r="F2358" s="50" t="s">
        <v>2174</v>
      </c>
      <c r="G2358" s="54" t="n">
        <v>3789800</v>
      </c>
    </row>
    <row r="2359" customFormat="false" ht="15" hidden="false" customHeight="false" outlineLevel="0" collapsed="false">
      <c r="A2359" s="50" t="s">
        <v>945</v>
      </c>
      <c r="B2359" s="51" t="n">
        <v>45801</v>
      </c>
      <c r="C2359" s="50" t="s">
        <v>191</v>
      </c>
      <c r="D2359" s="50" t="s">
        <v>2188</v>
      </c>
      <c r="E2359" s="50" t="n">
        <v>8</v>
      </c>
      <c r="F2359" s="50" t="s">
        <v>2167</v>
      </c>
      <c r="G2359" s="54" t="n">
        <v>8094200</v>
      </c>
    </row>
    <row r="2360" customFormat="false" ht="15" hidden="false" customHeight="false" outlineLevel="0" collapsed="false">
      <c r="A2360" s="50" t="s">
        <v>946</v>
      </c>
      <c r="B2360" s="51" t="n">
        <v>45801</v>
      </c>
      <c r="C2360" s="50" t="s">
        <v>188</v>
      </c>
      <c r="D2360" s="50" t="s">
        <v>2168</v>
      </c>
      <c r="E2360" s="50" t="n">
        <v>3</v>
      </c>
      <c r="F2360" s="50" t="s">
        <v>2167</v>
      </c>
      <c r="G2360" s="54" t="n">
        <v>1246700</v>
      </c>
    </row>
    <row r="2361" customFormat="false" ht="15" hidden="false" customHeight="false" outlineLevel="0" collapsed="false">
      <c r="A2361" s="50" t="s">
        <v>946</v>
      </c>
      <c r="B2361" s="51" t="n">
        <v>45801</v>
      </c>
      <c r="C2361" s="50" t="s">
        <v>188</v>
      </c>
      <c r="D2361" s="50" t="s">
        <v>2180</v>
      </c>
      <c r="E2361" s="50" t="n">
        <v>8</v>
      </c>
      <c r="F2361" s="50" t="s">
        <v>2167</v>
      </c>
      <c r="G2361" s="54" t="n">
        <v>3728900</v>
      </c>
    </row>
    <row r="2362" customFormat="false" ht="15" hidden="false" customHeight="false" outlineLevel="0" collapsed="false">
      <c r="A2362" s="50" t="s">
        <v>946</v>
      </c>
      <c r="B2362" s="51" t="n">
        <v>45801</v>
      </c>
      <c r="C2362" s="50" t="s">
        <v>188</v>
      </c>
      <c r="D2362" s="50" t="s">
        <v>2179</v>
      </c>
      <c r="E2362" s="50" t="n">
        <v>8</v>
      </c>
      <c r="F2362" s="50" t="s">
        <v>2174</v>
      </c>
      <c r="G2362" s="54" t="n">
        <v>9894400</v>
      </c>
    </row>
    <row r="2363" customFormat="false" ht="15" hidden="false" customHeight="false" outlineLevel="0" collapsed="false">
      <c r="A2363" s="50" t="s">
        <v>946</v>
      </c>
      <c r="B2363" s="51" t="n">
        <v>45801</v>
      </c>
      <c r="C2363" s="50" t="s">
        <v>188</v>
      </c>
      <c r="D2363" s="50" t="s">
        <v>2186</v>
      </c>
      <c r="E2363" s="50" t="n">
        <v>3</v>
      </c>
      <c r="F2363" s="50" t="s">
        <v>2167</v>
      </c>
      <c r="G2363" s="54" t="n">
        <v>1836300</v>
      </c>
    </row>
    <row r="2364" customFormat="false" ht="15" hidden="false" customHeight="false" outlineLevel="0" collapsed="false">
      <c r="A2364" s="50" t="s">
        <v>947</v>
      </c>
      <c r="B2364" s="51" t="n">
        <v>45801</v>
      </c>
      <c r="C2364" s="50" t="s">
        <v>188</v>
      </c>
      <c r="D2364" s="50" t="s">
        <v>2184</v>
      </c>
      <c r="E2364" s="50" t="n">
        <v>4</v>
      </c>
      <c r="F2364" s="50" t="s">
        <v>2167</v>
      </c>
      <c r="G2364" s="54" t="n">
        <v>2280000</v>
      </c>
    </row>
    <row r="2365" customFormat="false" ht="15" hidden="false" customHeight="false" outlineLevel="0" collapsed="false">
      <c r="A2365" s="50" t="s">
        <v>947</v>
      </c>
      <c r="B2365" s="51" t="n">
        <v>45801</v>
      </c>
      <c r="C2365" s="50" t="s">
        <v>188</v>
      </c>
      <c r="D2365" s="50" t="s">
        <v>2176</v>
      </c>
      <c r="E2365" s="50" t="n">
        <v>8</v>
      </c>
      <c r="F2365" s="50" t="s">
        <v>2167</v>
      </c>
      <c r="G2365" s="54" t="n">
        <v>3351400</v>
      </c>
    </row>
    <row r="2366" customFormat="false" ht="15" hidden="false" customHeight="false" outlineLevel="0" collapsed="false">
      <c r="A2366" s="50" t="s">
        <v>948</v>
      </c>
      <c r="B2366" s="51" t="n">
        <v>45803</v>
      </c>
      <c r="C2366" s="50" t="s">
        <v>416</v>
      </c>
      <c r="D2366" s="50" t="s">
        <v>2180</v>
      </c>
      <c r="E2366" s="50" t="n">
        <v>8</v>
      </c>
      <c r="F2366" s="50" t="s">
        <v>2167</v>
      </c>
      <c r="G2366" s="54" t="n">
        <v>3485300</v>
      </c>
    </row>
    <row r="2367" customFormat="false" ht="15" hidden="false" customHeight="false" outlineLevel="0" collapsed="false">
      <c r="A2367" s="50" t="s">
        <v>949</v>
      </c>
      <c r="B2367" s="51" t="n">
        <v>45803</v>
      </c>
      <c r="C2367" s="50" t="s">
        <v>216</v>
      </c>
      <c r="D2367" s="50" t="s">
        <v>2186</v>
      </c>
      <c r="E2367" s="50" t="n">
        <v>1</v>
      </c>
      <c r="F2367" s="50" t="s">
        <v>2167</v>
      </c>
      <c r="G2367" s="54" t="n">
        <v>583300</v>
      </c>
    </row>
    <row r="2368" customFormat="false" ht="15" hidden="false" customHeight="false" outlineLevel="0" collapsed="false">
      <c r="A2368" s="50" t="s">
        <v>949</v>
      </c>
      <c r="B2368" s="51" t="n">
        <v>45803</v>
      </c>
      <c r="C2368" s="50" t="s">
        <v>216</v>
      </c>
      <c r="D2368" s="50" t="s">
        <v>2188</v>
      </c>
      <c r="E2368" s="50" t="n">
        <v>7</v>
      </c>
      <c r="F2368" s="50" t="s">
        <v>2167</v>
      </c>
      <c r="G2368" s="54" t="n">
        <v>7046200</v>
      </c>
    </row>
    <row r="2369" customFormat="false" ht="15" hidden="false" customHeight="false" outlineLevel="0" collapsed="false">
      <c r="A2369" s="50" t="s">
        <v>950</v>
      </c>
      <c r="B2369" s="51" t="n">
        <v>45803</v>
      </c>
      <c r="C2369" s="50" t="s">
        <v>177</v>
      </c>
      <c r="D2369" s="50" t="s">
        <v>2173</v>
      </c>
      <c r="E2369" s="50" t="n">
        <v>6</v>
      </c>
      <c r="F2369" s="50" t="s">
        <v>2174</v>
      </c>
      <c r="G2369" s="54" t="n">
        <v>4762600</v>
      </c>
    </row>
    <row r="2370" customFormat="false" ht="15" hidden="false" customHeight="false" outlineLevel="0" collapsed="false">
      <c r="A2370" s="50" t="s">
        <v>950</v>
      </c>
      <c r="B2370" s="51" t="n">
        <v>45803</v>
      </c>
      <c r="C2370" s="50" t="s">
        <v>177</v>
      </c>
      <c r="D2370" s="50" t="s">
        <v>2168</v>
      </c>
      <c r="E2370" s="50" t="n">
        <v>8</v>
      </c>
      <c r="F2370" s="50" t="s">
        <v>2167</v>
      </c>
      <c r="G2370" s="54" t="n">
        <v>3370100</v>
      </c>
    </row>
    <row r="2371" customFormat="false" ht="15" hidden="false" customHeight="false" outlineLevel="0" collapsed="false">
      <c r="A2371" s="50" t="s">
        <v>950</v>
      </c>
      <c r="B2371" s="51" t="n">
        <v>45803</v>
      </c>
      <c r="C2371" s="50" t="s">
        <v>177</v>
      </c>
      <c r="D2371" s="50" t="s">
        <v>2184</v>
      </c>
      <c r="E2371" s="50" t="n">
        <v>6</v>
      </c>
      <c r="F2371" s="50" t="s">
        <v>2167</v>
      </c>
      <c r="G2371" s="54" t="n">
        <v>3451200</v>
      </c>
    </row>
    <row r="2372" customFormat="false" ht="15" hidden="false" customHeight="false" outlineLevel="0" collapsed="false">
      <c r="A2372" s="50" t="s">
        <v>951</v>
      </c>
      <c r="B2372" s="51" t="n">
        <v>45803</v>
      </c>
      <c r="C2372" s="50" t="s">
        <v>317</v>
      </c>
      <c r="D2372" s="50" t="s">
        <v>2187</v>
      </c>
      <c r="E2372" s="50" t="n">
        <v>1</v>
      </c>
      <c r="F2372" s="50" t="s">
        <v>2167</v>
      </c>
      <c r="G2372" s="54" t="n">
        <v>352200</v>
      </c>
    </row>
    <row r="2373" customFormat="false" ht="15" hidden="false" customHeight="false" outlineLevel="0" collapsed="false">
      <c r="A2373" s="50" t="s">
        <v>951</v>
      </c>
      <c r="B2373" s="51" t="n">
        <v>45803</v>
      </c>
      <c r="C2373" s="50" t="s">
        <v>317</v>
      </c>
      <c r="D2373" s="50" t="s">
        <v>2176</v>
      </c>
      <c r="E2373" s="50" t="n">
        <v>4</v>
      </c>
      <c r="F2373" s="50" t="s">
        <v>2167</v>
      </c>
      <c r="G2373" s="54" t="n">
        <v>1690200</v>
      </c>
    </row>
    <row r="2374" customFormat="false" ht="15" hidden="false" customHeight="false" outlineLevel="0" collapsed="false">
      <c r="A2374" s="50" t="s">
        <v>951</v>
      </c>
      <c r="B2374" s="51" t="n">
        <v>45803</v>
      </c>
      <c r="C2374" s="50" t="s">
        <v>317</v>
      </c>
      <c r="D2374" s="50" t="s">
        <v>2175</v>
      </c>
      <c r="E2374" s="50" t="n">
        <v>5</v>
      </c>
      <c r="F2374" s="50" t="s">
        <v>2167</v>
      </c>
      <c r="G2374" s="54" t="n">
        <v>3236600</v>
      </c>
    </row>
    <row r="2375" customFormat="false" ht="15" hidden="false" customHeight="false" outlineLevel="0" collapsed="false">
      <c r="A2375" s="50" t="s">
        <v>952</v>
      </c>
      <c r="B2375" s="51" t="n">
        <v>45803</v>
      </c>
      <c r="C2375" s="50" t="s">
        <v>211</v>
      </c>
      <c r="D2375" s="50" t="s">
        <v>2177</v>
      </c>
      <c r="E2375" s="50" t="n">
        <v>4</v>
      </c>
      <c r="F2375" s="50" t="s">
        <v>2174</v>
      </c>
      <c r="G2375" s="54" t="n">
        <v>4435900</v>
      </c>
    </row>
    <row r="2376" customFormat="false" ht="15" hidden="false" customHeight="false" outlineLevel="0" collapsed="false">
      <c r="A2376" s="50" t="s">
        <v>952</v>
      </c>
      <c r="B2376" s="51" t="n">
        <v>45803</v>
      </c>
      <c r="C2376" s="50" t="s">
        <v>211</v>
      </c>
      <c r="D2376" s="50" t="s">
        <v>2182</v>
      </c>
      <c r="E2376" s="50" t="n">
        <v>1</v>
      </c>
      <c r="F2376" s="50" t="s">
        <v>2174</v>
      </c>
      <c r="G2376" s="54" t="n">
        <v>938400</v>
      </c>
    </row>
    <row r="2377" customFormat="false" ht="15" hidden="false" customHeight="false" outlineLevel="0" collapsed="false">
      <c r="A2377" s="50" t="s">
        <v>953</v>
      </c>
      <c r="B2377" s="51" t="n">
        <v>45803</v>
      </c>
      <c r="C2377" s="50" t="s">
        <v>179</v>
      </c>
      <c r="D2377" s="50" t="s">
        <v>2173</v>
      </c>
      <c r="E2377" s="50" t="n">
        <v>5</v>
      </c>
      <c r="F2377" s="50" t="s">
        <v>2174</v>
      </c>
      <c r="G2377" s="54" t="n">
        <v>3999200</v>
      </c>
    </row>
    <row r="2378" customFormat="false" ht="15" hidden="false" customHeight="false" outlineLevel="0" collapsed="false">
      <c r="A2378" s="50" t="s">
        <v>953</v>
      </c>
      <c r="B2378" s="51" t="n">
        <v>45803</v>
      </c>
      <c r="C2378" s="50" t="s">
        <v>179</v>
      </c>
      <c r="D2378" s="50" t="s">
        <v>2169</v>
      </c>
      <c r="E2378" s="50" t="n">
        <v>7</v>
      </c>
      <c r="F2378" s="50" t="s">
        <v>2167</v>
      </c>
      <c r="G2378" s="54" t="n">
        <v>4482000</v>
      </c>
    </row>
    <row r="2379" customFormat="false" ht="15" hidden="false" customHeight="false" outlineLevel="0" collapsed="false">
      <c r="A2379" s="50" t="s">
        <v>953</v>
      </c>
      <c r="B2379" s="51" t="n">
        <v>45803</v>
      </c>
      <c r="C2379" s="50" t="s">
        <v>179</v>
      </c>
      <c r="D2379" s="50" t="s">
        <v>2186</v>
      </c>
      <c r="E2379" s="50" t="n">
        <v>5</v>
      </c>
      <c r="F2379" s="50" t="s">
        <v>2167</v>
      </c>
      <c r="G2379" s="54" t="n">
        <v>2968100</v>
      </c>
    </row>
    <row r="2380" customFormat="false" ht="15" hidden="false" customHeight="false" outlineLevel="0" collapsed="false">
      <c r="A2380" s="50" t="s">
        <v>953</v>
      </c>
      <c r="B2380" s="51" t="n">
        <v>45803</v>
      </c>
      <c r="C2380" s="50" t="s">
        <v>179</v>
      </c>
      <c r="D2380" s="50" t="s">
        <v>2188</v>
      </c>
      <c r="E2380" s="50" t="n">
        <v>1</v>
      </c>
      <c r="F2380" s="50" t="s">
        <v>2167</v>
      </c>
      <c r="G2380" s="54" t="n">
        <v>963800</v>
      </c>
    </row>
    <row r="2381" customFormat="false" ht="15" hidden="false" customHeight="false" outlineLevel="0" collapsed="false">
      <c r="A2381" s="50" t="s">
        <v>953</v>
      </c>
      <c r="B2381" s="51" t="n">
        <v>45803</v>
      </c>
      <c r="C2381" s="50" t="s">
        <v>179</v>
      </c>
      <c r="D2381" s="50" t="s">
        <v>2180</v>
      </c>
      <c r="E2381" s="50" t="n">
        <v>3</v>
      </c>
      <c r="F2381" s="50" t="s">
        <v>2167</v>
      </c>
      <c r="G2381" s="54" t="n">
        <v>1337100</v>
      </c>
    </row>
    <row r="2382" customFormat="false" ht="15" hidden="false" customHeight="false" outlineLevel="0" collapsed="false">
      <c r="A2382" s="50" t="s">
        <v>954</v>
      </c>
      <c r="B2382" s="51" t="n">
        <v>45803</v>
      </c>
      <c r="C2382" s="50" t="s">
        <v>955</v>
      </c>
      <c r="D2382" s="50" t="s">
        <v>2180</v>
      </c>
      <c r="E2382" s="50" t="n">
        <v>8</v>
      </c>
      <c r="F2382" s="50" t="s">
        <v>2167</v>
      </c>
      <c r="G2382" s="54" t="n">
        <v>3584400</v>
      </c>
    </row>
    <row r="2383" customFormat="false" ht="15" hidden="false" customHeight="false" outlineLevel="0" collapsed="false">
      <c r="A2383" s="50" t="s">
        <v>954</v>
      </c>
      <c r="B2383" s="51" t="n">
        <v>45803</v>
      </c>
      <c r="C2383" s="50" t="s">
        <v>955</v>
      </c>
      <c r="D2383" s="50" t="s">
        <v>2181</v>
      </c>
      <c r="E2383" s="50" t="n">
        <v>4</v>
      </c>
      <c r="F2383" s="50" t="s">
        <v>2167</v>
      </c>
      <c r="G2383" s="54" t="n">
        <v>4601200</v>
      </c>
    </row>
    <row r="2384" customFormat="false" ht="15" hidden="false" customHeight="false" outlineLevel="0" collapsed="false">
      <c r="A2384" s="50" t="s">
        <v>954</v>
      </c>
      <c r="B2384" s="51" t="n">
        <v>45803</v>
      </c>
      <c r="C2384" s="50" t="s">
        <v>955</v>
      </c>
      <c r="D2384" s="50" t="s">
        <v>2169</v>
      </c>
      <c r="E2384" s="50" t="n">
        <v>2</v>
      </c>
      <c r="F2384" s="50" t="s">
        <v>2167</v>
      </c>
      <c r="G2384" s="54" t="n">
        <v>1199700</v>
      </c>
    </row>
    <row r="2385" customFormat="false" ht="15" hidden="false" customHeight="false" outlineLevel="0" collapsed="false">
      <c r="A2385" s="50" t="s">
        <v>954</v>
      </c>
      <c r="B2385" s="51" t="n">
        <v>45803</v>
      </c>
      <c r="C2385" s="50" t="s">
        <v>955</v>
      </c>
      <c r="D2385" s="50" t="s">
        <v>2166</v>
      </c>
      <c r="E2385" s="50" t="n">
        <v>5</v>
      </c>
      <c r="F2385" s="50" t="s">
        <v>2167</v>
      </c>
      <c r="G2385" s="54" t="n">
        <v>2800400</v>
      </c>
    </row>
    <row r="2386" customFormat="false" ht="15" hidden="false" customHeight="false" outlineLevel="0" collapsed="false">
      <c r="A2386" s="50" t="s">
        <v>956</v>
      </c>
      <c r="B2386" s="51" t="n">
        <v>45803</v>
      </c>
      <c r="C2386" s="50" t="s">
        <v>209</v>
      </c>
      <c r="D2386" s="50" t="s">
        <v>2169</v>
      </c>
      <c r="E2386" s="50" t="n">
        <v>8</v>
      </c>
      <c r="F2386" s="50" t="s">
        <v>2167</v>
      </c>
      <c r="G2386" s="54" t="n">
        <v>4946000</v>
      </c>
    </row>
    <row r="2387" customFormat="false" ht="15" hidden="false" customHeight="false" outlineLevel="0" collapsed="false">
      <c r="A2387" s="50" t="s">
        <v>956</v>
      </c>
      <c r="B2387" s="51" t="n">
        <v>45803</v>
      </c>
      <c r="C2387" s="50" t="s">
        <v>209</v>
      </c>
      <c r="D2387" s="50" t="s">
        <v>2180</v>
      </c>
      <c r="E2387" s="50" t="n">
        <v>1</v>
      </c>
      <c r="F2387" s="50" t="s">
        <v>2167</v>
      </c>
      <c r="G2387" s="54" t="n">
        <v>445800</v>
      </c>
    </row>
    <row r="2388" customFormat="false" ht="15" hidden="false" customHeight="false" outlineLevel="0" collapsed="false">
      <c r="A2388" s="50" t="s">
        <v>957</v>
      </c>
      <c r="B2388" s="51" t="n">
        <v>45803</v>
      </c>
      <c r="C2388" s="50" t="s">
        <v>174</v>
      </c>
      <c r="D2388" s="50" t="s">
        <v>2183</v>
      </c>
      <c r="E2388" s="50" t="n">
        <v>2</v>
      </c>
      <c r="F2388" s="50" t="s">
        <v>2167</v>
      </c>
      <c r="G2388" s="54" t="n">
        <v>734800</v>
      </c>
    </row>
    <row r="2389" customFormat="false" ht="15" hidden="false" customHeight="false" outlineLevel="0" collapsed="false">
      <c r="A2389" s="50" t="s">
        <v>957</v>
      </c>
      <c r="B2389" s="51" t="n">
        <v>45803</v>
      </c>
      <c r="C2389" s="50" t="s">
        <v>174</v>
      </c>
      <c r="D2389" s="50" t="s">
        <v>2178</v>
      </c>
      <c r="E2389" s="50" t="n">
        <v>2</v>
      </c>
      <c r="F2389" s="50" t="s">
        <v>2167</v>
      </c>
      <c r="G2389" s="54" t="n">
        <v>926400</v>
      </c>
    </row>
    <row r="2390" customFormat="false" ht="15" hidden="false" customHeight="false" outlineLevel="0" collapsed="false">
      <c r="A2390" s="50" t="s">
        <v>957</v>
      </c>
      <c r="B2390" s="51" t="n">
        <v>45803</v>
      </c>
      <c r="C2390" s="50" t="s">
        <v>174</v>
      </c>
      <c r="D2390" s="50" t="s">
        <v>2184</v>
      </c>
      <c r="E2390" s="50" t="n">
        <v>2</v>
      </c>
      <c r="F2390" s="50" t="s">
        <v>2167</v>
      </c>
      <c r="G2390" s="54" t="n">
        <v>1154300</v>
      </c>
    </row>
    <row r="2391" customFormat="false" ht="15" hidden="false" customHeight="false" outlineLevel="0" collapsed="false">
      <c r="A2391" s="50" t="s">
        <v>957</v>
      </c>
      <c r="B2391" s="51" t="n">
        <v>45803</v>
      </c>
      <c r="C2391" s="50" t="s">
        <v>174</v>
      </c>
      <c r="D2391" s="50" t="s">
        <v>2172</v>
      </c>
      <c r="E2391" s="50" t="n">
        <v>5</v>
      </c>
      <c r="F2391" s="50" t="s">
        <v>2167</v>
      </c>
      <c r="G2391" s="54" t="n">
        <v>2700200</v>
      </c>
    </row>
    <row r="2392" customFormat="false" ht="15" hidden="false" customHeight="false" outlineLevel="0" collapsed="false">
      <c r="A2392" s="50" t="s">
        <v>957</v>
      </c>
      <c r="B2392" s="51" t="n">
        <v>45803</v>
      </c>
      <c r="C2392" s="50" t="s">
        <v>174</v>
      </c>
      <c r="D2392" s="50" t="s">
        <v>2176</v>
      </c>
      <c r="E2392" s="50" t="n">
        <v>1</v>
      </c>
      <c r="F2392" s="50" t="s">
        <v>2167</v>
      </c>
      <c r="G2392" s="54" t="n">
        <v>418800</v>
      </c>
    </row>
    <row r="2393" customFormat="false" ht="15" hidden="false" customHeight="false" outlineLevel="0" collapsed="false">
      <c r="A2393" s="50" t="s">
        <v>958</v>
      </c>
      <c r="B2393" s="51" t="n">
        <v>45803</v>
      </c>
      <c r="C2393" s="50" t="s">
        <v>261</v>
      </c>
      <c r="D2393" s="50" t="s">
        <v>2181</v>
      </c>
      <c r="E2393" s="50" t="n">
        <v>1</v>
      </c>
      <c r="F2393" s="50" t="s">
        <v>2167</v>
      </c>
      <c r="G2393" s="54" t="n">
        <v>1157900</v>
      </c>
    </row>
    <row r="2394" customFormat="false" ht="15" hidden="false" customHeight="false" outlineLevel="0" collapsed="false">
      <c r="A2394" s="50" t="s">
        <v>958</v>
      </c>
      <c r="B2394" s="51" t="n">
        <v>45803</v>
      </c>
      <c r="C2394" s="50" t="s">
        <v>261</v>
      </c>
      <c r="D2394" s="50" t="s">
        <v>2180</v>
      </c>
      <c r="E2394" s="50" t="n">
        <v>2</v>
      </c>
      <c r="F2394" s="50" t="s">
        <v>2167</v>
      </c>
      <c r="G2394" s="54" t="n">
        <v>878100</v>
      </c>
    </row>
    <row r="2395" customFormat="false" ht="15" hidden="false" customHeight="false" outlineLevel="0" collapsed="false">
      <c r="A2395" s="50" t="s">
        <v>958</v>
      </c>
      <c r="B2395" s="51" t="n">
        <v>45803</v>
      </c>
      <c r="C2395" s="50" t="s">
        <v>261</v>
      </c>
      <c r="D2395" s="50" t="s">
        <v>2169</v>
      </c>
      <c r="E2395" s="50" t="n">
        <v>1</v>
      </c>
      <c r="F2395" s="50" t="s">
        <v>2167</v>
      </c>
      <c r="G2395" s="54" t="n">
        <v>595500</v>
      </c>
    </row>
    <row r="2396" customFormat="false" ht="15" hidden="false" customHeight="false" outlineLevel="0" collapsed="false">
      <c r="A2396" s="50" t="s">
        <v>958</v>
      </c>
      <c r="B2396" s="51" t="n">
        <v>45803</v>
      </c>
      <c r="C2396" s="50" t="s">
        <v>261</v>
      </c>
      <c r="D2396" s="50" t="s">
        <v>2186</v>
      </c>
      <c r="E2396" s="50" t="n">
        <v>3</v>
      </c>
      <c r="F2396" s="50" t="s">
        <v>2167</v>
      </c>
      <c r="G2396" s="54" t="n">
        <v>1768400</v>
      </c>
    </row>
    <row r="2397" customFormat="false" ht="15" hidden="false" customHeight="false" outlineLevel="0" collapsed="false">
      <c r="A2397" s="50" t="s">
        <v>958</v>
      </c>
      <c r="B2397" s="51" t="n">
        <v>45803</v>
      </c>
      <c r="C2397" s="50" t="s">
        <v>261</v>
      </c>
      <c r="D2397" s="50" t="s">
        <v>2166</v>
      </c>
      <c r="E2397" s="50" t="n">
        <v>3</v>
      </c>
      <c r="F2397" s="50" t="s">
        <v>2167</v>
      </c>
      <c r="G2397" s="54" t="n">
        <v>1610800</v>
      </c>
    </row>
    <row r="2398" customFormat="false" ht="15" hidden="false" customHeight="false" outlineLevel="0" collapsed="false">
      <c r="A2398" s="50" t="s">
        <v>958</v>
      </c>
      <c r="B2398" s="51" t="n">
        <v>45803</v>
      </c>
      <c r="C2398" s="50" t="s">
        <v>261</v>
      </c>
      <c r="D2398" s="50" t="s">
        <v>2178</v>
      </c>
      <c r="E2398" s="50" t="n">
        <v>3</v>
      </c>
      <c r="F2398" s="50" t="s">
        <v>2167</v>
      </c>
      <c r="G2398" s="54" t="n">
        <v>1399300</v>
      </c>
    </row>
    <row r="2399" customFormat="false" ht="15" hidden="false" customHeight="false" outlineLevel="0" collapsed="false">
      <c r="A2399" s="50" t="s">
        <v>959</v>
      </c>
      <c r="B2399" s="51" t="n">
        <v>45803</v>
      </c>
      <c r="C2399" s="50" t="s">
        <v>419</v>
      </c>
      <c r="D2399" s="50" t="s">
        <v>2172</v>
      </c>
      <c r="E2399" s="50" t="n">
        <v>6</v>
      </c>
      <c r="F2399" s="50" t="s">
        <v>2167</v>
      </c>
      <c r="G2399" s="54" t="n">
        <v>3195000</v>
      </c>
    </row>
    <row r="2400" customFormat="false" ht="15" hidden="false" customHeight="false" outlineLevel="0" collapsed="false">
      <c r="A2400" s="50" t="s">
        <v>959</v>
      </c>
      <c r="B2400" s="51" t="n">
        <v>45803</v>
      </c>
      <c r="C2400" s="50" t="s">
        <v>419</v>
      </c>
      <c r="D2400" s="50" t="s">
        <v>2179</v>
      </c>
      <c r="E2400" s="50" t="n">
        <v>3</v>
      </c>
      <c r="F2400" s="50" t="s">
        <v>2174</v>
      </c>
      <c r="G2400" s="54" t="n">
        <v>3841500</v>
      </c>
    </row>
    <row r="2401" customFormat="false" ht="15" hidden="false" customHeight="false" outlineLevel="0" collapsed="false">
      <c r="A2401" s="50" t="s">
        <v>959</v>
      </c>
      <c r="B2401" s="51" t="n">
        <v>45803</v>
      </c>
      <c r="C2401" s="50" t="s">
        <v>419</v>
      </c>
      <c r="D2401" s="50" t="s">
        <v>2169</v>
      </c>
      <c r="E2401" s="50" t="n">
        <v>3</v>
      </c>
      <c r="F2401" s="50" t="s">
        <v>2167</v>
      </c>
      <c r="G2401" s="54" t="n">
        <v>1813600</v>
      </c>
    </row>
    <row r="2402" customFormat="false" ht="15" hidden="false" customHeight="false" outlineLevel="0" collapsed="false">
      <c r="A2402" s="50" t="s">
        <v>959</v>
      </c>
      <c r="B2402" s="51" t="n">
        <v>45803</v>
      </c>
      <c r="C2402" s="50" t="s">
        <v>419</v>
      </c>
      <c r="D2402" s="50" t="s">
        <v>2170</v>
      </c>
      <c r="E2402" s="50" t="n">
        <v>1</v>
      </c>
      <c r="F2402" s="50" t="s">
        <v>2171</v>
      </c>
      <c r="G2402" s="54" t="n">
        <v>7332200</v>
      </c>
    </row>
    <row r="2403" customFormat="false" ht="15" hidden="false" customHeight="false" outlineLevel="0" collapsed="false">
      <c r="A2403" s="50" t="s">
        <v>959</v>
      </c>
      <c r="B2403" s="51" t="n">
        <v>45803</v>
      </c>
      <c r="C2403" s="50" t="s">
        <v>419</v>
      </c>
      <c r="D2403" s="50" t="s">
        <v>2166</v>
      </c>
      <c r="E2403" s="50" t="n">
        <v>5</v>
      </c>
      <c r="F2403" s="50" t="s">
        <v>2167</v>
      </c>
      <c r="G2403" s="54" t="n">
        <v>2772600</v>
      </c>
    </row>
    <row r="2404" customFormat="false" ht="15" hidden="false" customHeight="false" outlineLevel="0" collapsed="false">
      <c r="A2404" s="50" t="s">
        <v>960</v>
      </c>
      <c r="B2404" s="51" t="n">
        <v>45803</v>
      </c>
      <c r="C2404" s="50" t="s">
        <v>197</v>
      </c>
      <c r="D2404" s="50" t="s">
        <v>2180</v>
      </c>
      <c r="E2404" s="50" t="n">
        <v>7</v>
      </c>
      <c r="F2404" s="50" t="s">
        <v>2167</v>
      </c>
      <c r="G2404" s="54" t="n">
        <v>3177000</v>
      </c>
    </row>
    <row r="2405" customFormat="false" ht="15" hidden="false" customHeight="false" outlineLevel="0" collapsed="false">
      <c r="A2405" s="50" t="s">
        <v>960</v>
      </c>
      <c r="B2405" s="51" t="n">
        <v>45803</v>
      </c>
      <c r="C2405" s="50" t="s">
        <v>197</v>
      </c>
      <c r="D2405" s="50" t="s">
        <v>2169</v>
      </c>
      <c r="E2405" s="50" t="n">
        <v>3</v>
      </c>
      <c r="F2405" s="50" t="s">
        <v>2167</v>
      </c>
      <c r="G2405" s="54" t="n">
        <v>1906500</v>
      </c>
    </row>
    <row r="2406" customFormat="false" ht="15" hidden="false" customHeight="false" outlineLevel="0" collapsed="false">
      <c r="A2406" s="50" t="s">
        <v>960</v>
      </c>
      <c r="B2406" s="51" t="n">
        <v>45803</v>
      </c>
      <c r="C2406" s="50" t="s">
        <v>197</v>
      </c>
      <c r="D2406" s="50" t="s">
        <v>2172</v>
      </c>
      <c r="E2406" s="50" t="n">
        <v>2</v>
      </c>
      <c r="F2406" s="50" t="s">
        <v>2167</v>
      </c>
      <c r="G2406" s="54" t="n">
        <v>1015700</v>
      </c>
    </row>
    <row r="2407" customFormat="false" ht="15" hidden="false" customHeight="false" outlineLevel="0" collapsed="false">
      <c r="A2407" s="50" t="s">
        <v>961</v>
      </c>
      <c r="B2407" s="51" t="n">
        <v>45803</v>
      </c>
      <c r="C2407" s="50" t="s">
        <v>962</v>
      </c>
      <c r="D2407" s="50" t="s">
        <v>2179</v>
      </c>
      <c r="E2407" s="50" t="n">
        <v>5</v>
      </c>
      <c r="F2407" s="50" t="s">
        <v>2174</v>
      </c>
      <c r="G2407" s="54" t="n">
        <v>6226200</v>
      </c>
    </row>
    <row r="2408" customFormat="false" ht="15" hidden="false" customHeight="false" outlineLevel="0" collapsed="false">
      <c r="A2408" s="50" t="s">
        <v>961</v>
      </c>
      <c r="B2408" s="51" t="n">
        <v>45803</v>
      </c>
      <c r="C2408" s="50" t="s">
        <v>962</v>
      </c>
      <c r="D2408" s="50" t="s">
        <v>2185</v>
      </c>
      <c r="E2408" s="50" t="n">
        <v>5</v>
      </c>
      <c r="F2408" s="50" t="s">
        <v>2174</v>
      </c>
      <c r="G2408" s="54" t="n">
        <v>3877900</v>
      </c>
    </row>
    <row r="2409" customFormat="false" ht="15" hidden="false" customHeight="false" outlineLevel="0" collapsed="false">
      <c r="A2409" s="50" t="s">
        <v>963</v>
      </c>
      <c r="B2409" s="51" t="n">
        <v>45803</v>
      </c>
      <c r="C2409" s="50" t="s">
        <v>271</v>
      </c>
      <c r="D2409" s="50" t="s">
        <v>2180</v>
      </c>
      <c r="E2409" s="50" t="n">
        <v>5</v>
      </c>
      <c r="F2409" s="50" t="s">
        <v>2167</v>
      </c>
      <c r="G2409" s="54" t="n">
        <v>2184300</v>
      </c>
    </row>
    <row r="2410" customFormat="false" ht="15" hidden="false" customHeight="false" outlineLevel="0" collapsed="false">
      <c r="A2410" s="50" t="s">
        <v>963</v>
      </c>
      <c r="B2410" s="51" t="n">
        <v>45803</v>
      </c>
      <c r="C2410" s="50" t="s">
        <v>271</v>
      </c>
      <c r="D2410" s="50" t="s">
        <v>2168</v>
      </c>
      <c r="E2410" s="50" t="n">
        <v>7</v>
      </c>
      <c r="F2410" s="50" t="s">
        <v>2167</v>
      </c>
      <c r="G2410" s="54" t="n">
        <v>3106000</v>
      </c>
    </row>
    <row r="2411" customFormat="false" ht="15" hidden="false" customHeight="false" outlineLevel="0" collapsed="false">
      <c r="A2411" s="50" t="s">
        <v>963</v>
      </c>
      <c r="B2411" s="51" t="n">
        <v>45803</v>
      </c>
      <c r="C2411" s="50" t="s">
        <v>271</v>
      </c>
      <c r="D2411" s="50" t="s">
        <v>2181</v>
      </c>
      <c r="E2411" s="50" t="n">
        <v>3</v>
      </c>
      <c r="F2411" s="50" t="s">
        <v>2167</v>
      </c>
      <c r="G2411" s="54" t="n">
        <v>3555300</v>
      </c>
    </row>
    <row r="2412" customFormat="false" ht="15" hidden="false" customHeight="false" outlineLevel="0" collapsed="false">
      <c r="A2412" s="50" t="s">
        <v>964</v>
      </c>
      <c r="B2412" s="51" t="n">
        <v>45804</v>
      </c>
      <c r="C2412" s="50" t="s">
        <v>358</v>
      </c>
      <c r="D2412" s="50" t="s">
        <v>2166</v>
      </c>
      <c r="E2412" s="50" t="n">
        <v>1</v>
      </c>
      <c r="F2412" s="50" t="s">
        <v>2167</v>
      </c>
      <c r="G2412" s="54" t="n">
        <v>525500</v>
      </c>
    </row>
    <row r="2413" customFormat="false" ht="15" hidden="false" customHeight="false" outlineLevel="0" collapsed="false">
      <c r="A2413" s="50" t="s">
        <v>964</v>
      </c>
      <c r="B2413" s="51" t="n">
        <v>45804</v>
      </c>
      <c r="C2413" s="50" t="s">
        <v>358</v>
      </c>
      <c r="D2413" s="50" t="s">
        <v>2183</v>
      </c>
      <c r="E2413" s="50" t="n">
        <v>8</v>
      </c>
      <c r="F2413" s="50" t="s">
        <v>2167</v>
      </c>
      <c r="G2413" s="54" t="n">
        <v>3015400</v>
      </c>
    </row>
    <row r="2414" customFormat="false" ht="15" hidden="false" customHeight="false" outlineLevel="0" collapsed="false">
      <c r="A2414" s="50" t="s">
        <v>965</v>
      </c>
      <c r="B2414" s="51" t="n">
        <v>45804</v>
      </c>
      <c r="C2414" s="50" t="s">
        <v>205</v>
      </c>
      <c r="D2414" s="50" t="s">
        <v>2183</v>
      </c>
      <c r="E2414" s="50" t="n">
        <v>1</v>
      </c>
      <c r="F2414" s="50" t="s">
        <v>2167</v>
      </c>
      <c r="G2414" s="54" t="n">
        <v>369100</v>
      </c>
    </row>
    <row r="2415" customFormat="false" ht="15" hidden="false" customHeight="false" outlineLevel="0" collapsed="false">
      <c r="A2415" s="50" t="s">
        <v>965</v>
      </c>
      <c r="B2415" s="51" t="n">
        <v>45804</v>
      </c>
      <c r="C2415" s="50" t="s">
        <v>205</v>
      </c>
      <c r="D2415" s="50" t="s">
        <v>2169</v>
      </c>
      <c r="E2415" s="50" t="n">
        <v>1</v>
      </c>
      <c r="F2415" s="50" t="s">
        <v>2167</v>
      </c>
      <c r="G2415" s="54" t="n">
        <v>630900</v>
      </c>
    </row>
    <row r="2416" customFormat="false" ht="15" hidden="false" customHeight="false" outlineLevel="0" collapsed="false">
      <c r="A2416" s="50" t="s">
        <v>965</v>
      </c>
      <c r="B2416" s="51" t="n">
        <v>45804</v>
      </c>
      <c r="C2416" s="50" t="s">
        <v>205</v>
      </c>
      <c r="D2416" s="50" t="s">
        <v>2184</v>
      </c>
      <c r="E2416" s="50" t="n">
        <v>7</v>
      </c>
      <c r="F2416" s="50" t="s">
        <v>2167</v>
      </c>
      <c r="G2416" s="54" t="n">
        <v>3800200</v>
      </c>
    </row>
    <row r="2417" customFormat="false" ht="15" hidden="false" customHeight="false" outlineLevel="0" collapsed="false">
      <c r="A2417" s="50" t="s">
        <v>966</v>
      </c>
      <c r="B2417" s="51" t="n">
        <v>45804</v>
      </c>
      <c r="C2417" s="50" t="s">
        <v>967</v>
      </c>
      <c r="D2417" s="50" t="s">
        <v>2178</v>
      </c>
      <c r="E2417" s="50" t="n">
        <v>5</v>
      </c>
      <c r="F2417" s="50" t="s">
        <v>2167</v>
      </c>
      <c r="G2417" s="54" t="n">
        <v>2442400</v>
      </c>
    </row>
    <row r="2418" customFormat="false" ht="15" hidden="false" customHeight="false" outlineLevel="0" collapsed="false">
      <c r="A2418" s="50" t="s">
        <v>966</v>
      </c>
      <c r="B2418" s="51" t="n">
        <v>45804</v>
      </c>
      <c r="C2418" s="50" t="s">
        <v>967</v>
      </c>
      <c r="D2418" s="50" t="s">
        <v>2180</v>
      </c>
      <c r="E2418" s="50" t="n">
        <v>7</v>
      </c>
      <c r="F2418" s="50" t="s">
        <v>2167</v>
      </c>
      <c r="G2418" s="54" t="n">
        <v>3047000</v>
      </c>
    </row>
    <row r="2419" customFormat="false" ht="15" hidden="false" customHeight="false" outlineLevel="0" collapsed="false">
      <c r="A2419" s="50" t="s">
        <v>966</v>
      </c>
      <c r="B2419" s="51" t="n">
        <v>45804</v>
      </c>
      <c r="C2419" s="50" t="s">
        <v>967</v>
      </c>
      <c r="D2419" s="50" t="s">
        <v>2172</v>
      </c>
      <c r="E2419" s="50" t="n">
        <v>5</v>
      </c>
      <c r="F2419" s="50" t="s">
        <v>2167</v>
      </c>
      <c r="G2419" s="54" t="n">
        <v>2664000</v>
      </c>
    </row>
    <row r="2420" customFormat="false" ht="15" hidden="false" customHeight="false" outlineLevel="0" collapsed="false">
      <c r="A2420" s="50" t="s">
        <v>966</v>
      </c>
      <c r="B2420" s="51" t="n">
        <v>45804</v>
      </c>
      <c r="C2420" s="50" t="s">
        <v>967</v>
      </c>
      <c r="D2420" s="50" t="s">
        <v>2186</v>
      </c>
      <c r="E2420" s="50" t="n">
        <v>7</v>
      </c>
      <c r="F2420" s="50" t="s">
        <v>2167</v>
      </c>
      <c r="G2420" s="54" t="n">
        <v>3987500</v>
      </c>
    </row>
    <row r="2421" customFormat="false" ht="15" hidden="false" customHeight="false" outlineLevel="0" collapsed="false">
      <c r="A2421" s="50" t="s">
        <v>968</v>
      </c>
      <c r="B2421" s="51" t="n">
        <v>45804</v>
      </c>
      <c r="C2421" s="50" t="s">
        <v>241</v>
      </c>
      <c r="D2421" s="50" t="s">
        <v>2185</v>
      </c>
      <c r="E2421" s="50" t="n">
        <v>4</v>
      </c>
      <c r="F2421" s="50" t="s">
        <v>2174</v>
      </c>
      <c r="G2421" s="54" t="n">
        <v>3139400</v>
      </c>
    </row>
    <row r="2422" customFormat="false" ht="15" hidden="false" customHeight="false" outlineLevel="0" collapsed="false">
      <c r="A2422" s="50" t="s">
        <v>968</v>
      </c>
      <c r="B2422" s="51" t="n">
        <v>45804</v>
      </c>
      <c r="C2422" s="50" t="s">
        <v>241</v>
      </c>
      <c r="D2422" s="50" t="s">
        <v>2181</v>
      </c>
      <c r="E2422" s="50" t="n">
        <v>5</v>
      </c>
      <c r="F2422" s="50" t="s">
        <v>2167</v>
      </c>
      <c r="G2422" s="54" t="n">
        <v>5887000</v>
      </c>
    </row>
    <row r="2423" customFormat="false" ht="15" hidden="false" customHeight="false" outlineLevel="0" collapsed="false">
      <c r="A2423" s="50" t="s">
        <v>968</v>
      </c>
      <c r="B2423" s="51" t="n">
        <v>45804</v>
      </c>
      <c r="C2423" s="50" t="s">
        <v>241</v>
      </c>
      <c r="D2423" s="50" t="s">
        <v>2172</v>
      </c>
      <c r="E2423" s="50" t="n">
        <v>4</v>
      </c>
      <c r="F2423" s="50" t="s">
        <v>2167</v>
      </c>
      <c r="G2423" s="54" t="n">
        <v>2047700</v>
      </c>
    </row>
    <row r="2424" customFormat="false" ht="15" hidden="false" customHeight="false" outlineLevel="0" collapsed="false">
      <c r="A2424" s="50" t="s">
        <v>968</v>
      </c>
      <c r="B2424" s="51" t="n">
        <v>45804</v>
      </c>
      <c r="C2424" s="50" t="s">
        <v>241</v>
      </c>
      <c r="D2424" s="50" t="s">
        <v>2184</v>
      </c>
      <c r="E2424" s="50" t="n">
        <v>5</v>
      </c>
      <c r="F2424" s="50" t="s">
        <v>2167</v>
      </c>
      <c r="G2424" s="54" t="n">
        <v>2842200</v>
      </c>
    </row>
    <row r="2425" customFormat="false" ht="15" hidden="false" customHeight="false" outlineLevel="0" collapsed="false">
      <c r="A2425" s="50" t="s">
        <v>968</v>
      </c>
      <c r="B2425" s="51" t="n">
        <v>45804</v>
      </c>
      <c r="C2425" s="50" t="s">
        <v>241</v>
      </c>
      <c r="D2425" s="50" t="s">
        <v>2186</v>
      </c>
      <c r="E2425" s="50" t="n">
        <v>6</v>
      </c>
      <c r="F2425" s="50" t="s">
        <v>2167</v>
      </c>
      <c r="G2425" s="54" t="n">
        <v>3642200</v>
      </c>
    </row>
    <row r="2426" customFormat="false" ht="15" hidden="false" customHeight="false" outlineLevel="0" collapsed="false">
      <c r="A2426" s="50" t="s">
        <v>969</v>
      </c>
      <c r="B2426" s="51" t="n">
        <v>45804</v>
      </c>
      <c r="C2426" s="50" t="s">
        <v>419</v>
      </c>
      <c r="D2426" s="50" t="s">
        <v>2184</v>
      </c>
      <c r="E2426" s="50" t="n">
        <v>4</v>
      </c>
      <c r="F2426" s="50" t="s">
        <v>2167</v>
      </c>
      <c r="G2426" s="54" t="n">
        <v>2265700</v>
      </c>
    </row>
    <row r="2427" customFormat="false" ht="15" hidden="false" customHeight="false" outlineLevel="0" collapsed="false">
      <c r="A2427" s="50" t="s">
        <v>969</v>
      </c>
      <c r="B2427" s="51" t="n">
        <v>45804</v>
      </c>
      <c r="C2427" s="50" t="s">
        <v>419</v>
      </c>
      <c r="D2427" s="50" t="s">
        <v>2180</v>
      </c>
      <c r="E2427" s="50" t="n">
        <v>7</v>
      </c>
      <c r="F2427" s="50" t="s">
        <v>2167</v>
      </c>
      <c r="G2427" s="54" t="n">
        <v>3110500</v>
      </c>
    </row>
    <row r="2428" customFormat="false" ht="15" hidden="false" customHeight="false" outlineLevel="0" collapsed="false">
      <c r="A2428" s="50" t="s">
        <v>970</v>
      </c>
      <c r="B2428" s="51" t="n">
        <v>45804</v>
      </c>
      <c r="C2428" s="50" t="s">
        <v>308</v>
      </c>
      <c r="D2428" s="50" t="s">
        <v>2183</v>
      </c>
      <c r="E2428" s="50" t="n">
        <v>2</v>
      </c>
      <c r="F2428" s="50" t="s">
        <v>2167</v>
      </c>
      <c r="G2428" s="54" t="n">
        <v>776300</v>
      </c>
    </row>
    <row r="2429" customFormat="false" ht="15" hidden="false" customHeight="false" outlineLevel="0" collapsed="false">
      <c r="A2429" s="50" t="s">
        <v>970</v>
      </c>
      <c r="B2429" s="51" t="n">
        <v>45804</v>
      </c>
      <c r="C2429" s="50" t="s">
        <v>308</v>
      </c>
      <c r="D2429" s="50" t="s">
        <v>2179</v>
      </c>
      <c r="E2429" s="50" t="n">
        <v>8</v>
      </c>
      <c r="F2429" s="50" t="s">
        <v>2174</v>
      </c>
      <c r="G2429" s="54" t="n">
        <v>10060400</v>
      </c>
    </row>
    <row r="2430" customFormat="false" ht="15" hidden="false" customHeight="false" outlineLevel="0" collapsed="false">
      <c r="A2430" s="50" t="s">
        <v>970</v>
      </c>
      <c r="B2430" s="51" t="n">
        <v>45804</v>
      </c>
      <c r="C2430" s="50" t="s">
        <v>308</v>
      </c>
      <c r="D2430" s="50" t="s">
        <v>2175</v>
      </c>
      <c r="E2430" s="50" t="n">
        <v>7</v>
      </c>
      <c r="F2430" s="50" t="s">
        <v>2167</v>
      </c>
      <c r="G2430" s="54" t="n">
        <v>4413100</v>
      </c>
    </row>
    <row r="2431" customFormat="false" ht="15" hidden="false" customHeight="false" outlineLevel="0" collapsed="false">
      <c r="A2431" s="50" t="s">
        <v>971</v>
      </c>
      <c r="B2431" s="51" t="n">
        <v>45804</v>
      </c>
      <c r="C2431" s="50" t="s">
        <v>491</v>
      </c>
      <c r="D2431" s="50" t="s">
        <v>2188</v>
      </c>
      <c r="E2431" s="50" t="n">
        <v>2</v>
      </c>
      <c r="F2431" s="50" t="s">
        <v>2167</v>
      </c>
      <c r="G2431" s="54" t="n">
        <v>1921300</v>
      </c>
    </row>
    <row r="2432" customFormat="false" ht="15" hidden="false" customHeight="false" outlineLevel="0" collapsed="false">
      <c r="A2432" s="50" t="s">
        <v>971</v>
      </c>
      <c r="B2432" s="51" t="n">
        <v>45804</v>
      </c>
      <c r="C2432" s="50" t="s">
        <v>491</v>
      </c>
      <c r="D2432" s="50" t="s">
        <v>2176</v>
      </c>
      <c r="E2432" s="50" t="n">
        <v>6</v>
      </c>
      <c r="F2432" s="50" t="s">
        <v>2167</v>
      </c>
      <c r="G2432" s="54" t="n">
        <v>2547100</v>
      </c>
    </row>
    <row r="2433" customFormat="false" ht="15" hidden="false" customHeight="false" outlineLevel="0" collapsed="false">
      <c r="A2433" s="50" t="s">
        <v>971</v>
      </c>
      <c r="B2433" s="51" t="n">
        <v>45804</v>
      </c>
      <c r="C2433" s="50" t="s">
        <v>491</v>
      </c>
      <c r="D2433" s="50" t="s">
        <v>2169</v>
      </c>
      <c r="E2433" s="50" t="n">
        <v>3</v>
      </c>
      <c r="F2433" s="50" t="s">
        <v>2167</v>
      </c>
      <c r="G2433" s="54" t="n">
        <v>1929900</v>
      </c>
    </row>
    <row r="2434" customFormat="false" ht="15" hidden="false" customHeight="false" outlineLevel="0" collapsed="false">
      <c r="A2434" s="50" t="s">
        <v>971</v>
      </c>
      <c r="B2434" s="51" t="n">
        <v>45804</v>
      </c>
      <c r="C2434" s="50" t="s">
        <v>491</v>
      </c>
      <c r="D2434" s="50" t="s">
        <v>2173</v>
      </c>
      <c r="E2434" s="50" t="n">
        <v>8</v>
      </c>
      <c r="F2434" s="50" t="s">
        <v>2174</v>
      </c>
      <c r="G2434" s="54" t="n">
        <v>6317900</v>
      </c>
    </row>
    <row r="2435" customFormat="false" ht="15" hidden="false" customHeight="false" outlineLevel="0" collapsed="false">
      <c r="A2435" s="50" t="s">
        <v>972</v>
      </c>
      <c r="B2435" s="51" t="n">
        <v>45804</v>
      </c>
      <c r="C2435" s="50" t="s">
        <v>419</v>
      </c>
      <c r="D2435" s="50" t="s">
        <v>2178</v>
      </c>
      <c r="E2435" s="50" t="n">
        <v>1</v>
      </c>
      <c r="F2435" s="50" t="s">
        <v>2167</v>
      </c>
      <c r="G2435" s="54" t="n">
        <v>480900</v>
      </c>
    </row>
    <row r="2436" customFormat="false" ht="15" hidden="false" customHeight="false" outlineLevel="0" collapsed="false">
      <c r="A2436" s="50" t="s">
        <v>973</v>
      </c>
      <c r="B2436" s="51" t="n">
        <v>45804</v>
      </c>
      <c r="C2436" s="50" t="s">
        <v>213</v>
      </c>
      <c r="D2436" s="50" t="s">
        <v>2169</v>
      </c>
      <c r="E2436" s="50" t="n">
        <v>5</v>
      </c>
      <c r="F2436" s="50" t="s">
        <v>2167</v>
      </c>
      <c r="G2436" s="54" t="n">
        <v>3155200</v>
      </c>
    </row>
    <row r="2437" customFormat="false" ht="15" hidden="false" customHeight="false" outlineLevel="0" collapsed="false">
      <c r="A2437" s="50" t="s">
        <v>973</v>
      </c>
      <c r="B2437" s="51" t="n">
        <v>45804</v>
      </c>
      <c r="C2437" s="50" t="s">
        <v>213</v>
      </c>
      <c r="D2437" s="50" t="s">
        <v>2186</v>
      </c>
      <c r="E2437" s="50" t="n">
        <v>1</v>
      </c>
      <c r="F2437" s="50" t="s">
        <v>2167</v>
      </c>
      <c r="G2437" s="54" t="n">
        <v>592100</v>
      </c>
    </row>
    <row r="2438" customFormat="false" ht="15" hidden="false" customHeight="false" outlineLevel="0" collapsed="false">
      <c r="A2438" s="50" t="s">
        <v>973</v>
      </c>
      <c r="B2438" s="51" t="n">
        <v>45804</v>
      </c>
      <c r="C2438" s="50" t="s">
        <v>213</v>
      </c>
      <c r="D2438" s="50" t="s">
        <v>2178</v>
      </c>
      <c r="E2438" s="50" t="n">
        <v>6</v>
      </c>
      <c r="F2438" s="50" t="s">
        <v>2167</v>
      </c>
      <c r="G2438" s="54" t="n">
        <v>2944100</v>
      </c>
    </row>
    <row r="2439" customFormat="false" ht="15" hidden="false" customHeight="false" outlineLevel="0" collapsed="false">
      <c r="A2439" s="50" t="s">
        <v>973</v>
      </c>
      <c r="B2439" s="51" t="n">
        <v>45804</v>
      </c>
      <c r="C2439" s="50" t="s">
        <v>213</v>
      </c>
      <c r="D2439" s="50" t="s">
        <v>2180</v>
      </c>
      <c r="E2439" s="50" t="n">
        <v>7</v>
      </c>
      <c r="F2439" s="50" t="s">
        <v>2167</v>
      </c>
      <c r="G2439" s="54" t="n">
        <v>3264600</v>
      </c>
    </row>
    <row r="2440" customFormat="false" ht="15" hidden="false" customHeight="false" outlineLevel="0" collapsed="false">
      <c r="A2440" s="50" t="s">
        <v>973</v>
      </c>
      <c r="B2440" s="51" t="n">
        <v>45804</v>
      </c>
      <c r="C2440" s="50" t="s">
        <v>213</v>
      </c>
      <c r="D2440" s="50" t="s">
        <v>2185</v>
      </c>
      <c r="E2440" s="50" t="n">
        <v>5</v>
      </c>
      <c r="F2440" s="50" t="s">
        <v>2174</v>
      </c>
      <c r="G2440" s="54" t="n">
        <v>3985200</v>
      </c>
    </row>
    <row r="2441" customFormat="false" ht="15" hidden="false" customHeight="false" outlineLevel="0" collapsed="false">
      <c r="A2441" s="50" t="s">
        <v>974</v>
      </c>
      <c r="B2441" s="51" t="n">
        <v>45804</v>
      </c>
      <c r="C2441" s="50" t="s">
        <v>430</v>
      </c>
      <c r="D2441" s="50" t="s">
        <v>2188</v>
      </c>
      <c r="E2441" s="50" t="n">
        <v>5</v>
      </c>
      <c r="F2441" s="50" t="s">
        <v>2167</v>
      </c>
      <c r="G2441" s="54" t="n">
        <v>5034600</v>
      </c>
    </row>
    <row r="2442" customFormat="false" ht="15" hidden="false" customHeight="false" outlineLevel="0" collapsed="false">
      <c r="A2442" s="50" t="s">
        <v>975</v>
      </c>
      <c r="B2442" s="51" t="n">
        <v>45805</v>
      </c>
      <c r="C2442" s="50" t="s">
        <v>207</v>
      </c>
      <c r="D2442" s="50" t="s">
        <v>2183</v>
      </c>
      <c r="E2442" s="50" t="n">
        <v>2</v>
      </c>
      <c r="F2442" s="50" t="s">
        <v>2167</v>
      </c>
      <c r="G2442" s="54" t="n">
        <v>755200</v>
      </c>
    </row>
    <row r="2443" customFormat="false" ht="15" hidden="false" customHeight="false" outlineLevel="0" collapsed="false">
      <c r="A2443" s="50" t="s">
        <v>975</v>
      </c>
      <c r="B2443" s="51" t="n">
        <v>45805</v>
      </c>
      <c r="C2443" s="50" t="s">
        <v>207</v>
      </c>
      <c r="D2443" s="50" t="s">
        <v>2180</v>
      </c>
      <c r="E2443" s="50" t="n">
        <v>5</v>
      </c>
      <c r="F2443" s="50" t="s">
        <v>2167</v>
      </c>
      <c r="G2443" s="54" t="n">
        <v>2318400</v>
      </c>
    </row>
    <row r="2444" customFormat="false" ht="15" hidden="false" customHeight="false" outlineLevel="0" collapsed="false">
      <c r="A2444" s="50" t="s">
        <v>975</v>
      </c>
      <c r="B2444" s="51" t="n">
        <v>45805</v>
      </c>
      <c r="C2444" s="50" t="s">
        <v>207</v>
      </c>
      <c r="D2444" s="50" t="s">
        <v>2181</v>
      </c>
      <c r="E2444" s="50" t="n">
        <v>1</v>
      </c>
      <c r="F2444" s="50" t="s">
        <v>2167</v>
      </c>
      <c r="G2444" s="54" t="n">
        <v>1132900</v>
      </c>
    </row>
    <row r="2445" customFormat="false" ht="15" hidden="false" customHeight="false" outlineLevel="0" collapsed="false">
      <c r="A2445" s="50" t="s">
        <v>975</v>
      </c>
      <c r="B2445" s="51" t="n">
        <v>45805</v>
      </c>
      <c r="C2445" s="50" t="s">
        <v>207</v>
      </c>
      <c r="D2445" s="50" t="s">
        <v>2177</v>
      </c>
      <c r="E2445" s="50" t="n">
        <v>5</v>
      </c>
      <c r="F2445" s="50" t="s">
        <v>2174</v>
      </c>
      <c r="G2445" s="54" t="n">
        <v>5282600</v>
      </c>
    </row>
    <row r="2446" customFormat="false" ht="15" hidden="false" customHeight="false" outlineLevel="0" collapsed="false">
      <c r="A2446" s="50" t="s">
        <v>976</v>
      </c>
      <c r="B2446" s="51" t="n">
        <v>45805</v>
      </c>
      <c r="C2446" s="50" t="s">
        <v>213</v>
      </c>
      <c r="D2446" s="50" t="s">
        <v>2181</v>
      </c>
      <c r="E2446" s="50" t="n">
        <v>6</v>
      </c>
      <c r="F2446" s="50" t="s">
        <v>2167</v>
      </c>
      <c r="G2446" s="54" t="n">
        <v>6915400</v>
      </c>
    </row>
    <row r="2447" customFormat="false" ht="15" hidden="false" customHeight="false" outlineLevel="0" collapsed="false">
      <c r="A2447" s="50" t="s">
        <v>976</v>
      </c>
      <c r="B2447" s="51" t="n">
        <v>45805</v>
      </c>
      <c r="C2447" s="50" t="s">
        <v>213</v>
      </c>
      <c r="D2447" s="50" t="s">
        <v>2168</v>
      </c>
      <c r="E2447" s="50" t="n">
        <v>4</v>
      </c>
      <c r="F2447" s="50" t="s">
        <v>2167</v>
      </c>
      <c r="G2447" s="54" t="n">
        <v>1729500</v>
      </c>
    </row>
    <row r="2448" customFormat="false" ht="15" hidden="false" customHeight="false" outlineLevel="0" collapsed="false">
      <c r="A2448" s="50" t="s">
        <v>976</v>
      </c>
      <c r="B2448" s="51" t="n">
        <v>45805</v>
      </c>
      <c r="C2448" s="50" t="s">
        <v>213</v>
      </c>
      <c r="D2448" s="50" t="s">
        <v>2169</v>
      </c>
      <c r="E2448" s="50" t="n">
        <v>5</v>
      </c>
      <c r="F2448" s="50" t="s">
        <v>2167</v>
      </c>
      <c r="G2448" s="54" t="n">
        <v>3162100</v>
      </c>
    </row>
    <row r="2449" customFormat="false" ht="15" hidden="false" customHeight="false" outlineLevel="0" collapsed="false">
      <c r="A2449" s="50" t="s">
        <v>976</v>
      </c>
      <c r="B2449" s="51" t="n">
        <v>45805</v>
      </c>
      <c r="C2449" s="50" t="s">
        <v>213</v>
      </c>
      <c r="D2449" s="50" t="s">
        <v>2180</v>
      </c>
      <c r="E2449" s="50" t="n">
        <v>2</v>
      </c>
      <c r="F2449" s="50" t="s">
        <v>2167</v>
      </c>
      <c r="G2449" s="54" t="n">
        <v>883800</v>
      </c>
    </row>
    <row r="2450" customFormat="false" ht="15" hidden="false" customHeight="false" outlineLevel="0" collapsed="false">
      <c r="A2450" s="50" t="s">
        <v>976</v>
      </c>
      <c r="B2450" s="51" t="n">
        <v>45805</v>
      </c>
      <c r="C2450" s="50" t="s">
        <v>213</v>
      </c>
      <c r="D2450" s="50" t="s">
        <v>2178</v>
      </c>
      <c r="E2450" s="50" t="n">
        <v>4</v>
      </c>
      <c r="F2450" s="50" t="s">
        <v>2167</v>
      </c>
      <c r="G2450" s="54" t="n">
        <v>1855300</v>
      </c>
    </row>
    <row r="2451" customFormat="false" ht="15" hidden="false" customHeight="false" outlineLevel="0" collapsed="false">
      <c r="A2451" s="50" t="s">
        <v>976</v>
      </c>
      <c r="B2451" s="51" t="n">
        <v>45805</v>
      </c>
      <c r="C2451" s="50" t="s">
        <v>213</v>
      </c>
      <c r="D2451" s="50" t="s">
        <v>2176</v>
      </c>
      <c r="E2451" s="50" t="n">
        <v>3</v>
      </c>
      <c r="F2451" s="50" t="s">
        <v>2167</v>
      </c>
      <c r="G2451" s="54" t="n">
        <v>1247500</v>
      </c>
    </row>
    <row r="2452" customFormat="false" ht="15" hidden="false" customHeight="false" outlineLevel="0" collapsed="false">
      <c r="A2452" s="50" t="s">
        <v>976</v>
      </c>
      <c r="B2452" s="51" t="n">
        <v>45805</v>
      </c>
      <c r="C2452" s="50" t="s">
        <v>213</v>
      </c>
      <c r="D2452" s="50" t="s">
        <v>2173</v>
      </c>
      <c r="E2452" s="50" t="n">
        <v>5</v>
      </c>
      <c r="F2452" s="50" t="s">
        <v>2174</v>
      </c>
      <c r="G2452" s="54" t="n">
        <v>4062800</v>
      </c>
    </row>
    <row r="2453" customFormat="false" ht="15" hidden="false" customHeight="false" outlineLevel="0" collapsed="false">
      <c r="A2453" s="50" t="s">
        <v>976</v>
      </c>
      <c r="B2453" s="51" t="n">
        <v>45805</v>
      </c>
      <c r="C2453" s="50" t="s">
        <v>213</v>
      </c>
      <c r="D2453" s="50" t="s">
        <v>2185</v>
      </c>
      <c r="E2453" s="50" t="n">
        <v>4</v>
      </c>
      <c r="F2453" s="50" t="s">
        <v>2174</v>
      </c>
      <c r="G2453" s="54" t="n">
        <v>3050700</v>
      </c>
    </row>
    <row r="2454" customFormat="false" ht="15" hidden="false" customHeight="false" outlineLevel="0" collapsed="false">
      <c r="A2454" s="50" t="s">
        <v>976</v>
      </c>
      <c r="B2454" s="51" t="n">
        <v>45805</v>
      </c>
      <c r="C2454" s="50" t="s">
        <v>213</v>
      </c>
      <c r="D2454" s="50" t="s">
        <v>2177</v>
      </c>
      <c r="E2454" s="50" t="n">
        <v>4</v>
      </c>
      <c r="F2454" s="50" t="s">
        <v>2174</v>
      </c>
      <c r="G2454" s="54" t="n">
        <v>4446600</v>
      </c>
    </row>
    <row r="2455" customFormat="false" ht="15" hidden="false" customHeight="false" outlineLevel="0" collapsed="false">
      <c r="A2455" s="50" t="s">
        <v>977</v>
      </c>
      <c r="B2455" s="51" t="n">
        <v>45805</v>
      </c>
      <c r="C2455" s="50" t="s">
        <v>249</v>
      </c>
      <c r="D2455" s="50" t="s">
        <v>2173</v>
      </c>
      <c r="E2455" s="50" t="n">
        <v>2</v>
      </c>
      <c r="F2455" s="50" t="s">
        <v>2174</v>
      </c>
      <c r="G2455" s="54" t="n">
        <v>1572000</v>
      </c>
    </row>
    <row r="2456" customFormat="false" ht="15" hidden="false" customHeight="false" outlineLevel="0" collapsed="false">
      <c r="A2456" s="50" t="s">
        <v>977</v>
      </c>
      <c r="B2456" s="51" t="n">
        <v>45805</v>
      </c>
      <c r="C2456" s="50" t="s">
        <v>249</v>
      </c>
      <c r="D2456" s="50" t="s">
        <v>2175</v>
      </c>
      <c r="E2456" s="50" t="n">
        <v>5</v>
      </c>
      <c r="F2456" s="50" t="s">
        <v>2167</v>
      </c>
      <c r="G2456" s="54" t="n">
        <v>3111600</v>
      </c>
    </row>
    <row r="2457" customFormat="false" ht="15" hidden="false" customHeight="false" outlineLevel="0" collapsed="false">
      <c r="A2457" s="50" t="s">
        <v>978</v>
      </c>
      <c r="B2457" s="51" t="n">
        <v>45805</v>
      </c>
      <c r="C2457" s="50" t="s">
        <v>174</v>
      </c>
      <c r="D2457" s="50" t="s">
        <v>2187</v>
      </c>
      <c r="E2457" s="50" t="n">
        <v>7</v>
      </c>
      <c r="F2457" s="50" t="s">
        <v>2167</v>
      </c>
      <c r="G2457" s="54" t="n">
        <v>2357200</v>
      </c>
    </row>
    <row r="2458" customFormat="false" ht="15" hidden="false" customHeight="false" outlineLevel="0" collapsed="false">
      <c r="A2458" s="50" t="s">
        <v>978</v>
      </c>
      <c r="B2458" s="51" t="n">
        <v>45805</v>
      </c>
      <c r="C2458" s="50" t="s">
        <v>174</v>
      </c>
      <c r="D2458" s="50" t="s">
        <v>2182</v>
      </c>
      <c r="E2458" s="50" t="n">
        <v>4</v>
      </c>
      <c r="F2458" s="50" t="s">
        <v>2174</v>
      </c>
      <c r="G2458" s="54" t="n">
        <v>3720200</v>
      </c>
    </row>
    <row r="2459" customFormat="false" ht="15" hidden="false" customHeight="false" outlineLevel="0" collapsed="false">
      <c r="A2459" s="50" t="s">
        <v>978</v>
      </c>
      <c r="B2459" s="51" t="n">
        <v>45805</v>
      </c>
      <c r="C2459" s="50" t="s">
        <v>174</v>
      </c>
      <c r="D2459" s="50" t="s">
        <v>2186</v>
      </c>
      <c r="E2459" s="50" t="n">
        <v>4</v>
      </c>
      <c r="F2459" s="50" t="s">
        <v>2167</v>
      </c>
      <c r="G2459" s="54" t="n">
        <v>2330700</v>
      </c>
    </row>
    <row r="2460" customFormat="false" ht="15" hidden="false" customHeight="false" outlineLevel="0" collapsed="false">
      <c r="A2460" s="50" t="s">
        <v>978</v>
      </c>
      <c r="B2460" s="51" t="n">
        <v>45805</v>
      </c>
      <c r="C2460" s="50" t="s">
        <v>174</v>
      </c>
      <c r="D2460" s="50" t="s">
        <v>2172</v>
      </c>
      <c r="E2460" s="50" t="n">
        <v>6</v>
      </c>
      <c r="F2460" s="50" t="s">
        <v>2167</v>
      </c>
      <c r="G2460" s="54" t="n">
        <v>3072900</v>
      </c>
    </row>
    <row r="2461" customFormat="false" ht="15" hidden="false" customHeight="false" outlineLevel="0" collapsed="false">
      <c r="A2461" s="50" t="s">
        <v>978</v>
      </c>
      <c r="B2461" s="51" t="n">
        <v>45805</v>
      </c>
      <c r="C2461" s="50" t="s">
        <v>174</v>
      </c>
      <c r="D2461" s="50" t="s">
        <v>2184</v>
      </c>
      <c r="E2461" s="50" t="n">
        <v>2</v>
      </c>
      <c r="F2461" s="50" t="s">
        <v>2167</v>
      </c>
      <c r="G2461" s="54" t="n">
        <v>1089600</v>
      </c>
    </row>
    <row r="2462" customFormat="false" ht="15" hidden="false" customHeight="false" outlineLevel="0" collapsed="false">
      <c r="A2462" s="50" t="s">
        <v>979</v>
      </c>
      <c r="B2462" s="51" t="n">
        <v>45805</v>
      </c>
      <c r="C2462" s="50" t="s">
        <v>216</v>
      </c>
      <c r="D2462" s="50" t="s">
        <v>2187</v>
      </c>
      <c r="E2462" s="50" t="n">
        <v>3</v>
      </c>
      <c r="F2462" s="50" t="s">
        <v>2167</v>
      </c>
      <c r="G2462" s="54" t="n">
        <v>1075700</v>
      </c>
    </row>
    <row r="2463" customFormat="false" ht="15" hidden="false" customHeight="false" outlineLevel="0" collapsed="false">
      <c r="A2463" s="50" t="s">
        <v>979</v>
      </c>
      <c r="B2463" s="51" t="n">
        <v>45805</v>
      </c>
      <c r="C2463" s="50" t="s">
        <v>216</v>
      </c>
      <c r="D2463" s="50" t="s">
        <v>2175</v>
      </c>
      <c r="E2463" s="50" t="n">
        <v>2</v>
      </c>
      <c r="F2463" s="50" t="s">
        <v>2167</v>
      </c>
      <c r="G2463" s="54" t="n">
        <v>1287100</v>
      </c>
    </row>
    <row r="2464" customFormat="false" ht="15" hidden="false" customHeight="false" outlineLevel="0" collapsed="false">
      <c r="A2464" s="50" t="s">
        <v>979</v>
      </c>
      <c r="B2464" s="51" t="n">
        <v>45805</v>
      </c>
      <c r="C2464" s="50" t="s">
        <v>216</v>
      </c>
      <c r="D2464" s="50" t="s">
        <v>2173</v>
      </c>
      <c r="E2464" s="50" t="n">
        <v>4</v>
      </c>
      <c r="F2464" s="50" t="s">
        <v>2174</v>
      </c>
      <c r="G2464" s="54" t="n">
        <v>3118100</v>
      </c>
    </row>
    <row r="2465" customFormat="false" ht="15" hidden="false" customHeight="false" outlineLevel="0" collapsed="false">
      <c r="A2465" s="50" t="s">
        <v>979</v>
      </c>
      <c r="B2465" s="51" t="n">
        <v>45805</v>
      </c>
      <c r="C2465" s="50" t="s">
        <v>216</v>
      </c>
      <c r="D2465" s="50" t="s">
        <v>2183</v>
      </c>
      <c r="E2465" s="50" t="n">
        <v>8</v>
      </c>
      <c r="F2465" s="50" t="s">
        <v>2167</v>
      </c>
      <c r="G2465" s="54" t="n">
        <v>3144800</v>
      </c>
    </row>
    <row r="2466" customFormat="false" ht="15" hidden="false" customHeight="false" outlineLevel="0" collapsed="false">
      <c r="A2466" s="50" t="s">
        <v>980</v>
      </c>
      <c r="B2466" s="51" t="n">
        <v>45805</v>
      </c>
      <c r="C2466" s="50" t="s">
        <v>168</v>
      </c>
      <c r="D2466" s="50" t="s">
        <v>2184</v>
      </c>
      <c r="E2466" s="50" t="n">
        <v>3</v>
      </c>
      <c r="F2466" s="50" t="s">
        <v>2167</v>
      </c>
      <c r="G2466" s="54" t="n">
        <v>1740600</v>
      </c>
    </row>
    <row r="2467" customFormat="false" ht="15" hidden="false" customHeight="false" outlineLevel="0" collapsed="false">
      <c r="A2467" s="50" t="s">
        <v>980</v>
      </c>
      <c r="B2467" s="51" t="n">
        <v>45805</v>
      </c>
      <c r="C2467" s="50" t="s">
        <v>168</v>
      </c>
      <c r="D2467" s="50" t="s">
        <v>2180</v>
      </c>
      <c r="E2467" s="50" t="n">
        <v>7</v>
      </c>
      <c r="F2467" s="50" t="s">
        <v>2167</v>
      </c>
      <c r="G2467" s="54" t="n">
        <v>3241800</v>
      </c>
    </row>
    <row r="2468" customFormat="false" ht="15" hidden="false" customHeight="false" outlineLevel="0" collapsed="false">
      <c r="A2468" s="50" t="s">
        <v>980</v>
      </c>
      <c r="B2468" s="51" t="n">
        <v>45805</v>
      </c>
      <c r="C2468" s="50" t="s">
        <v>168</v>
      </c>
      <c r="D2468" s="50" t="s">
        <v>2187</v>
      </c>
      <c r="E2468" s="50" t="n">
        <v>5</v>
      </c>
      <c r="F2468" s="50" t="s">
        <v>2167</v>
      </c>
      <c r="G2468" s="54" t="n">
        <v>1780500</v>
      </c>
    </row>
    <row r="2469" customFormat="false" ht="15" hidden="false" customHeight="false" outlineLevel="0" collapsed="false">
      <c r="A2469" s="50" t="s">
        <v>980</v>
      </c>
      <c r="B2469" s="51" t="n">
        <v>45805</v>
      </c>
      <c r="C2469" s="50" t="s">
        <v>168</v>
      </c>
      <c r="D2469" s="50" t="s">
        <v>2178</v>
      </c>
      <c r="E2469" s="50" t="n">
        <v>3</v>
      </c>
      <c r="F2469" s="50" t="s">
        <v>2167</v>
      </c>
      <c r="G2469" s="54" t="n">
        <v>1427500</v>
      </c>
    </row>
    <row r="2470" customFormat="false" ht="15" hidden="false" customHeight="false" outlineLevel="0" collapsed="false">
      <c r="A2470" s="50" t="s">
        <v>981</v>
      </c>
      <c r="B2470" s="51" t="n">
        <v>45806</v>
      </c>
      <c r="C2470" s="50" t="s">
        <v>382</v>
      </c>
      <c r="D2470" s="50" t="s">
        <v>2169</v>
      </c>
      <c r="E2470" s="50" t="n">
        <v>4</v>
      </c>
      <c r="F2470" s="50" t="s">
        <v>2167</v>
      </c>
      <c r="G2470" s="54" t="n">
        <v>2399300</v>
      </c>
    </row>
    <row r="2471" customFormat="false" ht="15" hidden="false" customHeight="false" outlineLevel="0" collapsed="false">
      <c r="A2471" s="50" t="s">
        <v>981</v>
      </c>
      <c r="B2471" s="51" t="n">
        <v>45806</v>
      </c>
      <c r="C2471" s="50" t="s">
        <v>382</v>
      </c>
      <c r="D2471" s="50" t="s">
        <v>2176</v>
      </c>
      <c r="E2471" s="50" t="n">
        <v>6</v>
      </c>
      <c r="F2471" s="50" t="s">
        <v>2167</v>
      </c>
      <c r="G2471" s="54" t="n">
        <v>2598900</v>
      </c>
    </row>
    <row r="2472" customFormat="false" ht="15" hidden="false" customHeight="false" outlineLevel="0" collapsed="false">
      <c r="A2472" s="50" t="s">
        <v>981</v>
      </c>
      <c r="B2472" s="51" t="n">
        <v>45806</v>
      </c>
      <c r="C2472" s="50" t="s">
        <v>382</v>
      </c>
      <c r="D2472" s="50" t="s">
        <v>2168</v>
      </c>
      <c r="E2472" s="50" t="n">
        <v>2</v>
      </c>
      <c r="F2472" s="50" t="s">
        <v>2167</v>
      </c>
      <c r="G2472" s="54" t="n">
        <v>833700</v>
      </c>
    </row>
    <row r="2473" customFormat="false" ht="15" hidden="false" customHeight="false" outlineLevel="0" collapsed="false">
      <c r="A2473" s="50" t="s">
        <v>982</v>
      </c>
      <c r="B2473" s="51" t="n">
        <v>45806</v>
      </c>
      <c r="C2473" s="50" t="s">
        <v>172</v>
      </c>
      <c r="D2473" s="50" t="s">
        <v>2176</v>
      </c>
      <c r="E2473" s="50" t="n">
        <v>8</v>
      </c>
      <c r="F2473" s="50" t="s">
        <v>2167</v>
      </c>
      <c r="G2473" s="54" t="n">
        <v>3409000</v>
      </c>
    </row>
    <row r="2474" customFormat="false" ht="15" hidden="false" customHeight="false" outlineLevel="0" collapsed="false">
      <c r="A2474" s="50" t="s">
        <v>982</v>
      </c>
      <c r="B2474" s="51" t="n">
        <v>45806</v>
      </c>
      <c r="C2474" s="50" t="s">
        <v>172</v>
      </c>
      <c r="D2474" s="50" t="s">
        <v>2177</v>
      </c>
      <c r="E2474" s="50" t="n">
        <v>5</v>
      </c>
      <c r="F2474" s="50" t="s">
        <v>2174</v>
      </c>
      <c r="G2474" s="54" t="n">
        <v>5402800</v>
      </c>
    </row>
    <row r="2475" customFormat="false" ht="15" hidden="false" customHeight="false" outlineLevel="0" collapsed="false">
      <c r="A2475" s="50" t="s">
        <v>983</v>
      </c>
      <c r="B2475" s="51" t="n">
        <v>45806</v>
      </c>
      <c r="C2475" s="50" t="s">
        <v>199</v>
      </c>
      <c r="D2475" s="50" t="s">
        <v>2186</v>
      </c>
      <c r="E2475" s="50" t="n">
        <v>4</v>
      </c>
      <c r="F2475" s="50" t="s">
        <v>2167</v>
      </c>
      <c r="G2475" s="54" t="n">
        <v>2281300</v>
      </c>
    </row>
    <row r="2476" customFormat="false" ht="15" hidden="false" customHeight="false" outlineLevel="0" collapsed="false">
      <c r="A2476" s="50" t="s">
        <v>983</v>
      </c>
      <c r="B2476" s="51" t="n">
        <v>45806</v>
      </c>
      <c r="C2476" s="50" t="s">
        <v>199</v>
      </c>
      <c r="D2476" s="50" t="s">
        <v>2176</v>
      </c>
      <c r="E2476" s="50" t="n">
        <v>6</v>
      </c>
      <c r="F2476" s="50" t="s">
        <v>2167</v>
      </c>
      <c r="G2476" s="54" t="n">
        <v>2595000</v>
      </c>
    </row>
    <row r="2477" customFormat="false" ht="15" hidden="false" customHeight="false" outlineLevel="0" collapsed="false">
      <c r="A2477" s="50" t="s">
        <v>983</v>
      </c>
      <c r="B2477" s="51" t="n">
        <v>45806</v>
      </c>
      <c r="C2477" s="50" t="s">
        <v>199</v>
      </c>
      <c r="D2477" s="50" t="s">
        <v>2172</v>
      </c>
      <c r="E2477" s="50" t="n">
        <v>8</v>
      </c>
      <c r="F2477" s="50" t="s">
        <v>2167</v>
      </c>
      <c r="G2477" s="54" t="n">
        <v>4010200</v>
      </c>
    </row>
    <row r="2478" customFormat="false" ht="15" hidden="false" customHeight="false" outlineLevel="0" collapsed="false">
      <c r="A2478" s="50" t="s">
        <v>983</v>
      </c>
      <c r="B2478" s="51" t="n">
        <v>45806</v>
      </c>
      <c r="C2478" s="50" t="s">
        <v>199</v>
      </c>
      <c r="D2478" s="50" t="s">
        <v>2169</v>
      </c>
      <c r="E2478" s="50" t="n">
        <v>5</v>
      </c>
      <c r="F2478" s="50" t="s">
        <v>2167</v>
      </c>
      <c r="G2478" s="54" t="n">
        <v>3036600</v>
      </c>
    </row>
    <row r="2479" customFormat="false" ht="15" hidden="false" customHeight="false" outlineLevel="0" collapsed="false">
      <c r="A2479" s="50" t="s">
        <v>983</v>
      </c>
      <c r="B2479" s="51" t="n">
        <v>45806</v>
      </c>
      <c r="C2479" s="50" t="s">
        <v>199</v>
      </c>
      <c r="D2479" s="50" t="s">
        <v>2178</v>
      </c>
      <c r="E2479" s="50" t="n">
        <v>2</v>
      </c>
      <c r="F2479" s="50" t="s">
        <v>2167</v>
      </c>
      <c r="G2479" s="54" t="n">
        <v>948200</v>
      </c>
    </row>
    <row r="2480" customFormat="false" ht="15" hidden="false" customHeight="false" outlineLevel="0" collapsed="false">
      <c r="A2480" s="50" t="s">
        <v>984</v>
      </c>
      <c r="B2480" s="51" t="n">
        <v>45806</v>
      </c>
      <c r="C2480" s="50" t="s">
        <v>778</v>
      </c>
      <c r="D2480" s="50" t="s">
        <v>2183</v>
      </c>
      <c r="E2480" s="50" t="n">
        <v>8</v>
      </c>
      <c r="F2480" s="50" t="s">
        <v>2167</v>
      </c>
      <c r="G2480" s="54" t="n">
        <v>3067000</v>
      </c>
    </row>
    <row r="2481" customFormat="false" ht="15" hidden="false" customHeight="false" outlineLevel="0" collapsed="false">
      <c r="A2481" s="50" t="s">
        <v>133</v>
      </c>
      <c r="B2481" s="51" t="n">
        <v>45806</v>
      </c>
      <c r="C2481" s="50" t="s">
        <v>419</v>
      </c>
      <c r="D2481" s="50" t="s">
        <v>2185</v>
      </c>
      <c r="E2481" s="50" t="n">
        <v>8</v>
      </c>
      <c r="F2481" s="50" t="s">
        <v>2174</v>
      </c>
      <c r="G2481" s="54" t="n">
        <v>6233000</v>
      </c>
    </row>
    <row r="2482" customFormat="false" ht="15" hidden="false" customHeight="false" outlineLevel="0" collapsed="false">
      <c r="A2482" s="50" t="s">
        <v>133</v>
      </c>
      <c r="B2482" s="51" t="n">
        <v>45806</v>
      </c>
      <c r="C2482" s="50" t="s">
        <v>419</v>
      </c>
      <c r="D2482" s="50" t="s">
        <v>2186</v>
      </c>
      <c r="E2482" s="50" t="n">
        <v>7</v>
      </c>
      <c r="F2482" s="50" t="s">
        <v>2167</v>
      </c>
      <c r="G2482" s="54" t="n">
        <v>4071400</v>
      </c>
    </row>
    <row r="2483" customFormat="false" ht="15" hidden="false" customHeight="false" outlineLevel="0" collapsed="false">
      <c r="A2483" s="50" t="s">
        <v>133</v>
      </c>
      <c r="B2483" s="51" t="n">
        <v>45806</v>
      </c>
      <c r="C2483" s="50" t="s">
        <v>419</v>
      </c>
      <c r="D2483" s="50" t="s">
        <v>2183</v>
      </c>
      <c r="E2483" s="50" t="n">
        <v>5</v>
      </c>
      <c r="F2483" s="50" t="s">
        <v>2167</v>
      </c>
      <c r="G2483" s="54" t="n">
        <v>1927600</v>
      </c>
    </row>
    <row r="2484" customFormat="false" ht="15" hidden="false" customHeight="false" outlineLevel="0" collapsed="false">
      <c r="A2484" s="50" t="s">
        <v>985</v>
      </c>
      <c r="B2484" s="51" t="n">
        <v>45806</v>
      </c>
      <c r="C2484" s="50" t="s">
        <v>216</v>
      </c>
      <c r="D2484" s="50" t="s">
        <v>2182</v>
      </c>
      <c r="E2484" s="50" t="n">
        <v>7</v>
      </c>
      <c r="F2484" s="50" t="s">
        <v>2174</v>
      </c>
      <c r="G2484" s="54" t="n">
        <v>6565400</v>
      </c>
    </row>
    <row r="2485" customFormat="false" ht="15" hidden="false" customHeight="false" outlineLevel="0" collapsed="false">
      <c r="A2485" s="50" t="s">
        <v>985</v>
      </c>
      <c r="B2485" s="51" t="n">
        <v>45806</v>
      </c>
      <c r="C2485" s="50" t="s">
        <v>216</v>
      </c>
      <c r="D2485" s="50" t="s">
        <v>2173</v>
      </c>
      <c r="E2485" s="50" t="n">
        <v>8</v>
      </c>
      <c r="F2485" s="50" t="s">
        <v>2174</v>
      </c>
      <c r="G2485" s="54" t="n">
        <v>6550400</v>
      </c>
    </row>
    <row r="2486" customFormat="false" ht="15" hidden="false" customHeight="false" outlineLevel="0" collapsed="false">
      <c r="A2486" s="50" t="s">
        <v>985</v>
      </c>
      <c r="B2486" s="51" t="n">
        <v>45806</v>
      </c>
      <c r="C2486" s="50" t="s">
        <v>216</v>
      </c>
      <c r="D2486" s="50" t="s">
        <v>2169</v>
      </c>
      <c r="E2486" s="50" t="n">
        <v>7</v>
      </c>
      <c r="F2486" s="50" t="s">
        <v>2167</v>
      </c>
      <c r="G2486" s="54" t="n">
        <v>4406600</v>
      </c>
    </row>
    <row r="2487" customFormat="false" ht="15" hidden="false" customHeight="false" outlineLevel="0" collapsed="false">
      <c r="A2487" s="50" t="s">
        <v>985</v>
      </c>
      <c r="B2487" s="51" t="n">
        <v>45806</v>
      </c>
      <c r="C2487" s="50" t="s">
        <v>216</v>
      </c>
      <c r="D2487" s="50" t="s">
        <v>2180</v>
      </c>
      <c r="E2487" s="50" t="n">
        <v>5</v>
      </c>
      <c r="F2487" s="50" t="s">
        <v>2167</v>
      </c>
      <c r="G2487" s="54" t="n">
        <v>2283300</v>
      </c>
    </row>
    <row r="2488" customFormat="false" ht="15" hidden="false" customHeight="false" outlineLevel="0" collapsed="false">
      <c r="A2488" s="50" t="s">
        <v>986</v>
      </c>
      <c r="B2488" s="51" t="n">
        <v>45807</v>
      </c>
      <c r="C2488" s="50" t="s">
        <v>166</v>
      </c>
      <c r="D2488" s="50" t="s">
        <v>2186</v>
      </c>
      <c r="E2488" s="50" t="n">
        <v>5</v>
      </c>
      <c r="F2488" s="50" t="s">
        <v>2167</v>
      </c>
      <c r="G2488" s="54" t="n">
        <v>2942500</v>
      </c>
    </row>
    <row r="2489" customFormat="false" ht="15" hidden="false" customHeight="false" outlineLevel="0" collapsed="false">
      <c r="A2489" s="50" t="s">
        <v>986</v>
      </c>
      <c r="B2489" s="51" t="n">
        <v>45807</v>
      </c>
      <c r="C2489" s="50" t="s">
        <v>166</v>
      </c>
      <c r="D2489" s="50" t="s">
        <v>2183</v>
      </c>
      <c r="E2489" s="50" t="n">
        <v>7</v>
      </c>
      <c r="F2489" s="50" t="s">
        <v>2167</v>
      </c>
      <c r="G2489" s="54" t="n">
        <v>2725100</v>
      </c>
    </row>
    <row r="2490" customFormat="false" ht="15" hidden="false" customHeight="false" outlineLevel="0" collapsed="false">
      <c r="A2490" s="50" t="s">
        <v>986</v>
      </c>
      <c r="B2490" s="51" t="n">
        <v>45807</v>
      </c>
      <c r="C2490" s="50" t="s">
        <v>166</v>
      </c>
      <c r="D2490" s="50" t="s">
        <v>2168</v>
      </c>
      <c r="E2490" s="50" t="n">
        <v>8</v>
      </c>
      <c r="F2490" s="50" t="s">
        <v>2167</v>
      </c>
      <c r="G2490" s="54" t="n">
        <v>3349100</v>
      </c>
    </row>
    <row r="2491" customFormat="false" ht="15" hidden="false" customHeight="false" outlineLevel="0" collapsed="false">
      <c r="A2491" s="50" t="s">
        <v>986</v>
      </c>
      <c r="B2491" s="51" t="n">
        <v>45807</v>
      </c>
      <c r="C2491" s="50" t="s">
        <v>166</v>
      </c>
      <c r="D2491" s="50" t="s">
        <v>2175</v>
      </c>
      <c r="E2491" s="50" t="n">
        <v>7</v>
      </c>
      <c r="F2491" s="50" t="s">
        <v>2167</v>
      </c>
      <c r="G2491" s="54" t="n">
        <v>4376000</v>
      </c>
    </row>
    <row r="2492" customFormat="false" ht="15" hidden="false" customHeight="false" outlineLevel="0" collapsed="false">
      <c r="A2492" s="50" t="s">
        <v>986</v>
      </c>
      <c r="B2492" s="51" t="n">
        <v>45807</v>
      </c>
      <c r="C2492" s="50" t="s">
        <v>166</v>
      </c>
      <c r="D2492" s="50" t="s">
        <v>2172</v>
      </c>
      <c r="E2492" s="50" t="n">
        <v>7</v>
      </c>
      <c r="F2492" s="50" t="s">
        <v>2167</v>
      </c>
      <c r="G2492" s="54" t="n">
        <v>3530400</v>
      </c>
    </row>
    <row r="2493" customFormat="false" ht="15" hidden="false" customHeight="false" outlineLevel="0" collapsed="false">
      <c r="A2493" s="50" t="s">
        <v>986</v>
      </c>
      <c r="B2493" s="51" t="n">
        <v>45807</v>
      </c>
      <c r="C2493" s="50" t="s">
        <v>166</v>
      </c>
      <c r="D2493" s="50" t="s">
        <v>2184</v>
      </c>
      <c r="E2493" s="50" t="n">
        <v>7</v>
      </c>
      <c r="F2493" s="50" t="s">
        <v>2167</v>
      </c>
      <c r="G2493" s="54" t="n">
        <v>3810600</v>
      </c>
    </row>
    <row r="2494" customFormat="false" ht="15" hidden="false" customHeight="false" outlineLevel="0" collapsed="false">
      <c r="A2494" s="50" t="s">
        <v>987</v>
      </c>
      <c r="B2494" s="51" t="n">
        <v>45807</v>
      </c>
      <c r="C2494" s="50" t="s">
        <v>174</v>
      </c>
      <c r="D2494" s="50" t="s">
        <v>2185</v>
      </c>
      <c r="E2494" s="50" t="n">
        <v>4</v>
      </c>
      <c r="F2494" s="50" t="s">
        <v>2174</v>
      </c>
      <c r="G2494" s="54" t="n">
        <v>3131000</v>
      </c>
    </row>
    <row r="2495" customFormat="false" ht="15" hidden="false" customHeight="false" outlineLevel="0" collapsed="false">
      <c r="A2495" s="50" t="s">
        <v>988</v>
      </c>
      <c r="B2495" s="51" t="n">
        <v>45807</v>
      </c>
      <c r="C2495" s="50" t="s">
        <v>405</v>
      </c>
      <c r="D2495" s="50" t="s">
        <v>2169</v>
      </c>
      <c r="E2495" s="50" t="n">
        <v>2</v>
      </c>
      <c r="F2495" s="50" t="s">
        <v>2167</v>
      </c>
      <c r="G2495" s="54" t="n">
        <v>1206900</v>
      </c>
    </row>
    <row r="2496" customFormat="false" ht="15" hidden="false" customHeight="false" outlineLevel="0" collapsed="false">
      <c r="A2496" s="50" t="s">
        <v>988</v>
      </c>
      <c r="B2496" s="51" t="n">
        <v>45807</v>
      </c>
      <c r="C2496" s="50" t="s">
        <v>405</v>
      </c>
      <c r="D2496" s="50" t="s">
        <v>2185</v>
      </c>
      <c r="E2496" s="50" t="n">
        <v>2</v>
      </c>
      <c r="F2496" s="50" t="s">
        <v>2174</v>
      </c>
      <c r="G2496" s="54" t="n">
        <v>1560300</v>
      </c>
    </row>
    <row r="2497" customFormat="false" ht="15" hidden="false" customHeight="false" outlineLevel="0" collapsed="false">
      <c r="A2497" s="50" t="s">
        <v>988</v>
      </c>
      <c r="B2497" s="51" t="n">
        <v>45807</v>
      </c>
      <c r="C2497" s="50" t="s">
        <v>405</v>
      </c>
      <c r="D2497" s="50" t="s">
        <v>2173</v>
      </c>
      <c r="E2497" s="50" t="n">
        <v>5</v>
      </c>
      <c r="F2497" s="50" t="s">
        <v>2174</v>
      </c>
      <c r="G2497" s="54" t="n">
        <v>4126400</v>
      </c>
    </row>
    <row r="2498" customFormat="false" ht="15" hidden="false" customHeight="false" outlineLevel="0" collapsed="false">
      <c r="A2498" s="50" t="s">
        <v>988</v>
      </c>
      <c r="B2498" s="51" t="n">
        <v>45807</v>
      </c>
      <c r="C2498" s="50" t="s">
        <v>405</v>
      </c>
      <c r="D2498" s="50" t="s">
        <v>2179</v>
      </c>
      <c r="E2498" s="50" t="n">
        <v>3</v>
      </c>
      <c r="F2498" s="50" t="s">
        <v>2174</v>
      </c>
      <c r="G2498" s="54" t="n">
        <v>3875900</v>
      </c>
    </row>
    <row r="2499" customFormat="false" ht="15" hidden="false" customHeight="false" outlineLevel="0" collapsed="false">
      <c r="A2499" s="50" t="s">
        <v>988</v>
      </c>
      <c r="B2499" s="51" t="n">
        <v>45807</v>
      </c>
      <c r="C2499" s="50" t="s">
        <v>405</v>
      </c>
      <c r="D2499" s="50" t="s">
        <v>2184</v>
      </c>
      <c r="E2499" s="50" t="n">
        <v>3</v>
      </c>
      <c r="F2499" s="50" t="s">
        <v>2167</v>
      </c>
      <c r="G2499" s="54" t="n">
        <v>1730100</v>
      </c>
    </row>
    <row r="2500" customFormat="false" ht="15" hidden="false" customHeight="false" outlineLevel="0" collapsed="false">
      <c r="A2500" s="50" t="s">
        <v>989</v>
      </c>
      <c r="B2500" s="51" t="n">
        <v>45807</v>
      </c>
      <c r="C2500" s="50" t="s">
        <v>838</v>
      </c>
      <c r="D2500" s="50" t="s">
        <v>2182</v>
      </c>
      <c r="E2500" s="50" t="n">
        <v>3</v>
      </c>
      <c r="F2500" s="50" t="s">
        <v>2174</v>
      </c>
      <c r="G2500" s="54" t="n">
        <v>2914300</v>
      </c>
    </row>
    <row r="2501" customFormat="false" ht="15" hidden="false" customHeight="false" outlineLevel="0" collapsed="false">
      <c r="A2501" s="50" t="s">
        <v>989</v>
      </c>
      <c r="B2501" s="51" t="n">
        <v>45807</v>
      </c>
      <c r="C2501" s="50" t="s">
        <v>838</v>
      </c>
      <c r="D2501" s="50" t="s">
        <v>2169</v>
      </c>
      <c r="E2501" s="50" t="n">
        <v>5</v>
      </c>
      <c r="F2501" s="50" t="s">
        <v>2167</v>
      </c>
      <c r="G2501" s="54" t="n">
        <v>3158900</v>
      </c>
    </row>
    <row r="2502" customFormat="false" ht="15" hidden="false" customHeight="false" outlineLevel="0" collapsed="false">
      <c r="A2502" s="50" t="s">
        <v>989</v>
      </c>
      <c r="B2502" s="51" t="n">
        <v>45807</v>
      </c>
      <c r="C2502" s="50" t="s">
        <v>838</v>
      </c>
      <c r="D2502" s="50" t="s">
        <v>2179</v>
      </c>
      <c r="E2502" s="50" t="n">
        <v>3</v>
      </c>
      <c r="F2502" s="50" t="s">
        <v>2174</v>
      </c>
      <c r="G2502" s="54" t="n">
        <v>3672200</v>
      </c>
    </row>
    <row r="2503" customFormat="false" ht="15" hidden="false" customHeight="false" outlineLevel="0" collapsed="false">
      <c r="A2503" s="50" t="s">
        <v>990</v>
      </c>
      <c r="B2503" s="51" t="n">
        <v>45807</v>
      </c>
      <c r="C2503" s="50" t="s">
        <v>199</v>
      </c>
      <c r="D2503" s="50" t="s">
        <v>2184</v>
      </c>
      <c r="E2503" s="50" t="n">
        <v>6</v>
      </c>
      <c r="F2503" s="50" t="s">
        <v>2167</v>
      </c>
      <c r="G2503" s="54" t="n">
        <v>3359800</v>
      </c>
    </row>
    <row r="2504" customFormat="false" ht="15" hidden="false" customHeight="false" outlineLevel="0" collapsed="false">
      <c r="A2504" s="50" t="s">
        <v>990</v>
      </c>
      <c r="B2504" s="51" t="n">
        <v>45807</v>
      </c>
      <c r="C2504" s="50" t="s">
        <v>199</v>
      </c>
      <c r="D2504" s="50" t="s">
        <v>2168</v>
      </c>
      <c r="E2504" s="50" t="n">
        <v>7</v>
      </c>
      <c r="F2504" s="50" t="s">
        <v>2167</v>
      </c>
      <c r="G2504" s="54" t="n">
        <v>2941700</v>
      </c>
    </row>
    <row r="2505" customFormat="false" ht="15" hidden="false" customHeight="false" outlineLevel="0" collapsed="false">
      <c r="A2505" s="50" t="s">
        <v>990</v>
      </c>
      <c r="B2505" s="51" t="n">
        <v>45807</v>
      </c>
      <c r="C2505" s="50" t="s">
        <v>199</v>
      </c>
      <c r="D2505" s="50" t="s">
        <v>2166</v>
      </c>
      <c r="E2505" s="50" t="n">
        <v>8</v>
      </c>
      <c r="F2505" s="50" t="s">
        <v>2167</v>
      </c>
      <c r="G2505" s="54" t="n">
        <v>4233500</v>
      </c>
    </row>
    <row r="2506" customFormat="false" ht="15" hidden="false" customHeight="false" outlineLevel="0" collapsed="false">
      <c r="A2506" s="50" t="s">
        <v>990</v>
      </c>
      <c r="B2506" s="51" t="n">
        <v>45807</v>
      </c>
      <c r="C2506" s="50" t="s">
        <v>199</v>
      </c>
      <c r="D2506" s="50" t="s">
        <v>2183</v>
      </c>
      <c r="E2506" s="50" t="n">
        <v>6</v>
      </c>
      <c r="F2506" s="50" t="s">
        <v>2167</v>
      </c>
      <c r="G2506" s="54" t="n">
        <v>2210900</v>
      </c>
    </row>
    <row r="2507" customFormat="false" ht="15" hidden="false" customHeight="false" outlineLevel="0" collapsed="false">
      <c r="A2507" s="50" t="s">
        <v>990</v>
      </c>
      <c r="B2507" s="51" t="n">
        <v>45807</v>
      </c>
      <c r="C2507" s="50" t="s">
        <v>199</v>
      </c>
      <c r="D2507" s="50" t="s">
        <v>2181</v>
      </c>
      <c r="E2507" s="50" t="n">
        <v>7</v>
      </c>
      <c r="F2507" s="50" t="s">
        <v>2167</v>
      </c>
      <c r="G2507" s="54" t="n">
        <v>7973200</v>
      </c>
    </row>
    <row r="2508" customFormat="false" ht="15" hidden="false" customHeight="false" outlineLevel="0" collapsed="false">
      <c r="A2508" s="50" t="s">
        <v>990</v>
      </c>
      <c r="B2508" s="51" t="n">
        <v>45807</v>
      </c>
      <c r="C2508" s="50" t="s">
        <v>199</v>
      </c>
      <c r="D2508" s="50" t="s">
        <v>2188</v>
      </c>
      <c r="E2508" s="50" t="n">
        <v>3</v>
      </c>
      <c r="F2508" s="50" t="s">
        <v>2167</v>
      </c>
      <c r="G2508" s="54" t="n">
        <v>3031000</v>
      </c>
    </row>
    <row r="2509" customFormat="false" ht="15" hidden="false" customHeight="false" outlineLevel="0" collapsed="false">
      <c r="A2509" s="50" t="s">
        <v>991</v>
      </c>
      <c r="B2509" s="51" t="n">
        <v>45807</v>
      </c>
      <c r="C2509" s="50" t="s">
        <v>634</v>
      </c>
      <c r="D2509" s="50" t="s">
        <v>2176</v>
      </c>
      <c r="E2509" s="50" t="n">
        <v>2</v>
      </c>
      <c r="F2509" s="50" t="s">
        <v>2167</v>
      </c>
      <c r="G2509" s="54" t="n">
        <v>870300</v>
      </c>
    </row>
    <row r="2510" customFormat="false" ht="15" hidden="false" customHeight="false" outlineLevel="0" collapsed="false">
      <c r="A2510" s="50" t="s">
        <v>991</v>
      </c>
      <c r="B2510" s="51" t="n">
        <v>45807</v>
      </c>
      <c r="C2510" s="50" t="s">
        <v>634</v>
      </c>
      <c r="D2510" s="50" t="s">
        <v>2186</v>
      </c>
      <c r="E2510" s="50" t="n">
        <v>7</v>
      </c>
      <c r="F2510" s="50" t="s">
        <v>2167</v>
      </c>
      <c r="G2510" s="54" t="n">
        <v>4211400</v>
      </c>
    </row>
    <row r="2511" customFormat="false" ht="15" hidden="false" customHeight="false" outlineLevel="0" collapsed="false">
      <c r="A2511" s="50" t="s">
        <v>991</v>
      </c>
      <c r="B2511" s="51" t="n">
        <v>45807</v>
      </c>
      <c r="C2511" s="50" t="s">
        <v>634</v>
      </c>
      <c r="D2511" s="50" t="s">
        <v>2181</v>
      </c>
      <c r="E2511" s="50" t="n">
        <v>7</v>
      </c>
      <c r="F2511" s="50" t="s">
        <v>2167</v>
      </c>
      <c r="G2511" s="54" t="n">
        <v>7934200</v>
      </c>
    </row>
    <row r="2512" customFormat="false" ht="15" hidden="false" customHeight="false" outlineLevel="0" collapsed="false">
      <c r="A2512" s="50" t="s">
        <v>992</v>
      </c>
      <c r="B2512" s="51" t="n">
        <v>45807</v>
      </c>
      <c r="C2512" s="50" t="s">
        <v>358</v>
      </c>
      <c r="D2512" s="50" t="s">
        <v>2178</v>
      </c>
      <c r="E2512" s="50" t="n">
        <v>4</v>
      </c>
      <c r="F2512" s="50" t="s">
        <v>2167</v>
      </c>
      <c r="G2512" s="54" t="n">
        <v>1982900</v>
      </c>
    </row>
    <row r="2513" customFormat="false" ht="15" hidden="false" customHeight="false" outlineLevel="0" collapsed="false">
      <c r="A2513" s="50" t="s">
        <v>992</v>
      </c>
      <c r="B2513" s="51" t="n">
        <v>45807</v>
      </c>
      <c r="C2513" s="50" t="s">
        <v>358</v>
      </c>
      <c r="D2513" s="50" t="s">
        <v>2166</v>
      </c>
      <c r="E2513" s="50" t="n">
        <v>4</v>
      </c>
      <c r="F2513" s="50" t="s">
        <v>2167</v>
      </c>
      <c r="G2513" s="54" t="n">
        <v>2184200</v>
      </c>
    </row>
    <row r="2514" customFormat="false" ht="15" hidden="false" customHeight="false" outlineLevel="0" collapsed="false">
      <c r="A2514" s="50" t="s">
        <v>992</v>
      </c>
      <c r="B2514" s="51" t="n">
        <v>45807</v>
      </c>
      <c r="C2514" s="50" t="s">
        <v>358</v>
      </c>
      <c r="D2514" s="50" t="s">
        <v>2180</v>
      </c>
      <c r="E2514" s="50" t="n">
        <v>1</v>
      </c>
      <c r="F2514" s="50" t="s">
        <v>2167</v>
      </c>
      <c r="G2514" s="54" t="n">
        <v>438400</v>
      </c>
    </row>
    <row r="2515" customFormat="false" ht="15" hidden="false" customHeight="false" outlineLevel="0" collapsed="false">
      <c r="A2515" s="50" t="s">
        <v>993</v>
      </c>
      <c r="B2515" s="51" t="n">
        <v>45807</v>
      </c>
      <c r="C2515" s="50" t="s">
        <v>243</v>
      </c>
      <c r="D2515" s="50" t="s">
        <v>2178</v>
      </c>
      <c r="E2515" s="50" t="n">
        <v>4</v>
      </c>
      <c r="F2515" s="50" t="s">
        <v>2167</v>
      </c>
      <c r="G2515" s="54" t="n">
        <v>1917700</v>
      </c>
    </row>
    <row r="2516" customFormat="false" ht="15" hidden="false" customHeight="false" outlineLevel="0" collapsed="false">
      <c r="A2516" s="50" t="s">
        <v>993</v>
      </c>
      <c r="B2516" s="51" t="n">
        <v>45807</v>
      </c>
      <c r="C2516" s="50" t="s">
        <v>243</v>
      </c>
      <c r="D2516" s="50" t="s">
        <v>2182</v>
      </c>
      <c r="E2516" s="50" t="n">
        <v>8</v>
      </c>
      <c r="F2516" s="50" t="s">
        <v>2174</v>
      </c>
      <c r="G2516" s="54" t="n">
        <v>7381100</v>
      </c>
    </row>
    <row r="2517" customFormat="false" ht="15" hidden="false" customHeight="false" outlineLevel="0" collapsed="false">
      <c r="A2517" s="50" t="s">
        <v>993</v>
      </c>
      <c r="B2517" s="51" t="n">
        <v>45807</v>
      </c>
      <c r="C2517" s="50" t="s">
        <v>243</v>
      </c>
      <c r="D2517" s="50" t="s">
        <v>2186</v>
      </c>
      <c r="E2517" s="50" t="n">
        <v>3</v>
      </c>
      <c r="F2517" s="50" t="s">
        <v>2167</v>
      </c>
      <c r="G2517" s="54" t="n">
        <v>1713200</v>
      </c>
    </row>
    <row r="2518" customFormat="false" ht="15" hidden="false" customHeight="false" outlineLevel="0" collapsed="false">
      <c r="A2518" s="50" t="s">
        <v>993</v>
      </c>
      <c r="B2518" s="51" t="n">
        <v>45807</v>
      </c>
      <c r="C2518" s="50" t="s">
        <v>243</v>
      </c>
      <c r="D2518" s="50" t="s">
        <v>2188</v>
      </c>
      <c r="E2518" s="50" t="n">
        <v>4</v>
      </c>
      <c r="F2518" s="50" t="s">
        <v>2167</v>
      </c>
      <c r="G2518" s="54" t="n">
        <v>3899900</v>
      </c>
    </row>
    <row r="2519" customFormat="false" ht="15" hidden="false" customHeight="false" outlineLevel="0" collapsed="false">
      <c r="A2519" s="50" t="s">
        <v>994</v>
      </c>
      <c r="B2519" s="51" t="n">
        <v>45808</v>
      </c>
      <c r="C2519" s="50" t="s">
        <v>174</v>
      </c>
      <c r="D2519" s="50" t="s">
        <v>2168</v>
      </c>
      <c r="E2519" s="50" t="n">
        <v>2</v>
      </c>
      <c r="F2519" s="50" t="s">
        <v>2167</v>
      </c>
      <c r="G2519" s="54" t="n">
        <v>867900</v>
      </c>
    </row>
    <row r="2520" customFormat="false" ht="15" hidden="false" customHeight="false" outlineLevel="0" collapsed="false">
      <c r="A2520" s="50" t="s">
        <v>994</v>
      </c>
      <c r="B2520" s="51" t="n">
        <v>45808</v>
      </c>
      <c r="C2520" s="50" t="s">
        <v>174</v>
      </c>
      <c r="D2520" s="50" t="s">
        <v>2177</v>
      </c>
      <c r="E2520" s="50" t="n">
        <v>5</v>
      </c>
      <c r="F2520" s="50" t="s">
        <v>2174</v>
      </c>
      <c r="G2520" s="54" t="n">
        <v>5585100</v>
      </c>
    </row>
    <row r="2521" customFormat="false" ht="15" hidden="false" customHeight="false" outlineLevel="0" collapsed="false">
      <c r="A2521" s="50" t="s">
        <v>994</v>
      </c>
      <c r="B2521" s="51" t="n">
        <v>45808</v>
      </c>
      <c r="C2521" s="50" t="s">
        <v>174</v>
      </c>
      <c r="D2521" s="50" t="s">
        <v>2186</v>
      </c>
      <c r="E2521" s="50" t="n">
        <v>1</v>
      </c>
      <c r="F2521" s="50" t="s">
        <v>2167</v>
      </c>
      <c r="G2521" s="54" t="n">
        <v>586400</v>
      </c>
    </row>
    <row r="2522" customFormat="false" ht="15" hidden="false" customHeight="false" outlineLevel="0" collapsed="false">
      <c r="A2522" s="50" t="s">
        <v>994</v>
      </c>
      <c r="B2522" s="51" t="n">
        <v>45808</v>
      </c>
      <c r="C2522" s="50" t="s">
        <v>174</v>
      </c>
      <c r="D2522" s="50" t="s">
        <v>2173</v>
      </c>
      <c r="E2522" s="50" t="n">
        <v>6</v>
      </c>
      <c r="F2522" s="50" t="s">
        <v>2174</v>
      </c>
      <c r="G2522" s="54" t="n">
        <v>4913900</v>
      </c>
    </row>
    <row r="2523" customFormat="false" ht="15" hidden="false" customHeight="false" outlineLevel="0" collapsed="false">
      <c r="A2523" s="50" t="s">
        <v>995</v>
      </c>
      <c r="B2523" s="51" t="n">
        <v>45808</v>
      </c>
      <c r="C2523" s="50" t="s">
        <v>197</v>
      </c>
      <c r="D2523" s="50" t="s">
        <v>2169</v>
      </c>
      <c r="E2523" s="50" t="n">
        <v>3</v>
      </c>
      <c r="F2523" s="50" t="s">
        <v>2167</v>
      </c>
      <c r="G2523" s="54" t="n">
        <v>1808900</v>
      </c>
    </row>
    <row r="2524" customFormat="false" ht="15" hidden="false" customHeight="false" outlineLevel="0" collapsed="false">
      <c r="A2524" s="50" t="s">
        <v>996</v>
      </c>
      <c r="B2524" s="51" t="n">
        <v>45808</v>
      </c>
      <c r="C2524" s="50" t="s">
        <v>223</v>
      </c>
      <c r="D2524" s="50" t="s">
        <v>2168</v>
      </c>
      <c r="E2524" s="50" t="n">
        <v>2</v>
      </c>
      <c r="F2524" s="50" t="s">
        <v>2167</v>
      </c>
      <c r="G2524" s="54" t="n">
        <v>891900</v>
      </c>
    </row>
    <row r="2525" customFormat="false" ht="15" hidden="false" customHeight="false" outlineLevel="0" collapsed="false">
      <c r="A2525" s="50" t="s">
        <v>996</v>
      </c>
      <c r="B2525" s="51" t="n">
        <v>45808</v>
      </c>
      <c r="C2525" s="50" t="s">
        <v>223</v>
      </c>
      <c r="D2525" s="50" t="s">
        <v>2173</v>
      </c>
      <c r="E2525" s="50" t="n">
        <v>2</v>
      </c>
      <c r="F2525" s="50" t="s">
        <v>2174</v>
      </c>
      <c r="G2525" s="54" t="n">
        <v>1577900</v>
      </c>
    </row>
    <row r="2526" customFormat="false" ht="15" hidden="false" customHeight="false" outlineLevel="0" collapsed="false">
      <c r="A2526" s="50" t="s">
        <v>997</v>
      </c>
      <c r="B2526" s="51" t="n">
        <v>45808</v>
      </c>
      <c r="C2526" s="50" t="s">
        <v>349</v>
      </c>
      <c r="D2526" s="50" t="s">
        <v>2184</v>
      </c>
      <c r="E2526" s="50" t="n">
        <v>7</v>
      </c>
      <c r="F2526" s="50" t="s">
        <v>2167</v>
      </c>
      <c r="G2526" s="54" t="n">
        <v>3776300</v>
      </c>
    </row>
    <row r="2527" customFormat="false" ht="15" hidden="false" customHeight="false" outlineLevel="0" collapsed="false">
      <c r="A2527" s="50" t="s">
        <v>997</v>
      </c>
      <c r="B2527" s="51" t="n">
        <v>45808</v>
      </c>
      <c r="C2527" s="50" t="s">
        <v>349</v>
      </c>
      <c r="D2527" s="50" t="s">
        <v>2185</v>
      </c>
      <c r="E2527" s="50" t="n">
        <v>4</v>
      </c>
      <c r="F2527" s="50" t="s">
        <v>2174</v>
      </c>
      <c r="G2527" s="54" t="n">
        <v>3098900</v>
      </c>
    </row>
    <row r="2528" customFormat="false" ht="15" hidden="false" customHeight="false" outlineLevel="0" collapsed="false">
      <c r="A2528" s="50" t="s">
        <v>998</v>
      </c>
      <c r="B2528" s="51" t="n">
        <v>45810</v>
      </c>
      <c r="C2528" s="50" t="s">
        <v>967</v>
      </c>
      <c r="D2528" s="50" t="s">
        <v>2179</v>
      </c>
      <c r="E2528" s="50" t="n">
        <v>4</v>
      </c>
      <c r="F2528" s="50" t="s">
        <v>2174</v>
      </c>
      <c r="G2528" s="54" t="n">
        <v>4877800</v>
      </c>
    </row>
    <row r="2529" customFormat="false" ht="15" hidden="false" customHeight="false" outlineLevel="0" collapsed="false">
      <c r="A2529" s="50" t="s">
        <v>998</v>
      </c>
      <c r="B2529" s="51" t="n">
        <v>45810</v>
      </c>
      <c r="C2529" s="50" t="s">
        <v>967</v>
      </c>
      <c r="D2529" s="50" t="s">
        <v>2180</v>
      </c>
      <c r="E2529" s="50" t="n">
        <v>3</v>
      </c>
      <c r="F2529" s="50" t="s">
        <v>2167</v>
      </c>
      <c r="G2529" s="54" t="n">
        <v>1385200</v>
      </c>
    </row>
    <row r="2530" customFormat="false" ht="15" hidden="false" customHeight="false" outlineLevel="0" collapsed="false">
      <c r="A2530" s="50" t="s">
        <v>999</v>
      </c>
      <c r="B2530" s="51" t="n">
        <v>45810</v>
      </c>
      <c r="C2530" s="50" t="s">
        <v>395</v>
      </c>
      <c r="D2530" s="50" t="s">
        <v>2178</v>
      </c>
      <c r="E2530" s="50" t="n">
        <v>3</v>
      </c>
      <c r="F2530" s="50" t="s">
        <v>2167</v>
      </c>
      <c r="G2530" s="54" t="n">
        <v>1455000</v>
      </c>
    </row>
    <row r="2531" customFormat="false" ht="15" hidden="false" customHeight="false" outlineLevel="0" collapsed="false">
      <c r="A2531" s="50" t="s">
        <v>999</v>
      </c>
      <c r="B2531" s="51" t="n">
        <v>45810</v>
      </c>
      <c r="C2531" s="50" t="s">
        <v>395</v>
      </c>
      <c r="D2531" s="50" t="s">
        <v>2176</v>
      </c>
      <c r="E2531" s="50" t="n">
        <v>7</v>
      </c>
      <c r="F2531" s="50" t="s">
        <v>2167</v>
      </c>
      <c r="G2531" s="54" t="n">
        <v>2879500</v>
      </c>
    </row>
    <row r="2532" customFormat="false" ht="15" hidden="false" customHeight="false" outlineLevel="0" collapsed="false">
      <c r="A2532" s="50" t="s">
        <v>999</v>
      </c>
      <c r="B2532" s="51" t="n">
        <v>45810</v>
      </c>
      <c r="C2532" s="50" t="s">
        <v>395</v>
      </c>
      <c r="D2532" s="50" t="s">
        <v>2188</v>
      </c>
      <c r="E2532" s="50" t="n">
        <v>2</v>
      </c>
      <c r="F2532" s="50" t="s">
        <v>2167</v>
      </c>
      <c r="G2532" s="54" t="n">
        <v>2022100</v>
      </c>
    </row>
    <row r="2533" customFormat="false" ht="15" hidden="false" customHeight="false" outlineLevel="0" collapsed="false">
      <c r="A2533" s="50" t="s">
        <v>999</v>
      </c>
      <c r="B2533" s="51" t="n">
        <v>45810</v>
      </c>
      <c r="C2533" s="50" t="s">
        <v>395</v>
      </c>
      <c r="D2533" s="50" t="s">
        <v>2184</v>
      </c>
      <c r="E2533" s="50" t="n">
        <v>4</v>
      </c>
      <c r="F2533" s="50" t="s">
        <v>2167</v>
      </c>
      <c r="G2533" s="54" t="n">
        <v>2196000</v>
      </c>
    </row>
    <row r="2534" customFormat="false" ht="15" hidden="false" customHeight="false" outlineLevel="0" collapsed="false">
      <c r="A2534" s="50" t="s">
        <v>1000</v>
      </c>
      <c r="B2534" s="51" t="n">
        <v>45810</v>
      </c>
      <c r="C2534" s="50" t="s">
        <v>174</v>
      </c>
      <c r="D2534" s="50" t="s">
        <v>2180</v>
      </c>
      <c r="E2534" s="50" t="n">
        <v>6</v>
      </c>
      <c r="F2534" s="50" t="s">
        <v>2167</v>
      </c>
      <c r="G2534" s="54" t="n">
        <v>2744000</v>
      </c>
    </row>
    <row r="2535" customFormat="false" ht="15" hidden="false" customHeight="false" outlineLevel="0" collapsed="false">
      <c r="A2535" s="50" t="s">
        <v>1000</v>
      </c>
      <c r="B2535" s="51" t="n">
        <v>45810</v>
      </c>
      <c r="C2535" s="50" t="s">
        <v>174</v>
      </c>
      <c r="D2535" s="50" t="s">
        <v>2181</v>
      </c>
      <c r="E2535" s="50" t="n">
        <v>5</v>
      </c>
      <c r="F2535" s="50" t="s">
        <v>2167</v>
      </c>
      <c r="G2535" s="54" t="n">
        <v>5528700</v>
      </c>
    </row>
    <row r="2536" customFormat="false" ht="15" hidden="false" customHeight="false" outlineLevel="0" collapsed="false">
      <c r="A2536" s="50" t="s">
        <v>1001</v>
      </c>
      <c r="B2536" s="51" t="n">
        <v>45810</v>
      </c>
      <c r="C2536" s="50" t="s">
        <v>256</v>
      </c>
      <c r="D2536" s="50" t="s">
        <v>2170</v>
      </c>
      <c r="E2536" s="50" t="n">
        <v>2</v>
      </c>
      <c r="F2536" s="50" t="s">
        <v>2171</v>
      </c>
      <c r="G2536" s="54" t="n">
        <v>15757200</v>
      </c>
    </row>
    <row r="2537" customFormat="false" ht="15" hidden="false" customHeight="false" outlineLevel="0" collapsed="false">
      <c r="A2537" s="50" t="s">
        <v>1001</v>
      </c>
      <c r="B2537" s="51" t="n">
        <v>45810</v>
      </c>
      <c r="C2537" s="50" t="s">
        <v>256</v>
      </c>
      <c r="D2537" s="50" t="s">
        <v>2183</v>
      </c>
      <c r="E2537" s="50" t="n">
        <v>5</v>
      </c>
      <c r="F2537" s="50" t="s">
        <v>2167</v>
      </c>
      <c r="G2537" s="54" t="n">
        <v>1889200</v>
      </c>
    </row>
    <row r="2538" customFormat="false" ht="15" hidden="false" customHeight="false" outlineLevel="0" collapsed="false">
      <c r="A2538" s="50" t="s">
        <v>1001</v>
      </c>
      <c r="B2538" s="51" t="n">
        <v>45810</v>
      </c>
      <c r="C2538" s="50" t="s">
        <v>256</v>
      </c>
      <c r="D2538" s="50" t="s">
        <v>2186</v>
      </c>
      <c r="E2538" s="50" t="n">
        <v>5</v>
      </c>
      <c r="F2538" s="50" t="s">
        <v>2167</v>
      </c>
      <c r="G2538" s="54" t="n">
        <v>3036000</v>
      </c>
    </row>
    <row r="2539" customFormat="false" ht="15" hidden="false" customHeight="false" outlineLevel="0" collapsed="false">
      <c r="A2539" s="50" t="s">
        <v>1002</v>
      </c>
      <c r="B2539" s="51" t="n">
        <v>45811</v>
      </c>
      <c r="C2539" s="50" t="s">
        <v>436</v>
      </c>
      <c r="D2539" s="50" t="s">
        <v>2178</v>
      </c>
      <c r="E2539" s="50" t="n">
        <v>6</v>
      </c>
      <c r="F2539" s="50" t="s">
        <v>2167</v>
      </c>
      <c r="G2539" s="54" t="n">
        <v>2941000</v>
      </c>
    </row>
    <row r="2540" customFormat="false" ht="15" hidden="false" customHeight="false" outlineLevel="0" collapsed="false">
      <c r="A2540" s="50" t="s">
        <v>1002</v>
      </c>
      <c r="B2540" s="51" t="n">
        <v>45811</v>
      </c>
      <c r="C2540" s="50" t="s">
        <v>436</v>
      </c>
      <c r="D2540" s="50" t="s">
        <v>2188</v>
      </c>
      <c r="E2540" s="50" t="n">
        <v>4</v>
      </c>
      <c r="F2540" s="50" t="s">
        <v>2167</v>
      </c>
      <c r="G2540" s="54" t="n">
        <v>4014500</v>
      </c>
    </row>
    <row r="2541" customFormat="false" ht="15" hidden="false" customHeight="false" outlineLevel="0" collapsed="false">
      <c r="A2541" s="50" t="s">
        <v>1002</v>
      </c>
      <c r="B2541" s="51" t="n">
        <v>45811</v>
      </c>
      <c r="C2541" s="50" t="s">
        <v>436</v>
      </c>
      <c r="D2541" s="50" t="s">
        <v>2184</v>
      </c>
      <c r="E2541" s="50" t="n">
        <v>8</v>
      </c>
      <c r="F2541" s="50" t="s">
        <v>2167</v>
      </c>
      <c r="G2541" s="54" t="n">
        <v>4317500</v>
      </c>
    </row>
    <row r="2542" customFormat="false" ht="15" hidden="false" customHeight="false" outlineLevel="0" collapsed="false">
      <c r="A2542" s="50" t="s">
        <v>1002</v>
      </c>
      <c r="B2542" s="51" t="n">
        <v>45811</v>
      </c>
      <c r="C2542" s="50" t="s">
        <v>436</v>
      </c>
      <c r="D2542" s="50" t="s">
        <v>2168</v>
      </c>
      <c r="E2542" s="50" t="n">
        <v>3</v>
      </c>
      <c r="F2542" s="50" t="s">
        <v>2167</v>
      </c>
      <c r="G2542" s="54" t="n">
        <v>1271600</v>
      </c>
    </row>
    <row r="2543" customFormat="false" ht="15" hidden="false" customHeight="false" outlineLevel="0" collapsed="false">
      <c r="A2543" s="50" t="s">
        <v>1002</v>
      </c>
      <c r="B2543" s="51" t="n">
        <v>45811</v>
      </c>
      <c r="C2543" s="50" t="s">
        <v>436</v>
      </c>
      <c r="D2543" s="50" t="s">
        <v>2186</v>
      </c>
      <c r="E2543" s="50" t="n">
        <v>8</v>
      </c>
      <c r="F2543" s="50" t="s">
        <v>2167</v>
      </c>
      <c r="G2543" s="54" t="n">
        <v>4762500</v>
      </c>
    </row>
    <row r="2544" customFormat="false" ht="15" hidden="false" customHeight="false" outlineLevel="0" collapsed="false">
      <c r="A2544" s="50" t="s">
        <v>1002</v>
      </c>
      <c r="B2544" s="51" t="n">
        <v>45811</v>
      </c>
      <c r="C2544" s="50" t="s">
        <v>436</v>
      </c>
      <c r="D2544" s="50" t="s">
        <v>2176</v>
      </c>
      <c r="E2544" s="50" t="n">
        <v>2</v>
      </c>
      <c r="F2544" s="50" t="s">
        <v>2167</v>
      </c>
      <c r="G2544" s="54" t="n">
        <v>865300</v>
      </c>
    </row>
    <row r="2545" customFormat="false" ht="15" hidden="false" customHeight="false" outlineLevel="0" collapsed="false">
      <c r="A2545" s="50" t="s">
        <v>1003</v>
      </c>
      <c r="B2545" s="51" t="n">
        <v>45811</v>
      </c>
      <c r="C2545" s="50" t="s">
        <v>505</v>
      </c>
      <c r="D2545" s="50" t="s">
        <v>2187</v>
      </c>
      <c r="E2545" s="50" t="n">
        <v>7</v>
      </c>
      <c r="F2545" s="50" t="s">
        <v>2167</v>
      </c>
      <c r="G2545" s="54" t="n">
        <v>2534400</v>
      </c>
    </row>
    <row r="2546" customFormat="false" ht="15" hidden="false" customHeight="false" outlineLevel="0" collapsed="false">
      <c r="A2546" s="50" t="s">
        <v>1003</v>
      </c>
      <c r="B2546" s="51" t="n">
        <v>45811</v>
      </c>
      <c r="C2546" s="50" t="s">
        <v>505</v>
      </c>
      <c r="D2546" s="50" t="s">
        <v>2186</v>
      </c>
      <c r="E2546" s="50" t="n">
        <v>7</v>
      </c>
      <c r="F2546" s="50" t="s">
        <v>2167</v>
      </c>
      <c r="G2546" s="54" t="n">
        <v>4001100</v>
      </c>
    </row>
    <row r="2547" customFormat="false" ht="15" hidden="false" customHeight="false" outlineLevel="0" collapsed="false">
      <c r="A2547" s="50" t="s">
        <v>1003</v>
      </c>
      <c r="B2547" s="51" t="n">
        <v>45811</v>
      </c>
      <c r="C2547" s="50" t="s">
        <v>505</v>
      </c>
      <c r="D2547" s="50" t="s">
        <v>2169</v>
      </c>
      <c r="E2547" s="50" t="n">
        <v>4</v>
      </c>
      <c r="F2547" s="50" t="s">
        <v>2167</v>
      </c>
      <c r="G2547" s="54" t="n">
        <v>2524800</v>
      </c>
    </row>
    <row r="2548" customFormat="false" ht="15" hidden="false" customHeight="false" outlineLevel="0" collapsed="false">
      <c r="A2548" s="50" t="s">
        <v>1004</v>
      </c>
      <c r="B2548" s="51" t="n">
        <v>45811</v>
      </c>
      <c r="C2548" s="50" t="s">
        <v>293</v>
      </c>
      <c r="D2548" s="50" t="s">
        <v>2187</v>
      </c>
      <c r="E2548" s="50" t="n">
        <v>2</v>
      </c>
      <c r="F2548" s="50" t="s">
        <v>2167</v>
      </c>
      <c r="G2548" s="54" t="n">
        <v>672800</v>
      </c>
    </row>
    <row r="2549" customFormat="false" ht="15" hidden="false" customHeight="false" outlineLevel="0" collapsed="false">
      <c r="A2549" s="50" t="s">
        <v>1004</v>
      </c>
      <c r="B2549" s="51" t="n">
        <v>45811</v>
      </c>
      <c r="C2549" s="50" t="s">
        <v>293</v>
      </c>
      <c r="D2549" s="50" t="s">
        <v>2180</v>
      </c>
      <c r="E2549" s="50" t="n">
        <v>1</v>
      </c>
      <c r="F2549" s="50" t="s">
        <v>2167</v>
      </c>
      <c r="G2549" s="54" t="n">
        <v>444800</v>
      </c>
    </row>
    <row r="2550" customFormat="false" ht="15" hidden="false" customHeight="false" outlineLevel="0" collapsed="false">
      <c r="A2550" s="50" t="s">
        <v>1004</v>
      </c>
      <c r="B2550" s="51" t="n">
        <v>45811</v>
      </c>
      <c r="C2550" s="50" t="s">
        <v>293</v>
      </c>
      <c r="D2550" s="50" t="s">
        <v>2186</v>
      </c>
      <c r="E2550" s="50" t="n">
        <v>3</v>
      </c>
      <c r="F2550" s="50" t="s">
        <v>2167</v>
      </c>
      <c r="G2550" s="54" t="n">
        <v>1791100</v>
      </c>
    </row>
    <row r="2551" customFormat="false" ht="15" hidden="false" customHeight="false" outlineLevel="0" collapsed="false">
      <c r="A2551" s="50" t="s">
        <v>1004</v>
      </c>
      <c r="B2551" s="51" t="n">
        <v>45811</v>
      </c>
      <c r="C2551" s="50" t="s">
        <v>293</v>
      </c>
      <c r="D2551" s="50" t="s">
        <v>2184</v>
      </c>
      <c r="E2551" s="50" t="n">
        <v>7</v>
      </c>
      <c r="F2551" s="50" t="s">
        <v>2167</v>
      </c>
      <c r="G2551" s="54" t="n">
        <v>4031300</v>
      </c>
    </row>
    <row r="2552" customFormat="false" ht="15" hidden="false" customHeight="false" outlineLevel="0" collapsed="false">
      <c r="A2552" s="50" t="s">
        <v>1004</v>
      </c>
      <c r="B2552" s="51" t="n">
        <v>45811</v>
      </c>
      <c r="C2552" s="50" t="s">
        <v>293</v>
      </c>
      <c r="D2552" s="50" t="s">
        <v>2179</v>
      </c>
      <c r="E2552" s="50" t="n">
        <v>7</v>
      </c>
      <c r="F2552" s="50" t="s">
        <v>2174</v>
      </c>
      <c r="G2552" s="54" t="n">
        <v>8735000</v>
      </c>
    </row>
    <row r="2553" customFormat="false" ht="15" hidden="false" customHeight="false" outlineLevel="0" collapsed="false">
      <c r="A2553" s="50" t="s">
        <v>1004</v>
      </c>
      <c r="B2553" s="51" t="n">
        <v>45811</v>
      </c>
      <c r="C2553" s="50" t="s">
        <v>293</v>
      </c>
      <c r="D2553" s="50" t="s">
        <v>2188</v>
      </c>
      <c r="E2553" s="50" t="n">
        <v>7</v>
      </c>
      <c r="F2553" s="50" t="s">
        <v>2167</v>
      </c>
      <c r="G2553" s="54" t="n">
        <v>6787000</v>
      </c>
    </row>
    <row r="2554" customFormat="false" ht="15" hidden="false" customHeight="false" outlineLevel="0" collapsed="false">
      <c r="A2554" s="50" t="s">
        <v>1005</v>
      </c>
      <c r="B2554" s="51" t="n">
        <v>45811</v>
      </c>
      <c r="C2554" s="50" t="s">
        <v>228</v>
      </c>
      <c r="D2554" s="50" t="s">
        <v>2186</v>
      </c>
      <c r="E2554" s="50" t="n">
        <v>3</v>
      </c>
      <c r="F2554" s="50" t="s">
        <v>2167</v>
      </c>
      <c r="G2554" s="54" t="n">
        <v>1775000</v>
      </c>
    </row>
    <row r="2555" customFormat="false" ht="15" hidden="false" customHeight="false" outlineLevel="0" collapsed="false">
      <c r="A2555" s="50" t="s">
        <v>1005</v>
      </c>
      <c r="B2555" s="51" t="n">
        <v>45811</v>
      </c>
      <c r="C2555" s="50" t="s">
        <v>228</v>
      </c>
      <c r="D2555" s="50" t="s">
        <v>2178</v>
      </c>
      <c r="E2555" s="50" t="n">
        <v>4</v>
      </c>
      <c r="F2555" s="50" t="s">
        <v>2167</v>
      </c>
      <c r="G2555" s="54" t="n">
        <v>1920300</v>
      </c>
    </row>
    <row r="2556" customFormat="false" ht="15" hidden="false" customHeight="false" outlineLevel="0" collapsed="false">
      <c r="A2556" s="50" t="s">
        <v>1005</v>
      </c>
      <c r="B2556" s="51" t="n">
        <v>45811</v>
      </c>
      <c r="C2556" s="50" t="s">
        <v>228</v>
      </c>
      <c r="D2556" s="50" t="s">
        <v>2181</v>
      </c>
      <c r="E2556" s="50" t="n">
        <v>3</v>
      </c>
      <c r="F2556" s="50" t="s">
        <v>2167</v>
      </c>
      <c r="G2556" s="54" t="n">
        <v>3427800</v>
      </c>
    </row>
    <row r="2557" customFormat="false" ht="15" hidden="false" customHeight="false" outlineLevel="0" collapsed="false">
      <c r="A2557" s="50" t="s">
        <v>1005</v>
      </c>
      <c r="B2557" s="51" t="n">
        <v>45811</v>
      </c>
      <c r="C2557" s="50" t="s">
        <v>228</v>
      </c>
      <c r="D2557" s="50" t="s">
        <v>2180</v>
      </c>
      <c r="E2557" s="50" t="n">
        <v>5</v>
      </c>
      <c r="F2557" s="50" t="s">
        <v>2167</v>
      </c>
      <c r="G2557" s="54" t="n">
        <v>2241600</v>
      </c>
    </row>
    <row r="2558" customFormat="false" ht="15" hidden="false" customHeight="false" outlineLevel="0" collapsed="false">
      <c r="A2558" s="50" t="s">
        <v>1006</v>
      </c>
      <c r="B2558" s="51" t="n">
        <v>45811</v>
      </c>
      <c r="C2558" s="50" t="s">
        <v>205</v>
      </c>
      <c r="D2558" s="50" t="s">
        <v>2188</v>
      </c>
      <c r="E2558" s="50" t="n">
        <v>8</v>
      </c>
      <c r="F2558" s="50" t="s">
        <v>2167</v>
      </c>
      <c r="G2558" s="54" t="n">
        <v>7619800</v>
      </c>
    </row>
    <row r="2559" customFormat="false" ht="15" hidden="false" customHeight="false" outlineLevel="0" collapsed="false">
      <c r="A2559" s="50" t="s">
        <v>1006</v>
      </c>
      <c r="B2559" s="51" t="n">
        <v>45811</v>
      </c>
      <c r="C2559" s="50" t="s">
        <v>205</v>
      </c>
      <c r="D2559" s="50" t="s">
        <v>2186</v>
      </c>
      <c r="E2559" s="50" t="n">
        <v>5</v>
      </c>
      <c r="F2559" s="50" t="s">
        <v>2167</v>
      </c>
      <c r="G2559" s="54" t="n">
        <v>2889800</v>
      </c>
    </row>
    <row r="2560" customFormat="false" ht="15" hidden="false" customHeight="false" outlineLevel="0" collapsed="false">
      <c r="A2560" s="50" t="s">
        <v>1006</v>
      </c>
      <c r="B2560" s="51" t="n">
        <v>45811</v>
      </c>
      <c r="C2560" s="50" t="s">
        <v>205</v>
      </c>
      <c r="D2560" s="50" t="s">
        <v>2179</v>
      </c>
      <c r="E2560" s="50" t="n">
        <v>6</v>
      </c>
      <c r="F2560" s="50" t="s">
        <v>2174</v>
      </c>
      <c r="G2560" s="54" t="n">
        <v>7358800</v>
      </c>
    </row>
    <row r="2561" customFormat="false" ht="15" hidden="false" customHeight="false" outlineLevel="0" collapsed="false">
      <c r="A2561" s="50" t="s">
        <v>1006</v>
      </c>
      <c r="B2561" s="51" t="n">
        <v>45811</v>
      </c>
      <c r="C2561" s="50" t="s">
        <v>205</v>
      </c>
      <c r="D2561" s="50" t="s">
        <v>2166</v>
      </c>
      <c r="E2561" s="50" t="n">
        <v>4</v>
      </c>
      <c r="F2561" s="50" t="s">
        <v>2167</v>
      </c>
      <c r="G2561" s="54" t="n">
        <v>2212600</v>
      </c>
    </row>
    <row r="2562" customFormat="false" ht="15" hidden="false" customHeight="false" outlineLevel="0" collapsed="false">
      <c r="A2562" s="50" t="s">
        <v>1006</v>
      </c>
      <c r="B2562" s="51" t="n">
        <v>45811</v>
      </c>
      <c r="C2562" s="50" t="s">
        <v>205</v>
      </c>
      <c r="D2562" s="50" t="s">
        <v>2172</v>
      </c>
      <c r="E2562" s="50" t="n">
        <v>6</v>
      </c>
      <c r="F2562" s="50" t="s">
        <v>2167</v>
      </c>
      <c r="G2562" s="54" t="n">
        <v>3231700</v>
      </c>
    </row>
    <row r="2563" customFormat="false" ht="15" hidden="false" customHeight="false" outlineLevel="0" collapsed="false">
      <c r="A2563" s="50" t="s">
        <v>1007</v>
      </c>
      <c r="B2563" s="51" t="n">
        <v>45811</v>
      </c>
      <c r="C2563" s="50" t="s">
        <v>211</v>
      </c>
      <c r="D2563" s="50" t="s">
        <v>2186</v>
      </c>
      <c r="E2563" s="50" t="n">
        <v>1</v>
      </c>
      <c r="F2563" s="50" t="s">
        <v>2167</v>
      </c>
      <c r="G2563" s="54" t="n">
        <v>587600</v>
      </c>
    </row>
    <row r="2564" customFormat="false" ht="15" hidden="false" customHeight="false" outlineLevel="0" collapsed="false">
      <c r="A2564" s="50" t="s">
        <v>1007</v>
      </c>
      <c r="B2564" s="51" t="n">
        <v>45811</v>
      </c>
      <c r="C2564" s="50" t="s">
        <v>211</v>
      </c>
      <c r="D2564" s="50" t="s">
        <v>2175</v>
      </c>
      <c r="E2564" s="50" t="n">
        <v>1</v>
      </c>
      <c r="F2564" s="50" t="s">
        <v>2167</v>
      </c>
      <c r="G2564" s="54" t="n">
        <v>620600</v>
      </c>
    </row>
    <row r="2565" customFormat="false" ht="15" hidden="false" customHeight="false" outlineLevel="0" collapsed="false">
      <c r="A2565" s="50" t="s">
        <v>1007</v>
      </c>
      <c r="B2565" s="51" t="n">
        <v>45811</v>
      </c>
      <c r="C2565" s="50" t="s">
        <v>211</v>
      </c>
      <c r="D2565" s="50" t="s">
        <v>2184</v>
      </c>
      <c r="E2565" s="50" t="n">
        <v>8</v>
      </c>
      <c r="F2565" s="50" t="s">
        <v>2167</v>
      </c>
      <c r="G2565" s="54" t="n">
        <v>4643800</v>
      </c>
    </row>
    <row r="2566" customFormat="false" ht="15" hidden="false" customHeight="false" outlineLevel="0" collapsed="false">
      <c r="A2566" s="50" t="s">
        <v>1008</v>
      </c>
      <c r="B2566" s="51" t="n">
        <v>45811</v>
      </c>
      <c r="C2566" s="50" t="s">
        <v>358</v>
      </c>
      <c r="D2566" s="50" t="s">
        <v>2169</v>
      </c>
      <c r="E2566" s="50" t="n">
        <v>7</v>
      </c>
      <c r="F2566" s="50" t="s">
        <v>2167</v>
      </c>
      <c r="G2566" s="54" t="n">
        <v>4265600</v>
      </c>
    </row>
    <row r="2567" customFormat="false" ht="15" hidden="false" customHeight="false" outlineLevel="0" collapsed="false">
      <c r="A2567" s="50" t="s">
        <v>1008</v>
      </c>
      <c r="B2567" s="51" t="n">
        <v>45811</v>
      </c>
      <c r="C2567" s="50" t="s">
        <v>358</v>
      </c>
      <c r="D2567" s="50" t="s">
        <v>2184</v>
      </c>
      <c r="E2567" s="50" t="n">
        <v>7</v>
      </c>
      <c r="F2567" s="50" t="s">
        <v>2167</v>
      </c>
      <c r="G2567" s="54" t="n">
        <v>4038900</v>
      </c>
    </row>
    <row r="2568" customFormat="false" ht="15" hidden="false" customHeight="false" outlineLevel="0" collapsed="false">
      <c r="A2568" s="50" t="s">
        <v>1008</v>
      </c>
      <c r="B2568" s="51" t="n">
        <v>45811</v>
      </c>
      <c r="C2568" s="50" t="s">
        <v>358</v>
      </c>
      <c r="D2568" s="50" t="s">
        <v>2177</v>
      </c>
      <c r="E2568" s="50" t="n">
        <v>2</v>
      </c>
      <c r="F2568" s="50" t="s">
        <v>2174</v>
      </c>
      <c r="G2568" s="54" t="n">
        <v>2187800</v>
      </c>
    </row>
    <row r="2569" customFormat="false" ht="15" hidden="false" customHeight="false" outlineLevel="0" collapsed="false">
      <c r="A2569" s="50" t="s">
        <v>1009</v>
      </c>
      <c r="B2569" s="51" t="n">
        <v>45811</v>
      </c>
      <c r="C2569" s="50" t="s">
        <v>195</v>
      </c>
      <c r="D2569" s="50" t="s">
        <v>2169</v>
      </c>
      <c r="E2569" s="50" t="n">
        <v>2</v>
      </c>
      <c r="F2569" s="50" t="s">
        <v>2167</v>
      </c>
      <c r="G2569" s="54" t="n">
        <v>1207300</v>
      </c>
    </row>
    <row r="2570" customFormat="false" ht="15" hidden="false" customHeight="false" outlineLevel="0" collapsed="false">
      <c r="A2570" s="50" t="s">
        <v>1009</v>
      </c>
      <c r="B2570" s="51" t="n">
        <v>45811</v>
      </c>
      <c r="C2570" s="50" t="s">
        <v>195</v>
      </c>
      <c r="D2570" s="50" t="s">
        <v>2182</v>
      </c>
      <c r="E2570" s="50" t="n">
        <v>5</v>
      </c>
      <c r="F2570" s="50" t="s">
        <v>2174</v>
      </c>
      <c r="G2570" s="54" t="n">
        <v>4684700</v>
      </c>
    </row>
    <row r="2571" customFormat="false" ht="15" hidden="false" customHeight="false" outlineLevel="0" collapsed="false">
      <c r="A2571" s="50" t="s">
        <v>1009</v>
      </c>
      <c r="B2571" s="51" t="n">
        <v>45811</v>
      </c>
      <c r="C2571" s="50" t="s">
        <v>195</v>
      </c>
      <c r="D2571" s="50" t="s">
        <v>2175</v>
      </c>
      <c r="E2571" s="50" t="n">
        <v>5</v>
      </c>
      <c r="F2571" s="50" t="s">
        <v>2167</v>
      </c>
      <c r="G2571" s="54" t="n">
        <v>3262500</v>
      </c>
    </row>
    <row r="2572" customFormat="false" ht="15" hidden="false" customHeight="false" outlineLevel="0" collapsed="false">
      <c r="A2572" s="50" t="s">
        <v>1009</v>
      </c>
      <c r="B2572" s="51" t="n">
        <v>45811</v>
      </c>
      <c r="C2572" s="50" t="s">
        <v>195</v>
      </c>
      <c r="D2572" s="50" t="s">
        <v>2177</v>
      </c>
      <c r="E2572" s="50" t="n">
        <v>8</v>
      </c>
      <c r="F2572" s="50" t="s">
        <v>2174</v>
      </c>
      <c r="G2572" s="54" t="n">
        <v>8697300</v>
      </c>
    </row>
    <row r="2573" customFormat="false" ht="15" hidden="false" customHeight="false" outlineLevel="0" collapsed="false">
      <c r="A2573" s="50" t="s">
        <v>1009</v>
      </c>
      <c r="B2573" s="51" t="n">
        <v>45811</v>
      </c>
      <c r="C2573" s="50" t="s">
        <v>195</v>
      </c>
      <c r="D2573" s="50" t="s">
        <v>2166</v>
      </c>
      <c r="E2573" s="50" t="n">
        <v>7</v>
      </c>
      <c r="F2573" s="50" t="s">
        <v>2167</v>
      </c>
      <c r="G2573" s="54" t="n">
        <v>3848800</v>
      </c>
    </row>
    <row r="2574" customFormat="false" ht="15" hidden="false" customHeight="false" outlineLevel="0" collapsed="false">
      <c r="A2574" s="50" t="s">
        <v>1010</v>
      </c>
      <c r="B2574" s="51" t="n">
        <v>45811</v>
      </c>
      <c r="C2574" s="50" t="s">
        <v>188</v>
      </c>
      <c r="D2574" s="50" t="s">
        <v>2185</v>
      </c>
      <c r="E2574" s="50" t="n">
        <v>7</v>
      </c>
      <c r="F2574" s="50" t="s">
        <v>2174</v>
      </c>
      <c r="G2574" s="54" t="n">
        <v>5592000</v>
      </c>
    </row>
    <row r="2575" customFormat="false" ht="15" hidden="false" customHeight="false" outlineLevel="0" collapsed="false">
      <c r="A2575" s="50" t="s">
        <v>1010</v>
      </c>
      <c r="B2575" s="51" t="n">
        <v>45811</v>
      </c>
      <c r="C2575" s="50" t="s">
        <v>188</v>
      </c>
      <c r="D2575" s="50" t="s">
        <v>2173</v>
      </c>
      <c r="E2575" s="50" t="n">
        <v>1</v>
      </c>
      <c r="F2575" s="50" t="s">
        <v>2174</v>
      </c>
      <c r="G2575" s="54" t="n">
        <v>776200</v>
      </c>
    </row>
    <row r="2576" customFormat="false" ht="15" hidden="false" customHeight="false" outlineLevel="0" collapsed="false">
      <c r="A2576" s="50" t="s">
        <v>1010</v>
      </c>
      <c r="B2576" s="51" t="n">
        <v>45811</v>
      </c>
      <c r="C2576" s="50" t="s">
        <v>188</v>
      </c>
      <c r="D2576" s="50" t="s">
        <v>2186</v>
      </c>
      <c r="E2576" s="50" t="n">
        <v>7</v>
      </c>
      <c r="F2576" s="50" t="s">
        <v>2167</v>
      </c>
      <c r="G2576" s="54" t="n">
        <v>4052500</v>
      </c>
    </row>
    <row r="2577" customFormat="false" ht="15" hidden="false" customHeight="false" outlineLevel="0" collapsed="false">
      <c r="A2577" s="50" t="s">
        <v>1011</v>
      </c>
      <c r="B2577" s="51" t="n">
        <v>45811</v>
      </c>
      <c r="C2577" s="50" t="s">
        <v>766</v>
      </c>
      <c r="D2577" s="50" t="s">
        <v>2176</v>
      </c>
      <c r="E2577" s="50" t="n">
        <v>8</v>
      </c>
      <c r="F2577" s="50" t="s">
        <v>2167</v>
      </c>
      <c r="G2577" s="54" t="n">
        <v>3352200</v>
      </c>
    </row>
    <row r="2578" customFormat="false" ht="15" hidden="false" customHeight="false" outlineLevel="0" collapsed="false">
      <c r="A2578" s="50" t="s">
        <v>1011</v>
      </c>
      <c r="B2578" s="51" t="n">
        <v>45811</v>
      </c>
      <c r="C2578" s="50" t="s">
        <v>766</v>
      </c>
      <c r="D2578" s="50" t="s">
        <v>2168</v>
      </c>
      <c r="E2578" s="50" t="n">
        <v>3</v>
      </c>
      <c r="F2578" s="50" t="s">
        <v>2167</v>
      </c>
      <c r="G2578" s="54" t="n">
        <v>1340600</v>
      </c>
    </row>
    <row r="2579" customFormat="false" ht="15" hidden="false" customHeight="false" outlineLevel="0" collapsed="false">
      <c r="A2579" s="50" t="s">
        <v>1011</v>
      </c>
      <c r="B2579" s="51" t="n">
        <v>45811</v>
      </c>
      <c r="C2579" s="50" t="s">
        <v>766</v>
      </c>
      <c r="D2579" s="50" t="s">
        <v>2182</v>
      </c>
      <c r="E2579" s="50" t="n">
        <v>7</v>
      </c>
      <c r="F2579" s="50" t="s">
        <v>2174</v>
      </c>
      <c r="G2579" s="54" t="n">
        <v>6521000</v>
      </c>
    </row>
    <row r="2580" customFormat="false" ht="15" hidden="false" customHeight="false" outlineLevel="0" collapsed="false">
      <c r="A2580" s="50" t="s">
        <v>1011</v>
      </c>
      <c r="B2580" s="51" t="n">
        <v>45811</v>
      </c>
      <c r="C2580" s="50" t="s">
        <v>766</v>
      </c>
      <c r="D2580" s="50" t="s">
        <v>2178</v>
      </c>
      <c r="E2580" s="50" t="n">
        <v>5</v>
      </c>
      <c r="F2580" s="50" t="s">
        <v>2167</v>
      </c>
      <c r="G2580" s="54" t="n">
        <v>2355000</v>
      </c>
    </row>
    <row r="2581" customFormat="false" ht="15" hidden="false" customHeight="false" outlineLevel="0" collapsed="false">
      <c r="A2581" s="50" t="s">
        <v>1011</v>
      </c>
      <c r="B2581" s="51" t="n">
        <v>45811</v>
      </c>
      <c r="C2581" s="50" t="s">
        <v>766</v>
      </c>
      <c r="D2581" s="50" t="s">
        <v>2169</v>
      </c>
      <c r="E2581" s="50" t="n">
        <v>3</v>
      </c>
      <c r="F2581" s="50" t="s">
        <v>2167</v>
      </c>
      <c r="G2581" s="54" t="n">
        <v>1898000</v>
      </c>
    </row>
    <row r="2582" customFormat="false" ht="15" hidden="false" customHeight="false" outlineLevel="0" collapsed="false">
      <c r="A2582" s="50" t="s">
        <v>1011</v>
      </c>
      <c r="B2582" s="51" t="n">
        <v>45811</v>
      </c>
      <c r="C2582" s="50" t="s">
        <v>766</v>
      </c>
      <c r="D2582" s="50" t="s">
        <v>2184</v>
      </c>
      <c r="E2582" s="50" t="n">
        <v>2</v>
      </c>
      <c r="F2582" s="50" t="s">
        <v>2167</v>
      </c>
      <c r="G2582" s="54" t="n">
        <v>1155500</v>
      </c>
    </row>
    <row r="2583" customFormat="false" ht="15" hidden="false" customHeight="false" outlineLevel="0" collapsed="false">
      <c r="A2583" s="50" t="s">
        <v>1011</v>
      </c>
      <c r="B2583" s="51" t="n">
        <v>45811</v>
      </c>
      <c r="C2583" s="50" t="s">
        <v>766</v>
      </c>
      <c r="D2583" s="50" t="s">
        <v>2166</v>
      </c>
      <c r="E2583" s="50" t="n">
        <v>3</v>
      </c>
      <c r="F2583" s="50" t="s">
        <v>2167</v>
      </c>
      <c r="G2583" s="54" t="n">
        <v>1612900</v>
      </c>
    </row>
    <row r="2584" customFormat="false" ht="15" hidden="false" customHeight="false" outlineLevel="0" collapsed="false">
      <c r="A2584" s="50" t="s">
        <v>1012</v>
      </c>
      <c r="B2584" s="51" t="n">
        <v>45812</v>
      </c>
      <c r="C2584" s="50" t="s">
        <v>166</v>
      </c>
      <c r="D2584" s="50" t="s">
        <v>2182</v>
      </c>
      <c r="E2584" s="50" t="n">
        <v>2</v>
      </c>
      <c r="F2584" s="50" t="s">
        <v>2174</v>
      </c>
      <c r="G2584" s="54" t="n">
        <v>1843800</v>
      </c>
    </row>
    <row r="2585" customFormat="false" ht="15" hidden="false" customHeight="false" outlineLevel="0" collapsed="false">
      <c r="A2585" s="50" t="s">
        <v>1012</v>
      </c>
      <c r="B2585" s="51" t="n">
        <v>45812</v>
      </c>
      <c r="C2585" s="50" t="s">
        <v>166</v>
      </c>
      <c r="D2585" s="50" t="s">
        <v>2180</v>
      </c>
      <c r="E2585" s="50" t="n">
        <v>5</v>
      </c>
      <c r="F2585" s="50" t="s">
        <v>2167</v>
      </c>
      <c r="G2585" s="54" t="n">
        <v>2220400</v>
      </c>
    </row>
    <row r="2586" customFormat="false" ht="15" hidden="false" customHeight="false" outlineLevel="0" collapsed="false">
      <c r="A2586" s="50" t="s">
        <v>1012</v>
      </c>
      <c r="B2586" s="51" t="n">
        <v>45812</v>
      </c>
      <c r="C2586" s="50" t="s">
        <v>166</v>
      </c>
      <c r="D2586" s="50" t="s">
        <v>2172</v>
      </c>
      <c r="E2586" s="50" t="n">
        <v>1</v>
      </c>
      <c r="F2586" s="50" t="s">
        <v>2167</v>
      </c>
      <c r="G2586" s="54" t="n">
        <v>518900</v>
      </c>
    </row>
    <row r="2587" customFormat="false" ht="15" hidden="false" customHeight="false" outlineLevel="0" collapsed="false">
      <c r="A2587" s="50" t="s">
        <v>1013</v>
      </c>
      <c r="B2587" s="51" t="n">
        <v>45812</v>
      </c>
      <c r="C2587" s="50" t="s">
        <v>228</v>
      </c>
      <c r="D2587" s="50" t="s">
        <v>2186</v>
      </c>
      <c r="E2587" s="50" t="n">
        <v>8</v>
      </c>
      <c r="F2587" s="50" t="s">
        <v>2167</v>
      </c>
      <c r="G2587" s="54" t="n">
        <v>4717900</v>
      </c>
    </row>
    <row r="2588" customFormat="false" ht="15" hidden="false" customHeight="false" outlineLevel="0" collapsed="false">
      <c r="A2588" s="50" t="s">
        <v>1013</v>
      </c>
      <c r="B2588" s="51" t="n">
        <v>45812</v>
      </c>
      <c r="C2588" s="50" t="s">
        <v>228</v>
      </c>
      <c r="D2588" s="50" t="s">
        <v>2185</v>
      </c>
      <c r="E2588" s="50" t="n">
        <v>7</v>
      </c>
      <c r="F2588" s="50" t="s">
        <v>2174</v>
      </c>
      <c r="G2588" s="54" t="n">
        <v>5627300</v>
      </c>
    </row>
    <row r="2589" customFormat="false" ht="15" hidden="false" customHeight="false" outlineLevel="0" collapsed="false">
      <c r="A2589" s="50" t="s">
        <v>1013</v>
      </c>
      <c r="B2589" s="51" t="n">
        <v>45812</v>
      </c>
      <c r="C2589" s="50" t="s">
        <v>228</v>
      </c>
      <c r="D2589" s="50" t="s">
        <v>2183</v>
      </c>
      <c r="E2589" s="50" t="n">
        <v>1</v>
      </c>
      <c r="F2589" s="50" t="s">
        <v>2167</v>
      </c>
      <c r="G2589" s="54" t="n">
        <v>374100</v>
      </c>
    </row>
    <row r="2590" customFormat="false" ht="15" hidden="false" customHeight="false" outlineLevel="0" collapsed="false">
      <c r="A2590" s="50" t="s">
        <v>1013</v>
      </c>
      <c r="B2590" s="51" t="n">
        <v>45812</v>
      </c>
      <c r="C2590" s="50" t="s">
        <v>228</v>
      </c>
      <c r="D2590" s="50" t="s">
        <v>2166</v>
      </c>
      <c r="E2590" s="50" t="n">
        <v>2</v>
      </c>
      <c r="F2590" s="50" t="s">
        <v>2167</v>
      </c>
      <c r="G2590" s="54" t="n">
        <v>1085700</v>
      </c>
    </row>
    <row r="2591" customFormat="false" ht="15" hidden="false" customHeight="false" outlineLevel="0" collapsed="false">
      <c r="A2591" s="50" t="s">
        <v>1013</v>
      </c>
      <c r="B2591" s="51" t="n">
        <v>45812</v>
      </c>
      <c r="C2591" s="50" t="s">
        <v>228</v>
      </c>
      <c r="D2591" s="50" t="s">
        <v>2168</v>
      </c>
      <c r="E2591" s="50" t="n">
        <v>2</v>
      </c>
      <c r="F2591" s="50" t="s">
        <v>2167</v>
      </c>
      <c r="G2591" s="54" t="n">
        <v>848600</v>
      </c>
    </row>
    <row r="2592" customFormat="false" ht="15" hidden="false" customHeight="false" outlineLevel="0" collapsed="false">
      <c r="A2592" s="50" t="s">
        <v>1014</v>
      </c>
      <c r="B2592" s="51" t="n">
        <v>45812</v>
      </c>
      <c r="C2592" s="50" t="s">
        <v>174</v>
      </c>
      <c r="D2592" s="50" t="s">
        <v>2180</v>
      </c>
      <c r="E2592" s="50" t="n">
        <v>6</v>
      </c>
      <c r="F2592" s="50" t="s">
        <v>2167</v>
      </c>
      <c r="G2592" s="54" t="n">
        <v>2716300</v>
      </c>
    </row>
    <row r="2593" customFormat="false" ht="15" hidden="false" customHeight="false" outlineLevel="0" collapsed="false">
      <c r="A2593" s="50" t="s">
        <v>1014</v>
      </c>
      <c r="B2593" s="51" t="n">
        <v>45812</v>
      </c>
      <c r="C2593" s="50" t="s">
        <v>174</v>
      </c>
      <c r="D2593" s="50" t="s">
        <v>2169</v>
      </c>
      <c r="E2593" s="50" t="n">
        <v>5</v>
      </c>
      <c r="F2593" s="50" t="s">
        <v>2167</v>
      </c>
      <c r="G2593" s="54" t="n">
        <v>3000400</v>
      </c>
    </row>
    <row r="2594" customFormat="false" ht="15" hidden="false" customHeight="false" outlineLevel="0" collapsed="false">
      <c r="A2594" s="50" t="s">
        <v>1015</v>
      </c>
      <c r="B2594" s="51" t="n">
        <v>45813</v>
      </c>
      <c r="C2594" s="50" t="s">
        <v>284</v>
      </c>
      <c r="D2594" s="50" t="s">
        <v>2173</v>
      </c>
      <c r="E2594" s="50" t="n">
        <v>2</v>
      </c>
      <c r="F2594" s="50" t="s">
        <v>2174</v>
      </c>
      <c r="G2594" s="54" t="n">
        <v>1631900</v>
      </c>
    </row>
    <row r="2595" customFormat="false" ht="15" hidden="false" customHeight="false" outlineLevel="0" collapsed="false">
      <c r="A2595" s="50" t="s">
        <v>1015</v>
      </c>
      <c r="B2595" s="51" t="n">
        <v>45813</v>
      </c>
      <c r="C2595" s="50" t="s">
        <v>284</v>
      </c>
      <c r="D2595" s="50" t="s">
        <v>2179</v>
      </c>
      <c r="E2595" s="50" t="n">
        <v>1</v>
      </c>
      <c r="F2595" s="50" t="s">
        <v>2174</v>
      </c>
      <c r="G2595" s="54" t="n">
        <v>1226700</v>
      </c>
    </row>
    <row r="2596" customFormat="false" ht="15" hidden="false" customHeight="false" outlineLevel="0" collapsed="false">
      <c r="A2596" s="50" t="s">
        <v>1016</v>
      </c>
      <c r="B2596" s="51" t="n">
        <v>45813</v>
      </c>
      <c r="C2596" s="50" t="s">
        <v>329</v>
      </c>
      <c r="D2596" s="50" t="s">
        <v>2172</v>
      </c>
      <c r="E2596" s="50" t="n">
        <v>6</v>
      </c>
      <c r="F2596" s="50" t="s">
        <v>2167</v>
      </c>
      <c r="G2596" s="54" t="n">
        <v>3014000</v>
      </c>
    </row>
    <row r="2597" customFormat="false" ht="15" hidden="false" customHeight="false" outlineLevel="0" collapsed="false">
      <c r="A2597" s="50" t="s">
        <v>1016</v>
      </c>
      <c r="B2597" s="51" t="n">
        <v>45813</v>
      </c>
      <c r="C2597" s="50" t="s">
        <v>329</v>
      </c>
      <c r="D2597" s="50" t="s">
        <v>2186</v>
      </c>
      <c r="E2597" s="50" t="n">
        <v>4</v>
      </c>
      <c r="F2597" s="50" t="s">
        <v>2167</v>
      </c>
      <c r="G2597" s="54" t="n">
        <v>2328300</v>
      </c>
    </row>
    <row r="2598" customFormat="false" ht="15" hidden="false" customHeight="false" outlineLevel="0" collapsed="false">
      <c r="A2598" s="50" t="s">
        <v>1016</v>
      </c>
      <c r="B2598" s="51" t="n">
        <v>45813</v>
      </c>
      <c r="C2598" s="50" t="s">
        <v>329</v>
      </c>
      <c r="D2598" s="50" t="s">
        <v>2178</v>
      </c>
      <c r="E2598" s="50" t="n">
        <v>6</v>
      </c>
      <c r="F2598" s="50" t="s">
        <v>2167</v>
      </c>
      <c r="G2598" s="54" t="n">
        <v>2765700</v>
      </c>
    </row>
    <row r="2599" customFormat="false" ht="15" hidden="false" customHeight="false" outlineLevel="0" collapsed="false">
      <c r="A2599" s="50" t="s">
        <v>1016</v>
      </c>
      <c r="B2599" s="51" t="n">
        <v>45813</v>
      </c>
      <c r="C2599" s="50" t="s">
        <v>329</v>
      </c>
      <c r="D2599" s="50" t="s">
        <v>2173</v>
      </c>
      <c r="E2599" s="50" t="n">
        <v>6</v>
      </c>
      <c r="F2599" s="50" t="s">
        <v>2174</v>
      </c>
      <c r="G2599" s="54" t="n">
        <v>4775800</v>
      </c>
    </row>
    <row r="2600" customFormat="false" ht="15" hidden="false" customHeight="false" outlineLevel="0" collapsed="false">
      <c r="A2600" s="50" t="s">
        <v>1016</v>
      </c>
      <c r="B2600" s="51" t="n">
        <v>45813</v>
      </c>
      <c r="C2600" s="50" t="s">
        <v>329</v>
      </c>
      <c r="D2600" s="50" t="s">
        <v>2169</v>
      </c>
      <c r="E2600" s="50" t="n">
        <v>2</v>
      </c>
      <c r="F2600" s="50" t="s">
        <v>2167</v>
      </c>
      <c r="G2600" s="54" t="n">
        <v>1205600</v>
      </c>
    </row>
    <row r="2601" customFormat="false" ht="15" hidden="false" customHeight="false" outlineLevel="0" collapsed="false">
      <c r="A2601" s="50" t="s">
        <v>1016</v>
      </c>
      <c r="B2601" s="51" t="n">
        <v>45813</v>
      </c>
      <c r="C2601" s="50" t="s">
        <v>329</v>
      </c>
      <c r="D2601" s="50" t="s">
        <v>2180</v>
      </c>
      <c r="E2601" s="50" t="n">
        <v>6</v>
      </c>
      <c r="F2601" s="50" t="s">
        <v>2167</v>
      </c>
      <c r="G2601" s="54" t="n">
        <v>2771000</v>
      </c>
    </row>
    <row r="2602" customFormat="false" ht="15" hidden="false" customHeight="false" outlineLevel="0" collapsed="false">
      <c r="A2602" s="50" t="s">
        <v>1017</v>
      </c>
      <c r="B2602" s="51" t="n">
        <v>45813</v>
      </c>
      <c r="C2602" s="50" t="s">
        <v>358</v>
      </c>
      <c r="D2602" s="50" t="s">
        <v>2178</v>
      </c>
      <c r="E2602" s="50" t="n">
        <v>3</v>
      </c>
      <c r="F2602" s="50" t="s">
        <v>2167</v>
      </c>
      <c r="G2602" s="54" t="n">
        <v>1429500</v>
      </c>
    </row>
    <row r="2603" customFormat="false" ht="15" hidden="false" customHeight="false" outlineLevel="0" collapsed="false">
      <c r="A2603" s="50" t="s">
        <v>1017</v>
      </c>
      <c r="B2603" s="51" t="n">
        <v>45813</v>
      </c>
      <c r="C2603" s="50" t="s">
        <v>358</v>
      </c>
      <c r="D2603" s="50" t="s">
        <v>2176</v>
      </c>
      <c r="E2603" s="50" t="n">
        <v>8</v>
      </c>
      <c r="F2603" s="50" t="s">
        <v>2167</v>
      </c>
      <c r="G2603" s="54" t="n">
        <v>3309000</v>
      </c>
    </row>
    <row r="2604" customFormat="false" ht="15" hidden="false" customHeight="false" outlineLevel="0" collapsed="false">
      <c r="A2604" s="50" t="s">
        <v>1017</v>
      </c>
      <c r="B2604" s="51" t="n">
        <v>45813</v>
      </c>
      <c r="C2604" s="50" t="s">
        <v>358</v>
      </c>
      <c r="D2604" s="50" t="s">
        <v>2186</v>
      </c>
      <c r="E2604" s="50" t="n">
        <v>5</v>
      </c>
      <c r="F2604" s="50" t="s">
        <v>2167</v>
      </c>
      <c r="G2604" s="54" t="n">
        <v>2911500</v>
      </c>
    </row>
    <row r="2605" customFormat="false" ht="15" hidden="false" customHeight="false" outlineLevel="0" collapsed="false">
      <c r="A2605" s="50" t="s">
        <v>1018</v>
      </c>
      <c r="B2605" s="51" t="n">
        <v>45814</v>
      </c>
      <c r="C2605" s="50" t="s">
        <v>967</v>
      </c>
      <c r="D2605" s="50" t="s">
        <v>2169</v>
      </c>
      <c r="E2605" s="50" t="n">
        <v>5</v>
      </c>
      <c r="F2605" s="50" t="s">
        <v>2167</v>
      </c>
      <c r="G2605" s="54" t="n">
        <v>3207100</v>
      </c>
    </row>
    <row r="2606" customFormat="false" ht="15" hidden="false" customHeight="false" outlineLevel="0" collapsed="false">
      <c r="A2606" s="50" t="s">
        <v>1018</v>
      </c>
      <c r="B2606" s="51" t="n">
        <v>45814</v>
      </c>
      <c r="C2606" s="50" t="s">
        <v>967</v>
      </c>
      <c r="D2606" s="50" t="s">
        <v>2175</v>
      </c>
      <c r="E2606" s="50" t="n">
        <v>6</v>
      </c>
      <c r="F2606" s="50" t="s">
        <v>2167</v>
      </c>
      <c r="G2606" s="54" t="n">
        <v>3832000</v>
      </c>
    </row>
    <row r="2607" customFormat="false" ht="15" hidden="false" customHeight="false" outlineLevel="0" collapsed="false">
      <c r="A2607" s="50" t="s">
        <v>1018</v>
      </c>
      <c r="B2607" s="51" t="n">
        <v>45814</v>
      </c>
      <c r="C2607" s="50" t="s">
        <v>967</v>
      </c>
      <c r="D2607" s="50" t="s">
        <v>2186</v>
      </c>
      <c r="E2607" s="50" t="n">
        <v>4</v>
      </c>
      <c r="F2607" s="50" t="s">
        <v>2167</v>
      </c>
      <c r="G2607" s="54" t="n">
        <v>2435500</v>
      </c>
    </row>
    <row r="2608" customFormat="false" ht="15" hidden="false" customHeight="false" outlineLevel="0" collapsed="false">
      <c r="A2608" s="50" t="s">
        <v>1018</v>
      </c>
      <c r="B2608" s="51" t="n">
        <v>45814</v>
      </c>
      <c r="C2608" s="50" t="s">
        <v>967</v>
      </c>
      <c r="D2608" s="50" t="s">
        <v>2181</v>
      </c>
      <c r="E2608" s="50" t="n">
        <v>5</v>
      </c>
      <c r="F2608" s="50" t="s">
        <v>2167</v>
      </c>
      <c r="G2608" s="54" t="n">
        <v>5962200</v>
      </c>
    </row>
    <row r="2609" customFormat="false" ht="15" hidden="false" customHeight="false" outlineLevel="0" collapsed="false">
      <c r="A2609" s="50" t="s">
        <v>1018</v>
      </c>
      <c r="B2609" s="51" t="n">
        <v>45814</v>
      </c>
      <c r="C2609" s="50" t="s">
        <v>967</v>
      </c>
      <c r="D2609" s="50" t="s">
        <v>2187</v>
      </c>
      <c r="E2609" s="50" t="n">
        <v>3</v>
      </c>
      <c r="F2609" s="50" t="s">
        <v>2167</v>
      </c>
      <c r="G2609" s="54" t="n">
        <v>1017800</v>
      </c>
    </row>
    <row r="2610" customFormat="false" ht="15" hidden="false" customHeight="false" outlineLevel="0" collapsed="false">
      <c r="A2610" s="50" t="s">
        <v>1019</v>
      </c>
      <c r="B2610" s="51" t="n">
        <v>45814</v>
      </c>
      <c r="C2610" s="50" t="s">
        <v>174</v>
      </c>
      <c r="D2610" s="50" t="s">
        <v>2182</v>
      </c>
      <c r="E2610" s="50" t="n">
        <v>3</v>
      </c>
      <c r="F2610" s="50" t="s">
        <v>2174</v>
      </c>
      <c r="G2610" s="54" t="n">
        <v>2802000</v>
      </c>
    </row>
    <row r="2611" customFormat="false" ht="15" hidden="false" customHeight="false" outlineLevel="0" collapsed="false">
      <c r="A2611" s="50" t="s">
        <v>1019</v>
      </c>
      <c r="B2611" s="51" t="n">
        <v>45814</v>
      </c>
      <c r="C2611" s="50" t="s">
        <v>174</v>
      </c>
      <c r="D2611" s="50" t="s">
        <v>2168</v>
      </c>
      <c r="E2611" s="50" t="n">
        <v>2</v>
      </c>
      <c r="F2611" s="50" t="s">
        <v>2167</v>
      </c>
      <c r="G2611" s="54" t="n">
        <v>887700</v>
      </c>
    </row>
    <row r="2612" customFormat="false" ht="15" hidden="false" customHeight="false" outlineLevel="0" collapsed="false">
      <c r="A2612" s="50" t="s">
        <v>1019</v>
      </c>
      <c r="B2612" s="51" t="n">
        <v>45814</v>
      </c>
      <c r="C2612" s="50" t="s">
        <v>174</v>
      </c>
      <c r="D2612" s="50" t="s">
        <v>2183</v>
      </c>
      <c r="E2612" s="50" t="n">
        <v>8</v>
      </c>
      <c r="F2612" s="50" t="s">
        <v>2167</v>
      </c>
      <c r="G2612" s="54" t="n">
        <v>2990500</v>
      </c>
    </row>
    <row r="2613" customFormat="false" ht="15" hidden="false" customHeight="false" outlineLevel="0" collapsed="false">
      <c r="A2613" s="50" t="s">
        <v>1019</v>
      </c>
      <c r="B2613" s="51" t="n">
        <v>45814</v>
      </c>
      <c r="C2613" s="50" t="s">
        <v>174</v>
      </c>
      <c r="D2613" s="50" t="s">
        <v>2187</v>
      </c>
      <c r="E2613" s="50" t="n">
        <v>3</v>
      </c>
      <c r="F2613" s="50" t="s">
        <v>2167</v>
      </c>
      <c r="G2613" s="54" t="n">
        <v>1025100</v>
      </c>
    </row>
    <row r="2614" customFormat="false" ht="15" hidden="false" customHeight="false" outlineLevel="0" collapsed="false">
      <c r="A2614" s="50" t="s">
        <v>1019</v>
      </c>
      <c r="B2614" s="51" t="n">
        <v>45814</v>
      </c>
      <c r="C2614" s="50" t="s">
        <v>174</v>
      </c>
      <c r="D2614" s="50" t="s">
        <v>2184</v>
      </c>
      <c r="E2614" s="50" t="n">
        <v>8</v>
      </c>
      <c r="F2614" s="50" t="s">
        <v>2167</v>
      </c>
      <c r="G2614" s="54" t="n">
        <v>4536400</v>
      </c>
    </row>
    <row r="2615" customFormat="false" ht="15" hidden="false" customHeight="false" outlineLevel="0" collapsed="false">
      <c r="A2615" s="50" t="s">
        <v>1020</v>
      </c>
      <c r="B2615" s="51" t="n">
        <v>45814</v>
      </c>
      <c r="C2615" s="50" t="s">
        <v>465</v>
      </c>
      <c r="D2615" s="50" t="s">
        <v>2180</v>
      </c>
      <c r="E2615" s="50" t="n">
        <v>5</v>
      </c>
      <c r="F2615" s="50" t="s">
        <v>2167</v>
      </c>
      <c r="G2615" s="54" t="n">
        <v>2213000</v>
      </c>
    </row>
    <row r="2616" customFormat="false" ht="15" hidden="false" customHeight="false" outlineLevel="0" collapsed="false">
      <c r="A2616" s="50" t="s">
        <v>1020</v>
      </c>
      <c r="B2616" s="51" t="n">
        <v>45814</v>
      </c>
      <c r="C2616" s="50" t="s">
        <v>465</v>
      </c>
      <c r="D2616" s="50" t="s">
        <v>2183</v>
      </c>
      <c r="E2616" s="50" t="n">
        <v>7</v>
      </c>
      <c r="F2616" s="50" t="s">
        <v>2167</v>
      </c>
      <c r="G2616" s="54" t="n">
        <v>2665900</v>
      </c>
    </row>
    <row r="2617" customFormat="false" ht="15" hidden="false" customHeight="false" outlineLevel="0" collapsed="false">
      <c r="A2617" s="50" t="s">
        <v>1020</v>
      </c>
      <c r="B2617" s="51" t="n">
        <v>45814</v>
      </c>
      <c r="C2617" s="50" t="s">
        <v>465</v>
      </c>
      <c r="D2617" s="50" t="s">
        <v>2177</v>
      </c>
      <c r="E2617" s="50" t="n">
        <v>5</v>
      </c>
      <c r="F2617" s="50" t="s">
        <v>2174</v>
      </c>
      <c r="G2617" s="54" t="n">
        <v>5691600</v>
      </c>
    </row>
    <row r="2618" customFormat="false" ht="15" hidden="false" customHeight="false" outlineLevel="0" collapsed="false">
      <c r="A2618" s="50" t="s">
        <v>1020</v>
      </c>
      <c r="B2618" s="51" t="n">
        <v>45814</v>
      </c>
      <c r="C2618" s="50" t="s">
        <v>465</v>
      </c>
      <c r="D2618" s="50" t="s">
        <v>2179</v>
      </c>
      <c r="E2618" s="50" t="n">
        <v>8</v>
      </c>
      <c r="F2618" s="50" t="s">
        <v>2174</v>
      </c>
      <c r="G2618" s="54" t="n">
        <v>9859300</v>
      </c>
    </row>
    <row r="2619" customFormat="false" ht="15" hidden="false" customHeight="false" outlineLevel="0" collapsed="false">
      <c r="A2619" s="50" t="s">
        <v>1020</v>
      </c>
      <c r="B2619" s="51" t="n">
        <v>45814</v>
      </c>
      <c r="C2619" s="50" t="s">
        <v>465</v>
      </c>
      <c r="D2619" s="50" t="s">
        <v>2178</v>
      </c>
      <c r="E2619" s="50" t="n">
        <v>4</v>
      </c>
      <c r="F2619" s="50" t="s">
        <v>2167</v>
      </c>
      <c r="G2619" s="54" t="n">
        <v>1988800</v>
      </c>
    </row>
    <row r="2620" customFormat="false" ht="15" hidden="false" customHeight="false" outlineLevel="0" collapsed="false">
      <c r="A2620" s="50" t="s">
        <v>1021</v>
      </c>
      <c r="B2620" s="51" t="n">
        <v>45814</v>
      </c>
      <c r="C2620" s="50" t="s">
        <v>778</v>
      </c>
      <c r="D2620" s="50" t="s">
        <v>2180</v>
      </c>
      <c r="E2620" s="50" t="n">
        <v>4</v>
      </c>
      <c r="F2620" s="50" t="s">
        <v>2167</v>
      </c>
      <c r="G2620" s="54" t="n">
        <v>1779800</v>
      </c>
    </row>
    <row r="2621" customFormat="false" ht="15" hidden="false" customHeight="false" outlineLevel="0" collapsed="false">
      <c r="A2621" s="50" t="s">
        <v>1021</v>
      </c>
      <c r="B2621" s="51" t="n">
        <v>45814</v>
      </c>
      <c r="C2621" s="50" t="s">
        <v>778</v>
      </c>
      <c r="D2621" s="50" t="s">
        <v>2186</v>
      </c>
      <c r="E2621" s="50" t="n">
        <v>7</v>
      </c>
      <c r="F2621" s="50" t="s">
        <v>2167</v>
      </c>
      <c r="G2621" s="54" t="n">
        <v>4255100</v>
      </c>
    </row>
    <row r="2622" customFormat="false" ht="15" hidden="false" customHeight="false" outlineLevel="0" collapsed="false">
      <c r="A2622" s="50" t="s">
        <v>1021</v>
      </c>
      <c r="B2622" s="51" t="n">
        <v>45814</v>
      </c>
      <c r="C2622" s="50" t="s">
        <v>778</v>
      </c>
      <c r="D2622" s="50" t="s">
        <v>2176</v>
      </c>
      <c r="E2622" s="50" t="n">
        <v>6</v>
      </c>
      <c r="F2622" s="50" t="s">
        <v>2167</v>
      </c>
      <c r="G2622" s="54" t="n">
        <v>2459600</v>
      </c>
    </row>
    <row r="2623" customFormat="false" ht="15" hidden="false" customHeight="false" outlineLevel="0" collapsed="false">
      <c r="A2623" s="50" t="s">
        <v>1021</v>
      </c>
      <c r="B2623" s="51" t="n">
        <v>45814</v>
      </c>
      <c r="C2623" s="50" t="s">
        <v>778</v>
      </c>
      <c r="D2623" s="50" t="s">
        <v>2168</v>
      </c>
      <c r="E2623" s="50" t="n">
        <v>4</v>
      </c>
      <c r="F2623" s="50" t="s">
        <v>2167</v>
      </c>
      <c r="G2623" s="54" t="n">
        <v>1678400</v>
      </c>
    </row>
    <row r="2624" customFormat="false" ht="15" hidden="false" customHeight="false" outlineLevel="0" collapsed="false">
      <c r="A2624" s="50" t="s">
        <v>1021</v>
      </c>
      <c r="B2624" s="51" t="n">
        <v>45814</v>
      </c>
      <c r="C2624" s="50" t="s">
        <v>778</v>
      </c>
      <c r="D2624" s="50" t="s">
        <v>2178</v>
      </c>
      <c r="E2624" s="50" t="n">
        <v>8</v>
      </c>
      <c r="F2624" s="50" t="s">
        <v>2167</v>
      </c>
      <c r="G2624" s="54" t="n">
        <v>3691300</v>
      </c>
    </row>
    <row r="2625" customFormat="false" ht="15" hidden="false" customHeight="false" outlineLevel="0" collapsed="false">
      <c r="A2625" s="50" t="s">
        <v>1022</v>
      </c>
      <c r="B2625" s="51" t="n">
        <v>45815</v>
      </c>
      <c r="C2625" s="50" t="s">
        <v>166</v>
      </c>
      <c r="D2625" s="50" t="s">
        <v>2184</v>
      </c>
      <c r="E2625" s="50" t="n">
        <v>6</v>
      </c>
      <c r="F2625" s="50" t="s">
        <v>2167</v>
      </c>
      <c r="G2625" s="54" t="n">
        <v>3305400</v>
      </c>
    </row>
    <row r="2626" customFormat="false" ht="15" hidden="false" customHeight="false" outlineLevel="0" collapsed="false">
      <c r="A2626" s="50" t="s">
        <v>1022</v>
      </c>
      <c r="B2626" s="51" t="n">
        <v>45815</v>
      </c>
      <c r="C2626" s="50" t="s">
        <v>166</v>
      </c>
      <c r="D2626" s="50" t="s">
        <v>2185</v>
      </c>
      <c r="E2626" s="50" t="n">
        <v>6</v>
      </c>
      <c r="F2626" s="50" t="s">
        <v>2174</v>
      </c>
      <c r="G2626" s="54" t="n">
        <v>4754500</v>
      </c>
    </row>
    <row r="2627" customFormat="false" ht="15" hidden="false" customHeight="false" outlineLevel="0" collapsed="false">
      <c r="A2627" s="50" t="s">
        <v>1022</v>
      </c>
      <c r="B2627" s="51" t="n">
        <v>45815</v>
      </c>
      <c r="C2627" s="50" t="s">
        <v>166</v>
      </c>
      <c r="D2627" s="50" t="s">
        <v>2176</v>
      </c>
      <c r="E2627" s="50" t="n">
        <v>6</v>
      </c>
      <c r="F2627" s="50" t="s">
        <v>2167</v>
      </c>
      <c r="G2627" s="54" t="n">
        <v>2561700</v>
      </c>
    </row>
    <row r="2628" customFormat="false" ht="15" hidden="false" customHeight="false" outlineLevel="0" collapsed="false">
      <c r="A2628" s="50" t="s">
        <v>1023</v>
      </c>
      <c r="B2628" s="51" t="n">
        <v>45815</v>
      </c>
      <c r="C2628" s="50" t="s">
        <v>172</v>
      </c>
      <c r="D2628" s="50" t="s">
        <v>2184</v>
      </c>
      <c r="E2628" s="50" t="n">
        <v>5</v>
      </c>
      <c r="F2628" s="50" t="s">
        <v>2167</v>
      </c>
      <c r="G2628" s="54" t="n">
        <v>2801500</v>
      </c>
    </row>
    <row r="2629" customFormat="false" ht="15" hidden="false" customHeight="false" outlineLevel="0" collapsed="false">
      <c r="A2629" s="50" t="s">
        <v>1023</v>
      </c>
      <c r="B2629" s="51" t="n">
        <v>45815</v>
      </c>
      <c r="C2629" s="50" t="s">
        <v>172</v>
      </c>
      <c r="D2629" s="50" t="s">
        <v>2168</v>
      </c>
      <c r="E2629" s="50" t="n">
        <v>1</v>
      </c>
      <c r="F2629" s="50" t="s">
        <v>2167</v>
      </c>
      <c r="G2629" s="54" t="n">
        <v>417600</v>
      </c>
    </row>
    <row r="2630" customFormat="false" ht="15" hidden="false" customHeight="false" outlineLevel="0" collapsed="false">
      <c r="A2630" s="50" t="s">
        <v>1023</v>
      </c>
      <c r="B2630" s="51" t="n">
        <v>45815</v>
      </c>
      <c r="C2630" s="50" t="s">
        <v>172</v>
      </c>
      <c r="D2630" s="50" t="s">
        <v>2188</v>
      </c>
      <c r="E2630" s="50" t="n">
        <v>4</v>
      </c>
      <c r="F2630" s="50" t="s">
        <v>2167</v>
      </c>
      <c r="G2630" s="54" t="n">
        <v>3789200</v>
      </c>
    </row>
    <row r="2631" customFormat="false" ht="15" hidden="false" customHeight="false" outlineLevel="0" collapsed="false">
      <c r="A2631" s="50" t="s">
        <v>1023</v>
      </c>
      <c r="B2631" s="51" t="n">
        <v>45815</v>
      </c>
      <c r="C2631" s="50" t="s">
        <v>172</v>
      </c>
      <c r="D2631" s="50" t="s">
        <v>2176</v>
      </c>
      <c r="E2631" s="50" t="n">
        <v>5</v>
      </c>
      <c r="F2631" s="50" t="s">
        <v>2167</v>
      </c>
      <c r="G2631" s="54" t="n">
        <v>2147500</v>
      </c>
    </row>
    <row r="2632" customFormat="false" ht="15" hidden="false" customHeight="false" outlineLevel="0" collapsed="false">
      <c r="A2632" s="50" t="s">
        <v>1024</v>
      </c>
      <c r="B2632" s="51" t="n">
        <v>45815</v>
      </c>
      <c r="C2632" s="50" t="s">
        <v>410</v>
      </c>
      <c r="D2632" s="50" t="s">
        <v>2172</v>
      </c>
      <c r="E2632" s="50" t="n">
        <v>1</v>
      </c>
      <c r="F2632" s="50" t="s">
        <v>2167</v>
      </c>
      <c r="G2632" s="54" t="n">
        <v>540400</v>
      </c>
    </row>
    <row r="2633" customFormat="false" ht="15" hidden="false" customHeight="false" outlineLevel="0" collapsed="false">
      <c r="A2633" s="50" t="s">
        <v>1024</v>
      </c>
      <c r="B2633" s="51" t="n">
        <v>45815</v>
      </c>
      <c r="C2633" s="50" t="s">
        <v>410</v>
      </c>
      <c r="D2633" s="50" t="s">
        <v>2186</v>
      </c>
      <c r="E2633" s="50" t="n">
        <v>5</v>
      </c>
      <c r="F2633" s="50" t="s">
        <v>2167</v>
      </c>
      <c r="G2633" s="54" t="n">
        <v>3046600</v>
      </c>
    </row>
    <row r="2634" customFormat="false" ht="15" hidden="false" customHeight="false" outlineLevel="0" collapsed="false">
      <c r="A2634" s="50" t="s">
        <v>1024</v>
      </c>
      <c r="B2634" s="51" t="n">
        <v>45815</v>
      </c>
      <c r="C2634" s="50" t="s">
        <v>410</v>
      </c>
      <c r="D2634" s="50" t="s">
        <v>2178</v>
      </c>
      <c r="E2634" s="50" t="n">
        <v>1</v>
      </c>
      <c r="F2634" s="50" t="s">
        <v>2167</v>
      </c>
      <c r="G2634" s="54" t="n">
        <v>498400</v>
      </c>
    </row>
    <row r="2635" customFormat="false" ht="15" hidden="false" customHeight="false" outlineLevel="0" collapsed="false">
      <c r="A2635" s="50" t="s">
        <v>1024</v>
      </c>
      <c r="B2635" s="51" t="n">
        <v>45815</v>
      </c>
      <c r="C2635" s="50" t="s">
        <v>410</v>
      </c>
      <c r="D2635" s="50" t="s">
        <v>2187</v>
      </c>
      <c r="E2635" s="50" t="n">
        <v>2</v>
      </c>
      <c r="F2635" s="50" t="s">
        <v>2167</v>
      </c>
      <c r="G2635" s="54" t="n">
        <v>688600</v>
      </c>
    </row>
    <row r="2636" customFormat="false" ht="15" hidden="false" customHeight="false" outlineLevel="0" collapsed="false">
      <c r="A2636" s="50" t="s">
        <v>1024</v>
      </c>
      <c r="B2636" s="51" t="n">
        <v>45815</v>
      </c>
      <c r="C2636" s="50" t="s">
        <v>410</v>
      </c>
      <c r="D2636" s="50" t="s">
        <v>2173</v>
      </c>
      <c r="E2636" s="50" t="n">
        <v>2</v>
      </c>
      <c r="F2636" s="50" t="s">
        <v>2174</v>
      </c>
      <c r="G2636" s="54" t="n">
        <v>1636000</v>
      </c>
    </row>
    <row r="2637" customFormat="false" ht="15" hidden="false" customHeight="false" outlineLevel="0" collapsed="false">
      <c r="A2637" s="50" t="s">
        <v>1025</v>
      </c>
      <c r="B2637" s="51" t="n">
        <v>45815</v>
      </c>
      <c r="C2637" s="50" t="s">
        <v>467</v>
      </c>
      <c r="D2637" s="50" t="s">
        <v>2184</v>
      </c>
      <c r="E2637" s="50" t="n">
        <v>4</v>
      </c>
      <c r="F2637" s="50" t="s">
        <v>2167</v>
      </c>
      <c r="G2637" s="54" t="n">
        <v>2183100</v>
      </c>
    </row>
    <row r="2638" customFormat="false" ht="15" hidden="false" customHeight="false" outlineLevel="0" collapsed="false">
      <c r="A2638" s="50" t="s">
        <v>1025</v>
      </c>
      <c r="B2638" s="51" t="n">
        <v>45815</v>
      </c>
      <c r="C2638" s="50" t="s">
        <v>467</v>
      </c>
      <c r="D2638" s="50" t="s">
        <v>2176</v>
      </c>
      <c r="E2638" s="50" t="n">
        <v>1</v>
      </c>
      <c r="F2638" s="50" t="s">
        <v>2167</v>
      </c>
      <c r="G2638" s="54" t="n">
        <v>422300</v>
      </c>
    </row>
    <row r="2639" customFormat="false" ht="15" hidden="false" customHeight="false" outlineLevel="0" collapsed="false">
      <c r="A2639" s="50" t="s">
        <v>1025</v>
      </c>
      <c r="B2639" s="51" t="n">
        <v>45815</v>
      </c>
      <c r="C2639" s="50" t="s">
        <v>467</v>
      </c>
      <c r="D2639" s="50" t="s">
        <v>2166</v>
      </c>
      <c r="E2639" s="50" t="n">
        <v>7</v>
      </c>
      <c r="F2639" s="50" t="s">
        <v>2167</v>
      </c>
      <c r="G2639" s="54" t="n">
        <v>3802900</v>
      </c>
    </row>
    <row r="2640" customFormat="false" ht="15" hidden="false" customHeight="false" outlineLevel="0" collapsed="false">
      <c r="A2640" s="50" t="s">
        <v>1025</v>
      </c>
      <c r="B2640" s="51" t="n">
        <v>45815</v>
      </c>
      <c r="C2640" s="50" t="s">
        <v>467</v>
      </c>
      <c r="D2640" s="50" t="s">
        <v>2181</v>
      </c>
      <c r="E2640" s="50" t="n">
        <v>6</v>
      </c>
      <c r="F2640" s="50" t="s">
        <v>2167</v>
      </c>
      <c r="G2640" s="54" t="n">
        <v>6897900</v>
      </c>
    </row>
    <row r="2641" customFormat="false" ht="15" hidden="false" customHeight="false" outlineLevel="0" collapsed="false">
      <c r="A2641" s="50" t="s">
        <v>1025</v>
      </c>
      <c r="B2641" s="51" t="n">
        <v>45815</v>
      </c>
      <c r="C2641" s="50" t="s">
        <v>467</v>
      </c>
      <c r="D2641" s="50" t="s">
        <v>2186</v>
      </c>
      <c r="E2641" s="50" t="n">
        <v>5</v>
      </c>
      <c r="F2641" s="50" t="s">
        <v>2167</v>
      </c>
      <c r="G2641" s="54" t="n">
        <v>2975200</v>
      </c>
    </row>
    <row r="2642" customFormat="false" ht="15" hidden="false" customHeight="false" outlineLevel="0" collapsed="false">
      <c r="A2642" s="50" t="s">
        <v>1026</v>
      </c>
      <c r="B2642" s="51" t="n">
        <v>45815</v>
      </c>
      <c r="C2642" s="50" t="s">
        <v>505</v>
      </c>
      <c r="D2642" s="50" t="s">
        <v>2175</v>
      </c>
      <c r="E2642" s="50" t="n">
        <v>3</v>
      </c>
      <c r="F2642" s="50" t="s">
        <v>2167</v>
      </c>
      <c r="G2642" s="54" t="n">
        <v>1993900</v>
      </c>
    </row>
    <row r="2643" customFormat="false" ht="15" hidden="false" customHeight="false" outlineLevel="0" collapsed="false">
      <c r="A2643" s="50" t="s">
        <v>1026</v>
      </c>
      <c r="B2643" s="51" t="n">
        <v>45815</v>
      </c>
      <c r="C2643" s="50" t="s">
        <v>505</v>
      </c>
      <c r="D2643" s="50" t="s">
        <v>2187</v>
      </c>
      <c r="E2643" s="50" t="n">
        <v>8</v>
      </c>
      <c r="F2643" s="50" t="s">
        <v>2167</v>
      </c>
      <c r="G2643" s="54" t="n">
        <v>2729100</v>
      </c>
    </row>
    <row r="2644" customFormat="false" ht="15" hidden="false" customHeight="false" outlineLevel="0" collapsed="false">
      <c r="A2644" s="50" t="s">
        <v>1027</v>
      </c>
      <c r="B2644" s="51" t="n">
        <v>45817</v>
      </c>
      <c r="C2644" s="50" t="s">
        <v>286</v>
      </c>
      <c r="D2644" s="50" t="s">
        <v>2188</v>
      </c>
      <c r="E2644" s="50" t="n">
        <v>7</v>
      </c>
      <c r="F2644" s="50" t="s">
        <v>2167</v>
      </c>
      <c r="G2644" s="54" t="n">
        <v>7085300</v>
      </c>
    </row>
    <row r="2645" customFormat="false" ht="15" hidden="false" customHeight="false" outlineLevel="0" collapsed="false">
      <c r="A2645" s="50" t="s">
        <v>1027</v>
      </c>
      <c r="B2645" s="51" t="n">
        <v>45817</v>
      </c>
      <c r="C2645" s="50" t="s">
        <v>286</v>
      </c>
      <c r="D2645" s="50" t="s">
        <v>2169</v>
      </c>
      <c r="E2645" s="50" t="n">
        <v>2</v>
      </c>
      <c r="F2645" s="50" t="s">
        <v>2167</v>
      </c>
      <c r="G2645" s="54" t="n">
        <v>1258200</v>
      </c>
    </row>
    <row r="2646" customFormat="false" ht="15" hidden="false" customHeight="false" outlineLevel="0" collapsed="false">
      <c r="A2646" s="50" t="s">
        <v>1028</v>
      </c>
      <c r="B2646" s="51" t="n">
        <v>45817</v>
      </c>
      <c r="C2646" s="50" t="s">
        <v>177</v>
      </c>
      <c r="D2646" s="50" t="s">
        <v>2172</v>
      </c>
      <c r="E2646" s="50" t="n">
        <v>1</v>
      </c>
      <c r="F2646" s="50" t="s">
        <v>2167</v>
      </c>
      <c r="G2646" s="54" t="n">
        <v>517800</v>
      </c>
    </row>
    <row r="2647" customFormat="false" ht="15" hidden="false" customHeight="false" outlineLevel="0" collapsed="false">
      <c r="A2647" s="50" t="s">
        <v>1028</v>
      </c>
      <c r="B2647" s="51" t="n">
        <v>45817</v>
      </c>
      <c r="C2647" s="50" t="s">
        <v>177</v>
      </c>
      <c r="D2647" s="50" t="s">
        <v>2166</v>
      </c>
      <c r="E2647" s="50" t="n">
        <v>6</v>
      </c>
      <c r="F2647" s="50" t="s">
        <v>2167</v>
      </c>
      <c r="G2647" s="54" t="n">
        <v>3311200</v>
      </c>
    </row>
    <row r="2648" customFormat="false" ht="15" hidden="false" customHeight="false" outlineLevel="0" collapsed="false">
      <c r="A2648" s="50" t="s">
        <v>1028</v>
      </c>
      <c r="B2648" s="51" t="n">
        <v>45817</v>
      </c>
      <c r="C2648" s="50" t="s">
        <v>177</v>
      </c>
      <c r="D2648" s="50" t="s">
        <v>2175</v>
      </c>
      <c r="E2648" s="50" t="n">
        <v>2</v>
      </c>
      <c r="F2648" s="50" t="s">
        <v>2167</v>
      </c>
      <c r="G2648" s="54" t="n">
        <v>1295800</v>
      </c>
    </row>
    <row r="2649" customFormat="false" ht="15" hidden="false" customHeight="false" outlineLevel="0" collapsed="false">
      <c r="A2649" s="50" t="s">
        <v>1028</v>
      </c>
      <c r="B2649" s="51" t="n">
        <v>45817</v>
      </c>
      <c r="C2649" s="50" t="s">
        <v>177</v>
      </c>
      <c r="D2649" s="50" t="s">
        <v>2184</v>
      </c>
      <c r="E2649" s="50" t="n">
        <v>8</v>
      </c>
      <c r="F2649" s="50" t="s">
        <v>2167</v>
      </c>
      <c r="G2649" s="54" t="n">
        <v>4495800</v>
      </c>
    </row>
    <row r="2650" customFormat="false" ht="15" hidden="false" customHeight="false" outlineLevel="0" collapsed="false">
      <c r="A2650" s="50" t="s">
        <v>1028</v>
      </c>
      <c r="B2650" s="51" t="n">
        <v>45817</v>
      </c>
      <c r="C2650" s="50" t="s">
        <v>177</v>
      </c>
      <c r="D2650" s="50" t="s">
        <v>2176</v>
      </c>
      <c r="E2650" s="50" t="n">
        <v>2</v>
      </c>
      <c r="F2650" s="50" t="s">
        <v>2167</v>
      </c>
      <c r="G2650" s="54" t="n">
        <v>873200</v>
      </c>
    </row>
    <row r="2651" customFormat="false" ht="15" hidden="false" customHeight="false" outlineLevel="0" collapsed="false">
      <c r="A2651" s="50" t="s">
        <v>1029</v>
      </c>
      <c r="B2651" s="51" t="n">
        <v>45817</v>
      </c>
      <c r="C2651" s="50" t="s">
        <v>247</v>
      </c>
      <c r="D2651" s="50" t="s">
        <v>2186</v>
      </c>
      <c r="E2651" s="50" t="n">
        <v>1</v>
      </c>
      <c r="F2651" s="50" t="s">
        <v>2167</v>
      </c>
      <c r="G2651" s="54" t="n">
        <v>580100</v>
      </c>
    </row>
    <row r="2652" customFormat="false" ht="15" hidden="false" customHeight="false" outlineLevel="0" collapsed="false">
      <c r="A2652" s="50" t="s">
        <v>1029</v>
      </c>
      <c r="B2652" s="51" t="n">
        <v>45817</v>
      </c>
      <c r="C2652" s="50" t="s">
        <v>247</v>
      </c>
      <c r="D2652" s="50" t="s">
        <v>2172</v>
      </c>
      <c r="E2652" s="50" t="n">
        <v>6</v>
      </c>
      <c r="F2652" s="50" t="s">
        <v>2167</v>
      </c>
      <c r="G2652" s="54" t="n">
        <v>3150800</v>
      </c>
    </row>
    <row r="2653" customFormat="false" ht="15" hidden="false" customHeight="false" outlineLevel="0" collapsed="false">
      <c r="A2653" s="50" t="s">
        <v>1030</v>
      </c>
      <c r="B2653" s="51" t="n">
        <v>45817</v>
      </c>
      <c r="C2653" s="50" t="s">
        <v>228</v>
      </c>
      <c r="D2653" s="50" t="s">
        <v>2185</v>
      </c>
      <c r="E2653" s="50" t="n">
        <v>2</v>
      </c>
      <c r="F2653" s="50" t="s">
        <v>2174</v>
      </c>
      <c r="G2653" s="54" t="n">
        <v>1575800</v>
      </c>
    </row>
    <row r="2654" customFormat="false" ht="15" hidden="false" customHeight="false" outlineLevel="0" collapsed="false">
      <c r="A2654" s="50" t="s">
        <v>1030</v>
      </c>
      <c r="B2654" s="51" t="n">
        <v>45817</v>
      </c>
      <c r="C2654" s="50" t="s">
        <v>228</v>
      </c>
      <c r="D2654" s="50" t="s">
        <v>2175</v>
      </c>
      <c r="E2654" s="50" t="n">
        <v>3</v>
      </c>
      <c r="F2654" s="50" t="s">
        <v>2167</v>
      </c>
      <c r="G2654" s="54" t="n">
        <v>1919900</v>
      </c>
    </row>
    <row r="2655" customFormat="false" ht="15" hidden="false" customHeight="false" outlineLevel="0" collapsed="false">
      <c r="A2655" s="50" t="s">
        <v>1030</v>
      </c>
      <c r="B2655" s="51" t="n">
        <v>45817</v>
      </c>
      <c r="C2655" s="50" t="s">
        <v>228</v>
      </c>
      <c r="D2655" s="50" t="s">
        <v>2179</v>
      </c>
      <c r="E2655" s="50" t="n">
        <v>6</v>
      </c>
      <c r="F2655" s="50" t="s">
        <v>2174</v>
      </c>
      <c r="G2655" s="54" t="n">
        <v>7733800</v>
      </c>
    </row>
    <row r="2656" customFormat="false" ht="15" hidden="false" customHeight="false" outlineLevel="0" collapsed="false">
      <c r="A2656" s="50" t="s">
        <v>1030</v>
      </c>
      <c r="B2656" s="51" t="n">
        <v>45817</v>
      </c>
      <c r="C2656" s="50" t="s">
        <v>228</v>
      </c>
      <c r="D2656" s="50" t="s">
        <v>2187</v>
      </c>
      <c r="E2656" s="50" t="n">
        <v>7</v>
      </c>
      <c r="F2656" s="50" t="s">
        <v>2167</v>
      </c>
      <c r="G2656" s="54" t="n">
        <v>2413700</v>
      </c>
    </row>
    <row r="2657" customFormat="false" ht="15" hidden="false" customHeight="false" outlineLevel="0" collapsed="false">
      <c r="A2657" s="50" t="s">
        <v>1031</v>
      </c>
      <c r="B2657" s="51" t="n">
        <v>45817</v>
      </c>
      <c r="C2657" s="50" t="s">
        <v>278</v>
      </c>
      <c r="D2657" s="50" t="s">
        <v>2168</v>
      </c>
      <c r="E2657" s="50" t="n">
        <v>1</v>
      </c>
      <c r="F2657" s="50" t="s">
        <v>2167</v>
      </c>
      <c r="G2657" s="54" t="n">
        <v>433800</v>
      </c>
    </row>
    <row r="2658" customFormat="false" ht="15" hidden="false" customHeight="false" outlineLevel="0" collapsed="false">
      <c r="A2658" s="50" t="s">
        <v>1031</v>
      </c>
      <c r="B2658" s="51" t="n">
        <v>45817</v>
      </c>
      <c r="C2658" s="50" t="s">
        <v>278</v>
      </c>
      <c r="D2658" s="50" t="s">
        <v>2179</v>
      </c>
      <c r="E2658" s="50" t="n">
        <v>2</v>
      </c>
      <c r="F2658" s="50" t="s">
        <v>2174</v>
      </c>
      <c r="G2658" s="54" t="n">
        <v>2502800</v>
      </c>
    </row>
    <row r="2659" customFormat="false" ht="15" hidden="false" customHeight="false" outlineLevel="0" collapsed="false">
      <c r="A2659" s="50" t="s">
        <v>1031</v>
      </c>
      <c r="B2659" s="51" t="n">
        <v>45817</v>
      </c>
      <c r="C2659" s="50" t="s">
        <v>278</v>
      </c>
      <c r="D2659" s="50" t="s">
        <v>2186</v>
      </c>
      <c r="E2659" s="50" t="n">
        <v>7</v>
      </c>
      <c r="F2659" s="50" t="s">
        <v>2167</v>
      </c>
      <c r="G2659" s="54" t="n">
        <v>4000200</v>
      </c>
    </row>
    <row r="2660" customFormat="false" ht="15" hidden="false" customHeight="false" outlineLevel="0" collapsed="false">
      <c r="A2660" s="50" t="s">
        <v>1032</v>
      </c>
      <c r="B2660" s="51" t="n">
        <v>45818</v>
      </c>
      <c r="C2660" s="50" t="s">
        <v>228</v>
      </c>
      <c r="D2660" s="50" t="s">
        <v>2185</v>
      </c>
      <c r="E2660" s="50" t="n">
        <v>7</v>
      </c>
      <c r="F2660" s="50" t="s">
        <v>2174</v>
      </c>
      <c r="G2660" s="54" t="n">
        <v>5519000</v>
      </c>
    </row>
    <row r="2661" customFormat="false" ht="15" hidden="false" customHeight="false" outlineLevel="0" collapsed="false">
      <c r="A2661" s="50" t="s">
        <v>1032</v>
      </c>
      <c r="B2661" s="51" t="n">
        <v>45818</v>
      </c>
      <c r="C2661" s="50" t="s">
        <v>228</v>
      </c>
      <c r="D2661" s="50" t="s">
        <v>2166</v>
      </c>
      <c r="E2661" s="50" t="n">
        <v>1</v>
      </c>
      <c r="F2661" s="50" t="s">
        <v>2167</v>
      </c>
      <c r="G2661" s="54" t="n">
        <v>555600</v>
      </c>
    </row>
    <row r="2662" customFormat="false" ht="15" hidden="false" customHeight="false" outlineLevel="0" collapsed="false">
      <c r="A2662" s="50" t="s">
        <v>1032</v>
      </c>
      <c r="B2662" s="51" t="n">
        <v>45818</v>
      </c>
      <c r="C2662" s="50" t="s">
        <v>228</v>
      </c>
      <c r="D2662" s="50" t="s">
        <v>2178</v>
      </c>
      <c r="E2662" s="50" t="n">
        <v>6</v>
      </c>
      <c r="F2662" s="50" t="s">
        <v>2167</v>
      </c>
      <c r="G2662" s="54" t="n">
        <v>2985500</v>
      </c>
    </row>
    <row r="2663" customFormat="false" ht="15" hidden="false" customHeight="false" outlineLevel="0" collapsed="false">
      <c r="A2663" s="50" t="s">
        <v>1032</v>
      </c>
      <c r="B2663" s="51" t="n">
        <v>45818</v>
      </c>
      <c r="C2663" s="50" t="s">
        <v>228</v>
      </c>
      <c r="D2663" s="50" t="s">
        <v>2176</v>
      </c>
      <c r="E2663" s="50" t="n">
        <v>5</v>
      </c>
      <c r="F2663" s="50" t="s">
        <v>2167</v>
      </c>
      <c r="G2663" s="54" t="n">
        <v>2134200</v>
      </c>
    </row>
    <row r="2664" customFormat="false" ht="15" hidden="false" customHeight="false" outlineLevel="0" collapsed="false">
      <c r="A2664" s="50" t="s">
        <v>1033</v>
      </c>
      <c r="B2664" s="51" t="n">
        <v>45818</v>
      </c>
      <c r="C2664" s="50" t="s">
        <v>166</v>
      </c>
      <c r="D2664" s="50" t="s">
        <v>2178</v>
      </c>
      <c r="E2664" s="50" t="n">
        <v>5</v>
      </c>
      <c r="F2664" s="50" t="s">
        <v>2167</v>
      </c>
      <c r="G2664" s="54" t="n">
        <v>2383800</v>
      </c>
    </row>
    <row r="2665" customFormat="false" ht="15" hidden="false" customHeight="false" outlineLevel="0" collapsed="false">
      <c r="A2665" s="50" t="s">
        <v>1033</v>
      </c>
      <c r="B2665" s="51" t="n">
        <v>45818</v>
      </c>
      <c r="C2665" s="50" t="s">
        <v>166</v>
      </c>
      <c r="D2665" s="50" t="s">
        <v>2181</v>
      </c>
      <c r="E2665" s="50" t="n">
        <v>4</v>
      </c>
      <c r="F2665" s="50" t="s">
        <v>2167</v>
      </c>
      <c r="G2665" s="54" t="n">
        <v>4779000</v>
      </c>
    </row>
    <row r="2666" customFormat="false" ht="15" hidden="false" customHeight="false" outlineLevel="0" collapsed="false">
      <c r="A2666" s="50" t="s">
        <v>1033</v>
      </c>
      <c r="B2666" s="51" t="n">
        <v>45818</v>
      </c>
      <c r="C2666" s="50" t="s">
        <v>166</v>
      </c>
      <c r="D2666" s="50" t="s">
        <v>2166</v>
      </c>
      <c r="E2666" s="50" t="n">
        <v>4</v>
      </c>
      <c r="F2666" s="50" t="s">
        <v>2167</v>
      </c>
      <c r="G2666" s="54" t="n">
        <v>2166700</v>
      </c>
    </row>
    <row r="2667" customFormat="false" ht="15" hidden="false" customHeight="false" outlineLevel="0" collapsed="false">
      <c r="A2667" s="50" t="s">
        <v>1033</v>
      </c>
      <c r="B2667" s="51" t="n">
        <v>45818</v>
      </c>
      <c r="C2667" s="50" t="s">
        <v>166</v>
      </c>
      <c r="D2667" s="50" t="s">
        <v>2186</v>
      </c>
      <c r="E2667" s="50" t="n">
        <v>5</v>
      </c>
      <c r="F2667" s="50" t="s">
        <v>2167</v>
      </c>
      <c r="G2667" s="54" t="n">
        <v>2838600</v>
      </c>
    </row>
    <row r="2668" customFormat="false" ht="15" hidden="false" customHeight="false" outlineLevel="0" collapsed="false">
      <c r="A2668" s="50" t="s">
        <v>1033</v>
      </c>
      <c r="B2668" s="51" t="n">
        <v>45818</v>
      </c>
      <c r="C2668" s="50" t="s">
        <v>166</v>
      </c>
      <c r="D2668" s="50" t="s">
        <v>2179</v>
      </c>
      <c r="E2668" s="50" t="n">
        <v>8</v>
      </c>
      <c r="F2668" s="50" t="s">
        <v>2174</v>
      </c>
      <c r="G2668" s="54" t="n">
        <v>10067100</v>
      </c>
    </row>
    <row r="2669" customFormat="false" ht="15" hidden="false" customHeight="false" outlineLevel="0" collapsed="false">
      <c r="A2669" s="50" t="s">
        <v>1033</v>
      </c>
      <c r="B2669" s="51" t="n">
        <v>45818</v>
      </c>
      <c r="C2669" s="50" t="s">
        <v>166</v>
      </c>
      <c r="D2669" s="50" t="s">
        <v>2184</v>
      </c>
      <c r="E2669" s="50" t="n">
        <v>6</v>
      </c>
      <c r="F2669" s="50" t="s">
        <v>2167</v>
      </c>
      <c r="G2669" s="54" t="n">
        <v>3246100</v>
      </c>
    </row>
    <row r="2670" customFormat="false" ht="15" hidden="false" customHeight="false" outlineLevel="0" collapsed="false">
      <c r="A2670" s="50" t="s">
        <v>1034</v>
      </c>
      <c r="B2670" s="51" t="n">
        <v>45818</v>
      </c>
      <c r="C2670" s="50" t="s">
        <v>560</v>
      </c>
      <c r="D2670" s="50" t="s">
        <v>2188</v>
      </c>
      <c r="E2670" s="50" t="n">
        <v>5</v>
      </c>
      <c r="F2670" s="50" t="s">
        <v>2167</v>
      </c>
      <c r="G2670" s="54" t="n">
        <v>4937800</v>
      </c>
    </row>
    <row r="2671" customFormat="false" ht="15" hidden="false" customHeight="false" outlineLevel="0" collapsed="false">
      <c r="A2671" s="50" t="s">
        <v>1034</v>
      </c>
      <c r="B2671" s="51" t="n">
        <v>45818</v>
      </c>
      <c r="C2671" s="50" t="s">
        <v>560</v>
      </c>
      <c r="D2671" s="50" t="s">
        <v>2175</v>
      </c>
      <c r="E2671" s="50" t="n">
        <v>1</v>
      </c>
      <c r="F2671" s="50" t="s">
        <v>2167</v>
      </c>
      <c r="G2671" s="54" t="n">
        <v>617600</v>
      </c>
    </row>
    <row r="2672" customFormat="false" ht="15" hidden="false" customHeight="false" outlineLevel="0" collapsed="false">
      <c r="A2672" s="50" t="s">
        <v>1034</v>
      </c>
      <c r="B2672" s="51" t="n">
        <v>45818</v>
      </c>
      <c r="C2672" s="50" t="s">
        <v>560</v>
      </c>
      <c r="D2672" s="50" t="s">
        <v>2187</v>
      </c>
      <c r="E2672" s="50" t="n">
        <v>4</v>
      </c>
      <c r="F2672" s="50" t="s">
        <v>2167</v>
      </c>
      <c r="G2672" s="54" t="n">
        <v>1412000</v>
      </c>
    </row>
    <row r="2673" customFormat="false" ht="15" hidden="false" customHeight="false" outlineLevel="0" collapsed="false">
      <c r="A2673" s="50" t="s">
        <v>1034</v>
      </c>
      <c r="B2673" s="51" t="n">
        <v>45818</v>
      </c>
      <c r="C2673" s="50" t="s">
        <v>560</v>
      </c>
      <c r="D2673" s="50" t="s">
        <v>2185</v>
      </c>
      <c r="E2673" s="50" t="n">
        <v>4</v>
      </c>
      <c r="F2673" s="50" t="s">
        <v>2174</v>
      </c>
      <c r="G2673" s="54" t="n">
        <v>3187300</v>
      </c>
    </row>
    <row r="2674" customFormat="false" ht="15" hidden="false" customHeight="false" outlineLevel="0" collapsed="false">
      <c r="A2674" s="50" t="s">
        <v>1034</v>
      </c>
      <c r="B2674" s="51" t="n">
        <v>45818</v>
      </c>
      <c r="C2674" s="50" t="s">
        <v>560</v>
      </c>
      <c r="D2674" s="50" t="s">
        <v>2180</v>
      </c>
      <c r="E2674" s="50" t="n">
        <v>5</v>
      </c>
      <c r="F2674" s="50" t="s">
        <v>2167</v>
      </c>
      <c r="G2674" s="54" t="n">
        <v>2177600</v>
      </c>
    </row>
    <row r="2675" customFormat="false" ht="15" hidden="false" customHeight="false" outlineLevel="0" collapsed="false">
      <c r="A2675" s="50" t="s">
        <v>1034</v>
      </c>
      <c r="B2675" s="51" t="n">
        <v>45818</v>
      </c>
      <c r="C2675" s="50" t="s">
        <v>560</v>
      </c>
      <c r="D2675" s="50" t="s">
        <v>2186</v>
      </c>
      <c r="E2675" s="50" t="n">
        <v>1</v>
      </c>
      <c r="F2675" s="50" t="s">
        <v>2167</v>
      </c>
      <c r="G2675" s="54" t="n">
        <v>571900</v>
      </c>
    </row>
    <row r="2676" customFormat="false" ht="15" hidden="false" customHeight="false" outlineLevel="0" collapsed="false">
      <c r="A2676" s="50" t="s">
        <v>1035</v>
      </c>
      <c r="B2676" s="51" t="n">
        <v>45818</v>
      </c>
      <c r="C2676" s="50" t="s">
        <v>179</v>
      </c>
      <c r="D2676" s="50" t="s">
        <v>2173</v>
      </c>
      <c r="E2676" s="50" t="n">
        <v>6</v>
      </c>
      <c r="F2676" s="50" t="s">
        <v>2174</v>
      </c>
      <c r="G2676" s="54" t="n">
        <v>4957000</v>
      </c>
    </row>
    <row r="2677" customFormat="false" ht="15" hidden="false" customHeight="false" outlineLevel="0" collapsed="false">
      <c r="A2677" s="50" t="s">
        <v>1035</v>
      </c>
      <c r="B2677" s="51" t="n">
        <v>45818</v>
      </c>
      <c r="C2677" s="50" t="s">
        <v>179</v>
      </c>
      <c r="D2677" s="50" t="s">
        <v>2188</v>
      </c>
      <c r="E2677" s="50" t="n">
        <v>1</v>
      </c>
      <c r="F2677" s="50" t="s">
        <v>2167</v>
      </c>
      <c r="G2677" s="54" t="n">
        <v>963600</v>
      </c>
    </row>
    <row r="2678" customFormat="false" ht="15" hidden="false" customHeight="false" outlineLevel="0" collapsed="false">
      <c r="A2678" s="50" t="s">
        <v>1035</v>
      </c>
      <c r="B2678" s="51" t="n">
        <v>45818</v>
      </c>
      <c r="C2678" s="50" t="s">
        <v>179</v>
      </c>
      <c r="D2678" s="50" t="s">
        <v>2186</v>
      </c>
      <c r="E2678" s="50" t="n">
        <v>4</v>
      </c>
      <c r="F2678" s="50" t="s">
        <v>2167</v>
      </c>
      <c r="G2678" s="54" t="n">
        <v>2387600</v>
      </c>
    </row>
    <row r="2679" customFormat="false" ht="15" hidden="false" customHeight="false" outlineLevel="0" collapsed="false">
      <c r="A2679" s="50" t="s">
        <v>1036</v>
      </c>
      <c r="B2679" s="51" t="n">
        <v>45819</v>
      </c>
      <c r="C2679" s="50" t="s">
        <v>174</v>
      </c>
      <c r="D2679" s="50" t="s">
        <v>2186</v>
      </c>
      <c r="E2679" s="50" t="n">
        <v>4</v>
      </c>
      <c r="F2679" s="50" t="s">
        <v>2167</v>
      </c>
      <c r="G2679" s="54" t="n">
        <v>2325800</v>
      </c>
    </row>
    <row r="2680" customFormat="false" ht="15" hidden="false" customHeight="false" outlineLevel="0" collapsed="false">
      <c r="A2680" s="50" t="s">
        <v>1036</v>
      </c>
      <c r="B2680" s="51" t="n">
        <v>45819</v>
      </c>
      <c r="C2680" s="50" t="s">
        <v>174</v>
      </c>
      <c r="D2680" s="50" t="s">
        <v>2169</v>
      </c>
      <c r="E2680" s="50" t="n">
        <v>4</v>
      </c>
      <c r="F2680" s="50" t="s">
        <v>2167</v>
      </c>
      <c r="G2680" s="54" t="n">
        <v>2453100</v>
      </c>
    </row>
    <row r="2681" customFormat="false" ht="15" hidden="false" customHeight="false" outlineLevel="0" collapsed="false">
      <c r="A2681" s="50" t="s">
        <v>1037</v>
      </c>
      <c r="B2681" s="51" t="n">
        <v>45819</v>
      </c>
      <c r="C2681" s="50" t="s">
        <v>207</v>
      </c>
      <c r="D2681" s="50" t="s">
        <v>2185</v>
      </c>
      <c r="E2681" s="50" t="n">
        <v>2</v>
      </c>
      <c r="F2681" s="50" t="s">
        <v>2174</v>
      </c>
      <c r="G2681" s="54" t="n">
        <v>1595600</v>
      </c>
    </row>
    <row r="2682" customFormat="false" ht="15" hidden="false" customHeight="false" outlineLevel="0" collapsed="false">
      <c r="A2682" s="50" t="s">
        <v>1037</v>
      </c>
      <c r="B2682" s="51" t="n">
        <v>45819</v>
      </c>
      <c r="C2682" s="50" t="s">
        <v>207</v>
      </c>
      <c r="D2682" s="50" t="s">
        <v>2178</v>
      </c>
      <c r="E2682" s="50" t="n">
        <v>5</v>
      </c>
      <c r="F2682" s="50" t="s">
        <v>2167</v>
      </c>
      <c r="G2682" s="54" t="n">
        <v>2372700</v>
      </c>
    </row>
    <row r="2683" customFormat="false" ht="15" hidden="false" customHeight="false" outlineLevel="0" collapsed="false">
      <c r="A2683" s="50" t="s">
        <v>1038</v>
      </c>
      <c r="B2683" s="51" t="n">
        <v>45819</v>
      </c>
      <c r="C2683" s="50" t="s">
        <v>168</v>
      </c>
      <c r="D2683" s="50" t="s">
        <v>2168</v>
      </c>
      <c r="E2683" s="50" t="n">
        <v>4</v>
      </c>
      <c r="F2683" s="50" t="s">
        <v>2167</v>
      </c>
      <c r="G2683" s="54" t="n">
        <v>1718000</v>
      </c>
    </row>
    <row r="2684" customFormat="false" ht="15" hidden="false" customHeight="false" outlineLevel="0" collapsed="false">
      <c r="A2684" s="50" t="s">
        <v>1038</v>
      </c>
      <c r="B2684" s="51" t="n">
        <v>45819</v>
      </c>
      <c r="C2684" s="50" t="s">
        <v>168</v>
      </c>
      <c r="D2684" s="50" t="s">
        <v>2188</v>
      </c>
      <c r="E2684" s="50" t="n">
        <v>2</v>
      </c>
      <c r="F2684" s="50" t="s">
        <v>2167</v>
      </c>
      <c r="G2684" s="54" t="n">
        <v>1906200</v>
      </c>
    </row>
    <row r="2685" customFormat="false" ht="15" hidden="false" customHeight="false" outlineLevel="0" collapsed="false">
      <c r="A2685" s="50" t="s">
        <v>1038</v>
      </c>
      <c r="B2685" s="51" t="n">
        <v>45819</v>
      </c>
      <c r="C2685" s="50" t="s">
        <v>168</v>
      </c>
      <c r="D2685" s="50" t="s">
        <v>2186</v>
      </c>
      <c r="E2685" s="50" t="n">
        <v>5</v>
      </c>
      <c r="F2685" s="50" t="s">
        <v>2167</v>
      </c>
      <c r="G2685" s="54" t="n">
        <v>2852300</v>
      </c>
    </row>
    <row r="2686" customFormat="false" ht="15" hidden="false" customHeight="false" outlineLevel="0" collapsed="false">
      <c r="A2686" s="50" t="s">
        <v>1039</v>
      </c>
      <c r="B2686" s="51" t="n">
        <v>45819</v>
      </c>
      <c r="C2686" s="50" t="s">
        <v>243</v>
      </c>
      <c r="D2686" s="50" t="s">
        <v>2175</v>
      </c>
      <c r="E2686" s="50" t="n">
        <v>5</v>
      </c>
      <c r="F2686" s="50" t="s">
        <v>2167</v>
      </c>
      <c r="G2686" s="54" t="n">
        <v>3232800</v>
      </c>
    </row>
    <row r="2687" customFormat="false" ht="15" hidden="false" customHeight="false" outlineLevel="0" collapsed="false">
      <c r="A2687" s="50" t="s">
        <v>1039</v>
      </c>
      <c r="B2687" s="51" t="n">
        <v>45819</v>
      </c>
      <c r="C2687" s="50" t="s">
        <v>243</v>
      </c>
      <c r="D2687" s="50" t="s">
        <v>2186</v>
      </c>
      <c r="E2687" s="50" t="n">
        <v>6</v>
      </c>
      <c r="F2687" s="50" t="s">
        <v>2167</v>
      </c>
      <c r="G2687" s="54" t="n">
        <v>3417100</v>
      </c>
    </row>
    <row r="2688" customFormat="false" ht="15" hidden="false" customHeight="false" outlineLevel="0" collapsed="false">
      <c r="A2688" s="50" t="s">
        <v>1039</v>
      </c>
      <c r="B2688" s="51" t="n">
        <v>45819</v>
      </c>
      <c r="C2688" s="50" t="s">
        <v>243</v>
      </c>
      <c r="D2688" s="50" t="s">
        <v>2173</v>
      </c>
      <c r="E2688" s="50" t="n">
        <v>4</v>
      </c>
      <c r="F2688" s="50" t="s">
        <v>2174</v>
      </c>
      <c r="G2688" s="54" t="n">
        <v>3225700</v>
      </c>
    </row>
    <row r="2689" customFormat="false" ht="15" hidden="false" customHeight="false" outlineLevel="0" collapsed="false">
      <c r="A2689" s="50" t="s">
        <v>1039</v>
      </c>
      <c r="B2689" s="51" t="n">
        <v>45819</v>
      </c>
      <c r="C2689" s="50" t="s">
        <v>243</v>
      </c>
      <c r="D2689" s="50" t="s">
        <v>2178</v>
      </c>
      <c r="E2689" s="50" t="n">
        <v>2</v>
      </c>
      <c r="F2689" s="50" t="s">
        <v>2167</v>
      </c>
      <c r="G2689" s="54" t="n">
        <v>952000</v>
      </c>
    </row>
    <row r="2690" customFormat="false" ht="15" hidden="false" customHeight="false" outlineLevel="0" collapsed="false">
      <c r="A2690" s="50" t="s">
        <v>1039</v>
      </c>
      <c r="B2690" s="51" t="n">
        <v>45819</v>
      </c>
      <c r="C2690" s="50" t="s">
        <v>243</v>
      </c>
      <c r="D2690" s="50" t="s">
        <v>2172</v>
      </c>
      <c r="E2690" s="50" t="n">
        <v>4</v>
      </c>
      <c r="F2690" s="50" t="s">
        <v>2167</v>
      </c>
      <c r="G2690" s="54" t="n">
        <v>2162200</v>
      </c>
    </row>
    <row r="2691" customFormat="false" ht="15" hidden="false" customHeight="false" outlineLevel="0" collapsed="false">
      <c r="A2691" s="50" t="s">
        <v>1039</v>
      </c>
      <c r="B2691" s="51" t="n">
        <v>45819</v>
      </c>
      <c r="C2691" s="50" t="s">
        <v>243</v>
      </c>
      <c r="D2691" s="50" t="s">
        <v>2184</v>
      </c>
      <c r="E2691" s="50" t="n">
        <v>3</v>
      </c>
      <c r="F2691" s="50" t="s">
        <v>2167</v>
      </c>
      <c r="G2691" s="54" t="n">
        <v>1626700</v>
      </c>
    </row>
    <row r="2692" customFormat="false" ht="15" hidden="false" customHeight="false" outlineLevel="0" collapsed="false">
      <c r="A2692" s="50" t="s">
        <v>1040</v>
      </c>
      <c r="B2692" s="51" t="n">
        <v>45819</v>
      </c>
      <c r="C2692" s="50" t="s">
        <v>505</v>
      </c>
      <c r="D2692" s="50" t="s">
        <v>2184</v>
      </c>
      <c r="E2692" s="50" t="n">
        <v>6</v>
      </c>
      <c r="F2692" s="50" t="s">
        <v>2167</v>
      </c>
      <c r="G2692" s="54" t="n">
        <v>3280700</v>
      </c>
    </row>
    <row r="2693" customFormat="false" ht="15" hidden="false" customHeight="false" outlineLevel="0" collapsed="false">
      <c r="A2693" s="50" t="s">
        <v>1040</v>
      </c>
      <c r="B2693" s="51" t="n">
        <v>45819</v>
      </c>
      <c r="C2693" s="50" t="s">
        <v>505</v>
      </c>
      <c r="D2693" s="50" t="s">
        <v>2169</v>
      </c>
      <c r="E2693" s="50" t="n">
        <v>7</v>
      </c>
      <c r="F2693" s="50" t="s">
        <v>2167</v>
      </c>
      <c r="G2693" s="54" t="n">
        <v>4352100</v>
      </c>
    </row>
    <row r="2694" customFormat="false" ht="15" hidden="false" customHeight="false" outlineLevel="0" collapsed="false">
      <c r="A2694" s="50" t="s">
        <v>1040</v>
      </c>
      <c r="B2694" s="51" t="n">
        <v>45819</v>
      </c>
      <c r="C2694" s="50" t="s">
        <v>505</v>
      </c>
      <c r="D2694" s="50" t="s">
        <v>2180</v>
      </c>
      <c r="E2694" s="50" t="n">
        <v>2</v>
      </c>
      <c r="F2694" s="50" t="s">
        <v>2167</v>
      </c>
      <c r="G2694" s="54" t="n">
        <v>870200</v>
      </c>
    </row>
    <row r="2695" customFormat="false" ht="15" hidden="false" customHeight="false" outlineLevel="0" collapsed="false">
      <c r="A2695" s="50" t="s">
        <v>1040</v>
      </c>
      <c r="B2695" s="51" t="n">
        <v>45819</v>
      </c>
      <c r="C2695" s="50" t="s">
        <v>505</v>
      </c>
      <c r="D2695" s="50" t="s">
        <v>2181</v>
      </c>
      <c r="E2695" s="50" t="n">
        <v>6</v>
      </c>
      <c r="F2695" s="50" t="s">
        <v>2167</v>
      </c>
      <c r="G2695" s="54" t="n">
        <v>6731500</v>
      </c>
    </row>
    <row r="2696" customFormat="false" ht="15" hidden="false" customHeight="false" outlineLevel="0" collapsed="false">
      <c r="A2696" s="50" t="s">
        <v>1040</v>
      </c>
      <c r="B2696" s="51" t="n">
        <v>45819</v>
      </c>
      <c r="C2696" s="50" t="s">
        <v>505</v>
      </c>
      <c r="D2696" s="50" t="s">
        <v>2178</v>
      </c>
      <c r="E2696" s="50" t="n">
        <v>1</v>
      </c>
      <c r="F2696" s="50" t="s">
        <v>2167</v>
      </c>
      <c r="G2696" s="54" t="n">
        <v>477400</v>
      </c>
    </row>
    <row r="2697" customFormat="false" ht="15" hidden="false" customHeight="false" outlineLevel="0" collapsed="false">
      <c r="A2697" s="50" t="s">
        <v>1041</v>
      </c>
      <c r="B2697" s="51" t="n">
        <v>45819</v>
      </c>
      <c r="C2697" s="50" t="s">
        <v>191</v>
      </c>
      <c r="D2697" s="50" t="s">
        <v>2183</v>
      </c>
      <c r="E2697" s="50" t="n">
        <v>5</v>
      </c>
      <c r="F2697" s="50" t="s">
        <v>2167</v>
      </c>
      <c r="G2697" s="54" t="n">
        <v>1889100</v>
      </c>
    </row>
    <row r="2698" customFormat="false" ht="15" hidden="false" customHeight="false" outlineLevel="0" collapsed="false">
      <c r="A2698" s="50" t="s">
        <v>1041</v>
      </c>
      <c r="B2698" s="51" t="n">
        <v>45819</v>
      </c>
      <c r="C2698" s="50" t="s">
        <v>191</v>
      </c>
      <c r="D2698" s="50" t="s">
        <v>2168</v>
      </c>
      <c r="E2698" s="50" t="n">
        <v>2</v>
      </c>
      <c r="F2698" s="50" t="s">
        <v>2167</v>
      </c>
      <c r="G2698" s="54" t="n">
        <v>869200</v>
      </c>
    </row>
    <row r="2699" customFormat="false" ht="15" hidden="false" customHeight="false" outlineLevel="0" collapsed="false">
      <c r="A2699" s="50" t="s">
        <v>1042</v>
      </c>
      <c r="B2699" s="51" t="n">
        <v>45819</v>
      </c>
      <c r="C2699" s="50" t="s">
        <v>527</v>
      </c>
      <c r="D2699" s="50" t="s">
        <v>2166</v>
      </c>
      <c r="E2699" s="50" t="n">
        <v>5</v>
      </c>
      <c r="F2699" s="50" t="s">
        <v>2167</v>
      </c>
      <c r="G2699" s="54" t="n">
        <v>2766000</v>
      </c>
    </row>
    <row r="2700" customFormat="false" ht="15" hidden="false" customHeight="false" outlineLevel="0" collapsed="false">
      <c r="A2700" s="50" t="s">
        <v>1042</v>
      </c>
      <c r="B2700" s="51" t="n">
        <v>45819</v>
      </c>
      <c r="C2700" s="50" t="s">
        <v>527</v>
      </c>
      <c r="D2700" s="50" t="s">
        <v>2185</v>
      </c>
      <c r="E2700" s="50" t="n">
        <v>4</v>
      </c>
      <c r="F2700" s="50" t="s">
        <v>2174</v>
      </c>
      <c r="G2700" s="54" t="n">
        <v>3006300</v>
      </c>
    </row>
    <row r="2701" customFormat="false" ht="15" hidden="false" customHeight="false" outlineLevel="0" collapsed="false">
      <c r="A2701" s="50" t="s">
        <v>1042</v>
      </c>
      <c r="B2701" s="51" t="n">
        <v>45819</v>
      </c>
      <c r="C2701" s="50" t="s">
        <v>527</v>
      </c>
      <c r="D2701" s="50" t="s">
        <v>2187</v>
      </c>
      <c r="E2701" s="50" t="n">
        <v>3</v>
      </c>
      <c r="F2701" s="50" t="s">
        <v>2167</v>
      </c>
      <c r="G2701" s="54" t="n">
        <v>1066300</v>
      </c>
    </row>
    <row r="2702" customFormat="false" ht="15" hidden="false" customHeight="false" outlineLevel="0" collapsed="false">
      <c r="A2702" s="50" t="s">
        <v>1042</v>
      </c>
      <c r="B2702" s="51" t="n">
        <v>45819</v>
      </c>
      <c r="C2702" s="50" t="s">
        <v>527</v>
      </c>
      <c r="D2702" s="50" t="s">
        <v>2175</v>
      </c>
      <c r="E2702" s="50" t="n">
        <v>6</v>
      </c>
      <c r="F2702" s="50" t="s">
        <v>2167</v>
      </c>
      <c r="G2702" s="54" t="n">
        <v>3910300</v>
      </c>
    </row>
    <row r="2703" customFormat="false" ht="15" hidden="false" customHeight="false" outlineLevel="0" collapsed="false">
      <c r="A2703" s="50" t="s">
        <v>1042</v>
      </c>
      <c r="B2703" s="51" t="n">
        <v>45819</v>
      </c>
      <c r="C2703" s="50" t="s">
        <v>527</v>
      </c>
      <c r="D2703" s="50" t="s">
        <v>2180</v>
      </c>
      <c r="E2703" s="50" t="n">
        <v>8</v>
      </c>
      <c r="F2703" s="50" t="s">
        <v>2167</v>
      </c>
      <c r="G2703" s="54" t="n">
        <v>3684300</v>
      </c>
    </row>
    <row r="2704" customFormat="false" ht="15" hidden="false" customHeight="false" outlineLevel="0" collapsed="false">
      <c r="A2704" s="50" t="s">
        <v>1043</v>
      </c>
      <c r="B2704" s="51" t="n">
        <v>45819</v>
      </c>
      <c r="C2704" s="50" t="s">
        <v>540</v>
      </c>
      <c r="D2704" s="50" t="s">
        <v>2184</v>
      </c>
      <c r="E2704" s="50" t="n">
        <v>2</v>
      </c>
      <c r="F2704" s="50" t="s">
        <v>2167</v>
      </c>
      <c r="G2704" s="54" t="n">
        <v>1124600</v>
      </c>
    </row>
    <row r="2705" customFormat="false" ht="15" hidden="false" customHeight="false" outlineLevel="0" collapsed="false">
      <c r="A2705" s="50" t="s">
        <v>1043</v>
      </c>
      <c r="B2705" s="51" t="n">
        <v>45819</v>
      </c>
      <c r="C2705" s="50" t="s">
        <v>540</v>
      </c>
      <c r="D2705" s="50" t="s">
        <v>2178</v>
      </c>
      <c r="E2705" s="50" t="n">
        <v>6</v>
      </c>
      <c r="F2705" s="50" t="s">
        <v>2167</v>
      </c>
      <c r="G2705" s="54" t="n">
        <v>2933600</v>
      </c>
    </row>
    <row r="2706" customFormat="false" ht="15" hidden="false" customHeight="false" outlineLevel="0" collapsed="false">
      <c r="A2706" s="50" t="s">
        <v>1043</v>
      </c>
      <c r="B2706" s="51" t="n">
        <v>45819</v>
      </c>
      <c r="C2706" s="50" t="s">
        <v>540</v>
      </c>
      <c r="D2706" s="50" t="s">
        <v>2180</v>
      </c>
      <c r="E2706" s="50" t="n">
        <v>8</v>
      </c>
      <c r="F2706" s="50" t="s">
        <v>2167</v>
      </c>
      <c r="G2706" s="54" t="n">
        <v>3501300</v>
      </c>
    </row>
    <row r="2707" customFormat="false" ht="15" hidden="false" customHeight="false" outlineLevel="0" collapsed="false">
      <c r="A2707" s="50" t="s">
        <v>1043</v>
      </c>
      <c r="B2707" s="51" t="n">
        <v>45819</v>
      </c>
      <c r="C2707" s="50" t="s">
        <v>540</v>
      </c>
      <c r="D2707" s="50" t="s">
        <v>2186</v>
      </c>
      <c r="E2707" s="50" t="n">
        <v>4</v>
      </c>
      <c r="F2707" s="50" t="s">
        <v>2167</v>
      </c>
      <c r="G2707" s="54" t="n">
        <v>2369500</v>
      </c>
    </row>
    <row r="2708" customFormat="false" ht="15" hidden="false" customHeight="false" outlineLevel="0" collapsed="false">
      <c r="A2708" s="50" t="s">
        <v>1043</v>
      </c>
      <c r="B2708" s="51" t="n">
        <v>45819</v>
      </c>
      <c r="C2708" s="50" t="s">
        <v>540</v>
      </c>
      <c r="D2708" s="50" t="s">
        <v>2176</v>
      </c>
      <c r="E2708" s="50" t="n">
        <v>3</v>
      </c>
      <c r="F2708" s="50" t="s">
        <v>2167</v>
      </c>
      <c r="G2708" s="54" t="n">
        <v>1258000</v>
      </c>
    </row>
    <row r="2709" customFormat="false" ht="15" hidden="false" customHeight="false" outlineLevel="0" collapsed="false">
      <c r="A2709" s="50" t="s">
        <v>1044</v>
      </c>
      <c r="B2709" s="51" t="n">
        <v>45820</v>
      </c>
      <c r="C2709" s="50" t="s">
        <v>373</v>
      </c>
      <c r="D2709" s="50" t="s">
        <v>2173</v>
      </c>
      <c r="E2709" s="50" t="n">
        <v>5</v>
      </c>
      <c r="F2709" s="50" t="s">
        <v>2174</v>
      </c>
      <c r="G2709" s="54" t="n">
        <v>4139100</v>
      </c>
    </row>
    <row r="2710" customFormat="false" ht="15" hidden="false" customHeight="false" outlineLevel="0" collapsed="false">
      <c r="A2710" s="50" t="s">
        <v>1044</v>
      </c>
      <c r="B2710" s="51" t="n">
        <v>45820</v>
      </c>
      <c r="C2710" s="50" t="s">
        <v>373</v>
      </c>
      <c r="D2710" s="50" t="s">
        <v>2187</v>
      </c>
      <c r="E2710" s="50" t="n">
        <v>1</v>
      </c>
      <c r="F2710" s="50" t="s">
        <v>2167</v>
      </c>
      <c r="G2710" s="54" t="n">
        <v>359700</v>
      </c>
    </row>
    <row r="2711" customFormat="false" ht="15" hidden="false" customHeight="false" outlineLevel="0" collapsed="false">
      <c r="A2711" s="50" t="s">
        <v>1045</v>
      </c>
      <c r="B2711" s="51" t="n">
        <v>45820</v>
      </c>
      <c r="C2711" s="50" t="s">
        <v>191</v>
      </c>
      <c r="D2711" s="50" t="s">
        <v>2170</v>
      </c>
      <c r="E2711" s="50" t="n">
        <v>2</v>
      </c>
      <c r="F2711" s="50" t="s">
        <v>2171</v>
      </c>
      <c r="G2711" s="54" t="n">
        <v>14942000</v>
      </c>
    </row>
    <row r="2712" customFormat="false" ht="15" hidden="false" customHeight="false" outlineLevel="0" collapsed="false">
      <c r="A2712" s="50" t="s">
        <v>1045</v>
      </c>
      <c r="B2712" s="51" t="n">
        <v>45820</v>
      </c>
      <c r="C2712" s="50" t="s">
        <v>191</v>
      </c>
      <c r="D2712" s="50" t="s">
        <v>2185</v>
      </c>
      <c r="E2712" s="50" t="n">
        <v>7</v>
      </c>
      <c r="F2712" s="50" t="s">
        <v>2174</v>
      </c>
      <c r="G2712" s="54" t="n">
        <v>5296800</v>
      </c>
    </row>
    <row r="2713" customFormat="false" ht="15" hidden="false" customHeight="false" outlineLevel="0" collapsed="false">
      <c r="A2713" s="50" t="s">
        <v>1045</v>
      </c>
      <c r="B2713" s="51" t="n">
        <v>45820</v>
      </c>
      <c r="C2713" s="50" t="s">
        <v>191</v>
      </c>
      <c r="D2713" s="50" t="s">
        <v>2183</v>
      </c>
      <c r="E2713" s="50" t="n">
        <v>3</v>
      </c>
      <c r="F2713" s="50" t="s">
        <v>2167</v>
      </c>
      <c r="G2713" s="54" t="n">
        <v>1097600</v>
      </c>
    </row>
    <row r="2714" customFormat="false" ht="15" hidden="false" customHeight="false" outlineLevel="0" collapsed="false">
      <c r="A2714" s="50" t="s">
        <v>1046</v>
      </c>
      <c r="B2714" s="51" t="n">
        <v>45820</v>
      </c>
      <c r="C2714" s="50" t="s">
        <v>284</v>
      </c>
      <c r="D2714" s="50" t="s">
        <v>2181</v>
      </c>
      <c r="E2714" s="50" t="n">
        <v>2</v>
      </c>
      <c r="F2714" s="50" t="s">
        <v>2167</v>
      </c>
      <c r="G2714" s="54" t="n">
        <v>2314700</v>
      </c>
    </row>
    <row r="2715" customFormat="false" ht="15" hidden="false" customHeight="false" outlineLevel="0" collapsed="false">
      <c r="A2715" s="50" t="s">
        <v>1046</v>
      </c>
      <c r="B2715" s="51" t="n">
        <v>45820</v>
      </c>
      <c r="C2715" s="50" t="s">
        <v>284</v>
      </c>
      <c r="D2715" s="50" t="s">
        <v>2176</v>
      </c>
      <c r="E2715" s="50" t="n">
        <v>3</v>
      </c>
      <c r="F2715" s="50" t="s">
        <v>2167</v>
      </c>
      <c r="G2715" s="54" t="n">
        <v>1273700</v>
      </c>
    </row>
    <row r="2716" customFormat="false" ht="15" hidden="false" customHeight="false" outlineLevel="0" collapsed="false">
      <c r="A2716" s="50" t="s">
        <v>1047</v>
      </c>
      <c r="B2716" s="51" t="n">
        <v>45821</v>
      </c>
      <c r="C2716" s="50" t="s">
        <v>1048</v>
      </c>
      <c r="D2716" s="50" t="s">
        <v>2188</v>
      </c>
      <c r="E2716" s="50" t="n">
        <v>2</v>
      </c>
      <c r="F2716" s="50" t="s">
        <v>2167</v>
      </c>
      <c r="G2716" s="54" t="n">
        <v>2002700</v>
      </c>
    </row>
    <row r="2717" customFormat="false" ht="15" hidden="false" customHeight="false" outlineLevel="0" collapsed="false">
      <c r="A2717" s="50" t="s">
        <v>1047</v>
      </c>
      <c r="B2717" s="51" t="n">
        <v>45821</v>
      </c>
      <c r="C2717" s="50" t="s">
        <v>1048</v>
      </c>
      <c r="D2717" s="50" t="s">
        <v>2182</v>
      </c>
      <c r="E2717" s="50" t="n">
        <v>3</v>
      </c>
      <c r="F2717" s="50" t="s">
        <v>2174</v>
      </c>
      <c r="G2717" s="54" t="n">
        <v>2797200</v>
      </c>
    </row>
    <row r="2718" customFormat="false" ht="15" hidden="false" customHeight="false" outlineLevel="0" collapsed="false">
      <c r="A2718" s="50" t="s">
        <v>1047</v>
      </c>
      <c r="B2718" s="51" t="n">
        <v>45821</v>
      </c>
      <c r="C2718" s="50" t="s">
        <v>1048</v>
      </c>
      <c r="D2718" s="50" t="s">
        <v>2181</v>
      </c>
      <c r="E2718" s="50" t="n">
        <v>6</v>
      </c>
      <c r="F2718" s="50" t="s">
        <v>2167</v>
      </c>
      <c r="G2718" s="54" t="n">
        <v>6627200</v>
      </c>
    </row>
    <row r="2719" customFormat="false" ht="15" hidden="false" customHeight="false" outlineLevel="0" collapsed="false">
      <c r="A2719" s="50" t="s">
        <v>1047</v>
      </c>
      <c r="B2719" s="51" t="n">
        <v>45821</v>
      </c>
      <c r="C2719" s="50" t="s">
        <v>1048</v>
      </c>
      <c r="D2719" s="50" t="s">
        <v>2169</v>
      </c>
      <c r="E2719" s="50" t="n">
        <v>4</v>
      </c>
      <c r="F2719" s="50" t="s">
        <v>2167</v>
      </c>
      <c r="G2719" s="54" t="n">
        <v>2389500</v>
      </c>
    </row>
    <row r="2720" customFormat="false" ht="15" hidden="false" customHeight="false" outlineLevel="0" collapsed="false">
      <c r="A2720" s="50" t="s">
        <v>1049</v>
      </c>
      <c r="B2720" s="51" t="n">
        <v>45821</v>
      </c>
      <c r="C2720" s="50" t="s">
        <v>207</v>
      </c>
      <c r="D2720" s="50" t="s">
        <v>2180</v>
      </c>
      <c r="E2720" s="50" t="n">
        <v>6</v>
      </c>
      <c r="F2720" s="50" t="s">
        <v>2167</v>
      </c>
      <c r="G2720" s="54" t="n">
        <v>2672300</v>
      </c>
    </row>
    <row r="2721" customFormat="false" ht="15" hidden="false" customHeight="false" outlineLevel="0" collapsed="false">
      <c r="A2721" s="50" t="s">
        <v>1049</v>
      </c>
      <c r="B2721" s="51" t="n">
        <v>45821</v>
      </c>
      <c r="C2721" s="50" t="s">
        <v>207</v>
      </c>
      <c r="D2721" s="50" t="s">
        <v>2188</v>
      </c>
      <c r="E2721" s="50" t="n">
        <v>3</v>
      </c>
      <c r="F2721" s="50" t="s">
        <v>2167</v>
      </c>
      <c r="G2721" s="54" t="n">
        <v>2878800</v>
      </c>
    </row>
    <row r="2722" customFormat="false" ht="15" hidden="false" customHeight="false" outlineLevel="0" collapsed="false">
      <c r="A2722" s="50" t="s">
        <v>1049</v>
      </c>
      <c r="B2722" s="51" t="n">
        <v>45821</v>
      </c>
      <c r="C2722" s="50" t="s">
        <v>207</v>
      </c>
      <c r="D2722" s="50" t="s">
        <v>2179</v>
      </c>
      <c r="E2722" s="50" t="n">
        <v>6</v>
      </c>
      <c r="F2722" s="50" t="s">
        <v>2174</v>
      </c>
      <c r="G2722" s="54" t="n">
        <v>7213000</v>
      </c>
    </row>
    <row r="2723" customFormat="false" ht="15" hidden="false" customHeight="false" outlineLevel="0" collapsed="false">
      <c r="A2723" s="50" t="s">
        <v>1049</v>
      </c>
      <c r="B2723" s="51" t="n">
        <v>45821</v>
      </c>
      <c r="C2723" s="50" t="s">
        <v>207</v>
      </c>
      <c r="D2723" s="50" t="s">
        <v>2181</v>
      </c>
      <c r="E2723" s="50" t="n">
        <v>1</v>
      </c>
      <c r="F2723" s="50" t="s">
        <v>2167</v>
      </c>
      <c r="G2723" s="54" t="n">
        <v>1169100</v>
      </c>
    </row>
    <row r="2724" customFormat="false" ht="15" hidden="false" customHeight="false" outlineLevel="0" collapsed="false">
      <c r="A2724" s="50" t="s">
        <v>1050</v>
      </c>
      <c r="B2724" s="51" t="n">
        <v>45821</v>
      </c>
      <c r="C2724" s="50" t="s">
        <v>278</v>
      </c>
      <c r="D2724" s="50" t="s">
        <v>2185</v>
      </c>
      <c r="E2724" s="50" t="n">
        <v>8</v>
      </c>
      <c r="F2724" s="50" t="s">
        <v>2174</v>
      </c>
      <c r="G2724" s="54" t="n">
        <v>6302200</v>
      </c>
    </row>
    <row r="2725" customFormat="false" ht="15" hidden="false" customHeight="false" outlineLevel="0" collapsed="false">
      <c r="A2725" s="50" t="s">
        <v>1050</v>
      </c>
      <c r="B2725" s="51" t="n">
        <v>45821</v>
      </c>
      <c r="C2725" s="50" t="s">
        <v>278</v>
      </c>
      <c r="D2725" s="50" t="s">
        <v>2176</v>
      </c>
      <c r="E2725" s="50" t="n">
        <v>4</v>
      </c>
      <c r="F2725" s="50" t="s">
        <v>2167</v>
      </c>
      <c r="G2725" s="54" t="n">
        <v>1677900</v>
      </c>
    </row>
    <row r="2726" customFormat="false" ht="15" hidden="false" customHeight="false" outlineLevel="0" collapsed="false">
      <c r="A2726" s="50" t="s">
        <v>1050</v>
      </c>
      <c r="B2726" s="51" t="n">
        <v>45821</v>
      </c>
      <c r="C2726" s="50" t="s">
        <v>278</v>
      </c>
      <c r="D2726" s="50" t="s">
        <v>2187</v>
      </c>
      <c r="E2726" s="50" t="n">
        <v>4</v>
      </c>
      <c r="F2726" s="50" t="s">
        <v>2167</v>
      </c>
      <c r="G2726" s="54" t="n">
        <v>1362400</v>
      </c>
    </row>
    <row r="2727" customFormat="false" ht="15" hidden="false" customHeight="false" outlineLevel="0" collapsed="false">
      <c r="A2727" s="50" t="s">
        <v>1051</v>
      </c>
      <c r="B2727" s="51" t="n">
        <v>45821</v>
      </c>
      <c r="C2727" s="50" t="s">
        <v>195</v>
      </c>
      <c r="D2727" s="50" t="s">
        <v>2184</v>
      </c>
      <c r="E2727" s="50" t="n">
        <v>5</v>
      </c>
      <c r="F2727" s="50" t="s">
        <v>2167</v>
      </c>
      <c r="G2727" s="54" t="n">
        <v>2792300</v>
      </c>
    </row>
    <row r="2728" customFormat="false" ht="15" hidden="false" customHeight="false" outlineLevel="0" collapsed="false">
      <c r="A2728" s="50" t="s">
        <v>1051</v>
      </c>
      <c r="B2728" s="51" t="n">
        <v>45821</v>
      </c>
      <c r="C2728" s="50" t="s">
        <v>195</v>
      </c>
      <c r="D2728" s="50" t="s">
        <v>2185</v>
      </c>
      <c r="E2728" s="50" t="n">
        <v>2</v>
      </c>
      <c r="F2728" s="50" t="s">
        <v>2174</v>
      </c>
      <c r="G2728" s="54" t="n">
        <v>1498300</v>
      </c>
    </row>
    <row r="2729" customFormat="false" ht="15" hidden="false" customHeight="false" outlineLevel="0" collapsed="false">
      <c r="A2729" s="50" t="s">
        <v>1051</v>
      </c>
      <c r="B2729" s="51" t="n">
        <v>45821</v>
      </c>
      <c r="C2729" s="50" t="s">
        <v>195</v>
      </c>
      <c r="D2729" s="50" t="s">
        <v>2175</v>
      </c>
      <c r="E2729" s="50" t="n">
        <v>4</v>
      </c>
      <c r="F2729" s="50" t="s">
        <v>2167</v>
      </c>
      <c r="G2729" s="54" t="n">
        <v>2505800</v>
      </c>
    </row>
    <row r="2730" customFormat="false" ht="15" hidden="false" customHeight="false" outlineLevel="0" collapsed="false">
      <c r="A2730" s="50" t="s">
        <v>1051</v>
      </c>
      <c r="B2730" s="51" t="n">
        <v>45821</v>
      </c>
      <c r="C2730" s="50" t="s">
        <v>195</v>
      </c>
      <c r="D2730" s="50" t="s">
        <v>2180</v>
      </c>
      <c r="E2730" s="50" t="n">
        <v>5</v>
      </c>
      <c r="F2730" s="50" t="s">
        <v>2167</v>
      </c>
      <c r="G2730" s="54" t="n">
        <v>2254300</v>
      </c>
    </row>
    <row r="2731" customFormat="false" ht="15" hidden="false" customHeight="false" outlineLevel="0" collapsed="false">
      <c r="A2731" s="50" t="s">
        <v>1052</v>
      </c>
      <c r="B2731" s="51" t="n">
        <v>45821</v>
      </c>
      <c r="C2731" s="50" t="s">
        <v>239</v>
      </c>
      <c r="D2731" s="50" t="s">
        <v>2172</v>
      </c>
      <c r="E2731" s="50" t="n">
        <v>6</v>
      </c>
      <c r="F2731" s="50" t="s">
        <v>2167</v>
      </c>
      <c r="G2731" s="54" t="n">
        <v>3133400</v>
      </c>
    </row>
    <row r="2732" customFormat="false" ht="15" hidden="false" customHeight="false" outlineLevel="0" collapsed="false">
      <c r="A2732" s="50" t="s">
        <v>1052</v>
      </c>
      <c r="B2732" s="51" t="n">
        <v>45821</v>
      </c>
      <c r="C2732" s="50" t="s">
        <v>239</v>
      </c>
      <c r="D2732" s="50" t="s">
        <v>2188</v>
      </c>
      <c r="E2732" s="50" t="n">
        <v>3</v>
      </c>
      <c r="F2732" s="50" t="s">
        <v>2167</v>
      </c>
      <c r="G2732" s="54" t="n">
        <v>2970500</v>
      </c>
    </row>
    <row r="2733" customFormat="false" ht="15" hidden="false" customHeight="false" outlineLevel="0" collapsed="false">
      <c r="A2733" s="50" t="s">
        <v>1052</v>
      </c>
      <c r="B2733" s="51" t="n">
        <v>45821</v>
      </c>
      <c r="C2733" s="50" t="s">
        <v>239</v>
      </c>
      <c r="D2733" s="50" t="s">
        <v>2176</v>
      </c>
      <c r="E2733" s="50" t="n">
        <v>7</v>
      </c>
      <c r="F2733" s="50" t="s">
        <v>2167</v>
      </c>
      <c r="G2733" s="54" t="n">
        <v>2883900</v>
      </c>
    </row>
    <row r="2734" customFormat="false" ht="15" hidden="false" customHeight="false" outlineLevel="0" collapsed="false">
      <c r="A2734" s="50" t="s">
        <v>1053</v>
      </c>
      <c r="B2734" s="51" t="n">
        <v>45821</v>
      </c>
      <c r="C2734" s="50" t="s">
        <v>234</v>
      </c>
      <c r="D2734" s="50" t="s">
        <v>2180</v>
      </c>
      <c r="E2734" s="50" t="n">
        <v>7</v>
      </c>
      <c r="F2734" s="50" t="s">
        <v>2167</v>
      </c>
      <c r="G2734" s="54" t="n">
        <v>3140100</v>
      </c>
    </row>
    <row r="2735" customFormat="false" ht="15" hidden="false" customHeight="false" outlineLevel="0" collapsed="false">
      <c r="A2735" s="50" t="s">
        <v>1053</v>
      </c>
      <c r="B2735" s="51" t="n">
        <v>45821</v>
      </c>
      <c r="C2735" s="50" t="s">
        <v>234</v>
      </c>
      <c r="D2735" s="50" t="s">
        <v>2178</v>
      </c>
      <c r="E2735" s="50" t="n">
        <v>7</v>
      </c>
      <c r="F2735" s="50" t="s">
        <v>2167</v>
      </c>
      <c r="G2735" s="54" t="n">
        <v>3227300</v>
      </c>
    </row>
    <row r="2736" customFormat="false" ht="15" hidden="false" customHeight="false" outlineLevel="0" collapsed="false">
      <c r="A2736" s="50" t="s">
        <v>1053</v>
      </c>
      <c r="B2736" s="51" t="n">
        <v>45821</v>
      </c>
      <c r="C2736" s="50" t="s">
        <v>234</v>
      </c>
      <c r="D2736" s="50" t="s">
        <v>2183</v>
      </c>
      <c r="E2736" s="50" t="n">
        <v>5</v>
      </c>
      <c r="F2736" s="50" t="s">
        <v>2167</v>
      </c>
      <c r="G2736" s="54" t="n">
        <v>1913700</v>
      </c>
    </row>
    <row r="2737" customFormat="false" ht="15" hidden="false" customHeight="false" outlineLevel="0" collapsed="false">
      <c r="A2737" s="50" t="s">
        <v>1053</v>
      </c>
      <c r="B2737" s="51" t="n">
        <v>45821</v>
      </c>
      <c r="C2737" s="50" t="s">
        <v>234</v>
      </c>
      <c r="D2737" s="50" t="s">
        <v>2182</v>
      </c>
      <c r="E2737" s="50" t="n">
        <v>7</v>
      </c>
      <c r="F2737" s="50" t="s">
        <v>2174</v>
      </c>
      <c r="G2737" s="54" t="n">
        <v>6753200</v>
      </c>
    </row>
    <row r="2738" customFormat="false" ht="15" hidden="false" customHeight="false" outlineLevel="0" collapsed="false">
      <c r="A2738" s="50" t="s">
        <v>1054</v>
      </c>
      <c r="B2738" s="51" t="n">
        <v>45822</v>
      </c>
      <c r="C2738" s="50" t="s">
        <v>505</v>
      </c>
      <c r="D2738" s="50" t="s">
        <v>2180</v>
      </c>
      <c r="E2738" s="50" t="n">
        <v>4</v>
      </c>
      <c r="F2738" s="50" t="s">
        <v>2167</v>
      </c>
      <c r="G2738" s="54" t="n">
        <v>1837100</v>
      </c>
    </row>
    <row r="2739" customFormat="false" ht="15" hidden="false" customHeight="false" outlineLevel="0" collapsed="false">
      <c r="A2739" s="50" t="s">
        <v>1054</v>
      </c>
      <c r="B2739" s="51" t="n">
        <v>45822</v>
      </c>
      <c r="C2739" s="50" t="s">
        <v>505</v>
      </c>
      <c r="D2739" s="50" t="s">
        <v>2178</v>
      </c>
      <c r="E2739" s="50" t="n">
        <v>6</v>
      </c>
      <c r="F2739" s="50" t="s">
        <v>2167</v>
      </c>
      <c r="G2739" s="54" t="n">
        <v>2766200</v>
      </c>
    </row>
    <row r="2740" customFormat="false" ht="15" hidden="false" customHeight="false" outlineLevel="0" collapsed="false">
      <c r="A2740" s="50" t="s">
        <v>1054</v>
      </c>
      <c r="B2740" s="51" t="n">
        <v>45822</v>
      </c>
      <c r="C2740" s="50" t="s">
        <v>505</v>
      </c>
      <c r="D2740" s="50" t="s">
        <v>2185</v>
      </c>
      <c r="E2740" s="50" t="n">
        <v>3</v>
      </c>
      <c r="F2740" s="50" t="s">
        <v>2174</v>
      </c>
      <c r="G2740" s="54" t="n">
        <v>2383200</v>
      </c>
    </row>
    <row r="2741" customFormat="false" ht="15" hidden="false" customHeight="false" outlineLevel="0" collapsed="false">
      <c r="A2741" s="50" t="s">
        <v>1054</v>
      </c>
      <c r="B2741" s="51" t="n">
        <v>45822</v>
      </c>
      <c r="C2741" s="50" t="s">
        <v>505</v>
      </c>
      <c r="D2741" s="50" t="s">
        <v>2172</v>
      </c>
      <c r="E2741" s="50" t="n">
        <v>3</v>
      </c>
      <c r="F2741" s="50" t="s">
        <v>2167</v>
      </c>
      <c r="G2741" s="54" t="n">
        <v>1620100</v>
      </c>
    </row>
    <row r="2742" customFormat="false" ht="15" hidden="false" customHeight="false" outlineLevel="0" collapsed="false">
      <c r="A2742" s="50" t="s">
        <v>1054</v>
      </c>
      <c r="B2742" s="51" t="n">
        <v>45822</v>
      </c>
      <c r="C2742" s="50" t="s">
        <v>505</v>
      </c>
      <c r="D2742" s="50" t="s">
        <v>2168</v>
      </c>
      <c r="E2742" s="50" t="n">
        <v>4</v>
      </c>
      <c r="F2742" s="50" t="s">
        <v>2167</v>
      </c>
      <c r="G2742" s="54" t="n">
        <v>1665400</v>
      </c>
    </row>
    <row r="2743" customFormat="false" ht="15" hidden="false" customHeight="false" outlineLevel="0" collapsed="false">
      <c r="A2743" s="50" t="s">
        <v>1055</v>
      </c>
      <c r="B2743" s="51" t="n">
        <v>45822</v>
      </c>
      <c r="C2743" s="50" t="s">
        <v>168</v>
      </c>
      <c r="D2743" s="50" t="s">
        <v>2180</v>
      </c>
      <c r="E2743" s="50" t="n">
        <v>8</v>
      </c>
      <c r="F2743" s="50" t="s">
        <v>2167</v>
      </c>
      <c r="G2743" s="54" t="n">
        <v>3721600</v>
      </c>
    </row>
    <row r="2744" customFormat="false" ht="15" hidden="false" customHeight="false" outlineLevel="0" collapsed="false">
      <c r="A2744" s="50" t="s">
        <v>1055</v>
      </c>
      <c r="B2744" s="51" t="n">
        <v>45822</v>
      </c>
      <c r="C2744" s="50" t="s">
        <v>168</v>
      </c>
      <c r="D2744" s="50" t="s">
        <v>2185</v>
      </c>
      <c r="E2744" s="50" t="n">
        <v>5</v>
      </c>
      <c r="F2744" s="50" t="s">
        <v>2174</v>
      </c>
      <c r="G2744" s="54" t="n">
        <v>3942100</v>
      </c>
    </row>
    <row r="2745" customFormat="false" ht="15" hidden="false" customHeight="false" outlineLevel="0" collapsed="false">
      <c r="A2745" s="50" t="s">
        <v>1055</v>
      </c>
      <c r="B2745" s="51" t="n">
        <v>45822</v>
      </c>
      <c r="C2745" s="50" t="s">
        <v>168</v>
      </c>
      <c r="D2745" s="50" t="s">
        <v>2187</v>
      </c>
      <c r="E2745" s="50" t="n">
        <v>6</v>
      </c>
      <c r="F2745" s="50" t="s">
        <v>2167</v>
      </c>
      <c r="G2745" s="54" t="n">
        <v>2078700</v>
      </c>
    </row>
    <row r="2746" customFormat="false" ht="15" hidden="false" customHeight="false" outlineLevel="0" collapsed="false">
      <c r="A2746" s="50" t="s">
        <v>1056</v>
      </c>
      <c r="B2746" s="51" t="n">
        <v>45822</v>
      </c>
      <c r="C2746" s="50" t="s">
        <v>223</v>
      </c>
      <c r="D2746" s="50" t="s">
        <v>2169</v>
      </c>
      <c r="E2746" s="50" t="n">
        <v>4</v>
      </c>
      <c r="F2746" s="50" t="s">
        <v>2167</v>
      </c>
      <c r="G2746" s="54" t="n">
        <v>2549900</v>
      </c>
    </row>
    <row r="2747" customFormat="false" ht="15" hidden="false" customHeight="false" outlineLevel="0" collapsed="false">
      <c r="A2747" s="50" t="s">
        <v>1056</v>
      </c>
      <c r="B2747" s="51" t="n">
        <v>45822</v>
      </c>
      <c r="C2747" s="50" t="s">
        <v>223</v>
      </c>
      <c r="D2747" s="50" t="s">
        <v>2181</v>
      </c>
      <c r="E2747" s="50" t="n">
        <v>3</v>
      </c>
      <c r="F2747" s="50" t="s">
        <v>2167</v>
      </c>
      <c r="G2747" s="54" t="n">
        <v>3521800</v>
      </c>
    </row>
    <row r="2748" customFormat="false" ht="15" hidden="false" customHeight="false" outlineLevel="0" collapsed="false">
      <c r="A2748" s="50" t="s">
        <v>1056</v>
      </c>
      <c r="B2748" s="51" t="n">
        <v>45822</v>
      </c>
      <c r="C2748" s="50" t="s">
        <v>223</v>
      </c>
      <c r="D2748" s="50" t="s">
        <v>2180</v>
      </c>
      <c r="E2748" s="50" t="n">
        <v>1</v>
      </c>
      <c r="F2748" s="50" t="s">
        <v>2167</v>
      </c>
      <c r="G2748" s="54" t="n">
        <v>443000</v>
      </c>
    </row>
    <row r="2749" customFormat="false" ht="15" hidden="false" customHeight="false" outlineLevel="0" collapsed="false">
      <c r="A2749" s="50" t="s">
        <v>1056</v>
      </c>
      <c r="B2749" s="51" t="n">
        <v>45822</v>
      </c>
      <c r="C2749" s="50" t="s">
        <v>223</v>
      </c>
      <c r="D2749" s="50" t="s">
        <v>2168</v>
      </c>
      <c r="E2749" s="50" t="n">
        <v>7</v>
      </c>
      <c r="F2749" s="50" t="s">
        <v>2167</v>
      </c>
      <c r="G2749" s="54" t="n">
        <v>3001300</v>
      </c>
    </row>
    <row r="2750" customFormat="false" ht="15" hidden="false" customHeight="false" outlineLevel="0" collapsed="false">
      <c r="A2750" s="50" t="s">
        <v>1057</v>
      </c>
      <c r="B2750" s="51" t="n">
        <v>45822</v>
      </c>
      <c r="C2750" s="50" t="s">
        <v>251</v>
      </c>
      <c r="D2750" s="50" t="s">
        <v>2187</v>
      </c>
      <c r="E2750" s="50" t="n">
        <v>5</v>
      </c>
      <c r="F2750" s="50" t="s">
        <v>2167</v>
      </c>
      <c r="G2750" s="54" t="n">
        <v>1791200</v>
      </c>
    </row>
    <row r="2751" customFormat="false" ht="15" hidden="false" customHeight="false" outlineLevel="0" collapsed="false">
      <c r="A2751" s="50" t="s">
        <v>1057</v>
      </c>
      <c r="B2751" s="51" t="n">
        <v>45822</v>
      </c>
      <c r="C2751" s="50" t="s">
        <v>251</v>
      </c>
      <c r="D2751" s="50" t="s">
        <v>2181</v>
      </c>
      <c r="E2751" s="50" t="n">
        <v>4</v>
      </c>
      <c r="F2751" s="50" t="s">
        <v>2167</v>
      </c>
      <c r="G2751" s="54" t="n">
        <v>4715800</v>
      </c>
    </row>
    <row r="2752" customFormat="false" ht="15" hidden="false" customHeight="false" outlineLevel="0" collapsed="false">
      <c r="A2752" s="50" t="s">
        <v>1057</v>
      </c>
      <c r="B2752" s="51" t="n">
        <v>45822</v>
      </c>
      <c r="C2752" s="50" t="s">
        <v>251</v>
      </c>
      <c r="D2752" s="50" t="s">
        <v>2176</v>
      </c>
      <c r="E2752" s="50" t="n">
        <v>3</v>
      </c>
      <c r="F2752" s="50" t="s">
        <v>2167</v>
      </c>
      <c r="G2752" s="54" t="n">
        <v>1250800</v>
      </c>
    </row>
    <row r="2753" customFormat="false" ht="15" hidden="false" customHeight="false" outlineLevel="0" collapsed="false">
      <c r="A2753" s="50" t="s">
        <v>1058</v>
      </c>
      <c r="B2753" s="51" t="n">
        <v>45822</v>
      </c>
      <c r="C2753" s="50" t="s">
        <v>168</v>
      </c>
      <c r="D2753" s="50" t="s">
        <v>2176</v>
      </c>
      <c r="E2753" s="50" t="n">
        <v>8</v>
      </c>
      <c r="F2753" s="50" t="s">
        <v>2167</v>
      </c>
      <c r="G2753" s="54" t="n">
        <v>3329600</v>
      </c>
    </row>
    <row r="2754" customFormat="false" ht="15" hidden="false" customHeight="false" outlineLevel="0" collapsed="false">
      <c r="A2754" s="50" t="s">
        <v>1058</v>
      </c>
      <c r="B2754" s="51" t="n">
        <v>45822</v>
      </c>
      <c r="C2754" s="50" t="s">
        <v>168</v>
      </c>
      <c r="D2754" s="50" t="s">
        <v>2172</v>
      </c>
      <c r="E2754" s="50" t="n">
        <v>4</v>
      </c>
      <c r="F2754" s="50" t="s">
        <v>2167</v>
      </c>
      <c r="G2754" s="54" t="n">
        <v>2116600</v>
      </c>
    </row>
    <row r="2755" customFormat="false" ht="15" hidden="false" customHeight="false" outlineLevel="0" collapsed="false">
      <c r="A2755" s="50" t="s">
        <v>1058</v>
      </c>
      <c r="B2755" s="51" t="n">
        <v>45822</v>
      </c>
      <c r="C2755" s="50" t="s">
        <v>168</v>
      </c>
      <c r="D2755" s="50" t="s">
        <v>2180</v>
      </c>
      <c r="E2755" s="50" t="n">
        <v>4</v>
      </c>
      <c r="F2755" s="50" t="s">
        <v>2167</v>
      </c>
      <c r="G2755" s="54" t="n">
        <v>1806400</v>
      </c>
    </row>
    <row r="2756" customFormat="false" ht="15" hidden="false" customHeight="false" outlineLevel="0" collapsed="false">
      <c r="A2756" s="50" t="s">
        <v>1058</v>
      </c>
      <c r="B2756" s="51" t="n">
        <v>45822</v>
      </c>
      <c r="C2756" s="50" t="s">
        <v>168</v>
      </c>
      <c r="D2756" s="50" t="s">
        <v>2183</v>
      </c>
      <c r="E2756" s="50" t="n">
        <v>4</v>
      </c>
      <c r="F2756" s="50" t="s">
        <v>2167</v>
      </c>
      <c r="G2756" s="54" t="n">
        <v>1514500</v>
      </c>
    </row>
    <row r="2757" customFormat="false" ht="15" hidden="false" customHeight="false" outlineLevel="0" collapsed="false">
      <c r="A2757" s="50" t="s">
        <v>1059</v>
      </c>
      <c r="B2757" s="51" t="n">
        <v>45822</v>
      </c>
      <c r="C2757" s="50" t="s">
        <v>199</v>
      </c>
      <c r="D2757" s="50" t="s">
        <v>2166</v>
      </c>
      <c r="E2757" s="50" t="n">
        <v>6</v>
      </c>
      <c r="F2757" s="50" t="s">
        <v>2167</v>
      </c>
      <c r="G2757" s="54" t="n">
        <v>3143600</v>
      </c>
    </row>
    <row r="2758" customFormat="false" ht="15" hidden="false" customHeight="false" outlineLevel="0" collapsed="false">
      <c r="A2758" s="50" t="s">
        <v>1059</v>
      </c>
      <c r="B2758" s="51" t="n">
        <v>45822</v>
      </c>
      <c r="C2758" s="50" t="s">
        <v>199</v>
      </c>
      <c r="D2758" s="50" t="s">
        <v>2179</v>
      </c>
      <c r="E2758" s="50" t="n">
        <v>6</v>
      </c>
      <c r="F2758" s="50" t="s">
        <v>2174</v>
      </c>
      <c r="G2758" s="54" t="n">
        <v>7558300</v>
      </c>
    </row>
    <row r="2759" customFormat="false" ht="15" hidden="false" customHeight="false" outlineLevel="0" collapsed="false">
      <c r="A2759" s="50" t="s">
        <v>1060</v>
      </c>
      <c r="B2759" s="51" t="n">
        <v>45822</v>
      </c>
      <c r="C2759" s="50" t="s">
        <v>168</v>
      </c>
      <c r="D2759" s="50" t="s">
        <v>2183</v>
      </c>
      <c r="E2759" s="50" t="n">
        <v>6</v>
      </c>
      <c r="F2759" s="50" t="s">
        <v>2167</v>
      </c>
      <c r="G2759" s="54" t="n">
        <v>2359200</v>
      </c>
    </row>
    <row r="2760" customFormat="false" ht="15" hidden="false" customHeight="false" outlineLevel="0" collapsed="false">
      <c r="A2760" s="50" t="s">
        <v>1060</v>
      </c>
      <c r="B2760" s="51" t="n">
        <v>45822</v>
      </c>
      <c r="C2760" s="50" t="s">
        <v>168</v>
      </c>
      <c r="D2760" s="50" t="s">
        <v>2166</v>
      </c>
      <c r="E2760" s="50" t="n">
        <v>1</v>
      </c>
      <c r="F2760" s="50" t="s">
        <v>2167</v>
      </c>
      <c r="G2760" s="54" t="n">
        <v>522700</v>
      </c>
    </row>
    <row r="2761" customFormat="false" ht="15" hidden="false" customHeight="false" outlineLevel="0" collapsed="false">
      <c r="A2761" s="50" t="s">
        <v>1061</v>
      </c>
      <c r="B2761" s="51" t="n">
        <v>45822</v>
      </c>
      <c r="C2761" s="50" t="s">
        <v>382</v>
      </c>
      <c r="D2761" s="50" t="s">
        <v>2180</v>
      </c>
      <c r="E2761" s="50" t="n">
        <v>4</v>
      </c>
      <c r="F2761" s="50" t="s">
        <v>2167</v>
      </c>
      <c r="G2761" s="54" t="n">
        <v>1808700</v>
      </c>
    </row>
    <row r="2762" customFormat="false" ht="15" hidden="false" customHeight="false" outlineLevel="0" collapsed="false">
      <c r="A2762" s="50" t="s">
        <v>1061</v>
      </c>
      <c r="B2762" s="51" t="n">
        <v>45822</v>
      </c>
      <c r="C2762" s="50" t="s">
        <v>382</v>
      </c>
      <c r="D2762" s="50" t="s">
        <v>2186</v>
      </c>
      <c r="E2762" s="50" t="n">
        <v>1</v>
      </c>
      <c r="F2762" s="50" t="s">
        <v>2167</v>
      </c>
      <c r="G2762" s="54" t="n">
        <v>598100</v>
      </c>
    </row>
    <row r="2763" customFormat="false" ht="15" hidden="false" customHeight="false" outlineLevel="0" collapsed="false">
      <c r="A2763" s="50" t="s">
        <v>1061</v>
      </c>
      <c r="B2763" s="51" t="n">
        <v>45822</v>
      </c>
      <c r="C2763" s="50" t="s">
        <v>382</v>
      </c>
      <c r="D2763" s="50" t="s">
        <v>2176</v>
      </c>
      <c r="E2763" s="50" t="n">
        <v>2</v>
      </c>
      <c r="F2763" s="50" t="s">
        <v>2167</v>
      </c>
      <c r="G2763" s="54" t="n">
        <v>848700</v>
      </c>
    </row>
    <row r="2764" customFormat="false" ht="15" hidden="false" customHeight="false" outlineLevel="0" collapsed="false">
      <c r="A2764" s="50" t="s">
        <v>1061</v>
      </c>
      <c r="B2764" s="51" t="n">
        <v>45822</v>
      </c>
      <c r="C2764" s="50" t="s">
        <v>382</v>
      </c>
      <c r="D2764" s="50" t="s">
        <v>2169</v>
      </c>
      <c r="E2764" s="50" t="n">
        <v>7</v>
      </c>
      <c r="F2764" s="50" t="s">
        <v>2167</v>
      </c>
      <c r="G2764" s="54" t="n">
        <v>4250300</v>
      </c>
    </row>
    <row r="2765" customFormat="false" ht="15" hidden="false" customHeight="false" outlineLevel="0" collapsed="false">
      <c r="A2765" s="50" t="s">
        <v>1062</v>
      </c>
      <c r="B2765" s="51" t="n">
        <v>45824</v>
      </c>
      <c r="C2765" s="50" t="s">
        <v>199</v>
      </c>
      <c r="D2765" s="50" t="s">
        <v>2182</v>
      </c>
      <c r="E2765" s="50" t="n">
        <v>6</v>
      </c>
      <c r="F2765" s="50" t="s">
        <v>2174</v>
      </c>
      <c r="G2765" s="54" t="n">
        <v>5765500</v>
      </c>
    </row>
    <row r="2766" customFormat="false" ht="15" hidden="false" customHeight="false" outlineLevel="0" collapsed="false">
      <c r="A2766" s="50" t="s">
        <v>1062</v>
      </c>
      <c r="B2766" s="51" t="n">
        <v>45824</v>
      </c>
      <c r="C2766" s="50" t="s">
        <v>199</v>
      </c>
      <c r="D2766" s="50" t="s">
        <v>2169</v>
      </c>
      <c r="E2766" s="50" t="n">
        <v>8</v>
      </c>
      <c r="F2766" s="50" t="s">
        <v>2167</v>
      </c>
      <c r="G2766" s="54" t="n">
        <v>4820800</v>
      </c>
    </row>
    <row r="2767" customFormat="false" ht="15" hidden="false" customHeight="false" outlineLevel="0" collapsed="false">
      <c r="A2767" s="50" t="s">
        <v>1063</v>
      </c>
      <c r="B2767" s="51" t="n">
        <v>45824</v>
      </c>
      <c r="C2767" s="50" t="s">
        <v>373</v>
      </c>
      <c r="D2767" s="50" t="s">
        <v>2169</v>
      </c>
      <c r="E2767" s="50" t="n">
        <v>2</v>
      </c>
      <c r="F2767" s="50" t="s">
        <v>2167</v>
      </c>
      <c r="G2767" s="54" t="n">
        <v>1269600</v>
      </c>
    </row>
    <row r="2768" customFormat="false" ht="15" hidden="false" customHeight="false" outlineLevel="0" collapsed="false">
      <c r="A2768" s="50" t="s">
        <v>1063</v>
      </c>
      <c r="B2768" s="51" t="n">
        <v>45824</v>
      </c>
      <c r="C2768" s="50" t="s">
        <v>373</v>
      </c>
      <c r="D2768" s="50" t="s">
        <v>2186</v>
      </c>
      <c r="E2768" s="50" t="n">
        <v>1</v>
      </c>
      <c r="F2768" s="50" t="s">
        <v>2167</v>
      </c>
      <c r="G2768" s="54" t="n">
        <v>607700</v>
      </c>
    </row>
    <row r="2769" customFormat="false" ht="15" hidden="false" customHeight="false" outlineLevel="0" collapsed="false">
      <c r="A2769" s="50" t="s">
        <v>1063</v>
      </c>
      <c r="B2769" s="51" t="n">
        <v>45824</v>
      </c>
      <c r="C2769" s="50" t="s">
        <v>373</v>
      </c>
      <c r="D2769" s="50" t="s">
        <v>2172</v>
      </c>
      <c r="E2769" s="50" t="n">
        <v>3</v>
      </c>
      <c r="F2769" s="50" t="s">
        <v>2167</v>
      </c>
      <c r="G2769" s="54" t="n">
        <v>1501800</v>
      </c>
    </row>
    <row r="2770" customFormat="false" ht="15" hidden="false" customHeight="false" outlineLevel="0" collapsed="false">
      <c r="A2770" s="50" t="s">
        <v>1063</v>
      </c>
      <c r="B2770" s="51" t="n">
        <v>45824</v>
      </c>
      <c r="C2770" s="50" t="s">
        <v>373</v>
      </c>
      <c r="D2770" s="50" t="s">
        <v>2178</v>
      </c>
      <c r="E2770" s="50" t="n">
        <v>8</v>
      </c>
      <c r="F2770" s="50" t="s">
        <v>2167</v>
      </c>
      <c r="G2770" s="54" t="n">
        <v>3800100</v>
      </c>
    </row>
    <row r="2771" customFormat="false" ht="15" hidden="false" customHeight="false" outlineLevel="0" collapsed="false">
      <c r="A2771" s="50" t="s">
        <v>1063</v>
      </c>
      <c r="B2771" s="51" t="n">
        <v>45824</v>
      </c>
      <c r="C2771" s="50" t="s">
        <v>373</v>
      </c>
      <c r="D2771" s="50" t="s">
        <v>2168</v>
      </c>
      <c r="E2771" s="50" t="n">
        <v>6</v>
      </c>
      <c r="F2771" s="50" t="s">
        <v>2167</v>
      </c>
      <c r="G2771" s="54" t="n">
        <v>2550000</v>
      </c>
    </row>
    <row r="2772" customFormat="false" ht="15" hidden="false" customHeight="false" outlineLevel="0" collapsed="false">
      <c r="A2772" s="50" t="s">
        <v>1064</v>
      </c>
      <c r="B2772" s="51" t="n">
        <v>45824</v>
      </c>
      <c r="C2772" s="50" t="s">
        <v>225</v>
      </c>
      <c r="D2772" s="50" t="s">
        <v>2168</v>
      </c>
      <c r="E2772" s="50" t="n">
        <v>6</v>
      </c>
      <c r="F2772" s="50" t="s">
        <v>2167</v>
      </c>
      <c r="G2772" s="54" t="n">
        <v>2596200</v>
      </c>
    </row>
    <row r="2773" customFormat="false" ht="15" hidden="false" customHeight="false" outlineLevel="0" collapsed="false">
      <c r="A2773" s="50" t="s">
        <v>1065</v>
      </c>
      <c r="B2773" s="51" t="n">
        <v>45824</v>
      </c>
      <c r="C2773" s="50" t="s">
        <v>199</v>
      </c>
      <c r="D2773" s="50" t="s">
        <v>2186</v>
      </c>
      <c r="E2773" s="50" t="n">
        <v>6</v>
      </c>
      <c r="F2773" s="50" t="s">
        <v>2167</v>
      </c>
      <c r="G2773" s="54" t="n">
        <v>3651400</v>
      </c>
    </row>
    <row r="2774" customFormat="false" ht="15" hidden="false" customHeight="false" outlineLevel="0" collapsed="false">
      <c r="A2774" s="50" t="s">
        <v>1065</v>
      </c>
      <c r="B2774" s="51" t="n">
        <v>45824</v>
      </c>
      <c r="C2774" s="50" t="s">
        <v>199</v>
      </c>
      <c r="D2774" s="50" t="s">
        <v>2168</v>
      </c>
      <c r="E2774" s="50" t="n">
        <v>1</v>
      </c>
      <c r="F2774" s="50" t="s">
        <v>2167</v>
      </c>
      <c r="G2774" s="54" t="n">
        <v>420700</v>
      </c>
    </row>
    <row r="2775" customFormat="false" ht="15" hidden="false" customHeight="false" outlineLevel="0" collapsed="false">
      <c r="A2775" s="50" t="s">
        <v>1065</v>
      </c>
      <c r="B2775" s="51" t="n">
        <v>45824</v>
      </c>
      <c r="C2775" s="50" t="s">
        <v>199</v>
      </c>
      <c r="D2775" s="50" t="s">
        <v>2175</v>
      </c>
      <c r="E2775" s="50" t="n">
        <v>7</v>
      </c>
      <c r="F2775" s="50" t="s">
        <v>2167</v>
      </c>
      <c r="G2775" s="54" t="n">
        <v>4630700</v>
      </c>
    </row>
    <row r="2776" customFormat="false" ht="15" hidden="false" customHeight="false" outlineLevel="0" collapsed="false">
      <c r="A2776" s="50" t="s">
        <v>1065</v>
      </c>
      <c r="B2776" s="51" t="n">
        <v>45824</v>
      </c>
      <c r="C2776" s="50" t="s">
        <v>199</v>
      </c>
      <c r="D2776" s="50" t="s">
        <v>2181</v>
      </c>
      <c r="E2776" s="50" t="n">
        <v>6</v>
      </c>
      <c r="F2776" s="50" t="s">
        <v>2167</v>
      </c>
      <c r="G2776" s="54" t="n">
        <v>6885300</v>
      </c>
    </row>
    <row r="2777" customFormat="false" ht="15" hidden="false" customHeight="false" outlineLevel="0" collapsed="false">
      <c r="A2777" s="50" t="s">
        <v>1065</v>
      </c>
      <c r="B2777" s="51" t="n">
        <v>45824</v>
      </c>
      <c r="C2777" s="50" t="s">
        <v>199</v>
      </c>
      <c r="D2777" s="50" t="s">
        <v>2182</v>
      </c>
      <c r="E2777" s="50" t="n">
        <v>1</v>
      </c>
      <c r="F2777" s="50" t="s">
        <v>2174</v>
      </c>
      <c r="G2777" s="54" t="n">
        <v>962000</v>
      </c>
    </row>
    <row r="2778" customFormat="false" ht="15" hidden="false" customHeight="false" outlineLevel="0" collapsed="false">
      <c r="A2778" s="50" t="s">
        <v>1066</v>
      </c>
      <c r="B2778" s="51" t="n">
        <v>45825</v>
      </c>
      <c r="C2778" s="50" t="s">
        <v>693</v>
      </c>
      <c r="D2778" s="50" t="s">
        <v>2172</v>
      </c>
      <c r="E2778" s="50" t="n">
        <v>4</v>
      </c>
      <c r="F2778" s="50" t="s">
        <v>2167</v>
      </c>
      <c r="G2778" s="54" t="n">
        <v>2029700</v>
      </c>
    </row>
    <row r="2779" customFormat="false" ht="15" hidden="false" customHeight="false" outlineLevel="0" collapsed="false">
      <c r="A2779" s="50" t="s">
        <v>1066</v>
      </c>
      <c r="B2779" s="51" t="n">
        <v>45825</v>
      </c>
      <c r="C2779" s="50" t="s">
        <v>693</v>
      </c>
      <c r="D2779" s="50" t="s">
        <v>2176</v>
      </c>
      <c r="E2779" s="50" t="n">
        <v>6</v>
      </c>
      <c r="F2779" s="50" t="s">
        <v>2167</v>
      </c>
      <c r="G2779" s="54" t="n">
        <v>2613300</v>
      </c>
    </row>
    <row r="2780" customFormat="false" ht="15" hidden="false" customHeight="false" outlineLevel="0" collapsed="false">
      <c r="A2780" s="50" t="s">
        <v>1067</v>
      </c>
      <c r="B2780" s="51" t="n">
        <v>45825</v>
      </c>
      <c r="C2780" s="50" t="s">
        <v>329</v>
      </c>
      <c r="D2780" s="50" t="s">
        <v>2169</v>
      </c>
      <c r="E2780" s="50" t="n">
        <v>7</v>
      </c>
      <c r="F2780" s="50" t="s">
        <v>2167</v>
      </c>
      <c r="G2780" s="54" t="n">
        <v>4504400</v>
      </c>
    </row>
    <row r="2781" customFormat="false" ht="15" hidden="false" customHeight="false" outlineLevel="0" collapsed="false">
      <c r="A2781" s="50" t="s">
        <v>1068</v>
      </c>
      <c r="B2781" s="51" t="n">
        <v>45825</v>
      </c>
      <c r="C2781" s="50" t="s">
        <v>195</v>
      </c>
      <c r="D2781" s="50" t="s">
        <v>2183</v>
      </c>
      <c r="E2781" s="50" t="n">
        <v>3</v>
      </c>
      <c r="F2781" s="50" t="s">
        <v>2167</v>
      </c>
      <c r="G2781" s="54" t="n">
        <v>1101100</v>
      </c>
    </row>
    <row r="2782" customFormat="false" ht="15" hidden="false" customHeight="false" outlineLevel="0" collapsed="false">
      <c r="A2782" s="50" t="s">
        <v>1068</v>
      </c>
      <c r="B2782" s="51" t="n">
        <v>45825</v>
      </c>
      <c r="C2782" s="50" t="s">
        <v>195</v>
      </c>
      <c r="D2782" s="50" t="s">
        <v>2186</v>
      </c>
      <c r="E2782" s="50" t="n">
        <v>7</v>
      </c>
      <c r="F2782" s="50" t="s">
        <v>2167</v>
      </c>
      <c r="G2782" s="54" t="n">
        <v>4078500</v>
      </c>
    </row>
    <row r="2783" customFormat="false" ht="15" hidden="false" customHeight="false" outlineLevel="0" collapsed="false">
      <c r="A2783" s="50" t="s">
        <v>1068</v>
      </c>
      <c r="B2783" s="51" t="n">
        <v>45825</v>
      </c>
      <c r="C2783" s="50" t="s">
        <v>195</v>
      </c>
      <c r="D2783" s="50" t="s">
        <v>2176</v>
      </c>
      <c r="E2783" s="50" t="n">
        <v>2</v>
      </c>
      <c r="F2783" s="50" t="s">
        <v>2167</v>
      </c>
      <c r="G2783" s="54" t="n">
        <v>823100</v>
      </c>
    </row>
    <row r="2784" customFormat="false" ht="15" hidden="false" customHeight="false" outlineLevel="0" collapsed="false">
      <c r="A2784" s="50" t="s">
        <v>1068</v>
      </c>
      <c r="B2784" s="51" t="n">
        <v>45825</v>
      </c>
      <c r="C2784" s="50" t="s">
        <v>195</v>
      </c>
      <c r="D2784" s="50" t="s">
        <v>2175</v>
      </c>
      <c r="E2784" s="50" t="n">
        <v>2</v>
      </c>
      <c r="F2784" s="50" t="s">
        <v>2167</v>
      </c>
      <c r="G2784" s="54" t="n">
        <v>1246600</v>
      </c>
    </row>
    <row r="2785" customFormat="false" ht="15" hidden="false" customHeight="false" outlineLevel="0" collapsed="false">
      <c r="A2785" s="50" t="s">
        <v>1068</v>
      </c>
      <c r="B2785" s="51" t="n">
        <v>45825</v>
      </c>
      <c r="C2785" s="50" t="s">
        <v>195</v>
      </c>
      <c r="D2785" s="50" t="s">
        <v>2172</v>
      </c>
      <c r="E2785" s="50" t="n">
        <v>2</v>
      </c>
      <c r="F2785" s="50" t="s">
        <v>2167</v>
      </c>
      <c r="G2785" s="54" t="n">
        <v>1043600</v>
      </c>
    </row>
    <row r="2786" customFormat="false" ht="15" hidden="false" customHeight="false" outlineLevel="0" collapsed="false">
      <c r="A2786" s="50" t="s">
        <v>1069</v>
      </c>
      <c r="B2786" s="51" t="n">
        <v>45825</v>
      </c>
      <c r="C2786" s="50" t="s">
        <v>223</v>
      </c>
      <c r="D2786" s="50" t="s">
        <v>2182</v>
      </c>
      <c r="E2786" s="50" t="n">
        <v>6</v>
      </c>
      <c r="F2786" s="50" t="s">
        <v>2174</v>
      </c>
      <c r="G2786" s="54" t="n">
        <v>5532700</v>
      </c>
    </row>
    <row r="2787" customFormat="false" ht="15" hidden="false" customHeight="false" outlineLevel="0" collapsed="false">
      <c r="A2787" s="50" t="s">
        <v>1069</v>
      </c>
      <c r="B2787" s="51" t="n">
        <v>45825</v>
      </c>
      <c r="C2787" s="50" t="s">
        <v>223</v>
      </c>
      <c r="D2787" s="50" t="s">
        <v>2186</v>
      </c>
      <c r="E2787" s="50" t="n">
        <v>8</v>
      </c>
      <c r="F2787" s="50" t="s">
        <v>2167</v>
      </c>
      <c r="G2787" s="54" t="n">
        <v>4773300</v>
      </c>
    </row>
    <row r="2788" customFormat="false" ht="15" hidden="false" customHeight="false" outlineLevel="0" collapsed="false">
      <c r="A2788" s="50" t="s">
        <v>1070</v>
      </c>
      <c r="B2788" s="51" t="n">
        <v>45826</v>
      </c>
      <c r="C2788" s="50" t="s">
        <v>419</v>
      </c>
      <c r="D2788" s="50" t="s">
        <v>2169</v>
      </c>
      <c r="E2788" s="50" t="n">
        <v>2</v>
      </c>
      <c r="F2788" s="50" t="s">
        <v>2167</v>
      </c>
      <c r="G2788" s="54" t="n">
        <v>1214900</v>
      </c>
    </row>
    <row r="2789" customFormat="false" ht="15" hidden="false" customHeight="false" outlineLevel="0" collapsed="false">
      <c r="A2789" s="50" t="s">
        <v>1070</v>
      </c>
      <c r="B2789" s="51" t="n">
        <v>45826</v>
      </c>
      <c r="C2789" s="50" t="s">
        <v>419</v>
      </c>
      <c r="D2789" s="50" t="s">
        <v>2181</v>
      </c>
      <c r="E2789" s="50" t="n">
        <v>5</v>
      </c>
      <c r="F2789" s="50" t="s">
        <v>2167</v>
      </c>
      <c r="G2789" s="54" t="n">
        <v>5866600</v>
      </c>
    </row>
    <row r="2790" customFormat="false" ht="15" hidden="false" customHeight="false" outlineLevel="0" collapsed="false">
      <c r="A2790" s="50" t="s">
        <v>1070</v>
      </c>
      <c r="B2790" s="51" t="n">
        <v>45826</v>
      </c>
      <c r="C2790" s="50" t="s">
        <v>419</v>
      </c>
      <c r="D2790" s="50" t="s">
        <v>2177</v>
      </c>
      <c r="E2790" s="50" t="n">
        <v>1</v>
      </c>
      <c r="F2790" s="50" t="s">
        <v>2174</v>
      </c>
      <c r="G2790" s="54" t="n">
        <v>1102200</v>
      </c>
    </row>
    <row r="2791" customFormat="false" ht="15" hidden="false" customHeight="false" outlineLevel="0" collapsed="false">
      <c r="A2791" s="50" t="s">
        <v>1070</v>
      </c>
      <c r="B2791" s="51" t="n">
        <v>45826</v>
      </c>
      <c r="C2791" s="50" t="s">
        <v>419</v>
      </c>
      <c r="D2791" s="50" t="s">
        <v>2185</v>
      </c>
      <c r="E2791" s="50" t="n">
        <v>7</v>
      </c>
      <c r="F2791" s="50" t="s">
        <v>2174</v>
      </c>
      <c r="G2791" s="54" t="n">
        <v>5559900</v>
      </c>
    </row>
    <row r="2792" customFormat="false" ht="15" hidden="false" customHeight="false" outlineLevel="0" collapsed="false">
      <c r="A2792" s="50" t="s">
        <v>1071</v>
      </c>
      <c r="B2792" s="51" t="n">
        <v>45826</v>
      </c>
      <c r="C2792" s="50" t="s">
        <v>205</v>
      </c>
      <c r="D2792" s="50" t="s">
        <v>2169</v>
      </c>
      <c r="E2792" s="50" t="n">
        <v>4</v>
      </c>
      <c r="F2792" s="50" t="s">
        <v>2167</v>
      </c>
      <c r="G2792" s="54" t="n">
        <v>2425700</v>
      </c>
    </row>
    <row r="2793" customFormat="false" ht="15" hidden="false" customHeight="false" outlineLevel="0" collapsed="false">
      <c r="A2793" s="50" t="s">
        <v>1071</v>
      </c>
      <c r="B2793" s="51" t="n">
        <v>45826</v>
      </c>
      <c r="C2793" s="50" t="s">
        <v>205</v>
      </c>
      <c r="D2793" s="50" t="s">
        <v>2170</v>
      </c>
      <c r="E2793" s="50" t="n">
        <v>1</v>
      </c>
      <c r="F2793" s="50" t="s">
        <v>2171</v>
      </c>
      <c r="G2793" s="54" t="n">
        <v>7384400</v>
      </c>
    </row>
    <row r="2794" customFormat="false" ht="15" hidden="false" customHeight="false" outlineLevel="0" collapsed="false">
      <c r="A2794" s="50" t="s">
        <v>1071</v>
      </c>
      <c r="B2794" s="51" t="n">
        <v>45826</v>
      </c>
      <c r="C2794" s="50" t="s">
        <v>205</v>
      </c>
      <c r="D2794" s="50" t="s">
        <v>2178</v>
      </c>
      <c r="E2794" s="50" t="n">
        <v>1</v>
      </c>
      <c r="F2794" s="50" t="s">
        <v>2167</v>
      </c>
      <c r="G2794" s="54" t="n">
        <v>471100</v>
      </c>
    </row>
    <row r="2795" customFormat="false" ht="15" hidden="false" customHeight="false" outlineLevel="0" collapsed="false">
      <c r="A2795" s="50" t="s">
        <v>1072</v>
      </c>
      <c r="B2795" s="51" t="n">
        <v>45826</v>
      </c>
      <c r="C2795" s="50" t="s">
        <v>766</v>
      </c>
      <c r="D2795" s="50" t="s">
        <v>2184</v>
      </c>
      <c r="E2795" s="50" t="n">
        <v>2</v>
      </c>
      <c r="F2795" s="50" t="s">
        <v>2167</v>
      </c>
      <c r="G2795" s="54" t="n">
        <v>1109400</v>
      </c>
    </row>
    <row r="2796" customFormat="false" ht="15" hidden="false" customHeight="false" outlineLevel="0" collapsed="false">
      <c r="A2796" s="50" t="s">
        <v>1072</v>
      </c>
      <c r="B2796" s="51" t="n">
        <v>45826</v>
      </c>
      <c r="C2796" s="50" t="s">
        <v>766</v>
      </c>
      <c r="D2796" s="50" t="s">
        <v>2169</v>
      </c>
      <c r="E2796" s="50" t="n">
        <v>4</v>
      </c>
      <c r="F2796" s="50" t="s">
        <v>2167</v>
      </c>
      <c r="G2796" s="54" t="n">
        <v>2397500</v>
      </c>
    </row>
    <row r="2797" customFormat="false" ht="15" hidden="false" customHeight="false" outlineLevel="0" collapsed="false">
      <c r="A2797" s="50" t="s">
        <v>1073</v>
      </c>
      <c r="B2797" s="51" t="n">
        <v>45826</v>
      </c>
      <c r="C2797" s="50" t="s">
        <v>566</v>
      </c>
      <c r="D2797" s="50" t="s">
        <v>2179</v>
      </c>
      <c r="E2797" s="50" t="n">
        <v>3</v>
      </c>
      <c r="F2797" s="50" t="s">
        <v>2174</v>
      </c>
      <c r="G2797" s="54" t="n">
        <v>3604300</v>
      </c>
    </row>
    <row r="2798" customFormat="false" ht="15" hidden="false" customHeight="false" outlineLevel="0" collapsed="false">
      <c r="A2798" s="50" t="s">
        <v>1073</v>
      </c>
      <c r="B2798" s="51" t="n">
        <v>45826</v>
      </c>
      <c r="C2798" s="50" t="s">
        <v>566</v>
      </c>
      <c r="D2798" s="50" t="s">
        <v>2187</v>
      </c>
      <c r="E2798" s="50" t="n">
        <v>3</v>
      </c>
      <c r="F2798" s="50" t="s">
        <v>2167</v>
      </c>
      <c r="G2798" s="54" t="n">
        <v>1038700</v>
      </c>
    </row>
    <row r="2799" customFormat="false" ht="15" hidden="false" customHeight="false" outlineLevel="0" collapsed="false">
      <c r="A2799" s="50" t="s">
        <v>1074</v>
      </c>
      <c r="B2799" s="51" t="n">
        <v>45826</v>
      </c>
      <c r="C2799" s="50" t="s">
        <v>188</v>
      </c>
      <c r="D2799" s="50" t="s">
        <v>2166</v>
      </c>
      <c r="E2799" s="50" t="n">
        <v>3</v>
      </c>
      <c r="F2799" s="50" t="s">
        <v>2167</v>
      </c>
      <c r="G2799" s="54" t="n">
        <v>1556600</v>
      </c>
    </row>
    <row r="2800" customFormat="false" ht="15" hidden="false" customHeight="false" outlineLevel="0" collapsed="false">
      <c r="A2800" s="50" t="s">
        <v>1074</v>
      </c>
      <c r="B2800" s="51" t="n">
        <v>45826</v>
      </c>
      <c r="C2800" s="50" t="s">
        <v>188</v>
      </c>
      <c r="D2800" s="50" t="s">
        <v>2183</v>
      </c>
      <c r="E2800" s="50" t="n">
        <v>8</v>
      </c>
      <c r="F2800" s="50" t="s">
        <v>2167</v>
      </c>
      <c r="G2800" s="54" t="n">
        <v>2921200</v>
      </c>
    </row>
    <row r="2801" customFormat="false" ht="15" hidden="false" customHeight="false" outlineLevel="0" collapsed="false">
      <c r="A2801" s="50" t="s">
        <v>1074</v>
      </c>
      <c r="B2801" s="51" t="n">
        <v>45826</v>
      </c>
      <c r="C2801" s="50" t="s">
        <v>188</v>
      </c>
      <c r="D2801" s="50" t="s">
        <v>2173</v>
      </c>
      <c r="E2801" s="50" t="n">
        <v>6</v>
      </c>
      <c r="F2801" s="50" t="s">
        <v>2174</v>
      </c>
      <c r="G2801" s="54" t="n">
        <v>4718700</v>
      </c>
    </row>
    <row r="2802" customFormat="false" ht="15" hidden="false" customHeight="false" outlineLevel="0" collapsed="false">
      <c r="A2802" s="50" t="s">
        <v>1075</v>
      </c>
      <c r="B2802" s="51" t="n">
        <v>45826</v>
      </c>
      <c r="C2802" s="50" t="s">
        <v>197</v>
      </c>
      <c r="D2802" s="50" t="s">
        <v>2187</v>
      </c>
      <c r="E2802" s="50" t="n">
        <v>7</v>
      </c>
      <c r="F2802" s="50" t="s">
        <v>2167</v>
      </c>
      <c r="G2802" s="54" t="n">
        <v>2392200</v>
      </c>
    </row>
    <row r="2803" customFormat="false" ht="15" hidden="false" customHeight="false" outlineLevel="0" collapsed="false">
      <c r="A2803" s="50" t="s">
        <v>1075</v>
      </c>
      <c r="B2803" s="51" t="n">
        <v>45826</v>
      </c>
      <c r="C2803" s="50" t="s">
        <v>197</v>
      </c>
      <c r="D2803" s="50" t="s">
        <v>2170</v>
      </c>
      <c r="E2803" s="50" t="n">
        <v>1</v>
      </c>
      <c r="F2803" s="50" t="s">
        <v>2171</v>
      </c>
      <c r="G2803" s="54" t="n">
        <v>7716100</v>
      </c>
    </row>
    <row r="2804" customFormat="false" ht="15" hidden="false" customHeight="false" outlineLevel="0" collapsed="false">
      <c r="A2804" s="50" t="s">
        <v>1076</v>
      </c>
      <c r="B2804" s="51" t="n">
        <v>45826</v>
      </c>
      <c r="C2804" s="50" t="s">
        <v>205</v>
      </c>
      <c r="D2804" s="50" t="s">
        <v>2187</v>
      </c>
      <c r="E2804" s="50" t="n">
        <v>4</v>
      </c>
      <c r="F2804" s="50" t="s">
        <v>2167</v>
      </c>
      <c r="G2804" s="54" t="n">
        <v>1361700</v>
      </c>
    </row>
    <row r="2805" customFormat="false" ht="15" hidden="false" customHeight="false" outlineLevel="0" collapsed="false">
      <c r="A2805" s="50" t="s">
        <v>1076</v>
      </c>
      <c r="B2805" s="51" t="n">
        <v>45826</v>
      </c>
      <c r="C2805" s="50" t="s">
        <v>205</v>
      </c>
      <c r="D2805" s="50" t="s">
        <v>2176</v>
      </c>
      <c r="E2805" s="50" t="n">
        <v>3</v>
      </c>
      <c r="F2805" s="50" t="s">
        <v>2167</v>
      </c>
      <c r="G2805" s="54" t="n">
        <v>1259300</v>
      </c>
    </row>
    <row r="2806" customFormat="false" ht="15" hidden="false" customHeight="false" outlineLevel="0" collapsed="false">
      <c r="A2806" s="50" t="s">
        <v>1077</v>
      </c>
      <c r="B2806" s="51" t="n">
        <v>45826</v>
      </c>
      <c r="C2806" s="50" t="s">
        <v>261</v>
      </c>
      <c r="D2806" s="50" t="s">
        <v>2181</v>
      </c>
      <c r="E2806" s="50" t="n">
        <v>8</v>
      </c>
      <c r="F2806" s="50" t="s">
        <v>2167</v>
      </c>
      <c r="G2806" s="54" t="n">
        <v>8913400</v>
      </c>
    </row>
    <row r="2807" customFormat="false" ht="15" hidden="false" customHeight="false" outlineLevel="0" collapsed="false">
      <c r="A2807" s="50" t="s">
        <v>1077</v>
      </c>
      <c r="B2807" s="51" t="n">
        <v>45826</v>
      </c>
      <c r="C2807" s="50" t="s">
        <v>261</v>
      </c>
      <c r="D2807" s="50" t="s">
        <v>2166</v>
      </c>
      <c r="E2807" s="50" t="n">
        <v>4</v>
      </c>
      <c r="F2807" s="50" t="s">
        <v>2167</v>
      </c>
      <c r="G2807" s="54" t="n">
        <v>2081300</v>
      </c>
    </row>
    <row r="2808" customFormat="false" ht="15" hidden="false" customHeight="false" outlineLevel="0" collapsed="false">
      <c r="A2808" s="50" t="s">
        <v>1077</v>
      </c>
      <c r="B2808" s="51" t="n">
        <v>45826</v>
      </c>
      <c r="C2808" s="50" t="s">
        <v>261</v>
      </c>
      <c r="D2808" s="50" t="s">
        <v>2180</v>
      </c>
      <c r="E2808" s="50" t="n">
        <v>6</v>
      </c>
      <c r="F2808" s="50" t="s">
        <v>2167</v>
      </c>
      <c r="G2808" s="54" t="n">
        <v>2696700</v>
      </c>
    </row>
    <row r="2809" customFormat="false" ht="15" hidden="false" customHeight="false" outlineLevel="0" collapsed="false">
      <c r="A2809" s="50" t="s">
        <v>1078</v>
      </c>
      <c r="B2809" s="51" t="n">
        <v>45826</v>
      </c>
      <c r="C2809" s="50" t="s">
        <v>223</v>
      </c>
      <c r="D2809" s="50" t="s">
        <v>2184</v>
      </c>
      <c r="E2809" s="50" t="n">
        <v>4</v>
      </c>
      <c r="F2809" s="50" t="s">
        <v>2167</v>
      </c>
      <c r="G2809" s="54" t="n">
        <v>2257400</v>
      </c>
    </row>
    <row r="2810" customFormat="false" ht="15" hidden="false" customHeight="false" outlineLevel="0" collapsed="false">
      <c r="A2810" s="50" t="s">
        <v>1078</v>
      </c>
      <c r="B2810" s="51" t="n">
        <v>45826</v>
      </c>
      <c r="C2810" s="50" t="s">
        <v>223</v>
      </c>
      <c r="D2810" s="50" t="s">
        <v>2176</v>
      </c>
      <c r="E2810" s="50" t="n">
        <v>7</v>
      </c>
      <c r="F2810" s="50" t="s">
        <v>2167</v>
      </c>
      <c r="G2810" s="54" t="n">
        <v>2900900</v>
      </c>
    </row>
    <row r="2811" customFormat="false" ht="15" hidden="false" customHeight="false" outlineLevel="0" collapsed="false">
      <c r="A2811" s="50" t="s">
        <v>1079</v>
      </c>
      <c r="B2811" s="51" t="n">
        <v>45827</v>
      </c>
      <c r="C2811" s="50" t="s">
        <v>296</v>
      </c>
      <c r="D2811" s="50" t="s">
        <v>2181</v>
      </c>
      <c r="E2811" s="50" t="n">
        <v>7</v>
      </c>
      <c r="F2811" s="50" t="s">
        <v>2167</v>
      </c>
      <c r="G2811" s="54" t="n">
        <v>8221500</v>
      </c>
    </row>
    <row r="2812" customFormat="false" ht="15" hidden="false" customHeight="false" outlineLevel="0" collapsed="false">
      <c r="A2812" s="50" t="s">
        <v>1079</v>
      </c>
      <c r="B2812" s="51" t="n">
        <v>45827</v>
      </c>
      <c r="C2812" s="50" t="s">
        <v>296</v>
      </c>
      <c r="D2812" s="50" t="s">
        <v>2179</v>
      </c>
      <c r="E2812" s="50" t="n">
        <v>6</v>
      </c>
      <c r="F2812" s="50" t="s">
        <v>2174</v>
      </c>
      <c r="G2812" s="54" t="n">
        <v>7236900</v>
      </c>
    </row>
    <row r="2813" customFormat="false" ht="15" hidden="false" customHeight="false" outlineLevel="0" collapsed="false">
      <c r="A2813" s="50" t="s">
        <v>1080</v>
      </c>
      <c r="B2813" s="51" t="n">
        <v>45827</v>
      </c>
      <c r="C2813" s="50" t="s">
        <v>491</v>
      </c>
      <c r="D2813" s="50" t="s">
        <v>2184</v>
      </c>
      <c r="E2813" s="50" t="n">
        <v>3</v>
      </c>
      <c r="F2813" s="50" t="s">
        <v>2167</v>
      </c>
      <c r="G2813" s="54" t="n">
        <v>1738800</v>
      </c>
    </row>
    <row r="2814" customFormat="false" ht="15" hidden="false" customHeight="false" outlineLevel="0" collapsed="false">
      <c r="A2814" s="50" t="s">
        <v>1080</v>
      </c>
      <c r="B2814" s="51" t="n">
        <v>45827</v>
      </c>
      <c r="C2814" s="50" t="s">
        <v>491</v>
      </c>
      <c r="D2814" s="50" t="s">
        <v>2187</v>
      </c>
      <c r="E2814" s="50" t="n">
        <v>1</v>
      </c>
      <c r="F2814" s="50" t="s">
        <v>2167</v>
      </c>
      <c r="G2814" s="54" t="n">
        <v>345300</v>
      </c>
    </row>
    <row r="2815" customFormat="false" ht="15" hidden="false" customHeight="false" outlineLevel="0" collapsed="false">
      <c r="A2815" s="50" t="s">
        <v>1080</v>
      </c>
      <c r="B2815" s="51" t="n">
        <v>45827</v>
      </c>
      <c r="C2815" s="50" t="s">
        <v>491</v>
      </c>
      <c r="D2815" s="50" t="s">
        <v>2186</v>
      </c>
      <c r="E2815" s="50" t="n">
        <v>5</v>
      </c>
      <c r="F2815" s="50" t="s">
        <v>2167</v>
      </c>
      <c r="G2815" s="54" t="n">
        <v>3043700</v>
      </c>
    </row>
    <row r="2816" customFormat="false" ht="15" hidden="false" customHeight="false" outlineLevel="0" collapsed="false">
      <c r="A2816" s="50" t="s">
        <v>1080</v>
      </c>
      <c r="B2816" s="51" t="n">
        <v>45827</v>
      </c>
      <c r="C2816" s="50" t="s">
        <v>491</v>
      </c>
      <c r="D2816" s="50" t="s">
        <v>2169</v>
      </c>
      <c r="E2816" s="50" t="n">
        <v>2</v>
      </c>
      <c r="F2816" s="50" t="s">
        <v>2167</v>
      </c>
      <c r="G2816" s="54" t="n">
        <v>1213000</v>
      </c>
    </row>
    <row r="2817" customFormat="false" ht="15" hidden="false" customHeight="false" outlineLevel="0" collapsed="false">
      <c r="A2817" s="50" t="s">
        <v>1081</v>
      </c>
      <c r="B2817" s="51" t="n">
        <v>45827</v>
      </c>
      <c r="C2817" s="50" t="s">
        <v>237</v>
      </c>
      <c r="D2817" s="50" t="s">
        <v>2183</v>
      </c>
      <c r="E2817" s="50" t="n">
        <v>4</v>
      </c>
      <c r="F2817" s="50" t="s">
        <v>2167</v>
      </c>
      <c r="G2817" s="54" t="n">
        <v>1480300</v>
      </c>
    </row>
    <row r="2818" customFormat="false" ht="15" hidden="false" customHeight="false" outlineLevel="0" collapsed="false">
      <c r="A2818" s="50" t="s">
        <v>1082</v>
      </c>
      <c r="B2818" s="51" t="n">
        <v>45827</v>
      </c>
      <c r="C2818" s="50" t="s">
        <v>562</v>
      </c>
      <c r="D2818" s="50" t="s">
        <v>2169</v>
      </c>
      <c r="E2818" s="50" t="n">
        <v>3</v>
      </c>
      <c r="F2818" s="50" t="s">
        <v>2167</v>
      </c>
      <c r="G2818" s="54" t="n">
        <v>1906200</v>
      </c>
    </row>
    <row r="2819" customFormat="false" ht="15" hidden="false" customHeight="false" outlineLevel="0" collapsed="false">
      <c r="A2819" s="50" t="s">
        <v>1082</v>
      </c>
      <c r="B2819" s="51" t="n">
        <v>45827</v>
      </c>
      <c r="C2819" s="50" t="s">
        <v>562</v>
      </c>
      <c r="D2819" s="50" t="s">
        <v>2180</v>
      </c>
      <c r="E2819" s="50" t="n">
        <v>2</v>
      </c>
      <c r="F2819" s="50" t="s">
        <v>2167</v>
      </c>
      <c r="G2819" s="54" t="n">
        <v>885800</v>
      </c>
    </row>
    <row r="2820" customFormat="false" ht="15" hidden="false" customHeight="false" outlineLevel="0" collapsed="false">
      <c r="A2820" s="50" t="s">
        <v>1082</v>
      </c>
      <c r="B2820" s="51" t="n">
        <v>45827</v>
      </c>
      <c r="C2820" s="50" t="s">
        <v>562</v>
      </c>
      <c r="D2820" s="50" t="s">
        <v>2176</v>
      </c>
      <c r="E2820" s="50" t="n">
        <v>3</v>
      </c>
      <c r="F2820" s="50" t="s">
        <v>2167</v>
      </c>
      <c r="G2820" s="54" t="n">
        <v>1244700</v>
      </c>
    </row>
    <row r="2821" customFormat="false" ht="15" hidden="false" customHeight="false" outlineLevel="0" collapsed="false">
      <c r="A2821" s="50" t="s">
        <v>1083</v>
      </c>
      <c r="B2821" s="51" t="n">
        <v>45827</v>
      </c>
      <c r="C2821" s="50" t="s">
        <v>211</v>
      </c>
      <c r="D2821" s="50" t="s">
        <v>2176</v>
      </c>
      <c r="E2821" s="50" t="n">
        <v>1</v>
      </c>
      <c r="F2821" s="50" t="s">
        <v>2167</v>
      </c>
      <c r="G2821" s="54" t="n">
        <v>419300</v>
      </c>
    </row>
    <row r="2822" customFormat="false" ht="15" hidden="false" customHeight="false" outlineLevel="0" collapsed="false">
      <c r="A2822" s="50" t="s">
        <v>1083</v>
      </c>
      <c r="B2822" s="51" t="n">
        <v>45827</v>
      </c>
      <c r="C2822" s="50" t="s">
        <v>211</v>
      </c>
      <c r="D2822" s="50" t="s">
        <v>2169</v>
      </c>
      <c r="E2822" s="50" t="n">
        <v>2</v>
      </c>
      <c r="F2822" s="50" t="s">
        <v>2167</v>
      </c>
      <c r="G2822" s="54" t="n">
        <v>1206800</v>
      </c>
    </row>
    <row r="2823" customFormat="false" ht="15" hidden="false" customHeight="false" outlineLevel="0" collapsed="false">
      <c r="A2823" s="50" t="s">
        <v>1083</v>
      </c>
      <c r="B2823" s="51" t="n">
        <v>45827</v>
      </c>
      <c r="C2823" s="50" t="s">
        <v>211</v>
      </c>
      <c r="D2823" s="50" t="s">
        <v>2178</v>
      </c>
      <c r="E2823" s="50" t="n">
        <v>3</v>
      </c>
      <c r="F2823" s="50" t="s">
        <v>2167</v>
      </c>
      <c r="G2823" s="54" t="n">
        <v>1404600</v>
      </c>
    </row>
    <row r="2824" customFormat="false" ht="15" hidden="false" customHeight="false" outlineLevel="0" collapsed="false">
      <c r="A2824" s="50" t="s">
        <v>1083</v>
      </c>
      <c r="B2824" s="51" t="n">
        <v>45827</v>
      </c>
      <c r="C2824" s="50" t="s">
        <v>211</v>
      </c>
      <c r="D2824" s="50" t="s">
        <v>2177</v>
      </c>
      <c r="E2824" s="50" t="n">
        <v>5</v>
      </c>
      <c r="F2824" s="50" t="s">
        <v>2174</v>
      </c>
      <c r="G2824" s="54" t="n">
        <v>5537200</v>
      </c>
    </row>
    <row r="2825" customFormat="false" ht="15" hidden="false" customHeight="false" outlineLevel="0" collapsed="false">
      <c r="A2825" s="50" t="s">
        <v>1083</v>
      </c>
      <c r="B2825" s="51" t="n">
        <v>45827</v>
      </c>
      <c r="C2825" s="50" t="s">
        <v>211</v>
      </c>
      <c r="D2825" s="50" t="s">
        <v>2168</v>
      </c>
      <c r="E2825" s="50" t="n">
        <v>1</v>
      </c>
      <c r="F2825" s="50" t="s">
        <v>2167</v>
      </c>
      <c r="G2825" s="54" t="n">
        <v>429300</v>
      </c>
    </row>
    <row r="2826" customFormat="false" ht="15" hidden="false" customHeight="false" outlineLevel="0" collapsed="false">
      <c r="A2826" s="50" t="s">
        <v>1083</v>
      </c>
      <c r="B2826" s="51" t="n">
        <v>45827</v>
      </c>
      <c r="C2826" s="50" t="s">
        <v>211</v>
      </c>
      <c r="D2826" s="50" t="s">
        <v>2180</v>
      </c>
      <c r="E2826" s="50" t="n">
        <v>5</v>
      </c>
      <c r="F2826" s="50" t="s">
        <v>2167</v>
      </c>
      <c r="G2826" s="54" t="n">
        <v>2307300</v>
      </c>
    </row>
    <row r="2827" customFormat="false" ht="15" hidden="false" customHeight="false" outlineLevel="0" collapsed="false">
      <c r="A2827" s="50" t="s">
        <v>1083</v>
      </c>
      <c r="B2827" s="51" t="n">
        <v>45827</v>
      </c>
      <c r="C2827" s="50" t="s">
        <v>211</v>
      </c>
      <c r="D2827" s="50" t="s">
        <v>2166</v>
      </c>
      <c r="E2827" s="50" t="n">
        <v>1</v>
      </c>
      <c r="F2827" s="50" t="s">
        <v>2167</v>
      </c>
      <c r="G2827" s="54" t="n">
        <v>558200</v>
      </c>
    </row>
    <row r="2828" customFormat="false" ht="15" hidden="false" customHeight="false" outlineLevel="0" collapsed="false">
      <c r="A2828" s="50" t="s">
        <v>1084</v>
      </c>
      <c r="B2828" s="51" t="n">
        <v>45827</v>
      </c>
      <c r="C2828" s="50" t="s">
        <v>174</v>
      </c>
      <c r="D2828" s="50" t="s">
        <v>2169</v>
      </c>
      <c r="E2828" s="50" t="n">
        <v>5</v>
      </c>
      <c r="F2828" s="50" t="s">
        <v>2167</v>
      </c>
      <c r="G2828" s="54" t="n">
        <v>2999100</v>
      </c>
    </row>
    <row r="2829" customFormat="false" ht="15" hidden="false" customHeight="false" outlineLevel="0" collapsed="false">
      <c r="A2829" s="50" t="s">
        <v>1084</v>
      </c>
      <c r="B2829" s="51" t="n">
        <v>45827</v>
      </c>
      <c r="C2829" s="50" t="s">
        <v>174</v>
      </c>
      <c r="D2829" s="50" t="s">
        <v>2172</v>
      </c>
      <c r="E2829" s="50" t="n">
        <v>2</v>
      </c>
      <c r="F2829" s="50" t="s">
        <v>2167</v>
      </c>
      <c r="G2829" s="54" t="n">
        <v>1037200</v>
      </c>
    </row>
    <row r="2830" customFormat="false" ht="15" hidden="false" customHeight="false" outlineLevel="0" collapsed="false">
      <c r="A2830" s="50" t="s">
        <v>1085</v>
      </c>
      <c r="B2830" s="51" t="n">
        <v>45827</v>
      </c>
      <c r="C2830" s="50" t="s">
        <v>209</v>
      </c>
      <c r="D2830" s="50" t="s">
        <v>2184</v>
      </c>
      <c r="E2830" s="50" t="n">
        <v>5</v>
      </c>
      <c r="F2830" s="50" t="s">
        <v>2167</v>
      </c>
      <c r="G2830" s="54" t="n">
        <v>2825700</v>
      </c>
    </row>
    <row r="2831" customFormat="false" ht="15" hidden="false" customHeight="false" outlineLevel="0" collapsed="false">
      <c r="A2831" s="50" t="s">
        <v>1085</v>
      </c>
      <c r="B2831" s="51" t="n">
        <v>45827</v>
      </c>
      <c r="C2831" s="50" t="s">
        <v>209</v>
      </c>
      <c r="D2831" s="50" t="s">
        <v>2169</v>
      </c>
      <c r="E2831" s="50" t="n">
        <v>6</v>
      </c>
      <c r="F2831" s="50" t="s">
        <v>2167</v>
      </c>
      <c r="G2831" s="54" t="n">
        <v>3778100</v>
      </c>
    </row>
    <row r="2832" customFormat="false" ht="15" hidden="false" customHeight="false" outlineLevel="0" collapsed="false">
      <c r="A2832" s="50" t="s">
        <v>1086</v>
      </c>
      <c r="B2832" s="51" t="n">
        <v>45828</v>
      </c>
      <c r="C2832" s="50" t="s">
        <v>315</v>
      </c>
      <c r="D2832" s="50" t="s">
        <v>2169</v>
      </c>
      <c r="E2832" s="50" t="n">
        <v>4</v>
      </c>
      <c r="F2832" s="50" t="s">
        <v>2167</v>
      </c>
      <c r="G2832" s="54" t="n">
        <v>2526500</v>
      </c>
    </row>
    <row r="2833" customFormat="false" ht="15" hidden="false" customHeight="false" outlineLevel="0" collapsed="false">
      <c r="A2833" s="50" t="s">
        <v>1086</v>
      </c>
      <c r="B2833" s="51" t="n">
        <v>45828</v>
      </c>
      <c r="C2833" s="50" t="s">
        <v>315</v>
      </c>
      <c r="D2833" s="50" t="s">
        <v>2168</v>
      </c>
      <c r="E2833" s="50" t="n">
        <v>3</v>
      </c>
      <c r="F2833" s="50" t="s">
        <v>2167</v>
      </c>
      <c r="G2833" s="54" t="n">
        <v>1318400</v>
      </c>
    </row>
    <row r="2834" customFormat="false" ht="15" hidden="false" customHeight="false" outlineLevel="0" collapsed="false">
      <c r="A2834" s="50" t="s">
        <v>1086</v>
      </c>
      <c r="B2834" s="51" t="n">
        <v>45828</v>
      </c>
      <c r="C2834" s="50" t="s">
        <v>315</v>
      </c>
      <c r="D2834" s="50" t="s">
        <v>2188</v>
      </c>
      <c r="E2834" s="50" t="n">
        <v>2</v>
      </c>
      <c r="F2834" s="50" t="s">
        <v>2167</v>
      </c>
      <c r="G2834" s="54" t="n">
        <v>2017200</v>
      </c>
    </row>
    <row r="2835" customFormat="false" ht="15" hidden="false" customHeight="false" outlineLevel="0" collapsed="false">
      <c r="A2835" s="50" t="s">
        <v>1086</v>
      </c>
      <c r="B2835" s="51" t="n">
        <v>45828</v>
      </c>
      <c r="C2835" s="50" t="s">
        <v>315</v>
      </c>
      <c r="D2835" s="50" t="s">
        <v>2186</v>
      </c>
      <c r="E2835" s="50" t="n">
        <v>3</v>
      </c>
      <c r="F2835" s="50" t="s">
        <v>2167</v>
      </c>
      <c r="G2835" s="54" t="n">
        <v>1819300</v>
      </c>
    </row>
    <row r="2836" customFormat="false" ht="15" hidden="false" customHeight="false" outlineLevel="0" collapsed="false">
      <c r="A2836" s="50" t="s">
        <v>1087</v>
      </c>
      <c r="B2836" s="51" t="n">
        <v>45828</v>
      </c>
      <c r="C2836" s="50" t="s">
        <v>168</v>
      </c>
      <c r="D2836" s="50" t="s">
        <v>2185</v>
      </c>
      <c r="E2836" s="50" t="n">
        <v>2</v>
      </c>
      <c r="F2836" s="50" t="s">
        <v>2174</v>
      </c>
      <c r="G2836" s="54" t="n">
        <v>1520800</v>
      </c>
    </row>
    <row r="2837" customFormat="false" ht="15" hidden="false" customHeight="false" outlineLevel="0" collapsed="false">
      <c r="A2837" s="50" t="s">
        <v>1087</v>
      </c>
      <c r="B2837" s="51" t="n">
        <v>45828</v>
      </c>
      <c r="C2837" s="50" t="s">
        <v>168</v>
      </c>
      <c r="D2837" s="50" t="s">
        <v>2186</v>
      </c>
      <c r="E2837" s="50" t="n">
        <v>4</v>
      </c>
      <c r="F2837" s="50" t="s">
        <v>2167</v>
      </c>
      <c r="G2837" s="54" t="n">
        <v>2351800</v>
      </c>
    </row>
    <row r="2838" customFormat="false" ht="15" hidden="false" customHeight="false" outlineLevel="0" collapsed="false">
      <c r="A2838" s="50" t="s">
        <v>1088</v>
      </c>
      <c r="B2838" s="51" t="n">
        <v>45828</v>
      </c>
      <c r="C2838" s="50" t="s">
        <v>241</v>
      </c>
      <c r="D2838" s="50" t="s">
        <v>2168</v>
      </c>
      <c r="E2838" s="50" t="n">
        <v>5</v>
      </c>
      <c r="F2838" s="50" t="s">
        <v>2167</v>
      </c>
      <c r="G2838" s="54" t="n">
        <v>2199000</v>
      </c>
    </row>
    <row r="2839" customFormat="false" ht="15" hidden="false" customHeight="false" outlineLevel="0" collapsed="false">
      <c r="A2839" s="50" t="s">
        <v>1088</v>
      </c>
      <c r="B2839" s="51" t="n">
        <v>45828</v>
      </c>
      <c r="C2839" s="50" t="s">
        <v>241</v>
      </c>
      <c r="D2839" s="50" t="s">
        <v>2175</v>
      </c>
      <c r="E2839" s="50" t="n">
        <v>6</v>
      </c>
      <c r="F2839" s="50" t="s">
        <v>2167</v>
      </c>
      <c r="G2839" s="54" t="n">
        <v>3905100</v>
      </c>
    </row>
    <row r="2840" customFormat="false" ht="15" hidden="false" customHeight="false" outlineLevel="0" collapsed="false">
      <c r="A2840" s="50" t="s">
        <v>1088</v>
      </c>
      <c r="B2840" s="51" t="n">
        <v>45828</v>
      </c>
      <c r="C2840" s="50" t="s">
        <v>241</v>
      </c>
      <c r="D2840" s="50" t="s">
        <v>2184</v>
      </c>
      <c r="E2840" s="50" t="n">
        <v>3</v>
      </c>
      <c r="F2840" s="50" t="s">
        <v>2167</v>
      </c>
      <c r="G2840" s="54" t="n">
        <v>1691700</v>
      </c>
    </row>
    <row r="2841" customFormat="false" ht="15" hidden="false" customHeight="false" outlineLevel="0" collapsed="false">
      <c r="A2841" s="50" t="s">
        <v>1089</v>
      </c>
      <c r="B2841" s="51" t="n">
        <v>45828</v>
      </c>
      <c r="C2841" s="50" t="s">
        <v>223</v>
      </c>
      <c r="D2841" s="50" t="s">
        <v>2179</v>
      </c>
      <c r="E2841" s="50" t="n">
        <v>3</v>
      </c>
      <c r="F2841" s="50" t="s">
        <v>2174</v>
      </c>
      <c r="G2841" s="54" t="n">
        <v>3668600</v>
      </c>
    </row>
    <row r="2842" customFormat="false" ht="15" hidden="false" customHeight="false" outlineLevel="0" collapsed="false">
      <c r="A2842" s="50" t="s">
        <v>1089</v>
      </c>
      <c r="B2842" s="51" t="n">
        <v>45828</v>
      </c>
      <c r="C2842" s="50" t="s">
        <v>223</v>
      </c>
      <c r="D2842" s="50" t="s">
        <v>2178</v>
      </c>
      <c r="E2842" s="50" t="n">
        <v>5</v>
      </c>
      <c r="F2842" s="50" t="s">
        <v>2167</v>
      </c>
      <c r="G2842" s="54" t="n">
        <v>2451300</v>
      </c>
    </row>
    <row r="2843" customFormat="false" ht="15" hidden="false" customHeight="false" outlineLevel="0" collapsed="false">
      <c r="A2843" s="50" t="s">
        <v>1089</v>
      </c>
      <c r="B2843" s="51" t="n">
        <v>45828</v>
      </c>
      <c r="C2843" s="50" t="s">
        <v>223</v>
      </c>
      <c r="D2843" s="50" t="s">
        <v>2173</v>
      </c>
      <c r="E2843" s="50" t="n">
        <v>5</v>
      </c>
      <c r="F2843" s="50" t="s">
        <v>2174</v>
      </c>
      <c r="G2843" s="54" t="n">
        <v>3951000</v>
      </c>
    </row>
    <row r="2844" customFormat="false" ht="15" hidden="false" customHeight="false" outlineLevel="0" collapsed="false">
      <c r="A2844" s="50" t="s">
        <v>1089</v>
      </c>
      <c r="B2844" s="51" t="n">
        <v>45828</v>
      </c>
      <c r="C2844" s="50" t="s">
        <v>223</v>
      </c>
      <c r="D2844" s="50" t="s">
        <v>2180</v>
      </c>
      <c r="E2844" s="50" t="n">
        <v>2</v>
      </c>
      <c r="F2844" s="50" t="s">
        <v>2167</v>
      </c>
      <c r="G2844" s="54" t="n">
        <v>897900</v>
      </c>
    </row>
    <row r="2845" customFormat="false" ht="15" hidden="false" customHeight="false" outlineLevel="0" collapsed="false">
      <c r="A2845" s="50" t="s">
        <v>1090</v>
      </c>
      <c r="B2845" s="51" t="n">
        <v>45828</v>
      </c>
      <c r="C2845" s="50" t="s">
        <v>354</v>
      </c>
      <c r="D2845" s="50" t="s">
        <v>2181</v>
      </c>
      <c r="E2845" s="50" t="n">
        <v>3</v>
      </c>
      <c r="F2845" s="50" t="s">
        <v>2167</v>
      </c>
      <c r="G2845" s="54" t="n">
        <v>3540900</v>
      </c>
    </row>
    <row r="2846" customFormat="false" ht="15" hidden="false" customHeight="false" outlineLevel="0" collapsed="false">
      <c r="A2846" s="50" t="s">
        <v>1090</v>
      </c>
      <c r="B2846" s="51" t="n">
        <v>45828</v>
      </c>
      <c r="C2846" s="50" t="s">
        <v>354</v>
      </c>
      <c r="D2846" s="50" t="s">
        <v>2186</v>
      </c>
      <c r="E2846" s="50" t="n">
        <v>5</v>
      </c>
      <c r="F2846" s="50" t="s">
        <v>2167</v>
      </c>
      <c r="G2846" s="54" t="n">
        <v>2851600</v>
      </c>
    </row>
    <row r="2847" customFormat="false" ht="15" hidden="false" customHeight="false" outlineLevel="0" collapsed="false">
      <c r="A2847" s="50" t="s">
        <v>1090</v>
      </c>
      <c r="B2847" s="51" t="n">
        <v>45828</v>
      </c>
      <c r="C2847" s="50" t="s">
        <v>354</v>
      </c>
      <c r="D2847" s="50" t="s">
        <v>2178</v>
      </c>
      <c r="E2847" s="50" t="n">
        <v>1</v>
      </c>
      <c r="F2847" s="50" t="s">
        <v>2167</v>
      </c>
      <c r="G2847" s="54" t="n">
        <v>491000</v>
      </c>
    </row>
    <row r="2848" customFormat="false" ht="15" hidden="false" customHeight="false" outlineLevel="0" collapsed="false">
      <c r="A2848" s="50" t="s">
        <v>1090</v>
      </c>
      <c r="B2848" s="51" t="n">
        <v>45828</v>
      </c>
      <c r="C2848" s="50" t="s">
        <v>354</v>
      </c>
      <c r="D2848" s="50" t="s">
        <v>2187</v>
      </c>
      <c r="E2848" s="50" t="n">
        <v>3</v>
      </c>
      <c r="F2848" s="50" t="s">
        <v>2167</v>
      </c>
      <c r="G2848" s="54" t="n">
        <v>1047800</v>
      </c>
    </row>
    <row r="2849" customFormat="false" ht="15" hidden="false" customHeight="false" outlineLevel="0" collapsed="false">
      <c r="A2849" s="50" t="s">
        <v>1090</v>
      </c>
      <c r="B2849" s="51" t="n">
        <v>45828</v>
      </c>
      <c r="C2849" s="50" t="s">
        <v>354</v>
      </c>
      <c r="D2849" s="50" t="s">
        <v>2169</v>
      </c>
      <c r="E2849" s="50" t="n">
        <v>3</v>
      </c>
      <c r="F2849" s="50" t="s">
        <v>2167</v>
      </c>
      <c r="G2849" s="54" t="n">
        <v>1910500</v>
      </c>
    </row>
    <row r="2850" customFormat="false" ht="15" hidden="false" customHeight="false" outlineLevel="0" collapsed="false">
      <c r="A2850" s="50" t="s">
        <v>1091</v>
      </c>
      <c r="B2850" s="51" t="n">
        <v>45828</v>
      </c>
      <c r="C2850" s="50" t="s">
        <v>280</v>
      </c>
      <c r="D2850" s="50" t="s">
        <v>2184</v>
      </c>
      <c r="E2850" s="50" t="n">
        <v>3</v>
      </c>
      <c r="F2850" s="50" t="s">
        <v>2167</v>
      </c>
      <c r="G2850" s="54" t="n">
        <v>1678400</v>
      </c>
    </row>
    <row r="2851" customFormat="false" ht="15" hidden="false" customHeight="false" outlineLevel="0" collapsed="false">
      <c r="A2851" s="50" t="s">
        <v>1091</v>
      </c>
      <c r="B2851" s="51" t="n">
        <v>45828</v>
      </c>
      <c r="C2851" s="50" t="s">
        <v>280</v>
      </c>
      <c r="D2851" s="50" t="s">
        <v>2185</v>
      </c>
      <c r="E2851" s="50" t="n">
        <v>8</v>
      </c>
      <c r="F2851" s="50" t="s">
        <v>2174</v>
      </c>
      <c r="G2851" s="54" t="n">
        <v>6083700</v>
      </c>
    </row>
    <row r="2852" customFormat="false" ht="15" hidden="false" customHeight="false" outlineLevel="0" collapsed="false">
      <c r="A2852" s="50" t="s">
        <v>1091</v>
      </c>
      <c r="B2852" s="51" t="n">
        <v>45828</v>
      </c>
      <c r="C2852" s="50" t="s">
        <v>280</v>
      </c>
      <c r="D2852" s="50" t="s">
        <v>2178</v>
      </c>
      <c r="E2852" s="50" t="n">
        <v>2</v>
      </c>
      <c r="F2852" s="50" t="s">
        <v>2167</v>
      </c>
      <c r="G2852" s="54" t="n">
        <v>934400</v>
      </c>
    </row>
    <row r="2853" customFormat="false" ht="15" hidden="false" customHeight="false" outlineLevel="0" collapsed="false">
      <c r="A2853" s="50" t="s">
        <v>1091</v>
      </c>
      <c r="B2853" s="51" t="n">
        <v>45828</v>
      </c>
      <c r="C2853" s="50" t="s">
        <v>280</v>
      </c>
      <c r="D2853" s="50" t="s">
        <v>2181</v>
      </c>
      <c r="E2853" s="50" t="n">
        <v>2</v>
      </c>
      <c r="F2853" s="50" t="s">
        <v>2167</v>
      </c>
      <c r="G2853" s="54" t="n">
        <v>2257400</v>
      </c>
    </row>
    <row r="2854" customFormat="false" ht="15" hidden="false" customHeight="false" outlineLevel="0" collapsed="false">
      <c r="A2854" s="50" t="s">
        <v>1091</v>
      </c>
      <c r="B2854" s="51" t="n">
        <v>45828</v>
      </c>
      <c r="C2854" s="50" t="s">
        <v>280</v>
      </c>
      <c r="D2854" s="50" t="s">
        <v>2179</v>
      </c>
      <c r="E2854" s="50" t="n">
        <v>1</v>
      </c>
      <c r="F2854" s="50" t="s">
        <v>2174</v>
      </c>
      <c r="G2854" s="54" t="n">
        <v>1281600</v>
      </c>
    </row>
    <row r="2855" customFormat="false" ht="15" hidden="false" customHeight="false" outlineLevel="0" collapsed="false">
      <c r="A2855" s="50" t="s">
        <v>1091</v>
      </c>
      <c r="B2855" s="51" t="n">
        <v>45828</v>
      </c>
      <c r="C2855" s="50" t="s">
        <v>280</v>
      </c>
      <c r="D2855" s="50" t="s">
        <v>2182</v>
      </c>
      <c r="E2855" s="50" t="n">
        <v>2</v>
      </c>
      <c r="F2855" s="50" t="s">
        <v>2174</v>
      </c>
      <c r="G2855" s="54" t="n">
        <v>1905500</v>
      </c>
    </row>
    <row r="2856" customFormat="false" ht="15" hidden="false" customHeight="false" outlineLevel="0" collapsed="false">
      <c r="A2856" s="50" t="s">
        <v>1092</v>
      </c>
      <c r="B2856" s="51" t="n">
        <v>45829</v>
      </c>
      <c r="C2856" s="50" t="s">
        <v>271</v>
      </c>
      <c r="D2856" s="50" t="s">
        <v>2175</v>
      </c>
      <c r="E2856" s="50" t="n">
        <v>8</v>
      </c>
      <c r="F2856" s="50" t="s">
        <v>2167</v>
      </c>
      <c r="G2856" s="54" t="n">
        <v>4997100</v>
      </c>
    </row>
    <row r="2857" customFormat="false" ht="15" hidden="false" customHeight="false" outlineLevel="0" collapsed="false">
      <c r="A2857" s="50" t="s">
        <v>1092</v>
      </c>
      <c r="B2857" s="51" t="n">
        <v>45829</v>
      </c>
      <c r="C2857" s="50" t="s">
        <v>271</v>
      </c>
      <c r="D2857" s="50" t="s">
        <v>2179</v>
      </c>
      <c r="E2857" s="50" t="n">
        <v>4</v>
      </c>
      <c r="F2857" s="50" t="s">
        <v>2174</v>
      </c>
      <c r="G2857" s="54" t="n">
        <v>5191300</v>
      </c>
    </row>
    <row r="2858" customFormat="false" ht="15" hidden="false" customHeight="false" outlineLevel="0" collapsed="false">
      <c r="A2858" s="50" t="s">
        <v>1092</v>
      </c>
      <c r="B2858" s="51" t="n">
        <v>45829</v>
      </c>
      <c r="C2858" s="50" t="s">
        <v>271</v>
      </c>
      <c r="D2858" s="50" t="s">
        <v>2180</v>
      </c>
      <c r="E2858" s="50" t="n">
        <v>1</v>
      </c>
      <c r="F2858" s="50" t="s">
        <v>2167</v>
      </c>
      <c r="G2858" s="54" t="n">
        <v>458800</v>
      </c>
    </row>
    <row r="2859" customFormat="false" ht="15" hidden="false" customHeight="false" outlineLevel="0" collapsed="false">
      <c r="A2859" s="50" t="s">
        <v>1093</v>
      </c>
      <c r="B2859" s="51" t="n">
        <v>45831</v>
      </c>
      <c r="C2859" s="50" t="s">
        <v>188</v>
      </c>
      <c r="D2859" s="50" t="s">
        <v>2168</v>
      </c>
      <c r="E2859" s="50" t="n">
        <v>7</v>
      </c>
      <c r="F2859" s="50" t="s">
        <v>2167</v>
      </c>
      <c r="G2859" s="54" t="n">
        <v>2991500</v>
      </c>
    </row>
    <row r="2860" customFormat="false" ht="15" hidden="false" customHeight="false" outlineLevel="0" collapsed="false">
      <c r="A2860" s="50" t="s">
        <v>1093</v>
      </c>
      <c r="B2860" s="51" t="n">
        <v>45831</v>
      </c>
      <c r="C2860" s="50" t="s">
        <v>188</v>
      </c>
      <c r="D2860" s="50" t="s">
        <v>2188</v>
      </c>
      <c r="E2860" s="50" t="n">
        <v>6</v>
      </c>
      <c r="F2860" s="50" t="s">
        <v>2167</v>
      </c>
      <c r="G2860" s="54" t="n">
        <v>5694300</v>
      </c>
    </row>
    <row r="2861" customFormat="false" ht="15" hidden="false" customHeight="false" outlineLevel="0" collapsed="false">
      <c r="A2861" s="50" t="s">
        <v>1093</v>
      </c>
      <c r="B2861" s="51" t="n">
        <v>45831</v>
      </c>
      <c r="C2861" s="50" t="s">
        <v>188</v>
      </c>
      <c r="D2861" s="50" t="s">
        <v>2184</v>
      </c>
      <c r="E2861" s="50" t="n">
        <v>4</v>
      </c>
      <c r="F2861" s="50" t="s">
        <v>2167</v>
      </c>
      <c r="G2861" s="54" t="n">
        <v>2257000</v>
      </c>
    </row>
    <row r="2862" customFormat="false" ht="15" hidden="false" customHeight="false" outlineLevel="0" collapsed="false">
      <c r="A2862" s="50" t="s">
        <v>1094</v>
      </c>
      <c r="B2862" s="51" t="n">
        <v>45831</v>
      </c>
      <c r="C2862" s="50" t="s">
        <v>228</v>
      </c>
      <c r="D2862" s="50" t="s">
        <v>2176</v>
      </c>
      <c r="E2862" s="50" t="n">
        <v>3</v>
      </c>
      <c r="F2862" s="50" t="s">
        <v>2167</v>
      </c>
      <c r="G2862" s="54" t="n">
        <v>1218100</v>
      </c>
    </row>
    <row r="2863" customFormat="false" ht="15" hidden="false" customHeight="false" outlineLevel="0" collapsed="false">
      <c r="A2863" s="50" t="s">
        <v>1094</v>
      </c>
      <c r="B2863" s="51" t="n">
        <v>45831</v>
      </c>
      <c r="C2863" s="50" t="s">
        <v>228</v>
      </c>
      <c r="D2863" s="50" t="s">
        <v>2185</v>
      </c>
      <c r="E2863" s="50" t="n">
        <v>6</v>
      </c>
      <c r="F2863" s="50" t="s">
        <v>2174</v>
      </c>
      <c r="G2863" s="54" t="n">
        <v>4687000</v>
      </c>
    </row>
    <row r="2864" customFormat="false" ht="15" hidden="false" customHeight="false" outlineLevel="0" collapsed="false">
      <c r="A2864" s="50" t="s">
        <v>1094</v>
      </c>
      <c r="B2864" s="51" t="n">
        <v>45831</v>
      </c>
      <c r="C2864" s="50" t="s">
        <v>228</v>
      </c>
      <c r="D2864" s="50" t="s">
        <v>2180</v>
      </c>
      <c r="E2864" s="50" t="n">
        <v>7</v>
      </c>
      <c r="F2864" s="50" t="s">
        <v>2167</v>
      </c>
      <c r="G2864" s="54" t="n">
        <v>3055300</v>
      </c>
    </row>
    <row r="2865" customFormat="false" ht="15" hidden="false" customHeight="false" outlineLevel="0" collapsed="false">
      <c r="A2865" s="50" t="s">
        <v>1094</v>
      </c>
      <c r="B2865" s="51" t="n">
        <v>45831</v>
      </c>
      <c r="C2865" s="50" t="s">
        <v>228</v>
      </c>
      <c r="D2865" s="50" t="s">
        <v>2179</v>
      </c>
      <c r="E2865" s="50" t="n">
        <v>2</v>
      </c>
      <c r="F2865" s="50" t="s">
        <v>2174</v>
      </c>
      <c r="G2865" s="54" t="n">
        <v>2552700</v>
      </c>
    </row>
    <row r="2866" customFormat="false" ht="15" hidden="false" customHeight="false" outlineLevel="0" collapsed="false">
      <c r="A2866" s="50" t="s">
        <v>1094</v>
      </c>
      <c r="B2866" s="51" t="n">
        <v>45831</v>
      </c>
      <c r="C2866" s="50" t="s">
        <v>228</v>
      </c>
      <c r="D2866" s="50" t="s">
        <v>2169</v>
      </c>
      <c r="E2866" s="50" t="n">
        <v>8</v>
      </c>
      <c r="F2866" s="50" t="s">
        <v>2167</v>
      </c>
      <c r="G2866" s="54" t="n">
        <v>4950500</v>
      </c>
    </row>
    <row r="2867" customFormat="false" ht="15" hidden="false" customHeight="false" outlineLevel="0" collapsed="false">
      <c r="A2867" s="50" t="s">
        <v>1094</v>
      </c>
      <c r="B2867" s="51" t="n">
        <v>45831</v>
      </c>
      <c r="C2867" s="50" t="s">
        <v>228</v>
      </c>
      <c r="D2867" s="50" t="s">
        <v>2168</v>
      </c>
      <c r="E2867" s="50" t="n">
        <v>1</v>
      </c>
      <c r="F2867" s="50" t="s">
        <v>2167</v>
      </c>
      <c r="G2867" s="54" t="n">
        <v>446300</v>
      </c>
    </row>
    <row r="2868" customFormat="false" ht="15" hidden="false" customHeight="false" outlineLevel="0" collapsed="false">
      <c r="A2868" s="50" t="s">
        <v>1095</v>
      </c>
      <c r="B2868" s="51" t="n">
        <v>45831</v>
      </c>
      <c r="C2868" s="50" t="s">
        <v>358</v>
      </c>
      <c r="D2868" s="50" t="s">
        <v>2179</v>
      </c>
      <c r="E2868" s="50" t="n">
        <v>2</v>
      </c>
      <c r="F2868" s="50" t="s">
        <v>2174</v>
      </c>
      <c r="G2868" s="54" t="n">
        <v>2423000</v>
      </c>
    </row>
    <row r="2869" customFormat="false" ht="15" hidden="false" customHeight="false" outlineLevel="0" collapsed="false">
      <c r="A2869" s="50" t="s">
        <v>1095</v>
      </c>
      <c r="B2869" s="51" t="n">
        <v>45831</v>
      </c>
      <c r="C2869" s="50" t="s">
        <v>358</v>
      </c>
      <c r="D2869" s="50" t="s">
        <v>2169</v>
      </c>
      <c r="E2869" s="50" t="n">
        <v>5</v>
      </c>
      <c r="F2869" s="50" t="s">
        <v>2167</v>
      </c>
      <c r="G2869" s="54" t="n">
        <v>3171300</v>
      </c>
    </row>
    <row r="2870" customFormat="false" ht="15" hidden="false" customHeight="false" outlineLevel="0" collapsed="false">
      <c r="A2870" s="50" t="s">
        <v>1096</v>
      </c>
      <c r="B2870" s="51" t="n">
        <v>45831</v>
      </c>
      <c r="C2870" s="50" t="s">
        <v>174</v>
      </c>
      <c r="D2870" s="50" t="s">
        <v>2173</v>
      </c>
      <c r="E2870" s="50" t="n">
        <v>8</v>
      </c>
      <c r="F2870" s="50" t="s">
        <v>2174</v>
      </c>
      <c r="G2870" s="54" t="n">
        <v>6254400</v>
      </c>
    </row>
    <row r="2871" customFormat="false" ht="15" hidden="false" customHeight="false" outlineLevel="0" collapsed="false">
      <c r="A2871" s="50" t="s">
        <v>1096</v>
      </c>
      <c r="B2871" s="51" t="n">
        <v>45831</v>
      </c>
      <c r="C2871" s="50" t="s">
        <v>174</v>
      </c>
      <c r="D2871" s="50" t="s">
        <v>2169</v>
      </c>
      <c r="E2871" s="50" t="n">
        <v>4</v>
      </c>
      <c r="F2871" s="50" t="s">
        <v>2167</v>
      </c>
      <c r="G2871" s="54" t="n">
        <v>2521200</v>
      </c>
    </row>
    <row r="2872" customFormat="false" ht="15" hidden="false" customHeight="false" outlineLevel="0" collapsed="false">
      <c r="A2872" s="50" t="s">
        <v>1096</v>
      </c>
      <c r="B2872" s="51" t="n">
        <v>45831</v>
      </c>
      <c r="C2872" s="50" t="s">
        <v>174</v>
      </c>
      <c r="D2872" s="50" t="s">
        <v>2179</v>
      </c>
      <c r="E2872" s="50" t="n">
        <v>6</v>
      </c>
      <c r="F2872" s="50" t="s">
        <v>2174</v>
      </c>
      <c r="G2872" s="54" t="n">
        <v>7383700</v>
      </c>
    </row>
    <row r="2873" customFormat="false" ht="15" hidden="false" customHeight="false" outlineLevel="0" collapsed="false">
      <c r="A2873" s="50" t="s">
        <v>1097</v>
      </c>
      <c r="B2873" s="51" t="n">
        <v>45832</v>
      </c>
      <c r="C2873" s="50" t="s">
        <v>243</v>
      </c>
      <c r="D2873" s="50" t="s">
        <v>2172</v>
      </c>
      <c r="E2873" s="50" t="n">
        <v>1</v>
      </c>
      <c r="F2873" s="50" t="s">
        <v>2167</v>
      </c>
      <c r="G2873" s="54" t="n">
        <v>524700</v>
      </c>
    </row>
    <row r="2874" customFormat="false" ht="15" hidden="false" customHeight="false" outlineLevel="0" collapsed="false">
      <c r="A2874" s="50" t="s">
        <v>1097</v>
      </c>
      <c r="B2874" s="51" t="n">
        <v>45832</v>
      </c>
      <c r="C2874" s="50" t="s">
        <v>243</v>
      </c>
      <c r="D2874" s="50" t="s">
        <v>2168</v>
      </c>
      <c r="E2874" s="50" t="n">
        <v>3</v>
      </c>
      <c r="F2874" s="50" t="s">
        <v>2167</v>
      </c>
      <c r="G2874" s="54" t="n">
        <v>1242600</v>
      </c>
    </row>
    <row r="2875" customFormat="false" ht="15" hidden="false" customHeight="false" outlineLevel="0" collapsed="false">
      <c r="A2875" s="50" t="s">
        <v>1097</v>
      </c>
      <c r="B2875" s="51" t="n">
        <v>45832</v>
      </c>
      <c r="C2875" s="50" t="s">
        <v>243</v>
      </c>
      <c r="D2875" s="50" t="s">
        <v>2169</v>
      </c>
      <c r="E2875" s="50" t="n">
        <v>5</v>
      </c>
      <c r="F2875" s="50" t="s">
        <v>2167</v>
      </c>
      <c r="G2875" s="54" t="n">
        <v>3123200</v>
      </c>
    </row>
    <row r="2876" customFormat="false" ht="15" hidden="false" customHeight="false" outlineLevel="0" collapsed="false">
      <c r="A2876" s="50" t="s">
        <v>1098</v>
      </c>
      <c r="B2876" s="51" t="n">
        <v>45832</v>
      </c>
      <c r="C2876" s="50" t="s">
        <v>1099</v>
      </c>
      <c r="D2876" s="50" t="s">
        <v>2179</v>
      </c>
      <c r="E2876" s="50" t="n">
        <v>8</v>
      </c>
      <c r="F2876" s="50" t="s">
        <v>2174</v>
      </c>
      <c r="G2876" s="54" t="n">
        <v>9617500</v>
      </c>
    </row>
    <row r="2877" customFormat="false" ht="15" hidden="false" customHeight="false" outlineLevel="0" collapsed="false">
      <c r="A2877" s="50" t="s">
        <v>1098</v>
      </c>
      <c r="B2877" s="51" t="n">
        <v>45832</v>
      </c>
      <c r="C2877" s="50" t="s">
        <v>1099</v>
      </c>
      <c r="D2877" s="50" t="s">
        <v>2173</v>
      </c>
      <c r="E2877" s="50" t="n">
        <v>5</v>
      </c>
      <c r="F2877" s="50" t="s">
        <v>2174</v>
      </c>
      <c r="G2877" s="54" t="n">
        <v>3955500</v>
      </c>
    </row>
    <row r="2878" customFormat="false" ht="15" hidden="false" customHeight="false" outlineLevel="0" collapsed="false">
      <c r="A2878" s="50" t="s">
        <v>1098</v>
      </c>
      <c r="B2878" s="51" t="n">
        <v>45832</v>
      </c>
      <c r="C2878" s="50" t="s">
        <v>1099</v>
      </c>
      <c r="D2878" s="50" t="s">
        <v>2168</v>
      </c>
      <c r="E2878" s="50" t="n">
        <v>6</v>
      </c>
      <c r="F2878" s="50" t="s">
        <v>2167</v>
      </c>
      <c r="G2878" s="54" t="n">
        <v>2678100</v>
      </c>
    </row>
    <row r="2879" customFormat="false" ht="15" hidden="false" customHeight="false" outlineLevel="0" collapsed="false">
      <c r="A2879" s="50" t="s">
        <v>1098</v>
      </c>
      <c r="B2879" s="51" t="n">
        <v>45832</v>
      </c>
      <c r="C2879" s="50" t="s">
        <v>1099</v>
      </c>
      <c r="D2879" s="50" t="s">
        <v>2169</v>
      </c>
      <c r="E2879" s="50" t="n">
        <v>7</v>
      </c>
      <c r="F2879" s="50" t="s">
        <v>2167</v>
      </c>
      <c r="G2879" s="54" t="n">
        <v>4377900</v>
      </c>
    </row>
    <row r="2880" customFormat="false" ht="15" hidden="false" customHeight="false" outlineLevel="0" collapsed="false">
      <c r="A2880" s="50" t="s">
        <v>1098</v>
      </c>
      <c r="B2880" s="51" t="n">
        <v>45832</v>
      </c>
      <c r="C2880" s="50" t="s">
        <v>1099</v>
      </c>
      <c r="D2880" s="50" t="s">
        <v>2176</v>
      </c>
      <c r="E2880" s="50" t="n">
        <v>5</v>
      </c>
      <c r="F2880" s="50" t="s">
        <v>2167</v>
      </c>
      <c r="G2880" s="54" t="n">
        <v>2133000</v>
      </c>
    </row>
    <row r="2881" customFormat="false" ht="15" hidden="false" customHeight="false" outlineLevel="0" collapsed="false">
      <c r="A2881" s="50" t="s">
        <v>1098</v>
      </c>
      <c r="B2881" s="51" t="n">
        <v>45832</v>
      </c>
      <c r="C2881" s="50" t="s">
        <v>1099</v>
      </c>
      <c r="D2881" s="50" t="s">
        <v>2172</v>
      </c>
      <c r="E2881" s="50" t="n">
        <v>4</v>
      </c>
      <c r="F2881" s="50" t="s">
        <v>2167</v>
      </c>
      <c r="G2881" s="54" t="n">
        <v>2050300</v>
      </c>
    </row>
    <row r="2882" customFormat="false" ht="15" hidden="false" customHeight="false" outlineLevel="0" collapsed="false">
      <c r="A2882" s="50" t="s">
        <v>1100</v>
      </c>
      <c r="B2882" s="51" t="n">
        <v>45832</v>
      </c>
      <c r="C2882" s="50" t="s">
        <v>166</v>
      </c>
      <c r="D2882" s="50" t="s">
        <v>2173</v>
      </c>
      <c r="E2882" s="50" t="n">
        <v>3</v>
      </c>
      <c r="F2882" s="50" t="s">
        <v>2174</v>
      </c>
      <c r="G2882" s="54" t="n">
        <v>2416200</v>
      </c>
    </row>
    <row r="2883" customFormat="false" ht="15" hidden="false" customHeight="false" outlineLevel="0" collapsed="false">
      <c r="A2883" s="50" t="s">
        <v>1101</v>
      </c>
      <c r="B2883" s="51" t="n">
        <v>45832</v>
      </c>
      <c r="C2883" s="50" t="s">
        <v>284</v>
      </c>
      <c r="D2883" s="50" t="s">
        <v>2187</v>
      </c>
      <c r="E2883" s="50" t="n">
        <v>6</v>
      </c>
      <c r="F2883" s="50" t="s">
        <v>2167</v>
      </c>
      <c r="G2883" s="54" t="n">
        <v>2128600</v>
      </c>
    </row>
    <row r="2884" customFormat="false" ht="15" hidden="false" customHeight="false" outlineLevel="0" collapsed="false">
      <c r="A2884" s="50" t="s">
        <v>1102</v>
      </c>
      <c r="B2884" s="51" t="n">
        <v>45832</v>
      </c>
      <c r="C2884" s="50" t="s">
        <v>416</v>
      </c>
      <c r="D2884" s="50" t="s">
        <v>2184</v>
      </c>
      <c r="E2884" s="50" t="n">
        <v>6</v>
      </c>
      <c r="F2884" s="50" t="s">
        <v>2167</v>
      </c>
      <c r="G2884" s="54" t="n">
        <v>3267100</v>
      </c>
    </row>
    <row r="2885" customFormat="false" ht="15" hidden="false" customHeight="false" outlineLevel="0" collapsed="false">
      <c r="A2885" s="50" t="s">
        <v>1102</v>
      </c>
      <c r="B2885" s="51" t="n">
        <v>45832</v>
      </c>
      <c r="C2885" s="50" t="s">
        <v>416</v>
      </c>
      <c r="D2885" s="50" t="s">
        <v>2185</v>
      </c>
      <c r="E2885" s="50" t="n">
        <v>3</v>
      </c>
      <c r="F2885" s="50" t="s">
        <v>2174</v>
      </c>
      <c r="G2885" s="54" t="n">
        <v>2247800</v>
      </c>
    </row>
    <row r="2886" customFormat="false" ht="15" hidden="false" customHeight="false" outlineLevel="0" collapsed="false">
      <c r="A2886" s="50" t="s">
        <v>1103</v>
      </c>
      <c r="B2886" s="51" t="n">
        <v>45833</v>
      </c>
      <c r="C2886" s="50" t="s">
        <v>259</v>
      </c>
      <c r="D2886" s="50" t="s">
        <v>2177</v>
      </c>
      <c r="E2886" s="50" t="n">
        <v>5</v>
      </c>
      <c r="F2886" s="50" t="s">
        <v>2174</v>
      </c>
      <c r="G2886" s="54" t="n">
        <v>5647700</v>
      </c>
    </row>
    <row r="2887" customFormat="false" ht="15" hidden="false" customHeight="false" outlineLevel="0" collapsed="false">
      <c r="A2887" s="50" t="s">
        <v>1103</v>
      </c>
      <c r="B2887" s="51" t="n">
        <v>45833</v>
      </c>
      <c r="C2887" s="50" t="s">
        <v>259</v>
      </c>
      <c r="D2887" s="50" t="s">
        <v>2169</v>
      </c>
      <c r="E2887" s="50" t="n">
        <v>2</v>
      </c>
      <c r="F2887" s="50" t="s">
        <v>2167</v>
      </c>
      <c r="G2887" s="54" t="n">
        <v>1268200</v>
      </c>
    </row>
    <row r="2888" customFormat="false" ht="15" hidden="false" customHeight="false" outlineLevel="0" collapsed="false">
      <c r="A2888" s="50" t="s">
        <v>1103</v>
      </c>
      <c r="B2888" s="51" t="n">
        <v>45833</v>
      </c>
      <c r="C2888" s="50" t="s">
        <v>259</v>
      </c>
      <c r="D2888" s="50" t="s">
        <v>2181</v>
      </c>
      <c r="E2888" s="50" t="n">
        <v>2</v>
      </c>
      <c r="F2888" s="50" t="s">
        <v>2167</v>
      </c>
      <c r="G2888" s="54" t="n">
        <v>2367000</v>
      </c>
    </row>
    <row r="2889" customFormat="false" ht="15" hidden="false" customHeight="false" outlineLevel="0" collapsed="false">
      <c r="A2889" s="50" t="s">
        <v>1104</v>
      </c>
      <c r="B2889" s="51" t="n">
        <v>45833</v>
      </c>
      <c r="C2889" s="50" t="s">
        <v>188</v>
      </c>
      <c r="D2889" s="50" t="s">
        <v>2180</v>
      </c>
      <c r="E2889" s="50" t="n">
        <v>5</v>
      </c>
      <c r="F2889" s="50" t="s">
        <v>2167</v>
      </c>
      <c r="G2889" s="54" t="n">
        <v>2242300</v>
      </c>
    </row>
    <row r="2890" customFormat="false" ht="15" hidden="false" customHeight="false" outlineLevel="0" collapsed="false">
      <c r="A2890" s="50" t="s">
        <v>1104</v>
      </c>
      <c r="B2890" s="51" t="n">
        <v>45833</v>
      </c>
      <c r="C2890" s="50" t="s">
        <v>188</v>
      </c>
      <c r="D2890" s="50" t="s">
        <v>2178</v>
      </c>
      <c r="E2890" s="50" t="n">
        <v>6</v>
      </c>
      <c r="F2890" s="50" t="s">
        <v>2167</v>
      </c>
      <c r="G2890" s="54" t="n">
        <v>2875200</v>
      </c>
    </row>
    <row r="2891" customFormat="false" ht="15" hidden="false" customHeight="false" outlineLevel="0" collapsed="false">
      <c r="A2891" s="50" t="s">
        <v>1104</v>
      </c>
      <c r="B2891" s="51" t="n">
        <v>45833</v>
      </c>
      <c r="C2891" s="50" t="s">
        <v>188</v>
      </c>
      <c r="D2891" s="50" t="s">
        <v>2172</v>
      </c>
      <c r="E2891" s="50" t="n">
        <v>6</v>
      </c>
      <c r="F2891" s="50" t="s">
        <v>2167</v>
      </c>
      <c r="G2891" s="54" t="n">
        <v>3206200</v>
      </c>
    </row>
    <row r="2892" customFormat="false" ht="15" hidden="false" customHeight="false" outlineLevel="0" collapsed="false">
      <c r="A2892" s="50" t="s">
        <v>1104</v>
      </c>
      <c r="B2892" s="51" t="n">
        <v>45833</v>
      </c>
      <c r="C2892" s="50" t="s">
        <v>188</v>
      </c>
      <c r="D2892" s="50" t="s">
        <v>2184</v>
      </c>
      <c r="E2892" s="50" t="n">
        <v>3</v>
      </c>
      <c r="F2892" s="50" t="s">
        <v>2167</v>
      </c>
      <c r="G2892" s="54" t="n">
        <v>1661700</v>
      </c>
    </row>
    <row r="2893" customFormat="false" ht="15" hidden="false" customHeight="false" outlineLevel="0" collapsed="false">
      <c r="A2893" s="50" t="s">
        <v>1105</v>
      </c>
      <c r="B2893" s="51" t="n">
        <v>45834</v>
      </c>
      <c r="C2893" s="50" t="s">
        <v>225</v>
      </c>
      <c r="D2893" s="50" t="s">
        <v>2187</v>
      </c>
      <c r="E2893" s="50" t="n">
        <v>8</v>
      </c>
      <c r="F2893" s="50" t="s">
        <v>2167</v>
      </c>
      <c r="G2893" s="54" t="n">
        <v>2763200</v>
      </c>
    </row>
    <row r="2894" customFormat="false" ht="15" hidden="false" customHeight="false" outlineLevel="0" collapsed="false">
      <c r="A2894" s="50" t="s">
        <v>1105</v>
      </c>
      <c r="B2894" s="51" t="n">
        <v>45834</v>
      </c>
      <c r="C2894" s="50" t="s">
        <v>225</v>
      </c>
      <c r="D2894" s="50" t="s">
        <v>2185</v>
      </c>
      <c r="E2894" s="50" t="n">
        <v>8</v>
      </c>
      <c r="F2894" s="50" t="s">
        <v>2174</v>
      </c>
      <c r="G2894" s="54" t="n">
        <v>6483500</v>
      </c>
    </row>
    <row r="2895" customFormat="false" ht="15" hidden="false" customHeight="false" outlineLevel="0" collapsed="false">
      <c r="A2895" s="50" t="s">
        <v>1105</v>
      </c>
      <c r="B2895" s="51" t="n">
        <v>45834</v>
      </c>
      <c r="C2895" s="50" t="s">
        <v>225</v>
      </c>
      <c r="D2895" s="50" t="s">
        <v>2180</v>
      </c>
      <c r="E2895" s="50" t="n">
        <v>5</v>
      </c>
      <c r="F2895" s="50" t="s">
        <v>2167</v>
      </c>
      <c r="G2895" s="54" t="n">
        <v>2263200</v>
      </c>
    </row>
    <row r="2896" customFormat="false" ht="15" hidden="false" customHeight="false" outlineLevel="0" collapsed="false">
      <c r="A2896" s="50" t="s">
        <v>1106</v>
      </c>
      <c r="B2896" s="51" t="n">
        <v>45834</v>
      </c>
      <c r="C2896" s="50" t="s">
        <v>174</v>
      </c>
      <c r="D2896" s="50" t="s">
        <v>2166</v>
      </c>
      <c r="E2896" s="50" t="n">
        <v>4</v>
      </c>
      <c r="F2896" s="50" t="s">
        <v>2167</v>
      </c>
      <c r="G2896" s="54" t="n">
        <v>2153400</v>
      </c>
    </row>
    <row r="2897" customFormat="false" ht="15" hidden="false" customHeight="false" outlineLevel="0" collapsed="false">
      <c r="A2897" s="50" t="s">
        <v>1106</v>
      </c>
      <c r="B2897" s="51" t="n">
        <v>45834</v>
      </c>
      <c r="C2897" s="50" t="s">
        <v>174</v>
      </c>
      <c r="D2897" s="50" t="s">
        <v>2173</v>
      </c>
      <c r="E2897" s="50" t="n">
        <v>3</v>
      </c>
      <c r="F2897" s="50" t="s">
        <v>2174</v>
      </c>
      <c r="G2897" s="54" t="n">
        <v>2406600</v>
      </c>
    </row>
    <row r="2898" customFormat="false" ht="15" hidden="false" customHeight="false" outlineLevel="0" collapsed="false">
      <c r="A2898" s="50" t="s">
        <v>1106</v>
      </c>
      <c r="B2898" s="51" t="n">
        <v>45834</v>
      </c>
      <c r="C2898" s="50" t="s">
        <v>174</v>
      </c>
      <c r="D2898" s="50" t="s">
        <v>2184</v>
      </c>
      <c r="E2898" s="50" t="n">
        <v>4</v>
      </c>
      <c r="F2898" s="50" t="s">
        <v>2167</v>
      </c>
      <c r="G2898" s="54" t="n">
        <v>2181200</v>
      </c>
    </row>
    <row r="2899" customFormat="false" ht="15" hidden="false" customHeight="false" outlineLevel="0" collapsed="false">
      <c r="A2899" s="50" t="s">
        <v>1106</v>
      </c>
      <c r="B2899" s="51" t="n">
        <v>45834</v>
      </c>
      <c r="C2899" s="50" t="s">
        <v>174</v>
      </c>
      <c r="D2899" s="50" t="s">
        <v>2170</v>
      </c>
      <c r="E2899" s="50" t="n">
        <v>1</v>
      </c>
      <c r="F2899" s="50" t="s">
        <v>2171</v>
      </c>
      <c r="G2899" s="54" t="n">
        <v>7813800</v>
      </c>
    </row>
    <row r="2900" customFormat="false" ht="15" hidden="false" customHeight="false" outlineLevel="0" collapsed="false">
      <c r="A2900" s="50" t="s">
        <v>1107</v>
      </c>
      <c r="B2900" s="51" t="n">
        <v>45834</v>
      </c>
      <c r="C2900" s="50" t="s">
        <v>170</v>
      </c>
      <c r="D2900" s="50" t="s">
        <v>2179</v>
      </c>
      <c r="E2900" s="50" t="n">
        <v>6</v>
      </c>
      <c r="F2900" s="50" t="s">
        <v>2174</v>
      </c>
      <c r="G2900" s="54" t="n">
        <v>7374100</v>
      </c>
    </row>
    <row r="2901" customFormat="false" ht="15" hidden="false" customHeight="false" outlineLevel="0" collapsed="false">
      <c r="A2901" s="50" t="s">
        <v>1108</v>
      </c>
      <c r="B2901" s="51" t="n">
        <v>45834</v>
      </c>
      <c r="C2901" s="50" t="s">
        <v>205</v>
      </c>
      <c r="D2901" s="50" t="s">
        <v>2178</v>
      </c>
      <c r="E2901" s="50" t="n">
        <v>5</v>
      </c>
      <c r="F2901" s="50" t="s">
        <v>2167</v>
      </c>
      <c r="G2901" s="54" t="n">
        <v>2485200</v>
      </c>
    </row>
    <row r="2902" customFormat="false" ht="15" hidden="false" customHeight="false" outlineLevel="0" collapsed="false">
      <c r="A2902" s="50" t="s">
        <v>1108</v>
      </c>
      <c r="B2902" s="51" t="n">
        <v>45834</v>
      </c>
      <c r="C2902" s="50" t="s">
        <v>205</v>
      </c>
      <c r="D2902" s="50" t="s">
        <v>2183</v>
      </c>
      <c r="E2902" s="50" t="n">
        <v>8</v>
      </c>
      <c r="F2902" s="50" t="s">
        <v>2167</v>
      </c>
      <c r="G2902" s="54" t="n">
        <v>2982100</v>
      </c>
    </row>
    <row r="2903" customFormat="false" ht="15" hidden="false" customHeight="false" outlineLevel="0" collapsed="false">
      <c r="A2903" s="50" t="s">
        <v>1108</v>
      </c>
      <c r="B2903" s="51" t="n">
        <v>45834</v>
      </c>
      <c r="C2903" s="50" t="s">
        <v>205</v>
      </c>
      <c r="D2903" s="50" t="s">
        <v>2181</v>
      </c>
      <c r="E2903" s="50" t="n">
        <v>6</v>
      </c>
      <c r="F2903" s="50" t="s">
        <v>2167</v>
      </c>
      <c r="G2903" s="54" t="n">
        <v>6939200</v>
      </c>
    </row>
    <row r="2904" customFormat="false" ht="15" hidden="false" customHeight="false" outlineLevel="0" collapsed="false">
      <c r="A2904" s="50" t="s">
        <v>1108</v>
      </c>
      <c r="B2904" s="51" t="n">
        <v>45834</v>
      </c>
      <c r="C2904" s="50" t="s">
        <v>205</v>
      </c>
      <c r="D2904" s="50" t="s">
        <v>2175</v>
      </c>
      <c r="E2904" s="50" t="n">
        <v>6</v>
      </c>
      <c r="F2904" s="50" t="s">
        <v>2167</v>
      </c>
      <c r="G2904" s="54" t="n">
        <v>3961100</v>
      </c>
    </row>
    <row r="2905" customFormat="false" ht="15" hidden="false" customHeight="false" outlineLevel="0" collapsed="false">
      <c r="A2905" s="50" t="s">
        <v>1109</v>
      </c>
      <c r="B2905" s="51" t="n">
        <v>45834</v>
      </c>
      <c r="C2905" s="50" t="s">
        <v>234</v>
      </c>
      <c r="D2905" s="50" t="s">
        <v>2187</v>
      </c>
      <c r="E2905" s="50" t="n">
        <v>2</v>
      </c>
      <c r="F2905" s="50" t="s">
        <v>2167</v>
      </c>
      <c r="G2905" s="54" t="n">
        <v>698300</v>
      </c>
    </row>
    <row r="2906" customFormat="false" ht="15" hidden="false" customHeight="false" outlineLevel="0" collapsed="false">
      <c r="A2906" s="50" t="s">
        <v>1109</v>
      </c>
      <c r="B2906" s="51" t="n">
        <v>45834</v>
      </c>
      <c r="C2906" s="50" t="s">
        <v>234</v>
      </c>
      <c r="D2906" s="50" t="s">
        <v>2180</v>
      </c>
      <c r="E2906" s="50" t="n">
        <v>1</v>
      </c>
      <c r="F2906" s="50" t="s">
        <v>2167</v>
      </c>
      <c r="G2906" s="54" t="n">
        <v>458600</v>
      </c>
    </row>
    <row r="2907" customFormat="false" ht="15" hidden="false" customHeight="false" outlineLevel="0" collapsed="false">
      <c r="A2907" s="50" t="s">
        <v>1110</v>
      </c>
      <c r="B2907" s="51" t="n">
        <v>45835</v>
      </c>
      <c r="C2907" s="50" t="s">
        <v>221</v>
      </c>
      <c r="D2907" s="50" t="s">
        <v>2176</v>
      </c>
      <c r="E2907" s="50" t="n">
        <v>6</v>
      </c>
      <c r="F2907" s="50" t="s">
        <v>2167</v>
      </c>
      <c r="G2907" s="54" t="n">
        <v>2549500</v>
      </c>
    </row>
    <row r="2908" customFormat="false" ht="15" hidden="false" customHeight="false" outlineLevel="0" collapsed="false">
      <c r="A2908" s="50" t="s">
        <v>1110</v>
      </c>
      <c r="B2908" s="51" t="n">
        <v>45835</v>
      </c>
      <c r="C2908" s="50" t="s">
        <v>221</v>
      </c>
      <c r="D2908" s="50" t="s">
        <v>2169</v>
      </c>
      <c r="E2908" s="50" t="n">
        <v>5</v>
      </c>
      <c r="F2908" s="50" t="s">
        <v>2167</v>
      </c>
      <c r="G2908" s="54" t="n">
        <v>3077200</v>
      </c>
    </row>
    <row r="2909" customFormat="false" ht="15" hidden="false" customHeight="false" outlineLevel="0" collapsed="false">
      <c r="A2909" s="50" t="s">
        <v>1111</v>
      </c>
      <c r="B2909" s="51" t="n">
        <v>45835</v>
      </c>
      <c r="C2909" s="50" t="s">
        <v>177</v>
      </c>
      <c r="D2909" s="50" t="s">
        <v>2185</v>
      </c>
      <c r="E2909" s="50" t="n">
        <v>8</v>
      </c>
      <c r="F2909" s="50" t="s">
        <v>2174</v>
      </c>
      <c r="G2909" s="54" t="n">
        <v>6349500</v>
      </c>
    </row>
    <row r="2910" customFormat="false" ht="15" hidden="false" customHeight="false" outlineLevel="0" collapsed="false">
      <c r="A2910" s="50" t="s">
        <v>1111</v>
      </c>
      <c r="B2910" s="51" t="n">
        <v>45835</v>
      </c>
      <c r="C2910" s="50" t="s">
        <v>177</v>
      </c>
      <c r="D2910" s="50" t="s">
        <v>2186</v>
      </c>
      <c r="E2910" s="50" t="n">
        <v>4</v>
      </c>
      <c r="F2910" s="50" t="s">
        <v>2167</v>
      </c>
      <c r="G2910" s="54" t="n">
        <v>2300600</v>
      </c>
    </row>
    <row r="2911" customFormat="false" ht="15" hidden="false" customHeight="false" outlineLevel="0" collapsed="false">
      <c r="A2911" s="50" t="s">
        <v>1111</v>
      </c>
      <c r="B2911" s="51" t="n">
        <v>45835</v>
      </c>
      <c r="C2911" s="50" t="s">
        <v>177</v>
      </c>
      <c r="D2911" s="50" t="s">
        <v>2168</v>
      </c>
      <c r="E2911" s="50" t="n">
        <v>3</v>
      </c>
      <c r="F2911" s="50" t="s">
        <v>2167</v>
      </c>
      <c r="G2911" s="54" t="n">
        <v>1284500</v>
      </c>
    </row>
    <row r="2912" customFormat="false" ht="15" hidden="false" customHeight="false" outlineLevel="0" collapsed="false">
      <c r="A2912" s="50" t="s">
        <v>1111</v>
      </c>
      <c r="B2912" s="51" t="n">
        <v>45835</v>
      </c>
      <c r="C2912" s="50" t="s">
        <v>177</v>
      </c>
      <c r="D2912" s="50" t="s">
        <v>2169</v>
      </c>
      <c r="E2912" s="50" t="n">
        <v>3</v>
      </c>
      <c r="F2912" s="50" t="s">
        <v>2167</v>
      </c>
      <c r="G2912" s="54" t="n">
        <v>1788100</v>
      </c>
    </row>
    <row r="2913" customFormat="false" ht="15" hidden="false" customHeight="false" outlineLevel="0" collapsed="false">
      <c r="A2913" s="50" t="s">
        <v>1112</v>
      </c>
      <c r="B2913" s="51" t="n">
        <v>45835</v>
      </c>
      <c r="C2913" s="50" t="s">
        <v>188</v>
      </c>
      <c r="D2913" s="50" t="s">
        <v>2177</v>
      </c>
      <c r="E2913" s="50" t="n">
        <v>4</v>
      </c>
      <c r="F2913" s="50" t="s">
        <v>2174</v>
      </c>
      <c r="G2913" s="54" t="n">
        <v>4227200</v>
      </c>
    </row>
    <row r="2914" customFormat="false" ht="15" hidden="false" customHeight="false" outlineLevel="0" collapsed="false">
      <c r="A2914" s="50" t="s">
        <v>1112</v>
      </c>
      <c r="B2914" s="51" t="n">
        <v>45835</v>
      </c>
      <c r="C2914" s="50" t="s">
        <v>188</v>
      </c>
      <c r="D2914" s="50" t="s">
        <v>2169</v>
      </c>
      <c r="E2914" s="50" t="n">
        <v>1</v>
      </c>
      <c r="F2914" s="50" t="s">
        <v>2167</v>
      </c>
      <c r="G2914" s="54" t="n">
        <v>612900</v>
      </c>
    </row>
    <row r="2915" customFormat="false" ht="15" hidden="false" customHeight="false" outlineLevel="0" collapsed="false">
      <c r="A2915" s="50" t="s">
        <v>1112</v>
      </c>
      <c r="B2915" s="51" t="n">
        <v>45835</v>
      </c>
      <c r="C2915" s="50" t="s">
        <v>188</v>
      </c>
      <c r="D2915" s="50" t="s">
        <v>2187</v>
      </c>
      <c r="E2915" s="50" t="n">
        <v>6</v>
      </c>
      <c r="F2915" s="50" t="s">
        <v>2167</v>
      </c>
      <c r="G2915" s="54" t="n">
        <v>2085200</v>
      </c>
    </row>
    <row r="2916" customFormat="false" ht="15" hidden="false" customHeight="false" outlineLevel="0" collapsed="false">
      <c r="A2916" s="50" t="s">
        <v>139</v>
      </c>
      <c r="B2916" s="51" t="n">
        <v>45835</v>
      </c>
      <c r="C2916" s="50" t="s">
        <v>191</v>
      </c>
      <c r="D2916" s="50" t="s">
        <v>2181</v>
      </c>
      <c r="E2916" s="50" t="n">
        <v>3</v>
      </c>
      <c r="F2916" s="50" t="s">
        <v>2167</v>
      </c>
      <c r="G2916" s="54" t="n">
        <v>3563400</v>
      </c>
    </row>
    <row r="2917" customFormat="false" ht="15" hidden="false" customHeight="false" outlineLevel="0" collapsed="false">
      <c r="A2917" s="50" t="s">
        <v>139</v>
      </c>
      <c r="B2917" s="51" t="n">
        <v>45835</v>
      </c>
      <c r="C2917" s="50" t="s">
        <v>191</v>
      </c>
      <c r="D2917" s="50" t="s">
        <v>2186</v>
      </c>
      <c r="E2917" s="50" t="n">
        <v>5</v>
      </c>
      <c r="F2917" s="50" t="s">
        <v>2167</v>
      </c>
      <c r="G2917" s="54" t="n">
        <v>2862600</v>
      </c>
    </row>
    <row r="2918" customFormat="false" ht="15" hidden="false" customHeight="false" outlineLevel="0" collapsed="false">
      <c r="A2918" s="50" t="s">
        <v>139</v>
      </c>
      <c r="B2918" s="51" t="n">
        <v>45835</v>
      </c>
      <c r="C2918" s="50" t="s">
        <v>191</v>
      </c>
      <c r="D2918" s="50" t="s">
        <v>2188</v>
      </c>
      <c r="E2918" s="50" t="n">
        <v>3</v>
      </c>
      <c r="F2918" s="50" t="s">
        <v>2167</v>
      </c>
      <c r="G2918" s="54" t="n">
        <v>2835900</v>
      </c>
    </row>
    <row r="2919" customFormat="false" ht="15" hidden="false" customHeight="false" outlineLevel="0" collapsed="false">
      <c r="A2919" s="50" t="s">
        <v>139</v>
      </c>
      <c r="B2919" s="51" t="n">
        <v>45835</v>
      </c>
      <c r="C2919" s="50" t="s">
        <v>191</v>
      </c>
      <c r="D2919" s="50" t="s">
        <v>2182</v>
      </c>
      <c r="E2919" s="50" t="n">
        <v>2</v>
      </c>
      <c r="F2919" s="50" t="s">
        <v>2174</v>
      </c>
      <c r="G2919" s="54" t="n">
        <v>1924300</v>
      </c>
    </row>
    <row r="2920" customFormat="false" ht="15" hidden="false" customHeight="false" outlineLevel="0" collapsed="false">
      <c r="A2920" s="50" t="s">
        <v>139</v>
      </c>
      <c r="B2920" s="51" t="n">
        <v>45835</v>
      </c>
      <c r="C2920" s="50" t="s">
        <v>191</v>
      </c>
      <c r="D2920" s="50" t="s">
        <v>2185</v>
      </c>
      <c r="E2920" s="50" t="n">
        <v>2</v>
      </c>
      <c r="F2920" s="50" t="s">
        <v>2174</v>
      </c>
      <c r="G2920" s="54" t="n">
        <v>1524900</v>
      </c>
    </row>
    <row r="2921" customFormat="false" ht="15" hidden="false" customHeight="false" outlineLevel="0" collapsed="false">
      <c r="A2921" s="50" t="s">
        <v>1113</v>
      </c>
      <c r="B2921" s="51" t="n">
        <v>45835</v>
      </c>
      <c r="C2921" s="50" t="s">
        <v>298</v>
      </c>
      <c r="D2921" s="50" t="s">
        <v>2180</v>
      </c>
      <c r="E2921" s="50" t="n">
        <v>4</v>
      </c>
      <c r="F2921" s="50" t="s">
        <v>2167</v>
      </c>
      <c r="G2921" s="54" t="n">
        <v>1787600</v>
      </c>
    </row>
    <row r="2922" customFormat="false" ht="15" hidden="false" customHeight="false" outlineLevel="0" collapsed="false">
      <c r="A2922" s="50" t="s">
        <v>1113</v>
      </c>
      <c r="B2922" s="51" t="n">
        <v>45835</v>
      </c>
      <c r="C2922" s="50" t="s">
        <v>298</v>
      </c>
      <c r="D2922" s="50" t="s">
        <v>2166</v>
      </c>
      <c r="E2922" s="50" t="n">
        <v>5</v>
      </c>
      <c r="F2922" s="50" t="s">
        <v>2167</v>
      </c>
      <c r="G2922" s="54" t="n">
        <v>2592600</v>
      </c>
    </row>
    <row r="2923" customFormat="false" ht="15" hidden="false" customHeight="false" outlineLevel="0" collapsed="false">
      <c r="A2923" s="50" t="s">
        <v>1113</v>
      </c>
      <c r="B2923" s="51" t="n">
        <v>45835</v>
      </c>
      <c r="C2923" s="50" t="s">
        <v>298</v>
      </c>
      <c r="D2923" s="50" t="s">
        <v>2187</v>
      </c>
      <c r="E2923" s="50" t="n">
        <v>2</v>
      </c>
      <c r="F2923" s="50" t="s">
        <v>2167</v>
      </c>
      <c r="G2923" s="54" t="n">
        <v>714500</v>
      </c>
    </row>
    <row r="2924" customFormat="false" ht="15" hidden="false" customHeight="false" outlineLevel="0" collapsed="false">
      <c r="A2924" s="50" t="s">
        <v>1114</v>
      </c>
      <c r="B2924" s="51" t="n">
        <v>45835</v>
      </c>
      <c r="C2924" s="50" t="s">
        <v>168</v>
      </c>
      <c r="D2924" s="50" t="s">
        <v>2169</v>
      </c>
      <c r="E2924" s="50" t="n">
        <v>4</v>
      </c>
      <c r="F2924" s="50" t="s">
        <v>2167</v>
      </c>
      <c r="G2924" s="54" t="n">
        <v>2520200</v>
      </c>
    </row>
    <row r="2925" customFormat="false" ht="15" hidden="false" customHeight="false" outlineLevel="0" collapsed="false">
      <c r="A2925" s="50" t="s">
        <v>1114</v>
      </c>
      <c r="B2925" s="51" t="n">
        <v>45835</v>
      </c>
      <c r="C2925" s="50" t="s">
        <v>168</v>
      </c>
      <c r="D2925" s="50" t="s">
        <v>2186</v>
      </c>
      <c r="E2925" s="50" t="n">
        <v>3</v>
      </c>
      <c r="F2925" s="50" t="s">
        <v>2167</v>
      </c>
      <c r="G2925" s="54" t="n">
        <v>1725800</v>
      </c>
    </row>
    <row r="2926" customFormat="false" ht="15" hidden="false" customHeight="false" outlineLevel="0" collapsed="false">
      <c r="A2926" s="50" t="s">
        <v>1115</v>
      </c>
      <c r="B2926" s="51" t="n">
        <v>45835</v>
      </c>
      <c r="C2926" s="50" t="s">
        <v>481</v>
      </c>
      <c r="D2926" s="50" t="s">
        <v>2176</v>
      </c>
      <c r="E2926" s="50" t="n">
        <v>2</v>
      </c>
      <c r="F2926" s="50" t="s">
        <v>2167</v>
      </c>
      <c r="G2926" s="54" t="n">
        <v>832400</v>
      </c>
    </row>
    <row r="2927" customFormat="false" ht="15" hidden="false" customHeight="false" outlineLevel="0" collapsed="false">
      <c r="A2927" s="50" t="s">
        <v>1116</v>
      </c>
      <c r="B2927" s="51" t="n">
        <v>45835</v>
      </c>
      <c r="C2927" s="50" t="s">
        <v>188</v>
      </c>
      <c r="D2927" s="50" t="s">
        <v>2172</v>
      </c>
      <c r="E2927" s="50" t="n">
        <v>4</v>
      </c>
      <c r="F2927" s="50" t="s">
        <v>2167</v>
      </c>
      <c r="G2927" s="54" t="n">
        <v>2147300</v>
      </c>
    </row>
    <row r="2928" customFormat="false" ht="15" hidden="false" customHeight="false" outlineLevel="0" collapsed="false">
      <c r="A2928" s="50" t="s">
        <v>1116</v>
      </c>
      <c r="B2928" s="51" t="n">
        <v>45835</v>
      </c>
      <c r="C2928" s="50" t="s">
        <v>188</v>
      </c>
      <c r="D2928" s="50" t="s">
        <v>2169</v>
      </c>
      <c r="E2928" s="50" t="n">
        <v>6</v>
      </c>
      <c r="F2928" s="50" t="s">
        <v>2167</v>
      </c>
      <c r="G2928" s="54" t="n">
        <v>3802700</v>
      </c>
    </row>
    <row r="2929" customFormat="false" ht="15" hidden="false" customHeight="false" outlineLevel="0" collapsed="false">
      <c r="A2929" s="50" t="s">
        <v>1116</v>
      </c>
      <c r="B2929" s="51" t="n">
        <v>45835</v>
      </c>
      <c r="C2929" s="50" t="s">
        <v>188</v>
      </c>
      <c r="D2929" s="50" t="s">
        <v>2186</v>
      </c>
      <c r="E2929" s="50" t="n">
        <v>2</v>
      </c>
      <c r="F2929" s="50" t="s">
        <v>2167</v>
      </c>
      <c r="G2929" s="54" t="n">
        <v>1146900</v>
      </c>
    </row>
    <row r="2930" customFormat="false" ht="15" hidden="false" customHeight="false" outlineLevel="0" collapsed="false">
      <c r="A2930" s="50" t="s">
        <v>1116</v>
      </c>
      <c r="B2930" s="51" t="n">
        <v>45835</v>
      </c>
      <c r="C2930" s="50" t="s">
        <v>188</v>
      </c>
      <c r="D2930" s="50" t="s">
        <v>2184</v>
      </c>
      <c r="E2930" s="50" t="n">
        <v>4</v>
      </c>
      <c r="F2930" s="50" t="s">
        <v>2167</v>
      </c>
      <c r="G2930" s="54" t="n">
        <v>2151400</v>
      </c>
    </row>
    <row r="2931" customFormat="false" ht="15" hidden="false" customHeight="false" outlineLevel="0" collapsed="false">
      <c r="A2931" s="50" t="s">
        <v>1117</v>
      </c>
      <c r="B2931" s="51" t="n">
        <v>45835</v>
      </c>
      <c r="C2931" s="50" t="s">
        <v>174</v>
      </c>
      <c r="D2931" s="50" t="s">
        <v>2168</v>
      </c>
      <c r="E2931" s="50" t="n">
        <v>1</v>
      </c>
      <c r="F2931" s="50" t="s">
        <v>2167</v>
      </c>
      <c r="G2931" s="54" t="n">
        <v>435000</v>
      </c>
    </row>
    <row r="2932" customFormat="false" ht="15" hidden="false" customHeight="false" outlineLevel="0" collapsed="false">
      <c r="A2932" s="50" t="s">
        <v>1117</v>
      </c>
      <c r="B2932" s="51" t="n">
        <v>45835</v>
      </c>
      <c r="C2932" s="50" t="s">
        <v>174</v>
      </c>
      <c r="D2932" s="50" t="s">
        <v>2180</v>
      </c>
      <c r="E2932" s="50" t="n">
        <v>7</v>
      </c>
      <c r="F2932" s="50" t="s">
        <v>2167</v>
      </c>
      <c r="G2932" s="54" t="n">
        <v>3087800</v>
      </c>
    </row>
    <row r="2933" customFormat="false" ht="15" hidden="false" customHeight="false" outlineLevel="0" collapsed="false">
      <c r="A2933" s="50" t="s">
        <v>1117</v>
      </c>
      <c r="B2933" s="51" t="n">
        <v>45835</v>
      </c>
      <c r="C2933" s="50" t="s">
        <v>174</v>
      </c>
      <c r="D2933" s="50" t="s">
        <v>2175</v>
      </c>
      <c r="E2933" s="50" t="n">
        <v>1</v>
      </c>
      <c r="F2933" s="50" t="s">
        <v>2167</v>
      </c>
      <c r="G2933" s="54" t="n">
        <v>648200</v>
      </c>
    </row>
    <row r="2934" customFormat="false" ht="15" hidden="false" customHeight="false" outlineLevel="0" collapsed="false">
      <c r="A2934" s="50" t="s">
        <v>1117</v>
      </c>
      <c r="B2934" s="51" t="n">
        <v>45835</v>
      </c>
      <c r="C2934" s="50" t="s">
        <v>174</v>
      </c>
      <c r="D2934" s="50" t="s">
        <v>2186</v>
      </c>
      <c r="E2934" s="50" t="n">
        <v>7</v>
      </c>
      <c r="F2934" s="50" t="s">
        <v>2167</v>
      </c>
      <c r="G2934" s="54" t="n">
        <v>4150900</v>
      </c>
    </row>
    <row r="2935" customFormat="false" ht="15" hidden="false" customHeight="false" outlineLevel="0" collapsed="false">
      <c r="A2935" s="50" t="s">
        <v>1117</v>
      </c>
      <c r="B2935" s="51" t="n">
        <v>45835</v>
      </c>
      <c r="C2935" s="50" t="s">
        <v>174</v>
      </c>
      <c r="D2935" s="50" t="s">
        <v>2187</v>
      </c>
      <c r="E2935" s="50" t="n">
        <v>6</v>
      </c>
      <c r="F2935" s="50" t="s">
        <v>2167</v>
      </c>
      <c r="G2935" s="54" t="n">
        <v>2064200</v>
      </c>
    </row>
    <row r="2936" customFormat="false" ht="15" hidden="false" customHeight="false" outlineLevel="0" collapsed="false">
      <c r="A2936" s="50" t="s">
        <v>1118</v>
      </c>
      <c r="B2936" s="51" t="n">
        <v>45836</v>
      </c>
      <c r="C2936" s="50" t="s">
        <v>298</v>
      </c>
      <c r="D2936" s="50" t="s">
        <v>2175</v>
      </c>
      <c r="E2936" s="50" t="n">
        <v>8</v>
      </c>
      <c r="F2936" s="50" t="s">
        <v>2167</v>
      </c>
      <c r="G2936" s="54" t="n">
        <v>5138800</v>
      </c>
    </row>
    <row r="2937" customFormat="false" ht="15" hidden="false" customHeight="false" outlineLevel="0" collapsed="false">
      <c r="A2937" s="50" t="s">
        <v>1119</v>
      </c>
      <c r="B2937" s="51" t="n">
        <v>45836</v>
      </c>
      <c r="C2937" s="50" t="s">
        <v>166</v>
      </c>
      <c r="D2937" s="50" t="s">
        <v>2176</v>
      </c>
      <c r="E2937" s="50" t="n">
        <v>8</v>
      </c>
      <c r="F2937" s="50" t="s">
        <v>2167</v>
      </c>
      <c r="G2937" s="54" t="n">
        <v>3257600</v>
      </c>
    </row>
    <row r="2938" customFormat="false" ht="15" hidden="false" customHeight="false" outlineLevel="0" collapsed="false">
      <c r="A2938" s="50" t="s">
        <v>1119</v>
      </c>
      <c r="B2938" s="51" t="n">
        <v>45836</v>
      </c>
      <c r="C2938" s="50" t="s">
        <v>166</v>
      </c>
      <c r="D2938" s="50" t="s">
        <v>2187</v>
      </c>
      <c r="E2938" s="50" t="n">
        <v>1</v>
      </c>
      <c r="F2938" s="50" t="s">
        <v>2167</v>
      </c>
      <c r="G2938" s="54" t="n">
        <v>348400</v>
      </c>
    </row>
    <row r="2939" customFormat="false" ht="15" hidden="false" customHeight="false" outlineLevel="0" collapsed="false">
      <c r="A2939" s="50" t="s">
        <v>1119</v>
      </c>
      <c r="B2939" s="51" t="n">
        <v>45836</v>
      </c>
      <c r="C2939" s="50" t="s">
        <v>166</v>
      </c>
      <c r="D2939" s="50" t="s">
        <v>2185</v>
      </c>
      <c r="E2939" s="50" t="n">
        <v>3</v>
      </c>
      <c r="F2939" s="50" t="s">
        <v>2174</v>
      </c>
      <c r="G2939" s="54" t="n">
        <v>2383300</v>
      </c>
    </row>
    <row r="2940" customFormat="false" ht="15" hidden="false" customHeight="false" outlineLevel="0" collapsed="false">
      <c r="A2940" s="50" t="s">
        <v>1119</v>
      </c>
      <c r="B2940" s="51" t="n">
        <v>45836</v>
      </c>
      <c r="C2940" s="50" t="s">
        <v>166</v>
      </c>
      <c r="D2940" s="50" t="s">
        <v>2183</v>
      </c>
      <c r="E2940" s="50" t="n">
        <v>6</v>
      </c>
      <c r="F2940" s="50" t="s">
        <v>2167</v>
      </c>
      <c r="G2940" s="54" t="n">
        <v>2233400</v>
      </c>
    </row>
    <row r="2941" customFormat="false" ht="15" hidden="false" customHeight="false" outlineLevel="0" collapsed="false">
      <c r="A2941" s="50" t="s">
        <v>1119</v>
      </c>
      <c r="B2941" s="51" t="n">
        <v>45836</v>
      </c>
      <c r="C2941" s="50" t="s">
        <v>166</v>
      </c>
      <c r="D2941" s="50" t="s">
        <v>2172</v>
      </c>
      <c r="E2941" s="50" t="n">
        <v>8</v>
      </c>
      <c r="F2941" s="50" t="s">
        <v>2167</v>
      </c>
      <c r="G2941" s="54" t="n">
        <v>4073000</v>
      </c>
    </row>
    <row r="2942" customFormat="false" ht="15" hidden="false" customHeight="false" outlineLevel="0" collapsed="false">
      <c r="A2942" s="50" t="s">
        <v>1119</v>
      </c>
      <c r="B2942" s="51" t="n">
        <v>45836</v>
      </c>
      <c r="C2942" s="50" t="s">
        <v>166</v>
      </c>
      <c r="D2942" s="50" t="s">
        <v>2168</v>
      </c>
      <c r="E2942" s="50" t="n">
        <v>5</v>
      </c>
      <c r="F2942" s="50" t="s">
        <v>2167</v>
      </c>
      <c r="G2942" s="54" t="n">
        <v>2173500</v>
      </c>
    </row>
    <row r="2943" customFormat="false" ht="15" hidden="false" customHeight="false" outlineLevel="0" collapsed="false">
      <c r="A2943" s="50" t="s">
        <v>1120</v>
      </c>
      <c r="B2943" s="51" t="n">
        <v>45838</v>
      </c>
      <c r="C2943" s="50" t="s">
        <v>329</v>
      </c>
      <c r="D2943" s="50" t="s">
        <v>2183</v>
      </c>
      <c r="E2943" s="50" t="n">
        <v>5</v>
      </c>
      <c r="F2943" s="50" t="s">
        <v>2167</v>
      </c>
      <c r="G2943" s="54" t="n">
        <v>1835400</v>
      </c>
    </row>
    <row r="2944" customFormat="false" ht="15" hidden="false" customHeight="false" outlineLevel="0" collapsed="false">
      <c r="A2944" s="50" t="s">
        <v>1120</v>
      </c>
      <c r="B2944" s="51" t="n">
        <v>45838</v>
      </c>
      <c r="C2944" s="50" t="s">
        <v>329</v>
      </c>
      <c r="D2944" s="50" t="s">
        <v>2178</v>
      </c>
      <c r="E2944" s="50" t="n">
        <v>2</v>
      </c>
      <c r="F2944" s="50" t="s">
        <v>2167</v>
      </c>
      <c r="G2944" s="54" t="n">
        <v>994400</v>
      </c>
    </row>
    <row r="2945" customFormat="false" ht="15" hidden="false" customHeight="false" outlineLevel="0" collapsed="false">
      <c r="A2945" s="50" t="s">
        <v>1120</v>
      </c>
      <c r="B2945" s="51" t="n">
        <v>45838</v>
      </c>
      <c r="C2945" s="50" t="s">
        <v>329</v>
      </c>
      <c r="D2945" s="50" t="s">
        <v>2188</v>
      </c>
      <c r="E2945" s="50" t="n">
        <v>7</v>
      </c>
      <c r="F2945" s="50" t="s">
        <v>2167</v>
      </c>
      <c r="G2945" s="54" t="n">
        <v>6762200</v>
      </c>
    </row>
    <row r="2946" customFormat="false" ht="15" hidden="false" customHeight="false" outlineLevel="0" collapsed="false">
      <c r="A2946" s="50" t="s">
        <v>1121</v>
      </c>
      <c r="B2946" s="51" t="n">
        <v>45838</v>
      </c>
      <c r="C2946" s="50" t="s">
        <v>574</v>
      </c>
      <c r="D2946" s="50" t="s">
        <v>2179</v>
      </c>
      <c r="E2946" s="50" t="n">
        <v>8</v>
      </c>
      <c r="F2946" s="50" t="s">
        <v>2174</v>
      </c>
      <c r="G2946" s="54" t="n">
        <v>10191200</v>
      </c>
    </row>
    <row r="2947" customFormat="false" ht="15" hidden="false" customHeight="false" outlineLevel="0" collapsed="false">
      <c r="A2947" s="50" t="s">
        <v>1121</v>
      </c>
      <c r="B2947" s="51" t="n">
        <v>45838</v>
      </c>
      <c r="C2947" s="50" t="s">
        <v>574</v>
      </c>
      <c r="D2947" s="50" t="s">
        <v>2178</v>
      </c>
      <c r="E2947" s="50" t="n">
        <v>7</v>
      </c>
      <c r="F2947" s="50" t="s">
        <v>2167</v>
      </c>
      <c r="G2947" s="54" t="n">
        <v>3429100</v>
      </c>
    </row>
    <row r="2948" customFormat="false" ht="15" hidden="false" customHeight="false" outlineLevel="0" collapsed="false">
      <c r="A2948" s="50" t="s">
        <v>1121</v>
      </c>
      <c r="B2948" s="51" t="n">
        <v>45838</v>
      </c>
      <c r="C2948" s="50" t="s">
        <v>574</v>
      </c>
      <c r="D2948" s="50" t="s">
        <v>2181</v>
      </c>
      <c r="E2948" s="50" t="n">
        <v>5</v>
      </c>
      <c r="F2948" s="50" t="s">
        <v>2167</v>
      </c>
      <c r="G2948" s="54" t="n">
        <v>5524500</v>
      </c>
    </row>
    <row r="2949" customFormat="false" ht="15" hidden="false" customHeight="false" outlineLevel="0" collapsed="false">
      <c r="A2949" s="50" t="s">
        <v>1121</v>
      </c>
      <c r="B2949" s="51" t="n">
        <v>45838</v>
      </c>
      <c r="C2949" s="50" t="s">
        <v>574</v>
      </c>
      <c r="D2949" s="50" t="s">
        <v>2182</v>
      </c>
      <c r="E2949" s="50" t="n">
        <v>8</v>
      </c>
      <c r="F2949" s="50" t="s">
        <v>2174</v>
      </c>
      <c r="G2949" s="54" t="n">
        <v>7825700</v>
      </c>
    </row>
    <row r="2950" customFormat="false" ht="15" hidden="false" customHeight="false" outlineLevel="0" collapsed="false">
      <c r="A2950" s="50" t="s">
        <v>1122</v>
      </c>
      <c r="B2950" s="51" t="n">
        <v>45838</v>
      </c>
      <c r="C2950" s="50" t="s">
        <v>223</v>
      </c>
      <c r="D2950" s="50" t="s">
        <v>2173</v>
      </c>
      <c r="E2950" s="50" t="n">
        <v>2</v>
      </c>
      <c r="F2950" s="50" t="s">
        <v>2174</v>
      </c>
      <c r="G2950" s="54" t="n">
        <v>1558900</v>
      </c>
    </row>
    <row r="2951" customFormat="false" ht="15" hidden="false" customHeight="false" outlineLevel="0" collapsed="false">
      <c r="A2951" s="50" t="s">
        <v>1122</v>
      </c>
      <c r="B2951" s="51" t="n">
        <v>45838</v>
      </c>
      <c r="C2951" s="50" t="s">
        <v>223</v>
      </c>
      <c r="D2951" s="50" t="s">
        <v>2180</v>
      </c>
      <c r="E2951" s="50" t="n">
        <v>3</v>
      </c>
      <c r="F2951" s="50" t="s">
        <v>2167</v>
      </c>
      <c r="G2951" s="54" t="n">
        <v>1305300</v>
      </c>
    </row>
    <row r="2952" customFormat="false" ht="15" hidden="false" customHeight="false" outlineLevel="0" collapsed="false">
      <c r="A2952" s="50" t="s">
        <v>1122</v>
      </c>
      <c r="B2952" s="51" t="n">
        <v>45838</v>
      </c>
      <c r="C2952" s="50" t="s">
        <v>223</v>
      </c>
      <c r="D2952" s="50" t="s">
        <v>2176</v>
      </c>
      <c r="E2952" s="50" t="n">
        <v>4</v>
      </c>
      <c r="F2952" s="50" t="s">
        <v>2167</v>
      </c>
      <c r="G2952" s="54" t="n">
        <v>1629500</v>
      </c>
    </row>
    <row r="2953" customFormat="false" ht="15" hidden="false" customHeight="false" outlineLevel="0" collapsed="false">
      <c r="A2953" s="50" t="s">
        <v>1123</v>
      </c>
      <c r="B2953" s="51" t="n">
        <v>45838</v>
      </c>
      <c r="C2953" s="50" t="s">
        <v>590</v>
      </c>
      <c r="D2953" s="50" t="s">
        <v>2178</v>
      </c>
      <c r="E2953" s="50" t="n">
        <v>6</v>
      </c>
      <c r="F2953" s="50" t="s">
        <v>2167</v>
      </c>
      <c r="G2953" s="54" t="n">
        <v>2900500</v>
      </c>
    </row>
    <row r="2954" customFormat="false" ht="15" hidden="false" customHeight="false" outlineLevel="0" collapsed="false">
      <c r="A2954" s="50" t="s">
        <v>1123</v>
      </c>
      <c r="B2954" s="51" t="n">
        <v>45838</v>
      </c>
      <c r="C2954" s="50" t="s">
        <v>590</v>
      </c>
      <c r="D2954" s="50" t="s">
        <v>2185</v>
      </c>
      <c r="E2954" s="50" t="n">
        <v>6</v>
      </c>
      <c r="F2954" s="50" t="s">
        <v>2174</v>
      </c>
      <c r="G2954" s="54" t="n">
        <v>4500100</v>
      </c>
    </row>
    <row r="2955" customFormat="false" ht="15" hidden="false" customHeight="false" outlineLevel="0" collapsed="false">
      <c r="A2955" s="50" t="s">
        <v>1123</v>
      </c>
      <c r="B2955" s="51" t="n">
        <v>45838</v>
      </c>
      <c r="C2955" s="50" t="s">
        <v>590</v>
      </c>
      <c r="D2955" s="50" t="s">
        <v>2186</v>
      </c>
      <c r="E2955" s="50" t="n">
        <v>3</v>
      </c>
      <c r="F2955" s="50" t="s">
        <v>2167</v>
      </c>
      <c r="G2955" s="54" t="n">
        <v>1768100</v>
      </c>
    </row>
    <row r="2956" customFormat="false" ht="15" hidden="false" customHeight="false" outlineLevel="0" collapsed="false">
      <c r="A2956" s="50" t="s">
        <v>1123</v>
      </c>
      <c r="B2956" s="51" t="n">
        <v>45838</v>
      </c>
      <c r="C2956" s="50" t="s">
        <v>590</v>
      </c>
      <c r="D2956" s="50" t="s">
        <v>2175</v>
      </c>
      <c r="E2956" s="50" t="n">
        <v>7</v>
      </c>
      <c r="F2956" s="50" t="s">
        <v>2167</v>
      </c>
      <c r="G2956" s="54" t="n">
        <v>4577400</v>
      </c>
    </row>
    <row r="2957" customFormat="false" ht="15" hidden="false" customHeight="false" outlineLevel="0" collapsed="false">
      <c r="A2957" s="50" t="s">
        <v>1124</v>
      </c>
      <c r="B2957" s="51" t="n">
        <v>45839</v>
      </c>
      <c r="C2957" s="50" t="s">
        <v>329</v>
      </c>
      <c r="D2957" s="50" t="s">
        <v>2186</v>
      </c>
      <c r="E2957" s="50" t="n">
        <v>7</v>
      </c>
      <c r="F2957" s="50" t="s">
        <v>2167</v>
      </c>
      <c r="G2957" s="54" t="n">
        <v>4145900</v>
      </c>
    </row>
    <row r="2958" customFormat="false" ht="15" hidden="false" customHeight="false" outlineLevel="0" collapsed="false">
      <c r="A2958" s="50" t="s">
        <v>1124</v>
      </c>
      <c r="B2958" s="51" t="n">
        <v>45839</v>
      </c>
      <c r="C2958" s="50" t="s">
        <v>329</v>
      </c>
      <c r="D2958" s="50" t="s">
        <v>2166</v>
      </c>
      <c r="E2958" s="50" t="n">
        <v>6</v>
      </c>
      <c r="F2958" s="50" t="s">
        <v>2167</v>
      </c>
      <c r="G2958" s="54" t="n">
        <v>3356000</v>
      </c>
    </row>
    <row r="2959" customFormat="false" ht="15" hidden="false" customHeight="false" outlineLevel="0" collapsed="false">
      <c r="A2959" s="50" t="s">
        <v>1124</v>
      </c>
      <c r="B2959" s="51" t="n">
        <v>45839</v>
      </c>
      <c r="C2959" s="50" t="s">
        <v>329</v>
      </c>
      <c r="D2959" s="50" t="s">
        <v>2184</v>
      </c>
      <c r="E2959" s="50" t="n">
        <v>5</v>
      </c>
      <c r="F2959" s="50" t="s">
        <v>2167</v>
      </c>
      <c r="G2959" s="54" t="n">
        <v>2739600</v>
      </c>
    </row>
    <row r="2960" customFormat="false" ht="15" hidden="false" customHeight="false" outlineLevel="0" collapsed="false">
      <c r="A2960" s="50" t="s">
        <v>1125</v>
      </c>
      <c r="B2960" s="51" t="n">
        <v>45839</v>
      </c>
      <c r="C2960" s="50" t="s">
        <v>207</v>
      </c>
      <c r="D2960" s="50" t="s">
        <v>2186</v>
      </c>
      <c r="E2960" s="50" t="n">
        <v>8</v>
      </c>
      <c r="F2960" s="50" t="s">
        <v>2167</v>
      </c>
      <c r="G2960" s="54" t="n">
        <v>4616300</v>
      </c>
    </row>
    <row r="2961" customFormat="false" ht="15" hidden="false" customHeight="false" outlineLevel="0" collapsed="false">
      <c r="A2961" s="50" t="s">
        <v>1125</v>
      </c>
      <c r="B2961" s="51" t="n">
        <v>45839</v>
      </c>
      <c r="C2961" s="50" t="s">
        <v>207</v>
      </c>
      <c r="D2961" s="50" t="s">
        <v>2173</v>
      </c>
      <c r="E2961" s="50" t="n">
        <v>8</v>
      </c>
      <c r="F2961" s="50" t="s">
        <v>2174</v>
      </c>
      <c r="G2961" s="54" t="n">
        <v>6650600</v>
      </c>
    </row>
    <row r="2962" customFormat="false" ht="15" hidden="false" customHeight="false" outlineLevel="0" collapsed="false">
      <c r="A2962" s="50" t="s">
        <v>1125</v>
      </c>
      <c r="B2962" s="51" t="n">
        <v>45839</v>
      </c>
      <c r="C2962" s="50" t="s">
        <v>207</v>
      </c>
      <c r="D2962" s="50" t="s">
        <v>2178</v>
      </c>
      <c r="E2962" s="50" t="n">
        <v>7</v>
      </c>
      <c r="F2962" s="50" t="s">
        <v>2167</v>
      </c>
      <c r="G2962" s="54" t="n">
        <v>3445900</v>
      </c>
    </row>
    <row r="2963" customFormat="false" ht="15" hidden="false" customHeight="false" outlineLevel="0" collapsed="false">
      <c r="A2963" s="50" t="s">
        <v>1126</v>
      </c>
      <c r="B2963" s="51" t="n">
        <v>45839</v>
      </c>
      <c r="C2963" s="50" t="s">
        <v>205</v>
      </c>
      <c r="D2963" s="50" t="s">
        <v>2166</v>
      </c>
      <c r="E2963" s="50" t="n">
        <v>8</v>
      </c>
      <c r="F2963" s="50" t="s">
        <v>2167</v>
      </c>
      <c r="G2963" s="54" t="n">
        <v>4485100</v>
      </c>
    </row>
    <row r="2964" customFormat="false" ht="15" hidden="false" customHeight="false" outlineLevel="0" collapsed="false">
      <c r="A2964" s="50" t="s">
        <v>1126</v>
      </c>
      <c r="B2964" s="51" t="n">
        <v>45839</v>
      </c>
      <c r="C2964" s="50" t="s">
        <v>205</v>
      </c>
      <c r="D2964" s="50" t="s">
        <v>2178</v>
      </c>
      <c r="E2964" s="50" t="n">
        <v>3</v>
      </c>
      <c r="F2964" s="50" t="s">
        <v>2167</v>
      </c>
      <c r="G2964" s="54" t="n">
        <v>1454800</v>
      </c>
    </row>
    <row r="2965" customFormat="false" ht="15" hidden="false" customHeight="false" outlineLevel="0" collapsed="false">
      <c r="A2965" s="50" t="s">
        <v>1126</v>
      </c>
      <c r="B2965" s="51" t="n">
        <v>45839</v>
      </c>
      <c r="C2965" s="50" t="s">
        <v>205</v>
      </c>
      <c r="D2965" s="50" t="s">
        <v>2185</v>
      </c>
      <c r="E2965" s="50" t="n">
        <v>3</v>
      </c>
      <c r="F2965" s="50" t="s">
        <v>2174</v>
      </c>
      <c r="G2965" s="54" t="n">
        <v>2345700</v>
      </c>
    </row>
    <row r="2966" customFormat="false" ht="15" hidden="false" customHeight="false" outlineLevel="0" collapsed="false">
      <c r="A2966" s="50" t="s">
        <v>1126</v>
      </c>
      <c r="B2966" s="51" t="n">
        <v>45839</v>
      </c>
      <c r="C2966" s="50" t="s">
        <v>205</v>
      </c>
      <c r="D2966" s="50" t="s">
        <v>2183</v>
      </c>
      <c r="E2966" s="50" t="n">
        <v>2</v>
      </c>
      <c r="F2966" s="50" t="s">
        <v>2167</v>
      </c>
      <c r="G2966" s="54" t="n">
        <v>772400</v>
      </c>
    </row>
    <row r="2967" customFormat="false" ht="15" hidden="false" customHeight="false" outlineLevel="0" collapsed="false">
      <c r="A2967" s="50" t="s">
        <v>1127</v>
      </c>
      <c r="B2967" s="51" t="n">
        <v>45839</v>
      </c>
      <c r="C2967" s="50" t="s">
        <v>174</v>
      </c>
      <c r="D2967" s="50" t="s">
        <v>2177</v>
      </c>
      <c r="E2967" s="50" t="n">
        <v>5</v>
      </c>
      <c r="F2967" s="50" t="s">
        <v>2174</v>
      </c>
      <c r="G2967" s="54" t="n">
        <v>5524700</v>
      </c>
    </row>
    <row r="2968" customFormat="false" ht="15" hidden="false" customHeight="false" outlineLevel="0" collapsed="false">
      <c r="A2968" s="50" t="s">
        <v>1127</v>
      </c>
      <c r="B2968" s="51" t="n">
        <v>45839</v>
      </c>
      <c r="C2968" s="50" t="s">
        <v>174</v>
      </c>
      <c r="D2968" s="50" t="s">
        <v>2169</v>
      </c>
      <c r="E2968" s="50" t="n">
        <v>8</v>
      </c>
      <c r="F2968" s="50" t="s">
        <v>2167</v>
      </c>
      <c r="G2968" s="54" t="n">
        <v>5045700</v>
      </c>
    </row>
    <row r="2969" customFormat="false" ht="15" hidden="false" customHeight="false" outlineLevel="0" collapsed="false">
      <c r="A2969" s="50" t="s">
        <v>1128</v>
      </c>
      <c r="B2969" s="51" t="n">
        <v>45839</v>
      </c>
      <c r="C2969" s="50" t="s">
        <v>479</v>
      </c>
      <c r="D2969" s="50" t="s">
        <v>2185</v>
      </c>
      <c r="E2969" s="50" t="n">
        <v>2</v>
      </c>
      <c r="F2969" s="50" t="s">
        <v>2174</v>
      </c>
      <c r="G2969" s="54" t="n">
        <v>1595300</v>
      </c>
    </row>
    <row r="2970" customFormat="false" ht="15" hidden="false" customHeight="false" outlineLevel="0" collapsed="false">
      <c r="A2970" s="50" t="s">
        <v>1128</v>
      </c>
      <c r="B2970" s="51" t="n">
        <v>45839</v>
      </c>
      <c r="C2970" s="50" t="s">
        <v>479</v>
      </c>
      <c r="D2970" s="50" t="s">
        <v>2173</v>
      </c>
      <c r="E2970" s="50" t="n">
        <v>8</v>
      </c>
      <c r="F2970" s="50" t="s">
        <v>2174</v>
      </c>
      <c r="G2970" s="54" t="n">
        <v>6485500</v>
      </c>
    </row>
    <row r="2971" customFormat="false" ht="15" hidden="false" customHeight="false" outlineLevel="0" collapsed="false">
      <c r="A2971" s="50" t="s">
        <v>1128</v>
      </c>
      <c r="B2971" s="51" t="n">
        <v>45839</v>
      </c>
      <c r="C2971" s="50" t="s">
        <v>479</v>
      </c>
      <c r="D2971" s="50" t="s">
        <v>2181</v>
      </c>
      <c r="E2971" s="50" t="n">
        <v>7</v>
      </c>
      <c r="F2971" s="50" t="s">
        <v>2167</v>
      </c>
      <c r="G2971" s="54" t="n">
        <v>8327300</v>
      </c>
    </row>
    <row r="2972" customFormat="false" ht="15" hidden="false" customHeight="false" outlineLevel="0" collapsed="false">
      <c r="A2972" s="50" t="s">
        <v>1129</v>
      </c>
      <c r="B2972" s="51" t="n">
        <v>45839</v>
      </c>
      <c r="C2972" s="50" t="s">
        <v>634</v>
      </c>
      <c r="D2972" s="50" t="s">
        <v>2185</v>
      </c>
      <c r="E2972" s="50" t="n">
        <v>1</v>
      </c>
      <c r="F2972" s="50" t="s">
        <v>2174</v>
      </c>
      <c r="G2972" s="54" t="n">
        <v>775600</v>
      </c>
    </row>
    <row r="2973" customFormat="false" ht="15" hidden="false" customHeight="false" outlineLevel="0" collapsed="false">
      <c r="A2973" s="50" t="s">
        <v>1129</v>
      </c>
      <c r="B2973" s="51" t="n">
        <v>45839</v>
      </c>
      <c r="C2973" s="50" t="s">
        <v>634</v>
      </c>
      <c r="D2973" s="50" t="s">
        <v>2168</v>
      </c>
      <c r="E2973" s="50" t="n">
        <v>1</v>
      </c>
      <c r="F2973" s="50" t="s">
        <v>2167</v>
      </c>
      <c r="G2973" s="54" t="n">
        <v>437800</v>
      </c>
    </row>
    <row r="2974" customFormat="false" ht="15" hidden="false" customHeight="false" outlineLevel="0" collapsed="false">
      <c r="A2974" s="50" t="s">
        <v>1130</v>
      </c>
      <c r="B2974" s="51" t="n">
        <v>45839</v>
      </c>
      <c r="C2974" s="50" t="s">
        <v>269</v>
      </c>
      <c r="D2974" s="50" t="s">
        <v>2169</v>
      </c>
      <c r="E2974" s="50" t="n">
        <v>7</v>
      </c>
      <c r="F2974" s="50" t="s">
        <v>2167</v>
      </c>
      <c r="G2974" s="54" t="n">
        <v>4217700</v>
      </c>
    </row>
    <row r="2975" customFormat="false" ht="15" hidden="false" customHeight="false" outlineLevel="0" collapsed="false">
      <c r="A2975" s="50" t="s">
        <v>1130</v>
      </c>
      <c r="B2975" s="51" t="n">
        <v>45839</v>
      </c>
      <c r="C2975" s="50" t="s">
        <v>269</v>
      </c>
      <c r="D2975" s="50" t="s">
        <v>2181</v>
      </c>
      <c r="E2975" s="50" t="n">
        <v>3</v>
      </c>
      <c r="F2975" s="50" t="s">
        <v>2167</v>
      </c>
      <c r="G2975" s="54" t="n">
        <v>3313100</v>
      </c>
    </row>
    <row r="2976" customFormat="false" ht="15" hidden="false" customHeight="false" outlineLevel="0" collapsed="false">
      <c r="A2976" s="50" t="s">
        <v>1131</v>
      </c>
      <c r="B2976" s="51" t="n">
        <v>45839</v>
      </c>
      <c r="C2976" s="50" t="s">
        <v>199</v>
      </c>
      <c r="D2976" s="50" t="s">
        <v>2168</v>
      </c>
      <c r="E2976" s="50" t="n">
        <v>5</v>
      </c>
      <c r="F2976" s="50" t="s">
        <v>2167</v>
      </c>
      <c r="G2976" s="54" t="n">
        <v>2196200</v>
      </c>
    </row>
    <row r="2977" customFormat="false" ht="15" hidden="false" customHeight="false" outlineLevel="0" collapsed="false">
      <c r="A2977" s="50" t="s">
        <v>1131</v>
      </c>
      <c r="B2977" s="51" t="n">
        <v>45839</v>
      </c>
      <c r="C2977" s="50" t="s">
        <v>199</v>
      </c>
      <c r="D2977" s="50" t="s">
        <v>2185</v>
      </c>
      <c r="E2977" s="50" t="n">
        <v>4</v>
      </c>
      <c r="F2977" s="50" t="s">
        <v>2174</v>
      </c>
      <c r="G2977" s="54" t="n">
        <v>3023500</v>
      </c>
    </row>
    <row r="2978" customFormat="false" ht="15" hidden="false" customHeight="false" outlineLevel="0" collapsed="false">
      <c r="A2978" s="50" t="s">
        <v>1131</v>
      </c>
      <c r="B2978" s="51" t="n">
        <v>45839</v>
      </c>
      <c r="C2978" s="50" t="s">
        <v>199</v>
      </c>
      <c r="D2978" s="50" t="s">
        <v>2181</v>
      </c>
      <c r="E2978" s="50" t="n">
        <v>2</v>
      </c>
      <c r="F2978" s="50" t="s">
        <v>2167</v>
      </c>
      <c r="G2978" s="54" t="n">
        <v>2355800</v>
      </c>
    </row>
    <row r="2979" customFormat="false" ht="15" hidden="false" customHeight="false" outlineLevel="0" collapsed="false">
      <c r="A2979" s="50" t="s">
        <v>1131</v>
      </c>
      <c r="B2979" s="51" t="n">
        <v>45839</v>
      </c>
      <c r="C2979" s="50" t="s">
        <v>199</v>
      </c>
      <c r="D2979" s="50" t="s">
        <v>2178</v>
      </c>
      <c r="E2979" s="50" t="n">
        <v>3</v>
      </c>
      <c r="F2979" s="50" t="s">
        <v>2167</v>
      </c>
      <c r="G2979" s="54" t="n">
        <v>1433400</v>
      </c>
    </row>
    <row r="2980" customFormat="false" ht="15" hidden="false" customHeight="false" outlineLevel="0" collapsed="false">
      <c r="A2980" s="50" t="s">
        <v>1132</v>
      </c>
      <c r="B2980" s="51" t="n">
        <v>45839</v>
      </c>
      <c r="C2980" s="50" t="s">
        <v>188</v>
      </c>
      <c r="D2980" s="50" t="s">
        <v>2173</v>
      </c>
      <c r="E2980" s="50" t="n">
        <v>4</v>
      </c>
      <c r="F2980" s="50" t="s">
        <v>2174</v>
      </c>
      <c r="G2980" s="54" t="n">
        <v>3255000</v>
      </c>
    </row>
    <row r="2981" customFormat="false" ht="15" hidden="false" customHeight="false" outlineLevel="0" collapsed="false">
      <c r="A2981" s="50" t="s">
        <v>1132</v>
      </c>
      <c r="B2981" s="51" t="n">
        <v>45839</v>
      </c>
      <c r="C2981" s="50" t="s">
        <v>188</v>
      </c>
      <c r="D2981" s="50" t="s">
        <v>2176</v>
      </c>
      <c r="E2981" s="50" t="n">
        <v>1</v>
      </c>
      <c r="F2981" s="50" t="s">
        <v>2167</v>
      </c>
      <c r="G2981" s="54" t="n">
        <v>414200</v>
      </c>
    </row>
    <row r="2982" customFormat="false" ht="15" hidden="false" customHeight="false" outlineLevel="0" collapsed="false">
      <c r="A2982" s="50" t="s">
        <v>1132</v>
      </c>
      <c r="B2982" s="51" t="n">
        <v>45839</v>
      </c>
      <c r="C2982" s="50" t="s">
        <v>188</v>
      </c>
      <c r="D2982" s="50" t="s">
        <v>2184</v>
      </c>
      <c r="E2982" s="50" t="n">
        <v>5</v>
      </c>
      <c r="F2982" s="50" t="s">
        <v>2167</v>
      </c>
      <c r="G2982" s="54" t="n">
        <v>2815400</v>
      </c>
    </row>
    <row r="2983" customFormat="false" ht="15" hidden="false" customHeight="false" outlineLevel="0" collapsed="false">
      <c r="A2983" s="50" t="s">
        <v>1133</v>
      </c>
      <c r="B2983" s="51" t="n">
        <v>45839</v>
      </c>
      <c r="C2983" s="50" t="s">
        <v>681</v>
      </c>
      <c r="D2983" s="50" t="s">
        <v>2173</v>
      </c>
      <c r="E2983" s="50" t="n">
        <v>6</v>
      </c>
      <c r="F2983" s="50" t="s">
        <v>2174</v>
      </c>
      <c r="G2983" s="54" t="n">
        <v>4711000</v>
      </c>
    </row>
    <row r="2984" customFormat="false" ht="15" hidden="false" customHeight="false" outlineLevel="0" collapsed="false">
      <c r="A2984" s="50" t="s">
        <v>1133</v>
      </c>
      <c r="B2984" s="51" t="n">
        <v>45839</v>
      </c>
      <c r="C2984" s="50" t="s">
        <v>681</v>
      </c>
      <c r="D2984" s="50" t="s">
        <v>2177</v>
      </c>
      <c r="E2984" s="50" t="n">
        <v>4</v>
      </c>
      <c r="F2984" s="50" t="s">
        <v>2174</v>
      </c>
      <c r="G2984" s="54" t="n">
        <v>4439300</v>
      </c>
    </row>
    <row r="2985" customFormat="false" ht="15" hidden="false" customHeight="false" outlineLevel="0" collapsed="false">
      <c r="A2985" s="50" t="s">
        <v>1133</v>
      </c>
      <c r="B2985" s="51" t="n">
        <v>45839</v>
      </c>
      <c r="C2985" s="50" t="s">
        <v>681</v>
      </c>
      <c r="D2985" s="50" t="s">
        <v>2182</v>
      </c>
      <c r="E2985" s="50" t="n">
        <v>5</v>
      </c>
      <c r="F2985" s="50" t="s">
        <v>2174</v>
      </c>
      <c r="G2985" s="54" t="n">
        <v>4937900</v>
      </c>
    </row>
    <row r="2986" customFormat="false" ht="15" hidden="false" customHeight="false" outlineLevel="0" collapsed="false">
      <c r="A2986" s="50" t="s">
        <v>1134</v>
      </c>
      <c r="B2986" s="51" t="n">
        <v>45840</v>
      </c>
      <c r="C2986" s="50" t="s">
        <v>174</v>
      </c>
      <c r="D2986" s="50" t="s">
        <v>2180</v>
      </c>
      <c r="E2986" s="50" t="n">
        <v>8</v>
      </c>
      <c r="F2986" s="50" t="s">
        <v>2167</v>
      </c>
      <c r="G2986" s="54" t="n">
        <v>3704100</v>
      </c>
    </row>
    <row r="2987" customFormat="false" ht="15" hidden="false" customHeight="false" outlineLevel="0" collapsed="false">
      <c r="A2987" s="50" t="s">
        <v>1134</v>
      </c>
      <c r="B2987" s="51" t="n">
        <v>45840</v>
      </c>
      <c r="C2987" s="50" t="s">
        <v>174</v>
      </c>
      <c r="D2987" s="50" t="s">
        <v>2169</v>
      </c>
      <c r="E2987" s="50" t="n">
        <v>6</v>
      </c>
      <c r="F2987" s="50" t="s">
        <v>2167</v>
      </c>
      <c r="G2987" s="54" t="n">
        <v>3768900</v>
      </c>
    </row>
    <row r="2988" customFormat="false" ht="15" hidden="false" customHeight="false" outlineLevel="0" collapsed="false">
      <c r="A2988" s="50" t="s">
        <v>1135</v>
      </c>
      <c r="B2988" s="51" t="n">
        <v>45840</v>
      </c>
      <c r="C2988" s="50" t="s">
        <v>249</v>
      </c>
      <c r="D2988" s="50" t="s">
        <v>2181</v>
      </c>
      <c r="E2988" s="50" t="n">
        <v>3</v>
      </c>
      <c r="F2988" s="50" t="s">
        <v>2167</v>
      </c>
      <c r="G2988" s="54" t="n">
        <v>3486400</v>
      </c>
    </row>
    <row r="2989" customFormat="false" ht="15" hidden="false" customHeight="false" outlineLevel="0" collapsed="false">
      <c r="A2989" s="50" t="s">
        <v>1135</v>
      </c>
      <c r="B2989" s="51" t="n">
        <v>45840</v>
      </c>
      <c r="C2989" s="50" t="s">
        <v>249</v>
      </c>
      <c r="D2989" s="50" t="s">
        <v>2180</v>
      </c>
      <c r="E2989" s="50" t="n">
        <v>7</v>
      </c>
      <c r="F2989" s="50" t="s">
        <v>2167</v>
      </c>
      <c r="G2989" s="54" t="n">
        <v>3129300</v>
      </c>
    </row>
    <row r="2990" customFormat="false" ht="15" hidden="false" customHeight="false" outlineLevel="0" collapsed="false">
      <c r="A2990" s="50" t="s">
        <v>1135</v>
      </c>
      <c r="B2990" s="51" t="n">
        <v>45840</v>
      </c>
      <c r="C2990" s="50" t="s">
        <v>249</v>
      </c>
      <c r="D2990" s="50" t="s">
        <v>2173</v>
      </c>
      <c r="E2990" s="50" t="n">
        <v>1</v>
      </c>
      <c r="F2990" s="50" t="s">
        <v>2174</v>
      </c>
      <c r="G2990" s="54" t="n">
        <v>790200</v>
      </c>
    </row>
    <row r="2991" customFormat="false" ht="15" hidden="false" customHeight="false" outlineLevel="0" collapsed="false">
      <c r="A2991" s="50" t="s">
        <v>1135</v>
      </c>
      <c r="B2991" s="51" t="n">
        <v>45840</v>
      </c>
      <c r="C2991" s="50" t="s">
        <v>249</v>
      </c>
      <c r="D2991" s="50" t="s">
        <v>2179</v>
      </c>
      <c r="E2991" s="50" t="n">
        <v>2</v>
      </c>
      <c r="F2991" s="50" t="s">
        <v>2174</v>
      </c>
      <c r="G2991" s="54" t="n">
        <v>2405700</v>
      </c>
    </row>
    <row r="2992" customFormat="false" ht="15" hidden="false" customHeight="false" outlineLevel="0" collapsed="false">
      <c r="A2992" s="50" t="s">
        <v>1135</v>
      </c>
      <c r="B2992" s="51" t="n">
        <v>45840</v>
      </c>
      <c r="C2992" s="50" t="s">
        <v>249</v>
      </c>
      <c r="D2992" s="50" t="s">
        <v>2178</v>
      </c>
      <c r="E2992" s="50" t="n">
        <v>8</v>
      </c>
      <c r="F2992" s="50" t="s">
        <v>2167</v>
      </c>
      <c r="G2992" s="54" t="n">
        <v>3915300</v>
      </c>
    </row>
    <row r="2993" customFormat="false" ht="15" hidden="false" customHeight="false" outlineLevel="0" collapsed="false">
      <c r="A2993" s="50" t="s">
        <v>1135</v>
      </c>
      <c r="B2993" s="51" t="n">
        <v>45840</v>
      </c>
      <c r="C2993" s="50" t="s">
        <v>249</v>
      </c>
      <c r="D2993" s="50" t="s">
        <v>2168</v>
      </c>
      <c r="E2993" s="50" t="n">
        <v>1</v>
      </c>
      <c r="F2993" s="50" t="s">
        <v>2167</v>
      </c>
      <c r="G2993" s="54" t="n">
        <v>424200</v>
      </c>
    </row>
    <row r="2994" customFormat="false" ht="15" hidden="false" customHeight="false" outlineLevel="0" collapsed="false">
      <c r="A2994" s="50" t="s">
        <v>1136</v>
      </c>
      <c r="B2994" s="51" t="n">
        <v>45840</v>
      </c>
      <c r="C2994" s="50" t="s">
        <v>465</v>
      </c>
      <c r="D2994" s="50" t="s">
        <v>2184</v>
      </c>
      <c r="E2994" s="50" t="n">
        <v>1</v>
      </c>
      <c r="F2994" s="50" t="s">
        <v>2167</v>
      </c>
      <c r="G2994" s="54" t="n">
        <v>547200</v>
      </c>
    </row>
    <row r="2995" customFormat="false" ht="15" hidden="false" customHeight="false" outlineLevel="0" collapsed="false">
      <c r="A2995" s="50" t="s">
        <v>1136</v>
      </c>
      <c r="B2995" s="51" t="n">
        <v>45840</v>
      </c>
      <c r="C2995" s="50" t="s">
        <v>465</v>
      </c>
      <c r="D2995" s="50" t="s">
        <v>2181</v>
      </c>
      <c r="E2995" s="50" t="n">
        <v>1</v>
      </c>
      <c r="F2995" s="50" t="s">
        <v>2167</v>
      </c>
      <c r="G2995" s="54" t="n">
        <v>1110200</v>
      </c>
    </row>
    <row r="2996" customFormat="false" ht="15" hidden="false" customHeight="false" outlineLevel="0" collapsed="false">
      <c r="A2996" s="50" t="s">
        <v>1136</v>
      </c>
      <c r="B2996" s="51" t="n">
        <v>45840</v>
      </c>
      <c r="C2996" s="50" t="s">
        <v>465</v>
      </c>
      <c r="D2996" s="50" t="s">
        <v>2186</v>
      </c>
      <c r="E2996" s="50" t="n">
        <v>2</v>
      </c>
      <c r="F2996" s="50" t="s">
        <v>2167</v>
      </c>
      <c r="G2996" s="54" t="n">
        <v>1189600</v>
      </c>
    </row>
    <row r="2997" customFormat="false" ht="15" hidden="false" customHeight="false" outlineLevel="0" collapsed="false">
      <c r="A2997" s="50" t="s">
        <v>1136</v>
      </c>
      <c r="B2997" s="51" t="n">
        <v>45840</v>
      </c>
      <c r="C2997" s="50" t="s">
        <v>465</v>
      </c>
      <c r="D2997" s="50" t="s">
        <v>2188</v>
      </c>
      <c r="E2997" s="50" t="n">
        <v>3</v>
      </c>
      <c r="F2997" s="50" t="s">
        <v>2167</v>
      </c>
      <c r="G2997" s="54" t="n">
        <v>2912700</v>
      </c>
    </row>
    <row r="2998" customFormat="false" ht="15" hidden="false" customHeight="false" outlineLevel="0" collapsed="false">
      <c r="A2998" s="50" t="s">
        <v>1137</v>
      </c>
      <c r="B2998" s="51" t="n">
        <v>45840</v>
      </c>
      <c r="C2998" s="50" t="s">
        <v>814</v>
      </c>
      <c r="D2998" s="50" t="s">
        <v>2176</v>
      </c>
      <c r="E2998" s="50" t="n">
        <v>2</v>
      </c>
      <c r="F2998" s="50" t="s">
        <v>2167</v>
      </c>
      <c r="G2998" s="54" t="n">
        <v>826700</v>
      </c>
    </row>
    <row r="2999" customFormat="false" ht="15" hidden="false" customHeight="false" outlineLevel="0" collapsed="false">
      <c r="A2999" s="50" t="s">
        <v>1137</v>
      </c>
      <c r="B2999" s="51" t="n">
        <v>45840</v>
      </c>
      <c r="C2999" s="50" t="s">
        <v>814</v>
      </c>
      <c r="D2999" s="50" t="s">
        <v>2180</v>
      </c>
      <c r="E2999" s="50" t="n">
        <v>4</v>
      </c>
      <c r="F2999" s="50" t="s">
        <v>2167</v>
      </c>
      <c r="G2999" s="54" t="n">
        <v>1783700</v>
      </c>
    </row>
    <row r="3000" customFormat="false" ht="15" hidden="false" customHeight="false" outlineLevel="0" collapsed="false">
      <c r="A3000" s="50" t="s">
        <v>1137</v>
      </c>
      <c r="B3000" s="51" t="n">
        <v>45840</v>
      </c>
      <c r="C3000" s="50" t="s">
        <v>814</v>
      </c>
      <c r="D3000" s="50" t="s">
        <v>2172</v>
      </c>
      <c r="E3000" s="50" t="n">
        <v>7</v>
      </c>
      <c r="F3000" s="50" t="s">
        <v>2167</v>
      </c>
      <c r="G3000" s="54" t="n">
        <v>3676400</v>
      </c>
    </row>
    <row r="3001" customFormat="false" ht="15" hidden="false" customHeight="false" outlineLevel="0" collapsed="false">
      <c r="A3001" s="50" t="s">
        <v>1137</v>
      </c>
      <c r="B3001" s="51" t="n">
        <v>45840</v>
      </c>
      <c r="C3001" s="50" t="s">
        <v>814</v>
      </c>
      <c r="D3001" s="50" t="s">
        <v>2178</v>
      </c>
      <c r="E3001" s="50" t="n">
        <v>5</v>
      </c>
      <c r="F3001" s="50" t="s">
        <v>2167</v>
      </c>
      <c r="G3001" s="54" t="n">
        <v>2351700</v>
      </c>
    </row>
    <row r="3002" customFormat="false" ht="15" hidden="false" customHeight="false" outlineLevel="0" collapsed="false">
      <c r="A3002" s="50" t="s">
        <v>1138</v>
      </c>
      <c r="B3002" s="51" t="n">
        <v>45840</v>
      </c>
      <c r="C3002" s="50" t="s">
        <v>177</v>
      </c>
      <c r="D3002" s="50" t="s">
        <v>2168</v>
      </c>
      <c r="E3002" s="50" t="n">
        <v>8</v>
      </c>
      <c r="F3002" s="50" t="s">
        <v>2167</v>
      </c>
      <c r="G3002" s="54" t="n">
        <v>3390400</v>
      </c>
    </row>
    <row r="3003" customFormat="false" ht="15" hidden="false" customHeight="false" outlineLevel="0" collapsed="false">
      <c r="A3003" s="50" t="s">
        <v>1138</v>
      </c>
      <c r="B3003" s="51" t="n">
        <v>45840</v>
      </c>
      <c r="C3003" s="50" t="s">
        <v>177</v>
      </c>
      <c r="D3003" s="50" t="s">
        <v>2179</v>
      </c>
      <c r="E3003" s="50" t="n">
        <v>6</v>
      </c>
      <c r="F3003" s="50" t="s">
        <v>2174</v>
      </c>
      <c r="G3003" s="54" t="n">
        <v>7491700</v>
      </c>
    </row>
    <row r="3004" customFormat="false" ht="15" hidden="false" customHeight="false" outlineLevel="0" collapsed="false">
      <c r="A3004" s="50" t="s">
        <v>1138</v>
      </c>
      <c r="B3004" s="51" t="n">
        <v>45840</v>
      </c>
      <c r="C3004" s="50" t="s">
        <v>177</v>
      </c>
      <c r="D3004" s="50" t="s">
        <v>2175</v>
      </c>
      <c r="E3004" s="50" t="n">
        <v>1</v>
      </c>
      <c r="F3004" s="50" t="s">
        <v>2167</v>
      </c>
      <c r="G3004" s="54" t="n">
        <v>645700</v>
      </c>
    </row>
    <row r="3005" customFormat="false" ht="15" hidden="false" customHeight="false" outlineLevel="0" collapsed="false">
      <c r="A3005" s="50" t="s">
        <v>1139</v>
      </c>
      <c r="B3005" s="51" t="n">
        <v>45841</v>
      </c>
      <c r="C3005" s="50" t="s">
        <v>505</v>
      </c>
      <c r="D3005" s="50" t="s">
        <v>2188</v>
      </c>
      <c r="E3005" s="50" t="n">
        <v>3</v>
      </c>
      <c r="F3005" s="50" t="s">
        <v>2167</v>
      </c>
      <c r="G3005" s="54" t="n">
        <v>2838400</v>
      </c>
    </row>
    <row r="3006" customFormat="false" ht="15" hidden="false" customHeight="false" outlineLevel="0" collapsed="false">
      <c r="A3006" s="50" t="s">
        <v>1139</v>
      </c>
      <c r="B3006" s="51" t="n">
        <v>45841</v>
      </c>
      <c r="C3006" s="50" t="s">
        <v>505</v>
      </c>
      <c r="D3006" s="50" t="s">
        <v>2166</v>
      </c>
      <c r="E3006" s="50" t="n">
        <v>1</v>
      </c>
      <c r="F3006" s="50" t="s">
        <v>2167</v>
      </c>
      <c r="G3006" s="54" t="n">
        <v>540700</v>
      </c>
    </row>
    <row r="3007" customFormat="false" ht="15" hidden="false" customHeight="false" outlineLevel="0" collapsed="false">
      <c r="A3007" s="50" t="s">
        <v>1139</v>
      </c>
      <c r="B3007" s="51" t="n">
        <v>45841</v>
      </c>
      <c r="C3007" s="50" t="s">
        <v>505</v>
      </c>
      <c r="D3007" s="50" t="s">
        <v>2176</v>
      </c>
      <c r="E3007" s="50" t="n">
        <v>7</v>
      </c>
      <c r="F3007" s="50" t="s">
        <v>2167</v>
      </c>
      <c r="G3007" s="54" t="n">
        <v>3038600</v>
      </c>
    </row>
    <row r="3008" customFormat="false" ht="15" hidden="false" customHeight="false" outlineLevel="0" collapsed="false">
      <c r="A3008" s="50" t="s">
        <v>1140</v>
      </c>
      <c r="B3008" s="51" t="n">
        <v>45841</v>
      </c>
      <c r="C3008" s="50" t="s">
        <v>205</v>
      </c>
      <c r="D3008" s="50" t="s">
        <v>2178</v>
      </c>
      <c r="E3008" s="50" t="n">
        <v>6</v>
      </c>
      <c r="F3008" s="50" t="s">
        <v>2167</v>
      </c>
      <c r="G3008" s="54" t="n">
        <v>2870000</v>
      </c>
    </row>
    <row r="3009" customFormat="false" ht="15" hidden="false" customHeight="false" outlineLevel="0" collapsed="false">
      <c r="A3009" s="50" t="s">
        <v>1140</v>
      </c>
      <c r="B3009" s="51" t="n">
        <v>45841</v>
      </c>
      <c r="C3009" s="50" t="s">
        <v>205</v>
      </c>
      <c r="D3009" s="50" t="s">
        <v>2186</v>
      </c>
      <c r="E3009" s="50" t="n">
        <v>2</v>
      </c>
      <c r="F3009" s="50" t="s">
        <v>2167</v>
      </c>
      <c r="G3009" s="54" t="n">
        <v>1154700</v>
      </c>
    </row>
    <row r="3010" customFormat="false" ht="15" hidden="false" customHeight="false" outlineLevel="0" collapsed="false">
      <c r="A3010" s="50" t="s">
        <v>1140</v>
      </c>
      <c r="B3010" s="51" t="n">
        <v>45841</v>
      </c>
      <c r="C3010" s="50" t="s">
        <v>205</v>
      </c>
      <c r="D3010" s="50" t="s">
        <v>2181</v>
      </c>
      <c r="E3010" s="50" t="n">
        <v>5</v>
      </c>
      <c r="F3010" s="50" t="s">
        <v>2167</v>
      </c>
      <c r="G3010" s="54" t="n">
        <v>5758400</v>
      </c>
    </row>
    <row r="3011" customFormat="false" ht="15" hidden="false" customHeight="false" outlineLevel="0" collapsed="false">
      <c r="A3011" s="50" t="s">
        <v>1141</v>
      </c>
      <c r="B3011" s="51" t="n">
        <v>45841</v>
      </c>
      <c r="C3011" s="50" t="s">
        <v>325</v>
      </c>
      <c r="D3011" s="50" t="s">
        <v>2178</v>
      </c>
      <c r="E3011" s="50" t="n">
        <v>5</v>
      </c>
      <c r="F3011" s="50" t="s">
        <v>2167</v>
      </c>
      <c r="G3011" s="54" t="n">
        <v>2395000</v>
      </c>
    </row>
    <row r="3012" customFormat="false" ht="15" hidden="false" customHeight="false" outlineLevel="0" collapsed="false">
      <c r="A3012" s="50" t="s">
        <v>1141</v>
      </c>
      <c r="B3012" s="51" t="n">
        <v>45841</v>
      </c>
      <c r="C3012" s="50" t="s">
        <v>325</v>
      </c>
      <c r="D3012" s="50" t="s">
        <v>2180</v>
      </c>
      <c r="E3012" s="50" t="n">
        <v>6</v>
      </c>
      <c r="F3012" s="50" t="s">
        <v>2167</v>
      </c>
      <c r="G3012" s="54" t="n">
        <v>2601600</v>
      </c>
    </row>
    <row r="3013" customFormat="false" ht="15" hidden="false" customHeight="false" outlineLevel="0" collapsed="false">
      <c r="A3013" s="50" t="s">
        <v>1141</v>
      </c>
      <c r="B3013" s="51" t="n">
        <v>45841</v>
      </c>
      <c r="C3013" s="50" t="s">
        <v>325</v>
      </c>
      <c r="D3013" s="50" t="s">
        <v>2188</v>
      </c>
      <c r="E3013" s="50" t="n">
        <v>3</v>
      </c>
      <c r="F3013" s="50" t="s">
        <v>2167</v>
      </c>
      <c r="G3013" s="54" t="n">
        <v>2964200</v>
      </c>
    </row>
    <row r="3014" customFormat="false" ht="15" hidden="false" customHeight="false" outlineLevel="0" collapsed="false">
      <c r="A3014" s="50" t="s">
        <v>1141</v>
      </c>
      <c r="B3014" s="51" t="n">
        <v>45841</v>
      </c>
      <c r="C3014" s="50" t="s">
        <v>325</v>
      </c>
      <c r="D3014" s="50" t="s">
        <v>2169</v>
      </c>
      <c r="E3014" s="50" t="n">
        <v>5</v>
      </c>
      <c r="F3014" s="50" t="s">
        <v>2167</v>
      </c>
      <c r="G3014" s="54" t="n">
        <v>3096100</v>
      </c>
    </row>
    <row r="3015" customFormat="false" ht="15" hidden="false" customHeight="false" outlineLevel="0" collapsed="false">
      <c r="A3015" s="50" t="s">
        <v>1142</v>
      </c>
      <c r="B3015" s="51" t="n">
        <v>45841</v>
      </c>
      <c r="C3015" s="50" t="s">
        <v>430</v>
      </c>
      <c r="D3015" s="50" t="s">
        <v>2176</v>
      </c>
      <c r="E3015" s="50" t="n">
        <v>6</v>
      </c>
      <c r="F3015" s="50" t="s">
        <v>2167</v>
      </c>
      <c r="G3015" s="54" t="n">
        <v>2527300</v>
      </c>
    </row>
    <row r="3016" customFormat="false" ht="15" hidden="false" customHeight="false" outlineLevel="0" collapsed="false">
      <c r="A3016" s="50" t="s">
        <v>1142</v>
      </c>
      <c r="B3016" s="51" t="n">
        <v>45841</v>
      </c>
      <c r="C3016" s="50" t="s">
        <v>430</v>
      </c>
      <c r="D3016" s="50" t="s">
        <v>2184</v>
      </c>
      <c r="E3016" s="50" t="n">
        <v>4</v>
      </c>
      <c r="F3016" s="50" t="s">
        <v>2167</v>
      </c>
      <c r="G3016" s="54" t="n">
        <v>2296500</v>
      </c>
    </row>
    <row r="3017" customFormat="false" ht="15" hidden="false" customHeight="false" outlineLevel="0" collapsed="false">
      <c r="A3017" s="50" t="s">
        <v>1142</v>
      </c>
      <c r="B3017" s="51" t="n">
        <v>45841</v>
      </c>
      <c r="C3017" s="50" t="s">
        <v>430</v>
      </c>
      <c r="D3017" s="50" t="s">
        <v>2175</v>
      </c>
      <c r="E3017" s="50" t="n">
        <v>1</v>
      </c>
      <c r="F3017" s="50" t="s">
        <v>2167</v>
      </c>
      <c r="G3017" s="54" t="n">
        <v>629200</v>
      </c>
    </row>
    <row r="3018" customFormat="false" ht="15" hidden="false" customHeight="false" outlineLevel="0" collapsed="false">
      <c r="A3018" s="50" t="s">
        <v>1143</v>
      </c>
      <c r="B3018" s="51" t="n">
        <v>45842</v>
      </c>
      <c r="C3018" s="50" t="s">
        <v>280</v>
      </c>
      <c r="D3018" s="50" t="s">
        <v>2184</v>
      </c>
      <c r="E3018" s="50" t="n">
        <v>1</v>
      </c>
      <c r="F3018" s="50" t="s">
        <v>2167</v>
      </c>
      <c r="G3018" s="54" t="n">
        <v>573600</v>
      </c>
    </row>
    <row r="3019" customFormat="false" ht="15" hidden="false" customHeight="false" outlineLevel="0" collapsed="false">
      <c r="A3019" s="50" t="s">
        <v>1143</v>
      </c>
      <c r="B3019" s="51" t="n">
        <v>45842</v>
      </c>
      <c r="C3019" s="50" t="s">
        <v>280</v>
      </c>
      <c r="D3019" s="50" t="s">
        <v>2169</v>
      </c>
      <c r="E3019" s="50" t="n">
        <v>3</v>
      </c>
      <c r="F3019" s="50" t="s">
        <v>2167</v>
      </c>
      <c r="G3019" s="54" t="n">
        <v>1917300</v>
      </c>
    </row>
    <row r="3020" customFormat="false" ht="15" hidden="false" customHeight="false" outlineLevel="0" collapsed="false">
      <c r="A3020" s="50" t="s">
        <v>1144</v>
      </c>
      <c r="B3020" s="51" t="n">
        <v>45842</v>
      </c>
      <c r="C3020" s="50" t="s">
        <v>369</v>
      </c>
      <c r="D3020" s="50" t="s">
        <v>2176</v>
      </c>
      <c r="E3020" s="50" t="n">
        <v>5</v>
      </c>
      <c r="F3020" s="50" t="s">
        <v>2167</v>
      </c>
      <c r="G3020" s="54" t="n">
        <v>2139900</v>
      </c>
    </row>
    <row r="3021" customFormat="false" ht="15" hidden="false" customHeight="false" outlineLevel="0" collapsed="false">
      <c r="A3021" s="50" t="s">
        <v>1144</v>
      </c>
      <c r="B3021" s="51" t="n">
        <v>45842</v>
      </c>
      <c r="C3021" s="50" t="s">
        <v>369</v>
      </c>
      <c r="D3021" s="50" t="s">
        <v>2181</v>
      </c>
      <c r="E3021" s="50" t="n">
        <v>5</v>
      </c>
      <c r="F3021" s="50" t="s">
        <v>2167</v>
      </c>
      <c r="G3021" s="54" t="n">
        <v>5657900</v>
      </c>
    </row>
    <row r="3022" customFormat="false" ht="15" hidden="false" customHeight="false" outlineLevel="0" collapsed="false">
      <c r="A3022" s="50" t="s">
        <v>1144</v>
      </c>
      <c r="B3022" s="51" t="n">
        <v>45842</v>
      </c>
      <c r="C3022" s="50" t="s">
        <v>369</v>
      </c>
      <c r="D3022" s="50" t="s">
        <v>2186</v>
      </c>
      <c r="E3022" s="50" t="n">
        <v>5</v>
      </c>
      <c r="F3022" s="50" t="s">
        <v>2167</v>
      </c>
      <c r="G3022" s="54" t="n">
        <v>2844300</v>
      </c>
    </row>
    <row r="3023" customFormat="false" ht="15" hidden="false" customHeight="false" outlineLevel="0" collapsed="false">
      <c r="A3023" s="50" t="s">
        <v>1144</v>
      </c>
      <c r="B3023" s="51" t="n">
        <v>45842</v>
      </c>
      <c r="C3023" s="50" t="s">
        <v>369</v>
      </c>
      <c r="D3023" s="50" t="s">
        <v>2185</v>
      </c>
      <c r="E3023" s="50" t="n">
        <v>8</v>
      </c>
      <c r="F3023" s="50" t="s">
        <v>2174</v>
      </c>
      <c r="G3023" s="54" t="n">
        <v>6292000</v>
      </c>
    </row>
    <row r="3024" customFormat="false" ht="15" hidden="false" customHeight="false" outlineLevel="0" collapsed="false">
      <c r="A3024" s="50" t="s">
        <v>1144</v>
      </c>
      <c r="B3024" s="51" t="n">
        <v>45842</v>
      </c>
      <c r="C3024" s="50" t="s">
        <v>369</v>
      </c>
      <c r="D3024" s="50" t="s">
        <v>2178</v>
      </c>
      <c r="E3024" s="50" t="n">
        <v>4</v>
      </c>
      <c r="F3024" s="50" t="s">
        <v>2167</v>
      </c>
      <c r="G3024" s="54" t="n">
        <v>1956100</v>
      </c>
    </row>
    <row r="3025" customFormat="false" ht="15" hidden="false" customHeight="false" outlineLevel="0" collapsed="false">
      <c r="A3025" s="50" t="s">
        <v>1145</v>
      </c>
      <c r="B3025" s="51" t="n">
        <v>45842</v>
      </c>
      <c r="C3025" s="50" t="s">
        <v>505</v>
      </c>
      <c r="D3025" s="50" t="s">
        <v>2166</v>
      </c>
      <c r="E3025" s="50" t="n">
        <v>4</v>
      </c>
      <c r="F3025" s="50" t="s">
        <v>2167</v>
      </c>
      <c r="G3025" s="54" t="n">
        <v>2184000</v>
      </c>
    </row>
    <row r="3026" customFormat="false" ht="15" hidden="false" customHeight="false" outlineLevel="0" collapsed="false">
      <c r="A3026" s="50" t="s">
        <v>1145</v>
      </c>
      <c r="B3026" s="51" t="n">
        <v>45842</v>
      </c>
      <c r="C3026" s="50" t="s">
        <v>505</v>
      </c>
      <c r="D3026" s="50" t="s">
        <v>2186</v>
      </c>
      <c r="E3026" s="50" t="n">
        <v>5</v>
      </c>
      <c r="F3026" s="50" t="s">
        <v>2167</v>
      </c>
      <c r="G3026" s="54" t="n">
        <v>3054400</v>
      </c>
    </row>
    <row r="3027" customFormat="false" ht="15" hidden="false" customHeight="false" outlineLevel="0" collapsed="false">
      <c r="A3027" s="50" t="s">
        <v>1146</v>
      </c>
      <c r="B3027" s="51" t="n">
        <v>45843</v>
      </c>
      <c r="C3027" s="50" t="s">
        <v>1147</v>
      </c>
      <c r="D3027" s="50" t="s">
        <v>2177</v>
      </c>
      <c r="E3027" s="50" t="n">
        <v>4</v>
      </c>
      <c r="F3027" s="50" t="s">
        <v>2174</v>
      </c>
      <c r="G3027" s="54" t="n">
        <v>4342900</v>
      </c>
    </row>
    <row r="3028" customFormat="false" ht="15" hidden="false" customHeight="false" outlineLevel="0" collapsed="false">
      <c r="A3028" s="50" t="s">
        <v>1146</v>
      </c>
      <c r="B3028" s="51" t="n">
        <v>45843</v>
      </c>
      <c r="C3028" s="50" t="s">
        <v>1147</v>
      </c>
      <c r="D3028" s="50" t="s">
        <v>2173</v>
      </c>
      <c r="E3028" s="50" t="n">
        <v>3</v>
      </c>
      <c r="F3028" s="50" t="s">
        <v>2174</v>
      </c>
      <c r="G3028" s="54" t="n">
        <v>2313100</v>
      </c>
    </row>
    <row r="3029" customFormat="false" ht="15" hidden="false" customHeight="false" outlineLevel="0" collapsed="false">
      <c r="A3029" s="50" t="s">
        <v>1146</v>
      </c>
      <c r="B3029" s="51" t="n">
        <v>45843</v>
      </c>
      <c r="C3029" s="50" t="s">
        <v>1147</v>
      </c>
      <c r="D3029" s="50" t="s">
        <v>2186</v>
      </c>
      <c r="E3029" s="50" t="n">
        <v>4</v>
      </c>
      <c r="F3029" s="50" t="s">
        <v>2167</v>
      </c>
      <c r="G3029" s="54" t="n">
        <v>2322100</v>
      </c>
    </row>
    <row r="3030" customFormat="false" ht="15" hidden="false" customHeight="false" outlineLevel="0" collapsed="false">
      <c r="A3030" s="50" t="s">
        <v>1148</v>
      </c>
      <c r="B3030" s="51" t="n">
        <v>45843</v>
      </c>
      <c r="C3030" s="50" t="s">
        <v>403</v>
      </c>
      <c r="D3030" s="50" t="s">
        <v>2166</v>
      </c>
      <c r="E3030" s="50" t="n">
        <v>1</v>
      </c>
      <c r="F3030" s="50" t="s">
        <v>2167</v>
      </c>
      <c r="G3030" s="54" t="n">
        <v>541200</v>
      </c>
    </row>
    <row r="3031" customFormat="false" ht="15" hidden="false" customHeight="false" outlineLevel="0" collapsed="false">
      <c r="A3031" s="50" t="s">
        <v>1148</v>
      </c>
      <c r="B3031" s="51" t="n">
        <v>45843</v>
      </c>
      <c r="C3031" s="50" t="s">
        <v>403</v>
      </c>
      <c r="D3031" s="50" t="s">
        <v>2180</v>
      </c>
      <c r="E3031" s="50" t="n">
        <v>5</v>
      </c>
      <c r="F3031" s="50" t="s">
        <v>2167</v>
      </c>
      <c r="G3031" s="54" t="n">
        <v>2266200</v>
      </c>
    </row>
    <row r="3032" customFormat="false" ht="15" hidden="false" customHeight="false" outlineLevel="0" collapsed="false">
      <c r="A3032" s="50" t="s">
        <v>1148</v>
      </c>
      <c r="B3032" s="51" t="n">
        <v>45843</v>
      </c>
      <c r="C3032" s="50" t="s">
        <v>403</v>
      </c>
      <c r="D3032" s="50" t="s">
        <v>2181</v>
      </c>
      <c r="E3032" s="50" t="n">
        <v>6</v>
      </c>
      <c r="F3032" s="50" t="s">
        <v>2167</v>
      </c>
      <c r="G3032" s="54" t="n">
        <v>6665800</v>
      </c>
    </row>
    <row r="3033" customFormat="false" ht="15" hidden="false" customHeight="false" outlineLevel="0" collapsed="false">
      <c r="A3033" s="50" t="s">
        <v>1148</v>
      </c>
      <c r="B3033" s="51" t="n">
        <v>45843</v>
      </c>
      <c r="C3033" s="50" t="s">
        <v>403</v>
      </c>
      <c r="D3033" s="50" t="s">
        <v>2169</v>
      </c>
      <c r="E3033" s="50" t="n">
        <v>8</v>
      </c>
      <c r="F3033" s="50" t="s">
        <v>2167</v>
      </c>
      <c r="G3033" s="54" t="n">
        <v>5085700</v>
      </c>
    </row>
    <row r="3034" customFormat="false" ht="15" hidden="false" customHeight="false" outlineLevel="0" collapsed="false">
      <c r="A3034" s="50" t="s">
        <v>1149</v>
      </c>
      <c r="B3034" s="51" t="n">
        <v>45843</v>
      </c>
      <c r="C3034" s="50" t="s">
        <v>527</v>
      </c>
      <c r="D3034" s="50" t="s">
        <v>2176</v>
      </c>
      <c r="E3034" s="50" t="n">
        <v>3</v>
      </c>
      <c r="F3034" s="50" t="s">
        <v>2167</v>
      </c>
      <c r="G3034" s="54" t="n">
        <v>1239200</v>
      </c>
    </row>
    <row r="3035" customFormat="false" ht="15" hidden="false" customHeight="false" outlineLevel="0" collapsed="false">
      <c r="A3035" s="50" t="s">
        <v>1149</v>
      </c>
      <c r="B3035" s="51" t="n">
        <v>45843</v>
      </c>
      <c r="C3035" s="50" t="s">
        <v>527</v>
      </c>
      <c r="D3035" s="50" t="s">
        <v>2180</v>
      </c>
      <c r="E3035" s="50" t="n">
        <v>6</v>
      </c>
      <c r="F3035" s="50" t="s">
        <v>2167</v>
      </c>
      <c r="G3035" s="54" t="n">
        <v>2644300</v>
      </c>
    </row>
    <row r="3036" customFormat="false" ht="15" hidden="false" customHeight="false" outlineLevel="0" collapsed="false">
      <c r="A3036" s="50" t="s">
        <v>1150</v>
      </c>
      <c r="B3036" s="51" t="n">
        <v>45843</v>
      </c>
      <c r="C3036" s="50" t="s">
        <v>213</v>
      </c>
      <c r="D3036" s="50" t="s">
        <v>2186</v>
      </c>
      <c r="E3036" s="50" t="n">
        <v>1</v>
      </c>
      <c r="F3036" s="50" t="s">
        <v>2167</v>
      </c>
      <c r="G3036" s="54" t="n">
        <v>601200</v>
      </c>
    </row>
    <row r="3037" customFormat="false" ht="15" hidden="false" customHeight="false" outlineLevel="0" collapsed="false">
      <c r="A3037" s="50" t="s">
        <v>1150</v>
      </c>
      <c r="B3037" s="51" t="n">
        <v>45843</v>
      </c>
      <c r="C3037" s="50" t="s">
        <v>213</v>
      </c>
      <c r="D3037" s="50" t="s">
        <v>2182</v>
      </c>
      <c r="E3037" s="50" t="n">
        <v>5</v>
      </c>
      <c r="F3037" s="50" t="s">
        <v>2174</v>
      </c>
      <c r="G3037" s="54" t="n">
        <v>4684000</v>
      </c>
    </row>
    <row r="3038" customFormat="false" ht="15" hidden="false" customHeight="false" outlineLevel="0" collapsed="false">
      <c r="A3038" s="50" t="s">
        <v>1151</v>
      </c>
      <c r="B3038" s="51" t="n">
        <v>45843</v>
      </c>
      <c r="C3038" s="50" t="s">
        <v>1048</v>
      </c>
      <c r="D3038" s="50" t="s">
        <v>2177</v>
      </c>
      <c r="E3038" s="50" t="n">
        <v>5</v>
      </c>
      <c r="F3038" s="50" t="s">
        <v>2174</v>
      </c>
      <c r="G3038" s="54" t="n">
        <v>5400800</v>
      </c>
    </row>
    <row r="3039" customFormat="false" ht="15" hidden="false" customHeight="false" outlineLevel="0" collapsed="false">
      <c r="A3039" s="50" t="s">
        <v>1151</v>
      </c>
      <c r="B3039" s="51" t="n">
        <v>45843</v>
      </c>
      <c r="C3039" s="50" t="s">
        <v>1048</v>
      </c>
      <c r="D3039" s="50" t="s">
        <v>2184</v>
      </c>
      <c r="E3039" s="50" t="n">
        <v>3</v>
      </c>
      <c r="F3039" s="50" t="s">
        <v>2167</v>
      </c>
      <c r="G3039" s="54" t="n">
        <v>1624400</v>
      </c>
    </row>
    <row r="3040" customFormat="false" ht="15" hidden="false" customHeight="false" outlineLevel="0" collapsed="false">
      <c r="A3040" s="50" t="s">
        <v>1151</v>
      </c>
      <c r="B3040" s="51" t="n">
        <v>45843</v>
      </c>
      <c r="C3040" s="50" t="s">
        <v>1048</v>
      </c>
      <c r="D3040" s="50" t="s">
        <v>2180</v>
      </c>
      <c r="E3040" s="50" t="n">
        <v>1</v>
      </c>
      <c r="F3040" s="50" t="s">
        <v>2167</v>
      </c>
      <c r="G3040" s="54" t="n">
        <v>435200</v>
      </c>
    </row>
    <row r="3041" customFormat="false" ht="15" hidden="false" customHeight="false" outlineLevel="0" collapsed="false">
      <c r="A3041" s="50" t="s">
        <v>1152</v>
      </c>
      <c r="B3041" s="51" t="n">
        <v>45843</v>
      </c>
      <c r="C3041" s="50" t="s">
        <v>216</v>
      </c>
      <c r="D3041" s="50" t="s">
        <v>2169</v>
      </c>
      <c r="E3041" s="50" t="n">
        <v>6</v>
      </c>
      <c r="F3041" s="50" t="s">
        <v>2167</v>
      </c>
      <c r="G3041" s="54" t="n">
        <v>3829100</v>
      </c>
    </row>
    <row r="3042" customFormat="false" ht="15" hidden="false" customHeight="false" outlineLevel="0" collapsed="false">
      <c r="A3042" s="50" t="s">
        <v>1152</v>
      </c>
      <c r="B3042" s="51" t="n">
        <v>45843</v>
      </c>
      <c r="C3042" s="50" t="s">
        <v>216</v>
      </c>
      <c r="D3042" s="50" t="s">
        <v>2187</v>
      </c>
      <c r="E3042" s="50" t="n">
        <v>2</v>
      </c>
      <c r="F3042" s="50" t="s">
        <v>2167</v>
      </c>
      <c r="G3042" s="54" t="n">
        <v>707600</v>
      </c>
    </row>
    <row r="3043" customFormat="false" ht="15" hidden="false" customHeight="false" outlineLevel="0" collapsed="false">
      <c r="A3043" s="50" t="s">
        <v>1152</v>
      </c>
      <c r="B3043" s="51" t="n">
        <v>45843</v>
      </c>
      <c r="C3043" s="50" t="s">
        <v>216</v>
      </c>
      <c r="D3043" s="50" t="s">
        <v>2179</v>
      </c>
      <c r="E3043" s="50" t="n">
        <v>2</v>
      </c>
      <c r="F3043" s="50" t="s">
        <v>2174</v>
      </c>
      <c r="G3043" s="54" t="n">
        <v>2525700</v>
      </c>
    </row>
    <row r="3044" customFormat="false" ht="15" hidden="false" customHeight="false" outlineLevel="0" collapsed="false">
      <c r="A3044" s="50" t="s">
        <v>1152</v>
      </c>
      <c r="B3044" s="51" t="n">
        <v>45843</v>
      </c>
      <c r="C3044" s="50" t="s">
        <v>216</v>
      </c>
      <c r="D3044" s="50" t="s">
        <v>2180</v>
      </c>
      <c r="E3044" s="50" t="n">
        <v>7</v>
      </c>
      <c r="F3044" s="50" t="s">
        <v>2167</v>
      </c>
      <c r="G3044" s="54" t="n">
        <v>3185900</v>
      </c>
    </row>
    <row r="3045" customFormat="false" ht="15" hidden="false" customHeight="false" outlineLevel="0" collapsed="false">
      <c r="A3045" s="50" t="s">
        <v>1152</v>
      </c>
      <c r="B3045" s="51" t="n">
        <v>45843</v>
      </c>
      <c r="C3045" s="50" t="s">
        <v>216</v>
      </c>
      <c r="D3045" s="50" t="s">
        <v>2186</v>
      </c>
      <c r="E3045" s="50" t="n">
        <v>8</v>
      </c>
      <c r="F3045" s="50" t="s">
        <v>2167</v>
      </c>
      <c r="G3045" s="54" t="n">
        <v>4613200</v>
      </c>
    </row>
    <row r="3046" customFormat="false" ht="15" hidden="false" customHeight="false" outlineLevel="0" collapsed="false">
      <c r="A3046" s="50" t="s">
        <v>1153</v>
      </c>
      <c r="B3046" s="51" t="n">
        <v>45843</v>
      </c>
      <c r="C3046" s="50" t="s">
        <v>199</v>
      </c>
      <c r="D3046" s="50" t="s">
        <v>2182</v>
      </c>
      <c r="E3046" s="50" t="n">
        <v>4</v>
      </c>
      <c r="F3046" s="50" t="s">
        <v>2174</v>
      </c>
      <c r="G3046" s="54" t="n">
        <v>3790700</v>
      </c>
    </row>
    <row r="3047" customFormat="false" ht="15" hidden="false" customHeight="false" outlineLevel="0" collapsed="false">
      <c r="A3047" s="50" t="s">
        <v>1153</v>
      </c>
      <c r="B3047" s="51" t="n">
        <v>45843</v>
      </c>
      <c r="C3047" s="50" t="s">
        <v>199</v>
      </c>
      <c r="D3047" s="50" t="s">
        <v>2186</v>
      </c>
      <c r="E3047" s="50" t="n">
        <v>8</v>
      </c>
      <c r="F3047" s="50" t="s">
        <v>2167</v>
      </c>
      <c r="G3047" s="54" t="n">
        <v>4611900</v>
      </c>
    </row>
    <row r="3048" customFormat="false" ht="15" hidden="false" customHeight="false" outlineLevel="0" collapsed="false">
      <c r="A3048" s="50" t="s">
        <v>1153</v>
      </c>
      <c r="B3048" s="51" t="n">
        <v>45843</v>
      </c>
      <c r="C3048" s="50" t="s">
        <v>199</v>
      </c>
      <c r="D3048" s="50" t="s">
        <v>2180</v>
      </c>
      <c r="E3048" s="50" t="n">
        <v>3</v>
      </c>
      <c r="F3048" s="50" t="s">
        <v>2167</v>
      </c>
      <c r="G3048" s="54" t="n">
        <v>1369800</v>
      </c>
    </row>
    <row r="3049" customFormat="false" ht="15" hidden="false" customHeight="false" outlineLevel="0" collapsed="false">
      <c r="A3049" s="50" t="s">
        <v>1153</v>
      </c>
      <c r="B3049" s="51" t="n">
        <v>45843</v>
      </c>
      <c r="C3049" s="50" t="s">
        <v>199</v>
      </c>
      <c r="D3049" s="50" t="s">
        <v>2181</v>
      </c>
      <c r="E3049" s="50" t="n">
        <v>7</v>
      </c>
      <c r="F3049" s="50" t="s">
        <v>2167</v>
      </c>
      <c r="G3049" s="54" t="n">
        <v>8296000</v>
      </c>
    </row>
    <row r="3050" customFormat="false" ht="15" hidden="false" customHeight="false" outlineLevel="0" collapsed="false">
      <c r="A3050" s="50" t="s">
        <v>1153</v>
      </c>
      <c r="B3050" s="51" t="n">
        <v>45843</v>
      </c>
      <c r="C3050" s="50" t="s">
        <v>199</v>
      </c>
      <c r="D3050" s="50" t="s">
        <v>2173</v>
      </c>
      <c r="E3050" s="50" t="n">
        <v>3</v>
      </c>
      <c r="F3050" s="50" t="s">
        <v>2174</v>
      </c>
      <c r="G3050" s="54" t="n">
        <v>2364700</v>
      </c>
    </row>
    <row r="3051" customFormat="false" ht="15" hidden="false" customHeight="false" outlineLevel="0" collapsed="false">
      <c r="A3051" s="50" t="s">
        <v>1153</v>
      </c>
      <c r="B3051" s="51" t="n">
        <v>45843</v>
      </c>
      <c r="C3051" s="50" t="s">
        <v>199</v>
      </c>
      <c r="D3051" s="50" t="s">
        <v>2169</v>
      </c>
      <c r="E3051" s="50" t="n">
        <v>6</v>
      </c>
      <c r="F3051" s="50" t="s">
        <v>2167</v>
      </c>
      <c r="G3051" s="54" t="n">
        <v>3783500</v>
      </c>
    </row>
    <row r="3052" customFormat="false" ht="15" hidden="false" customHeight="false" outlineLevel="0" collapsed="false">
      <c r="A3052" s="50" t="s">
        <v>1154</v>
      </c>
      <c r="B3052" s="51" t="n">
        <v>45843</v>
      </c>
      <c r="C3052" s="50" t="s">
        <v>298</v>
      </c>
      <c r="D3052" s="50" t="s">
        <v>2168</v>
      </c>
      <c r="E3052" s="50" t="n">
        <v>1</v>
      </c>
      <c r="F3052" s="50" t="s">
        <v>2167</v>
      </c>
      <c r="G3052" s="54" t="n">
        <v>432700</v>
      </c>
    </row>
    <row r="3053" customFormat="false" ht="15" hidden="false" customHeight="false" outlineLevel="0" collapsed="false">
      <c r="A3053" s="50" t="s">
        <v>1154</v>
      </c>
      <c r="B3053" s="51" t="n">
        <v>45843</v>
      </c>
      <c r="C3053" s="50" t="s">
        <v>298</v>
      </c>
      <c r="D3053" s="50" t="s">
        <v>2184</v>
      </c>
      <c r="E3053" s="50" t="n">
        <v>8</v>
      </c>
      <c r="F3053" s="50" t="s">
        <v>2167</v>
      </c>
      <c r="G3053" s="54" t="n">
        <v>4505700</v>
      </c>
    </row>
    <row r="3054" customFormat="false" ht="15" hidden="false" customHeight="false" outlineLevel="0" collapsed="false">
      <c r="A3054" s="50" t="s">
        <v>1154</v>
      </c>
      <c r="B3054" s="51" t="n">
        <v>45843</v>
      </c>
      <c r="C3054" s="50" t="s">
        <v>298</v>
      </c>
      <c r="D3054" s="50" t="s">
        <v>2181</v>
      </c>
      <c r="E3054" s="50" t="n">
        <v>3</v>
      </c>
      <c r="F3054" s="50" t="s">
        <v>2167</v>
      </c>
      <c r="G3054" s="54" t="n">
        <v>3571000</v>
      </c>
    </row>
    <row r="3055" customFormat="false" ht="15" hidden="false" customHeight="false" outlineLevel="0" collapsed="false">
      <c r="A3055" s="50" t="s">
        <v>1155</v>
      </c>
      <c r="B3055" s="51" t="n">
        <v>45843</v>
      </c>
      <c r="C3055" s="50" t="s">
        <v>174</v>
      </c>
      <c r="D3055" s="50" t="s">
        <v>2186</v>
      </c>
      <c r="E3055" s="50" t="n">
        <v>6</v>
      </c>
      <c r="F3055" s="50" t="s">
        <v>2167</v>
      </c>
      <c r="G3055" s="54" t="n">
        <v>3578400</v>
      </c>
    </row>
    <row r="3056" customFormat="false" ht="15" hidden="false" customHeight="false" outlineLevel="0" collapsed="false">
      <c r="A3056" s="50" t="s">
        <v>1155</v>
      </c>
      <c r="B3056" s="51" t="n">
        <v>45843</v>
      </c>
      <c r="C3056" s="50" t="s">
        <v>174</v>
      </c>
      <c r="D3056" s="50" t="s">
        <v>2185</v>
      </c>
      <c r="E3056" s="50" t="n">
        <v>7</v>
      </c>
      <c r="F3056" s="50" t="s">
        <v>2174</v>
      </c>
      <c r="G3056" s="54" t="n">
        <v>5548900</v>
      </c>
    </row>
    <row r="3057" customFormat="false" ht="15" hidden="false" customHeight="false" outlineLevel="0" collapsed="false">
      <c r="A3057" s="50" t="s">
        <v>1155</v>
      </c>
      <c r="B3057" s="51" t="n">
        <v>45843</v>
      </c>
      <c r="C3057" s="50" t="s">
        <v>174</v>
      </c>
      <c r="D3057" s="50" t="s">
        <v>2181</v>
      </c>
      <c r="E3057" s="50" t="n">
        <v>8</v>
      </c>
      <c r="F3057" s="50" t="s">
        <v>2167</v>
      </c>
      <c r="G3057" s="54" t="n">
        <v>9135300</v>
      </c>
    </row>
    <row r="3058" customFormat="false" ht="15" hidden="false" customHeight="false" outlineLevel="0" collapsed="false">
      <c r="A3058" s="50" t="s">
        <v>1155</v>
      </c>
      <c r="B3058" s="51" t="n">
        <v>45843</v>
      </c>
      <c r="C3058" s="50" t="s">
        <v>174</v>
      </c>
      <c r="D3058" s="50" t="s">
        <v>2178</v>
      </c>
      <c r="E3058" s="50" t="n">
        <v>6</v>
      </c>
      <c r="F3058" s="50" t="s">
        <v>2167</v>
      </c>
      <c r="G3058" s="54" t="n">
        <v>2829000</v>
      </c>
    </row>
    <row r="3059" customFormat="false" ht="15" hidden="false" customHeight="false" outlineLevel="0" collapsed="false">
      <c r="A3059" s="50" t="s">
        <v>1155</v>
      </c>
      <c r="B3059" s="51" t="n">
        <v>45843</v>
      </c>
      <c r="C3059" s="50" t="s">
        <v>174</v>
      </c>
      <c r="D3059" s="50" t="s">
        <v>2175</v>
      </c>
      <c r="E3059" s="50" t="n">
        <v>5</v>
      </c>
      <c r="F3059" s="50" t="s">
        <v>2167</v>
      </c>
      <c r="G3059" s="54" t="n">
        <v>3183000</v>
      </c>
    </row>
    <row r="3060" customFormat="false" ht="15" hidden="false" customHeight="false" outlineLevel="0" collapsed="false">
      <c r="A3060" s="50" t="s">
        <v>1155</v>
      </c>
      <c r="B3060" s="51" t="n">
        <v>45843</v>
      </c>
      <c r="C3060" s="50" t="s">
        <v>174</v>
      </c>
      <c r="D3060" s="50" t="s">
        <v>2183</v>
      </c>
      <c r="E3060" s="50" t="n">
        <v>7</v>
      </c>
      <c r="F3060" s="50" t="s">
        <v>2167</v>
      </c>
      <c r="G3060" s="54" t="n">
        <v>2745300</v>
      </c>
    </row>
    <row r="3061" customFormat="false" ht="15" hidden="false" customHeight="false" outlineLevel="0" collapsed="false">
      <c r="A3061" s="50" t="s">
        <v>1156</v>
      </c>
      <c r="B3061" s="51" t="n">
        <v>45843</v>
      </c>
      <c r="C3061" s="50" t="s">
        <v>177</v>
      </c>
      <c r="D3061" s="50" t="s">
        <v>2181</v>
      </c>
      <c r="E3061" s="50" t="n">
        <v>6</v>
      </c>
      <c r="F3061" s="50" t="s">
        <v>2167</v>
      </c>
      <c r="G3061" s="54" t="n">
        <v>7107400</v>
      </c>
    </row>
    <row r="3062" customFormat="false" ht="15" hidden="false" customHeight="false" outlineLevel="0" collapsed="false">
      <c r="A3062" s="50" t="s">
        <v>1156</v>
      </c>
      <c r="B3062" s="51" t="n">
        <v>45843</v>
      </c>
      <c r="C3062" s="50" t="s">
        <v>177</v>
      </c>
      <c r="D3062" s="50" t="s">
        <v>2169</v>
      </c>
      <c r="E3062" s="50" t="n">
        <v>6</v>
      </c>
      <c r="F3062" s="50" t="s">
        <v>2167</v>
      </c>
      <c r="G3062" s="54" t="n">
        <v>3791600</v>
      </c>
    </row>
    <row r="3063" customFormat="false" ht="15" hidden="false" customHeight="false" outlineLevel="0" collapsed="false">
      <c r="A3063" s="50" t="s">
        <v>1156</v>
      </c>
      <c r="B3063" s="51" t="n">
        <v>45843</v>
      </c>
      <c r="C3063" s="50" t="s">
        <v>177</v>
      </c>
      <c r="D3063" s="50" t="s">
        <v>2186</v>
      </c>
      <c r="E3063" s="50" t="n">
        <v>8</v>
      </c>
      <c r="F3063" s="50" t="s">
        <v>2167</v>
      </c>
      <c r="G3063" s="54" t="n">
        <v>4620600</v>
      </c>
    </row>
    <row r="3064" customFormat="false" ht="15" hidden="false" customHeight="false" outlineLevel="0" collapsed="false">
      <c r="A3064" s="50" t="s">
        <v>1156</v>
      </c>
      <c r="B3064" s="51" t="n">
        <v>45843</v>
      </c>
      <c r="C3064" s="50" t="s">
        <v>177</v>
      </c>
      <c r="D3064" s="50" t="s">
        <v>2166</v>
      </c>
      <c r="E3064" s="50" t="n">
        <v>7</v>
      </c>
      <c r="F3064" s="50" t="s">
        <v>2167</v>
      </c>
      <c r="G3064" s="54" t="n">
        <v>3727100</v>
      </c>
    </row>
    <row r="3065" customFormat="false" ht="15" hidden="false" customHeight="false" outlineLevel="0" collapsed="false">
      <c r="A3065" s="50" t="s">
        <v>1156</v>
      </c>
      <c r="B3065" s="51" t="n">
        <v>45843</v>
      </c>
      <c r="C3065" s="50" t="s">
        <v>177</v>
      </c>
      <c r="D3065" s="50" t="s">
        <v>2180</v>
      </c>
      <c r="E3065" s="50" t="n">
        <v>7</v>
      </c>
      <c r="F3065" s="50" t="s">
        <v>2167</v>
      </c>
      <c r="G3065" s="54" t="n">
        <v>3219700</v>
      </c>
    </row>
    <row r="3066" customFormat="false" ht="15" hidden="false" customHeight="false" outlineLevel="0" collapsed="false">
      <c r="A3066" s="50" t="s">
        <v>1157</v>
      </c>
      <c r="B3066" s="51" t="n">
        <v>45845</v>
      </c>
      <c r="C3066" s="50" t="s">
        <v>174</v>
      </c>
      <c r="D3066" s="50" t="s">
        <v>2169</v>
      </c>
      <c r="E3066" s="50" t="n">
        <v>2</v>
      </c>
      <c r="F3066" s="50" t="s">
        <v>2167</v>
      </c>
      <c r="G3066" s="54" t="n">
        <v>1286900</v>
      </c>
    </row>
    <row r="3067" customFormat="false" ht="15" hidden="false" customHeight="false" outlineLevel="0" collapsed="false">
      <c r="A3067" s="50" t="s">
        <v>1157</v>
      </c>
      <c r="B3067" s="51" t="n">
        <v>45845</v>
      </c>
      <c r="C3067" s="50" t="s">
        <v>174</v>
      </c>
      <c r="D3067" s="50" t="s">
        <v>2166</v>
      </c>
      <c r="E3067" s="50" t="n">
        <v>2</v>
      </c>
      <c r="F3067" s="50" t="s">
        <v>2167</v>
      </c>
      <c r="G3067" s="54" t="n">
        <v>1088800</v>
      </c>
    </row>
    <row r="3068" customFormat="false" ht="15" hidden="false" customHeight="false" outlineLevel="0" collapsed="false">
      <c r="A3068" s="50" t="s">
        <v>1157</v>
      </c>
      <c r="B3068" s="51" t="n">
        <v>45845</v>
      </c>
      <c r="C3068" s="50" t="s">
        <v>174</v>
      </c>
      <c r="D3068" s="50" t="s">
        <v>2187</v>
      </c>
      <c r="E3068" s="50" t="n">
        <v>8</v>
      </c>
      <c r="F3068" s="50" t="s">
        <v>2167</v>
      </c>
      <c r="G3068" s="54" t="n">
        <v>2850600</v>
      </c>
    </row>
    <row r="3069" customFormat="false" ht="15" hidden="false" customHeight="false" outlineLevel="0" collapsed="false">
      <c r="A3069" s="50" t="s">
        <v>1158</v>
      </c>
      <c r="B3069" s="51" t="n">
        <v>45845</v>
      </c>
      <c r="C3069" s="50" t="s">
        <v>241</v>
      </c>
      <c r="D3069" s="50" t="s">
        <v>2177</v>
      </c>
      <c r="E3069" s="50" t="n">
        <v>5</v>
      </c>
      <c r="F3069" s="50" t="s">
        <v>2174</v>
      </c>
      <c r="G3069" s="54" t="n">
        <v>5363200</v>
      </c>
    </row>
    <row r="3070" customFormat="false" ht="15" hidden="false" customHeight="false" outlineLevel="0" collapsed="false">
      <c r="A3070" s="50" t="s">
        <v>1158</v>
      </c>
      <c r="B3070" s="51" t="n">
        <v>45845</v>
      </c>
      <c r="C3070" s="50" t="s">
        <v>241</v>
      </c>
      <c r="D3070" s="50" t="s">
        <v>2187</v>
      </c>
      <c r="E3070" s="50" t="n">
        <v>4</v>
      </c>
      <c r="F3070" s="50" t="s">
        <v>2167</v>
      </c>
      <c r="G3070" s="54" t="n">
        <v>1427600</v>
      </c>
    </row>
    <row r="3071" customFormat="false" ht="15" hidden="false" customHeight="false" outlineLevel="0" collapsed="false">
      <c r="A3071" s="50" t="s">
        <v>1159</v>
      </c>
      <c r="B3071" s="51" t="n">
        <v>45845</v>
      </c>
      <c r="C3071" s="50" t="s">
        <v>286</v>
      </c>
      <c r="D3071" s="50" t="s">
        <v>2176</v>
      </c>
      <c r="E3071" s="50" t="n">
        <v>4</v>
      </c>
      <c r="F3071" s="50" t="s">
        <v>2167</v>
      </c>
      <c r="G3071" s="54" t="n">
        <v>1621600</v>
      </c>
    </row>
    <row r="3072" customFormat="false" ht="15" hidden="false" customHeight="false" outlineLevel="0" collapsed="false">
      <c r="A3072" s="50" t="s">
        <v>1159</v>
      </c>
      <c r="B3072" s="51" t="n">
        <v>45845</v>
      </c>
      <c r="C3072" s="50" t="s">
        <v>286</v>
      </c>
      <c r="D3072" s="50" t="s">
        <v>2166</v>
      </c>
      <c r="E3072" s="50" t="n">
        <v>5</v>
      </c>
      <c r="F3072" s="50" t="s">
        <v>2167</v>
      </c>
      <c r="G3072" s="54" t="n">
        <v>2695000</v>
      </c>
    </row>
    <row r="3073" customFormat="false" ht="15" hidden="false" customHeight="false" outlineLevel="0" collapsed="false">
      <c r="A3073" s="50" t="s">
        <v>1160</v>
      </c>
      <c r="B3073" s="51" t="n">
        <v>45845</v>
      </c>
      <c r="C3073" s="50" t="s">
        <v>373</v>
      </c>
      <c r="D3073" s="50" t="s">
        <v>2172</v>
      </c>
      <c r="E3073" s="50" t="n">
        <v>2</v>
      </c>
      <c r="F3073" s="50" t="s">
        <v>2167</v>
      </c>
      <c r="G3073" s="54" t="n">
        <v>1006900</v>
      </c>
    </row>
    <row r="3074" customFormat="false" ht="15" hidden="false" customHeight="false" outlineLevel="0" collapsed="false">
      <c r="A3074" s="50" t="s">
        <v>1160</v>
      </c>
      <c r="B3074" s="51" t="n">
        <v>45845</v>
      </c>
      <c r="C3074" s="50" t="s">
        <v>373</v>
      </c>
      <c r="D3074" s="50" t="s">
        <v>2169</v>
      </c>
      <c r="E3074" s="50" t="n">
        <v>6</v>
      </c>
      <c r="F3074" s="50" t="s">
        <v>2167</v>
      </c>
      <c r="G3074" s="54" t="n">
        <v>3643800</v>
      </c>
    </row>
    <row r="3075" customFormat="false" ht="15" hidden="false" customHeight="false" outlineLevel="0" collapsed="false">
      <c r="A3075" s="50" t="s">
        <v>1160</v>
      </c>
      <c r="B3075" s="51" t="n">
        <v>45845</v>
      </c>
      <c r="C3075" s="50" t="s">
        <v>373</v>
      </c>
      <c r="D3075" s="50" t="s">
        <v>2181</v>
      </c>
      <c r="E3075" s="50" t="n">
        <v>4</v>
      </c>
      <c r="F3075" s="50" t="s">
        <v>2167</v>
      </c>
      <c r="G3075" s="54" t="n">
        <v>4679600</v>
      </c>
    </row>
    <row r="3076" customFormat="false" ht="15" hidden="false" customHeight="false" outlineLevel="0" collapsed="false">
      <c r="A3076" s="50" t="s">
        <v>1160</v>
      </c>
      <c r="B3076" s="51" t="n">
        <v>45845</v>
      </c>
      <c r="C3076" s="50" t="s">
        <v>373</v>
      </c>
      <c r="D3076" s="50" t="s">
        <v>2168</v>
      </c>
      <c r="E3076" s="50" t="n">
        <v>7</v>
      </c>
      <c r="F3076" s="50" t="s">
        <v>2167</v>
      </c>
      <c r="G3076" s="54" t="n">
        <v>3077400</v>
      </c>
    </row>
    <row r="3077" customFormat="false" ht="15" hidden="false" customHeight="false" outlineLevel="0" collapsed="false">
      <c r="A3077" s="50" t="s">
        <v>1160</v>
      </c>
      <c r="B3077" s="51" t="n">
        <v>45845</v>
      </c>
      <c r="C3077" s="50" t="s">
        <v>373</v>
      </c>
      <c r="D3077" s="50" t="s">
        <v>2177</v>
      </c>
      <c r="E3077" s="50" t="n">
        <v>2</v>
      </c>
      <c r="F3077" s="50" t="s">
        <v>2174</v>
      </c>
      <c r="G3077" s="54" t="n">
        <v>2276600</v>
      </c>
    </row>
    <row r="3078" customFormat="false" ht="15" hidden="false" customHeight="false" outlineLevel="0" collapsed="false">
      <c r="A3078" s="50" t="s">
        <v>1160</v>
      </c>
      <c r="B3078" s="51" t="n">
        <v>45845</v>
      </c>
      <c r="C3078" s="50" t="s">
        <v>373</v>
      </c>
      <c r="D3078" s="50" t="s">
        <v>2178</v>
      </c>
      <c r="E3078" s="50" t="n">
        <v>1</v>
      </c>
      <c r="F3078" s="50" t="s">
        <v>2167</v>
      </c>
      <c r="G3078" s="54" t="n">
        <v>473500</v>
      </c>
    </row>
    <row r="3079" customFormat="false" ht="15" hidden="false" customHeight="false" outlineLevel="0" collapsed="false">
      <c r="A3079" s="50" t="s">
        <v>1160</v>
      </c>
      <c r="B3079" s="51" t="n">
        <v>45845</v>
      </c>
      <c r="C3079" s="50" t="s">
        <v>373</v>
      </c>
      <c r="D3079" s="50" t="s">
        <v>2180</v>
      </c>
      <c r="E3079" s="50" t="n">
        <v>2</v>
      </c>
      <c r="F3079" s="50" t="s">
        <v>2167</v>
      </c>
      <c r="G3079" s="54" t="n">
        <v>922500</v>
      </c>
    </row>
    <row r="3080" customFormat="false" ht="15" hidden="false" customHeight="false" outlineLevel="0" collapsed="false">
      <c r="A3080" s="50" t="s">
        <v>1161</v>
      </c>
      <c r="B3080" s="51" t="n">
        <v>45845</v>
      </c>
      <c r="C3080" s="50" t="s">
        <v>199</v>
      </c>
      <c r="D3080" s="50" t="s">
        <v>2186</v>
      </c>
      <c r="E3080" s="50" t="n">
        <v>1</v>
      </c>
      <c r="F3080" s="50" t="s">
        <v>2167</v>
      </c>
      <c r="G3080" s="54" t="n">
        <v>593500</v>
      </c>
    </row>
    <row r="3081" customFormat="false" ht="15" hidden="false" customHeight="false" outlineLevel="0" collapsed="false">
      <c r="A3081" s="50" t="s">
        <v>1161</v>
      </c>
      <c r="B3081" s="51" t="n">
        <v>45845</v>
      </c>
      <c r="C3081" s="50" t="s">
        <v>199</v>
      </c>
      <c r="D3081" s="50" t="s">
        <v>2183</v>
      </c>
      <c r="E3081" s="50" t="n">
        <v>5</v>
      </c>
      <c r="F3081" s="50" t="s">
        <v>2167</v>
      </c>
      <c r="G3081" s="54" t="n">
        <v>1898500</v>
      </c>
    </row>
    <row r="3082" customFormat="false" ht="15" hidden="false" customHeight="false" outlineLevel="0" collapsed="false">
      <c r="A3082" s="50" t="s">
        <v>1161</v>
      </c>
      <c r="B3082" s="51" t="n">
        <v>45845</v>
      </c>
      <c r="C3082" s="50" t="s">
        <v>199</v>
      </c>
      <c r="D3082" s="50" t="s">
        <v>2177</v>
      </c>
      <c r="E3082" s="50" t="n">
        <v>3</v>
      </c>
      <c r="F3082" s="50" t="s">
        <v>2174</v>
      </c>
      <c r="G3082" s="54" t="n">
        <v>3381100</v>
      </c>
    </row>
    <row r="3083" customFormat="false" ht="15" hidden="false" customHeight="false" outlineLevel="0" collapsed="false">
      <c r="A3083" s="50" t="s">
        <v>1161</v>
      </c>
      <c r="B3083" s="51" t="n">
        <v>45845</v>
      </c>
      <c r="C3083" s="50" t="s">
        <v>199</v>
      </c>
      <c r="D3083" s="50" t="s">
        <v>2178</v>
      </c>
      <c r="E3083" s="50" t="n">
        <v>7</v>
      </c>
      <c r="F3083" s="50" t="s">
        <v>2167</v>
      </c>
      <c r="G3083" s="54" t="n">
        <v>3288600</v>
      </c>
    </row>
    <row r="3084" customFormat="false" ht="15" hidden="false" customHeight="false" outlineLevel="0" collapsed="false">
      <c r="A3084" s="50" t="s">
        <v>1162</v>
      </c>
      <c r="B3084" s="51" t="n">
        <v>45846</v>
      </c>
      <c r="C3084" s="50" t="s">
        <v>205</v>
      </c>
      <c r="D3084" s="50" t="s">
        <v>2178</v>
      </c>
      <c r="E3084" s="50" t="n">
        <v>6</v>
      </c>
      <c r="F3084" s="50" t="s">
        <v>2167</v>
      </c>
      <c r="G3084" s="54" t="n">
        <v>2897300</v>
      </c>
    </row>
    <row r="3085" customFormat="false" ht="15" hidden="false" customHeight="false" outlineLevel="0" collapsed="false">
      <c r="A3085" s="50" t="s">
        <v>1162</v>
      </c>
      <c r="B3085" s="51" t="n">
        <v>45846</v>
      </c>
      <c r="C3085" s="50" t="s">
        <v>205</v>
      </c>
      <c r="D3085" s="50" t="s">
        <v>2188</v>
      </c>
      <c r="E3085" s="50" t="n">
        <v>7</v>
      </c>
      <c r="F3085" s="50" t="s">
        <v>2167</v>
      </c>
      <c r="G3085" s="54" t="n">
        <v>6737600</v>
      </c>
    </row>
    <row r="3086" customFormat="false" ht="15" hidden="false" customHeight="false" outlineLevel="0" collapsed="false">
      <c r="A3086" s="50" t="s">
        <v>1162</v>
      </c>
      <c r="B3086" s="51" t="n">
        <v>45846</v>
      </c>
      <c r="C3086" s="50" t="s">
        <v>205</v>
      </c>
      <c r="D3086" s="50" t="s">
        <v>2186</v>
      </c>
      <c r="E3086" s="50" t="n">
        <v>8</v>
      </c>
      <c r="F3086" s="50" t="s">
        <v>2167</v>
      </c>
      <c r="G3086" s="54" t="n">
        <v>4670100</v>
      </c>
    </row>
    <row r="3087" customFormat="false" ht="15" hidden="false" customHeight="false" outlineLevel="0" collapsed="false">
      <c r="A3087" s="50" t="s">
        <v>1163</v>
      </c>
      <c r="B3087" s="51" t="n">
        <v>45846</v>
      </c>
      <c r="C3087" s="50" t="s">
        <v>298</v>
      </c>
      <c r="D3087" s="50" t="s">
        <v>2169</v>
      </c>
      <c r="E3087" s="50" t="n">
        <v>6</v>
      </c>
      <c r="F3087" s="50" t="s">
        <v>2167</v>
      </c>
      <c r="G3087" s="54" t="n">
        <v>3718400</v>
      </c>
    </row>
    <row r="3088" customFormat="false" ht="15" hidden="false" customHeight="false" outlineLevel="0" collapsed="false">
      <c r="A3088" s="50" t="s">
        <v>1163</v>
      </c>
      <c r="B3088" s="51" t="n">
        <v>45846</v>
      </c>
      <c r="C3088" s="50" t="s">
        <v>298</v>
      </c>
      <c r="D3088" s="50" t="s">
        <v>2178</v>
      </c>
      <c r="E3088" s="50" t="n">
        <v>3</v>
      </c>
      <c r="F3088" s="50" t="s">
        <v>2167</v>
      </c>
      <c r="G3088" s="54" t="n">
        <v>1417900</v>
      </c>
    </row>
    <row r="3089" customFormat="false" ht="15" hidden="false" customHeight="false" outlineLevel="0" collapsed="false">
      <c r="A3089" s="50" t="s">
        <v>1163</v>
      </c>
      <c r="B3089" s="51" t="n">
        <v>45846</v>
      </c>
      <c r="C3089" s="50" t="s">
        <v>298</v>
      </c>
      <c r="D3089" s="50" t="s">
        <v>2172</v>
      </c>
      <c r="E3089" s="50" t="n">
        <v>5</v>
      </c>
      <c r="F3089" s="50" t="s">
        <v>2167</v>
      </c>
      <c r="G3089" s="54" t="n">
        <v>2567600</v>
      </c>
    </row>
    <row r="3090" customFormat="false" ht="15" hidden="false" customHeight="false" outlineLevel="0" collapsed="false">
      <c r="A3090" s="50" t="s">
        <v>1163</v>
      </c>
      <c r="B3090" s="51" t="n">
        <v>45846</v>
      </c>
      <c r="C3090" s="50" t="s">
        <v>298</v>
      </c>
      <c r="D3090" s="50" t="s">
        <v>2179</v>
      </c>
      <c r="E3090" s="50" t="n">
        <v>6</v>
      </c>
      <c r="F3090" s="50" t="s">
        <v>2174</v>
      </c>
      <c r="G3090" s="54" t="n">
        <v>7636100</v>
      </c>
    </row>
    <row r="3091" customFormat="false" ht="15" hidden="false" customHeight="false" outlineLevel="0" collapsed="false">
      <c r="A3091" s="50" t="s">
        <v>1163</v>
      </c>
      <c r="B3091" s="51" t="n">
        <v>45846</v>
      </c>
      <c r="C3091" s="50" t="s">
        <v>298</v>
      </c>
      <c r="D3091" s="50" t="s">
        <v>2188</v>
      </c>
      <c r="E3091" s="50" t="n">
        <v>4</v>
      </c>
      <c r="F3091" s="50" t="s">
        <v>2167</v>
      </c>
      <c r="G3091" s="54" t="n">
        <v>3805700</v>
      </c>
    </row>
    <row r="3092" customFormat="false" ht="15" hidden="false" customHeight="false" outlineLevel="0" collapsed="false">
      <c r="A3092" s="50" t="s">
        <v>1164</v>
      </c>
      <c r="B3092" s="51" t="n">
        <v>45846</v>
      </c>
      <c r="C3092" s="50" t="s">
        <v>358</v>
      </c>
      <c r="D3092" s="50" t="s">
        <v>2185</v>
      </c>
      <c r="E3092" s="50" t="n">
        <v>3</v>
      </c>
      <c r="F3092" s="50" t="s">
        <v>2174</v>
      </c>
      <c r="G3092" s="54" t="n">
        <v>2301400</v>
      </c>
    </row>
    <row r="3093" customFormat="false" ht="15" hidden="false" customHeight="false" outlineLevel="0" collapsed="false">
      <c r="A3093" s="50" t="s">
        <v>1164</v>
      </c>
      <c r="B3093" s="51" t="n">
        <v>45846</v>
      </c>
      <c r="C3093" s="50" t="s">
        <v>358</v>
      </c>
      <c r="D3093" s="50" t="s">
        <v>2166</v>
      </c>
      <c r="E3093" s="50" t="n">
        <v>5</v>
      </c>
      <c r="F3093" s="50" t="s">
        <v>2167</v>
      </c>
      <c r="G3093" s="54" t="n">
        <v>2655200</v>
      </c>
    </row>
    <row r="3094" customFormat="false" ht="15" hidden="false" customHeight="false" outlineLevel="0" collapsed="false">
      <c r="A3094" s="50" t="s">
        <v>1164</v>
      </c>
      <c r="B3094" s="51" t="n">
        <v>45846</v>
      </c>
      <c r="C3094" s="50" t="s">
        <v>358</v>
      </c>
      <c r="D3094" s="50" t="s">
        <v>2181</v>
      </c>
      <c r="E3094" s="50" t="n">
        <v>2</v>
      </c>
      <c r="F3094" s="50" t="s">
        <v>2167</v>
      </c>
      <c r="G3094" s="54" t="n">
        <v>2240800</v>
      </c>
    </row>
    <row r="3095" customFormat="false" ht="15" hidden="false" customHeight="false" outlineLevel="0" collapsed="false">
      <c r="A3095" s="50" t="s">
        <v>1165</v>
      </c>
      <c r="B3095" s="51" t="n">
        <v>45846</v>
      </c>
      <c r="C3095" s="50" t="s">
        <v>218</v>
      </c>
      <c r="D3095" s="50" t="s">
        <v>2172</v>
      </c>
      <c r="E3095" s="50" t="n">
        <v>6</v>
      </c>
      <c r="F3095" s="50" t="s">
        <v>2167</v>
      </c>
      <c r="G3095" s="54" t="n">
        <v>3057800</v>
      </c>
    </row>
    <row r="3096" customFormat="false" ht="15" hidden="false" customHeight="false" outlineLevel="0" collapsed="false">
      <c r="A3096" s="50" t="s">
        <v>1165</v>
      </c>
      <c r="B3096" s="51" t="n">
        <v>45846</v>
      </c>
      <c r="C3096" s="50" t="s">
        <v>218</v>
      </c>
      <c r="D3096" s="50" t="s">
        <v>2182</v>
      </c>
      <c r="E3096" s="50" t="n">
        <v>2</v>
      </c>
      <c r="F3096" s="50" t="s">
        <v>2174</v>
      </c>
      <c r="G3096" s="54" t="n">
        <v>1826700</v>
      </c>
    </row>
    <row r="3097" customFormat="false" ht="15" hidden="false" customHeight="false" outlineLevel="0" collapsed="false">
      <c r="A3097" s="50" t="s">
        <v>1165</v>
      </c>
      <c r="B3097" s="51" t="n">
        <v>45846</v>
      </c>
      <c r="C3097" s="50" t="s">
        <v>218</v>
      </c>
      <c r="D3097" s="50" t="s">
        <v>2175</v>
      </c>
      <c r="E3097" s="50" t="n">
        <v>3</v>
      </c>
      <c r="F3097" s="50" t="s">
        <v>2167</v>
      </c>
      <c r="G3097" s="54" t="n">
        <v>1969200</v>
      </c>
    </row>
    <row r="3098" customFormat="false" ht="15" hidden="false" customHeight="false" outlineLevel="0" collapsed="false">
      <c r="A3098" s="50" t="s">
        <v>1166</v>
      </c>
      <c r="B3098" s="51" t="n">
        <v>45846</v>
      </c>
      <c r="C3098" s="50" t="s">
        <v>166</v>
      </c>
      <c r="D3098" s="50" t="s">
        <v>2180</v>
      </c>
      <c r="E3098" s="50" t="n">
        <v>5</v>
      </c>
      <c r="F3098" s="50" t="s">
        <v>2167</v>
      </c>
      <c r="G3098" s="54" t="n">
        <v>2276200</v>
      </c>
    </row>
    <row r="3099" customFormat="false" ht="15" hidden="false" customHeight="false" outlineLevel="0" collapsed="false">
      <c r="A3099" s="50" t="s">
        <v>1166</v>
      </c>
      <c r="B3099" s="51" t="n">
        <v>45846</v>
      </c>
      <c r="C3099" s="50" t="s">
        <v>166</v>
      </c>
      <c r="D3099" s="50" t="s">
        <v>2169</v>
      </c>
      <c r="E3099" s="50" t="n">
        <v>1</v>
      </c>
      <c r="F3099" s="50" t="s">
        <v>2167</v>
      </c>
      <c r="G3099" s="54" t="n">
        <v>608700</v>
      </c>
    </row>
    <row r="3100" customFormat="false" ht="15" hidden="false" customHeight="false" outlineLevel="0" collapsed="false">
      <c r="A3100" s="50" t="s">
        <v>1166</v>
      </c>
      <c r="B3100" s="51" t="n">
        <v>45846</v>
      </c>
      <c r="C3100" s="50" t="s">
        <v>166</v>
      </c>
      <c r="D3100" s="50" t="s">
        <v>2183</v>
      </c>
      <c r="E3100" s="50" t="n">
        <v>1</v>
      </c>
      <c r="F3100" s="50" t="s">
        <v>2167</v>
      </c>
      <c r="G3100" s="54" t="n">
        <v>373200</v>
      </c>
    </row>
    <row r="3101" customFormat="false" ht="15" hidden="false" customHeight="false" outlineLevel="0" collapsed="false">
      <c r="A3101" s="50" t="s">
        <v>1166</v>
      </c>
      <c r="B3101" s="51" t="n">
        <v>45846</v>
      </c>
      <c r="C3101" s="50" t="s">
        <v>166</v>
      </c>
      <c r="D3101" s="50" t="s">
        <v>2187</v>
      </c>
      <c r="E3101" s="50" t="n">
        <v>2</v>
      </c>
      <c r="F3101" s="50" t="s">
        <v>2167</v>
      </c>
      <c r="G3101" s="54" t="n">
        <v>680300</v>
      </c>
    </row>
    <row r="3102" customFormat="false" ht="15" hidden="false" customHeight="false" outlineLevel="0" collapsed="false">
      <c r="A3102" s="50" t="s">
        <v>1166</v>
      </c>
      <c r="B3102" s="51" t="n">
        <v>45846</v>
      </c>
      <c r="C3102" s="50" t="s">
        <v>166</v>
      </c>
      <c r="D3102" s="50" t="s">
        <v>2166</v>
      </c>
      <c r="E3102" s="50" t="n">
        <v>4</v>
      </c>
      <c r="F3102" s="50" t="s">
        <v>2167</v>
      </c>
      <c r="G3102" s="54" t="n">
        <v>2129800</v>
      </c>
    </row>
    <row r="3103" customFormat="false" ht="15" hidden="false" customHeight="false" outlineLevel="0" collapsed="false">
      <c r="A3103" s="50" t="s">
        <v>1166</v>
      </c>
      <c r="B3103" s="51" t="n">
        <v>45846</v>
      </c>
      <c r="C3103" s="50" t="s">
        <v>166</v>
      </c>
      <c r="D3103" s="50" t="s">
        <v>2182</v>
      </c>
      <c r="E3103" s="50" t="n">
        <v>7</v>
      </c>
      <c r="F3103" s="50" t="s">
        <v>2174</v>
      </c>
      <c r="G3103" s="54" t="n">
        <v>6557000</v>
      </c>
    </row>
    <row r="3104" customFormat="false" ht="15" hidden="false" customHeight="false" outlineLevel="0" collapsed="false">
      <c r="A3104" s="50" t="s">
        <v>1167</v>
      </c>
      <c r="B3104" s="51" t="n">
        <v>45846</v>
      </c>
      <c r="C3104" s="50" t="s">
        <v>237</v>
      </c>
      <c r="D3104" s="50" t="s">
        <v>2176</v>
      </c>
      <c r="E3104" s="50" t="n">
        <v>7</v>
      </c>
      <c r="F3104" s="50" t="s">
        <v>2167</v>
      </c>
      <c r="G3104" s="54" t="n">
        <v>3052500</v>
      </c>
    </row>
    <row r="3105" customFormat="false" ht="15" hidden="false" customHeight="false" outlineLevel="0" collapsed="false">
      <c r="A3105" s="50" t="s">
        <v>1167</v>
      </c>
      <c r="B3105" s="51" t="n">
        <v>45846</v>
      </c>
      <c r="C3105" s="50" t="s">
        <v>237</v>
      </c>
      <c r="D3105" s="50" t="s">
        <v>2179</v>
      </c>
      <c r="E3105" s="50" t="n">
        <v>5</v>
      </c>
      <c r="F3105" s="50" t="s">
        <v>2174</v>
      </c>
      <c r="G3105" s="54" t="n">
        <v>6369100</v>
      </c>
    </row>
    <row r="3106" customFormat="false" ht="15" hidden="false" customHeight="false" outlineLevel="0" collapsed="false">
      <c r="A3106" s="50" t="s">
        <v>1167</v>
      </c>
      <c r="B3106" s="51" t="n">
        <v>45846</v>
      </c>
      <c r="C3106" s="50" t="s">
        <v>237</v>
      </c>
      <c r="D3106" s="50" t="s">
        <v>2187</v>
      </c>
      <c r="E3106" s="50" t="n">
        <v>2</v>
      </c>
      <c r="F3106" s="50" t="s">
        <v>2167</v>
      </c>
      <c r="G3106" s="54" t="n">
        <v>673200</v>
      </c>
    </row>
    <row r="3107" customFormat="false" ht="15" hidden="false" customHeight="false" outlineLevel="0" collapsed="false">
      <c r="A3107" s="50" t="s">
        <v>1167</v>
      </c>
      <c r="B3107" s="51" t="n">
        <v>45846</v>
      </c>
      <c r="C3107" s="50" t="s">
        <v>237</v>
      </c>
      <c r="D3107" s="50" t="s">
        <v>2184</v>
      </c>
      <c r="E3107" s="50" t="n">
        <v>8</v>
      </c>
      <c r="F3107" s="50" t="s">
        <v>2167</v>
      </c>
      <c r="G3107" s="54" t="n">
        <v>4640800</v>
      </c>
    </row>
    <row r="3108" customFormat="false" ht="15" hidden="false" customHeight="false" outlineLevel="0" collapsed="false">
      <c r="A3108" s="50" t="s">
        <v>1167</v>
      </c>
      <c r="B3108" s="51" t="n">
        <v>45846</v>
      </c>
      <c r="C3108" s="50" t="s">
        <v>237</v>
      </c>
      <c r="D3108" s="50" t="s">
        <v>2173</v>
      </c>
      <c r="E3108" s="50" t="n">
        <v>6</v>
      </c>
      <c r="F3108" s="50" t="s">
        <v>2174</v>
      </c>
      <c r="G3108" s="54" t="n">
        <v>4785700</v>
      </c>
    </row>
    <row r="3109" customFormat="false" ht="15" hidden="false" customHeight="false" outlineLevel="0" collapsed="false">
      <c r="A3109" s="50" t="s">
        <v>1167</v>
      </c>
      <c r="B3109" s="51" t="n">
        <v>45846</v>
      </c>
      <c r="C3109" s="50" t="s">
        <v>237</v>
      </c>
      <c r="D3109" s="50" t="s">
        <v>2175</v>
      </c>
      <c r="E3109" s="50" t="n">
        <v>4</v>
      </c>
      <c r="F3109" s="50" t="s">
        <v>2167</v>
      </c>
      <c r="G3109" s="54" t="n">
        <v>2647800</v>
      </c>
    </row>
    <row r="3110" customFormat="false" ht="15" hidden="false" customHeight="false" outlineLevel="0" collapsed="false">
      <c r="A3110" s="50" t="s">
        <v>1168</v>
      </c>
      <c r="B3110" s="51" t="n">
        <v>45846</v>
      </c>
      <c r="C3110" s="50" t="s">
        <v>408</v>
      </c>
      <c r="D3110" s="50" t="s">
        <v>2168</v>
      </c>
      <c r="E3110" s="50" t="n">
        <v>8</v>
      </c>
      <c r="F3110" s="50" t="s">
        <v>2167</v>
      </c>
      <c r="G3110" s="54" t="n">
        <v>3436100</v>
      </c>
    </row>
    <row r="3111" customFormat="false" ht="15" hidden="false" customHeight="false" outlineLevel="0" collapsed="false">
      <c r="A3111" s="50" t="s">
        <v>1169</v>
      </c>
      <c r="B3111" s="51" t="n">
        <v>45846</v>
      </c>
      <c r="C3111" s="50" t="s">
        <v>1170</v>
      </c>
      <c r="D3111" s="50" t="s">
        <v>2176</v>
      </c>
      <c r="E3111" s="50" t="n">
        <v>5</v>
      </c>
      <c r="F3111" s="50" t="s">
        <v>2167</v>
      </c>
      <c r="G3111" s="54" t="n">
        <v>2039900</v>
      </c>
    </row>
    <row r="3112" customFormat="false" ht="15" hidden="false" customHeight="false" outlineLevel="0" collapsed="false">
      <c r="A3112" s="50" t="s">
        <v>1169</v>
      </c>
      <c r="B3112" s="51" t="n">
        <v>45846</v>
      </c>
      <c r="C3112" s="50" t="s">
        <v>1170</v>
      </c>
      <c r="D3112" s="50" t="s">
        <v>2179</v>
      </c>
      <c r="E3112" s="50" t="n">
        <v>5</v>
      </c>
      <c r="F3112" s="50" t="s">
        <v>2174</v>
      </c>
      <c r="G3112" s="54" t="n">
        <v>6312100</v>
      </c>
    </row>
    <row r="3113" customFormat="false" ht="15" hidden="false" customHeight="false" outlineLevel="0" collapsed="false">
      <c r="A3113" s="50" t="s">
        <v>1169</v>
      </c>
      <c r="B3113" s="51" t="n">
        <v>45846</v>
      </c>
      <c r="C3113" s="50" t="s">
        <v>1170</v>
      </c>
      <c r="D3113" s="50" t="s">
        <v>2186</v>
      </c>
      <c r="E3113" s="50" t="n">
        <v>8</v>
      </c>
      <c r="F3113" s="50" t="s">
        <v>2167</v>
      </c>
      <c r="G3113" s="54" t="n">
        <v>4835400</v>
      </c>
    </row>
    <row r="3114" customFormat="false" ht="15" hidden="false" customHeight="false" outlineLevel="0" collapsed="false">
      <c r="A3114" s="50" t="s">
        <v>1169</v>
      </c>
      <c r="B3114" s="51" t="n">
        <v>45846</v>
      </c>
      <c r="C3114" s="50" t="s">
        <v>1170</v>
      </c>
      <c r="D3114" s="50" t="s">
        <v>2178</v>
      </c>
      <c r="E3114" s="50" t="n">
        <v>3</v>
      </c>
      <c r="F3114" s="50" t="s">
        <v>2167</v>
      </c>
      <c r="G3114" s="54" t="n">
        <v>1492000</v>
      </c>
    </row>
    <row r="3115" customFormat="false" ht="15" hidden="false" customHeight="false" outlineLevel="0" collapsed="false">
      <c r="A3115" s="50" t="s">
        <v>1169</v>
      </c>
      <c r="B3115" s="51" t="n">
        <v>45846</v>
      </c>
      <c r="C3115" s="50" t="s">
        <v>1170</v>
      </c>
      <c r="D3115" s="50" t="s">
        <v>2173</v>
      </c>
      <c r="E3115" s="50" t="n">
        <v>6</v>
      </c>
      <c r="F3115" s="50" t="s">
        <v>2174</v>
      </c>
      <c r="G3115" s="54" t="n">
        <v>4807600</v>
      </c>
    </row>
    <row r="3116" customFormat="false" ht="15" hidden="false" customHeight="false" outlineLevel="0" collapsed="false">
      <c r="A3116" s="50" t="s">
        <v>1169</v>
      </c>
      <c r="B3116" s="51" t="n">
        <v>45846</v>
      </c>
      <c r="C3116" s="50" t="s">
        <v>1170</v>
      </c>
      <c r="D3116" s="50" t="s">
        <v>2182</v>
      </c>
      <c r="E3116" s="50" t="n">
        <v>3</v>
      </c>
      <c r="F3116" s="50" t="s">
        <v>2174</v>
      </c>
      <c r="G3116" s="54" t="n">
        <v>2754300</v>
      </c>
    </row>
    <row r="3117" customFormat="false" ht="15" hidden="false" customHeight="false" outlineLevel="0" collapsed="false">
      <c r="A3117" s="50" t="s">
        <v>1171</v>
      </c>
      <c r="B3117" s="51" t="n">
        <v>45847</v>
      </c>
      <c r="C3117" s="50" t="s">
        <v>174</v>
      </c>
      <c r="D3117" s="50" t="s">
        <v>2169</v>
      </c>
      <c r="E3117" s="50" t="n">
        <v>6</v>
      </c>
      <c r="F3117" s="50" t="s">
        <v>2167</v>
      </c>
      <c r="G3117" s="54" t="n">
        <v>3613500</v>
      </c>
    </row>
    <row r="3118" customFormat="false" ht="15" hidden="false" customHeight="false" outlineLevel="0" collapsed="false">
      <c r="A3118" s="50" t="s">
        <v>1171</v>
      </c>
      <c r="B3118" s="51" t="n">
        <v>45847</v>
      </c>
      <c r="C3118" s="50" t="s">
        <v>174</v>
      </c>
      <c r="D3118" s="50" t="s">
        <v>2186</v>
      </c>
      <c r="E3118" s="50" t="n">
        <v>4</v>
      </c>
      <c r="F3118" s="50" t="s">
        <v>2167</v>
      </c>
      <c r="G3118" s="54" t="n">
        <v>2447300</v>
      </c>
    </row>
    <row r="3119" customFormat="false" ht="15" hidden="false" customHeight="false" outlineLevel="0" collapsed="false">
      <c r="A3119" s="50" t="s">
        <v>1171</v>
      </c>
      <c r="B3119" s="51" t="n">
        <v>45847</v>
      </c>
      <c r="C3119" s="50" t="s">
        <v>174</v>
      </c>
      <c r="D3119" s="50" t="s">
        <v>2181</v>
      </c>
      <c r="E3119" s="50" t="n">
        <v>6</v>
      </c>
      <c r="F3119" s="50" t="s">
        <v>2167</v>
      </c>
      <c r="G3119" s="54" t="n">
        <v>6696100</v>
      </c>
    </row>
    <row r="3120" customFormat="false" ht="15" hidden="false" customHeight="false" outlineLevel="0" collapsed="false">
      <c r="A3120" s="50" t="s">
        <v>1172</v>
      </c>
      <c r="B3120" s="51" t="n">
        <v>45847</v>
      </c>
      <c r="C3120" s="50" t="s">
        <v>286</v>
      </c>
      <c r="D3120" s="50" t="s">
        <v>2178</v>
      </c>
      <c r="E3120" s="50" t="n">
        <v>3</v>
      </c>
      <c r="F3120" s="50" t="s">
        <v>2167</v>
      </c>
      <c r="G3120" s="54" t="n">
        <v>1471200</v>
      </c>
    </row>
    <row r="3121" customFormat="false" ht="15" hidden="false" customHeight="false" outlineLevel="0" collapsed="false">
      <c r="A3121" s="50" t="s">
        <v>1172</v>
      </c>
      <c r="B3121" s="51" t="n">
        <v>45847</v>
      </c>
      <c r="C3121" s="50" t="s">
        <v>286</v>
      </c>
      <c r="D3121" s="50" t="s">
        <v>2172</v>
      </c>
      <c r="E3121" s="50" t="n">
        <v>3</v>
      </c>
      <c r="F3121" s="50" t="s">
        <v>2167</v>
      </c>
      <c r="G3121" s="54" t="n">
        <v>1617300</v>
      </c>
    </row>
    <row r="3122" customFormat="false" ht="15" hidden="false" customHeight="false" outlineLevel="0" collapsed="false">
      <c r="A3122" s="50" t="s">
        <v>1172</v>
      </c>
      <c r="B3122" s="51" t="n">
        <v>45847</v>
      </c>
      <c r="C3122" s="50" t="s">
        <v>286</v>
      </c>
      <c r="D3122" s="50" t="s">
        <v>2168</v>
      </c>
      <c r="E3122" s="50" t="n">
        <v>5</v>
      </c>
      <c r="F3122" s="50" t="s">
        <v>2167</v>
      </c>
      <c r="G3122" s="54" t="n">
        <v>2193400</v>
      </c>
    </row>
    <row r="3123" customFormat="false" ht="15" hidden="false" customHeight="false" outlineLevel="0" collapsed="false">
      <c r="A3123" s="50" t="s">
        <v>1173</v>
      </c>
      <c r="B3123" s="51" t="n">
        <v>45847</v>
      </c>
      <c r="C3123" s="50" t="s">
        <v>234</v>
      </c>
      <c r="D3123" s="50" t="s">
        <v>2173</v>
      </c>
      <c r="E3123" s="50" t="n">
        <v>6</v>
      </c>
      <c r="F3123" s="50" t="s">
        <v>2174</v>
      </c>
      <c r="G3123" s="54" t="n">
        <v>4905300</v>
      </c>
    </row>
    <row r="3124" customFormat="false" ht="15" hidden="false" customHeight="false" outlineLevel="0" collapsed="false">
      <c r="A3124" s="50" t="s">
        <v>1173</v>
      </c>
      <c r="B3124" s="51" t="n">
        <v>45847</v>
      </c>
      <c r="C3124" s="50" t="s">
        <v>234</v>
      </c>
      <c r="D3124" s="50" t="s">
        <v>2176</v>
      </c>
      <c r="E3124" s="50" t="n">
        <v>8</v>
      </c>
      <c r="F3124" s="50" t="s">
        <v>2167</v>
      </c>
      <c r="G3124" s="54" t="n">
        <v>3401400</v>
      </c>
    </row>
    <row r="3125" customFormat="false" ht="15" hidden="false" customHeight="false" outlineLevel="0" collapsed="false">
      <c r="A3125" s="50" t="s">
        <v>1173</v>
      </c>
      <c r="B3125" s="51" t="n">
        <v>45847</v>
      </c>
      <c r="C3125" s="50" t="s">
        <v>234</v>
      </c>
      <c r="D3125" s="50" t="s">
        <v>2172</v>
      </c>
      <c r="E3125" s="50" t="n">
        <v>6</v>
      </c>
      <c r="F3125" s="50" t="s">
        <v>2167</v>
      </c>
      <c r="G3125" s="54" t="n">
        <v>3089400</v>
      </c>
    </row>
    <row r="3126" customFormat="false" ht="15" hidden="false" customHeight="false" outlineLevel="0" collapsed="false">
      <c r="A3126" s="50" t="s">
        <v>1174</v>
      </c>
      <c r="B3126" s="51" t="n">
        <v>45847</v>
      </c>
      <c r="C3126" s="50" t="s">
        <v>166</v>
      </c>
      <c r="D3126" s="50" t="s">
        <v>2179</v>
      </c>
      <c r="E3126" s="50" t="n">
        <v>6</v>
      </c>
      <c r="F3126" s="50" t="s">
        <v>2174</v>
      </c>
      <c r="G3126" s="54" t="n">
        <v>7337700</v>
      </c>
    </row>
    <row r="3127" customFormat="false" ht="15" hidden="false" customHeight="false" outlineLevel="0" collapsed="false">
      <c r="A3127" s="50" t="s">
        <v>1174</v>
      </c>
      <c r="B3127" s="51" t="n">
        <v>45847</v>
      </c>
      <c r="C3127" s="50" t="s">
        <v>166</v>
      </c>
      <c r="D3127" s="50" t="s">
        <v>2181</v>
      </c>
      <c r="E3127" s="50" t="n">
        <v>8</v>
      </c>
      <c r="F3127" s="50" t="s">
        <v>2167</v>
      </c>
      <c r="G3127" s="54" t="n">
        <v>9531700</v>
      </c>
    </row>
    <row r="3128" customFormat="false" ht="15" hidden="false" customHeight="false" outlineLevel="0" collapsed="false">
      <c r="A3128" s="50" t="s">
        <v>1174</v>
      </c>
      <c r="B3128" s="51" t="n">
        <v>45847</v>
      </c>
      <c r="C3128" s="50" t="s">
        <v>166</v>
      </c>
      <c r="D3128" s="50" t="s">
        <v>2178</v>
      </c>
      <c r="E3128" s="50" t="n">
        <v>8</v>
      </c>
      <c r="F3128" s="50" t="s">
        <v>2167</v>
      </c>
      <c r="G3128" s="54" t="n">
        <v>3814400</v>
      </c>
    </row>
    <row r="3129" customFormat="false" ht="15" hidden="false" customHeight="false" outlineLevel="0" collapsed="false">
      <c r="A3129" s="50" t="s">
        <v>1174</v>
      </c>
      <c r="B3129" s="51" t="n">
        <v>45847</v>
      </c>
      <c r="C3129" s="50" t="s">
        <v>166</v>
      </c>
      <c r="D3129" s="50" t="s">
        <v>2172</v>
      </c>
      <c r="E3129" s="50" t="n">
        <v>4</v>
      </c>
      <c r="F3129" s="50" t="s">
        <v>2167</v>
      </c>
      <c r="G3129" s="54" t="n">
        <v>2072400</v>
      </c>
    </row>
    <row r="3130" customFormat="false" ht="15" hidden="false" customHeight="false" outlineLevel="0" collapsed="false">
      <c r="A3130" s="50" t="s">
        <v>1175</v>
      </c>
      <c r="B3130" s="51" t="n">
        <v>45847</v>
      </c>
      <c r="C3130" s="50" t="s">
        <v>289</v>
      </c>
      <c r="D3130" s="50" t="s">
        <v>2185</v>
      </c>
      <c r="E3130" s="50" t="n">
        <v>7</v>
      </c>
      <c r="F3130" s="50" t="s">
        <v>2174</v>
      </c>
      <c r="G3130" s="54" t="n">
        <v>5530600</v>
      </c>
    </row>
    <row r="3131" customFormat="false" ht="15" hidden="false" customHeight="false" outlineLevel="0" collapsed="false">
      <c r="A3131" s="50" t="s">
        <v>1175</v>
      </c>
      <c r="B3131" s="51" t="n">
        <v>45847</v>
      </c>
      <c r="C3131" s="50" t="s">
        <v>289</v>
      </c>
      <c r="D3131" s="50" t="s">
        <v>2186</v>
      </c>
      <c r="E3131" s="50" t="n">
        <v>4</v>
      </c>
      <c r="F3131" s="50" t="s">
        <v>2167</v>
      </c>
      <c r="G3131" s="54" t="n">
        <v>2430300</v>
      </c>
    </row>
    <row r="3132" customFormat="false" ht="15" hidden="false" customHeight="false" outlineLevel="0" collapsed="false">
      <c r="A3132" s="50" t="s">
        <v>1175</v>
      </c>
      <c r="B3132" s="51" t="n">
        <v>45847</v>
      </c>
      <c r="C3132" s="50" t="s">
        <v>289</v>
      </c>
      <c r="D3132" s="50" t="s">
        <v>2166</v>
      </c>
      <c r="E3132" s="50" t="n">
        <v>3</v>
      </c>
      <c r="F3132" s="50" t="s">
        <v>2167</v>
      </c>
      <c r="G3132" s="54" t="n">
        <v>1656900</v>
      </c>
    </row>
    <row r="3133" customFormat="false" ht="15" hidden="false" customHeight="false" outlineLevel="0" collapsed="false">
      <c r="A3133" s="50" t="s">
        <v>1175</v>
      </c>
      <c r="B3133" s="51" t="n">
        <v>45847</v>
      </c>
      <c r="C3133" s="50" t="s">
        <v>289</v>
      </c>
      <c r="D3133" s="50" t="s">
        <v>2181</v>
      </c>
      <c r="E3133" s="50" t="n">
        <v>1</v>
      </c>
      <c r="F3133" s="50" t="s">
        <v>2167</v>
      </c>
      <c r="G3133" s="54" t="n">
        <v>1126000</v>
      </c>
    </row>
    <row r="3134" customFormat="false" ht="15" hidden="false" customHeight="false" outlineLevel="0" collapsed="false">
      <c r="A3134" s="50" t="s">
        <v>1175</v>
      </c>
      <c r="B3134" s="51" t="n">
        <v>45847</v>
      </c>
      <c r="C3134" s="50" t="s">
        <v>289</v>
      </c>
      <c r="D3134" s="50" t="s">
        <v>2184</v>
      </c>
      <c r="E3134" s="50" t="n">
        <v>6</v>
      </c>
      <c r="F3134" s="50" t="s">
        <v>2167</v>
      </c>
      <c r="G3134" s="54" t="n">
        <v>3321700</v>
      </c>
    </row>
    <row r="3135" customFormat="false" ht="15" hidden="false" customHeight="false" outlineLevel="0" collapsed="false">
      <c r="A3135" s="50" t="s">
        <v>1175</v>
      </c>
      <c r="B3135" s="51" t="n">
        <v>45847</v>
      </c>
      <c r="C3135" s="50" t="s">
        <v>289</v>
      </c>
      <c r="D3135" s="50" t="s">
        <v>2177</v>
      </c>
      <c r="E3135" s="50" t="n">
        <v>4</v>
      </c>
      <c r="F3135" s="50" t="s">
        <v>2174</v>
      </c>
      <c r="G3135" s="54" t="n">
        <v>4430700</v>
      </c>
    </row>
    <row r="3136" customFormat="false" ht="15" hidden="false" customHeight="false" outlineLevel="0" collapsed="false">
      <c r="A3136" s="50" t="s">
        <v>1175</v>
      </c>
      <c r="B3136" s="51" t="n">
        <v>45847</v>
      </c>
      <c r="C3136" s="50" t="s">
        <v>289</v>
      </c>
      <c r="D3136" s="50" t="s">
        <v>2180</v>
      </c>
      <c r="E3136" s="50" t="n">
        <v>7</v>
      </c>
      <c r="F3136" s="50" t="s">
        <v>2167</v>
      </c>
      <c r="G3136" s="54" t="n">
        <v>3067200</v>
      </c>
    </row>
    <row r="3137" customFormat="false" ht="15" hidden="false" customHeight="false" outlineLevel="0" collapsed="false">
      <c r="A3137" s="50" t="s">
        <v>1176</v>
      </c>
      <c r="B3137" s="51" t="n">
        <v>45847</v>
      </c>
      <c r="C3137" s="50" t="s">
        <v>369</v>
      </c>
      <c r="D3137" s="50" t="s">
        <v>2180</v>
      </c>
      <c r="E3137" s="50" t="n">
        <v>4</v>
      </c>
      <c r="F3137" s="50" t="s">
        <v>2167</v>
      </c>
      <c r="G3137" s="54" t="n">
        <v>1793500</v>
      </c>
    </row>
    <row r="3138" customFormat="false" ht="15" hidden="false" customHeight="false" outlineLevel="0" collapsed="false">
      <c r="A3138" s="50" t="s">
        <v>1177</v>
      </c>
      <c r="B3138" s="51" t="n">
        <v>45848</v>
      </c>
      <c r="C3138" s="50" t="s">
        <v>241</v>
      </c>
      <c r="D3138" s="50" t="s">
        <v>2186</v>
      </c>
      <c r="E3138" s="50" t="n">
        <v>8</v>
      </c>
      <c r="F3138" s="50" t="s">
        <v>2167</v>
      </c>
      <c r="G3138" s="54" t="n">
        <v>4665600</v>
      </c>
    </row>
    <row r="3139" customFormat="false" ht="15" hidden="false" customHeight="false" outlineLevel="0" collapsed="false">
      <c r="A3139" s="50" t="s">
        <v>1177</v>
      </c>
      <c r="B3139" s="51" t="n">
        <v>45848</v>
      </c>
      <c r="C3139" s="50" t="s">
        <v>241</v>
      </c>
      <c r="D3139" s="50" t="s">
        <v>2173</v>
      </c>
      <c r="E3139" s="50" t="n">
        <v>2</v>
      </c>
      <c r="F3139" s="50" t="s">
        <v>2174</v>
      </c>
      <c r="G3139" s="54" t="n">
        <v>1631600</v>
      </c>
    </row>
    <row r="3140" customFormat="false" ht="15" hidden="false" customHeight="false" outlineLevel="0" collapsed="false">
      <c r="A3140" s="50" t="s">
        <v>1177</v>
      </c>
      <c r="B3140" s="51" t="n">
        <v>45848</v>
      </c>
      <c r="C3140" s="50" t="s">
        <v>241</v>
      </c>
      <c r="D3140" s="50" t="s">
        <v>2169</v>
      </c>
      <c r="E3140" s="50" t="n">
        <v>1</v>
      </c>
      <c r="F3140" s="50" t="s">
        <v>2167</v>
      </c>
      <c r="G3140" s="54" t="n">
        <v>612000</v>
      </c>
    </row>
    <row r="3141" customFormat="false" ht="15" hidden="false" customHeight="false" outlineLevel="0" collapsed="false">
      <c r="A3141" s="50" t="s">
        <v>1178</v>
      </c>
      <c r="B3141" s="51" t="n">
        <v>45848</v>
      </c>
      <c r="C3141" s="50" t="s">
        <v>166</v>
      </c>
      <c r="D3141" s="50" t="s">
        <v>2169</v>
      </c>
      <c r="E3141" s="50" t="n">
        <v>1</v>
      </c>
      <c r="F3141" s="50" t="s">
        <v>2167</v>
      </c>
      <c r="G3141" s="54" t="n">
        <v>635100</v>
      </c>
    </row>
    <row r="3142" customFormat="false" ht="15" hidden="false" customHeight="false" outlineLevel="0" collapsed="false">
      <c r="A3142" s="50" t="s">
        <v>1179</v>
      </c>
      <c r="B3142" s="51" t="n">
        <v>45848</v>
      </c>
      <c r="C3142" s="50" t="s">
        <v>479</v>
      </c>
      <c r="D3142" s="50" t="s">
        <v>2182</v>
      </c>
      <c r="E3142" s="50" t="n">
        <v>8</v>
      </c>
      <c r="F3142" s="50" t="s">
        <v>2174</v>
      </c>
      <c r="G3142" s="54" t="n">
        <v>7775300</v>
      </c>
    </row>
    <row r="3143" customFormat="false" ht="15" hidden="false" customHeight="false" outlineLevel="0" collapsed="false">
      <c r="A3143" s="50" t="s">
        <v>1179</v>
      </c>
      <c r="B3143" s="51" t="n">
        <v>45848</v>
      </c>
      <c r="C3143" s="50" t="s">
        <v>479</v>
      </c>
      <c r="D3143" s="50" t="s">
        <v>2180</v>
      </c>
      <c r="E3143" s="50" t="n">
        <v>7</v>
      </c>
      <c r="F3143" s="50" t="s">
        <v>2167</v>
      </c>
      <c r="G3143" s="54" t="n">
        <v>3035100</v>
      </c>
    </row>
    <row r="3144" customFormat="false" ht="15" hidden="false" customHeight="false" outlineLevel="0" collapsed="false">
      <c r="A3144" s="50" t="s">
        <v>1179</v>
      </c>
      <c r="B3144" s="51" t="n">
        <v>45848</v>
      </c>
      <c r="C3144" s="50" t="s">
        <v>479</v>
      </c>
      <c r="D3144" s="50" t="s">
        <v>2177</v>
      </c>
      <c r="E3144" s="50" t="n">
        <v>5</v>
      </c>
      <c r="F3144" s="50" t="s">
        <v>2174</v>
      </c>
      <c r="G3144" s="54" t="n">
        <v>5715200</v>
      </c>
    </row>
    <row r="3145" customFormat="false" ht="15" hidden="false" customHeight="false" outlineLevel="0" collapsed="false">
      <c r="A3145" s="50" t="s">
        <v>1179</v>
      </c>
      <c r="B3145" s="51" t="n">
        <v>45848</v>
      </c>
      <c r="C3145" s="50" t="s">
        <v>479</v>
      </c>
      <c r="D3145" s="50" t="s">
        <v>2168</v>
      </c>
      <c r="E3145" s="50" t="n">
        <v>2</v>
      </c>
      <c r="F3145" s="50" t="s">
        <v>2167</v>
      </c>
      <c r="G3145" s="54" t="n">
        <v>840300</v>
      </c>
    </row>
    <row r="3146" customFormat="false" ht="15" hidden="false" customHeight="false" outlineLevel="0" collapsed="false">
      <c r="A3146" s="50" t="s">
        <v>1179</v>
      </c>
      <c r="B3146" s="51" t="n">
        <v>45848</v>
      </c>
      <c r="C3146" s="50" t="s">
        <v>479</v>
      </c>
      <c r="D3146" s="50" t="s">
        <v>2169</v>
      </c>
      <c r="E3146" s="50" t="n">
        <v>2</v>
      </c>
      <c r="F3146" s="50" t="s">
        <v>2167</v>
      </c>
      <c r="G3146" s="54" t="n">
        <v>1256500</v>
      </c>
    </row>
    <row r="3147" customFormat="false" ht="15" hidden="false" customHeight="false" outlineLevel="0" collapsed="false">
      <c r="A3147" s="50" t="s">
        <v>1180</v>
      </c>
      <c r="B3147" s="51" t="n">
        <v>45848</v>
      </c>
      <c r="C3147" s="50" t="s">
        <v>211</v>
      </c>
      <c r="D3147" s="50" t="s">
        <v>2166</v>
      </c>
      <c r="E3147" s="50" t="n">
        <v>4</v>
      </c>
      <c r="F3147" s="50" t="s">
        <v>2167</v>
      </c>
      <c r="G3147" s="54" t="n">
        <v>2146500</v>
      </c>
    </row>
    <row r="3148" customFormat="false" ht="15" hidden="false" customHeight="false" outlineLevel="0" collapsed="false">
      <c r="A3148" s="50" t="s">
        <v>1180</v>
      </c>
      <c r="B3148" s="51" t="n">
        <v>45848</v>
      </c>
      <c r="C3148" s="50" t="s">
        <v>211</v>
      </c>
      <c r="D3148" s="50" t="s">
        <v>2178</v>
      </c>
      <c r="E3148" s="50" t="n">
        <v>6</v>
      </c>
      <c r="F3148" s="50" t="s">
        <v>2167</v>
      </c>
      <c r="G3148" s="54" t="n">
        <v>2825300</v>
      </c>
    </row>
    <row r="3149" customFormat="false" ht="15" hidden="false" customHeight="false" outlineLevel="0" collapsed="false">
      <c r="A3149" s="50" t="s">
        <v>1180</v>
      </c>
      <c r="B3149" s="51" t="n">
        <v>45848</v>
      </c>
      <c r="C3149" s="50" t="s">
        <v>211</v>
      </c>
      <c r="D3149" s="50" t="s">
        <v>2183</v>
      </c>
      <c r="E3149" s="50" t="n">
        <v>2</v>
      </c>
      <c r="F3149" s="50" t="s">
        <v>2167</v>
      </c>
      <c r="G3149" s="54" t="n">
        <v>745500</v>
      </c>
    </row>
    <row r="3150" customFormat="false" ht="15" hidden="false" customHeight="false" outlineLevel="0" collapsed="false">
      <c r="A3150" s="50" t="s">
        <v>1180</v>
      </c>
      <c r="B3150" s="51" t="n">
        <v>45848</v>
      </c>
      <c r="C3150" s="50" t="s">
        <v>211</v>
      </c>
      <c r="D3150" s="50" t="s">
        <v>2179</v>
      </c>
      <c r="E3150" s="50" t="n">
        <v>3</v>
      </c>
      <c r="F3150" s="50" t="s">
        <v>2174</v>
      </c>
      <c r="G3150" s="54" t="n">
        <v>3854000</v>
      </c>
    </row>
    <row r="3151" customFormat="false" ht="15" hidden="false" customHeight="false" outlineLevel="0" collapsed="false">
      <c r="A3151" s="50" t="s">
        <v>1180</v>
      </c>
      <c r="B3151" s="51" t="n">
        <v>45848</v>
      </c>
      <c r="C3151" s="50" t="s">
        <v>211</v>
      </c>
      <c r="D3151" s="50" t="s">
        <v>2168</v>
      </c>
      <c r="E3151" s="50" t="n">
        <v>3</v>
      </c>
      <c r="F3151" s="50" t="s">
        <v>2167</v>
      </c>
      <c r="G3151" s="54" t="n">
        <v>1335600</v>
      </c>
    </row>
    <row r="3152" customFormat="false" ht="15" hidden="false" customHeight="false" outlineLevel="0" collapsed="false">
      <c r="A3152" s="50" t="s">
        <v>1180</v>
      </c>
      <c r="B3152" s="51" t="n">
        <v>45848</v>
      </c>
      <c r="C3152" s="50" t="s">
        <v>211</v>
      </c>
      <c r="D3152" s="50" t="s">
        <v>2175</v>
      </c>
      <c r="E3152" s="50" t="n">
        <v>4</v>
      </c>
      <c r="F3152" s="50" t="s">
        <v>2167</v>
      </c>
      <c r="G3152" s="54" t="n">
        <v>2632800</v>
      </c>
    </row>
    <row r="3153" customFormat="false" ht="15" hidden="false" customHeight="false" outlineLevel="0" collapsed="false">
      <c r="A3153" s="50" t="s">
        <v>1181</v>
      </c>
      <c r="B3153" s="51" t="n">
        <v>45848</v>
      </c>
      <c r="C3153" s="50" t="s">
        <v>241</v>
      </c>
      <c r="D3153" s="50" t="s">
        <v>2186</v>
      </c>
      <c r="E3153" s="50" t="n">
        <v>6</v>
      </c>
      <c r="F3153" s="50" t="s">
        <v>2167</v>
      </c>
      <c r="G3153" s="54" t="n">
        <v>3672200</v>
      </c>
    </row>
    <row r="3154" customFormat="false" ht="15" hidden="false" customHeight="false" outlineLevel="0" collapsed="false">
      <c r="A3154" s="50" t="s">
        <v>1181</v>
      </c>
      <c r="B3154" s="51" t="n">
        <v>45848</v>
      </c>
      <c r="C3154" s="50" t="s">
        <v>241</v>
      </c>
      <c r="D3154" s="50" t="s">
        <v>2176</v>
      </c>
      <c r="E3154" s="50" t="n">
        <v>7</v>
      </c>
      <c r="F3154" s="50" t="s">
        <v>2167</v>
      </c>
      <c r="G3154" s="54" t="n">
        <v>3008100</v>
      </c>
    </row>
    <row r="3155" customFormat="false" ht="15" hidden="false" customHeight="false" outlineLevel="0" collapsed="false">
      <c r="A3155" s="50" t="s">
        <v>1181</v>
      </c>
      <c r="B3155" s="51" t="n">
        <v>45848</v>
      </c>
      <c r="C3155" s="50" t="s">
        <v>241</v>
      </c>
      <c r="D3155" s="50" t="s">
        <v>2172</v>
      </c>
      <c r="E3155" s="50" t="n">
        <v>7</v>
      </c>
      <c r="F3155" s="50" t="s">
        <v>2167</v>
      </c>
      <c r="G3155" s="54" t="n">
        <v>3743400</v>
      </c>
    </row>
    <row r="3156" customFormat="false" ht="15" hidden="false" customHeight="false" outlineLevel="0" collapsed="false">
      <c r="A3156" s="50" t="s">
        <v>1181</v>
      </c>
      <c r="B3156" s="51" t="n">
        <v>45848</v>
      </c>
      <c r="C3156" s="50" t="s">
        <v>241</v>
      </c>
      <c r="D3156" s="50" t="s">
        <v>2180</v>
      </c>
      <c r="E3156" s="50" t="n">
        <v>8</v>
      </c>
      <c r="F3156" s="50" t="s">
        <v>2167</v>
      </c>
      <c r="G3156" s="54" t="n">
        <v>3674600</v>
      </c>
    </row>
    <row r="3157" customFormat="false" ht="15" hidden="false" customHeight="false" outlineLevel="0" collapsed="false">
      <c r="A3157" s="50" t="s">
        <v>1181</v>
      </c>
      <c r="B3157" s="51" t="n">
        <v>45848</v>
      </c>
      <c r="C3157" s="50" t="s">
        <v>241</v>
      </c>
      <c r="D3157" s="50" t="s">
        <v>2169</v>
      </c>
      <c r="E3157" s="50" t="n">
        <v>1</v>
      </c>
      <c r="F3157" s="50" t="s">
        <v>2167</v>
      </c>
      <c r="G3157" s="54" t="n">
        <v>636200</v>
      </c>
    </row>
    <row r="3158" customFormat="false" ht="15" hidden="false" customHeight="false" outlineLevel="0" collapsed="false">
      <c r="A3158" s="50" t="s">
        <v>1181</v>
      </c>
      <c r="B3158" s="51" t="n">
        <v>45848</v>
      </c>
      <c r="C3158" s="50" t="s">
        <v>241</v>
      </c>
      <c r="D3158" s="50" t="s">
        <v>2168</v>
      </c>
      <c r="E3158" s="50" t="n">
        <v>7</v>
      </c>
      <c r="F3158" s="50" t="s">
        <v>2167</v>
      </c>
      <c r="G3158" s="54" t="n">
        <v>2895100</v>
      </c>
    </row>
    <row r="3159" customFormat="false" ht="15" hidden="false" customHeight="false" outlineLevel="0" collapsed="false">
      <c r="A3159" s="50" t="s">
        <v>1182</v>
      </c>
      <c r="B3159" s="51" t="n">
        <v>45848</v>
      </c>
      <c r="C3159" s="50" t="s">
        <v>410</v>
      </c>
      <c r="D3159" s="50" t="s">
        <v>2186</v>
      </c>
      <c r="E3159" s="50" t="n">
        <v>7</v>
      </c>
      <c r="F3159" s="50" t="s">
        <v>2167</v>
      </c>
      <c r="G3159" s="54" t="n">
        <v>4280300</v>
      </c>
    </row>
    <row r="3160" customFormat="false" ht="15" hidden="false" customHeight="false" outlineLevel="0" collapsed="false">
      <c r="A3160" s="50" t="s">
        <v>1182</v>
      </c>
      <c r="B3160" s="51" t="n">
        <v>45848</v>
      </c>
      <c r="C3160" s="50" t="s">
        <v>410</v>
      </c>
      <c r="D3160" s="50" t="s">
        <v>2169</v>
      </c>
      <c r="E3160" s="50" t="n">
        <v>6</v>
      </c>
      <c r="F3160" s="50" t="s">
        <v>2167</v>
      </c>
      <c r="G3160" s="54" t="n">
        <v>3772200</v>
      </c>
    </row>
    <row r="3161" customFormat="false" ht="15" hidden="false" customHeight="false" outlineLevel="0" collapsed="false">
      <c r="A3161" s="50" t="s">
        <v>1182</v>
      </c>
      <c r="B3161" s="51" t="n">
        <v>45848</v>
      </c>
      <c r="C3161" s="50" t="s">
        <v>410</v>
      </c>
      <c r="D3161" s="50" t="s">
        <v>2175</v>
      </c>
      <c r="E3161" s="50" t="n">
        <v>4</v>
      </c>
      <c r="F3161" s="50" t="s">
        <v>2167</v>
      </c>
      <c r="G3161" s="54" t="n">
        <v>2510100</v>
      </c>
    </row>
    <row r="3162" customFormat="false" ht="15" hidden="false" customHeight="false" outlineLevel="0" collapsed="false">
      <c r="A3162" s="50" t="s">
        <v>1182</v>
      </c>
      <c r="B3162" s="51" t="n">
        <v>45848</v>
      </c>
      <c r="C3162" s="50" t="s">
        <v>410</v>
      </c>
      <c r="D3162" s="50" t="s">
        <v>2183</v>
      </c>
      <c r="E3162" s="50" t="n">
        <v>8</v>
      </c>
      <c r="F3162" s="50" t="s">
        <v>2167</v>
      </c>
      <c r="G3162" s="54" t="n">
        <v>2988200</v>
      </c>
    </row>
    <row r="3163" customFormat="false" ht="15" hidden="false" customHeight="false" outlineLevel="0" collapsed="false">
      <c r="A3163" s="50" t="s">
        <v>1183</v>
      </c>
      <c r="B3163" s="51" t="n">
        <v>45848</v>
      </c>
      <c r="C3163" s="50" t="s">
        <v>293</v>
      </c>
      <c r="D3163" s="50" t="s">
        <v>2173</v>
      </c>
      <c r="E3163" s="50" t="n">
        <v>3</v>
      </c>
      <c r="F3163" s="50" t="s">
        <v>2174</v>
      </c>
      <c r="G3163" s="54" t="n">
        <v>2318500</v>
      </c>
    </row>
    <row r="3164" customFormat="false" ht="15" hidden="false" customHeight="false" outlineLevel="0" collapsed="false">
      <c r="A3164" s="50" t="s">
        <v>1183</v>
      </c>
      <c r="B3164" s="51" t="n">
        <v>45848</v>
      </c>
      <c r="C3164" s="50" t="s">
        <v>293</v>
      </c>
      <c r="D3164" s="50" t="s">
        <v>2179</v>
      </c>
      <c r="E3164" s="50" t="n">
        <v>6</v>
      </c>
      <c r="F3164" s="50" t="s">
        <v>2174</v>
      </c>
      <c r="G3164" s="54" t="n">
        <v>7451500</v>
      </c>
    </row>
    <row r="3165" customFormat="false" ht="15" hidden="false" customHeight="false" outlineLevel="0" collapsed="false">
      <c r="A3165" s="50" t="s">
        <v>1183</v>
      </c>
      <c r="B3165" s="51" t="n">
        <v>45848</v>
      </c>
      <c r="C3165" s="50" t="s">
        <v>293</v>
      </c>
      <c r="D3165" s="50" t="s">
        <v>2185</v>
      </c>
      <c r="E3165" s="50" t="n">
        <v>2</v>
      </c>
      <c r="F3165" s="50" t="s">
        <v>2174</v>
      </c>
      <c r="G3165" s="54" t="n">
        <v>1602200</v>
      </c>
    </row>
    <row r="3166" customFormat="false" ht="15" hidden="false" customHeight="false" outlineLevel="0" collapsed="false">
      <c r="A3166" s="50" t="s">
        <v>1183</v>
      </c>
      <c r="B3166" s="51" t="n">
        <v>45848</v>
      </c>
      <c r="C3166" s="50" t="s">
        <v>293</v>
      </c>
      <c r="D3166" s="50" t="s">
        <v>2166</v>
      </c>
      <c r="E3166" s="50" t="n">
        <v>6</v>
      </c>
      <c r="F3166" s="50" t="s">
        <v>2167</v>
      </c>
      <c r="G3166" s="54" t="n">
        <v>3231400</v>
      </c>
    </row>
    <row r="3167" customFormat="false" ht="15" hidden="false" customHeight="false" outlineLevel="0" collapsed="false">
      <c r="A3167" s="50" t="s">
        <v>1183</v>
      </c>
      <c r="B3167" s="51" t="n">
        <v>45848</v>
      </c>
      <c r="C3167" s="50" t="s">
        <v>293</v>
      </c>
      <c r="D3167" s="50" t="s">
        <v>2169</v>
      </c>
      <c r="E3167" s="50" t="n">
        <v>8</v>
      </c>
      <c r="F3167" s="50" t="s">
        <v>2167</v>
      </c>
      <c r="G3167" s="54" t="n">
        <v>5046400</v>
      </c>
    </row>
    <row r="3168" customFormat="false" ht="15" hidden="false" customHeight="false" outlineLevel="0" collapsed="false">
      <c r="A3168" s="50" t="s">
        <v>1184</v>
      </c>
      <c r="B3168" s="51" t="n">
        <v>45848</v>
      </c>
      <c r="C3168" s="50" t="s">
        <v>174</v>
      </c>
      <c r="D3168" s="50" t="s">
        <v>2176</v>
      </c>
      <c r="E3168" s="50" t="n">
        <v>1</v>
      </c>
      <c r="F3168" s="50" t="s">
        <v>2167</v>
      </c>
      <c r="G3168" s="54" t="n">
        <v>428700</v>
      </c>
    </row>
    <row r="3169" customFormat="false" ht="15" hidden="false" customHeight="false" outlineLevel="0" collapsed="false">
      <c r="A3169" s="50" t="s">
        <v>1184</v>
      </c>
      <c r="B3169" s="51" t="n">
        <v>45848</v>
      </c>
      <c r="C3169" s="50" t="s">
        <v>174</v>
      </c>
      <c r="D3169" s="50" t="s">
        <v>2175</v>
      </c>
      <c r="E3169" s="50" t="n">
        <v>4</v>
      </c>
      <c r="F3169" s="50" t="s">
        <v>2167</v>
      </c>
      <c r="G3169" s="54" t="n">
        <v>2596300</v>
      </c>
    </row>
    <row r="3170" customFormat="false" ht="15" hidden="false" customHeight="false" outlineLevel="0" collapsed="false">
      <c r="A3170" s="50" t="s">
        <v>1184</v>
      </c>
      <c r="B3170" s="51" t="n">
        <v>45848</v>
      </c>
      <c r="C3170" s="50" t="s">
        <v>174</v>
      </c>
      <c r="D3170" s="50" t="s">
        <v>2180</v>
      </c>
      <c r="E3170" s="50" t="n">
        <v>3</v>
      </c>
      <c r="F3170" s="50" t="s">
        <v>2167</v>
      </c>
      <c r="G3170" s="54" t="n">
        <v>1315000</v>
      </c>
    </row>
    <row r="3171" customFormat="false" ht="15" hidden="false" customHeight="false" outlineLevel="0" collapsed="false">
      <c r="A3171" s="50" t="s">
        <v>1185</v>
      </c>
      <c r="B3171" s="51" t="n">
        <v>45849</v>
      </c>
      <c r="C3171" s="50" t="s">
        <v>188</v>
      </c>
      <c r="D3171" s="50" t="s">
        <v>2181</v>
      </c>
      <c r="E3171" s="50" t="n">
        <v>1</v>
      </c>
      <c r="F3171" s="50" t="s">
        <v>2167</v>
      </c>
      <c r="G3171" s="54" t="n">
        <v>1195200</v>
      </c>
    </row>
    <row r="3172" customFormat="false" ht="15" hidden="false" customHeight="false" outlineLevel="0" collapsed="false">
      <c r="A3172" s="50" t="s">
        <v>1185</v>
      </c>
      <c r="B3172" s="51" t="n">
        <v>45849</v>
      </c>
      <c r="C3172" s="50" t="s">
        <v>188</v>
      </c>
      <c r="D3172" s="50" t="s">
        <v>2184</v>
      </c>
      <c r="E3172" s="50" t="n">
        <v>6</v>
      </c>
      <c r="F3172" s="50" t="s">
        <v>2167</v>
      </c>
      <c r="G3172" s="54" t="n">
        <v>3351500</v>
      </c>
    </row>
    <row r="3173" customFormat="false" ht="15" hidden="false" customHeight="false" outlineLevel="0" collapsed="false">
      <c r="A3173" s="50" t="s">
        <v>1186</v>
      </c>
      <c r="B3173" s="51" t="n">
        <v>45849</v>
      </c>
      <c r="C3173" s="50" t="s">
        <v>358</v>
      </c>
      <c r="D3173" s="50" t="s">
        <v>2178</v>
      </c>
      <c r="E3173" s="50" t="n">
        <v>7</v>
      </c>
      <c r="F3173" s="50" t="s">
        <v>2167</v>
      </c>
      <c r="G3173" s="54" t="n">
        <v>3439300</v>
      </c>
    </row>
    <row r="3174" customFormat="false" ht="15" hidden="false" customHeight="false" outlineLevel="0" collapsed="false">
      <c r="A3174" s="50" t="s">
        <v>1186</v>
      </c>
      <c r="B3174" s="51" t="n">
        <v>45849</v>
      </c>
      <c r="C3174" s="50" t="s">
        <v>358</v>
      </c>
      <c r="D3174" s="50" t="s">
        <v>2182</v>
      </c>
      <c r="E3174" s="50" t="n">
        <v>4</v>
      </c>
      <c r="F3174" s="50" t="s">
        <v>2174</v>
      </c>
      <c r="G3174" s="54" t="n">
        <v>3785100</v>
      </c>
    </row>
    <row r="3175" customFormat="false" ht="15" hidden="false" customHeight="false" outlineLevel="0" collapsed="false">
      <c r="A3175" s="50" t="s">
        <v>1187</v>
      </c>
      <c r="B3175" s="51" t="n">
        <v>45849</v>
      </c>
      <c r="C3175" s="50" t="s">
        <v>228</v>
      </c>
      <c r="D3175" s="50" t="s">
        <v>2186</v>
      </c>
      <c r="E3175" s="50" t="n">
        <v>3</v>
      </c>
      <c r="F3175" s="50" t="s">
        <v>2167</v>
      </c>
      <c r="G3175" s="54" t="n">
        <v>1700600</v>
      </c>
    </row>
    <row r="3176" customFormat="false" ht="15" hidden="false" customHeight="false" outlineLevel="0" collapsed="false">
      <c r="A3176" s="50" t="s">
        <v>1187</v>
      </c>
      <c r="B3176" s="51" t="n">
        <v>45849</v>
      </c>
      <c r="C3176" s="50" t="s">
        <v>228</v>
      </c>
      <c r="D3176" s="50" t="s">
        <v>2168</v>
      </c>
      <c r="E3176" s="50" t="n">
        <v>3</v>
      </c>
      <c r="F3176" s="50" t="s">
        <v>2167</v>
      </c>
      <c r="G3176" s="54" t="n">
        <v>1271200</v>
      </c>
    </row>
    <row r="3177" customFormat="false" ht="15" hidden="false" customHeight="false" outlineLevel="0" collapsed="false">
      <c r="A3177" s="50" t="s">
        <v>1187</v>
      </c>
      <c r="B3177" s="51" t="n">
        <v>45849</v>
      </c>
      <c r="C3177" s="50" t="s">
        <v>228</v>
      </c>
      <c r="D3177" s="50" t="s">
        <v>2176</v>
      </c>
      <c r="E3177" s="50" t="n">
        <v>3</v>
      </c>
      <c r="F3177" s="50" t="s">
        <v>2167</v>
      </c>
      <c r="G3177" s="54" t="n">
        <v>1215900</v>
      </c>
    </row>
    <row r="3178" customFormat="false" ht="15" hidden="false" customHeight="false" outlineLevel="0" collapsed="false">
      <c r="A3178" s="50" t="s">
        <v>1188</v>
      </c>
      <c r="B3178" s="51" t="n">
        <v>45849</v>
      </c>
      <c r="C3178" s="50" t="s">
        <v>540</v>
      </c>
      <c r="D3178" s="50" t="s">
        <v>2181</v>
      </c>
      <c r="E3178" s="50" t="n">
        <v>4</v>
      </c>
      <c r="F3178" s="50" t="s">
        <v>2167</v>
      </c>
      <c r="G3178" s="54" t="n">
        <v>4696300</v>
      </c>
    </row>
    <row r="3179" customFormat="false" ht="15" hidden="false" customHeight="false" outlineLevel="0" collapsed="false">
      <c r="A3179" s="50" t="s">
        <v>1188</v>
      </c>
      <c r="B3179" s="51" t="n">
        <v>45849</v>
      </c>
      <c r="C3179" s="50" t="s">
        <v>540</v>
      </c>
      <c r="D3179" s="50" t="s">
        <v>2175</v>
      </c>
      <c r="E3179" s="50" t="n">
        <v>1</v>
      </c>
      <c r="F3179" s="50" t="s">
        <v>2167</v>
      </c>
      <c r="G3179" s="54" t="n">
        <v>626600</v>
      </c>
    </row>
    <row r="3180" customFormat="false" ht="15" hidden="false" customHeight="false" outlineLevel="0" collapsed="false">
      <c r="A3180" s="50" t="s">
        <v>1188</v>
      </c>
      <c r="B3180" s="51" t="n">
        <v>45849</v>
      </c>
      <c r="C3180" s="50" t="s">
        <v>540</v>
      </c>
      <c r="D3180" s="50" t="s">
        <v>2168</v>
      </c>
      <c r="E3180" s="50" t="n">
        <v>7</v>
      </c>
      <c r="F3180" s="50" t="s">
        <v>2167</v>
      </c>
      <c r="G3180" s="54" t="n">
        <v>2912900</v>
      </c>
    </row>
    <row r="3181" customFormat="false" ht="15" hidden="false" customHeight="false" outlineLevel="0" collapsed="false">
      <c r="A3181" s="50" t="s">
        <v>1188</v>
      </c>
      <c r="B3181" s="51" t="n">
        <v>45849</v>
      </c>
      <c r="C3181" s="50" t="s">
        <v>540</v>
      </c>
      <c r="D3181" s="50" t="s">
        <v>2180</v>
      </c>
      <c r="E3181" s="50" t="n">
        <v>7</v>
      </c>
      <c r="F3181" s="50" t="s">
        <v>2167</v>
      </c>
      <c r="G3181" s="54" t="n">
        <v>3078800</v>
      </c>
    </row>
    <row r="3182" customFormat="false" ht="15" hidden="false" customHeight="false" outlineLevel="0" collapsed="false">
      <c r="A3182" s="50" t="s">
        <v>1189</v>
      </c>
      <c r="B3182" s="51" t="n">
        <v>45850</v>
      </c>
      <c r="C3182" s="50" t="s">
        <v>1147</v>
      </c>
      <c r="D3182" s="50" t="s">
        <v>2182</v>
      </c>
      <c r="E3182" s="50" t="n">
        <v>7</v>
      </c>
      <c r="F3182" s="50" t="s">
        <v>2174</v>
      </c>
      <c r="G3182" s="54" t="n">
        <v>6829800</v>
      </c>
    </row>
    <row r="3183" customFormat="false" ht="15" hidden="false" customHeight="false" outlineLevel="0" collapsed="false">
      <c r="A3183" s="50" t="s">
        <v>1189</v>
      </c>
      <c r="B3183" s="51" t="n">
        <v>45850</v>
      </c>
      <c r="C3183" s="50" t="s">
        <v>1147</v>
      </c>
      <c r="D3183" s="50" t="s">
        <v>2172</v>
      </c>
      <c r="E3183" s="50" t="n">
        <v>2</v>
      </c>
      <c r="F3183" s="50" t="s">
        <v>2167</v>
      </c>
      <c r="G3183" s="54" t="n">
        <v>1005900</v>
      </c>
    </row>
    <row r="3184" customFormat="false" ht="15" hidden="false" customHeight="false" outlineLevel="0" collapsed="false">
      <c r="A3184" s="50" t="s">
        <v>1190</v>
      </c>
      <c r="B3184" s="51" t="n">
        <v>45850</v>
      </c>
      <c r="C3184" s="50" t="s">
        <v>286</v>
      </c>
      <c r="D3184" s="50" t="s">
        <v>2177</v>
      </c>
      <c r="E3184" s="50" t="n">
        <v>8</v>
      </c>
      <c r="F3184" s="50" t="s">
        <v>2174</v>
      </c>
      <c r="G3184" s="54" t="n">
        <v>8623200</v>
      </c>
    </row>
    <row r="3185" customFormat="false" ht="15" hidden="false" customHeight="false" outlineLevel="0" collapsed="false">
      <c r="A3185" s="50" t="s">
        <v>1190</v>
      </c>
      <c r="B3185" s="51" t="n">
        <v>45850</v>
      </c>
      <c r="C3185" s="50" t="s">
        <v>286</v>
      </c>
      <c r="D3185" s="50" t="s">
        <v>2181</v>
      </c>
      <c r="E3185" s="50" t="n">
        <v>3</v>
      </c>
      <c r="F3185" s="50" t="s">
        <v>2167</v>
      </c>
      <c r="G3185" s="54" t="n">
        <v>3441700</v>
      </c>
    </row>
    <row r="3186" customFormat="false" ht="15" hidden="false" customHeight="false" outlineLevel="0" collapsed="false">
      <c r="A3186" s="50" t="s">
        <v>1191</v>
      </c>
      <c r="B3186" s="51" t="n">
        <v>45850</v>
      </c>
      <c r="C3186" s="50" t="s">
        <v>166</v>
      </c>
      <c r="D3186" s="50" t="s">
        <v>2183</v>
      </c>
      <c r="E3186" s="50" t="n">
        <v>3</v>
      </c>
      <c r="F3186" s="50" t="s">
        <v>2167</v>
      </c>
      <c r="G3186" s="54" t="n">
        <v>1125100</v>
      </c>
    </row>
    <row r="3187" customFormat="false" ht="15" hidden="false" customHeight="false" outlineLevel="0" collapsed="false">
      <c r="A3187" s="50" t="s">
        <v>1191</v>
      </c>
      <c r="B3187" s="51" t="n">
        <v>45850</v>
      </c>
      <c r="C3187" s="50" t="s">
        <v>166</v>
      </c>
      <c r="D3187" s="50" t="s">
        <v>2175</v>
      </c>
      <c r="E3187" s="50" t="n">
        <v>3</v>
      </c>
      <c r="F3187" s="50" t="s">
        <v>2167</v>
      </c>
      <c r="G3187" s="54" t="n">
        <v>1974700</v>
      </c>
    </row>
    <row r="3188" customFormat="false" ht="15" hidden="false" customHeight="false" outlineLevel="0" collapsed="false">
      <c r="A3188" s="50" t="s">
        <v>1191</v>
      </c>
      <c r="B3188" s="51" t="n">
        <v>45850</v>
      </c>
      <c r="C3188" s="50" t="s">
        <v>166</v>
      </c>
      <c r="D3188" s="50" t="s">
        <v>2182</v>
      </c>
      <c r="E3188" s="50" t="n">
        <v>5</v>
      </c>
      <c r="F3188" s="50" t="s">
        <v>2174</v>
      </c>
      <c r="G3188" s="54" t="n">
        <v>4586800</v>
      </c>
    </row>
    <row r="3189" customFormat="false" ht="15" hidden="false" customHeight="false" outlineLevel="0" collapsed="false">
      <c r="A3189" s="50" t="s">
        <v>1191</v>
      </c>
      <c r="B3189" s="51" t="n">
        <v>45850</v>
      </c>
      <c r="C3189" s="50" t="s">
        <v>166</v>
      </c>
      <c r="D3189" s="50" t="s">
        <v>2176</v>
      </c>
      <c r="E3189" s="50" t="n">
        <v>1</v>
      </c>
      <c r="F3189" s="50" t="s">
        <v>2167</v>
      </c>
      <c r="G3189" s="54" t="n">
        <v>421300</v>
      </c>
    </row>
    <row r="3190" customFormat="false" ht="15" hidden="false" customHeight="false" outlineLevel="0" collapsed="false">
      <c r="A3190" s="50" t="s">
        <v>1192</v>
      </c>
      <c r="B3190" s="51" t="n">
        <v>45850</v>
      </c>
      <c r="C3190" s="50" t="s">
        <v>207</v>
      </c>
      <c r="D3190" s="50" t="s">
        <v>2176</v>
      </c>
      <c r="E3190" s="50" t="n">
        <v>4</v>
      </c>
      <c r="F3190" s="50" t="s">
        <v>2167</v>
      </c>
      <c r="G3190" s="54" t="n">
        <v>1636200</v>
      </c>
    </row>
    <row r="3191" customFormat="false" ht="15" hidden="false" customHeight="false" outlineLevel="0" collapsed="false">
      <c r="A3191" s="50" t="s">
        <v>1192</v>
      </c>
      <c r="B3191" s="51" t="n">
        <v>45850</v>
      </c>
      <c r="C3191" s="50" t="s">
        <v>207</v>
      </c>
      <c r="D3191" s="50" t="s">
        <v>2186</v>
      </c>
      <c r="E3191" s="50" t="n">
        <v>5</v>
      </c>
      <c r="F3191" s="50" t="s">
        <v>2167</v>
      </c>
      <c r="G3191" s="54" t="n">
        <v>3003400</v>
      </c>
    </row>
    <row r="3192" customFormat="false" ht="15" hidden="false" customHeight="false" outlineLevel="0" collapsed="false">
      <c r="A3192" s="50" t="s">
        <v>1193</v>
      </c>
      <c r="B3192" s="51" t="n">
        <v>45852</v>
      </c>
      <c r="C3192" s="50" t="s">
        <v>447</v>
      </c>
      <c r="D3192" s="50" t="s">
        <v>2184</v>
      </c>
      <c r="E3192" s="50" t="n">
        <v>4</v>
      </c>
      <c r="F3192" s="50" t="s">
        <v>2167</v>
      </c>
      <c r="G3192" s="54" t="n">
        <v>2216800</v>
      </c>
    </row>
    <row r="3193" customFormat="false" ht="15" hidden="false" customHeight="false" outlineLevel="0" collapsed="false">
      <c r="A3193" s="50" t="s">
        <v>1193</v>
      </c>
      <c r="B3193" s="51" t="n">
        <v>45852</v>
      </c>
      <c r="C3193" s="50" t="s">
        <v>447</v>
      </c>
      <c r="D3193" s="50" t="s">
        <v>2177</v>
      </c>
      <c r="E3193" s="50" t="n">
        <v>8</v>
      </c>
      <c r="F3193" s="50" t="s">
        <v>2174</v>
      </c>
      <c r="G3193" s="54" t="n">
        <v>8905600</v>
      </c>
    </row>
    <row r="3194" customFormat="false" ht="15" hidden="false" customHeight="false" outlineLevel="0" collapsed="false">
      <c r="A3194" s="50" t="s">
        <v>1193</v>
      </c>
      <c r="B3194" s="51" t="n">
        <v>45852</v>
      </c>
      <c r="C3194" s="50" t="s">
        <v>447</v>
      </c>
      <c r="D3194" s="50" t="s">
        <v>2183</v>
      </c>
      <c r="E3194" s="50" t="n">
        <v>8</v>
      </c>
      <c r="F3194" s="50" t="s">
        <v>2167</v>
      </c>
      <c r="G3194" s="54" t="n">
        <v>3125900</v>
      </c>
    </row>
    <row r="3195" customFormat="false" ht="15" hidden="false" customHeight="false" outlineLevel="0" collapsed="false">
      <c r="A3195" s="50" t="s">
        <v>1193</v>
      </c>
      <c r="B3195" s="51" t="n">
        <v>45852</v>
      </c>
      <c r="C3195" s="50" t="s">
        <v>447</v>
      </c>
      <c r="D3195" s="50" t="s">
        <v>2176</v>
      </c>
      <c r="E3195" s="50" t="n">
        <v>3</v>
      </c>
      <c r="F3195" s="50" t="s">
        <v>2167</v>
      </c>
      <c r="G3195" s="54" t="n">
        <v>1303900</v>
      </c>
    </row>
    <row r="3196" customFormat="false" ht="15" hidden="false" customHeight="false" outlineLevel="0" collapsed="false">
      <c r="A3196" s="50" t="s">
        <v>1193</v>
      </c>
      <c r="B3196" s="51" t="n">
        <v>45852</v>
      </c>
      <c r="C3196" s="50" t="s">
        <v>447</v>
      </c>
      <c r="D3196" s="50" t="s">
        <v>2182</v>
      </c>
      <c r="E3196" s="50" t="n">
        <v>6</v>
      </c>
      <c r="F3196" s="50" t="s">
        <v>2174</v>
      </c>
      <c r="G3196" s="54" t="n">
        <v>5853400</v>
      </c>
    </row>
    <row r="3197" customFormat="false" ht="15" hidden="false" customHeight="false" outlineLevel="0" collapsed="false">
      <c r="A3197" s="50" t="s">
        <v>1194</v>
      </c>
      <c r="B3197" s="51" t="n">
        <v>45852</v>
      </c>
      <c r="C3197" s="50" t="s">
        <v>188</v>
      </c>
      <c r="D3197" s="50" t="s">
        <v>2183</v>
      </c>
      <c r="E3197" s="50" t="n">
        <v>5</v>
      </c>
      <c r="F3197" s="50" t="s">
        <v>2167</v>
      </c>
      <c r="G3197" s="54" t="n">
        <v>1854100</v>
      </c>
    </row>
    <row r="3198" customFormat="false" ht="15" hidden="false" customHeight="false" outlineLevel="0" collapsed="false">
      <c r="A3198" s="50" t="s">
        <v>1194</v>
      </c>
      <c r="B3198" s="51" t="n">
        <v>45852</v>
      </c>
      <c r="C3198" s="50" t="s">
        <v>188</v>
      </c>
      <c r="D3198" s="50" t="s">
        <v>2176</v>
      </c>
      <c r="E3198" s="50" t="n">
        <v>1</v>
      </c>
      <c r="F3198" s="50" t="s">
        <v>2167</v>
      </c>
      <c r="G3198" s="54" t="n">
        <v>407600</v>
      </c>
    </row>
    <row r="3199" customFormat="false" ht="15" hidden="false" customHeight="false" outlineLevel="0" collapsed="false">
      <c r="A3199" s="50" t="s">
        <v>1194</v>
      </c>
      <c r="B3199" s="51" t="n">
        <v>45852</v>
      </c>
      <c r="C3199" s="50" t="s">
        <v>188</v>
      </c>
      <c r="D3199" s="50" t="s">
        <v>2184</v>
      </c>
      <c r="E3199" s="50" t="n">
        <v>1</v>
      </c>
      <c r="F3199" s="50" t="s">
        <v>2167</v>
      </c>
      <c r="G3199" s="54" t="n">
        <v>579200</v>
      </c>
    </row>
    <row r="3200" customFormat="false" ht="15" hidden="false" customHeight="false" outlineLevel="0" collapsed="false">
      <c r="A3200" s="50" t="s">
        <v>1194</v>
      </c>
      <c r="B3200" s="51" t="n">
        <v>45852</v>
      </c>
      <c r="C3200" s="50" t="s">
        <v>188</v>
      </c>
      <c r="D3200" s="50" t="s">
        <v>2187</v>
      </c>
      <c r="E3200" s="50" t="n">
        <v>7</v>
      </c>
      <c r="F3200" s="50" t="s">
        <v>2167</v>
      </c>
      <c r="G3200" s="54" t="n">
        <v>2504000</v>
      </c>
    </row>
    <row r="3201" customFormat="false" ht="15" hidden="false" customHeight="false" outlineLevel="0" collapsed="false">
      <c r="A3201" s="50" t="s">
        <v>1195</v>
      </c>
      <c r="B3201" s="51" t="n">
        <v>45852</v>
      </c>
      <c r="C3201" s="50" t="s">
        <v>223</v>
      </c>
      <c r="D3201" s="50" t="s">
        <v>2188</v>
      </c>
      <c r="E3201" s="50" t="n">
        <v>3</v>
      </c>
      <c r="F3201" s="50" t="s">
        <v>2167</v>
      </c>
      <c r="G3201" s="54" t="n">
        <v>2891700</v>
      </c>
    </row>
    <row r="3202" customFormat="false" ht="15" hidden="false" customHeight="false" outlineLevel="0" collapsed="false">
      <c r="A3202" s="50" t="s">
        <v>1195</v>
      </c>
      <c r="B3202" s="51" t="n">
        <v>45852</v>
      </c>
      <c r="C3202" s="50" t="s">
        <v>223</v>
      </c>
      <c r="D3202" s="50" t="s">
        <v>2185</v>
      </c>
      <c r="E3202" s="50" t="n">
        <v>5</v>
      </c>
      <c r="F3202" s="50" t="s">
        <v>2174</v>
      </c>
      <c r="G3202" s="54" t="n">
        <v>3834200</v>
      </c>
    </row>
    <row r="3203" customFormat="false" ht="15" hidden="false" customHeight="false" outlineLevel="0" collapsed="false">
      <c r="A3203" s="50" t="s">
        <v>1195</v>
      </c>
      <c r="B3203" s="51" t="n">
        <v>45852</v>
      </c>
      <c r="C3203" s="50" t="s">
        <v>223</v>
      </c>
      <c r="D3203" s="50" t="s">
        <v>2169</v>
      </c>
      <c r="E3203" s="50" t="n">
        <v>3</v>
      </c>
      <c r="F3203" s="50" t="s">
        <v>2167</v>
      </c>
      <c r="G3203" s="54" t="n">
        <v>1820000</v>
      </c>
    </row>
    <row r="3204" customFormat="false" ht="15" hidden="false" customHeight="false" outlineLevel="0" collapsed="false">
      <c r="A3204" s="50" t="s">
        <v>1196</v>
      </c>
      <c r="B3204" s="51" t="n">
        <v>45852</v>
      </c>
      <c r="C3204" s="50" t="s">
        <v>199</v>
      </c>
      <c r="D3204" s="50" t="s">
        <v>2180</v>
      </c>
      <c r="E3204" s="50" t="n">
        <v>2</v>
      </c>
      <c r="F3204" s="50" t="s">
        <v>2167</v>
      </c>
      <c r="G3204" s="54" t="n">
        <v>865400</v>
      </c>
    </row>
    <row r="3205" customFormat="false" ht="15" hidden="false" customHeight="false" outlineLevel="0" collapsed="false">
      <c r="A3205" s="50" t="s">
        <v>1197</v>
      </c>
      <c r="B3205" s="51" t="n">
        <v>45852</v>
      </c>
      <c r="C3205" s="50" t="s">
        <v>269</v>
      </c>
      <c r="D3205" s="50" t="s">
        <v>2166</v>
      </c>
      <c r="E3205" s="50" t="n">
        <v>5</v>
      </c>
      <c r="F3205" s="50" t="s">
        <v>2167</v>
      </c>
      <c r="G3205" s="54" t="n">
        <v>2659100</v>
      </c>
    </row>
    <row r="3206" customFormat="false" ht="15" hidden="false" customHeight="false" outlineLevel="0" collapsed="false">
      <c r="A3206" s="50" t="s">
        <v>1197</v>
      </c>
      <c r="B3206" s="51" t="n">
        <v>45852</v>
      </c>
      <c r="C3206" s="50" t="s">
        <v>269</v>
      </c>
      <c r="D3206" s="50" t="s">
        <v>2185</v>
      </c>
      <c r="E3206" s="50" t="n">
        <v>2</v>
      </c>
      <c r="F3206" s="50" t="s">
        <v>2174</v>
      </c>
      <c r="G3206" s="54" t="n">
        <v>1505700</v>
      </c>
    </row>
    <row r="3207" customFormat="false" ht="15" hidden="false" customHeight="false" outlineLevel="0" collapsed="false">
      <c r="A3207" s="50" t="s">
        <v>1197</v>
      </c>
      <c r="B3207" s="51" t="n">
        <v>45852</v>
      </c>
      <c r="C3207" s="50" t="s">
        <v>269</v>
      </c>
      <c r="D3207" s="50" t="s">
        <v>2176</v>
      </c>
      <c r="E3207" s="50" t="n">
        <v>8</v>
      </c>
      <c r="F3207" s="50" t="s">
        <v>2167</v>
      </c>
      <c r="G3207" s="54" t="n">
        <v>3360300</v>
      </c>
    </row>
    <row r="3208" customFormat="false" ht="15" hidden="false" customHeight="false" outlineLevel="0" collapsed="false">
      <c r="A3208" s="50" t="s">
        <v>1198</v>
      </c>
      <c r="B3208" s="51" t="n">
        <v>45853</v>
      </c>
      <c r="C3208" s="50" t="s">
        <v>315</v>
      </c>
      <c r="D3208" s="50" t="s">
        <v>2180</v>
      </c>
      <c r="E3208" s="50" t="n">
        <v>3</v>
      </c>
      <c r="F3208" s="50" t="s">
        <v>2167</v>
      </c>
      <c r="G3208" s="54" t="n">
        <v>1314500</v>
      </c>
    </row>
    <row r="3209" customFormat="false" ht="15" hidden="false" customHeight="false" outlineLevel="0" collapsed="false">
      <c r="A3209" s="50" t="s">
        <v>1198</v>
      </c>
      <c r="B3209" s="51" t="n">
        <v>45853</v>
      </c>
      <c r="C3209" s="50" t="s">
        <v>315</v>
      </c>
      <c r="D3209" s="50" t="s">
        <v>2183</v>
      </c>
      <c r="E3209" s="50" t="n">
        <v>1</v>
      </c>
      <c r="F3209" s="50" t="s">
        <v>2167</v>
      </c>
      <c r="G3209" s="54" t="n">
        <v>387400</v>
      </c>
    </row>
    <row r="3210" customFormat="false" ht="15" hidden="false" customHeight="false" outlineLevel="0" collapsed="false">
      <c r="A3210" s="50" t="s">
        <v>1198</v>
      </c>
      <c r="B3210" s="51" t="n">
        <v>45853</v>
      </c>
      <c r="C3210" s="50" t="s">
        <v>315</v>
      </c>
      <c r="D3210" s="50" t="s">
        <v>2176</v>
      </c>
      <c r="E3210" s="50" t="n">
        <v>1</v>
      </c>
      <c r="F3210" s="50" t="s">
        <v>2167</v>
      </c>
      <c r="G3210" s="54" t="n">
        <v>414600</v>
      </c>
    </row>
    <row r="3211" customFormat="false" ht="15" hidden="false" customHeight="false" outlineLevel="0" collapsed="false">
      <c r="A3211" s="50" t="s">
        <v>1198</v>
      </c>
      <c r="B3211" s="51" t="n">
        <v>45853</v>
      </c>
      <c r="C3211" s="50" t="s">
        <v>315</v>
      </c>
      <c r="D3211" s="50" t="s">
        <v>2186</v>
      </c>
      <c r="E3211" s="50" t="n">
        <v>1</v>
      </c>
      <c r="F3211" s="50" t="s">
        <v>2167</v>
      </c>
      <c r="G3211" s="54" t="n">
        <v>599400</v>
      </c>
    </row>
    <row r="3212" customFormat="false" ht="15" hidden="false" customHeight="false" outlineLevel="0" collapsed="false">
      <c r="A3212" s="50" t="s">
        <v>1199</v>
      </c>
      <c r="B3212" s="51" t="n">
        <v>45853</v>
      </c>
      <c r="C3212" s="50" t="s">
        <v>1200</v>
      </c>
      <c r="D3212" s="50" t="s">
        <v>2178</v>
      </c>
      <c r="E3212" s="50" t="n">
        <v>2</v>
      </c>
      <c r="F3212" s="50" t="s">
        <v>2167</v>
      </c>
      <c r="G3212" s="54" t="n">
        <v>981200</v>
      </c>
    </row>
    <row r="3213" customFormat="false" ht="15" hidden="false" customHeight="false" outlineLevel="0" collapsed="false">
      <c r="A3213" s="50" t="s">
        <v>1199</v>
      </c>
      <c r="B3213" s="51" t="n">
        <v>45853</v>
      </c>
      <c r="C3213" s="50" t="s">
        <v>1200</v>
      </c>
      <c r="D3213" s="50" t="s">
        <v>2181</v>
      </c>
      <c r="E3213" s="50" t="n">
        <v>6</v>
      </c>
      <c r="F3213" s="50" t="s">
        <v>2167</v>
      </c>
      <c r="G3213" s="54" t="n">
        <v>6686400</v>
      </c>
    </row>
    <row r="3214" customFormat="false" ht="15" hidden="false" customHeight="false" outlineLevel="0" collapsed="false">
      <c r="A3214" s="50" t="s">
        <v>1199</v>
      </c>
      <c r="B3214" s="51" t="n">
        <v>45853</v>
      </c>
      <c r="C3214" s="50" t="s">
        <v>1200</v>
      </c>
      <c r="D3214" s="50" t="s">
        <v>2169</v>
      </c>
      <c r="E3214" s="50" t="n">
        <v>5</v>
      </c>
      <c r="F3214" s="50" t="s">
        <v>2167</v>
      </c>
      <c r="G3214" s="54" t="n">
        <v>3069100</v>
      </c>
    </row>
    <row r="3215" customFormat="false" ht="15" hidden="false" customHeight="false" outlineLevel="0" collapsed="false">
      <c r="A3215" s="50" t="s">
        <v>1199</v>
      </c>
      <c r="B3215" s="51" t="n">
        <v>45853</v>
      </c>
      <c r="C3215" s="50" t="s">
        <v>1200</v>
      </c>
      <c r="D3215" s="50" t="s">
        <v>2173</v>
      </c>
      <c r="E3215" s="50" t="n">
        <v>6</v>
      </c>
      <c r="F3215" s="50" t="s">
        <v>2174</v>
      </c>
      <c r="G3215" s="54" t="n">
        <v>4779800</v>
      </c>
    </row>
    <row r="3216" customFormat="false" ht="15" hidden="false" customHeight="false" outlineLevel="0" collapsed="false">
      <c r="A3216" s="50" t="s">
        <v>1201</v>
      </c>
      <c r="B3216" s="51" t="n">
        <v>45853</v>
      </c>
      <c r="C3216" s="50" t="s">
        <v>216</v>
      </c>
      <c r="D3216" s="50" t="s">
        <v>2183</v>
      </c>
      <c r="E3216" s="50" t="n">
        <v>7</v>
      </c>
      <c r="F3216" s="50" t="s">
        <v>2167</v>
      </c>
      <c r="G3216" s="54" t="n">
        <v>2565400</v>
      </c>
    </row>
    <row r="3217" customFormat="false" ht="15" hidden="false" customHeight="false" outlineLevel="0" collapsed="false">
      <c r="A3217" s="50" t="s">
        <v>1201</v>
      </c>
      <c r="B3217" s="51" t="n">
        <v>45853</v>
      </c>
      <c r="C3217" s="50" t="s">
        <v>216</v>
      </c>
      <c r="D3217" s="50" t="s">
        <v>2172</v>
      </c>
      <c r="E3217" s="50" t="n">
        <v>6</v>
      </c>
      <c r="F3217" s="50" t="s">
        <v>2167</v>
      </c>
      <c r="G3217" s="54" t="n">
        <v>3074500</v>
      </c>
    </row>
    <row r="3218" customFormat="false" ht="15" hidden="false" customHeight="false" outlineLevel="0" collapsed="false">
      <c r="A3218" s="50" t="s">
        <v>1201</v>
      </c>
      <c r="B3218" s="51" t="n">
        <v>45853</v>
      </c>
      <c r="C3218" s="50" t="s">
        <v>216</v>
      </c>
      <c r="D3218" s="50" t="s">
        <v>2176</v>
      </c>
      <c r="E3218" s="50" t="n">
        <v>1</v>
      </c>
      <c r="F3218" s="50" t="s">
        <v>2167</v>
      </c>
      <c r="G3218" s="54" t="n">
        <v>422900</v>
      </c>
    </row>
    <row r="3219" customFormat="false" ht="15" hidden="false" customHeight="false" outlineLevel="0" collapsed="false">
      <c r="A3219" s="50" t="s">
        <v>141</v>
      </c>
      <c r="B3219" s="51" t="n">
        <v>45853</v>
      </c>
      <c r="C3219" s="50" t="s">
        <v>737</v>
      </c>
      <c r="D3219" s="50" t="s">
        <v>2169</v>
      </c>
      <c r="E3219" s="50" t="n">
        <v>8</v>
      </c>
      <c r="F3219" s="50" t="s">
        <v>2167</v>
      </c>
      <c r="G3219" s="54" t="n">
        <v>4826000</v>
      </c>
    </row>
    <row r="3220" customFormat="false" ht="15" hidden="false" customHeight="false" outlineLevel="0" collapsed="false">
      <c r="A3220" s="50" t="s">
        <v>141</v>
      </c>
      <c r="B3220" s="51" t="n">
        <v>45853</v>
      </c>
      <c r="C3220" s="50" t="s">
        <v>737</v>
      </c>
      <c r="D3220" s="50" t="s">
        <v>2183</v>
      </c>
      <c r="E3220" s="50" t="n">
        <v>4</v>
      </c>
      <c r="F3220" s="50" t="s">
        <v>2167</v>
      </c>
      <c r="G3220" s="54" t="n">
        <v>1526000</v>
      </c>
    </row>
    <row r="3221" customFormat="false" ht="15" hidden="false" customHeight="false" outlineLevel="0" collapsed="false">
      <c r="A3221" s="50" t="s">
        <v>141</v>
      </c>
      <c r="B3221" s="51" t="n">
        <v>45853</v>
      </c>
      <c r="C3221" s="50" t="s">
        <v>737</v>
      </c>
      <c r="D3221" s="50" t="s">
        <v>2178</v>
      </c>
      <c r="E3221" s="50" t="n">
        <v>5</v>
      </c>
      <c r="F3221" s="50" t="s">
        <v>2167</v>
      </c>
      <c r="G3221" s="54" t="n">
        <v>2467700</v>
      </c>
    </row>
    <row r="3222" customFormat="false" ht="15" hidden="false" customHeight="false" outlineLevel="0" collapsed="false">
      <c r="A3222" s="50" t="s">
        <v>1202</v>
      </c>
      <c r="B3222" s="51" t="n">
        <v>45853</v>
      </c>
      <c r="C3222" s="50" t="s">
        <v>174</v>
      </c>
      <c r="D3222" s="50" t="s">
        <v>2176</v>
      </c>
      <c r="E3222" s="50" t="n">
        <v>2</v>
      </c>
      <c r="F3222" s="50" t="s">
        <v>2167</v>
      </c>
      <c r="G3222" s="54" t="n">
        <v>829200</v>
      </c>
    </row>
    <row r="3223" customFormat="false" ht="15" hidden="false" customHeight="false" outlineLevel="0" collapsed="false">
      <c r="A3223" s="50" t="s">
        <v>1202</v>
      </c>
      <c r="B3223" s="51" t="n">
        <v>45853</v>
      </c>
      <c r="C3223" s="50" t="s">
        <v>174</v>
      </c>
      <c r="D3223" s="50" t="s">
        <v>2180</v>
      </c>
      <c r="E3223" s="50" t="n">
        <v>1</v>
      </c>
      <c r="F3223" s="50" t="s">
        <v>2167</v>
      </c>
      <c r="G3223" s="54" t="n">
        <v>455300</v>
      </c>
    </row>
    <row r="3224" customFormat="false" ht="15" hidden="false" customHeight="false" outlineLevel="0" collapsed="false">
      <c r="A3224" s="50" t="s">
        <v>1203</v>
      </c>
      <c r="B3224" s="51" t="n">
        <v>45853</v>
      </c>
      <c r="C3224" s="50" t="s">
        <v>447</v>
      </c>
      <c r="D3224" s="50" t="s">
        <v>2173</v>
      </c>
      <c r="E3224" s="50" t="n">
        <v>5</v>
      </c>
      <c r="F3224" s="50" t="s">
        <v>2174</v>
      </c>
      <c r="G3224" s="54" t="n">
        <v>3865400</v>
      </c>
    </row>
    <row r="3225" customFormat="false" ht="15" hidden="false" customHeight="false" outlineLevel="0" collapsed="false">
      <c r="A3225" s="50" t="s">
        <v>1204</v>
      </c>
      <c r="B3225" s="51" t="n">
        <v>45854</v>
      </c>
      <c r="C3225" s="50" t="s">
        <v>179</v>
      </c>
      <c r="D3225" s="50" t="s">
        <v>2185</v>
      </c>
      <c r="E3225" s="50" t="n">
        <v>4</v>
      </c>
      <c r="F3225" s="50" t="s">
        <v>2174</v>
      </c>
      <c r="G3225" s="54" t="n">
        <v>3164200</v>
      </c>
    </row>
    <row r="3226" customFormat="false" ht="15" hidden="false" customHeight="false" outlineLevel="0" collapsed="false">
      <c r="A3226" s="50" t="s">
        <v>1204</v>
      </c>
      <c r="B3226" s="51" t="n">
        <v>45854</v>
      </c>
      <c r="C3226" s="50" t="s">
        <v>179</v>
      </c>
      <c r="D3226" s="50" t="s">
        <v>2183</v>
      </c>
      <c r="E3226" s="50" t="n">
        <v>4</v>
      </c>
      <c r="F3226" s="50" t="s">
        <v>2167</v>
      </c>
      <c r="G3226" s="54" t="n">
        <v>1513700</v>
      </c>
    </row>
    <row r="3227" customFormat="false" ht="15" hidden="false" customHeight="false" outlineLevel="0" collapsed="false">
      <c r="A3227" s="50" t="s">
        <v>1205</v>
      </c>
      <c r="B3227" s="51" t="n">
        <v>45854</v>
      </c>
      <c r="C3227" s="50" t="s">
        <v>410</v>
      </c>
      <c r="D3227" s="50" t="s">
        <v>2166</v>
      </c>
      <c r="E3227" s="50" t="n">
        <v>6</v>
      </c>
      <c r="F3227" s="50" t="s">
        <v>2167</v>
      </c>
      <c r="G3227" s="54" t="n">
        <v>3186600</v>
      </c>
    </row>
    <row r="3228" customFormat="false" ht="15" hidden="false" customHeight="false" outlineLevel="0" collapsed="false">
      <c r="A3228" s="50" t="s">
        <v>1205</v>
      </c>
      <c r="B3228" s="51" t="n">
        <v>45854</v>
      </c>
      <c r="C3228" s="50" t="s">
        <v>410</v>
      </c>
      <c r="D3228" s="50" t="s">
        <v>2184</v>
      </c>
      <c r="E3228" s="50" t="n">
        <v>3</v>
      </c>
      <c r="F3228" s="50" t="s">
        <v>2167</v>
      </c>
      <c r="G3228" s="54" t="n">
        <v>1746600</v>
      </c>
    </row>
    <row r="3229" customFormat="false" ht="15" hidden="false" customHeight="false" outlineLevel="0" collapsed="false">
      <c r="A3229" s="50" t="s">
        <v>1205</v>
      </c>
      <c r="B3229" s="51" t="n">
        <v>45854</v>
      </c>
      <c r="C3229" s="50" t="s">
        <v>410</v>
      </c>
      <c r="D3229" s="50" t="s">
        <v>2180</v>
      </c>
      <c r="E3229" s="50" t="n">
        <v>5</v>
      </c>
      <c r="F3229" s="50" t="s">
        <v>2167</v>
      </c>
      <c r="G3229" s="54" t="n">
        <v>2241000</v>
      </c>
    </row>
    <row r="3230" customFormat="false" ht="15" hidden="false" customHeight="false" outlineLevel="0" collapsed="false">
      <c r="A3230" s="50" t="s">
        <v>1205</v>
      </c>
      <c r="B3230" s="51" t="n">
        <v>45854</v>
      </c>
      <c r="C3230" s="50" t="s">
        <v>410</v>
      </c>
      <c r="D3230" s="50" t="s">
        <v>2185</v>
      </c>
      <c r="E3230" s="50" t="n">
        <v>5</v>
      </c>
      <c r="F3230" s="50" t="s">
        <v>2174</v>
      </c>
      <c r="G3230" s="54" t="n">
        <v>4022300</v>
      </c>
    </row>
    <row r="3231" customFormat="false" ht="15" hidden="false" customHeight="false" outlineLevel="0" collapsed="false">
      <c r="A3231" s="50" t="s">
        <v>1206</v>
      </c>
      <c r="B3231" s="51" t="n">
        <v>45854</v>
      </c>
      <c r="C3231" s="50" t="s">
        <v>967</v>
      </c>
      <c r="D3231" s="50" t="s">
        <v>2180</v>
      </c>
      <c r="E3231" s="50" t="n">
        <v>2</v>
      </c>
      <c r="F3231" s="50" t="s">
        <v>2167</v>
      </c>
      <c r="G3231" s="54" t="n">
        <v>923600</v>
      </c>
    </row>
    <row r="3232" customFormat="false" ht="15" hidden="false" customHeight="false" outlineLevel="0" collapsed="false">
      <c r="A3232" s="50" t="s">
        <v>1206</v>
      </c>
      <c r="B3232" s="51" t="n">
        <v>45854</v>
      </c>
      <c r="C3232" s="50" t="s">
        <v>967</v>
      </c>
      <c r="D3232" s="50" t="s">
        <v>2182</v>
      </c>
      <c r="E3232" s="50" t="n">
        <v>5</v>
      </c>
      <c r="F3232" s="50" t="s">
        <v>2174</v>
      </c>
      <c r="G3232" s="54" t="n">
        <v>4870100</v>
      </c>
    </row>
    <row r="3233" customFormat="false" ht="15" hidden="false" customHeight="false" outlineLevel="0" collapsed="false">
      <c r="A3233" s="50" t="s">
        <v>1206</v>
      </c>
      <c r="B3233" s="51" t="n">
        <v>45854</v>
      </c>
      <c r="C3233" s="50" t="s">
        <v>967</v>
      </c>
      <c r="D3233" s="50" t="s">
        <v>2188</v>
      </c>
      <c r="E3233" s="50" t="n">
        <v>2</v>
      </c>
      <c r="F3233" s="50" t="s">
        <v>2167</v>
      </c>
      <c r="G3233" s="54" t="n">
        <v>1998900</v>
      </c>
    </row>
    <row r="3234" customFormat="false" ht="15" hidden="false" customHeight="false" outlineLevel="0" collapsed="false">
      <c r="A3234" s="50" t="s">
        <v>1206</v>
      </c>
      <c r="B3234" s="51" t="n">
        <v>45854</v>
      </c>
      <c r="C3234" s="50" t="s">
        <v>967</v>
      </c>
      <c r="D3234" s="50" t="s">
        <v>2177</v>
      </c>
      <c r="E3234" s="50" t="n">
        <v>3</v>
      </c>
      <c r="F3234" s="50" t="s">
        <v>2174</v>
      </c>
      <c r="G3234" s="54" t="n">
        <v>3225300</v>
      </c>
    </row>
    <row r="3235" customFormat="false" ht="15" hidden="false" customHeight="false" outlineLevel="0" collapsed="false">
      <c r="A3235" s="50" t="s">
        <v>1207</v>
      </c>
      <c r="B3235" s="51" t="n">
        <v>45855</v>
      </c>
      <c r="C3235" s="50" t="s">
        <v>179</v>
      </c>
      <c r="D3235" s="50" t="s">
        <v>2166</v>
      </c>
      <c r="E3235" s="50" t="n">
        <v>2</v>
      </c>
      <c r="F3235" s="50" t="s">
        <v>2167</v>
      </c>
      <c r="G3235" s="54" t="n">
        <v>1054700</v>
      </c>
    </row>
    <row r="3236" customFormat="false" ht="15" hidden="false" customHeight="false" outlineLevel="0" collapsed="false">
      <c r="A3236" s="50" t="s">
        <v>1207</v>
      </c>
      <c r="B3236" s="51" t="n">
        <v>45855</v>
      </c>
      <c r="C3236" s="50" t="s">
        <v>179</v>
      </c>
      <c r="D3236" s="50" t="s">
        <v>2184</v>
      </c>
      <c r="E3236" s="50" t="n">
        <v>5</v>
      </c>
      <c r="F3236" s="50" t="s">
        <v>2167</v>
      </c>
      <c r="G3236" s="54" t="n">
        <v>2760100</v>
      </c>
    </row>
    <row r="3237" customFormat="false" ht="15" hidden="false" customHeight="false" outlineLevel="0" collapsed="false">
      <c r="A3237" s="50" t="s">
        <v>1207</v>
      </c>
      <c r="B3237" s="51" t="n">
        <v>45855</v>
      </c>
      <c r="C3237" s="50" t="s">
        <v>179</v>
      </c>
      <c r="D3237" s="50" t="s">
        <v>2169</v>
      </c>
      <c r="E3237" s="50" t="n">
        <v>4</v>
      </c>
      <c r="F3237" s="50" t="s">
        <v>2167</v>
      </c>
      <c r="G3237" s="54" t="n">
        <v>2445100</v>
      </c>
    </row>
    <row r="3238" customFormat="false" ht="15" hidden="false" customHeight="false" outlineLevel="0" collapsed="false">
      <c r="A3238" s="50" t="s">
        <v>1207</v>
      </c>
      <c r="B3238" s="51" t="n">
        <v>45855</v>
      </c>
      <c r="C3238" s="50" t="s">
        <v>179</v>
      </c>
      <c r="D3238" s="50" t="s">
        <v>2185</v>
      </c>
      <c r="E3238" s="50" t="n">
        <v>1</v>
      </c>
      <c r="F3238" s="50" t="s">
        <v>2174</v>
      </c>
      <c r="G3238" s="54" t="n">
        <v>763600</v>
      </c>
    </row>
    <row r="3239" customFormat="false" ht="15" hidden="false" customHeight="false" outlineLevel="0" collapsed="false">
      <c r="A3239" s="50" t="s">
        <v>1208</v>
      </c>
      <c r="B3239" s="51" t="n">
        <v>45855</v>
      </c>
      <c r="C3239" s="50" t="s">
        <v>296</v>
      </c>
      <c r="D3239" s="50" t="s">
        <v>2182</v>
      </c>
      <c r="E3239" s="50" t="n">
        <v>1</v>
      </c>
      <c r="F3239" s="50" t="s">
        <v>2174</v>
      </c>
      <c r="G3239" s="54" t="n">
        <v>987600</v>
      </c>
    </row>
    <row r="3240" customFormat="false" ht="15" hidden="false" customHeight="false" outlineLevel="0" collapsed="false">
      <c r="A3240" s="50" t="s">
        <v>1209</v>
      </c>
      <c r="B3240" s="51" t="n">
        <v>45855</v>
      </c>
      <c r="C3240" s="50" t="s">
        <v>168</v>
      </c>
      <c r="D3240" s="50" t="s">
        <v>2169</v>
      </c>
      <c r="E3240" s="50" t="n">
        <v>6</v>
      </c>
      <c r="F3240" s="50" t="s">
        <v>2167</v>
      </c>
      <c r="G3240" s="54" t="n">
        <v>3758200</v>
      </c>
    </row>
    <row r="3241" customFormat="false" ht="15" hidden="false" customHeight="false" outlineLevel="0" collapsed="false">
      <c r="A3241" s="50" t="s">
        <v>1209</v>
      </c>
      <c r="B3241" s="51" t="n">
        <v>45855</v>
      </c>
      <c r="C3241" s="50" t="s">
        <v>168</v>
      </c>
      <c r="D3241" s="50" t="s">
        <v>2184</v>
      </c>
      <c r="E3241" s="50" t="n">
        <v>1</v>
      </c>
      <c r="F3241" s="50" t="s">
        <v>2167</v>
      </c>
      <c r="G3241" s="54" t="n">
        <v>580000</v>
      </c>
    </row>
    <row r="3242" customFormat="false" ht="15" hidden="false" customHeight="false" outlineLevel="0" collapsed="false">
      <c r="A3242" s="50" t="s">
        <v>1209</v>
      </c>
      <c r="B3242" s="51" t="n">
        <v>45855</v>
      </c>
      <c r="C3242" s="50" t="s">
        <v>168</v>
      </c>
      <c r="D3242" s="50" t="s">
        <v>2186</v>
      </c>
      <c r="E3242" s="50" t="n">
        <v>8</v>
      </c>
      <c r="F3242" s="50" t="s">
        <v>2167</v>
      </c>
      <c r="G3242" s="54" t="n">
        <v>4765100</v>
      </c>
    </row>
    <row r="3243" customFormat="false" ht="15" hidden="false" customHeight="false" outlineLevel="0" collapsed="false">
      <c r="A3243" s="50" t="s">
        <v>1210</v>
      </c>
      <c r="B3243" s="51" t="n">
        <v>45855</v>
      </c>
      <c r="C3243" s="50" t="s">
        <v>251</v>
      </c>
      <c r="D3243" s="50" t="s">
        <v>2177</v>
      </c>
      <c r="E3243" s="50" t="n">
        <v>5</v>
      </c>
      <c r="F3243" s="50" t="s">
        <v>2174</v>
      </c>
      <c r="G3243" s="54" t="n">
        <v>5549100</v>
      </c>
    </row>
    <row r="3244" customFormat="false" ht="15" hidden="false" customHeight="false" outlineLevel="0" collapsed="false">
      <c r="A3244" s="50" t="s">
        <v>1210</v>
      </c>
      <c r="B3244" s="51" t="n">
        <v>45855</v>
      </c>
      <c r="C3244" s="50" t="s">
        <v>251</v>
      </c>
      <c r="D3244" s="50" t="s">
        <v>2169</v>
      </c>
      <c r="E3244" s="50" t="n">
        <v>1</v>
      </c>
      <c r="F3244" s="50" t="s">
        <v>2167</v>
      </c>
      <c r="G3244" s="54" t="n">
        <v>597100</v>
      </c>
    </row>
    <row r="3245" customFormat="false" ht="15" hidden="false" customHeight="false" outlineLevel="0" collapsed="false">
      <c r="A3245" s="50" t="s">
        <v>1210</v>
      </c>
      <c r="B3245" s="51" t="n">
        <v>45855</v>
      </c>
      <c r="C3245" s="50" t="s">
        <v>251</v>
      </c>
      <c r="D3245" s="50" t="s">
        <v>2180</v>
      </c>
      <c r="E3245" s="50" t="n">
        <v>2</v>
      </c>
      <c r="F3245" s="50" t="s">
        <v>2167</v>
      </c>
      <c r="G3245" s="54" t="n">
        <v>924000</v>
      </c>
    </row>
    <row r="3246" customFormat="false" ht="15" hidden="false" customHeight="false" outlineLevel="0" collapsed="false">
      <c r="A3246" s="50" t="s">
        <v>1210</v>
      </c>
      <c r="B3246" s="51" t="n">
        <v>45855</v>
      </c>
      <c r="C3246" s="50" t="s">
        <v>251</v>
      </c>
      <c r="D3246" s="50" t="s">
        <v>2187</v>
      </c>
      <c r="E3246" s="50" t="n">
        <v>6</v>
      </c>
      <c r="F3246" s="50" t="s">
        <v>2167</v>
      </c>
      <c r="G3246" s="54" t="n">
        <v>2092400</v>
      </c>
    </row>
    <row r="3247" customFormat="false" ht="15" hidden="false" customHeight="false" outlineLevel="0" collapsed="false">
      <c r="A3247" s="50" t="s">
        <v>1211</v>
      </c>
      <c r="B3247" s="51" t="n">
        <v>45856</v>
      </c>
      <c r="C3247" s="50" t="s">
        <v>166</v>
      </c>
      <c r="D3247" s="50" t="s">
        <v>2175</v>
      </c>
      <c r="E3247" s="50" t="n">
        <v>3</v>
      </c>
      <c r="F3247" s="50" t="s">
        <v>2167</v>
      </c>
      <c r="G3247" s="54" t="n">
        <v>1846000</v>
      </c>
    </row>
    <row r="3248" customFormat="false" ht="15" hidden="false" customHeight="false" outlineLevel="0" collapsed="false">
      <c r="A3248" s="50" t="s">
        <v>1211</v>
      </c>
      <c r="B3248" s="51" t="n">
        <v>45856</v>
      </c>
      <c r="C3248" s="50" t="s">
        <v>166</v>
      </c>
      <c r="D3248" s="50" t="s">
        <v>2179</v>
      </c>
      <c r="E3248" s="50" t="n">
        <v>5</v>
      </c>
      <c r="F3248" s="50" t="s">
        <v>2174</v>
      </c>
      <c r="G3248" s="54" t="n">
        <v>6074600</v>
      </c>
    </row>
    <row r="3249" customFormat="false" ht="15" hidden="false" customHeight="false" outlineLevel="0" collapsed="false">
      <c r="A3249" s="50" t="s">
        <v>1211</v>
      </c>
      <c r="B3249" s="51" t="n">
        <v>45856</v>
      </c>
      <c r="C3249" s="50" t="s">
        <v>166</v>
      </c>
      <c r="D3249" s="50" t="s">
        <v>2184</v>
      </c>
      <c r="E3249" s="50" t="n">
        <v>3</v>
      </c>
      <c r="F3249" s="50" t="s">
        <v>2167</v>
      </c>
      <c r="G3249" s="54" t="n">
        <v>1743700</v>
      </c>
    </row>
    <row r="3250" customFormat="false" ht="15" hidden="false" customHeight="false" outlineLevel="0" collapsed="false">
      <c r="A3250" s="50" t="s">
        <v>1211</v>
      </c>
      <c r="B3250" s="51" t="n">
        <v>45856</v>
      </c>
      <c r="C3250" s="50" t="s">
        <v>166</v>
      </c>
      <c r="D3250" s="50" t="s">
        <v>2169</v>
      </c>
      <c r="E3250" s="50" t="n">
        <v>3</v>
      </c>
      <c r="F3250" s="50" t="s">
        <v>2167</v>
      </c>
      <c r="G3250" s="54" t="n">
        <v>1814800</v>
      </c>
    </row>
    <row r="3251" customFormat="false" ht="15" hidden="false" customHeight="false" outlineLevel="0" collapsed="false">
      <c r="A3251" s="50" t="s">
        <v>1212</v>
      </c>
      <c r="B3251" s="51" t="n">
        <v>45856</v>
      </c>
      <c r="C3251" s="50" t="s">
        <v>243</v>
      </c>
      <c r="D3251" s="50" t="s">
        <v>2182</v>
      </c>
      <c r="E3251" s="50" t="n">
        <v>7</v>
      </c>
      <c r="F3251" s="50" t="s">
        <v>2174</v>
      </c>
      <c r="G3251" s="54" t="n">
        <v>6424300</v>
      </c>
    </row>
    <row r="3252" customFormat="false" ht="15" hidden="false" customHeight="false" outlineLevel="0" collapsed="false">
      <c r="A3252" s="50" t="s">
        <v>1212</v>
      </c>
      <c r="B3252" s="51" t="n">
        <v>45856</v>
      </c>
      <c r="C3252" s="50" t="s">
        <v>243</v>
      </c>
      <c r="D3252" s="50" t="s">
        <v>2181</v>
      </c>
      <c r="E3252" s="50" t="n">
        <v>7</v>
      </c>
      <c r="F3252" s="50" t="s">
        <v>2167</v>
      </c>
      <c r="G3252" s="54" t="n">
        <v>8352400</v>
      </c>
    </row>
    <row r="3253" customFormat="false" ht="15" hidden="false" customHeight="false" outlineLevel="0" collapsed="false">
      <c r="A3253" s="50" t="s">
        <v>1213</v>
      </c>
      <c r="B3253" s="51" t="n">
        <v>45856</v>
      </c>
      <c r="C3253" s="50" t="s">
        <v>166</v>
      </c>
      <c r="D3253" s="50" t="s">
        <v>2175</v>
      </c>
      <c r="E3253" s="50" t="n">
        <v>3</v>
      </c>
      <c r="F3253" s="50" t="s">
        <v>2167</v>
      </c>
      <c r="G3253" s="54" t="n">
        <v>1938800</v>
      </c>
    </row>
    <row r="3254" customFormat="false" ht="15" hidden="false" customHeight="false" outlineLevel="0" collapsed="false">
      <c r="A3254" s="50" t="s">
        <v>1213</v>
      </c>
      <c r="B3254" s="51" t="n">
        <v>45856</v>
      </c>
      <c r="C3254" s="50" t="s">
        <v>166</v>
      </c>
      <c r="D3254" s="50" t="s">
        <v>2188</v>
      </c>
      <c r="E3254" s="50" t="n">
        <v>8</v>
      </c>
      <c r="F3254" s="50" t="s">
        <v>2167</v>
      </c>
      <c r="G3254" s="54" t="n">
        <v>7558300</v>
      </c>
    </row>
    <row r="3255" customFormat="false" ht="15" hidden="false" customHeight="false" outlineLevel="0" collapsed="false">
      <c r="A3255" s="50" t="s">
        <v>1213</v>
      </c>
      <c r="B3255" s="51" t="n">
        <v>45856</v>
      </c>
      <c r="C3255" s="50" t="s">
        <v>166</v>
      </c>
      <c r="D3255" s="50" t="s">
        <v>2179</v>
      </c>
      <c r="E3255" s="50" t="n">
        <v>3</v>
      </c>
      <c r="F3255" s="50" t="s">
        <v>2174</v>
      </c>
      <c r="G3255" s="54" t="n">
        <v>3665200</v>
      </c>
    </row>
    <row r="3256" customFormat="false" ht="15" hidden="false" customHeight="false" outlineLevel="0" collapsed="false">
      <c r="A3256" s="50" t="s">
        <v>1213</v>
      </c>
      <c r="B3256" s="51" t="n">
        <v>45856</v>
      </c>
      <c r="C3256" s="50" t="s">
        <v>166</v>
      </c>
      <c r="D3256" s="50" t="s">
        <v>2169</v>
      </c>
      <c r="E3256" s="50" t="n">
        <v>1</v>
      </c>
      <c r="F3256" s="50" t="s">
        <v>2167</v>
      </c>
      <c r="G3256" s="54" t="n">
        <v>597700</v>
      </c>
    </row>
    <row r="3257" customFormat="false" ht="15" hidden="false" customHeight="false" outlineLevel="0" collapsed="false">
      <c r="A3257" s="50" t="s">
        <v>1213</v>
      </c>
      <c r="B3257" s="51" t="n">
        <v>45856</v>
      </c>
      <c r="C3257" s="50" t="s">
        <v>166</v>
      </c>
      <c r="D3257" s="50" t="s">
        <v>2186</v>
      </c>
      <c r="E3257" s="50" t="n">
        <v>2</v>
      </c>
      <c r="F3257" s="50" t="s">
        <v>2167</v>
      </c>
      <c r="G3257" s="54" t="n">
        <v>1141800</v>
      </c>
    </row>
    <row r="3258" customFormat="false" ht="15" hidden="false" customHeight="false" outlineLevel="0" collapsed="false">
      <c r="A3258" s="50" t="s">
        <v>1213</v>
      </c>
      <c r="B3258" s="51" t="n">
        <v>45856</v>
      </c>
      <c r="C3258" s="50" t="s">
        <v>166</v>
      </c>
      <c r="D3258" s="50" t="s">
        <v>2178</v>
      </c>
      <c r="E3258" s="50" t="n">
        <v>3</v>
      </c>
      <c r="F3258" s="50" t="s">
        <v>2167</v>
      </c>
      <c r="G3258" s="54" t="n">
        <v>1420900</v>
      </c>
    </row>
    <row r="3259" customFormat="false" ht="15" hidden="false" customHeight="false" outlineLevel="0" collapsed="false">
      <c r="A3259" s="50" t="s">
        <v>1214</v>
      </c>
      <c r="B3259" s="51" t="n">
        <v>45856</v>
      </c>
      <c r="C3259" s="50" t="s">
        <v>188</v>
      </c>
      <c r="D3259" s="50" t="s">
        <v>2168</v>
      </c>
      <c r="E3259" s="50" t="n">
        <v>8</v>
      </c>
      <c r="F3259" s="50" t="s">
        <v>2167</v>
      </c>
      <c r="G3259" s="54" t="n">
        <v>3314900</v>
      </c>
    </row>
    <row r="3260" customFormat="false" ht="15" hidden="false" customHeight="false" outlineLevel="0" collapsed="false">
      <c r="A3260" s="50" t="s">
        <v>1215</v>
      </c>
      <c r="B3260" s="51" t="n">
        <v>45857</v>
      </c>
      <c r="C3260" s="50" t="s">
        <v>179</v>
      </c>
      <c r="D3260" s="50" t="s">
        <v>2166</v>
      </c>
      <c r="E3260" s="50" t="n">
        <v>3</v>
      </c>
      <c r="F3260" s="50" t="s">
        <v>2167</v>
      </c>
      <c r="G3260" s="54" t="n">
        <v>1626200</v>
      </c>
    </row>
    <row r="3261" customFormat="false" ht="15" hidden="false" customHeight="false" outlineLevel="0" collapsed="false">
      <c r="A3261" s="50" t="s">
        <v>1215</v>
      </c>
      <c r="B3261" s="51" t="n">
        <v>45857</v>
      </c>
      <c r="C3261" s="50" t="s">
        <v>179</v>
      </c>
      <c r="D3261" s="50" t="s">
        <v>2172</v>
      </c>
      <c r="E3261" s="50" t="n">
        <v>4</v>
      </c>
      <c r="F3261" s="50" t="s">
        <v>2167</v>
      </c>
      <c r="G3261" s="54" t="n">
        <v>2119500</v>
      </c>
    </row>
    <row r="3262" customFormat="false" ht="15" hidden="false" customHeight="false" outlineLevel="0" collapsed="false">
      <c r="A3262" s="50" t="s">
        <v>1216</v>
      </c>
      <c r="B3262" s="51" t="n">
        <v>45857</v>
      </c>
      <c r="C3262" s="50" t="s">
        <v>693</v>
      </c>
      <c r="D3262" s="50" t="s">
        <v>2188</v>
      </c>
      <c r="E3262" s="50" t="n">
        <v>5</v>
      </c>
      <c r="F3262" s="50" t="s">
        <v>2167</v>
      </c>
      <c r="G3262" s="54" t="n">
        <v>4840300</v>
      </c>
    </row>
    <row r="3263" customFormat="false" ht="15" hidden="false" customHeight="false" outlineLevel="0" collapsed="false">
      <c r="A3263" s="50" t="s">
        <v>1216</v>
      </c>
      <c r="B3263" s="51" t="n">
        <v>45857</v>
      </c>
      <c r="C3263" s="50" t="s">
        <v>693</v>
      </c>
      <c r="D3263" s="50" t="s">
        <v>2176</v>
      </c>
      <c r="E3263" s="50" t="n">
        <v>2</v>
      </c>
      <c r="F3263" s="50" t="s">
        <v>2167</v>
      </c>
      <c r="G3263" s="54" t="n">
        <v>825300</v>
      </c>
    </row>
    <row r="3264" customFormat="false" ht="15" hidden="false" customHeight="false" outlineLevel="0" collapsed="false">
      <c r="A3264" s="50" t="s">
        <v>1216</v>
      </c>
      <c r="B3264" s="51" t="n">
        <v>45857</v>
      </c>
      <c r="C3264" s="50" t="s">
        <v>693</v>
      </c>
      <c r="D3264" s="50" t="s">
        <v>2186</v>
      </c>
      <c r="E3264" s="50" t="n">
        <v>8</v>
      </c>
      <c r="F3264" s="50" t="s">
        <v>2167</v>
      </c>
      <c r="G3264" s="54" t="n">
        <v>4689800</v>
      </c>
    </row>
    <row r="3265" customFormat="false" ht="15" hidden="false" customHeight="false" outlineLevel="0" collapsed="false">
      <c r="A3265" s="50" t="s">
        <v>1217</v>
      </c>
      <c r="B3265" s="51" t="n">
        <v>45857</v>
      </c>
      <c r="C3265" s="50" t="s">
        <v>566</v>
      </c>
      <c r="D3265" s="50" t="s">
        <v>2168</v>
      </c>
      <c r="E3265" s="50" t="n">
        <v>5</v>
      </c>
      <c r="F3265" s="50" t="s">
        <v>2167</v>
      </c>
      <c r="G3265" s="54" t="n">
        <v>2158500</v>
      </c>
    </row>
    <row r="3266" customFormat="false" ht="15" hidden="false" customHeight="false" outlineLevel="0" collapsed="false">
      <c r="A3266" s="50" t="s">
        <v>1217</v>
      </c>
      <c r="B3266" s="51" t="n">
        <v>45857</v>
      </c>
      <c r="C3266" s="50" t="s">
        <v>566</v>
      </c>
      <c r="D3266" s="50" t="s">
        <v>2169</v>
      </c>
      <c r="E3266" s="50" t="n">
        <v>6</v>
      </c>
      <c r="F3266" s="50" t="s">
        <v>2167</v>
      </c>
      <c r="G3266" s="54" t="n">
        <v>3637900</v>
      </c>
    </row>
    <row r="3267" customFormat="false" ht="15" hidden="false" customHeight="false" outlineLevel="0" collapsed="false">
      <c r="A3267" s="50" t="s">
        <v>1217</v>
      </c>
      <c r="B3267" s="51" t="n">
        <v>45857</v>
      </c>
      <c r="C3267" s="50" t="s">
        <v>566</v>
      </c>
      <c r="D3267" s="50" t="s">
        <v>2176</v>
      </c>
      <c r="E3267" s="50" t="n">
        <v>1</v>
      </c>
      <c r="F3267" s="50" t="s">
        <v>2167</v>
      </c>
      <c r="G3267" s="54" t="n">
        <v>413300</v>
      </c>
    </row>
    <row r="3268" customFormat="false" ht="15" hidden="false" customHeight="false" outlineLevel="0" collapsed="false">
      <c r="A3268" s="50" t="s">
        <v>1218</v>
      </c>
      <c r="B3268" s="51" t="n">
        <v>45857</v>
      </c>
      <c r="C3268" s="50" t="s">
        <v>261</v>
      </c>
      <c r="D3268" s="50" t="s">
        <v>2180</v>
      </c>
      <c r="E3268" s="50" t="n">
        <v>4</v>
      </c>
      <c r="F3268" s="50" t="s">
        <v>2167</v>
      </c>
      <c r="G3268" s="54" t="n">
        <v>1741500</v>
      </c>
    </row>
    <row r="3269" customFormat="false" ht="15" hidden="false" customHeight="false" outlineLevel="0" collapsed="false">
      <c r="A3269" s="50" t="s">
        <v>1218</v>
      </c>
      <c r="B3269" s="51" t="n">
        <v>45857</v>
      </c>
      <c r="C3269" s="50" t="s">
        <v>261</v>
      </c>
      <c r="D3269" s="50" t="s">
        <v>2183</v>
      </c>
      <c r="E3269" s="50" t="n">
        <v>3</v>
      </c>
      <c r="F3269" s="50" t="s">
        <v>2167</v>
      </c>
      <c r="G3269" s="54" t="n">
        <v>1172400</v>
      </c>
    </row>
    <row r="3270" customFormat="false" ht="15" hidden="false" customHeight="false" outlineLevel="0" collapsed="false">
      <c r="A3270" s="50" t="s">
        <v>1219</v>
      </c>
      <c r="B3270" s="51" t="n">
        <v>45857</v>
      </c>
      <c r="C3270" s="50" t="s">
        <v>205</v>
      </c>
      <c r="D3270" s="50" t="s">
        <v>2181</v>
      </c>
      <c r="E3270" s="50" t="n">
        <v>6</v>
      </c>
      <c r="F3270" s="50" t="s">
        <v>2167</v>
      </c>
      <c r="G3270" s="54" t="n">
        <v>6729000</v>
      </c>
    </row>
    <row r="3271" customFormat="false" ht="15" hidden="false" customHeight="false" outlineLevel="0" collapsed="false">
      <c r="A3271" s="50" t="s">
        <v>1219</v>
      </c>
      <c r="B3271" s="51" t="n">
        <v>45857</v>
      </c>
      <c r="C3271" s="50" t="s">
        <v>205</v>
      </c>
      <c r="D3271" s="50" t="s">
        <v>2184</v>
      </c>
      <c r="E3271" s="50" t="n">
        <v>5</v>
      </c>
      <c r="F3271" s="50" t="s">
        <v>2167</v>
      </c>
      <c r="G3271" s="54" t="n">
        <v>2874200</v>
      </c>
    </row>
    <row r="3272" customFormat="false" ht="15" hidden="false" customHeight="false" outlineLevel="0" collapsed="false">
      <c r="A3272" s="50" t="s">
        <v>1220</v>
      </c>
      <c r="B3272" s="51" t="n">
        <v>45857</v>
      </c>
      <c r="C3272" s="50" t="s">
        <v>174</v>
      </c>
      <c r="D3272" s="50" t="s">
        <v>2187</v>
      </c>
      <c r="E3272" s="50" t="n">
        <v>8</v>
      </c>
      <c r="F3272" s="50" t="s">
        <v>2167</v>
      </c>
      <c r="G3272" s="54" t="n">
        <v>2813700</v>
      </c>
    </row>
    <row r="3273" customFormat="false" ht="15" hidden="false" customHeight="false" outlineLevel="0" collapsed="false">
      <c r="A3273" s="50" t="s">
        <v>1220</v>
      </c>
      <c r="B3273" s="51" t="n">
        <v>45857</v>
      </c>
      <c r="C3273" s="50" t="s">
        <v>174</v>
      </c>
      <c r="D3273" s="50" t="s">
        <v>2186</v>
      </c>
      <c r="E3273" s="50" t="n">
        <v>7</v>
      </c>
      <c r="F3273" s="50" t="s">
        <v>2167</v>
      </c>
      <c r="G3273" s="54" t="n">
        <v>4279000</v>
      </c>
    </row>
    <row r="3274" customFormat="false" ht="15" hidden="false" customHeight="false" outlineLevel="0" collapsed="false">
      <c r="A3274" s="50" t="s">
        <v>1220</v>
      </c>
      <c r="B3274" s="51" t="n">
        <v>45857</v>
      </c>
      <c r="C3274" s="50" t="s">
        <v>174</v>
      </c>
      <c r="D3274" s="50" t="s">
        <v>2185</v>
      </c>
      <c r="E3274" s="50" t="n">
        <v>7</v>
      </c>
      <c r="F3274" s="50" t="s">
        <v>2174</v>
      </c>
      <c r="G3274" s="54" t="n">
        <v>5483900</v>
      </c>
    </row>
    <row r="3275" customFormat="false" ht="15" hidden="false" customHeight="false" outlineLevel="0" collapsed="false">
      <c r="A3275" s="50" t="s">
        <v>1220</v>
      </c>
      <c r="B3275" s="51" t="n">
        <v>45857</v>
      </c>
      <c r="C3275" s="50" t="s">
        <v>174</v>
      </c>
      <c r="D3275" s="50" t="s">
        <v>2173</v>
      </c>
      <c r="E3275" s="50" t="n">
        <v>3</v>
      </c>
      <c r="F3275" s="50" t="s">
        <v>2174</v>
      </c>
      <c r="G3275" s="54" t="n">
        <v>2304700</v>
      </c>
    </row>
    <row r="3276" customFormat="false" ht="15" hidden="false" customHeight="false" outlineLevel="0" collapsed="false">
      <c r="A3276" s="50" t="s">
        <v>1221</v>
      </c>
      <c r="B3276" s="51" t="n">
        <v>45857</v>
      </c>
      <c r="C3276" s="50" t="s">
        <v>199</v>
      </c>
      <c r="D3276" s="50" t="s">
        <v>2166</v>
      </c>
      <c r="E3276" s="50" t="n">
        <v>8</v>
      </c>
      <c r="F3276" s="50" t="s">
        <v>2167</v>
      </c>
      <c r="G3276" s="54" t="n">
        <v>4259000</v>
      </c>
    </row>
    <row r="3277" customFormat="false" ht="15" hidden="false" customHeight="false" outlineLevel="0" collapsed="false">
      <c r="A3277" s="50" t="s">
        <v>1221</v>
      </c>
      <c r="B3277" s="51" t="n">
        <v>45857</v>
      </c>
      <c r="C3277" s="50" t="s">
        <v>199</v>
      </c>
      <c r="D3277" s="50" t="s">
        <v>2173</v>
      </c>
      <c r="E3277" s="50" t="n">
        <v>4</v>
      </c>
      <c r="F3277" s="50" t="s">
        <v>2174</v>
      </c>
      <c r="G3277" s="54" t="n">
        <v>3090100</v>
      </c>
    </row>
    <row r="3278" customFormat="false" ht="15" hidden="false" customHeight="false" outlineLevel="0" collapsed="false">
      <c r="A3278" s="50" t="s">
        <v>1221</v>
      </c>
      <c r="B3278" s="51" t="n">
        <v>45857</v>
      </c>
      <c r="C3278" s="50" t="s">
        <v>199</v>
      </c>
      <c r="D3278" s="50" t="s">
        <v>2179</v>
      </c>
      <c r="E3278" s="50" t="n">
        <v>6</v>
      </c>
      <c r="F3278" s="50" t="s">
        <v>2174</v>
      </c>
      <c r="G3278" s="54" t="n">
        <v>7695900</v>
      </c>
    </row>
    <row r="3279" customFormat="false" ht="15" hidden="false" customHeight="false" outlineLevel="0" collapsed="false">
      <c r="A3279" s="50" t="s">
        <v>1222</v>
      </c>
      <c r="B3279" s="51" t="n">
        <v>45859</v>
      </c>
      <c r="C3279" s="50" t="s">
        <v>289</v>
      </c>
      <c r="D3279" s="50" t="s">
        <v>2187</v>
      </c>
      <c r="E3279" s="50" t="n">
        <v>2</v>
      </c>
      <c r="F3279" s="50" t="s">
        <v>2167</v>
      </c>
      <c r="G3279" s="54" t="n">
        <v>680300</v>
      </c>
    </row>
    <row r="3280" customFormat="false" ht="15" hidden="false" customHeight="false" outlineLevel="0" collapsed="false">
      <c r="A3280" s="50" t="s">
        <v>1222</v>
      </c>
      <c r="B3280" s="51" t="n">
        <v>45859</v>
      </c>
      <c r="C3280" s="50" t="s">
        <v>289</v>
      </c>
      <c r="D3280" s="50" t="s">
        <v>2168</v>
      </c>
      <c r="E3280" s="50" t="n">
        <v>8</v>
      </c>
      <c r="F3280" s="50" t="s">
        <v>2167</v>
      </c>
      <c r="G3280" s="54" t="n">
        <v>3516600</v>
      </c>
    </row>
    <row r="3281" customFormat="false" ht="15" hidden="false" customHeight="false" outlineLevel="0" collapsed="false">
      <c r="A3281" s="50" t="s">
        <v>1222</v>
      </c>
      <c r="B3281" s="51" t="n">
        <v>45859</v>
      </c>
      <c r="C3281" s="50" t="s">
        <v>289</v>
      </c>
      <c r="D3281" s="50" t="s">
        <v>2183</v>
      </c>
      <c r="E3281" s="50" t="n">
        <v>6</v>
      </c>
      <c r="F3281" s="50" t="s">
        <v>2167</v>
      </c>
      <c r="G3281" s="54" t="n">
        <v>2335000</v>
      </c>
    </row>
    <row r="3282" customFormat="false" ht="15" hidden="false" customHeight="false" outlineLevel="0" collapsed="false">
      <c r="A3282" s="50" t="s">
        <v>1223</v>
      </c>
      <c r="B3282" s="51" t="n">
        <v>45859</v>
      </c>
      <c r="C3282" s="50" t="s">
        <v>540</v>
      </c>
      <c r="D3282" s="50" t="s">
        <v>2178</v>
      </c>
      <c r="E3282" s="50" t="n">
        <v>7</v>
      </c>
      <c r="F3282" s="50" t="s">
        <v>2167</v>
      </c>
      <c r="G3282" s="54" t="n">
        <v>3355100</v>
      </c>
    </row>
    <row r="3283" customFormat="false" ht="15" hidden="false" customHeight="false" outlineLevel="0" collapsed="false">
      <c r="A3283" s="50" t="s">
        <v>1223</v>
      </c>
      <c r="B3283" s="51" t="n">
        <v>45859</v>
      </c>
      <c r="C3283" s="50" t="s">
        <v>540</v>
      </c>
      <c r="D3283" s="50" t="s">
        <v>2180</v>
      </c>
      <c r="E3283" s="50" t="n">
        <v>3</v>
      </c>
      <c r="F3283" s="50" t="s">
        <v>2167</v>
      </c>
      <c r="G3283" s="54" t="n">
        <v>1396600</v>
      </c>
    </row>
    <row r="3284" customFormat="false" ht="15" hidden="false" customHeight="false" outlineLevel="0" collapsed="false">
      <c r="A3284" s="50" t="s">
        <v>1224</v>
      </c>
      <c r="B3284" s="51" t="n">
        <v>45859</v>
      </c>
      <c r="C3284" s="50" t="s">
        <v>205</v>
      </c>
      <c r="D3284" s="50" t="s">
        <v>2176</v>
      </c>
      <c r="E3284" s="50" t="n">
        <v>2</v>
      </c>
      <c r="F3284" s="50" t="s">
        <v>2167</v>
      </c>
      <c r="G3284" s="54" t="n">
        <v>820700</v>
      </c>
    </row>
    <row r="3285" customFormat="false" ht="15" hidden="false" customHeight="false" outlineLevel="0" collapsed="false">
      <c r="A3285" s="50" t="s">
        <v>1224</v>
      </c>
      <c r="B3285" s="51" t="n">
        <v>45859</v>
      </c>
      <c r="C3285" s="50" t="s">
        <v>205</v>
      </c>
      <c r="D3285" s="50" t="s">
        <v>2185</v>
      </c>
      <c r="E3285" s="50" t="n">
        <v>2</v>
      </c>
      <c r="F3285" s="50" t="s">
        <v>2174</v>
      </c>
      <c r="G3285" s="54" t="n">
        <v>1501400</v>
      </c>
    </row>
    <row r="3286" customFormat="false" ht="15" hidden="false" customHeight="false" outlineLevel="0" collapsed="false">
      <c r="A3286" s="50" t="s">
        <v>1224</v>
      </c>
      <c r="B3286" s="51" t="n">
        <v>45859</v>
      </c>
      <c r="C3286" s="50" t="s">
        <v>205</v>
      </c>
      <c r="D3286" s="50" t="s">
        <v>2169</v>
      </c>
      <c r="E3286" s="50" t="n">
        <v>4</v>
      </c>
      <c r="F3286" s="50" t="s">
        <v>2167</v>
      </c>
      <c r="G3286" s="54" t="n">
        <v>2511800</v>
      </c>
    </row>
    <row r="3287" customFormat="false" ht="15" hidden="false" customHeight="false" outlineLevel="0" collapsed="false">
      <c r="A3287" s="50" t="s">
        <v>1224</v>
      </c>
      <c r="B3287" s="51" t="n">
        <v>45859</v>
      </c>
      <c r="C3287" s="50" t="s">
        <v>205</v>
      </c>
      <c r="D3287" s="50" t="s">
        <v>2168</v>
      </c>
      <c r="E3287" s="50" t="n">
        <v>6</v>
      </c>
      <c r="F3287" s="50" t="s">
        <v>2167</v>
      </c>
      <c r="G3287" s="54" t="n">
        <v>2655100</v>
      </c>
    </row>
    <row r="3288" customFormat="false" ht="15" hidden="false" customHeight="false" outlineLevel="0" collapsed="false">
      <c r="A3288" s="50" t="s">
        <v>1224</v>
      </c>
      <c r="B3288" s="51" t="n">
        <v>45859</v>
      </c>
      <c r="C3288" s="50" t="s">
        <v>205</v>
      </c>
      <c r="D3288" s="50" t="s">
        <v>2184</v>
      </c>
      <c r="E3288" s="50" t="n">
        <v>6</v>
      </c>
      <c r="F3288" s="50" t="s">
        <v>2167</v>
      </c>
      <c r="G3288" s="54" t="n">
        <v>3264000</v>
      </c>
    </row>
    <row r="3289" customFormat="false" ht="15" hidden="false" customHeight="false" outlineLevel="0" collapsed="false">
      <c r="A3289" s="50" t="s">
        <v>1225</v>
      </c>
      <c r="B3289" s="51" t="n">
        <v>45859</v>
      </c>
      <c r="C3289" s="50" t="s">
        <v>310</v>
      </c>
      <c r="D3289" s="50" t="s">
        <v>2184</v>
      </c>
      <c r="E3289" s="50" t="n">
        <v>3</v>
      </c>
      <c r="F3289" s="50" t="s">
        <v>2167</v>
      </c>
      <c r="G3289" s="54" t="n">
        <v>1625800</v>
      </c>
    </row>
    <row r="3290" customFormat="false" ht="15" hidden="false" customHeight="false" outlineLevel="0" collapsed="false">
      <c r="A3290" s="50" t="s">
        <v>1225</v>
      </c>
      <c r="B3290" s="51" t="n">
        <v>45859</v>
      </c>
      <c r="C3290" s="50" t="s">
        <v>310</v>
      </c>
      <c r="D3290" s="50" t="s">
        <v>2182</v>
      </c>
      <c r="E3290" s="50" t="n">
        <v>1</v>
      </c>
      <c r="F3290" s="50" t="s">
        <v>2174</v>
      </c>
      <c r="G3290" s="54" t="n">
        <v>939000</v>
      </c>
    </row>
    <row r="3291" customFormat="false" ht="15" hidden="false" customHeight="false" outlineLevel="0" collapsed="false">
      <c r="A3291" s="50" t="s">
        <v>1225</v>
      </c>
      <c r="B3291" s="51" t="n">
        <v>45859</v>
      </c>
      <c r="C3291" s="50" t="s">
        <v>310</v>
      </c>
      <c r="D3291" s="50" t="s">
        <v>2180</v>
      </c>
      <c r="E3291" s="50" t="n">
        <v>2</v>
      </c>
      <c r="F3291" s="50" t="s">
        <v>2167</v>
      </c>
      <c r="G3291" s="54" t="n">
        <v>873700</v>
      </c>
    </row>
    <row r="3292" customFormat="false" ht="15" hidden="false" customHeight="false" outlineLevel="0" collapsed="false">
      <c r="A3292" s="50" t="s">
        <v>1225</v>
      </c>
      <c r="B3292" s="51" t="n">
        <v>45859</v>
      </c>
      <c r="C3292" s="50" t="s">
        <v>310</v>
      </c>
      <c r="D3292" s="50" t="s">
        <v>2178</v>
      </c>
      <c r="E3292" s="50" t="n">
        <v>3</v>
      </c>
      <c r="F3292" s="50" t="s">
        <v>2167</v>
      </c>
      <c r="G3292" s="54" t="n">
        <v>1488700</v>
      </c>
    </row>
    <row r="3293" customFormat="false" ht="15" hidden="false" customHeight="false" outlineLevel="0" collapsed="false">
      <c r="A3293" s="50" t="s">
        <v>1225</v>
      </c>
      <c r="B3293" s="51" t="n">
        <v>45859</v>
      </c>
      <c r="C3293" s="50" t="s">
        <v>310</v>
      </c>
      <c r="D3293" s="50" t="s">
        <v>2173</v>
      </c>
      <c r="E3293" s="50" t="n">
        <v>5</v>
      </c>
      <c r="F3293" s="50" t="s">
        <v>2174</v>
      </c>
      <c r="G3293" s="54" t="n">
        <v>3940800</v>
      </c>
    </row>
    <row r="3294" customFormat="false" ht="15" hidden="false" customHeight="false" outlineLevel="0" collapsed="false">
      <c r="A3294" s="50" t="s">
        <v>1226</v>
      </c>
      <c r="B3294" s="51" t="n">
        <v>45859</v>
      </c>
      <c r="C3294" s="50" t="s">
        <v>320</v>
      </c>
      <c r="D3294" s="50" t="s">
        <v>2186</v>
      </c>
      <c r="E3294" s="50" t="n">
        <v>7</v>
      </c>
      <c r="F3294" s="50" t="s">
        <v>2167</v>
      </c>
      <c r="G3294" s="54" t="n">
        <v>4004400</v>
      </c>
    </row>
    <row r="3295" customFormat="false" ht="15" hidden="false" customHeight="false" outlineLevel="0" collapsed="false">
      <c r="A3295" s="50" t="s">
        <v>1226</v>
      </c>
      <c r="B3295" s="51" t="n">
        <v>45859</v>
      </c>
      <c r="C3295" s="50" t="s">
        <v>320</v>
      </c>
      <c r="D3295" s="50" t="s">
        <v>2179</v>
      </c>
      <c r="E3295" s="50" t="n">
        <v>1</v>
      </c>
      <c r="F3295" s="50" t="s">
        <v>2174</v>
      </c>
      <c r="G3295" s="54" t="n">
        <v>1283900</v>
      </c>
    </row>
    <row r="3296" customFormat="false" ht="15" hidden="false" customHeight="false" outlineLevel="0" collapsed="false">
      <c r="A3296" s="50" t="s">
        <v>1227</v>
      </c>
      <c r="B3296" s="51" t="n">
        <v>45859</v>
      </c>
      <c r="C3296" s="50" t="s">
        <v>491</v>
      </c>
      <c r="D3296" s="50" t="s">
        <v>2172</v>
      </c>
      <c r="E3296" s="50" t="n">
        <v>1</v>
      </c>
      <c r="F3296" s="50" t="s">
        <v>2167</v>
      </c>
      <c r="G3296" s="54" t="n">
        <v>531300</v>
      </c>
    </row>
    <row r="3297" customFormat="false" ht="15" hidden="false" customHeight="false" outlineLevel="0" collapsed="false">
      <c r="A3297" s="50" t="s">
        <v>1227</v>
      </c>
      <c r="B3297" s="51" t="n">
        <v>45859</v>
      </c>
      <c r="C3297" s="50" t="s">
        <v>491</v>
      </c>
      <c r="D3297" s="50" t="s">
        <v>2176</v>
      </c>
      <c r="E3297" s="50" t="n">
        <v>8</v>
      </c>
      <c r="F3297" s="50" t="s">
        <v>2167</v>
      </c>
      <c r="G3297" s="54" t="n">
        <v>3411700</v>
      </c>
    </row>
    <row r="3298" customFormat="false" ht="15" hidden="false" customHeight="false" outlineLevel="0" collapsed="false">
      <c r="A3298" s="50" t="s">
        <v>1227</v>
      </c>
      <c r="B3298" s="51" t="n">
        <v>45859</v>
      </c>
      <c r="C3298" s="50" t="s">
        <v>491</v>
      </c>
      <c r="D3298" s="50" t="s">
        <v>2187</v>
      </c>
      <c r="E3298" s="50" t="n">
        <v>1</v>
      </c>
      <c r="F3298" s="50" t="s">
        <v>2167</v>
      </c>
      <c r="G3298" s="54" t="n">
        <v>349600</v>
      </c>
    </row>
    <row r="3299" customFormat="false" ht="15" hidden="false" customHeight="false" outlineLevel="0" collapsed="false">
      <c r="A3299" s="50" t="s">
        <v>1227</v>
      </c>
      <c r="B3299" s="51" t="n">
        <v>45859</v>
      </c>
      <c r="C3299" s="50" t="s">
        <v>491</v>
      </c>
      <c r="D3299" s="50" t="s">
        <v>2168</v>
      </c>
      <c r="E3299" s="50" t="n">
        <v>8</v>
      </c>
      <c r="F3299" s="50" t="s">
        <v>2167</v>
      </c>
      <c r="G3299" s="54" t="n">
        <v>3500500</v>
      </c>
    </row>
    <row r="3300" customFormat="false" ht="15" hidden="false" customHeight="false" outlineLevel="0" collapsed="false">
      <c r="A3300" s="50" t="s">
        <v>1228</v>
      </c>
      <c r="B3300" s="51" t="n">
        <v>45860</v>
      </c>
      <c r="C3300" s="50" t="s">
        <v>611</v>
      </c>
      <c r="D3300" s="50" t="s">
        <v>2187</v>
      </c>
      <c r="E3300" s="50" t="n">
        <v>6</v>
      </c>
      <c r="F3300" s="50" t="s">
        <v>2167</v>
      </c>
      <c r="G3300" s="54" t="n">
        <v>2083200</v>
      </c>
    </row>
    <row r="3301" customFormat="false" ht="15" hidden="false" customHeight="false" outlineLevel="0" collapsed="false">
      <c r="A3301" s="50" t="s">
        <v>1228</v>
      </c>
      <c r="B3301" s="51" t="n">
        <v>45860</v>
      </c>
      <c r="C3301" s="50" t="s">
        <v>611</v>
      </c>
      <c r="D3301" s="50" t="s">
        <v>2172</v>
      </c>
      <c r="E3301" s="50" t="n">
        <v>7</v>
      </c>
      <c r="F3301" s="50" t="s">
        <v>2167</v>
      </c>
      <c r="G3301" s="54" t="n">
        <v>3512000</v>
      </c>
    </row>
    <row r="3302" customFormat="false" ht="15" hidden="false" customHeight="false" outlineLevel="0" collapsed="false">
      <c r="A3302" s="50" t="s">
        <v>1228</v>
      </c>
      <c r="B3302" s="51" t="n">
        <v>45860</v>
      </c>
      <c r="C3302" s="50" t="s">
        <v>611</v>
      </c>
      <c r="D3302" s="50" t="s">
        <v>2166</v>
      </c>
      <c r="E3302" s="50" t="n">
        <v>4</v>
      </c>
      <c r="F3302" s="50" t="s">
        <v>2167</v>
      </c>
      <c r="G3302" s="54" t="n">
        <v>2121200</v>
      </c>
    </row>
    <row r="3303" customFormat="false" ht="15" hidden="false" customHeight="false" outlineLevel="0" collapsed="false">
      <c r="A3303" s="50" t="s">
        <v>1229</v>
      </c>
      <c r="B3303" s="51" t="n">
        <v>45860</v>
      </c>
      <c r="C3303" s="50" t="s">
        <v>286</v>
      </c>
      <c r="D3303" s="50" t="s">
        <v>2176</v>
      </c>
      <c r="E3303" s="50" t="n">
        <v>6</v>
      </c>
      <c r="F3303" s="50" t="s">
        <v>2167</v>
      </c>
      <c r="G3303" s="54" t="n">
        <v>2442400</v>
      </c>
    </row>
    <row r="3304" customFormat="false" ht="15" hidden="false" customHeight="false" outlineLevel="0" collapsed="false">
      <c r="A3304" s="50" t="s">
        <v>1229</v>
      </c>
      <c r="B3304" s="51" t="n">
        <v>45860</v>
      </c>
      <c r="C3304" s="50" t="s">
        <v>286</v>
      </c>
      <c r="D3304" s="50" t="s">
        <v>2173</v>
      </c>
      <c r="E3304" s="50" t="n">
        <v>6</v>
      </c>
      <c r="F3304" s="50" t="s">
        <v>2174</v>
      </c>
      <c r="G3304" s="54" t="n">
        <v>4628800</v>
      </c>
    </row>
    <row r="3305" customFormat="false" ht="15" hidden="false" customHeight="false" outlineLevel="0" collapsed="false">
      <c r="A3305" s="50" t="s">
        <v>1229</v>
      </c>
      <c r="B3305" s="51" t="n">
        <v>45860</v>
      </c>
      <c r="C3305" s="50" t="s">
        <v>286</v>
      </c>
      <c r="D3305" s="50" t="s">
        <v>2178</v>
      </c>
      <c r="E3305" s="50" t="n">
        <v>3</v>
      </c>
      <c r="F3305" s="50" t="s">
        <v>2167</v>
      </c>
      <c r="G3305" s="54" t="n">
        <v>1481700</v>
      </c>
    </row>
    <row r="3306" customFormat="false" ht="15" hidden="false" customHeight="false" outlineLevel="0" collapsed="false">
      <c r="A3306" s="50" t="s">
        <v>1229</v>
      </c>
      <c r="B3306" s="51" t="n">
        <v>45860</v>
      </c>
      <c r="C3306" s="50" t="s">
        <v>286</v>
      </c>
      <c r="D3306" s="50" t="s">
        <v>2182</v>
      </c>
      <c r="E3306" s="50" t="n">
        <v>8</v>
      </c>
      <c r="F3306" s="50" t="s">
        <v>2174</v>
      </c>
      <c r="G3306" s="54" t="n">
        <v>7480800</v>
      </c>
    </row>
    <row r="3307" customFormat="false" ht="15" hidden="false" customHeight="false" outlineLevel="0" collapsed="false">
      <c r="A3307" s="50" t="s">
        <v>1230</v>
      </c>
      <c r="B3307" s="51" t="n">
        <v>45860</v>
      </c>
      <c r="C3307" s="50" t="s">
        <v>174</v>
      </c>
      <c r="D3307" s="50" t="s">
        <v>2183</v>
      </c>
      <c r="E3307" s="50" t="n">
        <v>8</v>
      </c>
      <c r="F3307" s="50" t="s">
        <v>2167</v>
      </c>
      <c r="G3307" s="54" t="n">
        <v>3080100</v>
      </c>
    </row>
    <row r="3308" customFormat="false" ht="15" hidden="false" customHeight="false" outlineLevel="0" collapsed="false">
      <c r="A3308" s="50" t="s">
        <v>1230</v>
      </c>
      <c r="B3308" s="51" t="n">
        <v>45860</v>
      </c>
      <c r="C3308" s="50" t="s">
        <v>174</v>
      </c>
      <c r="D3308" s="50" t="s">
        <v>2184</v>
      </c>
      <c r="E3308" s="50" t="n">
        <v>6</v>
      </c>
      <c r="F3308" s="50" t="s">
        <v>2167</v>
      </c>
      <c r="G3308" s="54" t="n">
        <v>3362300</v>
      </c>
    </row>
    <row r="3309" customFormat="false" ht="15" hidden="false" customHeight="false" outlineLevel="0" collapsed="false">
      <c r="A3309" s="50" t="s">
        <v>1231</v>
      </c>
      <c r="B3309" s="51" t="n">
        <v>45860</v>
      </c>
      <c r="C3309" s="50" t="s">
        <v>205</v>
      </c>
      <c r="D3309" s="50" t="s">
        <v>2180</v>
      </c>
      <c r="E3309" s="50" t="n">
        <v>4</v>
      </c>
      <c r="F3309" s="50" t="s">
        <v>2167</v>
      </c>
      <c r="G3309" s="54" t="n">
        <v>1770300</v>
      </c>
    </row>
    <row r="3310" customFormat="false" ht="15" hidden="false" customHeight="false" outlineLevel="0" collapsed="false">
      <c r="A3310" s="50" t="s">
        <v>1231</v>
      </c>
      <c r="B3310" s="51" t="n">
        <v>45860</v>
      </c>
      <c r="C3310" s="50" t="s">
        <v>205</v>
      </c>
      <c r="D3310" s="50" t="s">
        <v>2184</v>
      </c>
      <c r="E3310" s="50" t="n">
        <v>8</v>
      </c>
      <c r="F3310" s="50" t="s">
        <v>2167</v>
      </c>
      <c r="G3310" s="54" t="n">
        <v>4510800</v>
      </c>
    </row>
    <row r="3311" customFormat="false" ht="15" hidden="false" customHeight="false" outlineLevel="0" collapsed="false">
      <c r="A3311" s="50" t="s">
        <v>1231</v>
      </c>
      <c r="B3311" s="51" t="n">
        <v>45860</v>
      </c>
      <c r="C3311" s="50" t="s">
        <v>205</v>
      </c>
      <c r="D3311" s="50" t="s">
        <v>2179</v>
      </c>
      <c r="E3311" s="50" t="n">
        <v>2</v>
      </c>
      <c r="F3311" s="50" t="s">
        <v>2174</v>
      </c>
      <c r="G3311" s="54" t="n">
        <v>2590100</v>
      </c>
    </row>
    <row r="3312" customFormat="false" ht="15" hidden="false" customHeight="false" outlineLevel="0" collapsed="false">
      <c r="A3312" s="50" t="s">
        <v>1231</v>
      </c>
      <c r="B3312" s="51" t="n">
        <v>45860</v>
      </c>
      <c r="C3312" s="50" t="s">
        <v>205</v>
      </c>
      <c r="D3312" s="50" t="s">
        <v>2176</v>
      </c>
      <c r="E3312" s="50" t="n">
        <v>5</v>
      </c>
      <c r="F3312" s="50" t="s">
        <v>2167</v>
      </c>
      <c r="G3312" s="54" t="n">
        <v>2094000</v>
      </c>
    </row>
    <row r="3313" customFormat="false" ht="15" hidden="false" customHeight="false" outlineLevel="0" collapsed="false">
      <c r="A3313" s="50" t="s">
        <v>1232</v>
      </c>
      <c r="B3313" s="51" t="n">
        <v>45860</v>
      </c>
      <c r="C3313" s="50" t="s">
        <v>188</v>
      </c>
      <c r="D3313" s="50" t="s">
        <v>2180</v>
      </c>
      <c r="E3313" s="50" t="n">
        <v>2</v>
      </c>
      <c r="F3313" s="50" t="s">
        <v>2167</v>
      </c>
      <c r="G3313" s="54" t="n">
        <v>935800</v>
      </c>
    </row>
    <row r="3314" customFormat="false" ht="15" hidden="false" customHeight="false" outlineLevel="0" collapsed="false">
      <c r="A3314" s="50" t="s">
        <v>1232</v>
      </c>
      <c r="B3314" s="51" t="n">
        <v>45860</v>
      </c>
      <c r="C3314" s="50" t="s">
        <v>188</v>
      </c>
      <c r="D3314" s="50" t="s">
        <v>2187</v>
      </c>
      <c r="E3314" s="50" t="n">
        <v>4</v>
      </c>
      <c r="F3314" s="50" t="s">
        <v>2167</v>
      </c>
      <c r="G3314" s="54" t="n">
        <v>1394400</v>
      </c>
    </row>
    <row r="3315" customFormat="false" ht="15" hidden="false" customHeight="false" outlineLevel="0" collapsed="false">
      <c r="A3315" s="50" t="s">
        <v>1232</v>
      </c>
      <c r="B3315" s="51" t="n">
        <v>45860</v>
      </c>
      <c r="C3315" s="50" t="s">
        <v>188</v>
      </c>
      <c r="D3315" s="50" t="s">
        <v>2173</v>
      </c>
      <c r="E3315" s="50" t="n">
        <v>8</v>
      </c>
      <c r="F3315" s="50" t="s">
        <v>2174</v>
      </c>
      <c r="G3315" s="54" t="n">
        <v>6569300</v>
      </c>
    </row>
    <row r="3316" customFormat="false" ht="15" hidden="false" customHeight="false" outlineLevel="0" collapsed="false">
      <c r="A3316" s="50" t="s">
        <v>1233</v>
      </c>
      <c r="B3316" s="51" t="n">
        <v>45860</v>
      </c>
      <c r="C3316" s="50" t="s">
        <v>172</v>
      </c>
      <c r="D3316" s="50" t="s">
        <v>2169</v>
      </c>
      <c r="E3316" s="50" t="n">
        <v>5</v>
      </c>
      <c r="F3316" s="50" t="s">
        <v>2167</v>
      </c>
      <c r="G3316" s="54" t="n">
        <v>3168400</v>
      </c>
    </row>
    <row r="3317" customFormat="false" ht="15" hidden="false" customHeight="false" outlineLevel="0" collapsed="false">
      <c r="A3317" s="50" t="s">
        <v>1233</v>
      </c>
      <c r="B3317" s="51" t="n">
        <v>45860</v>
      </c>
      <c r="C3317" s="50" t="s">
        <v>172</v>
      </c>
      <c r="D3317" s="50" t="s">
        <v>2175</v>
      </c>
      <c r="E3317" s="50" t="n">
        <v>8</v>
      </c>
      <c r="F3317" s="50" t="s">
        <v>2167</v>
      </c>
      <c r="G3317" s="54" t="n">
        <v>5314300</v>
      </c>
    </row>
    <row r="3318" customFormat="false" ht="15" hidden="false" customHeight="false" outlineLevel="0" collapsed="false">
      <c r="A3318" s="50" t="s">
        <v>1233</v>
      </c>
      <c r="B3318" s="51" t="n">
        <v>45860</v>
      </c>
      <c r="C3318" s="50" t="s">
        <v>172</v>
      </c>
      <c r="D3318" s="50" t="s">
        <v>2180</v>
      </c>
      <c r="E3318" s="50" t="n">
        <v>3</v>
      </c>
      <c r="F3318" s="50" t="s">
        <v>2167</v>
      </c>
      <c r="G3318" s="54" t="n">
        <v>1317600</v>
      </c>
    </row>
    <row r="3319" customFormat="false" ht="15" hidden="false" customHeight="false" outlineLevel="0" collapsed="false">
      <c r="A3319" s="50" t="s">
        <v>1233</v>
      </c>
      <c r="B3319" s="51" t="n">
        <v>45860</v>
      </c>
      <c r="C3319" s="50" t="s">
        <v>172</v>
      </c>
      <c r="D3319" s="50" t="s">
        <v>2173</v>
      </c>
      <c r="E3319" s="50" t="n">
        <v>3</v>
      </c>
      <c r="F3319" s="50" t="s">
        <v>2174</v>
      </c>
      <c r="G3319" s="54" t="n">
        <v>2408600</v>
      </c>
    </row>
    <row r="3320" customFormat="false" ht="15" hidden="false" customHeight="false" outlineLevel="0" collapsed="false">
      <c r="A3320" s="50" t="s">
        <v>1233</v>
      </c>
      <c r="B3320" s="51" t="n">
        <v>45860</v>
      </c>
      <c r="C3320" s="50" t="s">
        <v>172</v>
      </c>
      <c r="D3320" s="50" t="s">
        <v>2184</v>
      </c>
      <c r="E3320" s="50" t="n">
        <v>6</v>
      </c>
      <c r="F3320" s="50" t="s">
        <v>2167</v>
      </c>
      <c r="G3320" s="54" t="n">
        <v>3248900</v>
      </c>
    </row>
    <row r="3321" customFormat="false" ht="15" hidden="false" customHeight="false" outlineLevel="0" collapsed="false">
      <c r="A3321" s="50" t="s">
        <v>1234</v>
      </c>
      <c r="B3321" s="51" t="n">
        <v>45860</v>
      </c>
      <c r="C3321" s="50" t="s">
        <v>284</v>
      </c>
      <c r="D3321" s="50" t="s">
        <v>2169</v>
      </c>
      <c r="E3321" s="50" t="n">
        <v>3</v>
      </c>
      <c r="F3321" s="50" t="s">
        <v>2167</v>
      </c>
      <c r="G3321" s="54" t="n">
        <v>1793800</v>
      </c>
    </row>
    <row r="3322" customFormat="false" ht="15" hidden="false" customHeight="false" outlineLevel="0" collapsed="false">
      <c r="A3322" s="50" t="s">
        <v>1234</v>
      </c>
      <c r="B3322" s="51" t="n">
        <v>45860</v>
      </c>
      <c r="C3322" s="50" t="s">
        <v>284</v>
      </c>
      <c r="D3322" s="50" t="s">
        <v>2173</v>
      </c>
      <c r="E3322" s="50" t="n">
        <v>4</v>
      </c>
      <c r="F3322" s="50" t="s">
        <v>2174</v>
      </c>
      <c r="G3322" s="54" t="n">
        <v>3083600</v>
      </c>
    </row>
    <row r="3323" customFormat="false" ht="15" hidden="false" customHeight="false" outlineLevel="0" collapsed="false">
      <c r="A3323" s="50" t="s">
        <v>1235</v>
      </c>
      <c r="B3323" s="51" t="n">
        <v>45860</v>
      </c>
      <c r="C3323" s="50" t="s">
        <v>174</v>
      </c>
      <c r="D3323" s="50" t="s">
        <v>2178</v>
      </c>
      <c r="E3323" s="50" t="n">
        <v>4</v>
      </c>
      <c r="F3323" s="50" t="s">
        <v>2167</v>
      </c>
      <c r="G3323" s="54" t="n">
        <v>1860300</v>
      </c>
    </row>
    <row r="3324" customFormat="false" ht="15" hidden="false" customHeight="false" outlineLevel="0" collapsed="false">
      <c r="A3324" s="50" t="s">
        <v>1235</v>
      </c>
      <c r="B3324" s="51" t="n">
        <v>45860</v>
      </c>
      <c r="C3324" s="50" t="s">
        <v>174</v>
      </c>
      <c r="D3324" s="50" t="s">
        <v>2180</v>
      </c>
      <c r="E3324" s="50" t="n">
        <v>5</v>
      </c>
      <c r="F3324" s="50" t="s">
        <v>2167</v>
      </c>
      <c r="G3324" s="54" t="n">
        <v>2161400</v>
      </c>
    </row>
    <row r="3325" customFormat="false" ht="15" hidden="false" customHeight="false" outlineLevel="0" collapsed="false">
      <c r="A3325" s="50" t="s">
        <v>1236</v>
      </c>
      <c r="B3325" s="51" t="n">
        <v>45861</v>
      </c>
      <c r="C3325" s="50" t="s">
        <v>376</v>
      </c>
      <c r="D3325" s="50" t="s">
        <v>2185</v>
      </c>
      <c r="E3325" s="50" t="n">
        <v>1</v>
      </c>
      <c r="F3325" s="50" t="s">
        <v>2174</v>
      </c>
      <c r="G3325" s="54" t="n">
        <v>786600</v>
      </c>
    </row>
    <row r="3326" customFormat="false" ht="15" hidden="false" customHeight="false" outlineLevel="0" collapsed="false">
      <c r="A3326" s="50" t="s">
        <v>1236</v>
      </c>
      <c r="B3326" s="51" t="n">
        <v>45861</v>
      </c>
      <c r="C3326" s="50" t="s">
        <v>376</v>
      </c>
      <c r="D3326" s="50" t="s">
        <v>2177</v>
      </c>
      <c r="E3326" s="50" t="n">
        <v>6</v>
      </c>
      <c r="F3326" s="50" t="s">
        <v>2174</v>
      </c>
      <c r="G3326" s="54" t="n">
        <v>6505000</v>
      </c>
    </row>
    <row r="3327" customFormat="false" ht="15" hidden="false" customHeight="false" outlineLevel="0" collapsed="false">
      <c r="A3327" s="50" t="s">
        <v>1236</v>
      </c>
      <c r="B3327" s="51" t="n">
        <v>45861</v>
      </c>
      <c r="C3327" s="50" t="s">
        <v>376</v>
      </c>
      <c r="D3327" s="50" t="s">
        <v>2186</v>
      </c>
      <c r="E3327" s="50" t="n">
        <v>7</v>
      </c>
      <c r="F3327" s="50" t="s">
        <v>2167</v>
      </c>
      <c r="G3327" s="54" t="n">
        <v>4291800</v>
      </c>
    </row>
    <row r="3328" customFormat="false" ht="15" hidden="false" customHeight="false" outlineLevel="0" collapsed="false">
      <c r="A3328" s="50" t="s">
        <v>1237</v>
      </c>
      <c r="B3328" s="51" t="n">
        <v>45861</v>
      </c>
      <c r="C3328" s="50" t="s">
        <v>216</v>
      </c>
      <c r="D3328" s="50" t="s">
        <v>2169</v>
      </c>
      <c r="E3328" s="50" t="n">
        <v>8</v>
      </c>
      <c r="F3328" s="50" t="s">
        <v>2167</v>
      </c>
      <c r="G3328" s="54" t="n">
        <v>4961200</v>
      </c>
    </row>
    <row r="3329" customFormat="false" ht="15" hidden="false" customHeight="false" outlineLevel="0" collapsed="false">
      <c r="A3329" s="50" t="s">
        <v>1237</v>
      </c>
      <c r="B3329" s="51" t="n">
        <v>45861</v>
      </c>
      <c r="C3329" s="50" t="s">
        <v>216</v>
      </c>
      <c r="D3329" s="50" t="s">
        <v>2166</v>
      </c>
      <c r="E3329" s="50" t="n">
        <v>4</v>
      </c>
      <c r="F3329" s="50" t="s">
        <v>2167</v>
      </c>
      <c r="G3329" s="54" t="n">
        <v>2128300</v>
      </c>
    </row>
    <row r="3330" customFormat="false" ht="15" hidden="false" customHeight="false" outlineLevel="0" collapsed="false">
      <c r="A3330" s="50" t="s">
        <v>1238</v>
      </c>
      <c r="B3330" s="51" t="n">
        <v>45861</v>
      </c>
      <c r="C3330" s="50" t="s">
        <v>329</v>
      </c>
      <c r="D3330" s="50" t="s">
        <v>2181</v>
      </c>
      <c r="E3330" s="50" t="n">
        <v>8</v>
      </c>
      <c r="F3330" s="50" t="s">
        <v>2167</v>
      </c>
      <c r="G3330" s="54" t="n">
        <v>9128900</v>
      </c>
    </row>
    <row r="3331" customFormat="false" ht="15" hidden="false" customHeight="false" outlineLevel="0" collapsed="false">
      <c r="A3331" s="50" t="s">
        <v>1238</v>
      </c>
      <c r="B3331" s="51" t="n">
        <v>45861</v>
      </c>
      <c r="C3331" s="50" t="s">
        <v>329</v>
      </c>
      <c r="D3331" s="50" t="s">
        <v>2172</v>
      </c>
      <c r="E3331" s="50" t="n">
        <v>3</v>
      </c>
      <c r="F3331" s="50" t="s">
        <v>2167</v>
      </c>
      <c r="G3331" s="54" t="n">
        <v>1501500</v>
      </c>
    </row>
    <row r="3332" customFormat="false" ht="15" hidden="false" customHeight="false" outlineLevel="0" collapsed="false">
      <c r="A3332" s="50" t="s">
        <v>1238</v>
      </c>
      <c r="B3332" s="51" t="n">
        <v>45861</v>
      </c>
      <c r="C3332" s="50" t="s">
        <v>329</v>
      </c>
      <c r="D3332" s="50" t="s">
        <v>2187</v>
      </c>
      <c r="E3332" s="50" t="n">
        <v>8</v>
      </c>
      <c r="F3332" s="50" t="s">
        <v>2167</v>
      </c>
      <c r="G3332" s="54" t="n">
        <v>2767500</v>
      </c>
    </row>
    <row r="3333" customFormat="false" ht="15" hidden="false" customHeight="false" outlineLevel="0" collapsed="false">
      <c r="A3333" s="50" t="s">
        <v>1238</v>
      </c>
      <c r="B3333" s="51" t="n">
        <v>45861</v>
      </c>
      <c r="C3333" s="50" t="s">
        <v>329</v>
      </c>
      <c r="D3333" s="50" t="s">
        <v>2180</v>
      </c>
      <c r="E3333" s="50" t="n">
        <v>8</v>
      </c>
      <c r="F3333" s="50" t="s">
        <v>2167</v>
      </c>
      <c r="G3333" s="54" t="n">
        <v>3632900</v>
      </c>
    </row>
    <row r="3334" customFormat="false" ht="15" hidden="false" customHeight="false" outlineLevel="0" collapsed="false">
      <c r="A3334" s="50" t="s">
        <v>1239</v>
      </c>
      <c r="B3334" s="51" t="n">
        <v>45861</v>
      </c>
      <c r="C3334" s="50" t="s">
        <v>166</v>
      </c>
      <c r="D3334" s="50" t="s">
        <v>2187</v>
      </c>
      <c r="E3334" s="50" t="n">
        <v>3</v>
      </c>
      <c r="F3334" s="50" t="s">
        <v>2167</v>
      </c>
      <c r="G3334" s="54" t="n">
        <v>1026300</v>
      </c>
    </row>
    <row r="3335" customFormat="false" ht="15" hidden="false" customHeight="false" outlineLevel="0" collapsed="false">
      <c r="A3335" s="50" t="s">
        <v>1239</v>
      </c>
      <c r="B3335" s="51" t="n">
        <v>45861</v>
      </c>
      <c r="C3335" s="50" t="s">
        <v>166</v>
      </c>
      <c r="D3335" s="50" t="s">
        <v>2176</v>
      </c>
      <c r="E3335" s="50" t="n">
        <v>7</v>
      </c>
      <c r="F3335" s="50" t="s">
        <v>2167</v>
      </c>
      <c r="G3335" s="54" t="n">
        <v>2934900</v>
      </c>
    </row>
    <row r="3336" customFormat="false" ht="15" hidden="false" customHeight="false" outlineLevel="0" collapsed="false">
      <c r="A3336" s="50" t="s">
        <v>1239</v>
      </c>
      <c r="B3336" s="51" t="n">
        <v>45861</v>
      </c>
      <c r="C3336" s="50" t="s">
        <v>166</v>
      </c>
      <c r="D3336" s="50" t="s">
        <v>2169</v>
      </c>
      <c r="E3336" s="50" t="n">
        <v>3</v>
      </c>
      <c r="F3336" s="50" t="s">
        <v>2167</v>
      </c>
      <c r="G3336" s="54" t="n">
        <v>1845300</v>
      </c>
    </row>
    <row r="3337" customFormat="false" ht="15" hidden="false" customHeight="false" outlineLevel="0" collapsed="false">
      <c r="A3337" s="50" t="s">
        <v>1239</v>
      </c>
      <c r="B3337" s="51" t="n">
        <v>45861</v>
      </c>
      <c r="C3337" s="50" t="s">
        <v>166</v>
      </c>
      <c r="D3337" s="50" t="s">
        <v>2178</v>
      </c>
      <c r="E3337" s="50" t="n">
        <v>1</v>
      </c>
      <c r="F3337" s="50" t="s">
        <v>2167</v>
      </c>
      <c r="G3337" s="54" t="n">
        <v>462600</v>
      </c>
    </row>
    <row r="3338" customFormat="false" ht="15" hidden="false" customHeight="false" outlineLevel="0" collapsed="false">
      <c r="A3338" s="50" t="s">
        <v>1240</v>
      </c>
      <c r="B3338" s="51" t="n">
        <v>45861</v>
      </c>
      <c r="C3338" s="50" t="s">
        <v>481</v>
      </c>
      <c r="D3338" s="50" t="s">
        <v>2180</v>
      </c>
      <c r="E3338" s="50" t="n">
        <v>2</v>
      </c>
      <c r="F3338" s="50" t="s">
        <v>2167</v>
      </c>
      <c r="G3338" s="54" t="n">
        <v>933700</v>
      </c>
    </row>
    <row r="3339" customFormat="false" ht="15" hidden="false" customHeight="false" outlineLevel="0" collapsed="false">
      <c r="A3339" s="50" t="s">
        <v>1240</v>
      </c>
      <c r="B3339" s="51" t="n">
        <v>45861</v>
      </c>
      <c r="C3339" s="50" t="s">
        <v>481</v>
      </c>
      <c r="D3339" s="50" t="s">
        <v>2177</v>
      </c>
      <c r="E3339" s="50" t="n">
        <v>6</v>
      </c>
      <c r="F3339" s="50" t="s">
        <v>2174</v>
      </c>
      <c r="G3339" s="54" t="n">
        <v>6375100</v>
      </c>
    </row>
    <row r="3340" customFormat="false" ht="15" hidden="false" customHeight="false" outlineLevel="0" collapsed="false">
      <c r="A3340" s="50" t="s">
        <v>1240</v>
      </c>
      <c r="B3340" s="51" t="n">
        <v>45861</v>
      </c>
      <c r="C3340" s="50" t="s">
        <v>481</v>
      </c>
      <c r="D3340" s="50" t="s">
        <v>2181</v>
      </c>
      <c r="E3340" s="50" t="n">
        <v>5</v>
      </c>
      <c r="F3340" s="50" t="s">
        <v>2167</v>
      </c>
      <c r="G3340" s="54" t="n">
        <v>5598600</v>
      </c>
    </row>
    <row r="3341" customFormat="false" ht="15" hidden="false" customHeight="false" outlineLevel="0" collapsed="false">
      <c r="A3341" s="50" t="s">
        <v>1240</v>
      </c>
      <c r="B3341" s="51" t="n">
        <v>45861</v>
      </c>
      <c r="C3341" s="50" t="s">
        <v>481</v>
      </c>
      <c r="D3341" s="50" t="s">
        <v>2183</v>
      </c>
      <c r="E3341" s="50" t="n">
        <v>2</v>
      </c>
      <c r="F3341" s="50" t="s">
        <v>2167</v>
      </c>
      <c r="G3341" s="54" t="n">
        <v>738900</v>
      </c>
    </row>
    <row r="3342" customFormat="false" ht="15" hidden="false" customHeight="false" outlineLevel="0" collapsed="false">
      <c r="A3342" s="50" t="s">
        <v>1240</v>
      </c>
      <c r="B3342" s="51" t="n">
        <v>45861</v>
      </c>
      <c r="C3342" s="50" t="s">
        <v>481</v>
      </c>
      <c r="D3342" s="50" t="s">
        <v>2186</v>
      </c>
      <c r="E3342" s="50" t="n">
        <v>3</v>
      </c>
      <c r="F3342" s="50" t="s">
        <v>2167</v>
      </c>
      <c r="G3342" s="54" t="n">
        <v>1704900</v>
      </c>
    </row>
    <row r="3343" customFormat="false" ht="15" hidden="false" customHeight="false" outlineLevel="0" collapsed="false">
      <c r="A3343" s="50" t="s">
        <v>1240</v>
      </c>
      <c r="B3343" s="51" t="n">
        <v>45861</v>
      </c>
      <c r="C3343" s="50" t="s">
        <v>481</v>
      </c>
      <c r="D3343" s="50" t="s">
        <v>2185</v>
      </c>
      <c r="E3343" s="50" t="n">
        <v>1</v>
      </c>
      <c r="F3343" s="50" t="s">
        <v>2174</v>
      </c>
      <c r="G3343" s="54" t="n">
        <v>776800</v>
      </c>
    </row>
    <row r="3344" customFormat="false" ht="15" hidden="false" customHeight="false" outlineLevel="0" collapsed="false">
      <c r="A3344" s="50" t="s">
        <v>1241</v>
      </c>
      <c r="B3344" s="51" t="n">
        <v>45861</v>
      </c>
      <c r="C3344" s="50" t="s">
        <v>681</v>
      </c>
      <c r="D3344" s="50" t="s">
        <v>2180</v>
      </c>
      <c r="E3344" s="50" t="n">
        <v>5</v>
      </c>
      <c r="F3344" s="50" t="s">
        <v>2167</v>
      </c>
      <c r="G3344" s="54" t="n">
        <v>2328200</v>
      </c>
    </row>
    <row r="3345" customFormat="false" ht="15" hidden="false" customHeight="false" outlineLevel="0" collapsed="false">
      <c r="A3345" s="50" t="s">
        <v>1241</v>
      </c>
      <c r="B3345" s="51" t="n">
        <v>45861</v>
      </c>
      <c r="C3345" s="50" t="s">
        <v>681</v>
      </c>
      <c r="D3345" s="50" t="s">
        <v>2186</v>
      </c>
      <c r="E3345" s="50" t="n">
        <v>7</v>
      </c>
      <c r="F3345" s="50" t="s">
        <v>2167</v>
      </c>
      <c r="G3345" s="54" t="n">
        <v>4262500</v>
      </c>
    </row>
    <row r="3346" customFormat="false" ht="15" hidden="false" customHeight="false" outlineLevel="0" collapsed="false">
      <c r="A3346" s="50" t="s">
        <v>1241</v>
      </c>
      <c r="B3346" s="51" t="n">
        <v>45861</v>
      </c>
      <c r="C3346" s="50" t="s">
        <v>681</v>
      </c>
      <c r="D3346" s="50" t="s">
        <v>2175</v>
      </c>
      <c r="E3346" s="50" t="n">
        <v>6</v>
      </c>
      <c r="F3346" s="50" t="s">
        <v>2167</v>
      </c>
      <c r="G3346" s="54" t="n">
        <v>3979500</v>
      </c>
    </row>
    <row r="3347" customFormat="false" ht="15" hidden="false" customHeight="false" outlineLevel="0" collapsed="false">
      <c r="A3347" s="50" t="s">
        <v>1242</v>
      </c>
      <c r="B3347" s="51" t="n">
        <v>45862</v>
      </c>
      <c r="C3347" s="50" t="s">
        <v>166</v>
      </c>
      <c r="D3347" s="50" t="s">
        <v>2180</v>
      </c>
      <c r="E3347" s="50" t="n">
        <v>2</v>
      </c>
      <c r="F3347" s="50" t="s">
        <v>2167</v>
      </c>
      <c r="G3347" s="54" t="n">
        <v>891100</v>
      </c>
    </row>
    <row r="3348" customFormat="false" ht="15" hidden="false" customHeight="false" outlineLevel="0" collapsed="false">
      <c r="A3348" s="50" t="s">
        <v>1242</v>
      </c>
      <c r="B3348" s="51" t="n">
        <v>45862</v>
      </c>
      <c r="C3348" s="50" t="s">
        <v>166</v>
      </c>
      <c r="D3348" s="50" t="s">
        <v>2179</v>
      </c>
      <c r="E3348" s="50" t="n">
        <v>1</v>
      </c>
      <c r="F3348" s="50" t="s">
        <v>2174</v>
      </c>
      <c r="G3348" s="54" t="n">
        <v>1288500</v>
      </c>
    </row>
    <row r="3349" customFormat="false" ht="15" hidden="false" customHeight="false" outlineLevel="0" collapsed="false">
      <c r="A3349" s="50" t="s">
        <v>1243</v>
      </c>
      <c r="B3349" s="51" t="n">
        <v>45862</v>
      </c>
      <c r="C3349" s="50" t="s">
        <v>298</v>
      </c>
      <c r="D3349" s="50" t="s">
        <v>2188</v>
      </c>
      <c r="E3349" s="50" t="n">
        <v>3</v>
      </c>
      <c r="F3349" s="50" t="s">
        <v>2167</v>
      </c>
      <c r="G3349" s="54" t="n">
        <v>2980600</v>
      </c>
    </row>
    <row r="3350" customFormat="false" ht="15" hidden="false" customHeight="false" outlineLevel="0" collapsed="false">
      <c r="A3350" s="50" t="s">
        <v>1243</v>
      </c>
      <c r="B3350" s="51" t="n">
        <v>45862</v>
      </c>
      <c r="C3350" s="50" t="s">
        <v>298</v>
      </c>
      <c r="D3350" s="50" t="s">
        <v>2184</v>
      </c>
      <c r="E3350" s="50" t="n">
        <v>6</v>
      </c>
      <c r="F3350" s="50" t="s">
        <v>2167</v>
      </c>
      <c r="G3350" s="54" t="n">
        <v>3434400</v>
      </c>
    </row>
    <row r="3351" customFormat="false" ht="15" hidden="false" customHeight="false" outlineLevel="0" collapsed="false">
      <c r="A3351" s="50" t="s">
        <v>1243</v>
      </c>
      <c r="B3351" s="51" t="n">
        <v>45862</v>
      </c>
      <c r="C3351" s="50" t="s">
        <v>298</v>
      </c>
      <c r="D3351" s="50" t="s">
        <v>2187</v>
      </c>
      <c r="E3351" s="50" t="n">
        <v>3</v>
      </c>
      <c r="F3351" s="50" t="s">
        <v>2167</v>
      </c>
      <c r="G3351" s="54" t="n">
        <v>1084800</v>
      </c>
    </row>
    <row r="3352" customFormat="false" ht="15" hidden="false" customHeight="false" outlineLevel="0" collapsed="false">
      <c r="A3352" s="50" t="s">
        <v>1244</v>
      </c>
      <c r="B3352" s="51" t="n">
        <v>45863</v>
      </c>
      <c r="C3352" s="50" t="s">
        <v>286</v>
      </c>
      <c r="D3352" s="50" t="s">
        <v>2180</v>
      </c>
      <c r="E3352" s="50" t="n">
        <v>7</v>
      </c>
      <c r="F3352" s="50" t="s">
        <v>2167</v>
      </c>
      <c r="G3352" s="54" t="n">
        <v>3127000</v>
      </c>
    </row>
    <row r="3353" customFormat="false" ht="15" hidden="false" customHeight="false" outlineLevel="0" collapsed="false">
      <c r="A3353" s="50" t="s">
        <v>1244</v>
      </c>
      <c r="B3353" s="51" t="n">
        <v>45863</v>
      </c>
      <c r="C3353" s="50" t="s">
        <v>286</v>
      </c>
      <c r="D3353" s="50" t="s">
        <v>2177</v>
      </c>
      <c r="E3353" s="50" t="n">
        <v>5</v>
      </c>
      <c r="F3353" s="50" t="s">
        <v>2174</v>
      </c>
      <c r="G3353" s="54" t="n">
        <v>5355100</v>
      </c>
    </row>
    <row r="3354" customFormat="false" ht="15" hidden="false" customHeight="false" outlineLevel="0" collapsed="false">
      <c r="A3354" s="50" t="s">
        <v>1245</v>
      </c>
      <c r="B3354" s="51" t="n">
        <v>45863</v>
      </c>
      <c r="C3354" s="50" t="s">
        <v>174</v>
      </c>
      <c r="D3354" s="50" t="s">
        <v>2168</v>
      </c>
      <c r="E3354" s="50" t="n">
        <v>6</v>
      </c>
      <c r="F3354" s="50" t="s">
        <v>2167</v>
      </c>
      <c r="G3354" s="54" t="n">
        <v>2568000</v>
      </c>
    </row>
    <row r="3355" customFormat="false" ht="15" hidden="false" customHeight="false" outlineLevel="0" collapsed="false">
      <c r="A3355" s="50" t="s">
        <v>1245</v>
      </c>
      <c r="B3355" s="51" t="n">
        <v>45863</v>
      </c>
      <c r="C3355" s="50" t="s">
        <v>174</v>
      </c>
      <c r="D3355" s="50" t="s">
        <v>2181</v>
      </c>
      <c r="E3355" s="50" t="n">
        <v>1</v>
      </c>
      <c r="F3355" s="50" t="s">
        <v>2167</v>
      </c>
      <c r="G3355" s="54" t="n">
        <v>1130800</v>
      </c>
    </row>
    <row r="3356" customFormat="false" ht="15" hidden="false" customHeight="false" outlineLevel="0" collapsed="false">
      <c r="A3356" s="50" t="s">
        <v>1245</v>
      </c>
      <c r="B3356" s="51" t="n">
        <v>45863</v>
      </c>
      <c r="C3356" s="50" t="s">
        <v>174</v>
      </c>
      <c r="D3356" s="50" t="s">
        <v>2172</v>
      </c>
      <c r="E3356" s="50" t="n">
        <v>2</v>
      </c>
      <c r="F3356" s="50" t="s">
        <v>2167</v>
      </c>
      <c r="G3356" s="54" t="n">
        <v>1026300</v>
      </c>
    </row>
    <row r="3357" customFormat="false" ht="15" hidden="false" customHeight="false" outlineLevel="0" collapsed="false">
      <c r="A3357" s="50" t="s">
        <v>1246</v>
      </c>
      <c r="B3357" s="51" t="n">
        <v>45863</v>
      </c>
      <c r="C3357" s="50" t="s">
        <v>174</v>
      </c>
      <c r="D3357" s="50" t="s">
        <v>2168</v>
      </c>
      <c r="E3357" s="50" t="n">
        <v>5</v>
      </c>
      <c r="F3357" s="50" t="s">
        <v>2167</v>
      </c>
      <c r="G3357" s="54" t="n">
        <v>2064600</v>
      </c>
    </row>
    <row r="3358" customFormat="false" ht="15" hidden="false" customHeight="false" outlineLevel="0" collapsed="false">
      <c r="A3358" s="50" t="s">
        <v>1246</v>
      </c>
      <c r="B3358" s="51" t="n">
        <v>45863</v>
      </c>
      <c r="C3358" s="50" t="s">
        <v>174</v>
      </c>
      <c r="D3358" s="50" t="s">
        <v>2186</v>
      </c>
      <c r="E3358" s="50" t="n">
        <v>5</v>
      </c>
      <c r="F3358" s="50" t="s">
        <v>2167</v>
      </c>
      <c r="G3358" s="54" t="n">
        <v>2883300</v>
      </c>
    </row>
    <row r="3359" customFormat="false" ht="15" hidden="false" customHeight="false" outlineLevel="0" collapsed="false">
      <c r="A3359" s="50" t="s">
        <v>1247</v>
      </c>
      <c r="B3359" s="51" t="n">
        <v>45863</v>
      </c>
      <c r="C3359" s="50" t="s">
        <v>261</v>
      </c>
      <c r="D3359" s="50" t="s">
        <v>2186</v>
      </c>
      <c r="E3359" s="50" t="n">
        <v>4</v>
      </c>
      <c r="F3359" s="50" t="s">
        <v>2167</v>
      </c>
      <c r="G3359" s="54" t="n">
        <v>2433800</v>
      </c>
    </row>
    <row r="3360" customFormat="false" ht="15" hidden="false" customHeight="false" outlineLevel="0" collapsed="false">
      <c r="A3360" s="50" t="s">
        <v>1247</v>
      </c>
      <c r="B3360" s="51" t="n">
        <v>45863</v>
      </c>
      <c r="C3360" s="50" t="s">
        <v>261</v>
      </c>
      <c r="D3360" s="50" t="s">
        <v>2175</v>
      </c>
      <c r="E3360" s="50" t="n">
        <v>5</v>
      </c>
      <c r="F3360" s="50" t="s">
        <v>2167</v>
      </c>
      <c r="G3360" s="54" t="n">
        <v>3288400</v>
      </c>
    </row>
    <row r="3361" customFormat="false" ht="15" hidden="false" customHeight="false" outlineLevel="0" collapsed="false">
      <c r="A3361" s="50" t="s">
        <v>1247</v>
      </c>
      <c r="B3361" s="51" t="n">
        <v>45863</v>
      </c>
      <c r="C3361" s="50" t="s">
        <v>261</v>
      </c>
      <c r="D3361" s="50" t="s">
        <v>2178</v>
      </c>
      <c r="E3361" s="50" t="n">
        <v>3</v>
      </c>
      <c r="F3361" s="50" t="s">
        <v>2167</v>
      </c>
      <c r="G3361" s="54" t="n">
        <v>1384900</v>
      </c>
    </row>
    <row r="3362" customFormat="false" ht="15" hidden="false" customHeight="false" outlineLevel="0" collapsed="false">
      <c r="A3362" s="50" t="s">
        <v>1248</v>
      </c>
      <c r="B3362" s="51" t="n">
        <v>45863</v>
      </c>
      <c r="C3362" s="50" t="s">
        <v>205</v>
      </c>
      <c r="D3362" s="50" t="s">
        <v>2177</v>
      </c>
      <c r="E3362" s="50" t="n">
        <v>6</v>
      </c>
      <c r="F3362" s="50" t="s">
        <v>2174</v>
      </c>
      <c r="G3362" s="54" t="n">
        <v>6707500</v>
      </c>
    </row>
    <row r="3363" customFormat="false" ht="15" hidden="false" customHeight="false" outlineLevel="0" collapsed="false">
      <c r="A3363" s="50" t="s">
        <v>1248</v>
      </c>
      <c r="B3363" s="51" t="n">
        <v>45863</v>
      </c>
      <c r="C3363" s="50" t="s">
        <v>205</v>
      </c>
      <c r="D3363" s="50" t="s">
        <v>2181</v>
      </c>
      <c r="E3363" s="50" t="n">
        <v>3</v>
      </c>
      <c r="F3363" s="50" t="s">
        <v>2167</v>
      </c>
      <c r="G3363" s="54" t="n">
        <v>3398100</v>
      </c>
    </row>
    <row r="3364" customFormat="false" ht="15" hidden="false" customHeight="false" outlineLevel="0" collapsed="false">
      <c r="A3364" s="50" t="s">
        <v>1248</v>
      </c>
      <c r="B3364" s="51" t="n">
        <v>45863</v>
      </c>
      <c r="C3364" s="50" t="s">
        <v>205</v>
      </c>
      <c r="D3364" s="50" t="s">
        <v>2186</v>
      </c>
      <c r="E3364" s="50" t="n">
        <v>2</v>
      </c>
      <c r="F3364" s="50" t="s">
        <v>2167</v>
      </c>
      <c r="G3364" s="54" t="n">
        <v>1218900</v>
      </c>
    </row>
    <row r="3365" customFormat="false" ht="15" hidden="false" customHeight="false" outlineLevel="0" collapsed="false">
      <c r="A3365" s="50" t="s">
        <v>1249</v>
      </c>
      <c r="B3365" s="51" t="n">
        <v>45863</v>
      </c>
      <c r="C3365" s="50" t="s">
        <v>271</v>
      </c>
      <c r="D3365" s="50" t="s">
        <v>2173</v>
      </c>
      <c r="E3365" s="50" t="n">
        <v>8</v>
      </c>
      <c r="F3365" s="50" t="s">
        <v>2174</v>
      </c>
      <c r="G3365" s="54" t="n">
        <v>6321900</v>
      </c>
    </row>
    <row r="3366" customFormat="false" ht="15" hidden="false" customHeight="false" outlineLevel="0" collapsed="false">
      <c r="A3366" s="50" t="s">
        <v>1249</v>
      </c>
      <c r="B3366" s="51" t="n">
        <v>45863</v>
      </c>
      <c r="C3366" s="50" t="s">
        <v>271</v>
      </c>
      <c r="D3366" s="50" t="s">
        <v>2179</v>
      </c>
      <c r="E3366" s="50" t="n">
        <v>4</v>
      </c>
      <c r="F3366" s="50" t="s">
        <v>2174</v>
      </c>
      <c r="G3366" s="54" t="n">
        <v>5020700</v>
      </c>
    </row>
    <row r="3367" customFormat="false" ht="15" hidden="false" customHeight="false" outlineLevel="0" collapsed="false">
      <c r="A3367" s="50" t="s">
        <v>1249</v>
      </c>
      <c r="B3367" s="51" t="n">
        <v>45863</v>
      </c>
      <c r="C3367" s="50" t="s">
        <v>271</v>
      </c>
      <c r="D3367" s="50" t="s">
        <v>2176</v>
      </c>
      <c r="E3367" s="50" t="n">
        <v>6</v>
      </c>
      <c r="F3367" s="50" t="s">
        <v>2167</v>
      </c>
      <c r="G3367" s="54" t="n">
        <v>2612800</v>
      </c>
    </row>
    <row r="3368" customFormat="false" ht="15" hidden="false" customHeight="false" outlineLevel="0" collapsed="false">
      <c r="A3368" s="50" t="s">
        <v>1250</v>
      </c>
      <c r="B3368" s="51" t="n">
        <v>45863</v>
      </c>
      <c r="C3368" s="50" t="s">
        <v>177</v>
      </c>
      <c r="D3368" s="50" t="s">
        <v>2179</v>
      </c>
      <c r="E3368" s="50" t="n">
        <v>6</v>
      </c>
      <c r="F3368" s="50" t="s">
        <v>2174</v>
      </c>
      <c r="G3368" s="54" t="n">
        <v>7686200</v>
      </c>
    </row>
    <row r="3369" customFormat="false" ht="15" hidden="false" customHeight="false" outlineLevel="0" collapsed="false">
      <c r="A3369" s="50" t="s">
        <v>1250</v>
      </c>
      <c r="B3369" s="51" t="n">
        <v>45863</v>
      </c>
      <c r="C3369" s="50" t="s">
        <v>177</v>
      </c>
      <c r="D3369" s="50" t="s">
        <v>2166</v>
      </c>
      <c r="E3369" s="50" t="n">
        <v>3</v>
      </c>
      <c r="F3369" s="50" t="s">
        <v>2167</v>
      </c>
      <c r="G3369" s="54" t="n">
        <v>1596100</v>
      </c>
    </row>
    <row r="3370" customFormat="false" ht="15" hidden="false" customHeight="false" outlineLevel="0" collapsed="false">
      <c r="A3370" s="50" t="s">
        <v>1250</v>
      </c>
      <c r="B3370" s="51" t="n">
        <v>45863</v>
      </c>
      <c r="C3370" s="50" t="s">
        <v>177</v>
      </c>
      <c r="D3370" s="50" t="s">
        <v>2184</v>
      </c>
      <c r="E3370" s="50" t="n">
        <v>7</v>
      </c>
      <c r="F3370" s="50" t="s">
        <v>2167</v>
      </c>
      <c r="G3370" s="54" t="n">
        <v>4018700</v>
      </c>
    </row>
    <row r="3371" customFormat="false" ht="15" hidden="false" customHeight="false" outlineLevel="0" collapsed="false">
      <c r="A3371" s="50" t="s">
        <v>1250</v>
      </c>
      <c r="B3371" s="51" t="n">
        <v>45863</v>
      </c>
      <c r="C3371" s="50" t="s">
        <v>177</v>
      </c>
      <c r="D3371" s="50" t="s">
        <v>2182</v>
      </c>
      <c r="E3371" s="50" t="n">
        <v>7</v>
      </c>
      <c r="F3371" s="50" t="s">
        <v>2174</v>
      </c>
      <c r="G3371" s="54" t="n">
        <v>6711800</v>
      </c>
    </row>
    <row r="3372" customFormat="false" ht="15" hidden="false" customHeight="false" outlineLevel="0" collapsed="false">
      <c r="A3372" s="50" t="s">
        <v>1251</v>
      </c>
      <c r="B3372" s="51" t="n">
        <v>45863</v>
      </c>
      <c r="C3372" s="50" t="s">
        <v>168</v>
      </c>
      <c r="D3372" s="50" t="s">
        <v>2180</v>
      </c>
      <c r="E3372" s="50" t="n">
        <v>4</v>
      </c>
      <c r="F3372" s="50" t="s">
        <v>2167</v>
      </c>
      <c r="G3372" s="54" t="n">
        <v>1832400</v>
      </c>
    </row>
    <row r="3373" customFormat="false" ht="15" hidden="false" customHeight="false" outlineLevel="0" collapsed="false">
      <c r="A3373" s="50" t="s">
        <v>1252</v>
      </c>
      <c r="B3373" s="51" t="n">
        <v>45864</v>
      </c>
      <c r="C3373" s="50" t="s">
        <v>174</v>
      </c>
      <c r="D3373" s="50" t="s">
        <v>2183</v>
      </c>
      <c r="E3373" s="50" t="n">
        <v>7</v>
      </c>
      <c r="F3373" s="50" t="s">
        <v>2167</v>
      </c>
      <c r="G3373" s="54" t="n">
        <v>2645600</v>
      </c>
    </row>
    <row r="3374" customFormat="false" ht="15" hidden="false" customHeight="false" outlineLevel="0" collapsed="false">
      <c r="A3374" s="50" t="s">
        <v>1252</v>
      </c>
      <c r="B3374" s="51" t="n">
        <v>45864</v>
      </c>
      <c r="C3374" s="50" t="s">
        <v>174</v>
      </c>
      <c r="D3374" s="50" t="s">
        <v>2177</v>
      </c>
      <c r="E3374" s="50" t="n">
        <v>3</v>
      </c>
      <c r="F3374" s="50" t="s">
        <v>2174</v>
      </c>
      <c r="G3374" s="54" t="n">
        <v>3290800</v>
      </c>
    </row>
    <row r="3375" customFormat="false" ht="15" hidden="false" customHeight="false" outlineLevel="0" collapsed="false">
      <c r="A3375" s="50" t="s">
        <v>1252</v>
      </c>
      <c r="B3375" s="51" t="n">
        <v>45864</v>
      </c>
      <c r="C3375" s="50" t="s">
        <v>174</v>
      </c>
      <c r="D3375" s="50" t="s">
        <v>2168</v>
      </c>
      <c r="E3375" s="50" t="n">
        <v>6</v>
      </c>
      <c r="F3375" s="50" t="s">
        <v>2167</v>
      </c>
      <c r="G3375" s="54" t="n">
        <v>2479800</v>
      </c>
    </row>
    <row r="3376" customFormat="false" ht="15" hidden="false" customHeight="false" outlineLevel="0" collapsed="false">
      <c r="A3376" s="50" t="s">
        <v>1252</v>
      </c>
      <c r="B3376" s="51" t="n">
        <v>45864</v>
      </c>
      <c r="C3376" s="50" t="s">
        <v>174</v>
      </c>
      <c r="D3376" s="50" t="s">
        <v>2178</v>
      </c>
      <c r="E3376" s="50" t="n">
        <v>4</v>
      </c>
      <c r="F3376" s="50" t="s">
        <v>2167</v>
      </c>
      <c r="G3376" s="54" t="n">
        <v>1982500</v>
      </c>
    </row>
    <row r="3377" customFormat="false" ht="15" hidden="false" customHeight="false" outlineLevel="0" collapsed="false">
      <c r="A3377" s="50" t="s">
        <v>1253</v>
      </c>
      <c r="B3377" s="51" t="n">
        <v>45866</v>
      </c>
      <c r="C3377" s="50" t="s">
        <v>310</v>
      </c>
      <c r="D3377" s="50" t="s">
        <v>2181</v>
      </c>
      <c r="E3377" s="50" t="n">
        <v>6</v>
      </c>
      <c r="F3377" s="50" t="s">
        <v>2167</v>
      </c>
      <c r="G3377" s="54" t="n">
        <v>6784700</v>
      </c>
    </row>
    <row r="3378" customFormat="false" ht="15" hidden="false" customHeight="false" outlineLevel="0" collapsed="false">
      <c r="A3378" s="50" t="s">
        <v>1253</v>
      </c>
      <c r="B3378" s="51" t="n">
        <v>45866</v>
      </c>
      <c r="C3378" s="50" t="s">
        <v>310</v>
      </c>
      <c r="D3378" s="50" t="s">
        <v>2169</v>
      </c>
      <c r="E3378" s="50" t="n">
        <v>5</v>
      </c>
      <c r="F3378" s="50" t="s">
        <v>2167</v>
      </c>
      <c r="G3378" s="54" t="n">
        <v>3024400</v>
      </c>
    </row>
    <row r="3379" customFormat="false" ht="15" hidden="false" customHeight="false" outlineLevel="0" collapsed="false">
      <c r="A3379" s="50" t="s">
        <v>1253</v>
      </c>
      <c r="B3379" s="51" t="n">
        <v>45866</v>
      </c>
      <c r="C3379" s="50" t="s">
        <v>310</v>
      </c>
      <c r="D3379" s="50" t="s">
        <v>2172</v>
      </c>
      <c r="E3379" s="50" t="n">
        <v>8</v>
      </c>
      <c r="F3379" s="50" t="s">
        <v>2167</v>
      </c>
      <c r="G3379" s="54" t="n">
        <v>4117400</v>
      </c>
    </row>
    <row r="3380" customFormat="false" ht="15" hidden="false" customHeight="false" outlineLevel="0" collapsed="false">
      <c r="A3380" s="50" t="s">
        <v>1254</v>
      </c>
      <c r="B3380" s="51" t="n">
        <v>45866</v>
      </c>
      <c r="C3380" s="50" t="s">
        <v>298</v>
      </c>
      <c r="D3380" s="50" t="s">
        <v>2186</v>
      </c>
      <c r="E3380" s="50" t="n">
        <v>7</v>
      </c>
      <c r="F3380" s="50" t="s">
        <v>2167</v>
      </c>
      <c r="G3380" s="54" t="n">
        <v>4152600</v>
      </c>
    </row>
    <row r="3381" customFormat="false" ht="15" hidden="false" customHeight="false" outlineLevel="0" collapsed="false">
      <c r="A3381" s="50" t="s">
        <v>1254</v>
      </c>
      <c r="B3381" s="51" t="n">
        <v>45866</v>
      </c>
      <c r="C3381" s="50" t="s">
        <v>298</v>
      </c>
      <c r="D3381" s="50" t="s">
        <v>2185</v>
      </c>
      <c r="E3381" s="50" t="n">
        <v>3</v>
      </c>
      <c r="F3381" s="50" t="s">
        <v>2174</v>
      </c>
      <c r="G3381" s="54" t="n">
        <v>2324200</v>
      </c>
    </row>
    <row r="3382" customFormat="false" ht="15" hidden="false" customHeight="false" outlineLevel="0" collapsed="false">
      <c r="A3382" s="50" t="s">
        <v>1254</v>
      </c>
      <c r="B3382" s="51" t="n">
        <v>45866</v>
      </c>
      <c r="C3382" s="50" t="s">
        <v>298</v>
      </c>
      <c r="D3382" s="50" t="s">
        <v>2166</v>
      </c>
      <c r="E3382" s="50" t="n">
        <v>6</v>
      </c>
      <c r="F3382" s="50" t="s">
        <v>2167</v>
      </c>
      <c r="G3382" s="54" t="n">
        <v>3115200</v>
      </c>
    </row>
    <row r="3383" customFormat="false" ht="15" hidden="false" customHeight="false" outlineLevel="0" collapsed="false">
      <c r="A3383" s="50" t="s">
        <v>1254</v>
      </c>
      <c r="B3383" s="51" t="n">
        <v>45866</v>
      </c>
      <c r="C3383" s="50" t="s">
        <v>298</v>
      </c>
      <c r="D3383" s="50" t="s">
        <v>2180</v>
      </c>
      <c r="E3383" s="50" t="n">
        <v>6</v>
      </c>
      <c r="F3383" s="50" t="s">
        <v>2167</v>
      </c>
      <c r="G3383" s="54" t="n">
        <v>2739600</v>
      </c>
    </row>
    <row r="3384" customFormat="false" ht="15" hidden="false" customHeight="false" outlineLevel="0" collapsed="false">
      <c r="A3384" s="50" t="s">
        <v>1254</v>
      </c>
      <c r="B3384" s="51" t="n">
        <v>45866</v>
      </c>
      <c r="C3384" s="50" t="s">
        <v>298</v>
      </c>
      <c r="D3384" s="50" t="s">
        <v>2169</v>
      </c>
      <c r="E3384" s="50" t="n">
        <v>1</v>
      </c>
      <c r="F3384" s="50" t="s">
        <v>2167</v>
      </c>
      <c r="G3384" s="54" t="n">
        <v>640800</v>
      </c>
    </row>
    <row r="3385" customFormat="false" ht="15" hidden="false" customHeight="false" outlineLevel="0" collapsed="false">
      <c r="A3385" s="50" t="s">
        <v>1255</v>
      </c>
      <c r="B3385" s="51" t="n">
        <v>45866</v>
      </c>
      <c r="C3385" s="50" t="s">
        <v>560</v>
      </c>
      <c r="D3385" s="50" t="s">
        <v>2179</v>
      </c>
      <c r="E3385" s="50" t="n">
        <v>4</v>
      </c>
      <c r="F3385" s="50" t="s">
        <v>2174</v>
      </c>
      <c r="G3385" s="54" t="n">
        <v>4977000</v>
      </c>
    </row>
    <row r="3386" customFormat="false" ht="15" hidden="false" customHeight="false" outlineLevel="0" collapsed="false">
      <c r="A3386" s="50" t="s">
        <v>1255</v>
      </c>
      <c r="B3386" s="51" t="n">
        <v>45866</v>
      </c>
      <c r="C3386" s="50" t="s">
        <v>560</v>
      </c>
      <c r="D3386" s="50" t="s">
        <v>2187</v>
      </c>
      <c r="E3386" s="50" t="n">
        <v>7</v>
      </c>
      <c r="F3386" s="50" t="s">
        <v>2167</v>
      </c>
      <c r="G3386" s="54" t="n">
        <v>2545700</v>
      </c>
    </row>
    <row r="3387" customFormat="false" ht="15" hidden="false" customHeight="false" outlineLevel="0" collapsed="false">
      <c r="A3387" s="50" t="s">
        <v>1255</v>
      </c>
      <c r="B3387" s="51" t="n">
        <v>45866</v>
      </c>
      <c r="C3387" s="50" t="s">
        <v>560</v>
      </c>
      <c r="D3387" s="50" t="s">
        <v>2176</v>
      </c>
      <c r="E3387" s="50" t="n">
        <v>6</v>
      </c>
      <c r="F3387" s="50" t="s">
        <v>2167</v>
      </c>
      <c r="G3387" s="54" t="n">
        <v>2520900</v>
      </c>
    </row>
    <row r="3388" customFormat="false" ht="15" hidden="false" customHeight="false" outlineLevel="0" collapsed="false">
      <c r="A3388" s="50" t="s">
        <v>1255</v>
      </c>
      <c r="B3388" s="51" t="n">
        <v>45866</v>
      </c>
      <c r="C3388" s="50" t="s">
        <v>560</v>
      </c>
      <c r="D3388" s="50" t="s">
        <v>2166</v>
      </c>
      <c r="E3388" s="50" t="n">
        <v>7</v>
      </c>
      <c r="F3388" s="50" t="s">
        <v>2167</v>
      </c>
      <c r="G3388" s="54" t="n">
        <v>3651000</v>
      </c>
    </row>
    <row r="3389" customFormat="false" ht="15" hidden="false" customHeight="false" outlineLevel="0" collapsed="false">
      <c r="A3389" s="50" t="s">
        <v>1256</v>
      </c>
      <c r="B3389" s="51" t="n">
        <v>45866</v>
      </c>
      <c r="C3389" s="50" t="s">
        <v>560</v>
      </c>
      <c r="D3389" s="50" t="s">
        <v>2175</v>
      </c>
      <c r="E3389" s="50" t="n">
        <v>7</v>
      </c>
      <c r="F3389" s="50" t="s">
        <v>2167</v>
      </c>
      <c r="G3389" s="54" t="n">
        <v>4456600</v>
      </c>
    </row>
    <row r="3390" customFormat="false" ht="15" hidden="false" customHeight="false" outlineLevel="0" collapsed="false">
      <c r="A3390" s="50" t="s">
        <v>1256</v>
      </c>
      <c r="B3390" s="51" t="n">
        <v>45866</v>
      </c>
      <c r="C3390" s="50" t="s">
        <v>560</v>
      </c>
      <c r="D3390" s="50" t="s">
        <v>2187</v>
      </c>
      <c r="E3390" s="50" t="n">
        <v>8</v>
      </c>
      <c r="F3390" s="50" t="s">
        <v>2167</v>
      </c>
      <c r="G3390" s="54" t="n">
        <v>2770800</v>
      </c>
    </row>
    <row r="3391" customFormat="false" ht="15" hidden="false" customHeight="false" outlineLevel="0" collapsed="false">
      <c r="A3391" s="50" t="s">
        <v>1256</v>
      </c>
      <c r="B3391" s="51" t="n">
        <v>45866</v>
      </c>
      <c r="C3391" s="50" t="s">
        <v>560</v>
      </c>
      <c r="D3391" s="50" t="s">
        <v>2178</v>
      </c>
      <c r="E3391" s="50" t="n">
        <v>6</v>
      </c>
      <c r="F3391" s="50" t="s">
        <v>2167</v>
      </c>
      <c r="G3391" s="54" t="n">
        <v>2814100</v>
      </c>
    </row>
    <row r="3392" customFormat="false" ht="15" hidden="false" customHeight="false" outlineLevel="0" collapsed="false">
      <c r="A3392" s="50" t="s">
        <v>1257</v>
      </c>
      <c r="B3392" s="51" t="n">
        <v>45866</v>
      </c>
      <c r="C3392" s="50" t="s">
        <v>289</v>
      </c>
      <c r="D3392" s="50" t="s">
        <v>2176</v>
      </c>
      <c r="E3392" s="50" t="n">
        <v>6</v>
      </c>
      <c r="F3392" s="50" t="s">
        <v>2167</v>
      </c>
      <c r="G3392" s="54" t="n">
        <v>2522200</v>
      </c>
    </row>
    <row r="3393" customFormat="false" ht="15" hidden="false" customHeight="false" outlineLevel="0" collapsed="false">
      <c r="A3393" s="50" t="s">
        <v>1257</v>
      </c>
      <c r="B3393" s="51" t="n">
        <v>45866</v>
      </c>
      <c r="C3393" s="50" t="s">
        <v>289</v>
      </c>
      <c r="D3393" s="50" t="s">
        <v>2186</v>
      </c>
      <c r="E3393" s="50" t="n">
        <v>6</v>
      </c>
      <c r="F3393" s="50" t="s">
        <v>2167</v>
      </c>
      <c r="G3393" s="54" t="n">
        <v>3628700</v>
      </c>
    </row>
    <row r="3394" customFormat="false" ht="15" hidden="false" customHeight="false" outlineLevel="0" collapsed="false">
      <c r="A3394" s="50" t="s">
        <v>1257</v>
      </c>
      <c r="B3394" s="51" t="n">
        <v>45866</v>
      </c>
      <c r="C3394" s="50" t="s">
        <v>289</v>
      </c>
      <c r="D3394" s="50" t="s">
        <v>2181</v>
      </c>
      <c r="E3394" s="50" t="n">
        <v>3</v>
      </c>
      <c r="F3394" s="50" t="s">
        <v>2167</v>
      </c>
      <c r="G3394" s="54" t="n">
        <v>3576200</v>
      </c>
    </row>
    <row r="3395" customFormat="false" ht="15" hidden="false" customHeight="false" outlineLevel="0" collapsed="false">
      <c r="A3395" s="50" t="s">
        <v>1257</v>
      </c>
      <c r="B3395" s="51" t="n">
        <v>45866</v>
      </c>
      <c r="C3395" s="50" t="s">
        <v>289</v>
      </c>
      <c r="D3395" s="50" t="s">
        <v>2175</v>
      </c>
      <c r="E3395" s="50" t="n">
        <v>1</v>
      </c>
      <c r="F3395" s="50" t="s">
        <v>2167</v>
      </c>
      <c r="G3395" s="54" t="n">
        <v>653700</v>
      </c>
    </row>
    <row r="3396" customFormat="false" ht="15" hidden="false" customHeight="false" outlineLevel="0" collapsed="false">
      <c r="A3396" s="50" t="s">
        <v>1258</v>
      </c>
      <c r="B3396" s="51" t="n">
        <v>45866</v>
      </c>
      <c r="C3396" s="50" t="s">
        <v>166</v>
      </c>
      <c r="D3396" s="50" t="s">
        <v>2176</v>
      </c>
      <c r="E3396" s="50" t="n">
        <v>4</v>
      </c>
      <c r="F3396" s="50" t="s">
        <v>2167</v>
      </c>
      <c r="G3396" s="54" t="n">
        <v>1709200</v>
      </c>
    </row>
    <row r="3397" customFormat="false" ht="15" hidden="false" customHeight="false" outlineLevel="0" collapsed="false">
      <c r="A3397" s="50" t="s">
        <v>1259</v>
      </c>
      <c r="B3397" s="51" t="n">
        <v>45866</v>
      </c>
      <c r="C3397" s="50" t="s">
        <v>505</v>
      </c>
      <c r="D3397" s="50" t="s">
        <v>2184</v>
      </c>
      <c r="E3397" s="50" t="n">
        <v>3</v>
      </c>
      <c r="F3397" s="50" t="s">
        <v>2167</v>
      </c>
      <c r="G3397" s="54" t="n">
        <v>1738200</v>
      </c>
    </row>
    <row r="3398" customFormat="false" ht="15" hidden="false" customHeight="false" outlineLevel="0" collapsed="false">
      <c r="A3398" s="50" t="s">
        <v>1259</v>
      </c>
      <c r="B3398" s="51" t="n">
        <v>45866</v>
      </c>
      <c r="C3398" s="50" t="s">
        <v>505</v>
      </c>
      <c r="D3398" s="50" t="s">
        <v>2180</v>
      </c>
      <c r="E3398" s="50" t="n">
        <v>2</v>
      </c>
      <c r="F3398" s="50" t="s">
        <v>2167</v>
      </c>
      <c r="G3398" s="54" t="n">
        <v>910700</v>
      </c>
    </row>
    <row r="3399" customFormat="false" ht="15" hidden="false" customHeight="false" outlineLevel="0" collapsed="false">
      <c r="A3399" s="50" t="s">
        <v>1259</v>
      </c>
      <c r="B3399" s="51" t="n">
        <v>45866</v>
      </c>
      <c r="C3399" s="50" t="s">
        <v>505</v>
      </c>
      <c r="D3399" s="50" t="s">
        <v>2176</v>
      </c>
      <c r="E3399" s="50" t="n">
        <v>8</v>
      </c>
      <c r="F3399" s="50" t="s">
        <v>2167</v>
      </c>
      <c r="G3399" s="54" t="n">
        <v>3395400</v>
      </c>
    </row>
    <row r="3400" customFormat="false" ht="15" hidden="false" customHeight="false" outlineLevel="0" collapsed="false">
      <c r="A3400" s="50" t="s">
        <v>1259</v>
      </c>
      <c r="B3400" s="51" t="n">
        <v>45866</v>
      </c>
      <c r="C3400" s="50" t="s">
        <v>505</v>
      </c>
      <c r="D3400" s="50" t="s">
        <v>2181</v>
      </c>
      <c r="E3400" s="50" t="n">
        <v>1</v>
      </c>
      <c r="F3400" s="50" t="s">
        <v>2167</v>
      </c>
      <c r="G3400" s="54" t="n">
        <v>1171800</v>
      </c>
    </row>
    <row r="3401" customFormat="false" ht="15" hidden="false" customHeight="false" outlineLevel="0" collapsed="false">
      <c r="A3401" s="50" t="s">
        <v>1259</v>
      </c>
      <c r="B3401" s="51" t="n">
        <v>45866</v>
      </c>
      <c r="C3401" s="50" t="s">
        <v>505</v>
      </c>
      <c r="D3401" s="50" t="s">
        <v>2178</v>
      </c>
      <c r="E3401" s="50" t="n">
        <v>3</v>
      </c>
      <c r="F3401" s="50" t="s">
        <v>2167</v>
      </c>
      <c r="G3401" s="54" t="n">
        <v>1397600</v>
      </c>
    </row>
    <row r="3402" customFormat="false" ht="15" hidden="false" customHeight="false" outlineLevel="0" collapsed="false">
      <c r="A3402" s="50" t="s">
        <v>1260</v>
      </c>
      <c r="B3402" s="51" t="n">
        <v>45867</v>
      </c>
      <c r="C3402" s="50" t="s">
        <v>174</v>
      </c>
      <c r="D3402" s="50" t="s">
        <v>2186</v>
      </c>
      <c r="E3402" s="50" t="n">
        <v>7</v>
      </c>
      <c r="F3402" s="50" t="s">
        <v>2167</v>
      </c>
      <c r="G3402" s="54" t="n">
        <v>4067900</v>
      </c>
    </row>
    <row r="3403" customFormat="false" ht="15" hidden="false" customHeight="false" outlineLevel="0" collapsed="false">
      <c r="A3403" s="50" t="s">
        <v>1260</v>
      </c>
      <c r="B3403" s="51" t="n">
        <v>45867</v>
      </c>
      <c r="C3403" s="50" t="s">
        <v>174</v>
      </c>
      <c r="D3403" s="50" t="s">
        <v>2184</v>
      </c>
      <c r="E3403" s="50" t="n">
        <v>3</v>
      </c>
      <c r="F3403" s="50" t="s">
        <v>2167</v>
      </c>
      <c r="G3403" s="54" t="n">
        <v>1659500</v>
      </c>
    </row>
    <row r="3404" customFormat="false" ht="15" hidden="false" customHeight="false" outlineLevel="0" collapsed="false">
      <c r="A3404" s="50" t="s">
        <v>1260</v>
      </c>
      <c r="B3404" s="51" t="n">
        <v>45867</v>
      </c>
      <c r="C3404" s="50" t="s">
        <v>174</v>
      </c>
      <c r="D3404" s="50" t="s">
        <v>2169</v>
      </c>
      <c r="E3404" s="50" t="n">
        <v>3</v>
      </c>
      <c r="F3404" s="50" t="s">
        <v>2167</v>
      </c>
      <c r="G3404" s="54" t="n">
        <v>1823000</v>
      </c>
    </row>
    <row r="3405" customFormat="false" ht="15" hidden="false" customHeight="false" outlineLevel="0" collapsed="false">
      <c r="A3405" s="50" t="s">
        <v>1260</v>
      </c>
      <c r="B3405" s="51" t="n">
        <v>45867</v>
      </c>
      <c r="C3405" s="50" t="s">
        <v>174</v>
      </c>
      <c r="D3405" s="50" t="s">
        <v>2166</v>
      </c>
      <c r="E3405" s="50" t="n">
        <v>7</v>
      </c>
      <c r="F3405" s="50" t="s">
        <v>2167</v>
      </c>
      <c r="G3405" s="54" t="n">
        <v>3867600</v>
      </c>
    </row>
    <row r="3406" customFormat="false" ht="15" hidden="false" customHeight="false" outlineLevel="0" collapsed="false">
      <c r="A3406" s="50" t="s">
        <v>1261</v>
      </c>
      <c r="B3406" s="51" t="n">
        <v>45867</v>
      </c>
      <c r="C3406" s="50" t="s">
        <v>174</v>
      </c>
      <c r="D3406" s="50" t="s">
        <v>2187</v>
      </c>
      <c r="E3406" s="50" t="n">
        <v>2</v>
      </c>
      <c r="F3406" s="50" t="s">
        <v>2167</v>
      </c>
      <c r="G3406" s="54" t="n">
        <v>675300</v>
      </c>
    </row>
    <row r="3407" customFormat="false" ht="15" hidden="false" customHeight="false" outlineLevel="0" collapsed="false">
      <c r="A3407" s="50" t="s">
        <v>1261</v>
      </c>
      <c r="B3407" s="51" t="n">
        <v>45867</v>
      </c>
      <c r="C3407" s="50" t="s">
        <v>174</v>
      </c>
      <c r="D3407" s="50" t="s">
        <v>2180</v>
      </c>
      <c r="E3407" s="50" t="n">
        <v>6</v>
      </c>
      <c r="F3407" s="50" t="s">
        <v>2167</v>
      </c>
      <c r="G3407" s="54" t="n">
        <v>2702900</v>
      </c>
    </row>
    <row r="3408" customFormat="false" ht="15" hidden="false" customHeight="false" outlineLevel="0" collapsed="false">
      <c r="A3408" s="50" t="s">
        <v>1261</v>
      </c>
      <c r="B3408" s="51" t="n">
        <v>45867</v>
      </c>
      <c r="C3408" s="50" t="s">
        <v>174</v>
      </c>
      <c r="D3408" s="50" t="s">
        <v>2169</v>
      </c>
      <c r="E3408" s="50" t="n">
        <v>7</v>
      </c>
      <c r="F3408" s="50" t="s">
        <v>2167</v>
      </c>
      <c r="G3408" s="54" t="n">
        <v>4296700</v>
      </c>
    </row>
    <row r="3409" customFormat="false" ht="15" hidden="false" customHeight="false" outlineLevel="0" collapsed="false">
      <c r="A3409" s="50" t="s">
        <v>1262</v>
      </c>
      <c r="B3409" s="51" t="n">
        <v>45867</v>
      </c>
      <c r="C3409" s="50" t="s">
        <v>166</v>
      </c>
      <c r="D3409" s="50" t="s">
        <v>2188</v>
      </c>
      <c r="E3409" s="50" t="n">
        <v>1</v>
      </c>
      <c r="F3409" s="50" t="s">
        <v>2167</v>
      </c>
      <c r="G3409" s="54" t="n">
        <v>1015000</v>
      </c>
    </row>
    <row r="3410" customFormat="false" ht="15" hidden="false" customHeight="false" outlineLevel="0" collapsed="false">
      <c r="A3410" s="50" t="s">
        <v>1262</v>
      </c>
      <c r="B3410" s="51" t="n">
        <v>45867</v>
      </c>
      <c r="C3410" s="50" t="s">
        <v>166</v>
      </c>
      <c r="D3410" s="50" t="s">
        <v>2187</v>
      </c>
      <c r="E3410" s="50" t="n">
        <v>1</v>
      </c>
      <c r="F3410" s="50" t="s">
        <v>2167</v>
      </c>
      <c r="G3410" s="54" t="n">
        <v>338600</v>
      </c>
    </row>
    <row r="3411" customFormat="false" ht="15" hidden="false" customHeight="false" outlineLevel="0" collapsed="false">
      <c r="A3411" s="50" t="s">
        <v>1262</v>
      </c>
      <c r="B3411" s="51" t="n">
        <v>45867</v>
      </c>
      <c r="C3411" s="50" t="s">
        <v>166</v>
      </c>
      <c r="D3411" s="50" t="s">
        <v>2186</v>
      </c>
      <c r="E3411" s="50" t="n">
        <v>3</v>
      </c>
      <c r="F3411" s="50" t="s">
        <v>2167</v>
      </c>
      <c r="G3411" s="54" t="n">
        <v>1723800</v>
      </c>
    </row>
    <row r="3412" customFormat="false" ht="15" hidden="false" customHeight="false" outlineLevel="0" collapsed="false">
      <c r="A3412" s="50" t="s">
        <v>1263</v>
      </c>
      <c r="B3412" s="51" t="n">
        <v>45867</v>
      </c>
      <c r="C3412" s="50" t="s">
        <v>447</v>
      </c>
      <c r="D3412" s="50" t="s">
        <v>2180</v>
      </c>
      <c r="E3412" s="50" t="n">
        <v>4</v>
      </c>
      <c r="F3412" s="50" t="s">
        <v>2167</v>
      </c>
      <c r="G3412" s="54" t="n">
        <v>1805200</v>
      </c>
    </row>
    <row r="3413" customFormat="false" ht="15" hidden="false" customHeight="false" outlineLevel="0" collapsed="false">
      <c r="A3413" s="50" t="s">
        <v>1263</v>
      </c>
      <c r="B3413" s="51" t="n">
        <v>45867</v>
      </c>
      <c r="C3413" s="50" t="s">
        <v>447</v>
      </c>
      <c r="D3413" s="50" t="s">
        <v>2183</v>
      </c>
      <c r="E3413" s="50" t="n">
        <v>3</v>
      </c>
      <c r="F3413" s="50" t="s">
        <v>2167</v>
      </c>
      <c r="G3413" s="54" t="n">
        <v>1175200</v>
      </c>
    </row>
    <row r="3414" customFormat="false" ht="15" hidden="false" customHeight="false" outlineLevel="0" collapsed="false">
      <c r="A3414" s="50" t="s">
        <v>1263</v>
      </c>
      <c r="B3414" s="51" t="n">
        <v>45867</v>
      </c>
      <c r="C3414" s="50" t="s">
        <v>447</v>
      </c>
      <c r="D3414" s="50" t="s">
        <v>2176</v>
      </c>
      <c r="E3414" s="50" t="n">
        <v>8</v>
      </c>
      <c r="F3414" s="50" t="s">
        <v>2167</v>
      </c>
      <c r="G3414" s="54" t="n">
        <v>3413900</v>
      </c>
    </row>
    <row r="3415" customFormat="false" ht="15" hidden="false" customHeight="false" outlineLevel="0" collapsed="false">
      <c r="A3415" s="50" t="s">
        <v>1263</v>
      </c>
      <c r="B3415" s="51" t="n">
        <v>45867</v>
      </c>
      <c r="C3415" s="50" t="s">
        <v>447</v>
      </c>
      <c r="D3415" s="50" t="s">
        <v>2166</v>
      </c>
      <c r="E3415" s="50" t="n">
        <v>6</v>
      </c>
      <c r="F3415" s="50" t="s">
        <v>2167</v>
      </c>
      <c r="G3415" s="54" t="n">
        <v>3198800</v>
      </c>
    </row>
    <row r="3416" customFormat="false" ht="15" hidden="false" customHeight="false" outlineLevel="0" collapsed="false">
      <c r="A3416" s="50" t="s">
        <v>1264</v>
      </c>
      <c r="B3416" s="51" t="n">
        <v>45867</v>
      </c>
      <c r="C3416" s="50" t="s">
        <v>430</v>
      </c>
      <c r="D3416" s="50" t="s">
        <v>2186</v>
      </c>
      <c r="E3416" s="50" t="n">
        <v>8</v>
      </c>
      <c r="F3416" s="50" t="s">
        <v>2167</v>
      </c>
      <c r="G3416" s="54" t="n">
        <v>4681400</v>
      </c>
    </row>
    <row r="3417" customFormat="false" ht="15" hidden="false" customHeight="false" outlineLevel="0" collapsed="false">
      <c r="A3417" s="50" t="s">
        <v>1264</v>
      </c>
      <c r="B3417" s="51" t="n">
        <v>45867</v>
      </c>
      <c r="C3417" s="50" t="s">
        <v>430</v>
      </c>
      <c r="D3417" s="50" t="s">
        <v>2178</v>
      </c>
      <c r="E3417" s="50" t="n">
        <v>6</v>
      </c>
      <c r="F3417" s="50" t="s">
        <v>2167</v>
      </c>
      <c r="G3417" s="54" t="n">
        <v>2884500</v>
      </c>
    </row>
    <row r="3418" customFormat="false" ht="15" hidden="false" customHeight="false" outlineLevel="0" collapsed="false">
      <c r="A3418" s="50" t="s">
        <v>1264</v>
      </c>
      <c r="B3418" s="51" t="n">
        <v>45867</v>
      </c>
      <c r="C3418" s="50" t="s">
        <v>430</v>
      </c>
      <c r="D3418" s="50" t="s">
        <v>2176</v>
      </c>
      <c r="E3418" s="50" t="n">
        <v>5</v>
      </c>
      <c r="F3418" s="50" t="s">
        <v>2167</v>
      </c>
      <c r="G3418" s="54" t="n">
        <v>2106600</v>
      </c>
    </row>
    <row r="3419" customFormat="false" ht="15" hidden="false" customHeight="false" outlineLevel="0" collapsed="false">
      <c r="A3419" s="50" t="s">
        <v>1264</v>
      </c>
      <c r="B3419" s="51" t="n">
        <v>45867</v>
      </c>
      <c r="C3419" s="50" t="s">
        <v>430</v>
      </c>
      <c r="D3419" s="50" t="s">
        <v>2177</v>
      </c>
      <c r="E3419" s="50" t="n">
        <v>4</v>
      </c>
      <c r="F3419" s="50" t="s">
        <v>2174</v>
      </c>
      <c r="G3419" s="54" t="n">
        <v>4448500</v>
      </c>
    </row>
    <row r="3420" customFormat="false" ht="15" hidden="false" customHeight="false" outlineLevel="0" collapsed="false">
      <c r="A3420" s="50" t="s">
        <v>1265</v>
      </c>
      <c r="B3420" s="51" t="n">
        <v>45868</v>
      </c>
      <c r="C3420" s="50" t="s">
        <v>195</v>
      </c>
      <c r="D3420" s="50" t="s">
        <v>2182</v>
      </c>
      <c r="E3420" s="50" t="n">
        <v>1</v>
      </c>
      <c r="F3420" s="50" t="s">
        <v>2174</v>
      </c>
      <c r="G3420" s="54" t="n">
        <v>970100</v>
      </c>
    </row>
    <row r="3421" customFormat="false" ht="15" hidden="false" customHeight="false" outlineLevel="0" collapsed="false">
      <c r="A3421" s="50" t="s">
        <v>1265</v>
      </c>
      <c r="B3421" s="51" t="n">
        <v>45868</v>
      </c>
      <c r="C3421" s="50" t="s">
        <v>195</v>
      </c>
      <c r="D3421" s="50" t="s">
        <v>2176</v>
      </c>
      <c r="E3421" s="50" t="n">
        <v>3</v>
      </c>
      <c r="F3421" s="50" t="s">
        <v>2167</v>
      </c>
      <c r="G3421" s="54" t="n">
        <v>1284000</v>
      </c>
    </row>
    <row r="3422" customFormat="false" ht="15" hidden="false" customHeight="false" outlineLevel="0" collapsed="false">
      <c r="A3422" s="50" t="s">
        <v>1265</v>
      </c>
      <c r="B3422" s="51" t="n">
        <v>45868</v>
      </c>
      <c r="C3422" s="50" t="s">
        <v>195</v>
      </c>
      <c r="D3422" s="50" t="s">
        <v>2177</v>
      </c>
      <c r="E3422" s="50" t="n">
        <v>1</v>
      </c>
      <c r="F3422" s="50" t="s">
        <v>2174</v>
      </c>
      <c r="G3422" s="54" t="n">
        <v>1100300</v>
      </c>
    </row>
    <row r="3423" customFormat="false" ht="15" hidden="false" customHeight="false" outlineLevel="0" collapsed="false">
      <c r="A3423" s="50" t="s">
        <v>1265</v>
      </c>
      <c r="B3423" s="51" t="n">
        <v>45868</v>
      </c>
      <c r="C3423" s="50" t="s">
        <v>195</v>
      </c>
      <c r="D3423" s="50" t="s">
        <v>2178</v>
      </c>
      <c r="E3423" s="50" t="n">
        <v>7</v>
      </c>
      <c r="F3423" s="50" t="s">
        <v>2167</v>
      </c>
      <c r="G3423" s="54" t="n">
        <v>3484300</v>
      </c>
    </row>
    <row r="3424" customFormat="false" ht="15" hidden="false" customHeight="false" outlineLevel="0" collapsed="false">
      <c r="A3424" s="50" t="s">
        <v>1266</v>
      </c>
      <c r="B3424" s="51" t="n">
        <v>45868</v>
      </c>
      <c r="C3424" s="50" t="s">
        <v>188</v>
      </c>
      <c r="D3424" s="50" t="s">
        <v>2185</v>
      </c>
      <c r="E3424" s="50" t="n">
        <v>5</v>
      </c>
      <c r="F3424" s="50" t="s">
        <v>2174</v>
      </c>
      <c r="G3424" s="54" t="n">
        <v>4033400</v>
      </c>
    </row>
    <row r="3425" customFormat="false" ht="15" hidden="false" customHeight="false" outlineLevel="0" collapsed="false">
      <c r="A3425" s="50" t="s">
        <v>1266</v>
      </c>
      <c r="B3425" s="51" t="n">
        <v>45868</v>
      </c>
      <c r="C3425" s="50" t="s">
        <v>188</v>
      </c>
      <c r="D3425" s="50" t="s">
        <v>2179</v>
      </c>
      <c r="E3425" s="50" t="n">
        <v>3</v>
      </c>
      <c r="F3425" s="50" t="s">
        <v>2174</v>
      </c>
      <c r="G3425" s="54" t="n">
        <v>3861400</v>
      </c>
    </row>
    <row r="3426" customFormat="false" ht="15" hidden="false" customHeight="false" outlineLevel="0" collapsed="false">
      <c r="A3426" s="50" t="s">
        <v>1266</v>
      </c>
      <c r="B3426" s="51" t="n">
        <v>45868</v>
      </c>
      <c r="C3426" s="50" t="s">
        <v>188</v>
      </c>
      <c r="D3426" s="50" t="s">
        <v>2183</v>
      </c>
      <c r="E3426" s="50" t="n">
        <v>5</v>
      </c>
      <c r="F3426" s="50" t="s">
        <v>2167</v>
      </c>
      <c r="G3426" s="54" t="n">
        <v>1914800</v>
      </c>
    </row>
    <row r="3427" customFormat="false" ht="15" hidden="false" customHeight="false" outlineLevel="0" collapsed="false">
      <c r="A3427" s="50" t="s">
        <v>1266</v>
      </c>
      <c r="B3427" s="51" t="n">
        <v>45868</v>
      </c>
      <c r="C3427" s="50" t="s">
        <v>188</v>
      </c>
      <c r="D3427" s="50" t="s">
        <v>2177</v>
      </c>
      <c r="E3427" s="50" t="n">
        <v>2</v>
      </c>
      <c r="F3427" s="50" t="s">
        <v>2174</v>
      </c>
      <c r="G3427" s="54" t="n">
        <v>2211300</v>
      </c>
    </row>
    <row r="3428" customFormat="false" ht="15" hidden="false" customHeight="false" outlineLevel="0" collapsed="false">
      <c r="A3428" s="50" t="s">
        <v>1267</v>
      </c>
      <c r="B3428" s="51" t="n">
        <v>45868</v>
      </c>
      <c r="C3428" s="50" t="s">
        <v>166</v>
      </c>
      <c r="D3428" s="50" t="s">
        <v>2180</v>
      </c>
      <c r="E3428" s="50" t="n">
        <v>6</v>
      </c>
      <c r="F3428" s="50" t="s">
        <v>2167</v>
      </c>
      <c r="G3428" s="54" t="n">
        <v>2741500</v>
      </c>
    </row>
    <row r="3429" customFormat="false" ht="15" hidden="false" customHeight="false" outlineLevel="0" collapsed="false">
      <c r="A3429" s="50" t="s">
        <v>1267</v>
      </c>
      <c r="B3429" s="51" t="n">
        <v>45868</v>
      </c>
      <c r="C3429" s="50" t="s">
        <v>166</v>
      </c>
      <c r="D3429" s="50" t="s">
        <v>2183</v>
      </c>
      <c r="E3429" s="50" t="n">
        <v>7</v>
      </c>
      <c r="F3429" s="50" t="s">
        <v>2167</v>
      </c>
      <c r="G3429" s="54" t="n">
        <v>2706400</v>
      </c>
    </row>
    <row r="3430" customFormat="false" ht="15" hidden="false" customHeight="false" outlineLevel="0" collapsed="false">
      <c r="A3430" s="50" t="s">
        <v>1267</v>
      </c>
      <c r="B3430" s="51" t="n">
        <v>45868</v>
      </c>
      <c r="C3430" s="50" t="s">
        <v>166</v>
      </c>
      <c r="D3430" s="50" t="s">
        <v>2173</v>
      </c>
      <c r="E3430" s="50" t="n">
        <v>4</v>
      </c>
      <c r="F3430" s="50" t="s">
        <v>2174</v>
      </c>
      <c r="G3430" s="54" t="n">
        <v>3189100</v>
      </c>
    </row>
    <row r="3431" customFormat="false" ht="15" hidden="false" customHeight="false" outlineLevel="0" collapsed="false">
      <c r="A3431" s="50" t="s">
        <v>1267</v>
      </c>
      <c r="B3431" s="51" t="n">
        <v>45868</v>
      </c>
      <c r="C3431" s="50" t="s">
        <v>166</v>
      </c>
      <c r="D3431" s="50" t="s">
        <v>2181</v>
      </c>
      <c r="E3431" s="50" t="n">
        <v>2</v>
      </c>
      <c r="F3431" s="50" t="s">
        <v>2167</v>
      </c>
      <c r="G3431" s="54" t="n">
        <v>2269900</v>
      </c>
    </row>
    <row r="3432" customFormat="false" ht="15" hidden="false" customHeight="false" outlineLevel="0" collapsed="false">
      <c r="A3432" s="50" t="s">
        <v>1268</v>
      </c>
      <c r="B3432" s="51" t="n">
        <v>45868</v>
      </c>
      <c r="C3432" s="50" t="s">
        <v>216</v>
      </c>
      <c r="D3432" s="50" t="s">
        <v>2175</v>
      </c>
      <c r="E3432" s="50" t="n">
        <v>3</v>
      </c>
      <c r="F3432" s="50" t="s">
        <v>2167</v>
      </c>
      <c r="G3432" s="54" t="n">
        <v>1975600</v>
      </c>
    </row>
    <row r="3433" customFormat="false" ht="15" hidden="false" customHeight="false" outlineLevel="0" collapsed="false">
      <c r="A3433" s="50" t="s">
        <v>1269</v>
      </c>
      <c r="B3433" s="51" t="n">
        <v>45868</v>
      </c>
      <c r="C3433" s="50" t="s">
        <v>174</v>
      </c>
      <c r="D3433" s="50" t="s">
        <v>2173</v>
      </c>
      <c r="E3433" s="50" t="n">
        <v>1</v>
      </c>
      <c r="F3433" s="50" t="s">
        <v>2174</v>
      </c>
      <c r="G3433" s="54" t="n">
        <v>830900</v>
      </c>
    </row>
    <row r="3434" customFormat="false" ht="15" hidden="false" customHeight="false" outlineLevel="0" collapsed="false">
      <c r="A3434" s="50" t="s">
        <v>1269</v>
      </c>
      <c r="B3434" s="51" t="n">
        <v>45868</v>
      </c>
      <c r="C3434" s="50" t="s">
        <v>174</v>
      </c>
      <c r="D3434" s="50" t="s">
        <v>2178</v>
      </c>
      <c r="E3434" s="50" t="n">
        <v>6</v>
      </c>
      <c r="F3434" s="50" t="s">
        <v>2167</v>
      </c>
      <c r="G3434" s="54" t="n">
        <v>2826300</v>
      </c>
    </row>
    <row r="3435" customFormat="false" ht="15" hidden="false" customHeight="false" outlineLevel="0" collapsed="false">
      <c r="A3435" s="50" t="s">
        <v>1269</v>
      </c>
      <c r="B3435" s="51" t="n">
        <v>45868</v>
      </c>
      <c r="C3435" s="50" t="s">
        <v>174</v>
      </c>
      <c r="D3435" s="50" t="s">
        <v>2184</v>
      </c>
      <c r="E3435" s="50" t="n">
        <v>7</v>
      </c>
      <c r="F3435" s="50" t="s">
        <v>2167</v>
      </c>
      <c r="G3435" s="54" t="n">
        <v>3944000</v>
      </c>
    </row>
    <row r="3436" customFormat="false" ht="15" hidden="false" customHeight="false" outlineLevel="0" collapsed="false">
      <c r="A3436" s="50" t="s">
        <v>1270</v>
      </c>
      <c r="B3436" s="51" t="n">
        <v>45868</v>
      </c>
      <c r="C3436" s="50" t="s">
        <v>168</v>
      </c>
      <c r="D3436" s="50" t="s">
        <v>2178</v>
      </c>
      <c r="E3436" s="50" t="n">
        <v>6</v>
      </c>
      <c r="F3436" s="50" t="s">
        <v>2167</v>
      </c>
      <c r="G3436" s="54" t="n">
        <v>2980800</v>
      </c>
    </row>
    <row r="3437" customFormat="false" ht="15" hidden="false" customHeight="false" outlineLevel="0" collapsed="false">
      <c r="A3437" s="50" t="s">
        <v>1270</v>
      </c>
      <c r="B3437" s="51" t="n">
        <v>45868</v>
      </c>
      <c r="C3437" s="50" t="s">
        <v>168</v>
      </c>
      <c r="D3437" s="50" t="s">
        <v>2169</v>
      </c>
      <c r="E3437" s="50" t="n">
        <v>4</v>
      </c>
      <c r="F3437" s="50" t="s">
        <v>2167</v>
      </c>
      <c r="G3437" s="54" t="n">
        <v>2387800</v>
      </c>
    </row>
    <row r="3438" customFormat="false" ht="15" hidden="false" customHeight="false" outlineLevel="0" collapsed="false">
      <c r="A3438" s="50" t="s">
        <v>1270</v>
      </c>
      <c r="B3438" s="51" t="n">
        <v>45868</v>
      </c>
      <c r="C3438" s="50" t="s">
        <v>168</v>
      </c>
      <c r="D3438" s="50" t="s">
        <v>2177</v>
      </c>
      <c r="E3438" s="50" t="n">
        <v>5</v>
      </c>
      <c r="F3438" s="50" t="s">
        <v>2174</v>
      </c>
      <c r="G3438" s="54" t="n">
        <v>5454000</v>
      </c>
    </row>
    <row r="3439" customFormat="false" ht="15" hidden="false" customHeight="false" outlineLevel="0" collapsed="false">
      <c r="A3439" s="50" t="s">
        <v>1270</v>
      </c>
      <c r="B3439" s="51" t="n">
        <v>45868</v>
      </c>
      <c r="C3439" s="50" t="s">
        <v>168</v>
      </c>
      <c r="D3439" s="50" t="s">
        <v>2166</v>
      </c>
      <c r="E3439" s="50" t="n">
        <v>3</v>
      </c>
      <c r="F3439" s="50" t="s">
        <v>2167</v>
      </c>
      <c r="G3439" s="54" t="n">
        <v>1601600</v>
      </c>
    </row>
    <row r="3440" customFormat="false" ht="15" hidden="false" customHeight="false" outlineLevel="0" collapsed="false">
      <c r="A3440" s="50" t="s">
        <v>1271</v>
      </c>
      <c r="B3440" s="51" t="n">
        <v>45868</v>
      </c>
      <c r="C3440" s="50" t="s">
        <v>249</v>
      </c>
      <c r="D3440" s="50" t="s">
        <v>2186</v>
      </c>
      <c r="E3440" s="50" t="n">
        <v>7</v>
      </c>
      <c r="F3440" s="50" t="s">
        <v>2167</v>
      </c>
      <c r="G3440" s="54" t="n">
        <v>4127600</v>
      </c>
    </row>
    <row r="3441" customFormat="false" ht="15" hidden="false" customHeight="false" outlineLevel="0" collapsed="false">
      <c r="A3441" s="50" t="s">
        <v>1271</v>
      </c>
      <c r="B3441" s="51" t="n">
        <v>45868</v>
      </c>
      <c r="C3441" s="50" t="s">
        <v>249</v>
      </c>
      <c r="D3441" s="50" t="s">
        <v>2172</v>
      </c>
      <c r="E3441" s="50" t="n">
        <v>8</v>
      </c>
      <c r="F3441" s="50" t="s">
        <v>2167</v>
      </c>
      <c r="G3441" s="54" t="n">
        <v>4000200</v>
      </c>
    </row>
    <row r="3442" customFormat="false" ht="15" hidden="false" customHeight="false" outlineLevel="0" collapsed="false">
      <c r="A3442" s="50" t="s">
        <v>1271</v>
      </c>
      <c r="B3442" s="51" t="n">
        <v>45868</v>
      </c>
      <c r="C3442" s="50" t="s">
        <v>249</v>
      </c>
      <c r="D3442" s="50" t="s">
        <v>2170</v>
      </c>
      <c r="E3442" s="50" t="n">
        <v>1</v>
      </c>
      <c r="F3442" s="50" t="s">
        <v>2171</v>
      </c>
      <c r="G3442" s="54" t="n">
        <v>7815600</v>
      </c>
    </row>
    <row r="3443" customFormat="false" ht="15" hidden="false" customHeight="false" outlineLevel="0" collapsed="false">
      <c r="A3443" s="50" t="s">
        <v>1271</v>
      </c>
      <c r="B3443" s="51" t="n">
        <v>45868</v>
      </c>
      <c r="C3443" s="50" t="s">
        <v>249</v>
      </c>
      <c r="D3443" s="50" t="s">
        <v>2178</v>
      </c>
      <c r="E3443" s="50" t="n">
        <v>7</v>
      </c>
      <c r="F3443" s="50" t="s">
        <v>2167</v>
      </c>
      <c r="G3443" s="54" t="n">
        <v>3320500</v>
      </c>
    </row>
    <row r="3444" customFormat="false" ht="15" hidden="false" customHeight="false" outlineLevel="0" collapsed="false">
      <c r="A3444" s="50" t="s">
        <v>1272</v>
      </c>
      <c r="B3444" s="51" t="n">
        <v>45869</v>
      </c>
      <c r="C3444" s="50" t="s">
        <v>286</v>
      </c>
      <c r="D3444" s="50" t="s">
        <v>2172</v>
      </c>
      <c r="E3444" s="50" t="n">
        <v>5</v>
      </c>
      <c r="F3444" s="50" t="s">
        <v>2167</v>
      </c>
      <c r="G3444" s="54" t="n">
        <v>2686800</v>
      </c>
    </row>
    <row r="3445" customFormat="false" ht="15" hidden="false" customHeight="false" outlineLevel="0" collapsed="false">
      <c r="A3445" s="50" t="s">
        <v>1272</v>
      </c>
      <c r="B3445" s="51" t="n">
        <v>45869</v>
      </c>
      <c r="C3445" s="50" t="s">
        <v>286</v>
      </c>
      <c r="D3445" s="50" t="s">
        <v>2181</v>
      </c>
      <c r="E3445" s="50" t="n">
        <v>1</v>
      </c>
      <c r="F3445" s="50" t="s">
        <v>2167</v>
      </c>
      <c r="G3445" s="54" t="n">
        <v>1179900</v>
      </c>
    </row>
    <row r="3446" customFormat="false" ht="15" hidden="false" customHeight="false" outlineLevel="0" collapsed="false">
      <c r="A3446" s="50" t="s">
        <v>1272</v>
      </c>
      <c r="B3446" s="51" t="n">
        <v>45869</v>
      </c>
      <c r="C3446" s="50" t="s">
        <v>286</v>
      </c>
      <c r="D3446" s="50" t="s">
        <v>2178</v>
      </c>
      <c r="E3446" s="50" t="n">
        <v>1</v>
      </c>
      <c r="F3446" s="50" t="s">
        <v>2167</v>
      </c>
      <c r="G3446" s="54" t="n">
        <v>472500</v>
      </c>
    </row>
    <row r="3447" customFormat="false" ht="15" hidden="false" customHeight="false" outlineLevel="0" collapsed="false">
      <c r="A3447" s="50" t="s">
        <v>1273</v>
      </c>
      <c r="B3447" s="51" t="n">
        <v>45869</v>
      </c>
      <c r="C3447" s="50" t="s">
        <v>243</v>
      </c>
      <c r="D3447" s="50" t="s">
        <v>2169</v>
      </c>
      <c r="E3447" s="50" t="n">
        <v>4</v>
      </c>
      <c r="F3447" s="50" t="s">
        <v>2167</v>
      </c>
      <c r="G3447" s="54" t="n">
        <v>2396000</v>
      </c>
    </row>
    <row r="3448" customFormat="false" ht="15" hidden="false" customHeight="false" outlineLevel="0" collapsed="false">
      <c r="A3448" s="50" t="s">
        <v>1273</v>
      </c>
      <c r="B3448" s="51" t="n">
        <v>45869</v>
      </c>
      <c r="C3448" s="50" t="s">
        <v>243</v>
      </c>
      <c r="D3448" s="50" t="s">
        <v>2180</v>
      </c>
      <c r="E3448" s="50" t="n">
        <v>3</v>
      </c>
      <c r="F3448" s="50" t="s">
        <v>2167</v>
      </c>
      <c r="G3448" s="54" t="n">
        <v>1329100</v>
      </c>
    </row>
    <row r="3449" customFormat="false" ht="15" hidden="false" customHeight="false" outlineLevel="0" collapsed="false">
      <c r="A3449" s="50" t="s">
        <v>1273</v>
      </c>
      <c r="B3449" s="51" t="n">
        <v>45869</v>
      </c>
      <c r="C3449" s="50" t="s">
        <v>243</v>
      </c>
      <c r="D3449" s="50" t="s">
        <v>2178</v>
      </c>
      <c r="E3449" s="50" t="n">
        <v>4</v>
      </c>
      <c r="F3449" s="50" t="s">
        <v>2167</v>
      </c>
      <c r="G3449" s="54" t="n">
        <v>1930600</v>
      </c>
    </row>
    <row r="3450" customFormat="false" ht="15" hidden="false" customHeight="false" outlineLevel="0" collapsed="false">
      <c r="A3450" s="50" t="s">
        <v>1274</v>
      </c>
      <c r="B3450" s="51" t="n">
        <v>45869</v>
      </c>
      <c r="C3450" s="50" t="s">
        <v>188</v>
      </c>
      <c r="D3450" s="50" t="s">
        <v>2188</v>
      </c>
      <c r="E3450" s="50" t="n">
        <v>5</v>
      </c>
      <c r="F3450" s="50" t="s">
        <v>2167</v>
      </c>
      <c r="G3450" s="54" t="n">
        <v>4949300</v>
      </c>
    </row>
    <row r="3451" customFormat="false" ht="15" hidden="false" customHeight="false" outlineLevel="0" collapsed="false">
      <c r="A3451" s="50" t="s">
        <v>1274</v>
      </c>
      <c r="B3451" s="51" t="n">
        <v>45869</v>
      </c>
      <c r="C3451" s="50" t="s">
        <v>188</v>
      </c>
      <c r="D3451" s="50" t="s">
        <v>2180</v>
      </c>
      <c r="E3451" s="50" t="n">
        <v>2</v>
      </c>
      <c r="F3451" s="50" t="s">
        <v>2167</v>
      </c>
      <c r="G3451" s="54" t="n">
        <v>889500</v>
      </c>
    </row>
    <row r="3452" customFormat="false" ht="15" hidden="false" customHeight="false" outlineLevel="0" collapsed="false">
      <c r="A3452" s="50" t="s">
        <v>1274</v>
      </c>
      <c r="B3452" s="51" t="n">
        <v>45869</v>
      </c>
      <c r="C3452" s="50" t="s">
        <v>188</v>
      </c>
      <c r="D3452" s="50" t="s">
        <v>2176</v>
      </c>
      <c r="E3452" s="50" t="n">
        <v>2</v>
      </c>
      <c r="F3452" s="50" t="s">
        <v>2167</v>
      </c>
      <c r="G3452" s="54" t="n">
        <v>816500</v>
      </c>
    </row>
    <row r="3453" customFormat="false" ht="15" hidden="false" customHeight="false" outlineLevel="0" collapsed="false">
      <c r="A3453" s="50" t="s">
        <v>1275</v>
      </c>
      <c r="B3453" s="51" t="n">
        <v>45869</v>
      </c>
      <c r="C3453" s="50" t="s">
        <v>174</v>
      </c>
      <c r="D3453" s="50" t="s">
        <v>2185</v>
      </c>
      <c r="E3453" s="50" t="n">
        <v>1</v>
      </c>
      <c r="F3453" s="50" t="s">
        <v>2174</v>
      </c>
      <c r="G3453" s="54" t="n">
        <v>791700</v>
      </c>
    </row>
    <row r="3454" customFormat="false" ht="15" hidden="false" customHeight="false" outlineLevel="0" collapsed="false">
      <c r="A3454" s="50" t="s">
        <v>1275</v>
      </c>
      <c r="B3454" s="51" t="n">
        <v>45869</v>
      </c>
      <c r="C3454" s="50" t="s">
        <v>174</v>
      </c>
      <c r="D3454" s="50" t="s">
        <v>2178</v>
      </c>
      <c r="E3454" s="50" t="n">
        <v>1</v>
      </c>
      <c r="F3454" s="50" t="s">
        <v>2167</v>
      </c>
      <c r="G3454" s="54" t="n">
        <v>470900</v>
      </c>
    </row>
    <row r="3455" customFormat="false" ht="15" hidden="false" customHeight="false" outlineLevel="0" collapsed="false">
      <c r="A3455" s="50" t="s">
        <v>1275</v>
      </c>
      <c r="B3455" s="51" t="n">
        <v>45869</v>
      </c>
      <c r="C3455" s="50" t="s">
        <v>174</v>
      </c>
      <c r="D3455" s="50" t="s">
        <v>2183</v>
      </c>
      <c r="E3455" s="50" t="n">
        <v>1</v>
      </c>
      <c r="F3455" s="50" t="s">
        <v>2167</v>
      </c>
      <c r="G3455" s="54" t="n">
        <v>377500</v>
      </c>
    </row>
    <row r="3456" customFormat="false" ht="15" hidden="false" customHeight="false" outlineLevel="0" collapsed="false">
      <c r="A3456" s="50" t="s">
        <v>1275</v>
      </c>
      <c r="B3456" s="51" t="n">
        <v>45869</v>
      </c>
      <c r="C3456" s="50" t="s">
        <v>174</v>
      </c>
      <c r="D3456" s="50" t="s">
        <v>2180</v>
      </c>
      <c r="E3456" s="50" t="n">
        <v>4</v>
      </c>
      <c r="F3456" s="50" t="s">
        <v>2167</v>
      </c>
      <c r="G3456" s="54" t="n">
        <v>1850400</v>
      </c>
    </row>
    <row r="3457" customFormat="false" ht="15" hidden="false" customHeight="false" outlineLevel="0" collapsed="false">
      <c r="A3457" s="50" t="s">
        <v>1276</v>
      </c>
      <c r="B3457" s="51" t="n">
        <v>45869</v>
      </c>
      <c r="C3457" s="50" t="s">
        <v>416</v>
      </c>
      <c r="D3457" s="50" t="s">
        <v>2183</v>
      </c>
      <c r="E3457" s="50" t="n">
        <v>6</v>
      </c>
      <c r="F3457" s="50" t="s">
        <v>2167</v>
      </c>
      <c r="G3457" s="54" t="n">
        <v>2308600</v>
      </c>
    </row>
    <row r="3458" customFormat="false" ht="15" hidden="false" customHeight="false" outlineLevel="0" collapsed="false">
      <c r="A3458" s="50" t="s">
        <v>1276</v>
      </c>
      <c r="B3458" s="51" t="n">
        <v>45869</v>
      </c>
      <c r="C3458" s="50" t="s">
        <v>416</v>
      </c>
      <c r="D3458" s="50" t="s">
        <v>2175</v>
      </c>
      <c r="E3458" s="50" t="n">
        <v>4</v>
      </c>
      <c r="F3458" s="50" t="s">
        <v>2167</v>
      </c>
      <c r="G3458" s="54" t="n">
        <v>2645100</v>
      </c>
    </row>
    <row r="3459" customFormat="false" ht="15" hidden="false" customHeight="false" outlineLevel="0" collapsed="false">
      <c r="A3459" s="50" t="s">
        <v>1276</v>
      </c>
      <c r="B3459" s="51" t="n">
        <v>45869</v>
      </c>
      <c r="C3459" s="50" t="s">
        <v>416</v>
      </c>
      <c r="D3459" s="50" t="s">
        <v>2180</v>
      </c>
      <c r="E3459" s="50" t="n">
        <v>5</v>
      </c>
      <c r="F3459" s="50" t="s">
        <v>2167</v>
      </c>
      <c r="G3459" s="54" t="n">
        <v>2230400</v>
      </c>
    </row>
    <row r="3460" customFormat="false" ht="15" hidden="false" customHeight="false" outlineLevel="0" collapsed="false">
      <c r="A3460" s="50" t="s">
        <v>1277</v>
      </c>
      <c r="B3460" s="51" t="n">
        <v>45869</v>
      </c>
      <c r="C3460" s="50" t="s">
        <v>199</v>
      </c>
      <c r="D3460" s="50" t="s">
        <v>2186</v>
      </c>
      <c r="E3460" s="50" t="n">
        <v>7</v>
      </c>
      <c r="F3460" s="50" t="s">
        <v>2167</v>
      </c>
      <c r="G3460" s="54" t="n">
        <v>4204400</v>
      </c>
    </row>
    <row r="3461" customFormat="false" ht="15" hidden="false" customHeight="false" outlineLevel="0" collapsed="false">
      <c r="A3461" s="50" t="s">
        <v>1278</v>
      </c>
      <c r="B3461" s="51" t="n">
        <v>45870</v>
      </c>
      <c r="C3461" s="50" t="s">
        <v>216</v>
      </c>
      <c r="D3461" s="50" t="s">
        <v>2180</v>
      </c>
      <c r="E3461" s="50" t="n">
        <v>1</v>
      </c>
      <c r="F3461" s="50" t="s">
        <v>2167</v>
      </c>
      <c r="G3461" s="54" t="n">
        <v>464900</v>
      </c>
    </row>
    <row r="3462" customFormat="false" ht="15" hidden="false" customHeight="false" outlineLevel="0" collapsed="false">
      <c r="A3462" s="50" t="s">
        <v>1279</v>
      </c>
      <c r="B3462" s="51" t="n">
        <v>45870</v>
      </c>
      <c r="C3462" s="50" t="s">
        <v>1099</v>
      </c>
      <c r="D3462" s="50" t="s">
        <v>2180</v>
      </c>
      <c r="E3462" s="50" t="n">
        <v>6</v>
      </c>
      <c r="F3462" s="50" t="s">
        <v>2167</v>
      </c>
      <c r="G3462" s="54" t="n">
        <v>2654800</v>
      </c>
    </row>
    <row r="3463" customFormat="false" ht="15" hidden="false" customHeight="false" outlineLevel="0" collapsed="false">
      <c r="A3463" s="50" t="s">
        <v>1279</v>
      </c>
      <c r="B3463" s="51" t="n">
        <v>45870</v>
      </c>
      <c r="C3463" s="50" t="s">
        <v>1099</v>
      </c>
      <c r="D3463" s="50" t="s">
        <v>2183</v>
      </c>
      <c r="E3463" s="50" t="n">
        <v>6</v>
      </c>
      <c r="F3463" s="50" t="s">
        <v>2167</v>
      </c>
      <c r="G3463" s="54" t="n">
        <v>2370000</v>
      </c>
    </row>
    <row r="3464" customFormat="false" ht="15" hidden="false" customHeight="false" outlineLevel="0" collapsed="false">
      <c r="A3464" s="50" t="s">
        <v>1279</v>
      </c>
      <c r="B3464" s="51" t="n">
        <v>45870</v>
      </c>
      <c r="C3464" s="50" t="s">
        <v>1099</v>
      </c>
      <c r="D3464" s="50" t="s">
        <v>2187</v>
      </c>
      <c r="E3464" s="50" t="n">
        <v>4</v>
      </c>
      <c r="F3464" s="50" t="s">
        <v>2167</v>
      </c>
      <c r="G3464" s="54" t="n">
        <v>1382100</v>
      </c>
    </row>
    <row r="3465" customFormat="false" ht="15" hidden="false" customHeight="false" outlineLevel="0" collapsed="false">
      <c r="A3465" s="50" t="s">
        <v>1279</v>
      </c>
      <c r="B3465" s="51" t="n">
        <v>45870</v>
      </c>
      <c r="C3465" s="50" t="s">
        <v>1099</v>
      </c>
      <c r="D3465" s="50" t="s">
        <v>2168</v>
      </c>
      <c r="E3465" s="50" t="n">
        <v>3</v>
      </c>
      <c r="F3465" s="50" t="s">
        <v>2167</v>
      </c>
      <c r="G3465" s="54" t="n">
        <v>1256900</v>
      </c>
    </row>
    <row r="3466" customFormat="false" ht="15" hidden="false" customHeight="false" outlineLevel="0" collapsed="false">
      <c r="A3466" s="50" t="s">
        <v>1280</v>
      </c>
      <c r="B3466" s="51" t="n">
        <v>45870</v>
      </c>
      <c r="C3466" s="50" t="s">
        <v>293</v>
      </c>
      <c r="D3466" s="50" t="s">
        <v>2186</v>
      </c>
      <c r="E3466" s="50" t="n">
        <v>5</v>
      </c>
      <c r="F3466" s="50" t="s">
        <v>2167</v>
      </c>
      <c r="G3466" s="54" t="n">
        <v>2949900</v>
      </c>
    </row>
    <row r="3467" customFormat="false" ht="15" hidden="false" customHeight="false" outlineLevel="0" collapsed="false">
      <c r="A3467" s="50" t="s">
        <v>1280</v>
      </c>
      <c r="B3467" s="51" t="n">
        <v>45870</v>
      </c>
      <c r="C3467" s="50" t="s">
        <v>293</v>
      </c>
      <c r="D3467" s="50" t="s">
        <v>2183</v>
      </c>
      <c r="E3467" s="50" t="n">
        <v>6</v>
      </c>
      <c r="F3467" s="50" t="s">
        <v>2167</v>
      </c>
      <c r="G3467" s="54" t="n">
        <v>2341400</v>
      </c>
    </row>
    <row r="3468" customFormat="false" ht="15" hidden="false" customHeight="false" outlineLevel="0" collapsed="false">
      <c r="A3468" s="50" t="s">
        <v>1280</v>
      </c>
      <c r="B3468" s="51" t="n">
        <v>45870</v>
      </c>
      <c r="C3468" s="50" t="s">
        <v>293</v>
      </c>
      <c r="D3468" s="50" t="s">
        <v>2166</v>
      </c>
      <c r="E3468" s="50" t="n">
        <v>1</v>
      </c>
      <c r="F3468" s="50" t="s">
        <v>2167</v>
      </c>
      <c r="G3468" s="54" t="n">
        <v>534000</v>
      </c>
    </row>
    <row r="3469" customFormat="false" ht="15" hidden="false" customHeight="false" outlineLevel="0" collapsed="false">
      <c r="A3469" s="50" t="s">
        <v>1280</v>
      </c>
      <c r="B3469" s="51" t="n">
        <v>45870</v>
      </c>
      <c r="C3469" s="50" t="s">
        <v>293</v>
      </c>
      <c r="D3469" s="50" t="s">
        <v>2178</v>
      </c>
      <c r="E3469" s="50" t="n">
        <v>4</v>
      </c>
      <c r="F3469" s="50" t="s">
        <v>2167</v>
      </c>
      <c r="G3469" s="54" t="n">
        <v>1905200</v>
      </c>
    </row>
    <row r="3470" customFormat="false" ht="15" hidden="false" customHeight="false" outlineLevel="0" collapsed="false">
      <c r="A3470" s="50" t="s">
        <v>1281</v>
      </c>
      <c r="B3470" s="51" t="n">
        <v>45870</v>
      </c>
      <c r="C3470" s="50" t="s">
        <v>174</v>
      </c>
      <c r="D3470" s="50" t="s">
        <v>2182</v>
      </c>
      <c r="E3470" s="50" t="n">
        <v>3</v>
      </c>
      <c r="F3470" s="50" t="s">
        <v>2174</v>
      </c>
      <c r="G3470" s="54" t="n">
        <v>2753500</v>
      </c>
    </row>
    <row r="3471" customFormat="false" ht="15" hidden="false" customHeight="false" outlineLevel="0" collapsed="false">
      <c r="A3471" s="50" t="s">
        <v>1281</v>
      </c>
      <c r="B3471" s="51" t="n">
        <v>45870</v>
      </c>
      <c r="C3471" s="50" t="s">
        <v>174</v>
      </c>
      <c r="D3471" s="50" t="s">
        <v>2179</v>
      </c>
      <c r="E3471" s="50" t="n">
        <v>3</v>
      </c>
      <c r="F3471" s="50" t="s">
        <v>2174</v>
      </c>
      <c r="G3471" s="54" t="n">
        <v>3845600</v>
      </c>
    </row>
    <row r="3472" customFormat="false" ht="15" hidden="false" customHeight="false" outlineLevel="0" collapsed="false">
      <c r="A3472" s="50" t="s">
        <v>1281</v>
      </c>
      <c r="B3472" s="51" t="n">
        <v>45870</v>
      </c>
      <c r="C3472" s="50" t="s">
        <v>174</v>
      </c>
      <c r="D3472" s="50" t="s">
        <v>2169</v>
      </c>
      <c r="E3472" s="50" t="n">
        <v>5</v>
      </c>
      <c r="F3472" s="50" t="s">
        <v>2167</v>
      </c>
      <c r="G3472" s="54" t="n">
        <v>3133800</v>
      </c>
    </row>
    <row r="3473" customFormat="false" ht="15" hidden="false" customHeight="false" outlineLevel="0" collapsed="false">
      <c r="A3473" s="50" t="s">
        <v>1281</v>
      </c>
      <c r="B3473" s="51" t="n">
        <v>45870</v>
      </c>
      <c r="C3473" s="50" t="s">
        <v>174</v>
      </c>
      <c r="D3473" s="50" t="s">
        <v>2184</v>
      </c>
      <c r="E3473" s="50" t="n">
        <v>3</v>
      </c>
      <c r="F3473" s="50" t="s">
        <v>2167</v>
      </c>
      <c r="G3473" s="54" t="n">
        <v>1697900</v>
      </c>
    </row>
    <row r="3474" customFormat="false" ht="15" hidden="false" customHeight="false" outlineLevel="0" collapsed="false">
      <c r="A3474" s="50" t="s">
        <v>1281</v>
      </c>
      <c r="B3474" s="51" t="n">
        <v>45870</v>
      </c>
      <c r="C3474" s="50" t="s">
        <v>174</v>
      </c>
      <c r="D3474" s="50" t="s">
        <v>2183</v>
      </c>
      <c r="E3474" s="50" t="n">
        <v>8</v>
      </c>
      <c r="F3474" s="50" t="s">
        <v>2167</v>
      </c>
      <c r="G3474" s="54" t="n">
        <v>3111200</v>
      </c>
    </row>
    <row r="3475" customFormat="false" ht="15" hidden="false" customHeight="false" outlineLevel="0" collapsed="false">
      <c r="A3475" s="50" t="s">
        <v>1282</v>
      </c>
      <c r="B3475" s="51" t="n">
        <v>45870</v>
      </c>
      <c r="C3475" s="50" t="s">
        <v>216</v>
      </c>
      <c r="D3475" s="50" t="s">
        <v>2178</v>
      </c>
      <c r="E3475" s="50" t="n">
        <v>3</v>
      </c>
      <c r="F3475" s="50" t="s">
        <v>2167</v>
      </c>
      <c r="G3475" s="54" t="n">
        <v>1393900</v>
      </c>
    </row>
    <row r="3476" customFormat="false" ht="15" hidden="false" customHeight="false" outlineLevel="0" collapsed="false">
      <c r="A3476" s="50" t="s">
        <v>1282</v>
      </c>
      <c r="B3476" s="51" t="n">
        <v>45870</v>
      </c>
      <c r="C3476" s="50" t="s">
        <v>216</v>
      </c>
      <c r="D3476" s="50" t="s">
        <v>2166</v>
      </c>
      <c r="E3476" s="50" t="n">
        <v>5</v>
      </c>
      <c r="F3476" s="50" t="s">
        <v>2167</v>
      </c>
      <c r="G3476" s="54" t="n">
        <v>2676500</v>
      </c>
    </row>
    <row r="3477" customFormat="false" ht="15" hidden="false" customHeight="false" outlineLevel="0" collapsed="false">
      <c r="A3477" s="50" t="s">
        <v>1282</v>
      </c>
      <c r="B3477" s="51" t="n">
        <v>45870</v>
      </c>
      <c r="C3477" s="50" t="s">
        <v>216</v>
      </c>
      <c r="D3477" s="50" t="s">
        <v>2185</v>
      </c>
      <c r="E3477" s="50" t="n">
        <v>8</v>
      </c>
      <c r="F3477" s="50" t="s">
        <v>2174</v>
      </c>
      <c r="G3477" s="54" t="n">
        <v>6245200</v>
      </c>
    </row>
    <row r="3478" customFormat="false" ht="15" hidden="false" customHeight="false" outlineLevel="0" collapsed="false">
      <c r="A3478" s="50" t="s">
        <v>1283</v>
      </c>
      <c r="B3478" s="51" t="n">
        <v>45870</v>
      </c>
      <c r="C3478" s="50" t="s">
        <v>174</v>
      </c>
      <c r="D3478" s="50" t="s">
        <v>2180</v>
      </c>
      <c r="E3478" s="50" t="n">
        <v>7</v>
      </c>
      <c r="F3478" s="50" t="s">
        <v>2167</v>
      </c>
      <c r="G3478" s="54" t="n">
        <v>3110300</v>
      </c>
    </row>
    <row r="3479" customFormat="false" ht="15" hidden="false" customHeight="false" outlineLevel="0" collapsed="false">
      <c r="A3479" s="50" t="s">
        <v>1283</v>
      </c>
      <c r="B3479" s="51" t="n">
        <v>45870</v>
      </c>
      <c r="C3479" s="50" t="s">
        <v>174</v>
      </c>
      <c r="D3479" s="50" t="s">
        <v>2166</v>
      </c>
      <c r="E3479" s="50" t="n">
        <v>3</v>
      </c>
      <c r="F3479" s="50" t="s">
        <v>2167</v>
      </c>
      <c r="G3479" s="54" t="n">
        <v>1646600</v>
      </c>
    </row>
    <row r="3480" customFormat="false" ht="15" hidden="false" customHeight="false" outlineLevel="0" collapsed="false">
      <c r="A3480" s="50" t="s">
        <v>1283</v>
      </c>
      <c r="B3480" s="51" t="n">
        <v>45870</v>
      </c>
      <c r="C3480" s="50" t="s">
        <v>174</v>
      </c>
      <c r="D3480" s="50" t="s">
        <v>2169</v>
      </c>
      <c r="E3480" s="50" t="n">
        <v>7</v>
      </c>
      <c r="F3480" s="50" t="s">
        <v>2167</v>
      </c>
      <c r="G3480" s="54" t="n">
        <v>4196400</v>
      </c>
    </row>
    <row r="3481" customFormat="false" ht="15" hidden="false" customHeight="false" outlineLevel="0" collapsed="false">
      <c r="A3481" s="50" t="s">
        <v>1283</v>
      </c>
      <c r="B3481" s="51" t="n">
        <v>45870</v>
      </c>
      <c r="C3481" s="50" t="s">
        <v>174</v>
      </c>
      <c r="D3481" s="50" t="s">
        <v>2177</v>
      </c>
      <c r="E3481" s="50" t="n">
        <v>6</v>
      </c>
      <c r="F3481" s="50" t="s">
        <v>2174</v>
      </c>
      <c r="G3481" s="54" t="n">
        <v>6820500</v>
      </c>
    </row>
    <row r="3482" customFormat="false" ht="15" hidden="false" customHeight="false" outlineLevel="0" collapsed="false">
      <c r="A3482" s="50" t="s">
        <v>1283</v>
      </c>
      <c r="B3482" s="51" t="n">
        <v>45870</v>
      </c>
      <c r="C3482" s="50" t="s">
        <v>174</v>
      </c>
      <c r="D3482" s="50" t="s">
        <v>2184</v>
      </c>
      <c r="E3482" s="50" t="n">
        <v>2</v>
      </c>
      <c r="F3482" s="50" t="s">
        <v>2167</v>
      </c>
      <c r="G3482" s="54" t="n">
        <v>1091200</v>
      </c>
    </row>
    <row r="3483" customFormat="false" ht="15" hidden="false" customHeight="false" outlineLevel="0" collapsed="false">
      <c r="A3483" s="50" t="s">
        <v>1284</v>
      </c>
      <c r="B3483" s="51" t="n">
        <v>45870</v>
      </c>
      <c r="C3483" s="50" t="s">
        <v>419</v>
      </c>
      <c r="D3483" s="50" t="s">
        <v>2176</v>
      </c>
      <c r="E3483" s="50" t="n">
        <v>5</v>
      </c>
      <c r="F3483" s="50" t="s">
        <v>2167</v>
      </c>
      <c r="G3483" s="54" t="n">
        <v>2053500</v>
      </c>
    </row>
    <row r="3484" customFormat="false" ht="15" hidden="false" customHeight="false" outlineLevel="0" collapsed="false">
      <c r="A3484" s="50" t="s">
        <v>1284</v>
      </c>
      <c r="B3484" s="51" t="n">
        <v>45870</v>
      </c>
      <c r="C3484" s="50" t="s">
        <v>419</v>
      </c>
      <c r="D3484" s="50" t="s">
        <v>2172</v>
      </c>
      <c r="E3484" s="50" t="n">
        <v>4</v>
      </c>
      <c r="F3484" s="50" t="s">
        <v>2167</v>
      </c>
      <c r="G3484" s="54" t="n">
        <v>2095700</v>
      </c>
    </row>
    <row r="3485" customFormat="false" ht="15" hidden="false" customHeight="false" outlineLevel="0" collapsed="false">
      <c r="A3485" s="50" t="s">
        <v>1285</v>
      </c>
      <c r="B3485" s="51" t="n">
        <v>45871</v>
      </c>
      <c r="C3485" s="50" t="s">
        <v>205</v>
      </c>
      <c r="D3485" s="50" t="s">
        <v>2179</v>
      </c>
      <c r="E3485" s="50" t="n">
        <v>2</v>
      </c>
      <c r="F3485" s="50" t="s">
        <v>2174</v>
      </c>
      <c r="G3485" s="54" t="n">
        <v>2532300</v>
      </c>
    </row>
    <row r="3486" customFormat="false" ht="15" hidden="false" customHeight="false" outlineLevel="0" collapsed="false">
      <c r="A3486" s="50" t="s">
        <v>1285</v>
      </c>
      <c r="B3486" s="51" t="n">
        <v>45871</v>
      </c>
      <c r="C3486" s="50" t="s">
        <v>205</v>
      </c>
      <c r="D3486" s="50" t="s">
        <v>2185</v>
      </c>
      <c r="E3486" s="50" t="n">
        <v>2</v>
      </c>
      <c r="F3486" s="50" t="s">
        <v>2174</v>
      </c>
      <c r="G3486" s="54" t="n">
        <v>1526900</v>
      </c>
    </row>
    <row r="3487" customFormat="false" ht="15" hidden="false" customHeight="false" outlineLevel="0" collapsed="false">
      <c r="A3487" s="50" t="s">
        <v>1285</v>
      </c>
      <c r="B3487" s="51" t="n">
        <v>45871</v>
      </c>
      <c r="C3487" s="50" t="s">
        <v>205</v>
      </c>
      <c r="D3487" s="50" t="s">
        <v>2186</v>
      </c>
      <c r="E3487" s="50" t="n">
        <v>2</v>
      </c>
      <c r="F3487" s="50" t="s">
        <v>2167</v>
      </c>
      <c r="G3487" s="54" t="n">
        <v>1156100</v>
      </c>
    </row>
    <row r="3488" customFormat="false" ht="15" hidden="false" customHeight="false" outlineLevel="0" collapsed="false">
      <c r="A3488" s="50" t="s">
        <v>1285</v>
      </c>
      <c r="B3488" s="51" t="n">
        <v>45871</v>
      </c>
      <c r="C3488" s="50" t="s">
        <v>205</v>
      </c>
      <c r="D3488" s="50" t="s">
        <v>2183</v>
      </c>
      <c r="E3488" s="50" t="n">
        <v>3</v>
      </c>
      <c r="F3488" s="50" t="s">
        <v>2167</v>
      </c>
      <c r="G3488" s="54" t="n">
        <v>1120000</v>
      </c>
    </row>
    <row r="3489" customFormat="false" ht="15" hidden="false" customHeight="false" outlineLevel="0" collapsed="false">
      <c r="A3489" s="50" t="s">
        <v>1285</v>
      </c>
      <c r="B3489" s="51" t="n">
        <v>45871</v>
      </c>
      <c r="C3489" s="50" t="s">
        <v>205</v>
      </c>
      <c r="D3489" s="50" t="s">
        <v>2169</v>
      </c>
      <c r="E3489" s="50" t="n">
        <v>5</v>
      </c>
      <c r="F3489" s="50" t="s">
        <v>2167</v>
      </c>
      <c r="G3489" s="54" t="n">
        <v>3059300</v>
      </c>
    </row>
    <row r="3490" customFormat="false" ht="15" hidden="false" customHeight="false" outlineLevel="0" collapsed="false">
      <c r="A3490" s="50" t="s">
        <v>1286</v>
      </c>
      <c r="B3490" s="51" t="n">
        <v>45871</v>
      </c>
      <c r="C3490" s="50" t="s">
        <v>188</v>
      </c>
      <c r="D3490" s="50" t="s">
        <v>2178</v>
      </c>
      <c r="E3490" s="50" t="n">
        <v>7</v>
      </c>
      <c r="F3490" s="50" t="s">
        <v>2167</v>
      </c>
      <c r="G3490" s="54" t="n">
        <v>3278500</v>
      </c>
    </row>
    <row r="3491" customFormat="false" ht="15" hidden="false" customHeight="false" outlineLevel="0" collapsed="false">
      <c r="A3491" s="50" t="s">
        <v>1286</v>
      </c>
      <c r="B3491" s="51" t="n">
        <v>45871</v>
      </c>
      <c r="C3491" s="50" t="s">
        <v>188</v>
      </c>
      <c r="D3491" s="50" t="s">
        <v>2186</v>
      </c>
      <c r="E3491" s="50" t="n">
        <v>4</v>
      </c>
      <c r="F3491" s="50" t="s">
        <v>2167</v>
      </c>
      <c r="G3491" s="54" t="n">
        <v>2384800</v>
      </c>
    </row>
    <row r="3492" customFormat="false" ht="15" hidden="false" customHeight="false" outlineLevel="0" collapsed="false">
      <c r="A3492" s="50" t="s">
        <v>1286</v>
      </c>
      <c r="B3492" s="51" t="n">
        <v>45871</v>
      </c>
      <c r="C3492" s="50" t="s">
        <v>188</v>
      </c>
      <c r="D3492" s="50" t="s">
        <v>2176</v>
      </c>
      <c r="E3492" s="50" t="n">
        <v>8</v>
      </c>
      <c r="F3492" s="50" t="s">
        <v>2167</v>
      </c>
      <c r="G3492" s="54" t="n">
        <v>3378700</v>
      </c>
    </row>
    <row r="3493" customFormat="false" ht="15" hidden="false" customHeight="false" outlineLevel="0" collapsed="false">
      <c r="A3493" s="50" t="s">
        <v>1286</v>
      </c>
      <c r="B3493" s="51" t="n">
        <v>45871</v>
      </c>
      <c r="C3493" s="50" t="s">
        <v>188</v>
      </c>
      <c r="D3493" s="50" t="s">
        <v>2173</v>
      </c>
      <c r="E3493" s="50" t="n">
        <v>2</v>
      </c>
      <c r="F3493" s="50" t="s">
        <v>2174</v>
      </c>
      <c r="G3493" s="54" t="n">
        <v>1617300</v>
      </c>
    </row>
    <row r="3494" customFormat="false" ht="15" hidden="false" customHeight="false" outlineLevel="0" collapsed="false">
      <c r="A3494" s="50" t="s">
        <v>1286</v>
      </c>
      <c r="B3494" s="51" t="n">
        <v>45871</v>
      </c>
      <c r="C3494" s="50" t="s">
        <v>188</v>
      </c>
      <c r="D3494" s="50" t="s">
        <v>2185</v>
      </c>
      <c r="E3494" s="50" t="n">
        <v>1</v>
      </c>
      <c r="F3494" s="50" t="s">
        <v>2174</v>
      </c>
      <c r="G3494" s="54" t="n">
        <v>791800</v>
      </c>
    </row>
    <row r="3495" customFormat="false" ht="15" hidden="false" customHeight="false" outlineLevel="0" collapsed="false">
      <c r="A3495" s="50" t="s">
        <v>1287</v>
      </c>
      <c r="B3495" s="51" t="n">
        <v>45871</v>
      </c>
      <c r="C3495" s="50" t="s">
        <v>174</v>
      </c>
      <c r="D3495" s="50" t="s">
        <v>2172</v>
      </c>
      <c r="E3495" s="50" t="n">
        <v>3</v>
      </c>
      <c r="F3495" s="50" t="s">
        <v>2167</v>
      </c>
      <c r="G3495" s="54" t="n">
        <v>1510800</v>
      </c>
    </row>
    <row r="3496" customFormat="false" ht="15" hidden="false" customHeight="false" outlineLevel="0" collapsed="false">
      <c r="A3496" s="50" t="s">
        <v>1287</v>
      </c>
      <c r="B3496" s="51" t="n">
        <v>45871</v>
      </c>
      <c r="C3496" s="50" t="s">
        <v>174</v>
      </c>
      <c r="D3496" s="50" t="s">
        <v>2184</v>
      </c>
      <c r="E3496" s="50" t="n">
        <v>2</v>
      </c>
      <c r="F3496" s="50" t="s">
        <v>2167</v>
      </c>
      <c r="G3496" s="54" t="n">
        <v>1129000</v>
      </c>
    </row>
    <row r="3497" customFormat="false" ht="15" hidden="false" customHeight="false" outlineLevel="0" collapsed="false">
      <c r="A3497" s="50" t="s">
        <v>1287</v>
      </c>
      <c r="B3497" s="51" t="n">
        <v>45871</v>
      </c>
      <c r="C3497" s="50" t="s">
        <v>174</v>
      </c>
      <c r="D3497" s="50" t="s">
        <v>2168</v>
      </c>
      <c r="E3497" s="50" t="n">
        <v>7</v>
      </c>
      <c r="F3497" s="50" t="s">
        <v>2167</v>
      </c>
      <c r="G3497" s="54" t="n">
        <v>3085500</v>
      </c>
    </row>
    <row r="3498" customFormat="false" ht="15" hidden="false" customHeight="false" outlineLevel="0" collapsed="false">
      <c r="A3498" s="50" t="s">
        <v>1288</v>
      </c>
      <c r="B3498" s="51" t="n">
        <v>45871</v>
      </c>
      <c r="C3498" s="50" t="s">
        <v>320</v>
      </c>
      <c r="D3498" s="50" t="s">
        <v>2172</v>
      </c>
      <c r="E3498" s="50" t="n">
        <v>1</v>
      </c>
      <c r="F3498" s="50" t="s">
        <v>2167</v>
      </c>
      <c r="G3498" s="54" t="n">
        <v>513200</v>
      </c>
    </row>
    <row r="3499" customFormat="false" ht="15" hidden="false" customHeight="false" outlineLevel="0" collapsed="false">
      <c r="A3499" s="50" t="s">
        <v>1288</v>
      </c>
      <c r="B3499" s="51" t="n">
        <v>45871</v>
      </c>
      <c r="C3499" s="50" t="s">
        <v>320</v>
      </c>
      <c r="D3499" s="50" t="s">
        <v>2183</v>
      </c>
      <c r="E3499" s="50" t="n">
        <v>2</v>
      </c>
      <c r="F3499" s="50" t="s">
        <v>2167</v>
      </c>
      <c r="G3499" s="54" t="n">
        <v>756900</v>
      </c>
    </row>
    <row r="3500" customFormat="false" ht="15" hidden="false" customHeight="false" outlineLevel="0" collapsed="false">
      <c r="A3500" s="50" t="s">
        <v>1289</v>
      </c>
      <c r="B3500" s="51" t="n">
        <v>45871</v>
      </c>
      <c r="C3500" s="50" t="s">
        <v>209</v>
      </c>
      <c r="D3500" s="50" t="s">
        <v>2186</v>
      </c>
      <c r="E3500" s="50" t="n">
        <v>6</v>
      </c>
      <c r="F3500" s="50" t="s">
        <v>2167</v>
      </c>
      <c r="G3500" s="54" t="n">
        <v>3490300</v>
      </c>
    </row>
    <row r="3501" customFormat="false" ht="15" hidden="false" customHeight="false" outlineLevel="0" collapsed="false">
      <c r="A3501" s="50" t="s">
        <v>1289</v>
      </c>
      <c r="B3501" s="51" t="n">
        <v>45871</v>
      </c>
      <c r="C3501" s="50" t="s">
        <v>209</v>
      </c>
      <c r="D3501" s="50" t="s">
        <v>2173</v>
      </c>
      <c r="E3501" s="50" t="n">
        <v>1</v>
      </c>
      <c r="F3501" s="50" t="s">
        <v>2174</v>
      </c>
      <c r="G3501" s="54" t="n">
        <v>774900</v>
      </c>
    </row>
    <row r="3502" customFormat="false" ht="15" hidden="false" customHeight="false" outlineLevel="0" collapsed="false">
      <c r="A3502" s="50" t="s">
        <v>1289</v>
      </c>
      <c r="B3502" s="51" t="n">
        <v>45871</v>
      </c>
      <c r="C3502" s="50" t="s">
        <v>209</v>
      </c>
      <c r="D3502" s="50" t="s">
        <v>2166</v>
      </c>
      <c r="E3502" s="50" t="n">
        <v>3</v>
      </c>
      <c r="F3502" s="50" t="s">
        <v>2167</v>
      </c>
      <c r="G3502" s="54" t="n">
        <v>1568700</v>
      </c>
    </row>
    <row r="3503" customFormat="false" ht="15" hidden="false" customHeight="false" outlineLevel="0" collapsed="false">
      <c r="A3503" s="50" t="s">
        <v>1289</v>
      </c>
      <c r="B3503" s="51" t="n">
        <v>45871</v>
      </c>
      <c r="C3503" s="50" t="s">
        <v>209</v>
      </c>
      <c r="D3503" s="50" t="s">
        <v>2168</v>
      </c>
      <c r="E3503" s="50" t="n">
        <v>7</v>
      </c>
      <c r="F3503" s="50" t="s">
        <v>2167</v>
      </c>
      <c r="G3503" s="54" t="n">
        <v>3096700</v>
      </c>
    </row>
    <row r="3504" customFormat="false" ht="15" hidden="false" customHeight="false" outlineLevel="0" collapsed="false">
      <c r="A3504" s="50" t="s">
        <v>1289</v>
      </c>
      <c r="B3504" s="51" t="n">
        <v>45871</v>
      </c>
      <c r="C3504" s="50" t="s">
        <v>209</v>
      </c>
      <c r="D3504" s="50" t="s">
        <v>2175</v>
      </c>
      <c r="E3504" s="50" t="n">
        <v>5</v>
      </c>
      <c r="F3504" s="50" t="s">
        <v>2167</v>
      </c>
      <c r="G3504" s="54" t="n">
        <v>3101800</v>
      </c>
    </row>
    <row r="3505" customFormat="false" ht="15" hidden="false" customHeight="false" outlineLevel="0" collapsed="false">
      <c r="A3505" s="50" t="s">
        <v>1290</v>
      </c>
      <c r="B3505" s="51" t="n">
        <v>45871</v>
      </c>
      <c r="C3505" s="50" t="s">
        <v>693</v>
      </c>
      <c r="D3505" s="50" t="s">
        <v>2173</v>
      </c>
      <c r="E3505" s="50" t="n">
        <v>6</v>
      </c>
      <c r="F3505" s="50" t="s">
        <v>2174</v>
      </c>
      <c r="G3505" s="54" t="n">
        <v>4788200</v>
      </c>
    </row>
    <row r="3506" customFormat="false" ht="15" hidden="false" customHeight="false" outlineLevel="0" collapsed="false">
      <c r="A3506" s="50" t="s">
        <v>1290</v>
      </c>
      <c r="B3506" s="51" t="n">
        <v>45871</v>
      </c>
      <c r="C3506" s="50" t="s">
        <v>693</v>
      </c>
      <c r="D3506" s="50" t="s">
        <v>2176</v>
      </c>
      <c r="E3506" s="50" t="n">
        <v>1</v>
      </c>
      <c r="F3506" s="50" t="s">
        <v>2167</v>
      </c>
      <c r="G3506" s="54" t="n">
        <v>409900</v>
      </c>
    </row>
    <row r="3507" customFormat="false" ht="15" hidden="false" customHeight="false" outlineLevel="0" collapsed="false">
      <c r="A3507" s="50" t="s">
        <v>1290</v>
      </c>
      <c r="B3507" s="51" t="n">
        <v>45871</v>
      </c>
      <c r="C3507" s="50" t="s">
        <v>693</v>
      </c>
      <c r="D3507" s="50" t="s">
        <v>2175</v>
      </c>
      <c r="E3507" s="50" t="n">
        <v>5</v>
      </c>
      <c r="F3507" s="50" t="s">
        <v>2167</v>
      </c>
      <c r="G3507" s="54" t="n">
        <v>3224800</v>
      </c>
    </row>
    <row r="3508" customFormat="false" ht="15" hidden="false" customHeight="false" outlineLevel="0" collapsed="false">
      <c r="A3508" s="50" t="s">
        <v>1291</v>
      </c>
      <c r="B3508" s="51" t="n">
        <v>45871</v>
      </c>
      <c r="C3508" s="50" t="s">
        <v>693</v>
      </c>
      <c r="D3508" s="50" t="s">
        <v>2185</v>
      </c>
      <c r="E3508" s="50" t="n">
        <v>1</v>
      </c>
      <c r="F3508" s="50" t="s">
        <v>2174</v>
      </c>
      <c r="G3508" s="54" t="n">
        <v>787700</v>
      </c>
    </row>
    <row r="3509" customFormat="false" ht="15" hidden="false" customHeight="false" outlineLevel="0" collapsed="false">
      <c r="A3509" s="50" t="s">
        <v>1291</v>
      </c>
      <c r="B3509" s="51" t="n">
        <v>45871</v>
      </c>
      <c r="C3509" s="50" t="s">
        <v>693</v>
      </c>
      <c r="D3509" s="50" t="s">
        <v>2173</v>
      </c>
      <c r="E3509" s="50" t="n">
        <v>5</v>
      </c>
      <c r="F3509" s="50" t="s">
        <v>2174</v>
      </c>
      <c r="G3509" s="54" t="n">
        <v>4096100</v>
      </c>
    </row>
    <row r="3510" customFormat="false" ht="15" hidden="false" customHeight="false" outlineLevel="0" collapsed="false">
      <c r="A3510" s="50" t="s">
        <v>1291</v>
      </c>
      <c r="B3510" s="51" t="n">
        <v>45871</v>
      </c>
      <c r="C3510" s="50" t="s">
        <v>693</v>
      </c>
      <c r="D3510" s="50" t="s">
        <v>2166</v>
      </c>
      <c r="E3510" s="50" t="n">
        <v>5</v>
      </c>
      <c r="F3510" s="50" t="s">
        <v>2167</v>
      </c>
      <c r="G3510" s="54" t="n">
        <v>2610900</v>
      </c>
    </row>
    <row r="3511" customFormat="false" ht="15" hidden="false" customHeight="false" outlineLevel="0" collapsed="false">
      <c r="A3511" s="50" t="s">
        <v>1291</v>
      </c>
      <c r="B3511" s="51" t="n">
        <v>45871</v>
      </c>
      <c r="C3511" s="50" t="s">
        <v>693</v>
      </c>
      <c r="D3511" s="50" t="s">
        <v>2183</v>
      </c>
      <c r="E3511" s="50" t="n">
        <v>4</v>
      </c>
      <c r="F3511" s="50" t="s">
        <v>2167</v>
      </c>
      <c r="G3511" s="54" t="n">
        <v>1520100</v>
      </c>
    </row>
    <row r="3512" customFormat="false" ht="15" hidden="false" customHeight="false" outlineLevel="0" collapsed="false">
      <c r="A3512" s="50" t="s">
        <v>1292</v>
      </c>
      <c r="B3512" s="51" t="n">
        <v>45871</v>
      </c>
      <c r="C3512" s="50" t="s">
        <v>197</v>
      </c>
      <c r="D3512" s="50" t="s">
        <v>2180</v>
      </c>
      <c r="E3512" s="50" t="n">
        <v>2</v>
      </c>
      <c r="F3512" s="50" t="s">
        <v>2167</v>
      </c>
      <c r="G3512" s="54" t="n">
        <v>915800</v>
      </c>
    </row>
    <row r="3513" customFormat="false" ht="15" hidden="false" customHeight="false" outlineLevel="0" collapsed="false">
      <c r="A3513" s="50" t="s">
        <v>1292</v>
      </c>
      <c r="B3513" s="51" t="n">
        <v>45871</v>
      </c>
      <c r="C3513" s="50" t="s">
        <v>197</v>
      </c>
      <c r="D3513" s="50" t="s">
        <v>2169</v>
      </c>
      <c r="E3513" s="50" t="n">
        <v>2</v>
      </c>
      <c r="F3513" s="50" t="s">
        <v>2167</v>
      </c>
      <c r="G3513" s="54" t="n">
        <v>1212100</v>
      </c>
    </row>
    <row r="3514" customFormat="false" ht="15" hidden="false" customHeight="false" outlineLevel="0" collapsed="false">
      <c r="A3514" s="50" t="s">
        <v>1293</v>
      </c>
      <c r="B3514" s="51" t="n">
        <v>45871</v>
      </c>
      <c r="C3514" s="50" t="s">
        <v>195</v>
      </c>
      <c r="D3514" s="50" t="s">
        <v>2183</v>
      </c>
      <c r="E3514" s="50" t="n">
        <v>8</v>
      </c>
      <c r="F3514" s="50" t="s">
        <v>2167</v>
      </c>
      <c r="G3514" s="54" t="n">
        <v>3064600</v>
      </c>
    </row>
    <row r="3515" customFormat="false" ht="15" hidden="false" customHeight="false" outlineLevel="0" collapsed="false">
      <c r="A3515" s="50" t="s">
        <v>1293</v>
      </c>
      <c r="B3515" s="51" t="n">
        <v>45871</v>
      </c>
      <c r="C3515" s="50" t="s">
        <v>195</v>
      </c>
      <c r="D3515" s="50" t="s">
        <v>2178</v>
      </c>
      <c r="E3515" s="50" t="n">
        <v>4</v>
      </c>
      <c r="F3515" s="50" t="s">
        <v>2167</v>
      </c>
      <c r="G3515" s="54" t="n">
        <v>1878000</v>
      </c>
    </row>
    <row r="3516" customFormat="false" ht="15" hidden="false" customHeight="false" outlineLevel="0" collapsed="false">
      <c r="A3516" s="50" t="s">
        <v>1294</v>
      </c>
      <c r="B3516" s="51" t="n">
        <v>45873</v>
      </c>
      <c r="C3516" s="50" t="s">
        <v>289</v>
      </c>
      <c r="D3516" s="50" t="s">
        <v>2180</v>
      </c>
      <c r="E3516" s="50" t="n">
        <v>5</v>
      </c>
      <c r="F3516" s="50" t="s">
        <v>2167</v>
      </c>
      <c r="G3516" s="54" t="n">
        <v>2244900</v>
      </c>
    </row>
    <row r="3517" customFormat="false" ht="15" hidden="false" customHeight="false" outlineLevel="0" collapsed="false">
      <c r="A3517" s="50" t="s">
        <v>1294</v>
      </c>
      <c r="B3517" s="51" t="n">
        <v>45873</v>
      </c>
      <c r="C3517" s="50" t="s">
        <v>289</v>
      </c>
      <c r="D3517" s="50" t="s">
        <v>2186</v>
      </c>
      <c r="E3517" s="50" t="n">
        <v>4</v>
      </c>
      <c r="F3517" s="50" t="s">
        <v>2167</v>
      </c>
      <c r="G3517" s="54" t="n">
        <v>2305000</v>
      </c>
    </row>
    <row r="3518" customFormat="false" ht="15" hidden="false" customHeight="false" outlineLevel="0" collapsed="false">
      <c r="A3518" s="50" t="s">
        <v>1294</v>
      </c>
      <c r="B3518" s="51" t="n">
        <v>45873</v>
      </c>
      <c r="C3518" s="50" t="s">
        <v>289</v>
      </c>
      <c r="D3518" s="50" t="s">
        <v>2169</v>
      </c>
      <c r="E3518" s="50" t="n">
        <v>3</v>
      </c>
      <c r="F3518" s="50" t="s">
        <v>2167</v>
      </c>
      <c r="G3518" s="54" t="n">
        <v>1873300</v>
      </c>
    </row>
    <row r="3519" customFormat="false" ht="15" hidden="false" customHeight="false" outlineLevel="0" collapsed="false">
      <c r="A3519" s="50" t="s">
        <v>1294</v>
      </c>
      <c r="B3519" s="51" t="n">
        <v>45873</v>
      </c>
      <c r="C3519" s="50" t="s">
        <v>289</v>
      </c>
      <c r="D3519" s="50" t="s">
        <v>2172</v>
      </c>
      <c r="E3519" s="50" t="n">
        <v>3</v>
      </c>
      <c r="F3519" s="50" t="s">
        <v>2167</v>
      </c>
      <c r="G3519" s="54" t="n">
        <v>1521700</v>
      </c>
    </row>
    <row r="3520" customFormat="false" ht="15" hidden="false" customHeight="false" outlineLevel="0" collapsed="false">
      <c r="A3520" s="50" t="s">
        <v>1294</v>
      </c>
      <c r="B3520" s="51" t="n">
        <v>45873</v>
      </c>
      <c r="C3520" s="50" t="s">
        <v>289</v>
      </c>
      <c r="D3520" s="50" t="s">
        <v>2184</v>
      </c>
      <c r="E3520" s="50" t="n">
        <v>1</v>
      </c>
      <c r="F3520" s="50" t="s">
        <v>2167</v>
      </c>
      <c r="G3520" s="54" t="n">
        <v>544700</v>
      </c>
    </row>
    <row r="3521" customFormat="false" ht="15" hidden="false" customHeight="false" outlineLevel="0" collapsed="false">
      <c r="A3521" s="50" t="s">
        <v>1294</v>
      </c>
      <c r="B3521" s="51" t="n">
        <v>45873</v>
      </c>
      <c r="C3521" s="50" t="s">
        <v>289</v>
      </c>
      <c r="D3521" s="50" t="s">
        <v>2178</v>
      </c>
      <c r="E3521" s="50" t="n">
        <v>1</v>
      </c>
      <c r="F3521" s="50" t="s">
        <v>2167</v>
      </c>
      <c r="G3521" s="54" t="n">
        <v>468000</v>
      </c>
    </row>
    <row r="3522" customFormat="false" ht="15" hidden="false" customHeight="false" outlineLevel="0" collapsed="false">
      <c r="A3522" s="50" t="s">
        <v>1295</v>
      </c>
      <c r="B3522" s="51" t="n">
        <v>45873</v>
      </c>
      <c r="C3522" s="50" t="s">
        <v>465</v>
      </c>
      <c r="D3522" s="50" t="s">
        <v>2176</v>
      </c>
      <c r="E3522" s="50" t="n">
        <v>4</v>
      </c>
      <c r="F3522" s="50" t="s">
        <v>2167</v>
      </c>
      <c r="G3522" s="54" t="n">
        <v>1673400</v>
      </c>
    </row>
    <row r="3523" customFormat="false" ht="15" hidden="false" customHeight="false" outlineLevel="0" collapsed="false">
      <c r="A3523" s="50" t="s">
        <v>1295</v>
      </c>
      <c r="B3523" s="51" t="n">
        <v>45873</v>
      </c>
      <c r="C3523" s="50" t="s">
        <v>465</v>
      </c>
      <c r="D3523" s="50" t="s">
        <v>2186</v>
      </c>
      <c r="E3523" s="50" t="n">
        <v>2</v>
      </c>
      <c r="F3523" s="50" t="s">
        <v>2167</v>
      </c>
      <c r="G3523" s="54" t="n">
        <v>1177500</v>
      </c>
    </row>
    <row r="3524" customFormat="false" ht="15" hidden="false" customHeight="false" outlineLevel="0" collapsed="false">
      <c r="A3524" s="50" t="s">
        <v>1295</v>
      </c>
      <c r="B3524" s="51" t="n">
        <v>45873</v>
      </c>
      <c r="C3524" s="50" t="s">
        <v>465</v>
      </c>
      <c r="D3524" s="50" t="s">
        <v>2177</v>
      </c>
      <c r="E3524" s="50" t="n">
        <v>1</v>
      </c>
      <c r="F3524" s="50" t="s">
        <v>2174</v>
      </c>
      <c r="G3524" s="54" t="n">
        <v>1067600</v>
      </c>
    </row>
    <row r="3525" customFormat="false" ht="15" hidden="false" customHeight="false" outlineLevel="0" collapsed="false">
      <c r="A3525" s="50" t="s">
        <v>1295</v>
      </c>
      <c r="B3525" s="51" t="n">
        <v>45873</v>
      </c>
      <c r="C3525" s="50" t="s">
        <v>465</v>
      </c>
      <c r="D3525" s="50" t="s">
        <v>2173</v>
      </c>
      <c r="E3525" s="50" t="n">
        <v>1</v>
      </c>
      <c r="F3525" s="50" t="s">
        <v>2174</v>
      </c>
      <c r="G3525" s="54" t="n">
        <v>798300</v>
      </c>
    </row>
    <row r="3526" customFormat="false" ht="15" hidden="false" customHeight="false" outlineLevel="0" collapsed="false">
      <c r="A3526" s="50" t="s">
        <v>1295</v>
      </c>
      <c r="B3526" s="51" t="n">
        <v>45873</v>
      </c>
      <c r="C3526" s="50" t="s">
        <v>465</v>
      </c>
      <c r="D3526" s="50" t="s">
        <v>2169</v>
      </c>
      <c r="E3526" s="50" t="n">
        <v>5</v>
      </c>
      <c r="F3526" s="50" t="s">
        <v>2167</v>
      </c>
      <c r="G3526" s="54" t="n">
        <v>3122900</v>
      </c>
    </row>
    <row r="3527" customFormat="false" ht="15" hidden="false" customHeight="false" outlineLevel="0" collapsed="false">
      <c r="A3527" s="50" t="s">
        <v>1296</v>
      </c>
      <c r="B3527" s="51" t="n">
        <v>45873</v>
      </c>
      <c r="C3527" s="50" t="s">
        <v>197</v>
      </c>
      <c r="D3527" s="50" t="s">
        <v>2177</v>
      </c>
      <c r="E3527" s="50" t="n">
        <v>3</v>
      </c>
      <c r="F3527" s="50" t="s">
        <v>2174</v>
      </c>
      <c r="G3527" s="54" t="n">
        <v>3409200</v>
      </c>
    </row>
    <row r="3528" customFormat="false" ht="15" hidden="false" customHeight="false" outlineLevel="0" collapsed="false">
      <c r="A3528" s="50" t="s">
        <v>1296</v>
      </c>
      <c r="B3528" s="51" t="n">
        <v>45873</v>
      </c>
      <c r="C3528" s="50" t="s">
        <v>197</v>
      </c>
      <c r="D3528" s="50" t="s">
        <v>2178</v>
      </c>
      <c r="E3528" s="50" t="n">
        <v>4</v>
      </c>
      <c r="F3528" s="50" t="s">
        <v>2167</v>
      </c>
      <c r="G3528" s="54" t="n">
        <v>1962500</v>
      </c>
    </row>
    <row r="3529" customFormat="false" ht="15" hidden="false" customHeight="false" outlineLevel="0" collapsed="false">
      <c r="A3529" s="50" t="s">
        <v>1296</v>
      </c>
      <c r="B3529" s="51" t="n">
        <v>45873</v>
      </c>
      <c r="C3529" s="50" t="s">
        <v>197</v>
      </c>
      <c r="D3529" s="50" t="s">
        <v>2180</v>
      </c>
      <c r="E3529" s="50" t="n">
        <v>4</v>
      </c>
      <c r="F3529" s="50" t="s">
        <v>2167</v>
      </c>
      <c r="G3529" s="54" t="n">
        <v>1763500</v>
      </c>
    </row>
    <row r="3530" customFormat="false" ht="15" hidden="false" customHeight="false" outlineLevel="0" collapsed="false">
      <c r="A3530" s="50" t="s">
        <v>1297</v>
      </c>
      <c r="B3530" s="51" t="n">
        <v>45873</v>
      </c>
      <c r="C3530" s="50" t="s">
        <v>271</v>
      </c>
      <c r="D3530" s="50" t="s">
        <v>2181</v>
      </c>
      <c r="E3530" s="50" t="n">
        <v>1</v>
      </c>
      <c r="F3530" s="50" t="s">
        <v>2167</v>
      </c>
      <c r="G3530" s="54" t="n">
        <v>1174700</v>
      </c>
    </row>
    <row r="3531" customFormat="false" ht="15" hidden="false" customHeight="false" outlineLevel="0" collapsed="false">
      <c r="A3531" s="50" t="s">
        <v>1297</v>
      </c>
      <c r="B3531" s="51" t="n">
        <v>45873</v>
      </c>
      <c r="C3531" s="50" t="s">
        <v>271</v>
      </c>
      <c r="D3531" s="50" t="s">
        <v>2187</v>
      </c>
      <c r="E3531" s="50" t="n">
        <v>2</v>
      </c>
      <c r="F3531" s="50" t="s">
        <v>2167</v>
      </c>
      <c r="G3531" s="54" t="n">
        <v>701100</v>
      </c>
    </row>
    <row r="3532" customFormat="false" ht="15" hidden="false" customHeight="false" outlineLevel="0" collapsed="false">
      <c r="A3532" s="50" t="s">
        <v>1297</v>
      </c>
      <c r="B3532" s="51" t="n">
        <v>45873</v>
      </c>
      <c r="C3532" s="50" t="s">
        <v>271</v>
      </c>
      <c r="D3532" s="50" t="s">
        <v>2182</v>
      </c>
      <c r="E3532" s="50" t="n">
        <v>3</v>
      </c>
      <c r="F3532" s="50" t="s">
        <v>2174</v>
      </c>
      <c r="G3532" s="54" t="n">
        <v>2760700</v>
      </c>
    </row>
    <row r="3533" customFormat="false" ht="15" hidden="false" customHeight="false" outlineLevel="0" collapsed="false">
      <c r="A3533" s="50" t="s">
        <v>1297</v>
      </c>
      <c r="B3533" s="51" t="n">
        <v>45873</v>
      </c>
      <c r="C3533" s="50" t="s">
        <v>271</v>
      </c>
      <c r="D3533" s="50" t="s">
        <v>2166</v>
      </c>
      <c r="E3533" s="50" t="n">
        <v>3</v>
      </c>
      <c r="F3533" s="50" t="s">
        <v>2167</v>
      </c>
      <c r="G3533" s="54" t="n">
        <v>1581000</v>
      </c>
    </row>
    <row r="3534" customFormat="false" ht="15" hidden="false" customHeight="false" outlineLevel="0" collapsed="false">
      <c r="A3534" s="50" t="s">
        <v>1297</v>
      </c>
      <c r="B3534" s="51" t="n">
        <v>45873</v>
      </c>
      <c r="C3534" s="50" t="s">
        <v>271</v>
      </c>
      <c r="D3534" s="50" t="s">
        <v>2173</v>
      </c>
      <c r="E3534" s="50" t="n">
        <v>6</v>
      </c>
      <c r="F3534" s="50" t="s">
        <v>2174</v>
      </c>
      <c r="G3534" s="54" t="n">
        <v>4612600</v>
      </c>
    </row>
    <row r="3535" customFormat="false" ht="15" hidden="false" customHeight="false" outlineLevel="0" collapsed="false">
      <c r="A3535" s="50" t="s">
        <v>1298</v>
      </c>
      <c r="B3535" s="51" t="n">
        <v>45873</v>
      </c>
      <c r="C3535" s="50" t="s">
        <v>505</v>
      </c>
      <c r="D3535" s="50" t="s">
        <v>2186</v>
      </c>
      <c r="E3535" s="50" t="n">
        <v>7</v>
      </c>
      <c r="F3535" s="50" t="s">
        <v>2167</v>
      </c>
      <c r="G3535" s="54" t="n">
        <v>4052500</v>
      </c>
    </row>
    <row r="3536" customFormat="false" ht="15" hidden="false" customHeight="false" outlineLevel="0" collapsed="false">
      <c r="A3536" s="50" t="s">
        <v>1298</v>
      </c>
      <c r="B3536" s="51" t="n">
        <v>45873</v>
      </c>
      <c r="C3536" s="50" t="s">
        <v>505</v>
      </c>
      <c r="D3536" s="50" t="s">
        <v>2166</v>
      </c>
      <c r="E3536" s="50" t="n">
        <v>7</v>
      </c>
      <c r="F3536" s="50" t="s">
        <v>2167</v>
      </c>
      <c r="G3536" s="54" t="n">
        <v>3670000</v>
      </c>
    </row>
    <row r="3537" customFormat="false" ht="15" hidden="false" customHeight="false" outlineLevel="0" collapsed="false">
      <c r="A3537" s="50" t="s">
        <v>1298</v>
      </c>
      <c r="B3537" s="51" t="n">
        <v>45873</v>
      </c>
      <c r="C3537" s="50" t="s">
        <v>505</v>
      </c>
      <c r="D3537" s="50" t="s">
        <v>2169</v>
      </c>
      <c r="E3537" s="50" t="n">
        <v>4</v>
      </c>
      <c r="F3537" s="50" t="s">
        <v>2167</v>
      </c>
      <c r="G3537" s="54" t="n">
        <v>2473800</v>
      </c>
    </row>
    <row r="3538" customFormat="false" ht="15" hidden="false" customHeight="false" outlineLevel="0" collapsed="false">
      <c r="A3538" s="50" t="s">
        <v>1298</v>
      </c>
      <c r="B3538" s="51" t="n">
        <v>45873</v>
      </c>
      <c r="C3538" s="50" t="s">
        <v>505</v>
      </c>
      <c r="D3538" s="50" t="s">
        <v>2184</v>
      </c>
      <c r="E3538" s="50" t="n">
        <v>1</v>
      </c>
      <c r="F3538" s="50" t="s">
        <v>2167</v>
      </c>
      <c r="G3538" s="54" t="n">
        <v>570100</v>
      </c>
    </row>
    <row r="3539" customFormat="false" ht="15" hidden="false" customHeight="false" outlineLevel="0" collapsed="false">
      <c r="A3539" s="50" t="s">
        <v>1299</v>
      </c>
      <c r="B3539" s="51" t="n">
        <v>45873</v>
      </c>
      <c r="C3539" s="50" t="s">
        <v>213</v>
      </c>
      <c r="D3539" s="50" t="s">
        <v>2181</v>
      </c>
      <c r="E3539" s="50" t="n">
        <v>3</v>
      </c>
      <c r="F3539" s="50" t="s">
        <v>2167</v>
      </c>
      <c r="G3539" s="54" t="n">
        <v>3320800</v>
      </c>
    </row>
    <row r="3540" customFormat="false" ht="15" hidden="false" customHeight="false" outlineLevel="0" collapsed="false">
      <c r="A3540" s="50" t="s">
        <v>1299</v>
      </c>
      <c r="B3540" s="51" t="n">
        <v>45873</v>
      </c>
      <c r="C3540" s="50" t="s">
        <v>213</v>
      </c>
      <c r="D3540" s="50" t="s">
        <v>2169</v>
      </c>
      <c r="E3540" s="50" t="n">
        <v>4</v>
      </c>
      <c r="F3540" s="50" t="s">
        <v>2167</v>
      </c>
      <c r="G3540" s="54" t="n">
        <v>2530100</v>
      </c>
    </row>
    <row r="3541" customFormat="false" ht="15" hidden="false" customHeight="false" outlineLevel="0" collapsed="false">
      <c r="A3541" s="50" t="s">
        <v>1299</v>
      </c>
      <c r="B3541" s="51" t="n">
        <v>45873</v>
      </c>
      <c r="C3541" s="50" t="s">
        <v>213</v>
      </c>
      <c r="D3541" s="50" t="s">
        <v>2186</v>
      </c>
      <c r="E3541" s="50" t="n">
        <v>5</v>
      </c>
      <c r="F3541" s="50" t="s">
        <v>2167</v>
      </c>
      <c r="G3541" s="54" t="n">
        <v>2909000</v>
      </c>
    </row>
    <row r="3542" customFormat="false" ht="15" hidden="false" customHeight="false" outlineLevel="0" collapsed="false">
      <c r="A3542" s="50" t="s">
        <v>1299</v>
      </c>
      <c r="B3542" s="51" t="n">
        <v>45873</v>
      </c>
      <c r="C3542" s="50" t="s">
        <v>213</v>
      </c>
      <c r="D3542" s="50" t="s">
        <v>2173</v>
      </c>
      <c r="E3542" s="50" t="n">
        <v>3</v>
      </c>
      <c r="F3542" s="50" t="s">
        <v>2174</v>
      </c>
      <c r="G3542" s="54" t="n">
        <v>2436000</v>
      </c>
    </row>
    <row r="3543" customFormat="false" ht="15" hidden="false" customHeight="false" outlineLevel="0" collapsed="false">
      <c r="A3543" s="50" t="s">
        <v>1300</v>
      </c>
      <c r="B3543" s="51" t="n">
        <v>45873</v>
      </c>
      <c r="C3543" s="50" t="s">
        <v>177</v>
      </c>
      <c r="D3543" s="50" t="s">
        <v>2168</v>
      </c>
      <c r="E3543" s="50" t="n">
        <v>2</v>
      </c>
      <c r="F3543" s="50" t="s">
        <v>2167</v>
      </c>
      <c r="G3543" s="54" t="n">
        <v>887900</v>
      </c>
    </row>
    <row r="3544" customFormat="false" ht="15" hidden="false" customHeight="false" outlineLevel="0" collapsed="false">
      <c r="A3544" s="50" t="s">
        <v>1300</v>
      </c>
      <c r="B3544" s="51" t="n">
        <v>45873</v>
      </c>
      <c r="C3544" s="50" t="s">
        <v>177</v>
      </c>
      <c r="D3544" s="50" t="s">
        <v>2179</v>
      </c>
      <c r="E3544" s="50" t="n">
        <v>4</v>
      </c>
      <c r="F3544" s="50" t="s">
        <v>2174</v>
      </c>
      <c r="G3544" s="54" t="n">
        <v>5133200</v>
      </c>
    </row>
    <row r="3545" customFormat="false" ht="15" hidden="false" customHeight="false" outlineLevel="0" collapsed="false">
      <c r="A3545" s="50" t="s">
        <v>1300</v>
      </c>
      <c r="B3545" s="51" t="n">
        <v>45873</v>
      </c>
      <c r="C3545" s="50" t="s">
        <v>177</v>
      </c>
      <c r="D3545" s="50" t="s">
        <v>2177</v>
      </c>
      <c r="E3545" s="50" t="n">
        <v>5</v>
      </c>
      <c r="F3545" s="50" t="s">
        <v>2174</v>
      </c>
      <c r="G3545" s="54" t="n">
        <v>5652700</v>
      </c>
    </row>
    <row r="3546" customFormat="false" ht="15" hidden="false" customHeight="false" outlineLevel="0" collapsed="false">
      <c r="A3546" s="50" t="s">
        <v>1300</v>
      </c>
      <c r="B3546" s="51" t="n">
        <v>45873</v>
      </c>
      <c r="C3546" s="50" t="s">
        <v>177</v>
      </c>
      <c r="D3546" s="50" t="s">
        <v>2178</v>
      </c>
      <c r="E3546" s="50" t="n">
        <v>1</v>
      </c>
      <c r="F3546" s="50" t="s">
        <v>2167</v>
      </c>
      <c r="G3546" s="54" t="n">
        <v>497200</v>
      </c>
    </row>
    <row r="3547" customFormat="false" ht="15" hidden="false" customHeight="false" outlineLevel="0" collapsed="false">
      <c r="A3547" s="50" t="s">
        <v>1301</v>
      </c>
      <c r="B3547" s="51" t="n">
        <v>45873</v>
      </c>
      <c r="C3547" s="50" t="s">
        <v>209</v>
      </c>
      <c r="D3547" s="50" t="s">
        <v>2169</v>
      </c>
      <c r="E3547" s="50" t="n">
        <v>2</v>
      </c>
      <c r="F3547" s="50" t="s">
        <v>2167</v>
      </c>
      <c r="G3547" s="54" t="n">
        <v>1253600</v>
      </c>
    </row>
    <row r="3548" customFormat="false" ht="15" hidden="false" customHeight="false" outlineLevel="0" collapsed="false">
      <c r="A3548" s="50" t="s">
        <v>1301</v>
      </c>
      <c r="B3548" s="51" t="n">
        <v>45873</v>
      </c>
      <c r="C3548" s="50" t="s">
        <v>209</v>
      </c>
      <c r="D3548" s="50" t="s">
        <v>2178</v>
      </c>
      <c r="E3548" s="50" t="n">
        <v>2</v>
      </c>
      <c r="F3548" s="50" t="s">
        <v>2167</v>
      </c>
      <c r="G3548" s="54" t="n">
        <v>961500</v>
      </c>
    </row>
    <row r="3549" customFormat="false" ht="15" hidden="false" customHeight="false" outlineLevel="0" collapsed="false">
      <c r="A3549" s="50" t="s">
        <v>1301</v>
      </c>
      <c r="B3549" s="51" t="n">
        <v>45873</v>
      </c>
      <c r="C3549" s="50" t="s">
        <v>209</v>
      </c>
      <c r="D3549" s="50" t="s">
        <v>2179</v>
      </c>
      <c r="E3549" s="50" t="n">
        <v>2</v>
      </c>
      <c r="F3549" s="50" t="s">
        <v>2174</v>
      </c>
      <c r="G3549" s="54" t="n">
        <v>2513600</v>
      </c>
    </row>
    <row r="3550" customFormat="false" ht="15" hidden="false" customHeight="false" outlineLevel="0" collapsed="false">
      <c r="A3550" s="50" t="s">
        <v>1302</v>
      </c>
      <c r="B3550" s="51" t="n">
        <v>45874</v>
      </c>
      <c r="C3550" s="50" t="s">
        <v>681</v>
      </c>
      <c r="D3550" s="50" t="s">
        <v>2169</v>
      </c>
      <c r="E3550" s="50" t="n">
        <v>3</v>
      </c>
      <c r="F3550" s="50" t="s">
        <v>2167</v>
      </c>
      <c r="G3550" s="54" t="n">
        <v>1879200</v>
      </c>
    </row>
    <row r="3551" customFormat="false" ht="15" hidden="false" customHeight="false" outlineLevel="0" collapsed="false">
      <c r="A3551" s="50" t="s">
        <v>1302</v>
      </c>
      <c r="B3551" s="51" t="n">
        <v>45874</v>
      </c>
      <c r="C3551" s="50" t="s">
        <v>681</v>
      </c>
      <c r="D3551" s="50" t="s">
        <v>2179</v>
      </c>
      <c r="E3551" s="50" t="n">
        <v>5</v>
      </c>
      <c r="F3551" s="50" t="s">
        <v>2174</v>
      </c>
      <c r="G3551" s="54" t="n">
        <v>6228500</v>
      </c>
    </row>
    <row r="3552" customFormat="false" ht="15" hidden="false" customHeight="false" outlineLevel="0" collapsed="false">
      <c r="A3552" s="50" t="s">
        <v>1302</v>
      </c>
      <c r="B3552" s="51" t="n">
        <v>45874</v>
      </c>
      <c r="C3552" s="50" t="s">
        <v>681</v>
      </c>
      <c r="D3552" s="50" t="s">
        <v>2173</v>
      </c>
      <c r="E3552" s="50" t="n">
        <v>5</v>
      </c>
      <c r="F3552" s="50" t="s">
        <v>2174</v>
      </c>
      <c r="G3552" s="54" t="n">
        <v>3932300</v>
      </c>
    </row>
    <row r="3553" customFormat="false" ht="15" hidden="false" customHeight="false" outlineLevel="0" collapsed="false">
      <c r="A3553" s="50" t="s">
        <v>1302</v>
      </c>
      <c r="B3553" s="51" t="n">
        <v>45874</v>
      </c>
      <c r="C3553" s="50" t="s">
        <v>681</v>
      </c>
      <c r="D3553" s="50" t="s">
        <v>2186</v>
      </c>
      <c r="E3553" s="50" t="n">
        <v>6</v>
      </c>
      <c r="F3553" s="50" t="s">
        <v>2167</v>
      </c>
      <c r="G3553" s="54" t="n">
        <v>3463500</v>
      </c>
    </row>
    <row r="3554" customFormat="false" ht="15" hidden="false" customHeight="false" outlineLevel="0" collapsed="false">
      <c r="A3554" s="50" t="s">
        <v>1302</v>
      </c>
      <c r="B3554" s="51" t="n">
        <v>45874</v>
      </c>
      <c r="C3554" s="50" t="s">
        <v>681</v>
      </c>
      <c r="D3554" s="50" t="s">
        <v>2175</v>
      </c>
      <c r="E3554" s="50" t="n">
        <v>1</v>
      </c>
      <c r="F3554" s="50" t="s">
        <v>2167</v>
      </c>
      <c r="G3554" s="54" t="n">
        <v>620700</v>
      </c>
    </row>
    <row r="3555" customFormat="false" ht="15" hidden="false" customHeight="false" outlineLevel="0" collapsed="false">
      <c r="A3555" s="50" t="s">
        <v>1302</v>
      </c>
      <c r="B3555" s="51" t="n">
        <v>45874</v>
      </c>
      <c r="C3555" s="50" t="s">
        <v>681</v>
      </c>
      <c r="D3555" s="50" t="s">
        <v>2183</v>
      </c>
      <c r="E3555" s="50" t="n">
        <v>5</v>
      </c>
      <c r="F3555" s="50" t="s">
        <v>2167</v>
      </c>
      <c r="G3555" s="54" t="n">
        <v>1890600</v>
      </c>
    </row>
    <row r="3556" customFormat="false" ht="15" hidden="false" customHeight="false" outlineLevel="0" collapsed="false">
      <c r="A3556" s="50" t="s">
        <v>1303</v>
      </c>
      <c r="B3556" s="51" t="n">
        <v>45874</v>
      </c>
      <c r="C3556" s="50" t="s">
        <v>197</v>
      </c>
      <c r="D3556" s="50" t="s">
        <v>2183</v>
      </c>
      <c r="E3556" s="50" t="n">
        <v>1</v>
      </c>
      <c r="F3556" s="50" t="s">
        <v>2167</v>
      </c>
      <c r="G3556" s="54" t="n">
        <v>384100</v>
      </c>
    </row>
    <row r="3557" customFormat="false" ht="15" hidden="false" customHeight="false" outlineLevel="0" collapsed="false">
      <c r="A3557" s="50" t="s">
        <v>1303</v>
      </c>
      <c r="B3557" s="51" t="n">
        <v>45874</v>
      </c>
      <c r="C3557" s="50" t="s">
        <v>197</v>
      </c>
      <c r="D3557" s="50" t="s">
        <v>2166</v>
      </c>
      <c r="E3557" s="50" t="n">
        <v>4</v>
      </c>
      <c r="F3557" s="50" t="s">
        <v>2167</v>
      </c>
      <c r="G3557" s="54" t="n">
        <v>2134500</v>
      </c>
    </row>
    <row r="3558" customFormat="false" ht="15" hidden="false" customHeight="false" outlineLevel="0" collapsed="false">
      <c r="A3558" s="50" t="s">
        <v>1303</v>
      </c>
      <c r="B3558" s="51" t="n">
        <v>45874</v>
      </c>
      <c r="C3558" s="50" t="s">
        <v>197</v>
      </c>
      <c r="D3558" s="50" t="s">
        <v>2178</v>
      </c>
      <c r="E3558" s="50" t="n">
        <v>8</v>
      </c>
      <c r="F3558" s="50" t="s">
        <v>2167</v>
      </c>
      <c r="G3558" s="54" t="n">
        <v>3794700</v>
      </c>
    </row>
    <row r="3559" customFormat="false" ht="15" hidden="false" customHeight="false" outlineLevel="0" collapsed="false">
      <c r="A3559" s="50" t="s">
        <v>1304</v>
      </c>
      <c r="B3559" s="51" t="n">
        <v>45874</v>
      </c>
      <c r="C3559" s="50" t="s">
        <v>179</v>
      </c>
      <c r="D3559" s="50" t="s">
        <v>2176</v>
      </c>
      <c r="E3559" s="50" t="n">
        <v>4</v>
      </c>
      <c r="F3559" s="50" t="s">
        <v>2167</v>
      </c>
      <c r="G3559" s="54" t="n">
        <v>1718300</v>
      </c>
    </row>
    <row r="3560" customFormat="false" ht="15" hidden="false" customHeight="false" outlineLevel="0" collapsed="false">
      <c r="A3560" s="50" t="s">
        <v>1304</v>
      </c>
      <c r="B3560" s="51" t="n">
        <v>45874</v>
      </c>
      <c r="C3560" s="50" t="s">
        <v>179</v>
      </c>
      <c r="D3560" s="50" t="s">
        <v>2183</v>
      </c>
      <c r="E3560" s="50" t="n">
        <v>7</v>
      </c>
      <c r="F3560" s="50" t="s">
        <v>2167</v>
      </c>
      <c r="G3560" s="54" t="n">
        <v>2598600</v>
      </c>
    </row>
    <row r="3561" customFormat="false" ht="15" hidden="false" customHeight="false" outlineLevel="0" collapsed="false">
      <c r="A3561" s="50" t="s">
        <v>1304</v>
      </c>
      <c r="B3561" s="51" t="n">
        <v>45874</v>
      </c>
      <c r="C3561" s="50" t="s">
        <v>179</v>
      </c>
      <c r="D3561" s="50" t="s">
        <v>2180</v>
      </c>
      <c r="E3561" s="50" t="n">
        <v>3</v>
      </c>
      <c r="F3561" s="50" t="s">
        <v>2167</v>
      </c>
      <c r="G3561" s="54" t="n">
        <v>1388900</v>
      </c>
    </row>
    <row r="3562" customFormat="false" ht="15" hidden="false" customHeight="false" outlineLevel="0" collapsed="false">
      <c r="A3562" s="50" t="s">
        <v>1304</v>
      </c>
      <c r="B3562" s="51" t="n">
        <v>45874</v>
      </c>
      <c r="C3562" s="50" t="s">
        <v>179</v>
      </c>
      <c r="D3562" s="50" t="s">
        <v>2186</v>
      </c>
      <c r="E3562" s="50" t="n">
        <v>8</v>
      </c>
      <c r="F3562" s="50" t="s">
        <v>2167</v>
      </c>
      <c r="G3562" s="54" t="n">
        <v>4800800</v>
      </c>
    </row>
    <row r="3563" customFormat="false" ht="15" hidden="false" customHeight="false" outlineLevel="0" collapsed="false">
      <c r="A3563" s="50" t="s">
        <v>1305</v>
      </c>
      <c r="B3563" s="51" t="n">
        <v>45874</v>
      </c>
      <c r="C3563" s="50" t="s">
        <v>358</v>
      </c>
      <c r="D3563" s="50" t="s">
        <v>2188</v>
      </c>
      <c r="E3563" s="50" t="n">
        <v>5</v>
      </c>
      <c r="F3563" s="50" t="s">
        <v>2167</v>
      </c>
      <c r="G3563" s="54" t="n">
        <v>4917900</v>
      </c>
    </row>
    <row r="3564" customFormat="false" ht="15" hidden="false" customHeight="false" outlineLevel="0" collapsed="false">
      <c r="A3564" s="50" t="s">
        <v>1305</v>
      </c>
      <c r="B3564" s="51" t="n">
        <v>45874</v>
      </c>
      <c r="C3564" s="50" t="s">
        <v>358</v>
      </c>
      <c r="D3564" s="50" t="s">
        <v>2176</v>
      </c>
      <c r="E3564" s="50" t="n">
        <v>7</v>
      </c>
      <c r="F3564" s="50" t="s">
        <v>2167</v>
      </c>
      <c r="G3564" s="54" t="n">
        <v>3024200</v>
      </c>
    </row>
    <row r="3565" customFormat="false" ht="15" hidden="false" customHeight="false" outlineLevel="0" collapsed="false">
      <c r="A3565" s="50" t="s">
        <v>1305</v>
      </c>
      <c r="B3565" s="51" t="n">
        <v>45874</v>
      </c>
      <c r="C3565" s="50" t="s">
        <v>358</v>
      </c>
      <c r="D3565" s="50" t="s">
        <v>2172</v>
      </c>
      <c r="E3565" s="50" t="n">
        <v>5</v>
      </c>
      <c r="F3565" s="50" t="s">
        <v>2167</v>
      </c>
      <c r="G3565" s="54" t="n">
        <v>2688700</v>
      </c>
    </row>
    <row r="3566" customFormat="false" ht="15" hidden="false" customHeight="false" outlineLevel="0" collapsed="false">
      <c r="A3566" s="50" t="s">
        <v>1305</v>
      </c>
      <c r="B3566" s="51" t="n">
        <v>45874</v>
      </c>
      <c r="C3566" s="50" t="s">
        <v>358</v>
      </c>
      <c r="D3566" s="50" t="s">
        <v>2186</v>
      </c>
      <c r="E3566" s="50" t="n">
        <v>7</v>
      </c>
      <c r="F3566" s="50" t="s">
        <v>2167</v>
      </c>
      <c r="G3566" s="54" t="n">
        <v>4179600</v>
      </c>
    </row>
    <row r="3567" customFormat="false" ht="15" hidden="false" customHeight="false" outlineLevel="0" collapsed="false">
      <c r="A3567" s="50" t="s">
        <v>1305</v>
      </c>
      <c r="B3567" s="51" t="n">
        <v>45874</v>
      </c>
      <c r="C3567" s="50" t="s">
        <v>358</v>
      </c>
      <c r="D3567" s="50" t="s">
        <v>2179</v>
      </c>
      <c r="E3567" s="50" t="n">
        <v>5</v>
      </c>
      <c r="F3567" s="50" t="s">
        <v>2174</v>
      </c>
      <c r="G3567" s="54" t="n">
        <v>6492700</v>
      </c>
    </row>
    <row r="3568" customFormat="false" ht="15" hidden="false" customHeight="false" outlineLevel="0" collapsed="false">
      <c r="A3568" s="50" t="s">
        <v>1305</v>
      </c>
      <c r="B3568" s="51" t="n">
        <v>45874</v>
      </c>
      <c r="C3568" s="50" t="s">
        <v>358</v>
      </c>
      <c r="D3568" s="50" t="s">
        <v>2173</v>
      </c>
      <c r="E3568" s="50" t="n">
        <v>8</v>
      </c>
      <c r="F3568" s="50" t="s">
        <v>2174</v>
      </c>
      <c r="G3568" s="54" t="n">
        <v>6562300</v>
      </c>
    </row>
    <row r="3569" customFormat="false" ht="15" hidden="false" customHeight="false" outlineLevel="0" collapsed="false">
      <c r="A3569" s="50" t="s">
        <v>1306</v>
      </c>
      <c r="B3569" s="51" t="n">
        <v>45874</v>
      </c>
      <c r="C3569" s="50" t="s">
        <v>1307</v>
      </c>
      <c r="D3569" s="50" t="s">
        <v>2179</v>
      </c>
      <c r="E3569" s="50" t="n">
        <v>4</v>
      </c>
      <c r="F3569" s="50" t="s">
        <v>2174</v>
      </c>
      <c r="G3569" s="54" t="n">
        <v>5085500</v>
      </c>
    </row>
    <row r="3570" customFormat="false" ht="15" hidden="false" customHeight="false" outlineLevel="0" collapsed="false">
      <c r="A3570" s="50" t="s">
        <v>1308</v>
      </c>
      <c r="B3570" s="51" t="n">
        <v>45875</v>
      </c>
      <c r="C3570" s="50" t="s">
        <v>205</v>
      </c>
      <c r="D3570" s="50" t="s">
        <v>2179</v>
      </c>
      <c r="E3570" s="50" t="n">
        <v>3</v>
      </c>
      <c r="F3570" s="50" t="s">
        <v>2174</v>
      </c>
      <c r="G3570" s="54" t="n">
        <v>3621900</v>
      </c>
    </row>
    <row r="3571" customFormat="false" ht="15" hidden="false" customHeight="false" outlineLevel="0" collapsed="false">
      <c r="A3571" s="50" t="s">
        <v>1308</v>
      </c>
      <c r="B3571" s="51" t="n">
        <v>45875</v>
      </c>
      <c r="C3571" s="50" t="s">
        <v>205</v>
      </c>
      <c r="D3571" s="50" t="s">
        <v>2183</v>
      </c>
      <c r="E3571" s="50" t="n">
        <v>2</v>
      </c>
      <c r="F3571" s="50" t="s">
        <v>2167</v>
      </c>
      <c r="G3571" s="54" t="n">
        <v>746500</v>
      </c>
    </row>
    <row r="3572" customFormat="false" ht="15" hidden="false" customHeight="false" outlineLevel="0" collapsed="false">
      <c r="A3572" s="50" t="s">
        <v>1308</v>
      </c>
      <c r="B3572" s="51" t="n">
        <v>45875</v>
      </c>
      <c r="C3572" s="50" t="s">
        <v>205</v>
      </c>
      <c r="D3572" s="50" t="s">
        <v>2185</v>
      </c>
      <c r="E3572" s="50" t="n">
        <v>3</v>
      </c>
      <c r="F3572" s="50" t="s">
        <v>2174</v>
      </c>
      <c r="G3572" s="54" t="n">
        <v>2352100</v>
      </c>
    </row>
    <row r="3573" customFormat="false" ht="15" hidden="false" customHeight="false" outlineLevel="0" collapsed="false">
      <c r="A3573" s="50" t="s">
        <v>1309</v>
      </c>
      <c r="B3573" s="51" t="n">
        <v>45875</v>
      </c>
      <c r="C3573" s="50" t="s">
        <v>166</v>
      </c>
      <c r="D3573" s="50" t="s">
        <v>2179</v>
      </c>
      <c r="E3573" s="50" t="n">
        <v>6</v>
      </c>
      <c r="F3573" s="50" t="s">
        <v>2174</v>
      </c>
      <c r="G3573" s="54" t="n">
        <v>7251600</v>
      </c>
    </row>
    <row r="3574" customFormat="false" ht="15" hidden="false" customHeight="false" outlineLevel="0" collapsed="false">
      <c r="A3574" s="50" t="s">
        <v>1309</v>
      </c>
      <c r="B3574" s="51" t="n">
        <v>45875</v>
      </c>
      <c r="C3574" s="50" t="s">
        <v>166</v>
      </c>
      <c r="D3574" s="50" t="s">
        <v>2169</v>
      </c>
      <c r="E3574" s="50" t="n">
        <v>3</v>
      </c>
      <c r="F3574" s="50" t="s">
        <v>2167</v>
      </c>
      <c r="G3574" s="54" t="n">
        <v>1869800</v>
      </c>
    </row>
    <row r="3575" customFormat="false" ht="15" hidden="false" customHeight="false" outlineLevel="0" collapsed="false">
      <c r="A3575" s="50" t="s">
        <v>1309</v>
      </c>
      <c r="B3575" s="51" t="n">
        <v>45875</v>
      </c>
      <c r="C3575" s="50" t="s">
        <v>166</v>
      </c>
      <c r="D3575" s="50" t="s">
        <v>2183</v>
      </c>
      <c r="E3575" s="50" t="n">
        <v>7</v>
      </c>
      <c r="F3575" s="50" t="s">
        <v>2167</v>
      </c>
      <c r="G3575" s="54" t="n">
        <v>2691800</v>
      </c>
    </row>
    <row r="3576" customFormat="false" ht="15" hidden="false" customHeight="false" outlineLevel="0" collapsed="false">
      <c r="A3576" s="50" t="s">
        <v>1309</v>
      </c>
      <c r="B3576" s="51" t="n">
        <v>45875</v>
      </c>
      <c r="C3576" s="50" t="s">
        <v>166</v>
      </c>
      <c r="D3576" s="50" t="s">
        <v>2178</v>
      </c>
      <c r="E3576" s="50" t="n">
        <v>4</v>
      </c>
      <c r="F3576" s="50" t="s">
        <v>2167</v>
      </c>
      <c r="G3576" s="54" t="n">
        <v>1898900</v>
      </c>
    </row>
    <row r="3577" customFormat="false" ht="15" hidden="false" customHeight="false" outlineLevel="0" collapsed="false">
      <c r="A3577" s="50" t="s">
        <v>1309</v>
      </c>
      <c r="B3577" s="51" t="n">
        <v>45875</v>
      </c>
      <c r="C3577" s="50" t="s">
        <v>166</v>
      </c>
      <c r="D3577" s="50" t="s">
        <v>2180</v>
      </c>
      <c r="E3577" s="50" t="n">
        <v>5</v>
      </c>
      <c r="F3577" s="50" t="s">
        <v>2167</v>
      </c>
      <c r="G3577" s="54" t="n">
        <v>2337900</v>
      </c>
    </row>
    <row r="3578" customFormat="false" ht="15" hidden="false" customHeight="false" outlineLevel="0" collapsed="false">
      <c r="A3578" s="50" t="s">
        <v>1310</v>
      </c>
      <c r="B3578" s="51" t="n">
        <v>45875</v>
      </c>
      <c r="C3578" s="50" t="s">
        <v>223</v>
      </c>
      <c r="D3578" s="50" t="s">
        <v>2185</v>
      </c>
      <c r="E3578" s="50" t="n">
        <v>6</v>
      </c>
      <c r="F3578" s="50" t="s">
        <v>2174</v>
      </c>
      <c r="G3578" s="54" t="n">
        <v>4645300</v>
      </c>
    </row>
    <row r="3579" customFormat="false" ht="15" hidden="false" customHeight="false" outlineLevel="0" collapsed="false">
      <c r="A3579" s="50" t="s">
        <v>1310</v>
      </c>
      <c r="B3579" s="51" t="n">
        <v>45875</v>
      </c>
      <c r="C3579" s="50" t="s">
        <v>223</v>
      </c>
      <c r="D3579" s="50" t="s">
        <v>2173</v>
      </c>
      <c r="E3579" s="50" t="n">
        <v>4</v>
      </c>
      <c r="F3579" s="50" t="s">
        <v>2174</v>
      </c>
      <c r="G3579" s="54" t="n">
        <v>3255700</v>
      </c>
    </row>
    <row r="3580" customFormat="false" ht="15" hidden="false" customHeight="false" outlineLevel="0" collapsed="false">
      <c r="A3580" s="50" t="s">
        <v>1310</v>
      </c>
      <c r="B3580" s="51" t="n">
        <v>45875</v>
      </c>
      <c r="C3580" s="50" t="s">
        <v>223</v>
      </c>
      <c r="D3580" s="50" t="s">
        <v>2179</v>
      </c>
      <c r="E3580" s="50" t="n">
        <v>2</v>
      </c>
      <c r="F3580" s="50" t="s">
        <v>2174</v>
      </c>
      <c r="G3580" s="54" t="n">
        <v>2564600</v>
      </c>
    </row>
    <row r="3581" customFormat="false" ht="15" hidden="false" customHeight="false" outlineLevel="0" collapsed="false">
      <c r="A3581" s="50" t="s">
        <v>1310</v>
      </c>
      <c r="B3581" s="51" t="n">
        <v>45875</v>
      </c>
      <c r="C3581" s="50" t="s">
        <v>223</v>
      </c>
      <c r="D3581" s="50" t="s">
        <v>2168</v>
      </c>
      <c r="E3581" s="50" t="n">
        <v>8</v>
      </c>
      <c r="F3581" s="50" t="s">
        <v>2167</v>
      </c>
      <c r="G3581" s="54" t="n">
        <v>3367400</v>
      </c>
    </row>
    <row r="3582" customFormat="false" ht="15" hidden="false" customHeight="false" outlineLevel="0" collapsed="false">
      <c r="A3582" s="50" t="s">
        <v>1310</v>
      </c>
      <c r="B3582" s="51" t="n">
        <v>45875</v>
      </c>
      <c r="C3582" s="50" t="s">
        <v>223</v>
      </c>
      <c r="D3582" s="50" t="s">
        <v>2178</v>
      </c>
      <c r="E3582" s="50" t="n">
        <v>2</v>
      </c>
      <c r="F3582" s="50" t="s">
        <v>2167</v>
      </c>
      <c r="G3582" s="54" t="n">
        <v>994000</v>
      </c>
    </row>
    <row r="3583" customFormat="false" ht="15" hidden="false" customHeight="false" outlineLevel="0" collapsed="false">
      <c r="A3583" s="50" t="s">
        <v>1311</v>
      </c>
      <c r="B3583" s="51" t="n">
        <v>45875</v>
      </c>
      <c r="C3583" s="50" t="s">
        <v>193</v>
      </c>
      <c r="D3583" s="50" t="s">
        <v>2176</v>
      </c>
      <c r="E3583" s="50" t="n">
        <v>8</v>
      </c>
      <c r="F3583" s="50" t="s">
        <v>2167</v>
      </c>
      <c r="G3583" s="54" t="n">
        <v>3391100</v>
      </c>
    </row>
    <row r="3584" customFormat="false" ht="15" hidden="false" customHeight="false" outlineLevel="0" collapsed="false">
      <c r="A3584" s="50" t="s">
        <v>1311</v>
      </c>
      <c r="B3584" s="51" t="n">
        <v>45875</v>
      </c>
      <c r="C3584" s="50" t="s">
        <v>193</v>
      </c>
      <c r="D3584" s="50" t="s">
        <v>2180</v>
      </c>
      <c r="E3584" s="50" t="n">
        <v>5</v>
      </c>
      <c r="F3584" s="50" t="s">
        <v>2167</v>
      </c>
      <c r="G3584" s="54" t="n">
        <v>2190000</v>
      </c>
    </row>
    <row r="3585" customFormat="false" ht="15" hidden="false" customHeight="false" outlineLevel="0" collapsed="false">
      <c r="A3585" s="50" t="s">
        <v>1311</v>
      </c>
      <c r="B3585" s="51" t="n">
        <v>45875</v>
      </c>
      <c r="C3585" s="50" t="s">
        <v>193</v>
      </c>
      <c r="D3585" s="50" t="s">
        <v>2169</v>
      </c>
      <c r="E3585" s="50" t="n">
        <v>4</v>
      </c>
      <c r="F3585" s="50" t="s">
        <v>2167</v>
      </c>
      <c r="G3585" s="54" t="n">
        <v>2433400</v>
      </c>
    </row>
    <row r="3586" customFormat="false" ht="15" hidden="false" customHeight="false" outlineLevel="0" collapsed="false">
      <c r="A3586" s="50" t="s">
        <v>1312</v>
      </c>
      <c r="B3586" s="51" t="n">
        <v>45876</v>
      </c>
      <c r="C3586" s="50" t="s">
        <v>293</v>
      </c>
      <c r="D3586" s="50" t="s">
        <v>2182</v>
      </c>
      <c r="E3586" s="50" t="n">
        <v>1</v>
      </c>
      <c r="F3586" s="50" t="s">
        <v>2174</v>
      </c>
      <c r="G3586" s="54" t="n">
        <v>948900</v>
      </c>
    </row>
    <row r="3587" customFormat="false" ht="15" hidden="false" customHeight="false" outlineLevel="0" collapsed="false">
      <c r="A3587" s="50" t="s">
        <v>1313</v>
      </c>
      <c r="B3587" s="51" t="n">
        <v>45876</v>
      </c>
      <c r="C3587" s="50" t="s">
        <v>505</v>
      </c>
      <c r="D3587" s="50" t="s">
        <v>2168</v>
      </c>
      <c r="E3587" s="50" t="n">
        <v>8</v>
      </c>
      <c r="F3587" s="50" t="s">
        <v>2167</v>
      </c>
      <c r="G3587" s="54" t="n">
        <v>3494600</v>
      </c>
    </row>
    <row r="3588" customFormat="false" ht="15" hidden="false" customHeight="false" outlineLevel="0" collapsed="false">
      <c r="A3588" s="50" t="s">
        <v>1313</v>
      </c>
      <c r="B3588" s="51" t="n">
        <v>45876</v>
      </c>
      <c r="C3588" s="50" t="s">
        <v>505</v>
      </c>
      <c r="D3588" s="50" t="s">
        <v>2179</v>
      </c>
      <c r="E3588" s="50" t="n">
        <v>8</v>
      </c>
      <c r="F3588" s="50" t="s">
        <v>2174</v>
      </c>
      <c r="G3588" s="54" t="n">
        <v>9973100</v>
      </c>
    </row>
    <row r="3589" customFormat="false" ht="15" hidden="false" customHeight="false" outlineLevel="0" collapsed="false">
      <c r="A3589" s="50" t="s">
        <v>1313</v>
      </c>
      <c r="B3589" s="51" t="n">
        <v>45876</v>
      </c>
      <c r="C3589" s="50" t="s">
        <v>505</v>
      </c>
      <c r="D3589" s="50" t="s">
        <v>2181</v>
      </c>
      <c r="E3589" s="50" t="n">
        <v>7</v>
      </c>
      <c r="F3589" s="50" t="s">
        <v>2167</v>
      </c>
      <c r="G3589" s="54" t="n">
        <v>8354600</v>
      </c>
    </row>
    <row r="3590" customFormat="false" ht="15" hidden="false" customHeight="false" outlineLevel="0" collapsed="false">
      <c r="A3590" s="50" t="s">
        <v>1314</v>
      </c>
      <c r="B3590" s="51" t="n">
        <v>45876</v>
      </c>
      <c r="C3590" s="50" t="s">
        <v>174</v>
      </c>
      <c r="D3590" s="50" t="s">
        <v>2184</v>
      </c>
      <c r="E3590" s="50" t="n">
        <v>5</v>
      </c>
      <c r="F3590" s="50" t="s">
        <v>2167</v>
      </c>
      <c r="G3590" s="54" t="n">
        <v>2752700</v>
      </c>
    </row>
    <row r="3591" customFormat="false" ht="15" hidden="false" customHeight="false" outlineLevel="0" collapsed="false">
      <c r="A3591" s="50" t="s">
        <v>1314</v>
      </c>
      <c r="B3591" s="51" t="n">
        <v>45876</v>
      </c>
      <c r="C3591" s="50" t="s">
        <v>174</v>
      </c>
      <c r="D3591" s="50" t="s">
        <v>2179</v>
      </c>
      <c r="E3591" s="50" t="n">
        <v>4</v>
      </c>
      <c r="F3591" s="50" t="s">
        <v>2174</v>
      </c>
      <c r="G3591" s="54" t="n">
        <v>4963000</v>
      </c>
    </row>
    <row r="3592" customFormat="false" ht="15" hidden="false" customHeight="false" outlineLevel="0" collapsed="false">
      <c r="A3592" s="50" t="s">
        <v>1314</v>
      </c>
      <c r="B3592" s="51" t="n">
        <v>45876</v>
      </c>
      <c r="C3592" s="50" t="s">
        <v>174</v>
      </c>
      <c r="D3592" s="50" t="s">
        <v>2169</v>
      </c>
      <c r="E3592" s="50" t="n">
        <v>6</v>
      </c>
      <c r="F3592" s="50" t="s">
        <v>2167</v>
      </c>
      <c r="G3592" s="54" t="n">
        <v>3836300</v>
      </c>
    </row>
    <row r="3593" customFormat="false" ht="15" hidden="false" customHeight="false" outlineLevel="0" collapsed="false">
      <c r="A3593" s="50" t="s">
        <v>1315</v>
      </c>
      <c r="B3593" s="51" t="n">
        <v>45876</v>
      </c>
      <c r="C3593" s="50" t="s">
        <v>174</v>
      </c>
      <c r="D3593" s="50" t="s">
        <v>2175</v>
      </c>
      <c r="E3593" s="50" t="n">
        <v>7</v>
      </c>
      <c r="F3593" s="50" t="s">
        <v>2167</v>
      </c>
      <c r="G3593" s="54" t="n">
        <v>4520300</v>
      </c>
    </row>
    <row r="3594" customFormat="false" ht="15" hidden="false" customHeight="false" outlineLevel="0" collapsed="false">
      <c r="A3594" s="50" t="s">
        <v>1315</v>
      </c>
      <c r="B3594" s="51" t="n">
        <v>45876</v>
      </c>
      <c r="C3594" s="50" t="s">
        <v>174</v>
      </c>
      <c r="D3594" s="50" t="s">
        <v>2173</v>
      </c>
      <c r="E3594" s="50" t="n">
        <v>7</v>
      </c>
      <c r="F3594" s="50" t="s">
        <v>2174</v>
      </c>
      <c r="G3594" s="54" t="n">
        <v>5469400</v>
      </c>
    </row>
    <row r="3595" customFormat="false" ht="15" hidden="false" customHeight="false" outlineLevel="0" collapsed="false">
      <c r="A3595" s="50" t="s">
        <v>1315</v>
      </c>
      <c r="B3595" s="51" t="n">
        <v>45876</v>
      </c>
      <c r="C3595" s="50" t="s">
        <v>174</v>
      </c>
      <c r="D3595" s="50" t="s">
        <v>2176</v>
      </c>
      <c r="E3595" s="50" t="n">
        <v>4</v>
      </c>
      <c r="F3595" s="50" t="s">
        <v>2167</v>
      </c>
      <c r="G3595" s="54" t="n">
        <v>1710600</v>
      </c>
    </row>
    <row r="3596" customFormat="false" ht="15" hidden="false" customHeight="false" outlineLevel="0" collapsed="false">
      <c r="A3596" s="50" t="s">
        <v>1315</v>
      </c>
      <c r="B3596" s="51" t="n">
        <v>45876</v>
      </c>
      <c r="C3596" s="50" t="s">
        <v>174</v>
      </c>
      <c r="D3596" s="50" t="s">
        <v>2186</v>
      </c>
      <c r="E3596" s="50" t="n">
        <v>7</v>
      </c>
      <c r="F3596" s="50" t="s">
        <v>2167</v>
      </c>
      <c r="G3596" s="54" t="n">
        <v>4166600</v>
      </c>
    </row>
    <row r="3597" customFormat="false" ht="15" hidden="false" customHeight="false" outlineLevel="0" collapsed="false">
      <c r="A3597" s="50" t="s">
        <v>1315</v>
      </c>
      <c r="B3597" s="51" t="n">
        <v>45876</v>
      </c>
      <c r="C3597" s="50" t="s">
        <v>174</v>
      </c>
      <c r="D3597" s="50" t="s">
        <v>2184</v>
      </c>
      <c r="E3597" s="50" t="n">
        <v>5</v>
      </c>
      <c r="F3597" s="50" t="s">
        <v>2167</v>
      </c>
      <c r="G3597" s="54" t="n">
        <v>2724300</v>
      </c>
    </row>
    <row r="3598" customFormat="false" ht="15" hidden="false" customHeight="false" outlineLevel="0" collapsed="false">
      <c r="A3598" s="50" t="s">
        <v>1315</v>
      </c>
      <c r="B3598" s="51" t="n">
        <v>45876</v>
      </c>
      <c r="C3598" s="50" t="s">
        <v>174</v>
      </c>
      <c r="D3598" s="50" t="s">
        <v>2180</v>
      </c>
      <c r="E3598" s="50" t="n">
        <v>1</v>
      </c>
      <c r="F3598" s="50" t="s">
        <v>2167</v>
      </c>
      <c r="G3598" s="54" t="n">
        <v>454900</v>
      </c>
    </row>
    <row r="3599" customFormat="false" ht="15" hidden="false" customHeight="false" outlineLevel="0" collapsed="false">
      <c r="A3599" s="50" t="s">
        <v>1315</v>
      </c>
      <c r="B3599" s="51" t="n">
        <v>45876</v>
      </c>
      <c r="C3599" s="50" t="s">
        <v>174</v>
      </c>
      <c r="D3599" s="50" t="s">
        <v>2168</v>
      </c>
      <c r="E3599" s="50" t="n">
        <v>3</v>
      </c>
      <c r="F3599" s="50" t="s">
        <v>2167</v>
      </c>
      <c r="G3599" s="54" t="n">
        <v>1340500</v>
      </c>
    </row>
    <row r="3600" customFormat="false" ht="15" hidden="false" customHeight="false" outlineLevel="0" collapsed="false">
      <c r="A3600" s="50" t="s">
        <v>1315</v>
      </c>
      <c r="B3600" s="51" t="n">
        <v>45876</v>
      </c>
      <c r="C3600" s="50" t="s">
        <v>174</v>
      </c>
      <c r="D3600" s="50" t="s">
        <v>2177</v>
      </c>
      <c r="E3600" s="50" t="n">
        <v>7</v>
      </c>
      <c r="F3600" s="50" t="s">
        <v>2174</v>
      </c>
      <c r="G3600" s="54" t="n">
        <v>7830000</v>
      </c>
    </row>
    <row r="3601" customFormat="false" ht="15" hidden="false" customHeight="false" outlineLevel="0" collapsed="false">
      <c r="A3601" s="50" t="s">
        <v>1315</v>
      </c>
      <c r="B3601" s="51" t="n">
        <v>45876</v>
      </c>
      <c r="C3601" s="50" t="s">
        <v>174</v>
      </c>
      <c r="D3601" s="50" t="s">
        <v>2182</v>
      </c>
      <c r="E3601" s="50" t="n">
        <v>6</v>
      </c>
      <c r="F3601" s="50" t="s">
        <v>2174</v>
      </c>
      <c r="G3601" s="54" t="n">
        <v>5701200</v>
      </c>
    </row>
    <row r="3602" customFormat="false" ht="15" hidden="false" customHeight="false" outlineLevel="0" collapsed="false">
      <c r="A3602" s="50" t="s">
        <v>1316</v>
      </c>
      <c r="B3602" s="51" t="n">
        <v>45876</v>
      </c>
      <c r="C3602" s="50" t="s">
        <v>199</v>
      </c>
      <c r="D3602" s="50" t="s">
        <v>2179</v>
      </c>
      <c r="E3602" s="50" t="n">
        <v>5</v>
      </c>
      <c r="F3602" s="50" t="s">
        <v>2174</v>
      </c>
      <c r="G3602" s="54" t="n">
        <v>6017700</v>
      </c>
    </row>
    <row r="3603" customFormat="false" ht="15" hidden="false" customHeight="false" outlineLevel="0" collapsed="false">
      <c r="A3603" s="50" t="s">
        <v>1316</v>
      </c>
      <c r="B3603" s="51" t="n">
        <v>45876</v>
      </c>
      <c r="C3603" s="50" t="s">
        <v>199</v>
      </c>
      <c r="D3603" s="50" t="s">
        <v>2184</v>
      </c>
      <c r="E3603" s="50" t="n">
        <v>5</v>
      </c>
      <c r="F3603" s="50" t="s">
        <v>2167</v>
      </c>
      <c r="G3603" s="54" t="n">
        <v>2720200</v>
      </c>
    </row>
    <row r="3604" customFormat="false" ht="15" hidden="false" customHeight="false" outlineLevel="0" collapsed="false">
      <c r="A3604" s="50" t="s">
        <v>1317</v>
      </c>
      <c r="B3604" s="51" t="n">
        <v>45876</v>
      </c>
      <c r="C3604" s="50" t="s">
        <v>358</v>
      </c>
      <c r="D3604" s="50" t="s">
        <v>2180</v>
      </c>
      <c r="E3604" s="50" t="n">
        <v>5</v>
      </c>
      <c r="F3604" s="50" t="s">
        <v>2167</v>
      </c>
      <c r="G3604" s="54" t="n">
        <v>2287700</v>
      </c>
    </row>
    <row r="3605" customFormat="false" ht="15" hidden="false" customHeight="false" outlineLevel="0" collapsed="false">
      <c r="A3605" s="50" t="s">
        <v>1317</v>
      </c>
      <c r="B3605" s="51" t="n">
        <v>45876</v>
      </c>
      <c r="C3605" s="50" t="s">
        <v>358</v>
      </c>
      <c r="D3605" s="50" t="s">
        <v>2178</v>
      </c>
      <c r="E3605" s="50" t="n">
        <v>5</v>
      </c>
      <c r="F3605" s="50" t="s">
        <v>2167</v>
      </c>
      <c r="G3605" s="54" t="n">
        <v>2410100</v>
      </c>
    </row>
    <row r="3606" customFormat="false" ht="15" hidden="false" customHeight="false" outlineLevel="0" collapsed="false">
      <c r="A3606" s="50" t="s">
        <v>1318</v>
      </c>
      <c r="B3606" s="51" t="n">
        <v>45876</v>
      </c>
      <c r="C3606" s="50" t="s">
        <v>205</v>
      </c>
      <c r="D3606" s="50" t="s">
        <v>2184</v>
      </c>
      <c r="E3606" s="50" t="n">
        <v>5</v>
      </c>
      <c r="F3606" s="50" t="s">
        <v>2167</v>
      </c>
      <c r="G3606" s="54" t="n">
        <v>2858800</v>
      </c>
    </row>
    <row r="3607" customFormat="false" ht="15" hidden="false" customHeight="false" outlineLevel="0" collapsed="false">
      <c r="A3607" s="50" t="s">
        <v>1318</v>
      </c>
      <c r="B3607" s="51" t="n">
        <v>45876</v>
      </c>
      <c r="C3607" s="50" t="s">
        <v>205</v>
      </c>
      <c r="D3607" s="50" t="s">
        <v>2172</v>
      </c>
      <c r="E3607" s="50" t="n">
        <v>2</v>
      </c>
      <c r="F3607" s="50" t="s">
        <v>2167</v>
      </c>
      <c r="G3607" s="54" t="n">
        <v>1004900</v>
      </c>
    </row>
    <row r="3608" customFormat="false" ht="15" hidden="false" customHeight="false" outlineLevel="0" collapsed="false">
      <c r="A3608" s="50" t="s">
        <v>1318</v>
      </c>
      <c r="B3608" s="51" t="n">
        <v>45876</v>
      </c>
      <c r="C3608" s="50" t="s">
        <v>205</v>
      </c>
      <c r="D3608" s="50" t="s">
        <v>2173</v>
      </c>
      <c r="E3608" s="50" t="n">
        <v>8</v>
      </c>
      <c r="F3608" s="50" t="s">
        <v>2174</v>
      </c>
      <c r="G3608" s="54" t="n">
        <v>6199100</v>
      </c>
    </row>
    <row r="3609" customFormat="false" ht="15" hidden="false" customHeight="false" outlineLevel="0" collapsed="false">
      <c r="A3609" s="50" t="s">
        <v>1318</v>
      </c>
      <c r="B3609" s="51" t="n">
        <v>45876</v>
      </c>
      <c r="C3609" s="50" t="s">
        <v>205</v>
      </c>
      <c r="D3609" s="50" t="s">
        <v>2186</v>
      </c>
      <c r="E3609" s="50" t="n">
        <v>3</v>
      </c>
      <c r="F3609" s="50" t="s">
        <v>2167</v>
      </c>
      <c r="G3609" s="54" t="n">
        <v>1756300</v>
      </c>
    </row>
    <row r="3610" customFormat="false" ht="15" hidden="false" customHeight="false" outlineLevel="0" collapsed="false">
      <c r="A3610" s="50" t="s">
        <v>1319</v>
      </c>
      <c r="B3610" s="51" t="n">
        <v>45876</v>
      </c>
      <c r="C3610" s="50" t="s">
        <v>590</v>
      </c>
      <c r="D3610" s="50" t="s">
        <v>2176</v>
      </c>
      <c r="E3610" s="50" t="n">
        <v>1</v>
      </c>
      <c r="F3610" s="50" t="s">
        <v>2167</v>
      </c>
      <c r="G3610" s="54" t="n">
        <v>416800</v>
      </c>
    </row>
    <row r="3611" customFormat="false" ht="15" hidden="false" customHeight="false" outlineLevel="0" collapsed="false">
      <c r="A3611" s="50" t="s">
        <v>1320</v>
      </c>
      <c r="B3611" s="51" t="n">
        <v>45876</v>
      </c>
      <c r="C3611" s="50" t="s">
        <v>358</v>
      </c>
      <c r="D3611" s="50" t="s">
        <v>2186</v>
      </c>
      <c r="E3611" s="50" t="n">
        <v>6</v>
      </c>
      <c r="F3611" s="50" t="s">
        <v>2167</v>
      </c>
      <c r="G3611" s="54" t="n">
        <v>3480700</v>
      </c>
    </row>
    <row r="3612" customFormat="false" ht="15" hidden="false" customHeight="false" outlineLevel="0" collapsed="false">
      <c r="A3612" s="50" t="s">
        <v>1320</v>
      </c>
      <c r="B3612" s="51" t="n">
        <v>45876</v>
      </c>
      <c r="C3612" s="50" t="s">
        <v>358</v>
      </c>
      <c r="D3612" s="50" t="s">
        <v>2169</v>
      </c>
      <c r="E3612" s="50" t="n">
        <v>3</v>
      </c>
      <c r="F3612" s="50" t="s">
        <v>2167</v>
      </c>
      <c r="G3612" s="54" t="n">
        <v>1797500</v>
      </c>
    </row>
    <row r="3613" customFormat="false" ht="15" hidden="false" customHeight="false" outlineLevel="0" collapsed="false">
      <c r="A3613" s="50" t="s">
        <v>1320</v>
      </c>
      <c r="B3613" s="51" t="n">
        <v>45876</v>
      </c>
      <c r="C3613" s="50" t="s">
        <v>358</v>
      </c>
      <c r="D3613" s="50" t="s">
        <v>2173</v>
      </c>
      <c r="E3613" s="50" t="n">
        <v>6</v>
      </c>
      <c r="F3613" s="50" t="s">
        <v>2174</v>
      </c>
      <c r="G3613" s="54" t="n">
        <v>4740200</v>
      </c>
    </row>
    <row r="3614" customFormat="false" ht="15" hidden="false" customHeight="false" outlineLevel="0" collapsed="false">
      <c r="A3614" s="50" t="s">
        <v>1321</v>
      </c>
      <c r="B3614" s="51" t="n">
        <v>45876</v>
      </c>
      <c r="C3614" s="50" t="s">
        <v>193</v>
      </c>
      <c r="D3614" s="50" t="s">
        <v>2168</v>
      </c>
      <c r="E3614" s="50" t="n">
        <v>3</v>
      </c>
      <c r="F3614" s="50" t="s">
        <v>2167</v>
      </c>
      <c r="G3614" s="54" t="n">
        <v>1269800</v>
      </c>
    </row>
    <row r="3615" customFormat="false" ht="15" hidden="false" customHeight="false" outlineLevel="0" collapsed="false">
      <c r="A3615" s="50" t="s">
        <v>1321</v>
      </c>
      <c r="B3615" s="51" t="n">
        <v>45876</v>
      </c>
      <c r="C3615" s="50" t="s">
        <v>193</v>
      </c>
      <c r="D3615" s="50" t="s">
        <v>2180</v>
      </c>
      <c r="E3615" s="50" t="n">
        <v>3</v>
      </c>
      <c r="F3615" s="50" t="s">
        <v>2167</v>
      </c>
      <c r="G3615" s="54" t="n">
        <v>1360200</v>
      </c>
    </row>
    <row r="3616" customFormat="false" ht="15" hidden="false" customHeight="false" outlineLevel="0" collapsed="false">
      <c r="A3616" s="50" t="s">
        <v>1322</v>
      </c>
      <c r="B3616" s="51" t="n">
        <v>45877</v>
      </c>
      <c r="C3616" s="50" t="s">
        <v>838</v>
      </c>
      <c r="D3616" s="50" t="s">
        <v>2179</v>
      </c>
      <c r="E3616" s="50" t="n">
        <v>7</v>
      </c>
      <c r="F3616" s="50" t="s">
        <v>2174</v>
      </c>
      <c r="G3616" s="54" t="n">
        <v>9028900</v>
      </c>
    </row>
    <row r="3617" customFormat="false" ht="15" hidden="false" customHeight="false" outlineLevel="0" collapsed="false">
      <c r="A3617" s="50" t="s">
        <v>1322</v>
      </c>
      <c r="B3617" s="51" t="n">
        <v>45877</v>
      </c>
      <c r="C3617" s="50" t="s">
        <v>838</v>
      </c>
      <c r="D3617" s="50" t="s">
        <v>2177</v>
      </c>
      <c r="E3617" s="50" t="n">
        <v>5</v>
      </c>
      <c r="F3617" s="50" t="s">
        <v>2174</v>
      </c>
      <c r="G3617" s="54" t="n">
        <v>5401800</v>
      </c>
    </row>
    <row r="3618" customFormat="false" ht="15" hidden="false" customHeight="false" outlineLevel="0" collapsed="false">
      <c r="A3618" s="50" t="s">
        <v>1322</v>
      </c>
      <c r="B3618" s="51" t="n">
        <v>45877</v>
      </c>
      <c r="C3618" s="50" t="s">
        <v>838</v>
      </c>
      <c r="D3618" s="50" t="s">
        <v>2184</v>
      </c>
      <c r="E3618" s="50" t="n">
        <v>8</v>
      </c>
      <c r="F3618" s="50" t="s">
        <v>2167</v>
      </c>
      <c r="G3618" s="54" t="n">
        <v>4357300</v>
      </c>
    </row>
    <row r="3619" customFormat="false" ht="15" hidden="false" customHeight="false" outlineLevel="0" collapsed="false">
      <c r="A3619" s="50" t="s">
        <v>1323</v>
      </c>
      <c r="B3619" s="51" t="n">
        <v>45877</v>
      </c>
      <c r="C3619" s="50" t="s">
        <v>228</v>
      </c>
      <c r="D3619" s="50" t="s">
        <v>2177</v>
      </c>
      <c r="E3619" s="50" t="n">
        <v>6</v>
      </c>
      <c r="F3619" s="50" t="s">
        <v>2174</v>
      </c>
      <c r="G3619" s="54" t="n">
        <v>6824800</v>
      </c>
    </row>
    <row r="3620" customFormat="false" ht="15" hidden="false" customHeight="false" outlineLevel="0" collapsed="false">
      <c r="A3620" s="50" t="s">
        <v>1324</v>
      </c>
      <c r="B3620" s="51" t="n">
        <v>45877</v>
      </c>
      <c r="C3620" s="50" t="s">
        <v>199</v>
      </c>
      <c r="D3620" s="50" t="s">
        <v>2182</v>
      </c>
      <c r="E3620" s="50" t="n">
        <v>6</v>
      </c>
      <c r="F3620" s="50" t="s">
        <v>2174</v>
      </c>
      <c r="G3620" s="54" t="n">
        <v>5515400</v>
      </c>
    </row>
    <row r="3621" customFormat="false" ht="15" hidden="false" customHeight="false" outlineLevel="0" collapsed="false">
      <c r="A3621" s="50" t="s">
        <v>1324</v>
      </c>
      <c r="B3621" s="51" t="n">
        <v>45877</v>
      </c>
      <c r="C3621" s="50" t="s">
        <v>199</v>
      </c>
      <c r="D3621" s="50" t="s">
        <v>2184</v>
      </c>
      <c r="E3621" s="50" t="n">
        <v>5</v>
      </c>
      <c r="F3621" s="50" t="s">
        <v>2167</v>
      </c>
      <c r="G3621" s="54" t="n">
        <v>2722000</v>
      </c>
    </row>
    <row r="3622" customFormat="false" ht="15" hidden="false" customHeight="false" outlineLevel="0" collapsed="false">
      <c r="A3622" s="50" t="s">
        <v>1324</v>
      </c>
      <c r="B3622" s="51" t="n">
        <v>45877</v>
      </c>
      <c r="C3622" s="50" t="s">
        <v>199</v>
      </c>
      <c r="D3622" s="50" t="s">
        <v>2183</v>
      </c>
      <c r="E3622" s="50" t="n">
        <v>7</v>
      </c>
      <c r="F3622" s="50" t="s">
        <v>2167</v>
      </c>
      <c r="G3622" s="54" t="n">
        <v>2634000</v>
      </c>
    </row>
    <row r="3623" customFormat="false" ht="15" hidden="false" customHeight="false" outlineLevel="0" collapsed="false">
      <c r="A3623" s="50" t="s">
        <v>1324</v>
      </c>
      <c r="B3623" s="51" t="n">
        <v>45877</v>
      </c>
      <c r="C3623" s="50" t="s">
        <v>199</v>
      </c>
      <c r="D3623" s="50" t="s">
        <v>2178</v>
      </c>
      <c r="E3623" s="50" t="n">
        <v>1</v>
      </c>
      <c r="F3623" s="50" t="s">
        <v>2167</v>
      </c>
      <c r="G3623" s="54" t="n">
        <v>465700</v>
      </c>
    </row>
    <row r="3624" customFormat="false" ht="15" hidden="false" customHeight="false" outlineLevel="0" collapsed="false">
      <c r="A3624" s="50" t="s">
        <v>1325</v>
      </c>
      <c r="B3624" s="51" t="n">
        <v>45877</v>
      </c>
      <c r="C3624" s="50" t="s">
        <v>207</v>
      </c>
      <c r="D3624" s="50" t="s">
        <v>2172</v>
      </c>
      <c r="E3624" s="50" t="n">
        <v>8</v>
      </c>
      <c r="F3624" s="50" t="s">
        <v>2167</v>
      </c>
      <c r="G3624" s="54" t="n">
        <v>4172500</v>
      </c>
    </row>
    <row r="3625" customFormat="false" ht="15" hidden="false" customHeight="false" outlineLevel="0" collapsed="false">
      <c r="A3625" s="50" t="s">
        <v>1325</v>
      </c>
      <c r="B3625" s="51" t="n">
        <v>45877</v>
      </c>
      <c r="C3625" s="50" t="s">
        <v>207</v>
      </c>
      <c r="D3625" s="50" t="s">
        <v>2184</v>
      </c>
      <c r="E3625" s="50" t="n">
        <v>5</v>
      </c>
      <c r="F3625" s="50" t="s">
        <v>2167</v>
      </c>
      <c r="G3625" s="54" t="n">
        <v>2712600</v>
      </c>
    </row>
    <row r="3626" customFormat="false" ht="15" hidden="false" customHeight="false" outlineLevel="0" collapsed="false">
      <c r="A3626" s="50" t="s">
        <v>1325</v>
      </c>
      <c r="B3626" s="51" t="n">
        <v>45877</v>
      </c>
      <c r="C3626" s="50" t="s">
        <v>207</v>
      </c>
      <c r="D3626" s="50" t="s">
        <v>2168</v>
      </c>
      <c r="E3626" s="50" t="n">
        <v>5</v>
      </c>
      <c r="F3626" s="50" t="s">
        <v>2167</v>
      </c>
      <c r="G3626" s="54" t="n">
        <v>2229400</v>
      </c>
    </row>
    <row r="3627" customFormat="false" ht="15" hidden="false" customHeight="false" outlineLevel="0" collapsed="false">
      <c r="A3627" s="50" t="s">
        <v>1326</v>
      </c>
      <c r="B3627" s="51" t="n">
        <v>45878</v>
      </c>
      <c r="C3627" s="50" t="s">
        <v>289</v>
      </c>
      <c r="D3627" s="50" t="s">
        <v>2175</v>
      </c>
      <c r="E3627" s="50" t="n">
        <v>4</v>
      </c>
      <c r="F3627" s="50" t="s">
        <v>2167</v>
      </c>
      <c r="G3627" s="54" t="n">
        <v>2565300</v>
      </c>
    </row>
    <row r="3628" customFormat="false" ht="15" hidden="false" customHeight="false" outlineLevel="0" collapsed="false">
      <c r="A3628" s="50" t="s">
        <v>1326</v>
      </c>
      <c r="B3628" s="51" t="n">
        <v>45878</v>
      </c>
      <c r="C3628" s="50" t="s">
        <v>289</v>
      </c>
      <c r="D3628" s="50" t="s">
        <v>2181</v>
      </c>
      <c r="E3628" s="50" t="n">
        <v>8</v>
      </c>
      <c r="F3628" s="50" t="s">
        <v>2167</v>
      </c>
      <c r="G3628" s="54" t="n">
        <v>9546400</v>
      </c>
    </row>
    <row r="3629" customFormat="false" ht="15" hidden="false" customHeight="false" outlineLevel="0" collapsed="false">
      <c r="A3629" s="50" t="s">
        <v>1326</v>
      </c>
      <c r="B3629" s="51" t="n">
        <v>45878</v>
      </c>
      <c r="C3629" s="50" t="s">
        <v>289</v>
      </c>
      <c r="D3629" s="50" t="s">
        <v>2176</v>
      </c>
      <c r="E3629" s="50" t="n">
        <v>4</v>
      </c>
      <c r="F3629" s="50" t="s">
        <v>2167</v>
      </c>
      <c r="G3629" s="54" t="n">
        <v>1666400</v>
      </c>
    </row>
    <row r="3630" customFormat="false" ht="15" hidden="false" customHeight="false" outlineLevel="0" collapsed="false">
      <c r="A3630" s="50" t="s">
        <v>1326</v>
      </c>
      <c r="B3630" s="51" t="n">
        <v>45878</v>
      </c>
      <c r="C3630" s="50" t="s">
        <v>289</v>
      </c>
      <c r="D3630" s="50" t="s">
        <v>2185</v>
      </c>
      <c r="E3630" s="50" t="n">
        <v>3</v>
      </c>
      <c r="F3630" s="50" t="s">
        <v>2174</v>
      </c>
      <c r="G3630" s="54" t="n">
        <v>2285300</v>
      </c>
    </row>
    <row r="3631" customFormat="false" ht="15" hidden="false" customHeight="false" outlineLevel="0" collapsed="false">
      <c r="A3631" s="50" t="s">
        <v>1326</v>
      </c>
      <c r="B3631" s="51" t="n">
        <v>45878</v>
      </c>
      <c r="C3631" s="50" t="s">
        <v>289</v>
      </c>
      <c r="D3631" s="50" t="s">
        <v>2169</v>
      </c>
      <c r="E3631" s="50" t="n">
        <v>3</v>
      </c>
      <c r="F3631" s="50" t="s">
        <v>2167</v>
      </c>
      <c r="G3631" s="54" t="n">
        <v>1907400</v>
      </c>
    </row>
    <row r="3632" customFormat="false" ht="15" hidden="false" customHeight="false" outlineLevel="0" collapsed="false">
      <c r="A3632" s="50" t="s">
        <v>1327</v>
      </c>
      <c r="B3632" s="51" t="n">
        <v>45878</v>
      </c>
      <c r="C3632" s="50" t="s">
        <v>278</v>
      </c>
      <c r="D3632" s="50" t="s">
        <v>2175</v>
      </c>
      <c r="E3632" s="50" t="n">
        <v>7</v>
      </c>
      <c r="F3632" s="50" t="s">
        <v>2167</v>
      </c>
      <c r="G3632" s="54" t="n">
        <v>4365200</v>
      </c>
    </row>
    <row r="3633" customFormat="false" ht="15" hidden="false" customHeight="false" outlineLevel="0" collapsed="false">
      <c r="A3633" s="50" t="s">
        <v>1327</v>
      </c>
      <c r="B3633" s="51" t="n">
        <v>45878</v>
      </c>
      <c r="C3633" s="50" t="s">
        <v>278</v>
      </c>
      <c r="D3633" s="50" t="s">
        <v>2184</v>
      </c>
      <c r="E3633" s="50" t="n">
        <v>8</v>
      </c>
      <c r="F3633" s="50" t="s">
        <v>2167</v>
      </c>
      <c r="G3633" s="54" t="n">
        <v>4471200</v>
      </c>
    </row>
    <row r="3634" customFormat="false" ht="15" hidden="false" customHeight="false" outlineLevel="0" collapsed="false">
      <c r="A3634" s="50" t="s">
        <v>1327</v>
      </c>
      <c r="B3634" s="51" t="n">
        <v>45878</v>
      </c>
      <c r="C3634" s="50" t="s">
        <v>278</v>
      </c>
      <c r="D3634" s="50" t="s">
        <v>2173</v>
      </c>
      <c r="E3634" s="50" t="n">
        <v>2</v>
      </c>
      <c r="F3634" s="50" t="s">
        <v>2174</v>
      </c>
      <c r="G3634" s="54" t="n">
        <v>1627600</v>
      </c>
    </row>
    <row r="3635" customFormat="false" ht="15" hidden="false" customHeight="false" outlineLevel="0" collapsed="false">
      <c r="A3635" s="50" t="s">
        <v>1327</v>
      </c>
      <c r="B3635" s="51" t="n">
        <v>45878</v>
      </c>
      <c r="C3635" s="50" t="s">
        <v>278</v>
      </c>
      <c r="D3635" s="50" t="s">
        <v>2181</v>
      </c>
      <c r="E3635" s="50" t="n">
        <v>8</v>
      </c>
      <c r="F3635" s="50" t="s">
        <v>2167</v>
      </c>
      <c r="G3635" s="54" t="n">
        <v>9357900</v>
      </c>
    </row>
    <row r="3636" customFormat="false" ht="15" hidden="false" customHeight="false" outlineLevel="0" collapsed="false">
      <c r="A3636" s="50" t="s">
        <v>1328</v>
      </c>
      <c r="B3636" s="51" t="n">
        <v>45878</v>
      </c>
      <c r="C3636" s="50" t="s">
        <v>286</v>
      </c>
      <c r="D3636" s="50" t="s">
        <v>2183</v>
      </c>
      <c r="E3636" s="50" t="n">
        <v>8</v>
      </c>
      <c r="F3636" s="50" t="s">
        <v>2167</v>
      </c>
      <c r="G3636" s="54" t="n">
        <v>3023100</v>
      </c>
    </row>
    <row r="3637" customFormat="false" ht="15" hidden="false" customHeight="false" outlineLevel="0" collapsed="false">
      <c r="A3637" s="50" t="s">
        <v>1328</v>
      </c>
      <c r="B3637" s="51" t="n">
        <v>45878</v>
      </c>
      <c r="C3637" s="50" t="s">
        <v>286</v>
      </c>
      <c r="D3637" s="50" t="s">
        <v>2180</v>
      </c>
      <c r="E3637" s="50" t="n">
        <v>3</v>
      </c>
      <c r="F3637" s="50" t="s">
        <v>2167</v>
      </c>
      <c r="G3637" s="54" t="n">
        <v>1379400</v>
      </c>
    </row>
    <row r="3638" customFormat="false" ht="15" hidden="false" customHeight="false" outlineLevel="0" collapsed="false">
      <c r="A3638" s="50" t="s">
        <v>1329</v>
      </c>
      <c r="B3638" s="51" t="n">
        <v>45878</v>
      </c>
      <c r="C3638" s="50" t="s">
        <v>205</v>
      </c>
      <c r="D3638" s="50" t="s">
        <v>2178</v>
      </c>
      <c r="E3638" s="50" t="n">
        <v>2</v>
      </c>
      <c r="F3638" s="50" t="s">
        <v>2167</v>
      </c>
      <c r="G3638" s="54" t="n">
        <v>975000</v>
      </c>
    </row>
    <row r="3639" customFormat="false" ht="15" hidden="false" customHeight="false" outlineLevel="0" collapsed="false">
      <c r="A3639" s="50" t="s">
        <v>1329</v>
      </c>
      <c r="B3639" s="51" t="n">
        <v>45878</v>
      </c>
      <c r="C3639" s="50" t="s">
        <v>205</v>
      </c>
      <c r="D3639" s="50" t="s">
        <v>2168</v>
      </c>
      <c r="E3639" s="50" t="n">
        <v>3</v>
      </c>
      <c r="F3639" s="50" t="s">
        <v>2167</v>
      </c>
      <c r="G3639" s="54" t="n">
        <v>1246600</v>
      </c>
    </row>
    <row r="3640" customFormat="false" ht="15" hidden="false" customHeight="false" outlineLevel="0" collapsed="false">
      <c r="A3640" s="50" t="s">
        <v>1329</v>
      </c>
      <c r="B3640" s="51" t="n">
        <v>45878</v>
      </c>
      <c r="C3640" s="50" t="s">
        <v>205</v>
      </c>
      <c r="D3640" s="50" t="s">
        <v>2185</v>
      </c>
      <c r="E3640" s="50" t="n">
        <v>8</v>
      </c>
      <c r="F3640" s="50" t="s">
        <v>2174</v>
      </c>
      <c r="G3640" s="54" t="n">
        <v>6373600</v>
      </c>
    </row>
    <row r="3641" customFormat="false" ht="15" hidden="false" customHeight="false" outlineLevel="0" collapsed="false">
      <c r="A3641" s="50" t="s">
        <v>1329</v>
      </c>
      <c r="B3641" s="51" t="n">
        <v>45878</v>
      </c>
      <c r="C3641" s="50" t="s">
        <v>205</v>
      </c>
      <c r="D3641" s="50" t="s">
        <v>2180</v>
      </c>
      <c r="E3641" s="50" t="n">
        <v>4</v>
      </c>
      <c r="F3641" s="50" t="s">
        <v>2167</v>
      </c>
      <c r="G3641" s="54" t="n">
        <v>1743900</v>
      </c>
    </row>
    <row r="3642" customFormat="false" ht="15" hidden="false" customHeight="false" outlineLevel="0" collapsed="false">
      <c r="A3642" s="50" t="s">
        <v>1329</v>
      </c>
      <c r="B3642" s="51" t="n">
        <v>45878</v>
      </c>
      <c r="C3642" s="50" t="s">
        <v>205</v>
      </c>
      <c r="D3642" s="50" t="s">
        <v>2175</v>
      </c>
      <c r="E3642" s="50" t="n">
        <v>2</v>
      </c>
      <c r="F3642" s="50" t="s">
        <v>2167</v>
      </c>
      <c r="G3642" s="54" t="n">
        <v>1265000</v>
      </c>
    </row>
    <row r="3643" customFormat="false" ht="15" hidden="false" customHeight="false" outlineLevel="0" collapsed="false">
      <c r="A3643" s="50" t="s">
        <v>1330</v>
      </c>
      <c r="B3643" s="51" t="n">
        <v>45878</v>
      </c>
      <c r="C3643" s="50" t="s">
        <v>174</v>
      </c>
      <c r="D3643" s="50" t="s">
        <v>2183</v>
      </c>
      <c r="E3643" s="50" t="n">
        <v>5</v>
      </c>
      <c r="F3643" s="50" t="s">
        <v>2167</v>
      </c>
      <c r="G3643" s="54" t="n">
        <v>1879300</v>
      </c>
    </row>
    <row r="3644" customFormat="false" ht="15" hidden="false" customHeight="false" outlineLevel="0" collapsed="false">
      <c r="A3644" s="50" t="s">
        <v>1330</v>
      </c>
      <c r="B3644" s="51" t="n">
        <v>45878</v>
      </c>
      <c r="C3644" s="50" t="s">
        <v>174</v>
      </c>
      <c r="D3644" s="50" t="s">
        <v>2173</v>
      </c>
      <c r="E3644" s="50" t="n">
        <v>7</v>
      </c>
      <c r="F3644" s="50" t="s">
        <v>2174</v>
      </c>
      <c r="G3644" s="54" t="n">
        <v>5645600</v>
      </c>
    </row>
    <row r="3645" customFormat="false" ht="15" hidden="false" customHeight="false" outlineLevel="0" collapsed="false">
      <c r="A3645" s="50" t="s">
        <v>1330</v>
      </c>
      <c r="B3645" s="51" t="n">
        <v>45878</v>
      </c>
      <c r="C3645" s="50" t="s">
        <v>174</v>
      </c>
      <c r="D3645" s="50" t="s">
        <v>2177</v>
      </c>
      <c r="E3645" s="50" t="n">
        <v>3</v>
      </c>
      <c r="F3645" s="50" t="s">
        <v>2174</v>
      </c>
      <c r="G3645" s="54" t="n">
        <v>3333000</v>
      </c>
    </row>
    <row r="3646" customFormat="false" ht="15" hidden="false" customHeight="false" outlineLevel="0" collapsed="false">
      <c r="A3646" s="50" t="s">
        <v>1331</v>
      </c>
      <c r="B3646" s="51" t="n">
        <v>45878</v>
      </c>
      <c r="C3646" s="50" t="s">
        <v>256</v>
      </c>
      <c r="D3646" s="50" t="s">
        <v>2182</v>
      </c>
      <c r="E3646" s="50" t="n">
        <v>6</v>
      </c>
      <c r="F3646" s="50" t="s">
        <v>2174</v>
      </c>
      <c r="G3646" s="54" t="n">
        <v>5496700</v>
      </c>
    </row>
    <row r="3647" customFormat="false" ht="15" hidden="false" customHeight="false" outlineLevel="0" collapsed="false">
      <c r="A3647" s="50" t="s">
        <v>1331</v>
      </c>
      <c r="B3647" s="51" t="n">
        <v>45878</v>
      </c>
      <c r="C3647" s="50" t="s">
        <v>256</v>
      </c>
      <c r="D3647" s="50" t="s">
        <v>2187</v>
      </c>
      <c r="E3647" s="50" t="n">
        <v>7</v>
      </c>
      <c r="F3647" s="50" t="s">
        <v>2167</v>
      </c>
      <c r="G3647" s="54" t="n">
        <v>2457300</v>
      </c>
    </row>
    <row r="3648" customFormat="false" ht="15" hidden="false" customHeight="false" outlineLevel="0" collapsed="false">
      <c r="A3648" s="50" t="s">
        <v>1331</v>
      </c>
      <c r="B3648" s="51" t="n">
        <v>45878</v>
      </c>
      <c r="C3648" s="50" t="s">
        <v>256</v>
      </c>
      <c r="D3648" s="50" t="s">
        <v>2168</v>
      </c>
      <c r="E3648" s="50" t="n">
        <v>6</v>
      </c>
      <c r="F3648" s="50" t="s">
        <v>2167</v>
      </c>
      <c r="G3648" s="54" t="n">
        <v>2540600</v>
      </c>
    </row>
    <row r="3649" customFormat="false" ht="15" hidden="false" customHeight="false" outlineLevel="0" collapsed="false">
      <c r="A3649" s="50" t="s">
        <v>1331</v>
      </c>
      <c r="B3649" s="51" t="n">
        <v>45878</v>
      </c>
      <c r="C3649" s="50" t="s">
        <v>256</v>
      </c>
      <c r="D3649" s="50" t="s">
        <v>2183</v>
      </c>
      <c r="E3649" s="50" t="n">
        <v>6</v>
      </c>
      <c r="F3649" s="50" t="s">
        <v>2167</v>
      </c>
      <c r="G3649" s="54" t="n">
        <v>2273700</v>
      </c>
    </row>
    <row r="3650" customFormat="false" ht="15" hidden="false" customHeight="false" outlineLevel="0" collapsed="false">
      <c r="A3650" s="50" t="s">
        <v>1332</v>
      </c>
      <c r="B3650" s="51" t="n">
        <v>45878</v>
      </c>
      <c r="C3650" s="50" t="s">
        <v>188</v>
      </c>
      <c r="D3650" s="50" t="s">
        <v>2188</v>
      </c>
      <c r="E3650" s="50" t="n">
        <v>4</v>
      </c>
      <c r="F3650" s="50" t="s">
        <v>2167</v>
      </c>
      <c r="G3650" s="54" t="n">
        <v>3979300</v>
      </c>
    </row>
    <row r="3651" customFormat="false" ht="15" hidden="false" customHeight="false" outlineLevel="0" collapsed="false">
      <c r="A3651" s="50" t="s">
        <v>1332</v>
      </c>
      <c r="B3651" s="51" t="n">
        <v>45878</v>
      </c>
      <c r="C3651" s="50" t="s">
        <v>188</v>
      </c>
      <c r="D3651" s="50" t="s">
        <v>2176</v>
      </c>
      <c r="E3651" s="50" t="n">
        <v>1</v>
      </c>
      <c r="F3651" s="50" t="s">
        <v>2167</v>
      </c>
      <c r="G3651" s="54" t="n">
        <v>432600</v>
      </c>
    </row>
    <row r="3652" customFormat="false" ht="15" hidden="false" customHeight="false" outlineLevel="0" collapsed="false">
      <c r="A3652" s="50" t="s">
        <v>1332</v>
      </c>
      <c r="B3652" s="51" t="n">
        <v>45878</v>
      </c>
      <c r="C3652" s="50" t="s">
        <v>188</v>
      </c>
      <c r="D3652" s="50" t="s">
        <v>2166</v>
      </c>
      <c r="E3652" s="50" t="n">
        <v>8</v>
      </c>
      <c r="F3652" s="50" t="s">
        <v>2167</v>
      </c>
      <c r="G3652" s="54" t="n">
        <v>4420200</v>
      </c>
    </row>
    <row r="3653" customFormat="false" ht="15" hidden="false" customHeight="false" outlineLevel="0" collapsed="false">
      <c r="A3653" s="50" t="s">
        <v>1333</v>
      </c>
      <c r="B3653" s="51" t="n">
        <v>45878</v>
      </c>
      <c r="C3653" s="50" t="s">
        <v>562</v>
      </c>
      <c r="D3653" s="50" t="s">
        <v>2186</v>
      </c>
      <c r="E3653" s="50" t="n">
        <v>1</v>
      </c>
      <c r="F3653" s="50" t="s">
        <v>2167</v>
      </c>
      <c r="G3653" s="54" t="n">
        <v>580800</v>
      </c>
    </row>
    <row r="3654" customFormat="false" ht="15" hidden="false" customHeight="false" outlineLevel="0" collapsed="false">
      <c r="A3654" s="50" t="s">
        <v>1333</v>
      </c>
      <c r="B3654" s="51" t="n">
        <v>45878</v>
      </c>
      <c r="C3654" s="50" t="s">
        <v>562</v>
      </c>
      <c r="D3654" s="50" t="s">
        <v>2184</v>
      </c>
      <c r="E3654" s="50" t="n">
        <v>8</v>
      </c>
      <c r="F3654" s="50" t="s">
        <v>2167</v>
      </c>
      <c r="G3654" s="54" t="n">
        <v>4626000</v>
      </c>
    </row>
    <row r="3655" customFormat="false" ht="15" hidden="false" customHeight="false" outlineLevel="0" collapsed="false">
      <c r="A3655" s="50" t="s">
        <v>1333</v>
      </c>
      <c r="B3655" s="51" t="n">
        <v>45878</v>
      </c>
      <c r="C3655" s="50" t="s">
        <v>562</v>
      </c>
      <c r="D3655" s="50" t="s">
        <v>2176</v>
      </c>
      <c r="E3655" s="50" t="n">
        <v>5</v>
      </c>
      <c r="F3655" s="50" t="s">
        <v>2167</v>
      </c>
      <c r="G3655" s="54" t="n">
        <v>2117300</v>
      </c>
    </row>
    <row r="3656" customFormat="false" ht="15" hidden="false" customHeight="false" outlineLevel="0" collapsed="false">
      <c r="A3656" s="50" t="s">
        <v>1334</v>
      </c>
      <c r="B3656" s="51" t="n">
        <v>45878</v>
      </c>
      <c r="C3656" s="50" t="s">
        <v>203</v>
      </c>
      <c r="D3656" s="50" t="s">
        <v>2176</v>
      </c>
      <c r="E3656" s="50" t="n">
        <v>4</v>
      </c>
      <c r="F3656" s="50" t="s">
        <v>2167</v>
      </c>
      <c r="G3656" s="54" t="n">
        <v>1653500</v>
      </c>
    </row>
    <row r="3657" customFormat="false" ht="15" hidden="false" customHeight="false" outlineLevel="0" collapsed="false">
      <c r="A3657" s="50" t="s">
        <v>1334</v>
      </c>
      <c r="B3657" s="51" t="n">
        <v>45878</v>
      </c>
      <c r="C3657" s="50" t="s">
        <v>203</v>
      </c>
      <c r="D3657" s="50" t="s">
        <v>2185</v>
      </c>
      <c r="E3657" s="50" t="n">
        <v>1</v>
      </c>
      <c r="F3657" s="50" t="s">
        <v>2174</v>
      </c>
      <c r="G3657" s="54" t="n">
        <v>790600</v>
      </c>
    </row>
    <row r="3658" customFormat="false" ht="15" hidden="false" customHeight="false" outlineLevel="0" collapsed="false">
      <c r="A3658" s="50" t="s">
        <v>1334</v>
      </c>
      <c r="B3658" s="51" t="n">
        <v>45878</v>
      </c>
      <c r="C3658" s="50" t="s">
        <v>203</v>
      </c>
      <c r="D3658" s="50" t="s">
        <v>2183</v>
      </c>
      <c r="E3658" s="50" t="n">
        <v>3</v>
      </c>
      <c r="F3658" s="50" t="s">
        <v>2167</v>
      </c>
      <c r="G3658" s="54" t="n">
        <v>1178100</v>
      </c>
    </row>
    <row r="3659" customFormat="false" ht="15" hidden="false" customHeight="false" outlineLevel="0" collapsed="false">
      <c r="A3659" s="50" t="s">
        <v>1334</v>
      </c>
      <c r="B3659" s="51" t="n">
        <v>45878</v>
      </c>
      <c r="C3659" s="50" t="s">
        <v>203</v>
      </c>
      <c r="D3659" s="50" t="s">
        <v>2186</v>
      </c>
      <c r="E3659" s="50" t="n">
        <v>2</v>
      </c>
      <c r="F3659" s="50" t="s">
        <v>2167</v>
      </c>
      <c r="G3659" s="54" t="n">
        <v>1183500</v>
      </c>
    </row>
    <row r="3660" customFormat="false" ht="15" hidden="false" customHeight="false" outlineLevel="0" collapsed="false">
      <c r="A3660" s="50" t="s">
        <v>1335</v>
      </c>
      <c r="B3660" s="51" t="n">
        <v>45878</v>
      </c>
      <c r="C3660" s="50" t="s">
        <v>168</v>
      </c>
      <c r="D3660" s="50" t="s">
        <v>2173</v>
      </c>
      <c r="E3660" s="50" t="n">
        <v>5</v>
      </c>
      <c r="F3660" s="50" t="s">
        <v>2174</v>
      </c>
      <c r="G3660" s="54" t="n">
        <v>3919100</v>
      </c>
    </row>
    <row r="3661" customFormat="false" ht="15" hidden="false" customHeight="false" outlineLevel="0" collapsed="false">
      <c r="A3661" s="50" t="s">
        <v>1335</v>
      </c>
      <c r="B3661" s="51" t="n">
        <v>45878</v>
      </c>
      <c r="C3661" s="50" t="s">
        <v>168</v>
      </c>
      <c r="D3661" s="50" t="s">
        <v>2170</v>
      </c>
      <c r="E3661" s="50" t="n">
        <v>1</v>
      </c>
      <c r="F3661" s="50" t="s">
        <v>2171</v>
      </c>
      <c r="G3661" s="54" t="n">
        <v>7443600</v>
      </c>
    </row>
    <row r="3662" customFormat="false" ht="15" hidden="false" customHeight="false" outlineLevel="0" collapsed="false">
      <c r="A3662" s="50" t="s">
        <v>1335</v>
      </c>
      <c r="B3662" s="51" t="n">
        <v>45878</v>
      </c>
      <c r="C3662" s="50" t="s">
        <v>168</v>
      </c>
      <c r="D3662" s="50" t="s">
        <v>2183</v>
      </c>
      <c r="E3662" s="50" t="n">
        <v>6</v>
      </c>
      <c r="F3662" s="50" t="s">
        <v>2167</v>
      </c>
      <c r="G3662" s="54" t="n">
        <v>2246500</v>
      </c>
    </row>
    <row r="3663" customFormat="false" ht="15" hidden="false" customHeight="false" outlineLevel="0" collapsed="false">
      <c r="A3663" s="50" t="s">
        <v>1335</v>
      </c>
      <c r="B3663" s="51" t="n">
        <v>45878</v>
      </c>
      <c r="C3663" s="50" t="s">
        <v>168</v>
      </c>
      <c r="D3663" s="50" t="s">
        <v>2178</v>
      </c>
      <c r="E3663" s="50" t="n">
        <v>4</v>
      </c>
      <c r="F3663" s="50" t="s">
        <v>2167</v>
      </c>
      <c r="G3663" s="54" t="n">
        <v>1878400</v>
      </c>
    </row>
    <row r="3664" customFormat="false" ht="15" hidden="false" customHeight="false" outlineLevel="0" collapsed="false">
      <c r="A3664" s="50" t="s">
        <v>1335</v>
      </c>
      <c r="B3664" s="51" t="n">
        <v>45878</v>
      </c>
      <c r="C3664" s="50" t="s">
        <v>168</v>
      </c>
      <c r="D3664" s="50" t="s">
        <v>2166</v>
      </c>
      <c r="E3664" s="50" t="n">
        <v>6</v>
      </c>
      <c r="F3664" s="50" t="s">
        <v>2167</v>
      </c>
      <c r="G3664" s="54" t="n">
        <v>3224000</v>
      </c>
    </row>
    <row r="3665" customFormat="false" ht="15" hidden="false" customHeight="false" outlineLevel="0" collapsed="false">
      <c r="A3665" s="50" t="s">
        <v>1336</v>
      </c>
      <c r="B3665" s="51" t="n">
        <v>45880</v>
      </c>
      <c r="C3665" s="50" t="s">
        <v>191</v>
      </c>
      <c r="D3665" s="50" t="s">
        <v>2168</v>
      </c>
      <c r="E3665" s="50" t="n">
        <v>3</v>
      </c>
      <c r="F3665" s="50" t="s">
        <v>2167</v>
      </c>
      <c r="G3665" s="54" t="n">
        <v>1323300</v>
      </c>
    </row>
    <row r="3666" customFormat="false" ht="15" hidden="false" customHeight="false" outlineLevel="0" collapsed="false">
      <c r="A3666" s="50" t="s">
        <v>1336</v>
      </c>
      <c r="B3666" s="51" t="n">
        <v>45880</v>
      </c>
      <c r="C3666" s="50" t="s">
        <v>191</v>
      </c>
      <c r="D3666" s="50" t="s">
        <v>2176</v>
      </c>
      <c r="E3666" s="50" t="n">
        <v>4</v>
      </c>
      <c r="F3666" s="50" t="s">
        <v>2167</v>
      </c>
      <c r="G3666" s="54" t="n">
        <v>1713500</v>
      </c>
    </row>
    <row r="3667" customFormat="false" ht="15" hidden="false" customHeight="false" outlineLevel="0" collapsed="false">
      <c r="A3667" s="50" t="s">
        <v>1337</v>
      </c>
      <c r="B3667" s="51" t="n">
        <v>45880</v>
      </c>
      <c r="C3667" s="50" t="s">
        <v>298</v>
      </c>
      <c r="D3667" s="50" t="s">
        <v>2184</v>
      </c>
      <c r="E3667" s="50" t="n">
        <v>4</v>
      </c>
      <c r="F3667" s="50" t="s">
        <v>2167</v>
      </c>
      <c r="G3667" s="54" t="n">
        <v>2170900</v>
      </c>
    </row>
    <row r="3668" customFormat="false" ht="15" hidden="false" customHeight="false" outlineLevel="0" collapsed="false">
      <c r="A3668" s="50" t="s">
        <v>1337</v>
      </c>
      <c r="B3668" s="51" t="n">
        <v>45880</v>
      </c>
      <c r="C3668" s="50" t="s">
        <v>298</v>
      </c>
      <c r="D3668" s="50" t="s">
        <v>2179</v>
      </c>
      <c r="E3668" s="50" t="n">
        <v>6</v>
      </c>
      <c r="F3668" s="50" t="s">
        <v>2174</v>
      </c>
      <c r="G3668" s="54" t="n">
        <v>7778100</v>
      </c>
    </row>
    <row r="3669" customFormat="false" ht="15" hidden="false" customHeight="false" outlineLevel="0" collapsed="false">
      <c r="A3669" s="50" t="s">
        <v>1337</v>
      </c>
      <c r="B3669" s="51" t="n">
        <v>45880</v>
      </c>
      <c r="C3669" s="50" t="s">
        <v>298</v>
      </c>
      <c r="D3669" s="50" t="s">
        <v>2180</v>
      </c>
      <c r="E3669" s="50" t="n">
        <v>1</v>
      </c>
      <c r="F3669" s="50" t="s">
        <v>2167</v>
      </c>
      <c r="G3669" s="54" t="n">
        <v>447700</v>
      </c>
    </row>
    <row r="3670" customFormat="false" ht="15" hidden="false" customHeight="false" outlineLevel="0" collapsed="false">
      <c r="A3670" s="50" t="s">
        <v>1338</v>
      </c>
      <c r="B3670" s="51" t="n">
        <v>45880</v>
      </c>
      <c r="C3670" s="50" t="s">
        <v>179</v>
      </c>
      <c r="D3670" s="50" t="s">
        <v>2172</v>
      </c>
      <c r="E3670" s="50" t="n">
        <v>6</v>
      </c>
      <c r="F3670" s="50" t="s">
        <v>2167</v>
      </c>
      <c r="G3670" s="54" t="n">
        <v>3063600</v>
      </c>
    </row>
    <row r="3671" customFormat="false" ht="15" hidden="false" customHeight="false" outlineLevel="0" collapsed="false">
      <c r="A3671" s="50" t="s">
        <v>1338</v>
      </c>
      <c r="B3671" s="51" t="n">
        <v>45880</v>
      </c>
      <c r="C3671" s="50" t="s">
        <v>179</v>
      </c>
      <c r="D3671" s="50" t="s">
        <v>2176</v>
      </c>
      <c r="E3671" s="50" t="n">
        <v>2</v>
      </c>
      <c r="F3671" s="50" t="s">
        <v>2167</v>
      </c>
      <c r="G3671" s="54" t="n">
        <v>827200</v>
      </c>
    </row>
    <row r="3672" customFormat="false" ht="15" hidden="false" customHeight="false" outlineLevel="0" collapsed="false">
      <c r="A3672" s="50" t="s">
        <v>1339</v>
      </c>
      <c r="B3672" s="51" t="n">
        <v>45880</v>
      </c>
      <c r="C3672" s="50" t="s">
        <v>188</v>
      </c>
      <c r="D3672" s="50" t="s">
        <v>2185</v>
      </c>
      <c r="E3672" s="50" t="n">
        <v>1</v>
      </c>
      <c r="F3672" s="50" t="s">
        <v>2174</v>
      </c>
      <c r="G3672" s="54" t="n">
        <v>755000</v>
      </c>
    </row>
    <row r="3673" customFormat="false" ht="15" hidden="false" customHeight="false" outlineLevel="0" collapsed="false">
      <c r="A3673" s="50" t="s">
        <v>1339</v>
      </c>
      <c r="B3673" s="51" t="n">
        <v>45880</v>
      </c>
      <c r="C3673" s="50" t="s">
        <v>188</v>
      </c>
      <c r="D3673" s="50" t="s">
        <v>2166</v>
      </c>
      <c r="E3673" s="50" t="n">
        <v>1</v>
      </c>
      <c r="F3673" s="50" t="s">
        <v>2167</v>
      </c>
      <c r="G3673" s="54" t="n">
        <v>528400</v>
      </c>
    </row>
    <row r="3674" customFormat="false" ht="15" hidden="false" customHeight="false" outlineLevel="0" collapsed="false">
      <c r="A3674" s="50" t="s">
        <v>1339</v>
      </c>
      <c r="B3674" s="51" t="n">
        <v>45880</v>
      </c>
      <c r="C3674" s="50" t="s">
        <v>188</v>
      </c>
      <c r="D3674" s="50" t="s">
        <v>2173</v>
      </c>
      <c r="E3674" s="50" t="n">
        <v>7</v>
      </c>
      <c r="F3674" s="50" t="s">
        <v>2174</v>
      </c>
      <c r="G3674" s="54" t="n">
        <v>5482600</v>
      </c>
    </row>
    <row r="3675" customFormat="false" ht="15" hidden="false" customHeight="false" outlineLevel="0" collapsed="false">
      <c r="A3675" s="50" t="s">
        <v>1339</v>
      </c>
      <c r="B3675" s="51" t="n">
        <v>45880</v>
      </c>
      <c r="C3675" s="50" t="s">
        <v>188</v>
      </c>
      <c r="D3675" s="50" t="s">
        <v>2168</v>
      </c>
      <c r="E3675" s="50" t="n">
        <v>8</v>
      </c>
      <c r="F3675" s="50" t="s">
        <v>2167</v>
      </c>
      <c r="G3675" s="54" t="n">
        <v>3337500</v>
      </c>
    </row>
    <row r="3676" customFormat="false" ht="15" hidden="false" customHeight="false" outlineLevel="0" collapsed="false">
      <c r="A3676" s="50" t="s">
        <v>1340</v>
      </c>
      <c r="B3676" s="51" t="n">
        <v>45880</v>
      </c>
      <c r="C3676" s="50" t="s">
        <v>186</v>
      </c>
      <c r="D3676" s="50" t="s">
        <v>2177</v>
      </c>
      <c r="E3676" s="50" t="n">
        <v>1</v>
      </c>
      <c r="F3676" s="50" t="s">
        <v>2174</v>
      </c>
      <c r="G3676" s="54" t="n">
        <v>1137100</v>
      </c>
    </row>
    <row r="3677" customFormat="false" ht="15" hidden="false" customHeight="false" outlineLevel="0" collapsed="false">
      <c r="A3677" s="50" t="s">
        <v>1340</v>
      </c>
      <c r="B3677" s="51" t="n">
        <v>45880</v>
      </c>
      <c r="C3677" s="50" t="s">
        <v>186</v>
      </c>
      <c r="D3677" s="50" t="s">
        <v>2169</v>
      </c>
      <c r="E3677" s="50" t="n">
        <v>6</v>
      </c>
      <c r="F3677" s="50" t="s">
        <v>2167</v>
      </c>
      <c r="G3677" s="54" t="n">
        <v>3785900</v>
      </c>
    </row>
    <row r="3678" customFormat="false" ht="15" hidden="false" customHeight="false" outlineLevel="0" collapsed="false">
      <c r="A3678" s="50" t="s">
        <v>1340</v>
      </c>
      <c r="B3678" s="51" t="n">
        <v>45880</v>
      </c>
      <c r="C3678" s="50" t="s">
        <v>186</v>
      </c>
      <c r="D3678" s="50" t="s">
        <v>2178</v>
      </c>
      <c r="E3678" s="50" t="n">
        <v>1</v>
      </c>
      <c r="F3678" s="50" t="s">
        <v>2167</v>
      </c>
      <c r="G3678" s="54" t="n">
        <v>487200</v>
      </c>
    </row>
    <row r="3679" customFormat="false" ht="15" hidden="false" customHeight="false" outlineLevel="0" collapsed="false">
      <c r="A3679" s="50" t="s">
        <v>1340</v>
      </c>
      <c r="B3679" s="51" t="n">
        <v>45880</v>
      </c>
      <c r="C3679" s="50" t="s">
        <v>186</v>
      </c>
      <c r="D3679" s="50" t="s">
        <v>2176</v>
      </c>
      <c r="E3679" s="50" t="n">
        <v>7</v>
      </c>
      <c r="F3679" s="50" t="s">
        <v>2167</v>
      </c>
      <c r="G3679" s="54" t="n">
        <v>2850400</v>
      </c>
    </row>
    <row r="3680" customFormat="false" ht="15" hidden="false" customHeight="false" outlineLevel="0" collapsed="false">
      <c r="A3680" s="50" t="s">
        <v>1341</v>
      </c>
      <c r="B3680" s="51" t="n">
        <v>45880</v>
      </c>
      <c r="C3680" s="50" t="s">
        <v>261</v>
      </c>
      <c r="D3680" s="50" t="s">
        <v>2178</v>
      </c>
      <c r="E3680" s="50" t="n">
        <v>6</v>
      </c>
      <c r="F3680" s="50" t="s">
        <v>2167</v>
      </c>
      <c r="G3680" s="54" t="n">
        <v>2902300</v>
      </c>
    </row>
    <row r="3681" customFormat="false" ht="15" hidden="false" customHeight="false" outlineLevel="0" collapsed="false">
      <c r="A3681" s="50" t="s">
        <v>1341</v>
      </c>
      <c r="B3681" s="51" t="n">
        <v>45880</v>
      </c>
      <c r="C3681" s="50" t="s">
        <v>261</v>
      </c>
      <c r="D3681" s="50" t="s">
        <v>2181</v>
      </c>
      <c r="E3681" s="50" t="n">
        <v>8</v>
      </c>
      <c r="F3681" s="50" t="s">
        <v>2167</v>
      </c>
      <c r="G3681" s="54" t="n">
        <v>8841300</v>
      </c>
    </row>
    <row r="3682" customFormat="false" ht="15" hidden="false" customHeight="false" outlineLevel="0" collapsed="false">
      <c r="A3682" s="50" t="s">
        <v>1342</v>
      </c>
      <c r="B3682" s="51" t="n">
        <v>45880</v>
      </c>
      <c r="C3682" s="50" t="s">
        <v>199</v>
      </c>
      <c r="D3682" s="50" t="s">
        <v>2169</v>
      </c>
      <c r="E3682" s="50" t="n">
        <v>1</v>
      </c>
      <c r="F3682" s="50" t="s">
        <v>2167</v>
      </c>
      <c r="G3682" s="54" t="n">
        <v>599600</v>
      </c>
    </row>
    <row r="3683" customFormat="false" ht="15" hidden="false" customHeight="false" outlineLevel="0" collapsed="false">
      <c r="A3683" s="50" t="s">
        <v>1342</v>
      </c>
      <c r="B3683" s="51" t="n">
        <v>45880</v>
      </c>
      <c r="C3683" s="50" t="s">
        <v>199</v>
      </c>
      <c r="D3683" s="50" t="s">
        <v>2187</v>
      </c>
      <c r="E3683" s="50" t="n">
        <v>1</v>
      </c>
      <c r="F3683" s="50" t="s">
        <v>2167</v>
      </c>
      <c r="G3683" s="54" t="n">
        <v>338200</v>
      </c>
    </row>
    <row r="3684" customFormat="false" ht="15" hidden="false" customHeight="false" outlineLevel="0" collapsed="false">
      <c r="A3684" s="50" t="s">
        <v>1342</v>
      </c>
      <c r="B3684" s="51" t="n">
        <v>45880</v>
      </c>
      <c r="C3684" s="50" t="s">
        <v>199</v>
      </c>
      <c r="D3684" s="50" t="s">
        <v>2168</v>
      </c>
      <c r="E3684" s="50" t="n">
        <v>2</v>
      </c>
      <c r="F3684" s="50" t="s">
        <v>2167</v>
      </c>
      <c r="G3684" s="54" t="n">
        <v>856000</v>
      </c>
    </row>
    <row r="3685" customFormat="false" ht="15" hidden="false" customHeight="false" outlineLevel="0" collapsed="false">
      <c r="A3685" s="50" t="s">
        <v>1343</v>
      </c>
      <c r="B3685" s="51" t="n">
        <v>45880</v>
      </c>
      <c r="C3685" s="50" t="s">
        <v>259</v>
      </c>
      <c r="D3685" s="50" t="s">
        <v>2169</v>
      </c>
      <c r="E3685" s="50" t="n">
        <v>2</v>
      </c>
      <c r="F3685" s="50" t="s">
        <v>2167</v>
      </c>
      <c r="G3685" s="54" t="n">
        <v>1244600</v>
      </c>
    </row>
    <row r="3686" customFormat="false" ht="15" hidden="false" customHeight="false" outlineLevel="0" collapsed="false">
      <c r="A3686" s="50" t="s">
        <v>1343</v>
      </c>
      <c r="B3686" s="51" t="n">
        <v>45880</v>
      </c>
      <c r="C3686" s="50" t="s">
        <v>259</v>
      </c>
      <c r="D3686" s="50" t="s">
        <v>2180</v>
      </c>
      <c r="E3686" s="50" t="n">
        <v>2</v>
      </c>
      <c r="F3686" s="50" t="s">
        <v>2167</v>
      </c>
      <c r="G3686" s="54" t="n">
        <v>932200</v>
      </c>
    </row>
    <row r="3687" customFormat="false" ht="15" hidden="false" customHeight="false" outlineLevel="0" collapsed="false">
      <c r="A3687" s="50" t="s">
        <v>1343</v>
      </c>
      <c r="B3687" s="51" t="n">
        <v>45880</v>
      </c>
      <c r="C3687" s="50" t="s">
        <v>259</v>
      </c>
      <c r="D3687" s="50" t="s">
        <v>2183</v>
      </c>
      <c r="E3687" s="50" t="n">
        <v>2</v>
      </c>
      <c r="F3687" s="50" t="s">
        <v>2167</v>
      </c>
      <c r="G3687" s="54" t="n">
        <v>743000</v>
      </c>
    </row>
    <row r="3688" customFormat="false" ht="15" hidden="false" customHeight="false" outlineLevel="0" collapsed="false">
      <c r="A3688" s="50" t="s">
        <v>1344</v>
      </c>
      <c r="B3688" s="51" t="n">
        <v>45881</v>
      </c>
      <c r="C3688" s="50" t="s">
        <v>1048</v>
      </c>
      <c r="D3688" s="50" t="s">
        <v>2177</v>
      </c>
      <c r="E3688" s="50" t="n">
        <v>6</v>
      </c>
      <c r="F3688" s="50" t="s">
        <v>2174</v>
      </c>
      <c r="G3688" s="54" t="n">
        <v>6826300</v>
      </c>
    </row>
    <row r="3689" customFormat="false" ht="15" hidden="false" customHeight="false" outlineLevel="0" collapsed="false">
      <c r="A3689" s="50" t="s">
        <v>1344</v>
      </c>
      <c r="B3689" s="51" t="n">
        <v>45881</v>
      </c>
      <c r="C3689" s="50" t="s">
        <v>1048</v>
      </c>
      <c r="D3689" s="50" t="s">
        <v>2187</v>
      </c>
      <c r="E3689" s="50" t="n">
        <v>1</v>
      </c>
      <c r="F3689" s="50" t="s">
        <v>2167</v>
      </c>
      <c r="G3689" s="54" t="n">
        <v>343600</v>
      </c>
    </row>
    <row r="3690" customFormat="false" ht="15" hidden="false" customHeight="false" outlineLevel="0" collapsed="false">
      <c r="A3690" s="50" t="s">
        <v>1344</v>
      </c>
      <c r="B3690" s="51" t="n">
        <v>45881</v>
      </c>
      <c r="C3690" s="50" t="s">
        <v>1048</v>
      </c>
      <c r="D3690" s="50" t="s">
        <v>2185</v>
      </c>
      <c r="E3690" s="50" t="n">
        <v>2</v>
      </c>
      <c r="F3690" s="50" t="s">
        <v>2174</v>
      </c>
      <c r="G3690" s="54" t="n">
        <v>1602200</v>
      </c>
    </row>
    <row r="3691" customFormat="false" ht="15" hidden="false" customHeight="false" outlineLevel="0" collapsed="false">
      <c r="A3691" s="50" t="s">
        <v>1344</v>
      </c>
      <c r="B3691" s="51" t="n">
        <v>45881</v>
      </c>
      <c r="C3691" s="50" t="s">
        <v>1048</v>
      </c>
      <c r="D3691" s="50" t="s">
        <v>2181</v>
      </c>
      <c r="E3691" s="50" t="n">
        <v>1</v>
      </c>
      <c r="F3691" s="50" t="s">
        <v>2167</v>
      </c>
      <c r="G3691" s="54" t="n">
        <v>1149600</v>
      </c>
    </row>
    <row r="3692" customFormat="false" ht="15" hidden="false" customHeight="false" outlineLevel="0" collapsed="false">
      <c r="A3692" s="50" t="s">
        <v>1344</v>
      </c>
      <c r="B3692" s="51" t="n">
        <v>45881</v>
      </c>
      <c r="C3692" s="50" t="s">
        <v>1048</v>
      </c>
      <c r="D3692" s="50" t="s">
        <v>2186</v>
      </c>
      <c r="E3692" s="50" t="n">
        <v>4</v>
      </c>
      <c r="F3692" s="50" t="s">
        <v>2167</v>
      </c>
      <c r="G3692" s="54" t="n">
        <v>2413600</v>
      </c>
    </row>
    <row r="3693" customFormat="false" ht="15" hidden="false" customHeight="false" outlineLevel="0" collapsed="false">
      <c r="A3693" s="50" t="s">
        <v>1345</v>
      </c>
      <c r="B3693" s="51" t="n">
        <v>45881</v>
      </c>
      <c r="C3693" s="50" t="s">
        <v>179</v>
      </c>
      <c r="D3693" s="50" t="s">
        <v>2186</v>
      </c>
      <c r="E3693" s="50" t="n">
        <v>2</v>
      </c>
      <c r="F3693" s="50" t="s">
        <v>2167</v>
      </c>
      <c r="G3693" s="54" t="n">
        <v>1203400</v>
      </c>
    </row>
    <row r="3694" customFormat="false" ht="15" hidden="false" customHeight="false" outlineLevel="0" collapsed="false">
      <c r="A3694" s="50" t="s">
        <v>1346</v>
      </c>
      <c r="B3694" s="51" t="n">
        <v>45881</v>
      </c>
      <c r="C3694" s="50" t="s">
        <v>205</v>
      </c>
      <c r="D3694" s="50" t="s">
        <v>2173</v>
      </c>
      <c r="E3694" s="50" t="n">
        <v>7</v>
      </c>
      <c r="F3694" s="50" t="s">
        <v>2174</v>
      </c>
      <c r="G3694" s="54" t="n">
        <v>5592500</v>
      </c>
    </row>
    <row r="3695" customFormat="false" ht="15" hidden="false" customHeight="false" outlineLevel="0" collapsed="false">
      <c r="A3695" s="50" t="s">
        <v>1346</v>
      </c>
      <c r="B3695" s="51" t="n">
        <v>45881</v>
      </c>
      <c r="C3695" s="50" t="s">
        <v>205</v>
      </c>
      <c r="D3695" s="50" t="s">
        <v>2177</v>
      </c>
      <c r="E3695" s="50" t="n">
        <v>1</v>
      </c>
      <c r="F3695" s="50" t="s">
        <v>2174</v>
      </c>
      <c r="G3695" s="54" t="n">
        <v>1059100</v>
      </c>
    </row>
    <row r="3696" customFormat="false" ht="15" hidden="false" customHeight="false" outlineLevel="0" collapsed="false">
      <c r="A3696" s="50" t="s">
        <v>1346</v>
      </c>
      <c r="B3696" s="51" t="n">
        <v>45881</v>
      </c>
      <c r="C3696" s="50" t="s">
        <v>205</v>
      </c>
      <c r="D3696" s="50" t="s">
        <v>2183</v>
      </c>
      <c r="E3696" s="50" t="n">
        <v>1</v>
      </c>
      <c r="F3696" s="50" t="s">
        <v>2167</v>
      </c>
      <c r="G3696" s="54" t="n">
        <v>393200</v>
      </c>
    </row>
    <row r="3697" customFormat="false" ht="15" hidden="false" customHeight="false" outlineLevel="0" collapsed="false">
      <c r="A3697" s="50" t="s">
        <v>1346</v>
      </c>
      <c r="B3697" s="51" t="n">
        <v>45881</v>
      </c>
      <c r="C3697" s="50" t="s">
        <v>205</v>
      </c>
      <c r="D3697" s="50" t="s">
        <v>2176</v>
      </c>
      <c r="E3697" s="50" t="n">
        <v>5</v>
      </c>
      <c r="F3697" s="50" t="s">
        <v>2167</v>
      </c>
      <c r="G3697" s="54" t="n">
        <v>2111100</v>
      </c>
    </row>
    <row r="3698" customFormat="false" ht="15" hidden="false" customHeight="false" outlineLevel="0" collapsed="false">
      <c r="A3698" s="50" t="s">
        <v>1346</v>
      </c>
      <c r="B3698" s="51" t="n">
        <v>45881</v>
      </c>
      <c r="C3698" s="50" t="s">
        <v>205</v>
      </c>
      <c r="D3698" s="50" t="s">
        <v>2178</v>
      </c>
      <c r="E3698" s="50" t="n">
        <v>2</v>
      </c>
      <c r="F3698" s="50" t="s">
        <v>2167</v>
      </c>
      <c r="G3698" s="54" t="n">
        <v>934800</v>
      </c>
    </row>
    <row r="3699" customFormat="false" ht="15" hidden="false" customHeight="false" outlineLevel="0" collapsed="false">
      <c r="A3699" s="50" t="s">
        <v>1346</v>
      </c>
      <c r="B3699" s="51" t="n">
        <v>45881</v>
      </c>
      <c r="C3699" s="50" t="s">
        <v>205</v>
      </c>
      <c r="D3699" s="50" t="s">
        <v>2185</v>
      </c>
      <c r="E3699" s="50" t="n">
        <v>5</v>
      </c>
      <c r="F3699" s="50" t="s">
        <v>2174</v>
      </c>
      <c r="G3699" s="54" t="n">
        <v>3872000</v>
      </c>
    </row>
    <row r="3700" customFormat="false" ht="15" hidden="false" customHeight="false" outlineLevel="0" collapsed="false">
      <c r="A3700" s="50" t="s">
        <v>1347</v>
      </c>
      <c r="B3700" s="51" t="n">
        <v>45881</v>
      </c>
      <c r="C3700" s="50" t="s">
        <v>228</v>
      </c>
      <c r="D3700" s="50" t="s">
        <v>2180</v>
      </c>
      <c r="E3700" s="50" t="n">
        <v>4</v>
      </c>
      <c r="F3700" s="50" t="s">
        <v>2167</v>
      </c>
      <c r="G3700" s="54" t="n">
        <v>1807400</v>
      </c>
    </row>
    <row r="3701" customFormat="false" ht="15" hidden="false" customHeight="false" outlineLevel="0" collapsed="false">
      <c r="A3701" s="50" t="s">
        <v>1347</v>
      </c>
      <c r="B3701" s="51" t="n">
        <v>45881</v>
      </c>
      <c r="C3701" s="50" t="s">
        <v>228</v>
      </c>
      <c r="D3701" s="50" t="s">
        <v>2188</v>
      </c>
      <c r="E3701" s="50" t="n">
        <v>6</v>
      </c>
      <c r="F3701" s="50" t="s">
        <v>2167</v>
      </c>
      <c r="G3701" s="54" t="n">
        <v>5953900</v>
      </c>
    </row>
    <row r="3702" customFormat="false" ht="15" hidden="false" customHeight="false" outlineLevel="0" collapsed="false">
      <c r="A3702" s="50" t="s">
        <v>1348</v>
      </c>
      <c r="B3702" s="51" t="n">
        <v>45881</v>
      </c>
      <c r="C3702" s="50" t="s">
        <v>174</v>
      </c>
      <c r="D3702" s="50" t="s">
        <v>2180</v>
      </c>
      <c r="E3702" s="50" t="n">
        <v>7</v>
      </c>
      <c r="F3702" s="50" t="s">
        <v>2167</v>
      </c>
      <c r="G3702" s="54" t="n">
        <v>3109600</v>
      </c>
    </row>
    <row r="3703" customFormat="false" ht="15" hidden="false" customHeight="false" outlineLevel="0" collapsed="false">
      <c r="A3703" s="50" t="s">
        <v>1348</v>
      </c>
      <c r="B3703" s="51" t="n">
        <v>45881</v>
      </c>
      <c r="C3703" s="50" t="s">
        <v>174</v>
      </c>
      <c r="D3703" s="50" t="s">
        <v>2183</v>
      </c>
      <c r="E3703" s="50" t="n">
        <v>1</v>
      </c>
      <c r="F3703" s="50" t="s">
        <v>2167</v>
      </c>
      <c r="G3703" s="54" t="n">
        <v>365300</v>
      </c>
    </row>
    <row r="3704" customFormat="false" ht="15" hidden="false" customHeight="false" outlineLevel="0" collapsed="false">
      <c r="A3704" s="50" t="s">
        <v>1348</v>
      </c>
      <c r="B3704" s="51" t="n">
        <v>45881</v>
      </c>
      <c r="C3704" s="50" t="s">
        <v>174</v>
      </c>
      <c r="D3704" s="50" t="s">
        <v>2188</v>
      </c>
      <c r="E3704" s="50" t="n">
        <v>6</v>
      </c>
      <c r="F3704" s="50" t="s">
        <v>2167</v>
      </c>
      <c r="G3704" s="54" t="n">
        <v>6053900</v>
      </c>
    </row>
    <row r="3705" customFormat="false" ht="15" hidden="false" customHeight="false" outlineLevel="0" collapsed="false">
      <c r="A3705" s="50" t="s">
        <v>1349</v>
      </c>
      <c r="B3705" s="51" t="n">
        <v>45881</v>
      </c>
      <c r="C3705" s="50" t="s">
        <v>174</v>
      </c>
      <c r="D3705" s="50" t="s">
        <v>2186</v>
      </c>
      <c r="E3705" s="50" t="n">
        <v>6</v>
      </c>
      <c r="F3705" s="50" t="s">
        <v>2167</v>
      </c>
      <c r="G3705" s="54" t="n">
        <v>3495800</v>
      </c>
    </row>
    <row r="3706" customFormat="false" ht="15" hidden="false" customHeight="false" outlineLevel="0" collapsed="false">
      <c r="A3706" s="50" t="s">
        <v>1350</v>
      </c>
      <c r="B3706" s="51" t="n">
        <v>45882</v>
      </c>
      <c r="C3706" s="50" t="s">
        <v>325</v>
      </c>
      <c r="D3706" s="50" t="s">
        <v>2168</v>
      </c>
      <c r="E3706" s="50" t="n">
        <v>8</v>
      </c>
      <c r="F3706" s="50" t="s">
        <v>2167</v>
      </c>
      <c r="G3706" s="54" t="n">
        <v>3511900</v>
      </c>
    </row>
    <row r="3707" customFormat="false" ht="15" hidden="false" customHeight="false" outlineLevel="0" collapsed="false">
      <c r="A3707" s="50" t="s">
        <v>1350</v>
      </c>
      <c r="B3707" s="51" t="n">
        <v>45882</v>
      </c>
      <c r="C3707" s="50" t="s">
        <v>325</v>
      </c>
      <c r="D3707" s="50" t="s">
        <v>2181</v>
      </c>
      <c r="E3707" s="50" t="n">
        <v>3</v>
      </c>
      <c r="F3707" s="50" t="s">
        <v>2167</v>
      </c>
      <c r="G3707" s="54" t="n">
        <v>3496400</v>
      </c>
    </row>
    <row r="3708" customFormat="false" ht="15" hidden="false" customHeight="false" outlineLevel="0" collapsed="false">
      <c r="A3708" s="50" t="s">
        <v>1350</v>
      </c>
      <c r="B3708" s="51" t="n">
        <v>45882</v>
      </c>
      <c r="C3708" s="50" t="s">
        <v>325</v>
      </c>
      <c r="D3708" s="50" t="s">
        <v>2166</v>
      </c>
      <c r="E3708" s="50" t="n">
        <v>4</v>
      </c>
      <c r="F3708" s="50" t="s">
        <v>2167</v>
      </c>
      <c r="G3708" s="54" t="n">
        <v>2186300</v>
      </c>
    </row>
    <row r="3709" customFormat="false" ht="15" hidden="false" customHeight="false" outlineLevel="0" collapsed="false">
      <c r="A3709" s="50" t="s">
        <v>1350</v>
      </c>
      <c r="B3709" s="51" t="n">
        <v>45882</v>
      </c>
      <c r="C3709" s="50" t="s">
        <v>325</v>
      </c>
      <c r="D3709" s="50" t="s">
        <v>2176</v>
      </c>
      <c r="E3709" s="50" t="n">
        <v>6</v>
      </c>
      <c r="F3709" s="50" t="s">
        <v>2167</v>
      </c>
      <c r="G3709" s="54" t="n">
        <v>2564700</v>
      </c>
    </row>
    <row r="3710" customFormat="false" ht="15" hidden="false" customHeight="false" outlineLevel="0" collapsed="false">
      <c r="A3710" s="50" t="s">
        <v>1350</v>
      </c>
      <c r="B3710" s="51" t="n">
        <v>45882</v>
      </c>
      <c r="C3710" s="50" t="s">
        <v>325</v>
      </c>
      <c r="D3710" s="50" t="s">
        <v>2175</v>
      </c>
      <c r="E3710" s="50" t="n">
        <v>5</v>
      </c>
      <c r="F3710" s="50" t="s">
        <v>2167</v>
      </c>
      <c r="G3710" s="54" t="n">
        <v>3156600</v>
      </c>
    </row>
    <row r="3711" customFormat="false" ht="15" hidden="false" customHeight="false" outlineLevel="0" collapsed="false">
      <c r="A3711" s="50" t="s">
        <v>1351</v>
      </c>
      <c r="B3711" s="51" t="n">
        <v>45882</v>
      </c>
      <c r="C3711" s="50" t="s">
        <v>166</v>
      </c>
      <c r="D3711" s="50" t="s">
        <v>2177</v>
      </c>
      <c r="E3711" s="50" t="n">
        <v>3</v>
      </c>
      <c r="F3711" s="50" t="s">
        <v>2174</v>
      </c>
      <c r="G3711" s="54" t="n">
        <v>3330700</v>
      </c>
    </row>
    <row r="3712" customFormat="false" ht="15" hidden="false" customHeight="false" outlineLevel="0" collapsed="false">
      <c r="A3712" s="50" t="s">
        <v>1351</v>
      </c>
      <c r="B3712" s="51" t="n">
        <v>45882</v>
      </c>
      <c r="C3712" s="50" t="s">
        <v>166</v>
      </c>
      <c r="D3712" s="50" t="s">
        <v>2181</v>
      </c>
      <c r="E3712" s="50" t="n">
        <v>1</v>
      </c>
      <c r="F3712" s="50" t="s">
        <v>2167</v>
      </c>
      <c r="G3712" s="54" t="n">
        <v>1193100</v>
      </c>
    </row>
    <row r="3713" customFormat="false" ht="15" hidden="false" customHeight="false" outlineLevel="0" collapsed="false">
      <c r="A3713" s="50" t="s">
        <v>1351</v>
      </c>
      <c r="B3713" s="51" t="n">
        <v>45882</v>
      </c>
      <c r="C3713" s="50" t="s">
        <v>166</v>
      </c>
      <c r="D3713" s="50" t="s">
        <v>2184</v>
      </c>
      <c r="E3713" s="50" t="n">
        <v>2</v>
      </c>
      <c r="F3713" s="50" t="s">
        <v>2167</v>
      </c>
      <c r="G3713" s="54" t="n">
        <v>1161700</v>
      </c>
    </row>
    <row r="3714" customFormat="false" ht="15" hidden="false" customHeight="false" outlineLevel="0" collapsed="false">
      <c r="A3714" s="50" t="s">
        <v>1351</v>
      </c>
      <c r="B3714" s="51" t="n">
        <v>45882</v>
      </c>
      <c r="C3714" s="50" t="s">
        <v>166</v>
      </c>
      <c r="D3714" s="50" t="s">
        <v>2187</v>
      </c>
      <c r="E3714" s="50" t="n">
        <v>4</v>
      </c>
      <c r="F3714" s="50" t="s">
        <v>2167</v>
      </c>
      <c r="G3714" s="54" t="n">
        <v>1397600</v>
      </c>
    </row>
    <row r="3715" customFormat="false" ht="15" hidden="false" customHeight="false" outlineLevel="0" collapsed="false">
      <c r="A3715" s="50" t="s">
        <v>1351</v>
      </c>
      <c r="B3715" s="51" t="n">
        <v>45882</v>
      </c>
      <c r="C3715" s="50" t="s">
        <v>166</v>
      </c>
      <c r="D3715" s="50" t="s">
        <v>2176</v>
      </c>
      <c r="E3715" s="50" t="n">
        <v>4</v>
      </c>
      <c r="F3715" s="50" t="s">
        <v>2167</v>
      </c>
      <c r="G3715" s="54" t="n">
        <v>1638400</v>
      </c>
    </row>
    <row r="3716" customFormat="false" ht="15" hidden="false" customHeight="false" outlineLevel="0" collapsed="false">
      <c r="A3716" s="50" t="s">
        <v>1352</v>
      </c>
      <c r="B3716" s="51" t="n">
        <v>45882</v>
      </c>
      <c r="C3716" s="50" t="s">
        <v>211</v>
      </c>
      <c r="D3716" s="50" t="s">
        <v>2179</v>
      </c>
      <c r="E3716" s="50" t="n">
        <v>7</v>
      </c>
      <c r="F3716" s="50" t="s">
        <v>2174</v>
      </c>
      <c r="G3716" s="54" t="n">
        <v>8521600</v>
      </c>
    </row>
    <row r="3717" customFormat="false" ht="15" hidden="false" customHeight="false" outlineLevel="0" collapsed="false">
      <c r="A3717" s="50" t="s">
        <v>1352</v>
      </c>
      <c r="B3717" s="51" t="n">
        <v>45882</v>
      </c>
      <c r="C3717" s="50" t="s">
        <v>211</v>
      </c>
      <c r="D3717" s="50" t="s">
        <v>2169</v>
      </c>
      <c r="E3717" s="50" t="n">
        <v>5</v>
      </c>
      <c r="F3717" s="50" t="s">
        <v>2167</v>
      </c>
      <c r="G3717" s="54" t="n">
        <v>3167700</v>
      </c>
    </row>
    <row r="3718" customFormat="false" ht="15" hidden="false" customHeight="false" outlineLevel="0" collapsed="false">
      <c r="A3718" s="50" t="s">
        <v>1352</v>
      </c>
      <c r="B3718" s="51" t="n">
        <v>45882</v>
      </c>
      <c r="C3718" s="50" t="s">
        <v>211</v>
      </c>
      <c r="D3718" s="50" t="s">
        <v>2180</v>
      </c>
      <c r="E3718" s="50" t="n">
        <v>5</v>
      </c>
      <c r="F3718" s="50" t="s">
        <v>2167</v>
      </c>
      <c r="G3718" s="54" t="n">
        <v>2249400</v>
      </c>
    </row>
    <row r="3719" customFormat="false" ht="15" hidden="false" customHeight="false" outlineLevel="0" collapsed="false">
      <c r="A3719" s="50" t="s">
        <v>1353</v>
      </c>
      <c r="B3719" s="51" t="n">
        <v>45883</v>
      </c>
      <c r="C3719" s="50" t="s">
        <v>174</v>
      </c>
      <c r="D3719" s="50" t="s">
        <v>2186</v>
      </c>
      <c r="E3719" s="50" t="n">
        <v>1</v>
      </c>
      <c r="F3719" s="50" t="s">
        <v>2167</v>
      </c>
      <c r="G3719" s="54" t="n">
        <v>602400</v>
      </c>
    </row>
    <row r="3720" customFormat="false" ht="15" hidden="false" customHeight="false" outlineLevel="0" collapsed="false">
      <c r="A3720" s="50" t="s">
        <v>1353</v>
      </c>
      <c r="B3720" s="51" t="n">
        <v>45883</v>
      </c>
      <c r="C3720" s="50" t="s">
        <v>174</v>
      </c>
      <c r="D3720" s="50" t="s">
        <v>2173</v>
      </c>
      <c r="E3720" s="50" t="n">
        <v>5</v>
      </c>
      <c r="F3720" s="50" t="s">
        <v>2174</v>
      </c>
      <c r="G3720" s="54" t="n">
        <v>3999100</v>
      </c>
    </row>
    <row r="3721" customFormat="false" ht="15" hidden="false" customHeight="false" outlineLevel="0" collapsed="false">
      <c r="A3721" s="50" t="s">
        <v>1353</v>
      </c>
      <c r="B3721" s="51" t="n">
        <v>45883</v>
      </c>
      <c r="C3721" s="50" t="s">
        <v>174</v>
      </c>
      <c r="D3721" s="50" t="s">
        <v>2181</v>
      </c>
      <c r="E3721" s="50" t="n">
        <v>2</v>
      </c>
      <c r="F3721" s="50" t="s">
        <v>2167</v>
      </c>
      <c r="G3721" s="54" t="n">
        <v>2334500</v>
      </c>
    </row>
    <row r="3722" customFormat="false" ht="15" hidden="false" customHeight="false" outlineLevel="0" collapsed="false">
      <c r="A3722" s="50" t="s">
        <v>1354</v>
      </c>
      <c r="B3722" s="51" t="n">
        <v>45883</v>
      </c>
      <c r="C3722" s="50" t="s">
        <v>527</v>
      </c>
      <c r="D3722" s="50" t="s">
        <v>2173</v>
      </c>
      <c r="E3722" s="50" t="n">
        <v>3</v>
      </c>
      <c r="F3722" s="50" t="s">
        <v>2174</v>
      </c>
      <c r="G3722" s="54" t="n">
        <v>2384900</v>
      </c>
    </row>
    <row r="3723" customFormat="false" ht="15" hidden="false" customHeight="false" outlineLevel="0" collapsed="false">
      <c r="A3723" s="50" t="s">
        <v>1354</v>
      </c>
      <c r="B3723" s="51" t="n">
        <v>45883</v>
      </c>
      <c r="C3723" s="50" t="s">
        <v>527</v>
      </c>
      <c r="D3723" s="50" t="s">
        <v>2186</v>
      </c>
      <c r="E3723" s="50" t="n">
        <v>5</v>
      </c>
      <c r="F3723" s="50" t="s">
        <v>2167</v>
      </c>
      <c r="G3723" s="54" t="n">
        <v>2850500</v>
      </c>
    </row>
    <row r="3724" customFormat="false" ht="15" hidden="false" customHeight="false" outlineLevel="0" collapsed="false">
      <c r="A3724" s="50" t="s">
        <v>1354</v>
      </c>
      <c r="B3724" s="51" t="n">
        <v>45883</v>
      </c>
      <c r="C3724" s="50" t="s">
        <v>527</v>
      </c>
      <c r="D3724" s="50" t="s">
        <v>2176</v>
      </c>
      <c r="E3724" s="50" t="n">
        <v>5</v>
      </c>
      <c r="F3724" s="50" t="s">
        <v>2167</v>
      </c>
      <c r="G3724" s="54" t="n">
        <v>2033600</v>
      </c>
    </row>
    <row r="3725" customFormat="false" ht="15" hidden="false" customHeight="false" outlineLevel="0" collapsed="false">
      <c r="A3725" s="50" t="s">
        <v>1354</v>
      </c>
      <c r="B3725" s="51" t="n">
        <v>45883</v>
      </c>
      <c r="C3725" s="50" t="s">
        <v>527</v>
      </c>
      <c r="D3725" s="50" t="s">
        <v>2182</v>
      </c>
      <c r="E3725" s="50" t="n">
        <v>3</v>
      </c>
      <c r="F3725" s="50" t="s">
        <v>2174</v>
      </c>
      <c r="G3725" s="54" t="n">
        <v>2925500</v>
      </c>
    </row>
    <row r="3726" customFormat="false" ht="15" hidden="false" customHeight="false" outlineLevel="0" collapsed="false">
      <c r="A3726" s="50" t="s">
        <v>1355</v>
      </c>
      <c r="B3726" s="51" t="n">
        <v>45883</v>
      </c>
      <c r="C3726" s="50" t="s">
        <v>421</v>
      </c>
      <c r="D3726" s="50" t="s">
        <v>2170</v>
      </c>
      <c r="E3726" s="50" t="n">
        <v>2</v>
      </c>
      <c r="F3726" s="50" t="s">
        <v>2171</v>
      </c>
      <c r="G3726" s="54" t="n">
        <v>14682400</v>
      </c>
    </row>
    <row r="3727" customFormat="false" ht="15" hidden="false" customHeight="false" outlineLevel="0" collapsed="false">
      <c r="A3727" s="50" t="s">
        <v>1355</v>
      </c>
      <c r="B3727" s="51" t="n">
        <v>45883</v>
      </c>
      <c r="C3727" s="50" t="s">
        <v>421</v>
      </c>
      <c r="D3727" s="50" t="s">
        <v>2177</v>
      </c>
      <c r="E3727" s="50" t="n">
        <v>4</v>
      </c>
      <c r="F3727" s="50" t="s">
        <v>2174</v>
      </c>
      <c r="G3727" s="54" t="n">
        <v>4297900</v>
      </c>
    </row>
    <row r="3728" customFormat="false" ht="15" hidden="false" customHeight="false" outlineLevel="0" collapsed="false">
      <c r="A3728" s="50" t="s">
        <v>1355</v>
      </c>
      <c r="B3728" s="51" t="n">
        <v>45883</v>
      </c>
      <c r="C3728" s="50" t="s">
        <v>421</v>
      </c>
      <c r="D3728" s="50" t="s">
        <v>2172</v>
      </c>
      <c r="E3728" s="50" t="n">
        <v>1</v>
      </c>
      <c r="F3728" s="50" t="s">
        <v>2167</v>
      </c>
      <c r="G3728" s="54" t="n">
        <v>505800</v>
      </c>
    </row>
    <row r="3729" customFormat="false" ht="15" hidden="false" customHeight="false" outlineLevel="0" collapsed="false">
      <c r="A3729" s="50" t="s">
        <v>1356</v>
      </c>
      <c r="B3729" s="51" t="n">
        <v>45883</v>
      </c>
      <c r="C3729" s="50" t="s">
        <v>223</v>
      </c>
      <c r="D3729" s="50" t="s">
        <v>2185</v>
      </c>
      <c r="E3729" s="50" t="n">
        <v>8</v>
      </c>
      <c r="F3729" s="50" t="s">
        <v>2174</v>
      </c>
      <c r="G3729" s="54" t="n">
        <v>6372300</v>
      </c>
    </row>
    <row r="3730" customFormat="false" ht="15" hidden="false" customHeight="false" outlineLevel="0" collapsed="false">
      <c r="A3730" s="50" t="s">
        <v>1356</v>
      </c>
      <c r="B3730" s="51" t="n">
        <v>45883</v>
      </c>
      <c r="C3730" s="50" t="s">
        <v>223</v>
      </c>
      <c r="D3730" s="50" t="s">
        <v>2179</v>
      </c>
      <c r="E3730" s="50" t="n">
        <v>7</v>
      </c>
      <c r="F3730" s="50" t="s">
        <v>2174</v>
      </c>
      <c r="G3730" s="54" t="n">
        <v>8844500</v>
      </c>
    </row>
    <row r="3731" customFormat="false" ht="15" hidden="false" customHeight="false" outlineLevel="0" collapsed="false">
      <c r="A3731" s="50" t="s">
        <v>1356</v>
      </c>
      <c r="B3731" s="51" t="n">
        <v>45883</v>
      </c>
      <c r="C3731" s="50" t="s">
        <v>223</v>
      </c>
      <c r="D3731" s="50" t="s">
        <v>2184</v>
      </c>
      <c r="E3731" s="50" t="n">
        <v>1</v>
      </c>
      <c r="F3731" s="50" t="s">
        <v>2167</v>
      </c>
      <c r="G3731" s="54" t="n">
        <v>554700</v>
      </c>
    </row>
    <row r="3732" customFormat="false" ht="15" hidden="false" customHeight="false" outlineLevel="0" collapsed="false">
      <c r="A3732" s="50" t="s">
        <v>1357</v>
      </c>
      <c r="B3732" s="51" t="n">
        <v>45883</v>
      </c>
      <c r="C3732" s="50" t="s">
        <v>1099</v>
      </c>
      <c r="D3732" s="50" t="s">
        <v>2185</v>
      </c>
      <c r="E3732" s="50" t="n">
        <v>5</v>
      </c>
      <c r="F3732" s="50" t="s">
        <v>2174</v>
      </c>
      <c r="G3732" s="54" t="n">
        <v>3967300</v>
      </c>
    </row>
    <row r="3733" customFormat="false" ht="15" hidden="false" customHeight="false" outlineLevel="0" collapsed="false">
      <c r="A3733" s="50" t="s">
        <v>1357</v>
      </c>
      <c r="B3733" s="51" t="n">
        <v>45883</v>
      </c>
      <c r="C3733" s="50" t="s">
        <v>1099</v>
      </c>
      <c r="D3733" s="50" t="s">
        <v>2183</v>
      </c>
      <c r="E3733" s="50" t="n">
        <v>4</v>
      </c>
      <c r="F3733" s="50" t="s">
        <v>2167</v>
      </c>
      <c r="G3733" s="54" t="n">
        <v>1532300</v>
      </c>
    </row>
    <row r="3734" customFormat="false" ht="15" hidden="false" customHeight="false" outlineLevel="0" collapsed="false">
      <c r="A3734" s="50" t="s">
        <v>1357</v>
      </c>
      <c r="B3734" s="51" t="n">
        <v>45883</v>
      </c>
      <c r="C3734" s="50" t="s">
        <v>1099</v>
      </c>
      <c r="D3734" s="50" t="s">
        <v>2178</v>
      </c>
      <c r="E3734" s="50" t="n">
        <v>5</v>
      </c>
      <c r="F3734" s="50" t="s">
        <v>2167</v>
      </c>
      <c r="G3734" s="54" t="n">
        <v>2385700</v>
      </c>
    </row>
    <row r="3735" customFormat="false" ht="15" hidden="false" customHeight="false" outlineLevel="0" collapsed="false">
      <c r="A3735" s="50" t="s">
        <v>1357</v>
      </c>
      <c r="B3735" s="51" t="n">
        <v>45883</v>
      </c>
      <c r="C3735" s="50" t="s">
        <v>1099</v>
      </c>
      <c r="D3735" s="50" t="s">
        <v>2186</v>
      </c>
      <c r="E3735" s="50" t="n">
        <v>2</v>
      </c>
      <c r="F3735" s="50" t="s">
        <v>2167</v>
      </c>
      <c r="G3735" s="54" t="n">
        <v>1221400</v>
      </c>
    </row>
    <row r="3736" customFormat="false" ht="15" hidden="false" customHeight="false" outlineLevel="0" collapsed="false">
      <c r="A3736" s="50" t="s">
        <v>1357</v>
      </c>
      <c r="B3736" s="51" t="n">
        <v>45883</v>
      </c>
      <c r="C3736" s="50" t="s">
        <v>1099</v>
      </c>
      <c r="D3736" s="50" t="s">
        <v>2177</v>
      </c>
      <c r="E3736" s="50" t="n">
        <v>1</v>
      </c>
      <c r="F3736" s="50" t="s">
        <v>2174</v>
      </c>
      <c r="G3736" s="54" t="n">
        <v>1079700</v>
      </c>
    </row>
    <row r="3737" customFormat="false" ht="15" hidden="false" customHeight="false" outlineLevel="0" collapsed="false">
      <c r="A3737" s="50" t="s">
        <v>1357</v>
      </c>
      <c r="B3737" s="51" t="n">
        <v>45883</v>
      </c>
      <c r="C3737" s="50" t="s">
        <v>1099</v>
      </c>
      <c r="D3737" s="50" t="s">
        <v>2169</v>
      </c>
      <c r="E3737" s="50" t="n">
        <v>3</v>
      </c>
      <c r="F3737" s="50" t="s">
        <v>2167</v>
      </c>
      <c r="G3737" s="54" t="n">
        <v>1827900</v>
      </c>
    </row>
    <row r="3738" customFormat="false" ht="15" hidden="false" customHeight="false" outlineLevel="0" collapsed="false">
      <c r="A3738" s="50" t="s">
        <v>1358</v>
      </c>
      <c r="B3738" s="51" t="n">
        <v>45883</v>
      </c>
      <c r="C3738" s="50" t="s">
        <v>174</v>
      </c>
      <c r="D3738" s="50" t="s">
        <v>2179</v>
      </c>
      <c r="E3738" s="50" t="n">
        <v>6</v>
      </c>
      <c r="F3738" s="50" t="s">
        <v>2174</v>
      </c>
      <c r="G3738" s="54" t="n">
        <v>7577300</v>
      </c>
    </row>
    <row r="3739" customFormat="false" ht="15" hidden="false" customHeight="false" outlineLevel="0" collapsed="false">
      <c r="A3739" s="50" t="s">
        <v>1358</v>
      </c>
      <c r="B3739" s="51" t="n">
        <v>45883</v>
      </c>
      <c r="C3739" s="50" t="s">
        <v>174</v>
      </c>
      <c r="D3739" s="50" t="s">
        <v>2185</v>
      </c>
      <c r="E3739" s="50" t="n">
        <v>2</v>
      </c>
      <c r="F3739" s="50" t="s">
        <v>2174</v>
      </c>
      <c r="G3739" s="54" t="n">
        <v>1518700</v>
      </c>
    </row>
    <row r="3740" customFormat="false" ht="15" hidden="false" customHeight="false" outlineLevel="0" collapsed="false">
      <c r="A3740" s="50" t="s">
        <v>1358</v>
      </c>
      <c r="B3740" s="51" t="n">
        <v>45883</v>
      </c>
      <c r="C3740" s="50" t="s">
        <v>174</v>
      </c>
      <c r="D3740" s="50" t="s">
        <v>2183</v>
      </c>
      <c r="E3740" s="50" t="n">
        <v>2</v>
      </c>
      <c r="F3740" s="50" t="s">
        <v>2167</v>
      </c>
      <c r="G3740" s="54" t="n">
        <v>757000</v>
      </c>
    </row>
    <row r="3741" customFormat="false" ht="15" hidden="false" customHeight="false" outlineLevel="0" collapsed="false">
      <c r="A3741" s="50" t="s">
        <v>1359</v>
      </c>
      <c r="B3741" s="51" t="n">
        <v>45884</v>
      </c>
      <c r="C3741" s="50" t="s">
        <v>419</v>
      </c>
      <c r="D3741" s="50" t="s">
        <v>2186</v>
      </c>
      <c r="E3741" s="50" t="n">
        <v>7</v>
      </c>
      <c r="F3741" s="50" t="s">
        <v>2167</v>
      </c>
      <c r="G3741" s="54" t="n">
        <v>4082000</v>
      </c>
    </row>
    <row r="3742" customFormat="false" ht="15" hidden="false" customHeight="false" outlineLevel="0" collapsed="false">
      <c r="A3742" s="50" t="s">
        <v>1359</v>
      </c>
      <c r="B3742" s="51" t="n">
        <v>45884</v>
      </c>
      <c r="C3742" s="50" t="s">
        <v>419</v>
      </c>
      <c r="D3742" s="50" t="s">
        <v>2184</v>
      </c>
      <c r="E3742" s="50" t="n">
        <v>7</v>
      </c>
      <c r="F3742" s="50" t="s">
        <v>2167</v>
      </c>
      <c r="G3742" s="54" t="n">
        <v>3851900</v>
      </c>
    </row>
    <row r="3743" customFormat="false" ht="15" hidden="false" customHeight="false" outlineLevel="0" collapsed="false">
      <c r="A3743" s="50" t="s">
        <v>1359</v>
      </c>
      <c r="B3743" s="51" t="n">
        <v>45884</v>
      </c>
      <c r="C3743" s="50" t="s">
        <v>419</v>
      </c>
      <c r="D3743" s="50" t="s">
        <v>2178</v>
      </c>
      <c r="E3743" s="50" t="n">
        <v>2</v>
      </c>
      <c r="F3743" s="50" t="s">
        <v>2167</v>
      </c>
      <c r="G3743" s="54" t="n">
        <v>981400</v>
      </c>
    </row>
    <row r="3744" customFormat="false" ht="15" hidden="false" customHeight="false" outlineLevel="0" collapsed="false">
      <c r="A3744" s="50" t="s">
        <v>1359</v>
      </c>
      <c r="B3744" s="51" t="n">
        <v>45884</v>
      </c>
      <c r="C3744" s="50" t="s">
        <v>419</v>
      </c>
      <c r="D3744" s="50" t="s">
        <v>2179</v>
      </c>
      <c r="E3744" s="50" t="n">
        <v>2</v>
      </c>
      <c r="F3744" s="50" t="s">
        <v>2174</v>
      </c>
      <c r="G3744" s="54" t="n">
        <v>2419200</v>
      </c>
    </row>
    <row r="3745" customFormat="false" ht="15" hidden="false" customHeight="false" outlineLevel="0" collapsed="false">
      <c r="A3745" s="50" t="s">
        <v>1360</v>
      </c>
      <c r="B3745" s="51" t="n">
        <v>45884</v>
      </c>
      <c r="C3745" s="50" t="s">
        <v>243</v>
      </c>
      <c r="D3745" s="50" t="s">
        <v>2176</v>
      </c>
      <c r="E3745" s="50" t="n">
        <v>8</v>
      </c>
      <c r="F3745" s="50" t="s">
        <v>2167</v>
      </c>
      <c r="G3745" s="54" t="n">
        <v>3394300</v>
      </c>
    </row>
    <row r="3746" customFormat="false" ht="15" hidden="false" customHeight="false" outlineLevel="0" collapsed="false">
      <c r="A3746" s="50" t="s">
        <v>1361</v>
      </c>
      <c r="B3746" s="51" t="n">
        <v>45884</v>
      </c>
      <c r="C3746" s="50" t="s">
        <v>825</v>
      </c>
      <c r="D3746" s="50" t="s">
        <v>2188</v>
      </c>
      <c r="E3746" s="50" t="n">
        <v>1</v>
      </c>
      <c r="F3746" s="50" t="s">
        <v>2167</v>
      </c>
      <c r="G3746" s="54" t="n">
        <v>947200</v>
      </c>
    </row>
    <row r="3747" customFormat="false" ht="15" hidden="false" customHeight="false" outlineLevel="0" collapsed="false">
      <c r="A3747" s="50" t="s">
        <v>1361</v>
      </c>
      <c r="B3747" s="51" t="n">
        <v>45884</v>
      </c>
      <c r="C3747" s="50" t="s">
        <v>825</v>
      </c>
      <c r="D3747" s="50" t="s">
        <v>2178</v>
      </c>
      <c r="E3747" s="50" t="n">
        <v>6</v>
      </c>
      <c r="F3747" s="50" t="s">
        <v>2167</v>
      </c>
      <c r="G3747" s="54" t="n">
        <v>2899800</v>
      </c>
    </row>
    <row r="3748" customFormat="false" ht="15" hidden="false" customHeight="false" outlineLevel="0" collapsed="false">
      <c r="A3748" s="50" t="s">
        <v>1361</v>
      </c>
      <c r="B3748" s="51" t="n">
        <v>45884</v>
      </c>
      <c r="C3748" s="50" t="s">
        <v>825</v>
      </c>
      <c r="D3748" s="50" t="s">
        <v>2169</v>
      </c>
      <c r="E3748" s="50" t="n">
        <v>5</v>
      </c>
      <c r="F3748" s="50" t="s">
        <v>2167</v>
      </c>
      <c r="G3748" s="54" t="n">
        <v>3133700</v>
      </c>
    </row>
    <row r="3749" customFormat="false" ht="15" hidden="false" customHeight="false" outlineLevel="0" collapsed="false">
      <c r="A3749" s="50" t="s">
        <v>1361</v>
      </c>
      <c r="B3749" s="51" t="n">
        <v>45884</v>
      </c>
      <c r="C3749" s="50" t="s">
        <v>825</v>
      </c>
      <c r="D3749" s="50" t="s">
        <v>2176</v>
      </c>
      <c r="E3749" s="50" t="n">
        <v>4</v>
      </c>
      <c r="F3749" s="50" t="s">
        <v>2167</v>
      </c>
      <c r="G3749" s="54" t="n">
        <v>1652300</v>
      </c>
    </row>
    <row r="3750" customFormat="false" ht="15" hidden="false" customHeight="false" outlineLevel="0" collapsed="false">
      <c r="A3750" s="50" t="s">
        <v>1361</v>
      </c>
      <c r="B3750" s="51" t="n">
        <v>45884</v>
      </c>
      <c r="C3750" s="50" t="s">
        <v>825</v>
      </c>
      <c r="D3750" s="50" t="s">
        <v>2180</v>
      </c>
      <c r="E3750" s="50" t="n">
        <v>6</v>
      </c>
      <c r="F3750" s="50" t="s">
        <v>2167</v>
      </c>
      <c r="G3750" s="54" t="n">
        <v>2608600</v>
      </c>
    </row>
    <row r="3751" customFormat="false" ht="15" hidden="false" customHeight="false" outlineLevel="0" collapsed="false">
      <c r="A3751" s="50" t="s">
        <v>1362</v>
      </c>
      <c r="B3751" s="51" t="n">
        <v>45884</v>
      </c>
      <c r="C3751" s="50" t="s">
        <v>1307</v>
      </c>
      <c r="D3751" s="50" t="s">
        <v>2177</v>
      </c>
      <c r="E3751" s="50" t="n">
        <v>5</v>
      </c>
      <c r="F3751" s="50" t="s">
        <v>2174</v>
      </c>
      <c r="G3751" s="54" t="n">
        <v>5574100</v>
      </c>
    </row>
    <row r="3752" customFormat="false" ht="15" hidden="false" customHeight="false" outlineLevel="0" collapsed="false">
      <c r="A3752" s="50" t="s">
        <v>1362</v>
      </c>
      <c r="B3752" s="51" t="n">
        <v>45884</v>
      </c>
      <c r="C3752" s="50" t="s">
        <v>1307</v>
      </c>
      <c r="D3752" s="50" t="s">
        <v>2186</v>
      </c>
      <c r="E3752" s="50" t="n">
        <v>5</v>
      </c>
      <c r="F3752" s="50" t="s">
        <v>2167</v>
      </c>
      <c r="G3752" s="54" t="n">
        <v>2886600</v>
      </c>
    </row>
    <row r="3753" customFormat="false" ht="15" hidden="false" customHeight="false" outlineLevel="0" collapsed="false">
      <c r="A3753" s="50" t="s">
        <v>1362</v>
      </c>
      <c r="B3753" s="51" t="n">
        <v>45884</v>
      </c>
      <c r="C3753" s="50" t="s">
        <v>1307</v>
      </c>
      <c r="D3753" s="50" t="s">
        <v>2178</v>
      </c>
      <c r="E3753" s="50" t="n">
        <v>8</v>
      </c>
      <c r="F3753" s="50" t="s">
        <v>2167</v>
      </c>
      <c r="G3753" s="54" t="n">
        <v>3756300</v>
      </c>
    </row>
    <row r="3754" customFormat="false" ht="15" hidden="false" customHeight="false" outlineLevel="0" collapsed="false">
      <c r="A3754" s="50" t="s">
        <v>1362</v>
      </c>
      <c r="B3754" s="51" t="n">
        <v>45884</v>
      </c>
      <c r="C3754" s="50" t="s">
        <v>1307</v>
      </c>
      <c r="D3754" s="50" t="s">
        <v>2169</v>
      </c>
      <c r="E3754" s="50" t="n">
        <v>7</v>
      </c>
      <c r="F3754" s="50" t="s">
        <v>2167</v>
      </c>
      <c r="G3754" s="54" t="n">
        <v>4170200</v>
      </c>
    </row>
    <row r="3755" customFormat="false" ht="15" hidden="false" customHeight="false" outlineLevel="0" collapsed="false">
      <c r="A3755" s="50" t="s">
        <v>1363</v>
      </c>
      <c r="B3755" s="51" t="n">
        <v>45885</v>
      </c>
      <c r="C3755" s="50" t="s">
        <v>177</v>
      </c>
      <c r="D3755" s="50" t="s">
        <v>2180</v>
      </c>
      <c r="E3755" s="50" t="n">
        <v>3</v>
      </c>
      <c r="F3755" s="50" t="s">
        <v>2167</v>
      </c>
      <c r="G3755" s="54" t="n">
        <v>1365400</v>
      </c>
    </row>
    <row r="3756" customFormat="false" ht="15" hidden="false" customHeight="false" outlineLevel="0" collapsed="false">
      <c r="A3756" s="50" t="s">
        <v>1363</v>
      </c>
      <c r="B3756" s="51" t="n">
        <v>45885</v>
      </c>
      <c r="C3756" s="50" t="s">
        <v>177</v>
      </c>
      <c r="D3756" s="50" t="s">
        <v>2182</v>
      </c>
      <c r="E3756" s="50" t="n">
        <v>8</v>
      </c>
      <c r="F3756" s="50" t="s">
        <v>2174</v>
      </c>
      <c r="G3756" s="54" t="n">
        <v>7640600</v>
      </c>
    </row>
    <row r="3757" customFormat="false" ht="15" hidden="false" customHeight="false" outlineLevel="0" collapsed="false">
      <c r="A3757" s="50" t="s">
        <v>1364</v>
      </c>
      <c r="B3757" s="51" t="n">
        <v>45885</v>
      </c>
      <c r="C3757" s="50" t="s">
        <v>562</v>
      </c>
      <c r="D3757" s="50" t="s">
        <v>2178</v>
      </c>
      <c r="E3757" s="50" t="n">
        <v>3</v>
      </c>
      <c r="F3757" s="50" t="s">
        <v>2167</v>
      </c>
      <c r="G3757" s="54" t="n">
        <v>1428900</v>
      </c>
    </row>
    <row r="3758" customFormat="false" ht="15" hidden="false" customHeight="false" outlineLevel="0" collapsed="false">
      <c r="A3758" s="50" t="s">
        <v>1364</v>
      </c>
      <c r="B3758" s="51" t="n">
        <v>45885</v>
      </c>
      <c r="C3758" s="50" t="s">
        <v>562</v>
      </c>
      <c r="D3758" s="50" t="s">
        <v>2187</v>
      </c>
      <c r="E3758" s="50" t="n">
        <v>2</v>
      </c>
      <c r="F3758" s="50" t="s">
        <v>2167</v>
      </c>
      <c r="G3758" s="54" t="n">
        <v>689400</v>
      </c>
    </row>
    <row r="3759" customFormat="false" ht="15" hidden="false" customHeight="false" outlineLevel="0" collapsed="false">
      <c r="A3759" s="50" t="s">
        <v>1364</v>
      </c>
      <c r="B3759" s="51" t="n">
        <v>45885</v>
      </c>
      <c r="C3759" s="50" t="s">
        <v>562</v>
      </c>
      <c r="D3759" s="50" t="s">
        <v>2176</v>
      </c>
      <c r="E3759" s="50" t="n">
        <v>3</v>
      </c>
      <c r="F3759" s="50" t="s">
        <v>2167</v>
      </c>
      <c r="G3759" s="54" t="n">
        <v>1277700</v>
      </c>
    </row>
    <row r="3760" customFormat="false" ht="15" hidden="false" customHeight="false" outlineLevel="0" collapsed="false">
      <c r="A3760" s="50" t="s">
        <v>1364</v>
      </c>
      <c r="B3760" s="51" t="n">
        <v>45885</v>
      </c>
      <c r="C3760" s="50" t="s">
        <v>562</v>
      </c>
      <c r="D3760" s="50" t="s">
        <v>2184</v>
      </c>
      <c r="E3760" s="50" t="n">
        <v>3</v>
      </c>
      <c r="F3760" s="50" t="s">
        <v>2167</v>
      </c>
      <c r="G3760" s="54" t="n">
        <v>1698400</v>
      </c>
    </row>
    <row r="3761" customFormat="false" ht="15" hidden="false" customHeight="false" outlineLevel="0" collapsed="false">
      <c r="A3761" s="50" t="s">
        <v>1365</v>
      </c>
      <c r="B3761" s="51" t="n">
        <v>45885</v>
      </c>
      <c r="C3761" s="50" t="s">
        <v>251</v>
      </c>
      <c r="D3761" s="50" t="s">
        <v>2176</v>
      </c>
      <c r="E3761" s="50" t="n">
        <v>4</v>
      </c>
      <c r="F3761" s="50" t="s">
        <v>2167</v>
      </c>
      <c r="G3761" s="54" t="n">
        <v>1646800</v>
      </c>
    </row>
    <row r="3762" customFormat="false" ht="15" hidden="false" customHeight="false" outlineLevel="0" collapsed="false">
      <c r="A3762" s="50" t="s">
        <v>1365</v>
      </c>
      <c r="B3762" s="51" t="n">
        <v>45885</v>
      </c>
      <c r="C3762" s="50" t="s">
        <v>251</v>
      </c>
      <c r="D3762" s="50" t="s">
        <v>2186</v>
      </c>
      <c r="E3762" s="50" t="n">
        <v>7</v>
      </c>
      <c r="F3762" s="50" t="s">
        <v>2167</v>
      </c>
      <c r="G3762" s="54" t="n">
        <v>4255700</v>
      </c>
    </row>
    <row r="3763" customFormat="false" ht="15" hidden="false" customHeight="false" outlineLevel="0" collapsed="false">
      <c r="A3763" s="50" t="s">
        <v>1365</v>
      </c>
      <c r="B3763" s="51" t="n">
        <v>45885</v>
      </c>
      <c r="C3763" s="50" t="s">
        <v>251</v>
      </c>
      <c r="D3763" s="50" t="s">
        <v>2178</v>
      </c>
      <c r="E3763" s="50" t="n">
        <v>7</v>
      </c>
      <c r="F3763" s="50" t="s">
        <v>2167</v>
      </c>
      <c r="G3763" s="54" t="n">
        <v>3395100</v>
      </c>
    </row>
    <row r="3764" customFormat="false" ht="15" hidden="false" customHeight="false" outlineLevel="0" collapsed="false">
      <c r="A3764" s="50" t="s">
        <v>1365</v>
      </c>
      <c r="B3764" s="51" t="n">
        <v>45885</v>
      </c>
      <c r="C3764" s="50" t="s">
        <v>251</v>
      </c>
      <c r="D3764" s="50" t="s">
        <v>2168</v>
      </c>
      <c r="E3764" s="50" t="n">
        <v>4</v>
      </c>
      <c r="F3764" s="50" t="s">
        <v>2167</v>
      </c>
      <c r="G3764" s="54" t="n">
        <v>1718400</v>
      </c>
    </row>
    <row r="3765" customFormat="false" ht="15" hidden="false" customHeight="false" outlineLevel="0" collapsed="false">
      <c r="A3765" s="50" t="s">
        <v>1365</v>
      </c>
      <c r="B3765" s="51" t="n">
        <v>45885</v>
      </c>
      <c r="C3765" s="50" t="s">
        <v>251</v>
      </c>
      <c r="D3765" s="50" t="s">
        <v>2185</v>
      </c>
      <c r="E3765" s="50" t="n">
        <v>5</v>
      </c>
      <c r="F3765" s="50" t="s">
        <v>2174</v>
      </c>
      <c r="G3765" s="54" t="n">
        <v>4035100</v>
      </c>
    </row>
    <row r="3766" customFormat="false" ht="15" hidden="false" customHeight="false" outlineLevel="0" collapsed="false">
      <c r="A3766" s="50" t="s">
        <v>1365</v>
      </c>
      <c r="B3766" s="51" t="n">
        <v>45885</v>
      </c>
      <c r="C3766" s="50" t="s">
        <v>251</v>
      </c>
      <c r="D3766" s="50" t="s">
        <v>2184</v>
      </c>
      <c r="E3766" s="50" t="n">
        <v>1</v>
      </c>
      <c r="F3766" s="50" t="s">
        <v>2167</v>
      </c>
      <c r="G3766" s="54" t="n">
        <v>560100</v>
      </c>
    </row>
    <row r="3767" customFormat="false" ht="15" hidden="false" customHeight="false" outlineLevel="0" collapsed="false">
      <c r="A3767" s="50" t="s">
        <v>1366</v>
      </c>
      <c r="B3767" s="51" t="n">
        <v>45885</v>
      </c>
      <c r="C3767" s="50" t="s">
        <v>177</v>
      </c>
      <c r="D3767" s="50" t="s">
        <v>2183</v>
      </c>
      <c r="E3767" s="50" t="n">
        <v>4</v>
      </c>
      <c r="F3767" s="50" t="s">
        <v>2167</v>
      </c>
      <c r="G3767" s="54" t="n">
        <v>1580000</v>
      </c>
    </row>
    <row r="3768" customFormat="false" ht="15" hidden="false" customHeight="false" outlineLevel="0" collapsed="false">
      <c r="A3768" s="50" t="s">
        <v>1366</v>
      </c>
      <c r="B3768" s="51" t="n">
        <v>45885</v>
      </c>
      <c r="C3768" s="50" t="s">
        <v>177</v>
      </c>
      <c r="D3768" s="50" t="s">
        <v>2181</v>
      </c>
      <c r="E3768" s="50" t="n">
        <v>3</v>
      </c>
      <c r="F3768" s="50" t="s">
        <v>2167</v>
      </c>
      <c r="G3768" s="54" t="n">
        <v>3557200</v>
      </c>
    </row>
    <row r="3769" customFormat="false" ht="15" hidden="false" customHeight="false" outlineLevel="0" collapsed="false">
      <c r="A3769" s="50" t="s">
        <v>1366</v>
      </c>
      <c r="B3769" s="51" t="n">
        <v>45885</v>
      </c>
      <c r="C3769" s="50" t="s">
        <v>177</v>
      </c>
      <c r="D3769" s="50" t="s">
        <v>2168</v>
      </c>
      <c r="E3769" s="50" t="n">
        <v>4</v>
      </c>
      <c r="F3769" s="50" t="s">
        <v>2167</v>
      </c>
      <c r="G3769" s="54" t="n">
        <v>1714300</v>
      </c>
    </row>
    <row r="3770" customFormat="false" ht="15" hidden="false" customHeight="false" outlineLevel="0" collapsed="false">
      <c r="A3770" s="50" t="s">
        <v>1366</v>
      </c>
      <c r="B3770" s="51" t="n">
        <v>45885</v>
      </c>
      <c r="C3770" s="50" t="s">
        <v>177</v>
      </c>
      <c r="D3770" s="50" t="s">
        <v>2186</v>
      </c>
      <c r="E3770" s="50" t="n">
        <v>2</v>
      </c>
      <c r="F3770" s="50" t="s">
        <v>2167</v>
      </c>
      <c r="G3770" s="54" t="n">
        <v>1155100</v>
      </c>
    </row>
    <row r="3771" customFormat="false" ht="15" hidden="false" customHeight="false" outlineLevel="0" collapsed="false">
      <c r="A3771" s="50" t="s">
        <v>1366</v>
      </c>
      <c r="B3771" s="51" t="n">
        <v>45885</v>
      </c>
      <c r="C3771" s="50" t="s">
        <v>177</v>
      </c>
      <c r="D3771" s="50" t="s">
        <v>2179</v>
      </c>
      <c r="E3771" s="50" t="n">
        <v>4</v>
      </c>
      <c r="F3771" s="50" t="s">
        <v>2174</v>
      </c>
      <c r="G3771" s="54" t="n">
        <v>4945600</v>
      </c>
    </row>
    <row r="3772" customFormat="false" ht="15" hidden="false" customHeight="false" outlineLevel="0" collapsed="false">
      <c r="A3772" s="50" t="s">
        <v>1367</v>
      </c>
      <c r="B3772" s="51" t="n">
        <v>45885</v>
      </c>
      <c r="C3772" s="50" t="s">
        <v>611</v>
      </c>
      <c r="D3772" s="50" t="s">
        <v>2176</v>
      </c>
      <c r="E3772" s="50" t="n">
        <v>1</v>
      </c>
      <c r="F3772" s="50" t="s">
        <v>2167</v>
      </c>
      <c r="G3772" s="54" t="n">
        <v>422000</v>
      </c>
    </row>
    <row r="3773" customFormat="false" ht="15" hidden="false" customHeight="false" outlineLevel="0" collapsed="false">
      <c r="A3773" s="50" t="s">
        <v>1368</v>
      </c>
      <c r="B3773" s="51" t="n">
        <v>45887</v>
      </c>
      <c r="C3773" s="50" t="s">
        <v>197</v>
      </c>
      <c r="D3773" s="50" t="s">
        <v>2186</v>
      </c>
      <c r="E3773" s="50" t="n">
        <v>6</v>
      </c>
      <c r="F3773" s="50" t="s">
        <v>2167</v>
      </c>
      <c r="G3773" s="54" t="n">
        <v>3463200</v>
      </c>
    </row>
    <row r="3774" customFormat="false" ht="15" hidden="false" customHeight="false" outlineLevel="0" collapsed="false">
      <c r="A3774" s="50" t="s">
        <v>1368</v>
      </c>
      <c r="B3774" s="51" t="n">
        <v>45887</v>
      </c>
      <c r="C3774" s="50" t="s">
        <v>197</v>
      </c>
      <c r="D3774" s="50" t="s">
        <v>2180</v>
      </c>
      <c r="E3774" s="50" t="n">
        <v>5</v>
      </c>
      <c r="F3774" s="50" t="s">
        <v>2167</v>
      </c>
      <c r="G3774" s="54" t="n">
        <v>2162400</v>
      </c>
    </row>
    <row r="3775" customFormat="false" ht="15" hidden="false" customHeight="false" outlineLevel="0" collapsed="false">
      <c r="A3775" s="50" t="s">
        <v>1368</v>
      </c>
      <c r="B3775" s="51" t="n">
        <v>45887</v>
      </c>
      <c r="C3775" s="50" t="s">
        <v>197</v>
      </c>
      <c r="D3775" s="50" t="s">
        <v>2185</v>
      </c>
      <c r="E3775" s="50" t="n">
        <v>8</v>
      </c>
      <c r="F3775" s="50" t="s">
        <v>2174</v>
      </c>
      <c r="G3775" s="54" t="n">
        <v>6132700</v>
      </c>
    </row>
    <row r="3776" customFormat="false" ht="15" hidden="false" customHeight="false" outlineLevel="0" collapsed="false">
      <c r="A3776" s="50" t="s">
        <v>1368</v>
      </c>
      <c r="B3776" s="51" t="n">
        <v>45887</v>
      </c>
      <c r="C3776" s="50" t="s">
        <v>197</v>
      </c>
      <c r="D3776" s="50" t="s">
        <v>2175</v>
      </c>
      <c r="E3776" s="50" t="n">
        <v>4</v>
      </c>
      <c r="F3776" s="50" t="s">
        <v>2167</v>
      </c>
      <c r="G3776" s="54" t="n">
        <v>2637200</v>
      </c>
    </row>
    <row r="3777" customFormat="false" ht="15" hidden="false" customHeight="false" outlineLevel="0" collapsed="false">
      <c r="A3777" s="50" t="s">
        <v>1368</v>
      </c>
      <c r="B3777" s="51" t="n">
        <v>45887</v>
      </c>
      <c r="C3777" s="50" t="s">
        <v>197</v>
      </c>
      <c r="D3777" s="50" t="s">
        <v>2179</v>
      </c>
      <c r="E3777" s="50" t="n">
        <v>7</v>
      </c>
      <c r="F3777" s="50" t="s">
        <v>2174</v>
      </c>
      <c r="G3777" s="54" t="n">
        <v>8929400</v>
      </c>
    </row>
    <row r="3778" customFormat="false" ht="15" hidden="false" customHeight="false" outlineLevel="0" collapsed="false">
      <c r="A3778" s="50" t="s">
        <v>1369</v>
      </c>
      <c r="B3778" s="51" t="n">
        <v>45887</v>
      </c>
      <c r="C3778" s="50" t="s">
        <v>419</v>
      </c>
      <c r="D3778" s="50" t="s">
        <v>2173</v>
      </c>
      <c r="E3778" s="50" t="n">
        <v>8</v>
      </c>
      <c r="F3778" s="50" t="s">
        <v>2174</v>
      </c>
      <c r="G3778" s="54" t="n">
        <v>6387200</v>
      </c>
    </row>
    <row r="3779" customFormat="false" ht="15" hidden="false" customHeight="false" outlineLevel="0" collapsed="false">
      <c r="A3779" s="50" t="s">
        <v>1369</v>
      </c>
      <c r="B3779" s="51" t="n">
        <v>45887</v>
      </c>
      <c r="C3779" s="50" t="s">
        <v>419</v>
      </c>
      <c r="D3779" s="50" t="s">
        <v>2172</v>
      </c>
      <c r="E3779" s="50" t="n">
        <v>7</v>
      </c>
      <c r="F3779" s="50" t="s">
        <v>2167</v>
      </c>
      <c r="G3779" s="54" t="n">
        <v>3629200</v>
      </c>
    </row>
    <row r="3780" customFormat="false" ht="15" hidden="false" customHeight="false" outlineLevel="0" collapsed="false">
      <c r="A3780" s="50" t="s">
        <v>1369</v>
      </c>
      <c r="B3780" s="51" t="n">
        <v>45887</v>
      </c>
      <c r="C3780" s="50" t="s">
        <v>419</v>
      </c>
      <c r="D3780" s="50" t="s">
        <v>2181</v>
      </c>
      <c r="E3780" s="50" t="n">
        <v>5</v>
      </c>
      <c r="F3780" s="50" t="s">
        <v>2167</v>
      </c>
      <c r="G3780" s="54" t="n">
        <v>5758300</v>
      </c>
    </row>
    <row r="3781" customFormat="false" ht="15" hidden="false" customHeight="false" outlineLevel="0" collapsed="false">
      <c r="A3781" s="50" t="s">
        <v>1369</v>
      </c>
      <c r="B3781" s="51" t="n">
        <v>45887</v>
      </c>
      <c r="C3781" s="50" t="s">
        <v>419</v>
      </c>
      <c r="D3781" s="50" t="s">
        <v>2169</v>
      </c>
      <c r="E3781" s="50" t="n">
        <v>5</v>
      </c>
      <c r="F3781" s="50" t="s">
        <v>2167</v>
      </c>
      <c r="G3781" s="54" t="n">
        <v>3164000</v>
      </c>
    </row>
    <row r="3782" customFormat="false" ht="15" hidden="false" customHeight="false" outlineLevel="0" collapsed="false">
      <c r="A3782" s="50" t="s">
        <v>1370</v>
      </c>
      <c r="B3782" s="51" t="n">
        <v>45887</v>
      </c>
      <c r="C3782" s="50" t="s">
        <v>195</v>
      </c>
      <c r="D3782" s="50" t="s">
        <v>2181</v>
      </c>
      <c r="E3782" s="50" t="n">
        <v>3</v>
      </c>
      <c r="F3782" s="50" t="s">
        <v>2167</v>
      </c>
      <c r="G3782" s="54" t="n">
        <v>3328200</v>
      </c>
    </row>
    <row r="3783" customFormat="false" ht="15" hidden="false" customHeight="false" outlineLevel="0" collapsed="false">
      <c r="A3783" s="50" t="s">
        <v>1370</v>
      </c>
      <c r="B3783" s="51" t="n">
        <v>45887</v>
      </c>
      <c r="C3783" s="50" t="s">
        <v>195</v>
      </c>
      <c r="D3783" s="50" t="s">
        <v>2176</v>
      </c>
      <c r="E3783" s="50" t="n">
        <v>6</v>
      </c>
      <c r="F3783" s="50" t="s">
        <v>2167</v>
      </c>
      <c r="G3783" s="54" t="n">
        <v>2597600</v>
      </c>
    </row>
    <row r="3784" customFormat="false" ht="15" hidden="false" customHeight="false" outlineLevel="0" collapsed="false">
      <c r="A3784" s="50" t="s">
        <v>1370</v>
      </c>
      <c r="B3784" s="51" t="n">
        <v>45887</v>
      </c>
      <c r="C3784" s="50" t="s">
        <v>195</v>
      </c>
      <c r="D3784" s="50" t="s">
        <v>2175</v>
      </c>
      <c r="E3784" s="50" t="n">
        <v>7</v>
      </c>
      <c r="F3784" s="50" t="s">
        <v>2167</v>
      </c>
      <c r="G3784" s="54" t="n">
        <v>4512500</v>
      </c>
    </row>
    <row r="3785" customFormat="false" ht="15" hidden="false" customHeight="false" outlineLevel="0" collapsed="false">
      <c r="A3785" s="50" t="s">
        <v>1370</v>
      </c>
      <c r="B3785" s="51" t="n">
        <v>45887</v>
      </c>
      <c r="C3785" s="50" t="s">
        <v>195</v>
      </c>
      <c r="D3785" s="50" t="s">
        <v>2180</v>
      </c>
      <c r="E3785" s="50" t="n">
        <v>8</v>
      </c>
      <c r="F3785" s="50" t="s">
        <v>2167</v>
      </c>
      <c r="G3785" s="54" t="n">
        <v>3617400</v>
      </c>
    </row>
    <row r="3786" customFormat="false" ht="15" hidden="false" customHeight="false" outlineLevel="0" collapsed="false">
      <c r="A3786" s="50" t="s">
        <v>1371</v>
      </c>
      <c r="B3786" s="51" t="n">
        <v>45888</v>
      </c>
      <c r="C3786" s="50" t="s">
        <v>166</v>
      </c>
      <c r="D3786" s="50" t="s">
        <v>2175</v>
      </c>
      <c r="E3786" s="50" t="n">
        <v>3</v>
      </c>
      <c r="F3786" s="50" t="s">
        <v>2167</v>
      </c>
      <c r="G3786" s="54" t="n">
        <v>1938000</v>
      </c>
    </row>
    <row r="3787" customFormat="false" ht="15" hidden="false" customHeight="false" outlineLevel="0" collapsed="false">
      <c r="A3787" s="50" t="s">
        <v>1371</v>
      </c>
      <c r="B3787" s="51" t="n">
        <v>45888</v>
      </c>
      <c r="C3787" s="50" t="s">
        <v>166</v>
      </c>
      <c r="D3787" s="50" t="s">
        <v>2168</v>
      </c>
      <c r="E3787" s="50" t="n">
        <v>6</v>
      </c>
      <c r="F3787" s="50" t="s">
        <v>2167</v>
      </c>
      <c r="G3787" s="54" t="n">
        <v>2607600</v>
      </c>
    </row>
    <row r="3788" customFormat="false" ht="15" hidden="false" customHeight="false" outlineLevel="0" collapsed="false">
      <c r="A3788" s="50" t="s">
        <v>1372</v>
      </c>
      <c r="B3788" s="51" t="n">
        <v>45889</v>
      </c>
      <c r="C3788" s="50" t="s">
        <v>465</v>
      </c>
      <c r="D3788" s="50" t="s">
        <v>2168</v>
      </c>
      <c r="E3788" s="50" t="n">
        <v>6</v>
      </c>
      <c r="F3788" s="50" t="s">
        <v>2167</v>
      </c>
      <c r="G3788" s="54" t="n">
        <v>2673700</v>
      </c>
    </row>
    <row r="3789" customFormat="false" ht="15" hidden="false" customHeight="false" outlineLevel="0" collapsed="false">
      <c r="A3789" s="50" t="s">
        <v>1372</v>
      </c>
      <c r="B3789" s="51" t="n">
        <v>45889</v>
      </c>
      <c r="C3789" s="50" t="s">
        <v>465</v>
      </c>
      <c r="D3789" s="50" t="s">
        <v>2185</v>
      </c>
      <c r="E3789" s="50" t="n">
        <v>7</v>
      </c>
      <c r="F3789" s="50" t="s">
        <v>2174</v>
      </c>
      <c r="G3789" s="54" t="n">
        <v>5605700</v>
      </c>
    </row>
    <row r="3790" customFormat="false" ht="15" hidden="false" customHeight="false" outlineLevel="0" collapsed="false">
      <c r="A3790" s="50" t="s">
        <v>1372</v>
      </c>
      <c r="B3790" s="51" t="n">
        <v>45889</v>
      </c>
      <c r="C3790" s="50" t="s">
        <v>465</v>
      </c>
      <c r="D3790" s="50" t="s">
        <v>2175</v>
      </c>
      <c r="E3790" s="50" t="n">
        <v>4</v>
      </c>
      <c r="F3790" s="50" t="s">
        <v>2167</v>
      </c>
      <c r="G3790" s="54" t="n">
        <v>2627200</v>
      </c>
    </row>
    <row r="3791" customFormat="false" ht="15" hidden="false" customHeight="false" outlineLevel="0" collapsed="false">
      <c r="A3791" s="50" t="s">
        <v>1372</v>
      </c>
      <c r="B3791" s="51" t="n">
        <v>45889</v>
      </c>
      <c r="C3791" s="50" t="s">
        <v>465</v>
      </c>
      <c r="D3791" s="50" t="s">
        <v>2180</v>
      </c>
      <c r="E3791" s="50" t="n">
        <v>5</v>
      </c>
      <c r="F3791" s="50" t="s">
        <v>2167</v>
      </c>
      <c r="G3791" s="54" t="n">
        <v>2283100</v>
      </c>
    </row>
    <row r="3792" customFormat="false" ht="15" hidden="false" customHeight="false" outlineLevel="0" collapsed="false">
      <c r="A3792" s="50" t="s">
        <v>1373</v>
      </c>
      <c r="B3792" s="51" t="n">
        <v>45889</v>
      </c>
      <c r="C3792" s="50" t="s">
        <v>293</v>
      </c>
      <c r="D3792" s="50" t="s">
        <v>2172</v>
      </c>
      <c r="E3792" s="50" t="n">
        <v>4</v>
      </c>
      <c r="F3792" s="50" t="s">
        <v>2167</v>
      </c>
      <c r="G3792" s="54" t="n">
        <v>2043000</v>
      </c>
    </row>
    <row r="3793" customFormat="false" ht="15" hidden="false" customHeight="false" outlineLevel="0" collapsed="false">
      <c r="A3793" s="50" t="s">
        <v>1373</v>
      </c>
      <c r="B3793" s="51" t="n">
        <v>45889</v>
      </c>
      <c r="C3793" s="50" t="s">
        <v>293</v>
      </c>
      <c r="D3793" s="50" t="s">
        <v>2176</v>
      </c>
      <c r="E3793" s="50" t="n">
        <v>7</v>
      </c>
      <c r="F3793" s="50" t="s">
        <v>2167</v>
      </c>
      <c r="G3793" s="54" t="n">
        <v>2857300</v>
      </c>
    </row>
    <row r="3794" customFormat="false" ht="15" hidden="false" customHeight="false" outlineLevel="0" collapsed="false">
      <c r="A3794" s="50" t="s">
        <v>1373</v>
      </c>
      <c r="B3794" s="51" t="n">
        <v>45889</v>
      </c>
      <c r="C3794" s="50" t="s">
        <v>293</v>
      </c>
      <c r="D3794" s="50" t="s">
        <v>2178</v>
      </c>
      <c r="E3794" s="50" t="n">
        <v>4</v>
      </c>
      <c r="F3794" s="50" t="s">
        <v>2167</v>
      </c>
      <c r="G3794" s="54" t="n">
        <v>1981900</v>
      </c>
    </row>
    <row r="3795" customFormat="false" ht="15" hidden="false" customHeight="false" outlineLevel="0" collapsed="false">
      <c r="A3795" s="50" t="s">
        <v>1374</v>
      </c>
      <c r="B3795" s="51" t="n">
        <v>45889</v>
      </c>
      <c r="C3795" s="50" t="s">
        <v>188</v>
      </c>
      <c r="D3795" s="50" t="s">
        <v>2169</v>
      </c>
      <c r="E3795" s="50" t="n">
        <v>3</v>
      </c>
      <c r="F3795" s="50" t="s">
        <v>2167</v>
      </c>
      <c r="G3795" s="54" t="n">
        <v>1803800</v>
      </c>
    </row>
    <row r="3796" customFormat="false" ht="15" hidden="false" customHeight="false" outlineLevel="0" collapsed="false">
      <c r="A3796" s="50" t="s">
        <v>1374</v>
      </c>
      <c r="B3796" s="51" t="n">
        <v>45889</v>
      </c>
      <c r="C3796" s="50" t="s">
        <v>188</v>
      </c>
      <c r="D3796" s="50" t="s">
        <v>2173</v>
      </c>
      <c r="E3796" s="50" t="n">
        <v>6</v>
      </c>
      <c r="F3796" s="50" t="s">
        <v>2174</v>
      </c>
      <c r="G3796" s="54" t="n">
        <v>4694400</v>
      </c>
    </row>
    <row r="3797" customFormat="false" ht="15" hidden="false" customHeight="false" outlineLevel="0" collapsed="false">
      <c r="A3797" s="50" t="s">
        <v>1374</v>
      </c>
      <c r="B3797" s="51" t="n">
        <v>45889</v>
      </c>
      <c r="C3797" s="50" t="s">
        <v>188</v>
      </c>
      <c r="D3797" s="50" t="s">
        <v>2184</v>
      </c>
      <c r="E3797" s="50" t="n">
        <v>4</v>
      </c>
      <c r="F3797" s="50" t="s">
        <v>2167</v>
      </c>
      <c r="G3797" s="54" t="n">
        <v>2216700</v>
      </c>
    </row>
    <row r="3798" customFormat="false" ht="15" hidden="false" customHeight="false" outlineLevel="0" collapsed="false">
      <c r="A3798" s="50" t="s">
        <v>1375</v>
      </c>
      <c r="B3798" s="51" t="n">
        <v>45889</v>
      </c>
      <c r="C3798" s="50" t="s">
        <v>174</v>
      </c>
      <c r="D3798" s="50" t="s">
        <v>2173</v>
      </c>
      <c r="E3798" s="50" t="n">
        <v>7</v>
      </c>
      <c r="F3798" s="50" t="s">
        <v>2174</v>
      </c>
      <c r="G3798" s="54" t="n">
        <v>5729900</v>
      </c>
    </row>
    <row r="3799" customFormat="false" ht="15" hidden="false" customHeight="false" outlineLevel="0" collapsed="false">
      <c r="A3799" s="50" t="s">
        <v>1376</v>
      </c>
      <c r="B3799" s="51" t="n">
        <v>45889</v>
      </c>
      <c r="C3799" s="50" t="s">
        <v>527</v>
      </c>
      <c r="D3799" s="50" t="s">
        <v>2183</v>
      </c>
      <c r="E3799" s="50" t="n">
        <v>2</v>
      </c>
      <c r="F3799" s="50" t="s">
        <v>2167</v>
      </c>
      <c r="G3799" s="54" t="n">
        <v>766900</v>
      </c>
    </row>
    <row r="3800" customFormat="false" ht="15" hidden="false" customHeight="false" outlineLevel="0" collapsed="false">
      <c r="A3800" s="50" t="s">
        <v>1376</v>
      </c>
      <c r="B3800" s="51" t="n">
        <v>45889</v>
      </c>
      <c r="C3800" s="50" t="s">
        <v>527</v>
      </c>
      <c r="D3800" s="50" t="s">
        <v>2181</v>
      </c>
      <c r="E3800" s="50" t="n">
        <v>8</v>
      </c>
      <c r="F3800" s="50" t="s">
        <v>2167</v>
      </c>
      <c r="G3800" s="54" t="n">
        <v>8989900</v>
      </c>
    </row>
    <row r="3801" customFormat="false" ht="15" hidden="false" customHeight="false" outlineLevel="0" collapsed="false">
      <c r="A3801" s="50" t="s">
        <v>1377</v>
      </c>
      <c r="B3801" s="51" t="n">
        <v>45889</v>
      </c>
      <c r="C3801" s="50" t="s">
        <v>174</v>
      </c>
      <c r="D3801" s="50" t="s">
        <v>2188</v>
      </c>
      <c r="E3801" s="50" t="n">
        <v>7</v>
      </c>
      <c r="F3801" s="50" t="s">
        <v>2167</v>
      </c>
      <c r="G3801" s="54" t="n">
        <v>6769900</v>
      </c>
    </row>
    <row r="3802" customFormat="false" ht="15" hidden="false" customHeight="false" outlineLevel="0" collapsed="false">
      <c r="A3802" s="50" t="s">
        <v>1377</v>
      </c>
      <c r="B3802" s="51" t="n">
        <v>45889</v>
      </c>
      <c r="C3802" s="50" t="s">
        <v>174</v>
      </c>
      <c r="D3802" s="50" t="s">
        <v>2183</v>
      </c>
      <c r="E3802" s="50" t="n">
        <v>1</v>
      </c>
      <c r="F3802" s="50" t="s">
        <v>2167</v>
      </c>
      <c r="G3802" s="54" t="n">
        <v>386300</v>
      </c>
    </row>
    <row r="3803" customFormat="false" ht="15" hidden="false" customHeight="false" outlineLevel="0" collapsed="false">
      <c r="A3803" s="50" t="s">
        <v>1377</v>
      </c>
      <c r="B3803" s="51" t="n">
        <v>45889</v>
      </c>
      <c r="C3803" s="50" t="s">
        <v>174</v>
      </c>
      <c r="D3803" s="50" t="s">
        <v>2180</v>
      </c>
      <c r="E3803" s="50" t="n">
        <v>2</v>
      </c>
      <c r="F3803" s="50" t="s">
        <v>2167</v>
      </c>
      <c r="G3803" s="54" t="n">
        <v>877800</v>
      </c>
    </row>
    <row r="3804" customFormat="false" ht="15" hidden="false" customHeight="false" outlineLevel="0" collapsed="false">
      <c r="A3804" s="50" t="s">
        <v>1377</v>
      </c>
      <c r="B3804" s="51" t="n">
        <v>45889</v>
      </c>
      <c r="C3804" s="50" t="s">
        <v>174</v>
      </c>
      <c r="D3804" s="50" t="s">
        <v>2173</v>
      </c>
      <c r="E3804" s="50" t="n">
        <v>3</v>
      </c>
      <c r="F3804" s="50" t="s">
        <v>2174</v>
      </c>
      <c r="G3804" s="54" t="n">
        <v>2350300</v>
      </c>
    </row>
    <row r="3805" customFormat="false" ht="15" hidden="false" customHeight="false" outlineLevel="0" collapsed="false">
      <c r="A3805" s="50" t="s">
        <v>1378</v>
      </c>
      <c r="B3805" s="51" t="n">
        <v>45889</v>
      </c>
      <c r="C3805" s="50" t="s">
        <v>505</v>
      </c>
      <c r="D3805" s="50" t="s">
        <v>2182</v>
      </c>
      <c r="E3805" s="50" t="n">
        <v>3</v>
      </c>
      <c r="F3805" s="50" t="s">
        <v>2174</v>
      </c>
      <c r="G3805" s="54" t="n">
        <v>2911800</v>
      </c>
    </row>
    <row r="3806" customFormat="false" ht="15" hidden="false" customHeight="false" outlineLevel="0" collapsed="false">
      <c r="A3806" s="50" t="s">
        <v>1378</v>
      </c>
      <c r="B3806" s="51" t="n">
        <v>45889</v>
      </c>
      <c r="C3806" s="50" t="s">
        <v>505</v>
      </c>
      <c r="D3806" s="50" t="s">
        <v>2176</v>
      </c>
      <c r="E3806" s="50" t="n">
        <v>8</v>
      </c>
      <c r="F3806" s="50" t="s">
        <v>2167</v>
      </c>
      <c r="G3806" s="54" t="n">
        <v>3447100</v>
      </c>
    </row>
    <row r="3807" customFormat="false" ht="15" hidden="false" customHeight="false" outlineLevel="0" collapsed="false">
      <c r="A3807" s="50" t="s">
        <v>1378</v>
      </c>
      <c r="B3807" s="51" t="n">
        <v>45889</v>
      </c>
      <c r="C3807" s="50" t="s">
        <v>505</v>
      </c>
      <c r="D3807" s="50" t="s">
        <v>2180</v>
      </c>
      <c r="E3807" s="50" t="n">
        <v>4</v>
      </c>
      <c r="F3807" s="50" t="s">
        <v>2167</v>
      </c>
      <c r="G3807" s="54" t="n">
        <v>1823000</v>
      </c>
    </row>
    <row r="3808" customFormat="false" ht="15" hidden="false" customHeight="false" outlineLevel="0" collapsed="false">
      <c r="A3808" s="50" t="s">
        <v>1378</v>
      </c>
      <c r="B3808" s="51" t="n">
        <v>45889</v>
      </c>
      <c r="C3808" s="50" t="s">
        <v>505</v>
      </c>
      <c r="D3808" s="50" t="s">
        <v>2169</v>
      </c>
      <c r="E3808" s="50" t="n">
        <v>1</v>
      </c>
      <c r="F3808" s="50" t="s">
        <v>2167</v>
      </c>
      <c r="G3808" s="54" t="n">
        <v>616200</v>
      </c>
    </row>
    <row r="3809" customFormat="false" ht="15" hidden="false" customHeight="false" outlineLevel="0" collapsed="false">
      <c r="A3809" s="50" t="s">
        <v>1379</v>
      </c>
      <c r="B3809" s="51" t="n">
        <v>45890</v>
      </c>
      <c r="C3809" s="50" t="s">
        <v>354</v>
      </c>
      <c r="D3809" s="50" t="s">
        <v>2168</v>
      </c>
      <c r="E3809" s="50" t="n">
        <v>5</v>
      </c>
      <c r="F3809" s="50" t="s">
        <v>2167</v>
      </c>
      <c r="G3809" s="54" t="n">
        <v>2068000</v>
      </c>
    </row>
    <row r="3810" customFormat="false" ht="15" hidden="false" customHeight="false" outlineLevel="0" collapsed="false">
      <c r="A3810" s="50" t="s">
        <v>1379</v>
      </c>
      <c r="B3810" s="51" t="n">
        <v>45890</v>
      </c>
      <c r="C3810" s="50" t="s">
        <v>354</v>
      </c>
      <c r="D3810" s="50" t="s">
        <v>2172</v>
      </c>
      <c r="E3810" s="50" t="n">
        <v>3</v>
      </c>
      <c r="F3810" s="50" t="s">
        <v>2167</v>
      </c>
      <c r="G3810" s="54" t="n">
        <v>1616800</v>
      </c>
    </row>
    <row r="3811" customFormat="false" ht="15" hidden="false" customHeight="false" outlineLevel="0" collapsed="false">
      <c r="A3811" s="50" t="s">
        <v>1379</v>
      </c>
      <c r="B3811" s="51" t="n">
        <v>45890</v>
      </c>
      <c r="C3811" s="50" t="s">
        <v>354</v>
      </c>
      <c r="D3811" s="50" t="s">
        <v>2188</v>
      </c>
      <c r="E3811" s="50" t="n">
        <v>2</v>
      </c>
      <c r="F3811" s="50" t="s">
        <v>2167</v>
      </c>
      <c r="G3811" s="54" t="n">
        <v>2008100</v>
      </c>
    </row>
    <row r="3812" customFormat="false" ht="15" hidden="false" customHeight="false" outlineLevel="0" collapsed="false">
      <c r="A3812" s="50" t="s">
        <v>1379</v>
      </c>
      <c r="B3812" s="51" t="n">
        <v>45890</v>
      </c>
      <c r="C3812" s="50" t="s">
        <v>354</v>
      </c>
      <c r="D3812" s="50" t="s">
        <v>2178</v>
      </c>
      <c r="E3812" s="50" t="n">
        <v>3</v>
      </c>
      <c r="F3812" s="50" t="s">
        <v>2167</v>
      </c>
      <c r="G3812" s="54" t="n">
        <v>1447700</v>
      </c>
    </row>
    <row r="3813" customFormat="false" ht="15" hidden="false" customHeight="false" outlineLevel="0" collapsed="false">
      <c r="A3813" s="50" t="s">
        <v>1379</v>
      </c>
      <c r="B3813" s="51" t="n">
        <v>45890</v>
      </c>
      <c r="C3813" s="50" t="s">
        <v>354</v>
      </c>
      <c r="D3813" s="50" t="s">
        <v>2169</v>
      </c>
      <c r="E3813" s="50" t="n">
        <v>5</v>
      </c>
      <c r="F3813" s="50" t="s">
        <v>2167</v>
      </c>
      <c r="G3813" s="54" t="n">
        <v>3085300</v>
      </c>
    </row>
    <row r="3814" customFormat="false" ht="15" hidden="false" customHeight="false" outlineLevel="0" collapsed="false">
      <c r="A3814" s="50" t="s">
        <v>1380</v>
      </c>
      <c r="B3814" s="51" t="n">
        <v>45890</v>
      </c>
      <c r="C3814" s="50" t="s">
        <v>174</v>
      </c>
      <c r="D3814" s="50" t="s">
        <v>2166</v>
      </c>
      <c r="E3814" s="50" t="n">
        <v>3</v>
      </c>
      <c r="F3814" s="50" t="s">
        <v>2167</v>
      </c>
      <c r="G3814" s="54" t="n">
        <v>1581900</v>
      </c>
    </row>
    <row r="3815" customFormat="false" ht="15" hidden="false" customHeight="false" outlineLevel="0" collapsed="false">
      <c r="A3815" s="50" t="s">
        <v>1380</v>
      </c>
      <c r="B3815" s="51" t="n">
        <v>45890</v>
      </c>
      <c r="C3815" s="50" t="s">
        <v>174</v>
      </c>
      <c r="D3815" s="50" t="s">
        <v>2177</v>
      </c>
      <c r="E3815" s="50" t="n">
        <v>1</v>
      </c>
      <c r="F3815" s="50" t="s">
        <v>2174</v>
      </c>
      <c r="G3815" s="54" t="n">
        <v>1092100</v>
      </c>
    </row>
    <row r="3816" customFormat="false" ht="15" hidden="false" customHeight="false" outlineLevel="0" collapsed="false">
      <c r="A3816" s="50" t="s">
        <v>1380</v>
      </c>
      <c r="B3816" s="51" t="n">
        <v>45890</v>
      </c>
      <c r="C3816" s="50" t="s">
        <v>174</v>
      </c>
      <c r="D3816" s="50" t="s">
        <v>2179</v>
      </c>
      <c r="E3816" s="50" t="n">
        <v>2</v>
      </c>
      <c r="F3816" s="50" t="s">
        <v>2174</v>
      </c>
      <c r="G3816" s="54" t="n">
        <v>2561600</v>
      </c>
    </row>
    <row r="3817" customFormat="false" ht="15" hidden="false" customHeight="false" outlineLevel="0" collapsed="false">
      <c r="A3817" s="50" t="s">
        <v>1380</v>
      </c>
      <c r="B3817" s="51" t="n">
        <v>45890</v>
      </c>
      <c r="C3817" s="50" t="s">
        <v>174</v>
      </c>
      <c r="D3817" s="50" t="s">
        <v>2185</v>
      </c>
      <c r="E3817" s="50" t="n">
        <v>7</v>
      </c>
      <c r="F3817" s="50" t="s">
        <v>2174</v>
      </c>
      <c r="G3817" s="54" t="n">
        <v>5366500</v>
      </c>
    </row>
    <row r="3818" customFormat="false" ht="15" hidden="false" customHeight="false" outlineLevel="0" collapsed="false">
      <c r="A3818" s="50" t="s">
        <v>1380</v>
      </c>
      <c r="B3818" s="51" t="n">
        <v>45890</v>
      </c>
      <c r="C3818" s="50" t="s">
        <v>174</v>
      </c>
      <c r="D3818" s="50" t="s">
        <v>2186</v>
      </c>
      <c r="E3818" s="50" t="n">
        <v>3</v>
      </c>
      <c r="F3818" s="50" t="s">
        <v>2167</v>
      </c>
      <c r="G3818" s="54" t="n">
        <v>1802100</v>
      </c>
    </row>
    <row r="3819" customFormat="false" ht="15" hidden="false" customHeight="false" outlineLevel="0" collapsed="false">
      <c r="A3819" s="50" t="s">
        <v>1381</v>
      </c>
      <c r="B3819" s="51" t="n">
        <v>45890</v>
      </c>
      <c r="C3819" s="50" t="s">
        <v>527</v>
      </c>
      <c r="D3819" s="50" t="s">
        <v>2184</v>
      </c>
      <c r="E3819" s="50" t="n">
        <v>2</v>
      </c>
      <c r="F3819" s="50" t="s">
        <v>2167</v>
      </c>
      <c r="G3819" s="54" t="n">
        <v>1094200</v>
      </c>
    </row>
    <row r="3820" customFormat="false" ht="15" hidden="false" customHeight="false" outlineLevel="0" collapsed="false">
      <c r="A3820" s="50" t="s">
        <v>1381</v>
      </c>
      <c r="B3820" s="51" t="n">
        <v>45890</v>
      </c>
      <c r="C3820" s="50" t="s">
        <v>527</v>
      </c>
      <c r="D3820" s="50" t="s">
        <v>2177</v>
      </c>
      <c r="E3820" s="50" t="n">
        <v>8</v>
      </c>
      <c r="F3820" s="50" t="s">
        <v>2174</v>
      </c>
      <c r="G3820" s="54" t="n">
        <v>8502300</v>
      </c>
    </row>
    <row r="3821" customFormat="false" ht="15" hidden="false" customHeight="false" outlineLevel="0" collapsed="false">
      <c r="A3821" s="50" t="s">
        <v>1381</v>
      </c>
      <c r="B3821" s="51" t="n">
        <v>45890</v>
      </c>
      <c r="C3821" s="50" t="s">
        <v>527</v>
      </c>
      <c r="D3821" s="50" t="s">
        <v>2172</v>
      </c>
      <c r="E3821" s="50" t="n">
        <v>2</v>
      </c>
      <c r="F3821" s="50" t="s">
        <v>2167</v>
      </c>
      <c r="G3821" s="54" t="n">
        <v>1047400</v>
      </c>
    </row>
    <row r="3822" customFormat="false" ht="15" hidden="false" customHeight="false" outlineLevel="0" collapsed="false">
      <c r="A3822" s="50" t="s">
        <v>1381</v>
      </c>
      <c r="B3822" s="51" t="n">
        <v>45890</v>
      </c>
      <c r="C3822" s="50" t="s">
        <v>527</v>
      </c>
      <c r="D3822" s="50" t="s">
        <v>2169</v>
      </c>
      <c r="E3822" s="50" t="n">
        <v>7</v>
      </c>
      <c r="F3822" s="50" t="s">
        <v>2167</v>
      </c>
      <c r="G3822" s="54" t="n">
        <v>4250100</v>
      </c>
    </row>
    <row r="3823" customFormat="false" ht="15" hidden="false" customHeight="false" outlineLevel="0" collapsed="false">
      <c r="A3823" s="50" t="s">
        <v>1381</v>
      </c>
      <c r="B3823" s="51" t="n">
        <v>45890</v>
      </c>
      <c r="C3823" s="50" t="s">
        <v>527</v>
      </c>
      <c r="D3823" s="50" t="s">
        <v>2178</v>
      </c>
      <c r="E3823" s="50" t="n">
        <v>1</v>
      </c>
      <c r="F3823" s="50" t="s">
        <v>2167</v>
      </c>
      <c r="G3823" s="54" t="n">
        <v>471500</v>
      </c>
    </row>
    <row r="3824" customFormat="false" ht="15" hidden="false" customHeight="false" outlineLevel="0" collapsed="false">
      <c r="A3824" s="50" t="s">
        <v>1381</v>
      </c>
      <c r="B3824" s="51" t="n">
        <v>45890</v>
      </c>
      <c r="C3824" s="50" t="s">
        <v>527</v>
      </c>
      <c r="D3824" s="50" t="s">
        <v>2188</v>
      </c>
      <c r="E3824" s="50" t="n">
        <v>7</v>
      </c>
      <c r="F3824" s="50" t="s">
        <v>2167</v>
      </c>
      <c r="G3824" s="54" t="n">
        <v>6793600</v>
      </c>
    </row>
    <row r="3825" customFormat="false" ht="15" hidden="false" customHeight="false" outlineLevel="0" collapsed="false">
      <c r="A3825" s="50" t="s">
        <v>1382</v>
      </c>
      <c r="B3825" s="51" t="n">
        <v>45890</v>
      </c>
      <c r="C3825" s="50" t="s">
        <v>562</v>
      </c>
      <c r="D3825" s="50" t="s">
        <v>2172</v>
      </c>
      <c r="E3825" s="50" t="n">
        <v>3</v>
      </c>
      <c r="F3825" s="50" t="s">
        <v>2167</v>
      </c>
      <c r="G3825" s="54" t="n">
        <v>1609200</v>
      </c>
    </row>
    <row r="3826" customFormat="false" ht="15" hidden="false" customHeight="false" outlineLevel="0" collapsed="false">
      <c r="A3826" s="50" t="s">
        <v>1382</v>
      </c>
      <c r="B3826" s="51" t="n">
        <v>45890</v>
      </c>
      <c r="C3826" s="50" t="s">
        <v>562</v>
      </c>
      <c r="D3826" s="50" t="s">
        <v>2166</v>
      </c>
      <c r="E3826" s="50" t="n">
        <v>5</v>
      </c>
      <c r="F3826" s="50" t="s">
        <v>2167</v>
      </c>
      <c r="G3826" s="54" t="n">
        <v>2688000</v>
      </c>
    </row>
    <row r="3827" customFormat="false" ht="15" hidden="false" customHeight="false" outlineLevel="0" collapsed="false">
      <c r="A3827" s="50" t="s">
        <v>1382</v>
      </c>
      <c r="B3827" s="51" t="n">
        <v>45890</v>
      </c>
      <c r="C3827" s="50" t="s">
        <v>562</v>
      </c>
      <c r="D3827" s="50" t="s">
        <v>2169</v>
      </c>
      <c r="E3827" s="50" t="n">
        <v>2</v>
      </c>
      <c r="F3827" s="50" t="s">
        <v>2167</v>
      </c>
      <c r="G3827" s="54" t="n">
        <v>1241600</v>
      </c>
    </row>
    <row r="3828" customFormat="false" ht="15" hidden="false" customHeight="false" outlineLevel="0" collapsed="false">
      <c r="A3828" s="50" t="s">
        <v>1382</v>
      </c>
      <c r="B3828" s="51" t="n">
        <v>45890</v>
      </c>
      <c r="C3828" s="50" t="s">
        <v>562</v>
      </c>
      <c r="D3828" s="50" t="s">
        <v>2186</v>
      </c>
      <c r="E3828" s="50" t="n">
        <v>3</v>
      </c>
      <c r="F3828" s="50" t="s">
        <v>2167</v>
      </c>
      <c r="G3828" s="54" t="n">
        <v>1733700</v>
      </c>
    </row>
    <row r="3829" customFormat="false" ht="15" hidden="false" customHeight="false" outlineLevel="0" collapsed="false">
      <c r="A3829" s="50" t="s">
        <v>1382</v>
      </c>
      <c r="B3829" s="51" t="n">
        <v>45890</v>
      </c>
      <c r="C3829" s="50" t="s">
        <v>562</v>
      </c>
      <c r="D3829" s="50" t="s">
        <v>2179</v>
      </c>
      <c r="E3829" s="50" t="n">
        <v>1</v>
      </c>
      <c r="F3829" s="50" t="s">
        <v>2174</v>
      </c>
      <c r="G3829" s="54" t="n">
        <v>1258200</v>
      </c>
    </row>
    <row r="3830" customFormat="false" ht="15" hidden="false" customHeight="false" outlineLevel="0" collapsed="false">
      <c r="A3830" s="50" t="s">
        <v>1383</v>
      </c>
      <c r="B3830" s="51" t="n">
        <v>45890</v>
      </c>
      <c r="C3830" s="50" t="s">
        <v>436</v>
      </c>
      <c r="D3830" s="50" t="s">
        <v>2172</v>
      </c>
      <c r="E3830" s="50" t="n">
        <v>2</v>
      </c>
      <c r="F3830" s="50" t="s">
        <v>2167</v>
      </c>
      <c r="G3830" s="54" t="n">
        <v>1079400</v>
      </c>
    </row>
    <row r="3831" customFormat="false" ht="15" hidden="false" customHeight="false" outlineLevel="0" collapsed="false">
      <c r="A3831" s="50" t="s">
        <v>1383</v>
      </c>
      <c r="B3831" s="51" t="n">
        <v>45890</v>
      </c>
      <c r="C3831" s="50" t="s">
        <v>436</v>
      </c>
      <c r="D3831" s="50" t="s">
        <v>2183</v>
      </c>
      <c r="E3831" s="50" t="n">
        <v>4</v>
      </c>
      <c r="F3831" s="50" t="s">
        <v>2167</v>
      </c>
      <c r="G3831" s="54" t="n">
        <v>1494900</v>
      </c>
    </row>
    <row r="3832" customFormat="false" ht="15" hidden="false" customHeight="false" outlineLevel="0" collapsed="false">
      <c r="A3832" s="50" t="s">
        <v>1383</v>
      </c>
      <c r="B3832" s="51" t="n">
        <v>45890</v>
      </c>
      <c r="C3832" s="50" t="s">
        <v>436</v>
      </c>
      <c r="D3832" s="50" t="s">
        <v>2184</v>
      </c>
      <c r="E3832" s="50" t="n">
        <v>5</v>
      </c>
      <c r="F3832" s="50" t="s">
        <v>2167</v>
      </c>
      <c r="G3832" s="54" t="n">
        <v>2859100</v>
      </c>
    </row>
    <row r="3833" customFormat="false" ht="15" hidden="false" customHeight="false" outlineLevel="0" collapsed="false">
      <c r="A3833" s="50" t="s">
        <v>1384</v>
      </c>
      <c r="B3833" s="51" t="n">
        <v>45890</v>
      </c>
      <c r="C3833" s="50" t="s">
        <v>237</v>
      </c>
      <c r="D3833" s="50" t="s">
        <v>2184</v>
      </c>
      <c r="E3833" s="50" t="n">
        <v>6</v>
      </c>
      <c r="F3833" s="50" t="s">
        <v>2167</v>
      </c>
      <c r="G3833" s="54" t="n">
        <v>3232500</v>
      </c>
    </row>
    <row r="3834" customFormat="false" ht="15" hidden="false" customHeight="false" outlineLevel="0" collapsed="false">
      <c r="A3834" s="50" t="s">
        <v>1384</v>
      </c>
      <c r="B3834" s="51" t="n">
        <v>45890</v>
      </c>
      <c r="C3834" s="50" t="s">
        <v>237</v>
      </c>
      <c r="D3834" s="50" t="s">
        <v>2168</v>
      </c>
      <c r="E3834" s="50" t="n">
        <v>8</v>
      </c>
      <c r="F3834" s="50" t="s">
        <v>2167</v>
      </c>
      <c r="G3834" s="54" t="n">
        <v>3485300</v>
      </c>
    </row>
    <row r="3835" customFormat="false" ht="15" hidden="false" customHeight="false" outlineLevel="0" collapsed="false">
      <c r="A3835" s="50" t="s">
        <v>1384</v>
      </c>
      <c r="B3835" s="51" t="n">
        <v>45890</v>
      </c>
      <c r="C3835" s="50" t="s">
        <v>237</v>
      </c>
      <c r="D3835" s="50" t="s">
        <v>2172</v>
      </c>
      <c r="E3835" s="50" t="n">
        <v>2</v>
      </c>
      <c r="F3835" s="50" t="s">
        <v>2167</v>
      </c>
      <c r="G3835" s="54" t="n">
        <v>1000800</v>
      </c>
    </row>
    <row r="3836" customFormat="false" ht="15" hidden="false" customHeight="false" outlineLevel="0" collapsed="false">
      <c r="A3836" s="50" t="s">
        <v>1385</v>
      </c>
      <c r="B3836" s="51" t="n">
        <v>45891</v>
      </c>
      <c r="C3836" s="50" t="s">
        <v>174</v>
      </c>
      <c r="D3836" s="50" t="s">
        <v>2168</v>
      </c>
      <c r="E3836" s="50" t="n">
        <v>2</v>
      </c>
      <c r="F3836" s="50" t="s">
        <v>2167</v>
      </c>
      <c r="G3836" s="54" t="n">
        <v>850700</v>
      </c>
    </row>
    <row r="3837" customFormat="false" ht="15" hidden="false" customHeight="false" outlineLevel="0" collapsed="false">
      <c r="A3837" s="50" t="s">
        <v>1385</v>
      </c>
      <c r="B3837" s="51" t="n">
        <v>45891</v>
      </c>
      <c r="C3837" s="50" t="s">
        <v>174</v>
      </c>
      <c r="D3837" s="50" t="s">
        <v>2179</v>
      </c>
      <c r="E3837" s="50" t="n">
        <v>2</v>
      </c>
      <c r="F3837" s="50" t="s">
        <v>2174</v>
      </c>
      <c r="G3837" s="54" t="n">
        <v>2451800</v>
      </c>
    </row>
    <row r="3838" customFormat="false" ht="15" hidden="false" customHeight="false" outlineLevel="0" collapsed="false">
      <c r="A3838" s="50" t="s">
        <v>1385</v>
      </c>
      <c r="B3838" s="51" t="n">
        <v>45891</v>
      </c>
      <c r="C3838" s="50" t="s">
        <v>174</v>
      </c>
      <c r="D3838" s="50" t="s">
        <v>2185</v>
      </c>
      <c r="E3838" s="50" t="n">
        <v>4</v>
      </c>
      <c r="F3838" s="50" t="s">
        <v>2174</v>
      </c>
      <c r="G3838" s="54" t="n">
        <v>3198300</v>
      </c>
    </row>
    <row r="3839" customFormat="false" ht="15" hidden="false" customHeight="false" outlineLevel="0" collapsed="false">
      <c r="A3839" s="50" t="s">
        <v>1385</v>
      </c>
      <c r="B3839" s="51" t="n">
        <v>45891</v>
      </c>
      <c r="C3839" s="50" t="s">
        <v>174</v>
      </c>
      <c r="D3839" s="50" t="s">
        <v>2169</v>
      </c>
      <c r="E3839" s="50" t="n">
        <v>2</v>
      </c>
      <c r="F3839" s="50" t="s">
        <v>2167</v>
      </c>
      <c r="G3839" s="54" t="n">
        <v>1232700</v>
      </c>
    </row>
    <row r="3840" customFormat="false" ht="15" hidden="false" customHeight="false" outlineLevel="0" collapsed="false">
      <c r="A3840" s="50" t="s">
        <v>1386</v>
      </c>
      <c r="B3840" s="51" t="n">
        <v>45891</v>
      </c>
      <c r="C3840" s="50" t="s">
        <v>199</v>
      </c>
      <c r="D3840" s="50" t="s">
        <v>2184</v>
      </c>
      <c r="E3840" s="50" t="n">
        <v>5</v>
      </c>
      <c r="F3840" s="50" t="s">
        <v>2167</v>
      </c>
      <c r="G3840" s="54" t="n">
        <v>2774900</v>
      </c>
    </row>
    <row r="3841" customFormat="false" ht="15" hidden="false" customHeight="false" outlineLevel="0" collapsed="false">
      <c r="A3841" s="50" t="s">
        <v>1386</v>
      </c>
      <c r="B3841" s="51" t="n">
        <v>45891</v>
      </c>
      <c r="C3841" s="50" t="s">
        <v>199</v>
      </c>
      <c r="D3841" s="50" t="s">
        <v>2181</v>
      </c>
      <c r="E3841" s="50" t="n">
        <v>3</v>
      </c>
      <c r="F3841" s="50" t="s">
        <v>2167</v>
      </c>
      <c r="G3841" s="54" t="n">
        <v>3436500</v>
      </c>
    </row>
    <row r="3842" customFormat="false" ht="15" hidden="false" customHeight="false" outlineLevel="0" collapsed="false">
      <c r="A3842" s="50" t="s">
        <v>1386</v>
      </c>
      <c r="B3842" s="51" t="n">
        <v>45891</v>
      </c>
      <c r="C3842" s="50" t="s">
        <v>199</v>
      </c>
      <c r="D3842" s="50" t="s">
        <v>2175</v>
      </c>
      <c r="E3842" s="50" t="n">
        <v>1</v>
      </c>
      <c r="F3842" s="50" t="s">
        <v>2167</v>
      </c>
      <c r="G3842" s="54" t="n">
        <v>662700</v>
      </c>
    </row>
    <row r="3843" customFormat="false" ht="15" hidden="false" customHeight="false" outlineLevel="0" collapsed="false">
      <c r="A3843" s="50" t="s">
        <v>1386</v>
      </c>
      <c r="B3843" s="51" t="n">
        <v>45891</v>
      </c>
      <c r="C3843" s="50" t="s">
        <v>199</v>
      </c>
      <c r="D3843" s="50" t="s">
        <v>2185</v>
      </c>
      <c r="E3843" s="50" t="n">
        <v>1</v>
      </c>
      <c r="F3843" s="50" t="s">
        <v>2174</v>
      </c>
      <c r="G3843" s="54" t="n">
        <v>793600</v>
      </c>
    </row>
    <row r="3844" customFormat="false" ht="15" hidden="false" customHeight="false" outlineLevel="0" collapsed="false">
      <c r="A3844" s="50" t="s">
        <v>1386</v>
      </c>
      <c r="B3844" s="51" t="n">
        <v>45891</v>
      </c>
      <c r="C3844" s="50" t="s">
        <v>199</v>
      </c>
      <c r="D3844" s="50" t="s">
        <v>2176</v>
      </c>
      <c r="E3844" s="50" t="n">
        <v>2</v>
      </c>
      <c r="F3844" s="50" t="s">
        <v>2167</v>
      </c>
      <c r="G3844" s="54" t="n">
        <v>827500</v>
      </c>
    </row>
    <row r="3845" customFormat="false" ht="15" hidden="false" customHeight="false" outlineLevel="0" collapsed="false">
      <c r="A3845" s="50" t="s">
        <v>1387</v>
      </c>
      <c r="B3845" s="51" t="n">
        <v>45891</v>
      </c>
      <c r="C3845" s="50" t="s">
        <v>430</v>
      </c>
      <c r="D3845" s="50" t="s">
        <v>2179</v>
      </c>
      <c r="E3845" s="50" t="n">
        <v>4</v>
      </c>
      <c r="F3845" s="50" t="s">
        <v>2174</v>
      </c>
      <c r="G3845" s="54" t="n">
        <v>4938400</v>
      </c>
    </row>
    <row r="3846" customFormat="false" ht="15" hidden="false" customHeight="false" outlineLevel="0" collapsed="false">
      <c r="A3846" s="50" t="s">
        <v>1387</v>
      </c>
      <c r="B3846" s="51" t="n">
        <v>45891</v>
      </c>
      <c r="C3846" s="50" t="s">
        <v>430</v>
      </c>
      <c r="D3846" s="50" t="s">
        <v>2169</v>
      </c>
      <c r="E3846" s="50" t="n">
        <v>4</v>
      </c>
      <c r="F3846" s="50" t="s">
        <v>2167</v>
      </c>
      <c r="G3846" s="54" t="n">
        <v>2451800</v>
      </c>
    </row>
    <row r="3847" customFormat="false" ht="15" hidden="false" customHeight="false" outlineLevel="0" collapsed="false">
      <c r="A3847" s="50" t="s">
        <v>1388</v>
      </c>
      <c r="B3847" s="51" t="n">
        <v>45891</v>
      </c>
      <c r="C3847" s="50" t="s">
        <v>216</v>
      </c>
      <c r="D3847" s="50" t="s">
        <v>2186</v>
      </c>
      <c r="E3847" s="50" t="n">
        <v>6</v>
      </c>
      <c r="F3847" s="50" t="s">
        <v>2167</v>
      </c>
      <c r="G3847" s="54" t="n">
        <v>3677900</v>
      </c>
    </row>
    <row r="3848" customFormat="false" ht="15" hidden="false" customHeight="false" outlineLevel="0" collapsed="false">
      <c r="A3848" s="50" t="s">
        <v>1388</v>
      </c>
      <c r="B3848" s="51" t="n">
        <v>45891</v>
      </c>
      <c r="C3848" s="50" t="s">
        <v>216</v>
      </c>
      <c r="D3848" s="50" t="s">
        <v>2182</v>
      </c>
      <c r="E3848" s="50" t="n">
        <v>7</v>
      </c>
      <c r="F3848" s="50" t="s">
        <v>2174</v>
      </c>
      <c r="G3848" s="54" t="n">
        <v>6539200</v>
      </c>
    </row>
    <row r="3849" customFormat="false" ht="15" hidden="false" customHeight="false" outlineLevel="0" collapsed="false">
      <c r="A3849" s="50" t="s">
        <v>1389</v>
      </c>
      <c r="B3849" s="51" t="n">
        <v>45891</v>
      </c>
      <c r="C3849" s="50" t="s">
        <v>188</v>
      </c>
      <c r="D3849" s="50" t="s">
        <v>2186</v>
      </c>
      <c r="E3849" s="50" t="n">
        <v>4</v>
      </c>
      <c r="F3849" s="50" t="s">
        <v>2167</v>
      </c>
      <c r="G3849" s="54" t="n">
        <v>2398900</v>
      </c>
    </row>
    <row r="3850" customFormat="false" ht="15" hidden="false" customHeight="false" outlineLevel="0" collapsed="false">
      <c r="A3850" s="50" t="s">
        <v>1389</v>
      </c>
      <c r="B3850" s="51" t="n">
        <v>45891</v>
      </c>
      <c r="C3850" s="50" t="s">
        <v>188</v>
      </c>
      <c r="D3850" s="50" t="s">
        <v>2181</v>
      </c>
      <c r="E3850" s="50" t="n">
        <v>2</v>
      </c>
      <c r="F3850" s="50" t="s">
        <v>2167</v>
      </c>
      <c r="G3850" s="54" t="n">
        <v>2364800</v>
      </c>
    </row>
    <row r="3851" customFormat="false" ht="15" hidden="false" customHeight="false" outlineLevel="0" collapsed="false">
      <c r="A3851" s="50" t="s">
        <v>1389</v>
      </c>
      <c r="B3851" s="51" t="n">
        <v>45891</v>
      </c>
      <c r="C3851" s="50" t="s">
        <v>188</v>
      </c>
      <c r="D3851" s="50" t="s">
        <v>2180</v>
      </c>
      <c r="E3851" s="50" t="n">
        <v>5</v>
      </c>
      <c r="F3851" s="50" t="s">
        <v>2167</v>
      </c>
      <c r="G3851" s="54" t="n">
        <v>2177700</v>
      </c>
    </row>
    <row r="3852" customFormat="false" ht="15" hidden="false" customHeight="false" outlineLevel="0" collapsed="false">
      <c r="A3852" s="50" t="s">
        <v>1389</v>
      </c>
      <c r="B3852" s="51" t="n">
        <v>45891</v>
      </c>
      <c r="C3852" s="50" t="s">
        <v>188</v>
      </c>
      <c r="D3852" s="50" t="s">
        <v>2185</v>
      </c>
      <c r="E3852" s="50" t="n">
        <v>6</v>
      </c>
      <c r="F3852" s="50" t="s">
        <v>2174</v>
      </c>
      <c r="G3852" s="54" t="n">
        <v>4557300</v>
      </c>
    </row>
    <row r="3853" customFormat="false" ht="15" hidden="false" customHeight="false" outlineLevel="0" collapsed="false">
      <c r="A3853" s="50" t="s">
        <v>1389</v>
      </c>
      <c r="B3853" s="51" t="n">
        <v>45891</v>
      </c>
      <c r="C3853" s="50" t="s">
        <v>188</v>
      </c>
      <c r="D3853" s="50" t="s">
        <v>2188</v>
      </c>
      <c r="E3853" s="50" t="n">
        <v>1</v>
      </c>
      <c r="F3853" s="50" t="s">
        <v>2167</v>
      </c>
      <c r="G3853" s="54" t="n">
        <v>1004800</v>
      </c>
    </row>
    <row r="3854" customFormat="false" ht="15" hidden="false" customHeight="false" outlineLevel="0" collapsed="false">
      <c r="A3854" s="50" t="s">
        <v>1390</v>
      </c>
      <c r="B3854" s="51" t="n">
        <v>45891</v>
      </c>
      <c r="C3854" s="50" t="s">
        <v>188</v>
      </c>
      <c r="D3854" s="50" t="s">
        <v>2181</v>
      </c>
      <c r="E3854" s="50" t="n">
        <v>1</v>
      </c>
      <c r="F3854" s="50" t="s">
        <v>2167</v>
      </c>
      <c r="G3854" s="54" t="n">
        <v>1173600</v>
      </c>
    </row>
    <row r="3855" customFormat="false" ht="15" hidden="false" customHeight="false" outlineLevel="0" collapsed="false">
      <c r="A3855" s="50" t="s">
        <v>1390</v>
      </c>
      <c r="B3855" s="51" t="n">
        <v>45891</v>
      </c>
      <c r="C3855" s="50" t="s">
        <v>188</v>
      </c>
      <c r="D3855" s="50" t="s">
        <v>2176</v>
      </c>
      <c r="E3855" s="50" t="n">
        <v>3</v>
      </c>
      <c r="F3855" s="50" t="s">
        <v>2167</v>
      </c>
      <c r="G3855" s="54" t="n">
        <v>1298100</v>
      </c>
    </row>
    <row r="3856" customFormat="false" ht="15" hidden="false" customHeight="false" outlineLevel="0" collapsed="false">
      <c r="A3856" s="50" t="s">
        <v>1390</v>
      </c>
      <c r="B3856" s="51" t="n">
        <v>45891</v>
      </c>
      <c r="C3856" s="50" t="s">
        <v>188</v>
      </c>
      <c r="D3856" s="50" t="s">
        <v>2166</v>
      </c>
      <c r="E3856" s="50" t="n">
        <v>4</v>
      </c>
      <c r="F3856" s="50" t="s">
        <v>2167</v>
      </c>
      <c r="G3856" s="54" t="n">
        <v>2242700</v>
      </c>
    </row>
    <row r="3857" customFormat="false" ht="15" hidden="false" customHeight="false" outlineLevel="0" collapsed="false">
      <c r="A3857" s="50" t="s">
        <v>1390</v>
      </c>
      <c r="B3857" s="51" t="n">
        <v>45891</v>
      </c>
      <c r="C3857" s="50" t="s">
        <v>188</v>
      </c>
      <c r="D3857" s="50" t="s">
        <v>2180</v>
      </c>
      <c r="E3857" s="50" t="n">
        <v>5</v>
      </c>
      <c r="F3857" s="50" t="s">
        <v>2167</v>
      </c>
      <c r="G3857" s="54" t="n">
        <v>2254000</v>
      </c>
    </row>
    <row r="3858" customFormat="false" ht="15" hidden="false" customHeight="false" outlineLevel="0" collapsed="false">
      <c r="A3858" s="50" t="s">
        <v>1390</v>
      </c>
      <c r="B3858" s="51" t="n">
        <v>45891</v>
      </c>
      <c r="C3858" s="50" t="s">
        <v>188</v>
      </c>
      <c r="D3858" s="50" t="s">
        <v>2169</v>
      </c>
      <c r="E3858" s="50" t="n">
        <v>8</v>
      </c>
      <c r="F3858" s="50" t="s">
        <v>2167</v>
      </c>
      <c r="G3858" s="54" t="n">
        <v>5067300</v>
      </c>
    </row>
    <row r="3859" customFormat="false" ht="15" hidden="false" customHeight="false" outlineLevel="0" collapsed="false">
      <c r="A3859" s="50" t="s">
        <v>1391</v>
      </c>
      <c r="B3859" s="51" t="n">
        <v>45892</v>
      </c>
      <c r="C3859" s="50" t="s">
        <v>419</v>
      </c>
      <c r="D3859" s="50" t="s">
        <v>2177</v>
      </c>
      <c r="E3859" s="50" t="n">
        <v>5</v>
      </c>
      <c r="F3859" s="50" t="s">
        <v>2174</v>
      </c>
      <c r="G3859" s="54" t="n">
        <v>5365300</v>
      </c>
    </row>
    <row r="3860" customFormat="false" ht="15" hidden="false" customHeight="false" outlineLevel="0" collapsed="false">
      <c r="A3860" s="50" t="s">
        <v>1391</v>
      </c>
      <c r="B3860" s="51" t="n">
        <v>45892</v>
      </c>
      <c r="C3860" s="50" t="s">
        <v>419</v>
      </c>
      <c r="D3860" s="50" t="s">
        <v>2169</v>
      </c>
      <c r="E3860" s="50" t="n">
        <v>2</v>
      </c>
      <c r="F3860" s="50" t="s">
        <v>2167</v>
      </c>
      <c r="G3860" s="54" t="n">
        <v>1282900</v>
      </c>
    </row>
    <row r="3861" customFormat="false" ht="15" hidden="false" customHeight="false" outlineLevel="0" collapsed="false">
      <c r="A3861" s="50" t="s">
        <v>1391</v>
      </c>
      <c r="B3861" s="51" t="n">
        <v>45892</v>
      </c>
      <c r="C3861" s="50" t="s">
        <v>419</v>
      </c>
      <c r="D3861" s="50" t="s">
        <v>2180</v>
      </c>
      <c r="E3861" s="50" t="n">
        <v>6</v>
      </c>
      <c r="F3861" s="50" t="s">
        <v>2167</v>
      </c>
      <c r="G3861" s="54" t="n">
        <v>2729900</v>
      </c>
    </row>
    <row r="3862" customFormat="false" ht="15" hidden="false" customHeight="false" outlineLevel="0" collapsed="false">
      <c r="A3862" s="50" t="s">
        <v>1391</v>
      </c>
      <c r="B3862" s="51" t="n">
        <v>45892</v>
      </c>
      <c r="C3862" s="50" t="s">
        <v>419</v>
      </c>
      <c r="D3862" s="50" t="s">
        <v>2173</v>
      </c>
      <c r="E3862" s="50" t="n">
        <v>6</v>
      </c>
      <c r="F3862" s="50" t="s">
        <v>2174</v>
      </c>
      <c r="G3862" s="54" t="n">
        <v>4628000</v>
      </c>
    </row>
    <row r="3863" customFormat="false" ht="15" hidden="false" customHeight="false" outlineLevel="0" collapsed="false">
      <c r="A3863" s="50" t="s">
        <v>1392</v>
      </c>
      <c r="B3863" s="51" t="n">
        <v>45892</v>
      </c>
      <c r="C3863" s="50" t="s">
        <v>251</v>
      </c>
      <c r="D3863" s="50" t="s">
        <v>2166</v>
      </c>
      <c r="E3863" s="50" t="n">
        <v>1</v>
      </c>
      <c r="F3863" s="50" t="s">
        <v>2167</v>
      </c>
      <c r="G3863" s="54" t="n">
        <v>521000</v>
      </c>
    </row>
    <row r="3864" customFormat="false" ht="15" hidden="false" customHeight="false" outlineLevel="0" collapsed="false">
      <c r="A3864" s="50" t="s">
        <v>1392</v>
      </c>
      <c r="B3864" s="51" t="n">
        <v>45892</v>
      </c>
      <c r="C3864" s="50" t="s">
        <v>251</v>
      </c>
      <c r="D3864" s="50" t="s">
        <v>2176</v>
      </c>
      <c r="E3864" s="50" t="n">
        <v>8</v>
      </c>
      <c r="F3864" s="50" t="s">
        <v>2167</v>
      </c>
      <c r="G3864" s="54" t="n">
        <v>3356100</v>
      </c>
    </row>
    <row r="3865" customFormat="false" ht="15" hidden="false" customHeight="false" outlineLevel="0" collapsed="false">
      <c r="A3865" s="50" t="s">
        <v>1392</v>
      </c>
      <c r="B3865" s="51" t="n">
        <v>45892</v>
      </c>
      <c r="C3865" s="50" t="s">
        <v>251</v>
      </c>
      <c r="D3865" s="50" t="s">
        <v>2179</v>
      </c>
      <c r="E3865" s="50" t="n">
        <v>4</v>
      </c>
      <c r="F3865" s="50" t="s">
        <v>2174</v>
      </c>
      <c r="G3865" s="54" t="n">
        <v>5103000</v>
      </c>
    </row>
    <row r="3866" customFormat="false" ht="15" hidden="false" customHeight="false" outlineLevel="0" collapsed="false">
      <c r="A3866" s="50" t="s">
        <v>1393</v>
      </c>
      <c r="B3866" s="51" t="n">
        <v>45892</v>
      </c>
      <c r="C3866" s="50" t="s">
        <v>166</v>
      </c>
      <c r="D3866" s="50" t="s">
        <v>2175</v>
      </c>
      <c r="E3866" s="50" t="n">
        <v>4</v>
      </c>
      <c r="F3866" s="50" t="s">
        <v>2167</v>
      </c>
      <c r="G3866" s="54" t="n">
        <v>2652700</v>
      </c>
    </row>
    <row r="3867" customFormat="false" ht="15" hidden="false" customHeight="false" outlineLevel="0" collapsed="false">
      <c r="A3867" s="50" t="s">
        <v>1393</v>
      </c>
      <c r="B3867" s="51" t="n">
        <v>45892</v>
      </c>
      <c r="C3867" s="50" t="s">
        <v>166</v>
      </c>
      <c r="D3867" s="50" t="s">
        <v>2184</v>
      </c>
      <c r="E3867" s="50" t="n">
        <v>6</v>
      </c>
      <c r="F3867" s="50" t="s">
        <v>2167</v>
      </c>
      <c r="G3867" s="54" t="n">
        <v>3384300</v>
      </c>
    </row>
    <row r="3868" customFormat="false" ht="15" hidden="false" customHeight="false" outlineLevel="0" collapsed="false">
      <c r="A3868" s="50" t="s">
        <v>1393</v>
      </c>
      <c r="B3868" s="51" t="n">
        <v>45892</v>
      </c>
      <c r="C3868" s="50" t="s">
        <v>166</v>
      </c>
      <c r="D3868" s="50" t="s">
        <v>2186</v>
      </c>
      <c r="E3868" s="50" t="n">
        <v>4</v>
      </c>
      <c r="F3868" s="50" t="s">
        <v>2167</v>
      </c>
      <c r="G3868" s="54" t="n">
        <v>2365500</v>
      </c>
    </row>
    <row r="3869" customFormat="false" ht="15" hidden="false" customHeight="false" outlineLevel="0" collapsed="false">
      <c r="A3869" s="50" t="s">
        <v>1393</v>
      </c>
      <c r="B3869" s="51" t="n">
        <v>45892</v>
      </c>
      <c r="C3869" s="50" t="s">
        <v>166</v>
      </c>
      <c r="D3869" s="50" t="s">
        <v>2168</v>
      </c>
      <c r="E3869" s="50" t="n">
        <v>6</v>
      </c>
      <c r="F3869" s="50" t="s">
        <v>2167</v>
      </c>
      <c r="G3869" s="54" t="n">
        <v>2477900</v>
      </c>
    </row>
    <row r="3870" customFormat="false" ht="15" hidden="false" customHeight="false" outlineLevel="0" collapsed="false">
      <c r="A3870" s="50" t="s">
        <v>1394</v>
      </c>
      <c r="B3870" s="51" t="n">
        <v>45892</v>
      </c>
      <c r="C3870" s="50" t="s">
        <v>286</v>
      </c>
      <c r="D3870" s="50" t="s">
        <v>2172</v>
      </c>
      <c r="E3870" s="50" t="n">
        <v>4</v>
      </c>
      <c r="F3870" s="50" t="s">
        <v>2167</v>
      </c>
      <c r="G3870" s="54" t="n">
        <v>2106700</v>
      </c>
    </row>
    <row r="3871" customFormat="false" ht="15" hidden="false" customHeight="false" outlineLevel="0" collapsed="false">
      <c r="A3871" s="50" t="s">
        <v>1395</v>
      </c>
      <c r="B3871" s="51" t="n">
        <v>45892</v>
      </c>
      <c r="C3871" s="50" t="s">
        <v>382</v>
      </c>
      <c r="D3871" s="50" t="s">
        <v>2186</v>
      </c>
      <c r="E3871" s="50" t="n">
        <v>3</v>
      </c>
      <c r="F3871" s="50" t="s">
        <v>2167</v>
      </c>
      <c r="G3871" s="54" t="n">
        <v>1771300</v>
      </c>
    </row>
    <row r="3872" customFormat="false" ht="15" hidden="false" customHeight="false" outlineLevel="0" collapsed="false">
      <c r="A3872" s="50" t="s">
        <v>1395</v>
      </c>
      <c r="B3872" s="51" t="n">
        <v>45892</v>
      </c>
      <c r="C3872" s="50" t="s">
        <v>382</v>
      </c>
      <c r="D3872" s="50" t="s">
        <v>2182</v>
      </c>
      <c r="E3872" s="50" t="n">
        <v>3</v>
      </c>
      <c r="F3872" s="50" t="s">
        <v>2174</v>
      </c>
      <c r="G3872" s="54" t="n">
        <v>2793300</v>
      </c>
    </row>
    <row r="3873" customFormat="false" ht="15" hidden="false" customHeight="false" outlineLevel="0" collapsed="false">
      <c r="A3873" s="50" t="s">
        <v>1396</v>
      </c>
      <c r="B3873" s="51" t="n">
        <v>45894</v>
      </c>
      <c r="C3873" s="50" t="s">
        <v>199</v>
      </c>
      <c r="D3873" s="50" t="s">
        <v>2181</v>
      </c>
      <c r="E3873" s="50" t="n">
        <v>7</v>
      </c>
      <c r="F3873" s="50" t="s">
        <v>2167</v>
      </c>
      <c r="G3873" s="54" t="n">
        <v>7760900</v>
      </c>
    </row>
    <row r="3874" customFormat="false" ht="15" hidden="false" customHeight="false" outlineLevel="0" collapsed="false">
      <c r="A3874" s="50" t="s">
        <v>1396</v>
      </c>
      <c r="B3874" s="51" t="n">
        <v>45894</v>
      </c>
      <c r="C3874" s="50" t="s">
        <v>199</v>
      </c>
      <c r="D3874" s="50" t="s">
        <v>2177</v>
      </c>
      <c r="E3874" s="50" t="n">
        <v>7</v>
      </c>
      <c r="F3874" s="50" t="s">
        <v>2174</v>
      </c>
      <c r="G3874" s="54" t="n">
        <v>7392600</v>
      </c>
    </row>
    <row r="3875" customFormat="false" ht="15" hidden="false" customHeight="false" outlineLevel="0" collapsed="false">
      <c r="A3875" s="50" t="s">
        <v>1396</v>
      </c>
      <c r="B3875" s="51" t="n">
        <v>45894</v>
      </c>
      <c r="C3875" s="50" t="s">
        <v>199</v>
      </c>
      <c r="D3875" s="50" t="s">
        <v>2183</v>
      </c>
      <c r="E3875" s="50" t="n">
        <v>2</v>
      </c>
      <c r="F3875" s="50" t="s">
        <v>2167</v>
      </c>
      <c r="G3875" s="54" t="n">
        <v>772600</v>
      </c>
    </row>
    <row r="3876" customFormat="false" ht="15" hidden="false" customHeight="false" outlineLevel="0" collapsed="false">
      <c r="A3876" s="50" t="s">
        <v>1396</v>
      </c>
      <c r="B3876" s="51" t="n">
        <v>45894</v>
      </c>
      <c r="C3876" s="50" t="s">
        <v>199</v>
      </c>
      <c r="D3876" s="50" t="s">
        <v>2179</v>
      </c>
      <c r="E3876" s="50" t="n">
        <v>4</v>
      </c>
      <c r="F3876" s="50" t="s">
        <v>2174</v>
      </c>
      <c r="G3876" s="54" t="n">
        <v>4890700</v>
      </c>
    </row>
    <row r="3877" customFormat="false" ht="15" hidden="false" customHeight="false" outlineLevel="0" collapsed="false">
      <c r="A3877" s="50" t="s">
        <v>1396</v>
      </c>
      <c r="B3877" s="51" t="n">
        <v>45894</v>
      </c>
      <c r="C3877" s="50" t="s">
        <v>199</v>
      </c>
      <c r="D3877" s="50" t="s">
        <v>2187</v>
      </c>
      <c r="E3877" s="50" t="n">
        <v>8</v>
      </c>
      <c r="F3877" s="50" t="s">
        <v>2167</v>
      </c>
      <c r="G3877" s="54" t="n">
        <v>2748000</v>
      </c>
    </row>
    <row r="3878" customFormat="false" ht="15" hidden="false" customHeight="false" outlineLevel="0" collapsed="false">
      <c r="A3878" s="50" t="s">
        <v>1397</v>
      </c>
      <c r="B3878" s="51" t="n">
        <v>45894</v>
      </c>
      <c r="C3878" s="50" t="s">
        <v>419</v>
      </c>
      <c r="D3878" s="50" t="s">
        <v>2181</v>
      </c>
      <c r="E3878" s="50" t="n">
        <v>6</v>
      </c>
      <c r="F3878" s="50" t="s">
        <v>2167</v>
      </c>
      <c r="G3878" s="54" t="n">
        <v>6663200</v>
      </c>
    </row>
    <row r="3879" customFormat="false" ht="15" hidden="false" customHeight="false" outlineLevel="0" collapsed="false">
      <c r="A3879" s="50" t="s">
        <v>1397</v>
      </c>
      <c r="B3879" s="51" t="n">
        <v>45894</v>
      </c>
      <c r="C3879" s="50" t="s">
        <v>419</v>
      </c>
      <c r="D3879" s="50" t="s">
        <v>2184</v>
      </c>
      <c r="E3879" s="50" t="n">
        <v>5</v>
      </c>
      <c r="F3879" s="50" t="s">
        <v>2167</v>
      </c>
      <c r="G3879" s="54" t="n">
        <v>2761100</v>
      </c>
    </row>
    <row r="3880" customFormat="false" ht="15" hidden="false" customHeight="false" outlineLevel="0" collapsed="false">
      <c r="A3880" s="50" t="s">
        <v>1397</v>
      </c>
      <c r="B3880" s="51" t="n">
        <v>45894</v>
      </c>
      <c r="C3880" s="50" t="s">
        <v>419</v>
      </c>
      <c r="D3880" s="50" t="s">
        <v>2177</v>
      </c>
      <c r="E3880" s="50" t="n">
        <v>4</v>
      </c>
      <c r="F3880" s="50" t="s">
        <v>2174</v>
      </c>
      <c r="G3880" s="54" t="n">
        <v>4545800</v>
      </c>
    </row>
    <row r="3881" customFormat="false" ht="15" hidden="false" customHeight="false" outlineLevel="0" collapsed="false">
      <c r="A3881" s="50" t="s">
        <v>1398</v>
      </c>
      <c r="B3881" s="51" t="n">
        <v>45894</v>
      </c>
      <c r="C3881" s="50" t="s">
        <v>1399</v>
      </c>
      <c r="D3881" s="50" t="s">
        <v>2178</v>
      </c>
      <c r="E3881" s="50" t="n">
        <v>2</v>
      </c>
      <c r="F3881" s="50" t="s">
        <v>2167</v>
      </c>
      <c r="G3881" s="54" t="n">
        <v>949200</v>
      </c>
    </row>
    <row r="3882" customFormat="false" ht="15" hidden="false" customHeight="false" outlineLevel="0" collapsed="false">
      <c r="A3882" s="50" t="s">
        <v>1398</v>
      </c>
      <c r="B3882" s="51" t="n">
        <v>45894</v>
      </c>
      <c r="C3882" s="50" t="s">
        <v>1399</v>
      </c>
      <c r="D3882" s="50" t="s">
        <v>2186</v>
      </c>
      <c r="E3882" s="50" t="n">
        <v>2</v>
      </c>
      <c r="F3882" s="50" t="s">
        <v>2167</v>
      </c>
      <c r="G3882" s="54" t="n">
        <v>1173900</v>
      </c>
    </row>
    <row r="3883" customFormat="false" ht="15" hidden="false" customHeight="false" outlineLevel="0" collapsed="false">
      <c r="A3883" s="50" t="s">
        <v>1398</v>
      </c>
      <c r="B3883" s="51" t="n">
        <v>45894</v>
      </c>
      <c r="C3883" s="50" t="s">
        <v>1399</v>
      </c>
      <c r="D3883" s="50" t="s">
        <v>2181</v>
      </c>
      <c r="E3883" s="50" t="n">
        <v>7</v>
      </c>
      <c r="F3883" s="50" t="s">
        <v>2167</v>
      </c>
      <c r="G3883" s="54" t="n">
        <v>7802800</v>
      </c>
    </row>
    <row r="3884" customFormat="false" ht="15" hidden="false" customHeight="false" outlineLevel="0" collapsed="false">
      <c r="A3884" s="50" t="s">
        <v>1398</v>
      </c>
      <c r="B3884" s="51" t="n">
        <v>45894</v>
      </c>
      <c r="C3884" s="50" t="s">
        <v>1399</v>
      </c>
      <c r="D3884" s="50" t="s">
        <v>2172</v>
      </c>
      <c r="E3884" s="50" t="n">
        <v>3</v>
      </c>
      <c r="F3884" s="50" t="s">
        <v>2167</v>
      </c>
      <c r="G3884" s="54" t="n">
        <v>1569800</v>
      </c>
    </row>
    <row r="3885" customFormat="false" ht="15" hidden="false" customHeight="false" outlineLevel="0" collapsed="false">
      <c r="A3885" s="50" t="s">
        <v>1400</v>
      </c>
      <c r="B3885" s="51" t="n">
        <v>45894</v>
      </c>
      <c r="C3885" s="50" t="s">
        <v>329</v>
      </c>
      <c r="D3885" s="50" t="s">
        <v>2183</v>
      </c>
      <c r="E3885" s="50" t="n">
        <v>1</v>
      </c>
      <c r="F3885" s="50" t="s">
        <v>2167</v>
      </c>
      <c r="G3885" s="54" t="n">
        <v>371000</v>
      </c>
    </row>
    <row r="3886" customFormat="false" ht="15" hidden="false" customHeight="false" outlineLevel="0" collapsed="false">
      <c r="A3886" s="50" t="s">
        <v>1400</v>
      </c>
      <c r="B3886" s="51" t="n">
        <v>45894</v>
      </c>
      <c r="C3886" s="50" t="s">
        <v>329</v>
      </c>
      <c r="D3886" s="50" t="s">
        <v>2177</v>
      </c>
      <c r="E3886" s="50" t="n">
        <v>5</v>
      </c>
      <c r="F3886" s="50" t="s">
        <v>2174</v>
      </c>
      <c r="G3886" s="54" t="n">
        <v>5506100</v>
      </c>
    </row>
    <row r="3887" customFormat="false" ht="15" hidden="false" customHeight="false" outlineLevel="0" collapsed="false">
      <c r="A3887" s="50" t="s">
        <v>1400</v>
      </c>
      <c r="B3887" s="51" t="n">
        <v>45894</v>
      </c>
      <c r="C3887" s="50" t="s">
        <v>329</v>
      </c>
      <c r="D3887" s="50" t="s">
        <v>2176</v>
      </c>
      <c r="E3887" s="50" t="n">
        <v>3</v>
      </c>
      <c r="F3887" s="50" t="s">
        <v>2167</v>
      </c>
      <c r="G3887" s="54" t="n">
        <v>1302500</v>
      </c>
    </row>
    <row r="3888" customFormat="false" ht="15" hidden="false" customHeight="false" outlineLevel="0" collapsed="false">
      <c r="A3888" s="50" t="s">
        <v>1401</v>
      </c>
      <c r="B3888" s="51" t="n">
        <v>45894</v>
      </c>
      <c r="C3888" s="50" t="s">
        <v>540</v>
      </c>
      <c r="D3888" s="50" t="s">
        <v>2176</v>
      </c>
      <c r="E3888" s="50" t="n">
        <v>2</v>
      </c>
      <c r="F3888" s="50" t="s">
        <v>2167</v>
      </c>
      <c r="G3888" s="54" t="n">
        <v>823800</v>
      </c>
    </row>
    <row r="3889" customFormat="false" ht="15" hidden="false" customHeight="false" outlineLevel="0" collapsed="false">
      <c r="A3889" s="50" t="s">
        <v>1401</v>
      </c>
      <c r="B3889" s="51" t="n">
        <v>45894</v>
      </c>
      <c r="C3889" s="50" t="s">
        <v>540</v>
      </c>
      <c r="D3889" s="50" t="s">
        <v>2188</v>
      </c>
      <c r="E3889" s="50" t="n">
        <v>8</v>
      </c>
      <c r="F3889" s="50" t="s">
        <v>2167</v>
      </c>
      <c r="G3889" s="54" t="n">
        <v>8106800</v>
      </c>
    </row>
    <row r="3890" customFormat="false" ht="15" hidden="false" customHeight="false" outlineLevel="0" collapsed="false">
      <c r="A3890" s="50" t="s">
        <v>1401</v>
      </c>
      <c r="B3890" s="51" t="n">
        <v>45894</v>
      </c>
      <c r="C3890" s="50" t="s">
        <v>540</v>
      </c>
      <c r="D3890" s="50" t="s">
        <v>2183</v>
      </c>
      <c r="E3890" s="50" t="n">
        <v>3</v>
      </c>
      <c r="F3890" s="50" t="s">
        <v>2167</v>
      </c>
      <c r="G3890" s="54" t="n">
        <v>1125000</v>
      </c>
    </row>
    <row r="3891" customFormat="false" ht="15" hidden="false" customHeight="false" outlineLevel="0" collapsed="false">
      <c r="A3891" s="50" t="s">
        <v>1402</v>
      </c>
      <c r="B3891" s="51" t="n">
        <v>45894</v>
      </c>
      <c r="C3891" s="50" t="s">
        <v>261</v>
      </c>
      <c r="D3891" s="50" t="s">
        <v>2187</v>
      </c>
      <c r="E3891" s="50" t="n">
        <v>2</v>
      </c>
      <c r="F3891" s="50" t="s">
        <v>2167</v>
      </c>
      <c r="G3891" s="54" t="n">
        <v>706400</v>
      </c>
    </row>
    <row r="3892" customFormat="false" ht="15" hidden="false" customHeight="false" outlineLevel="0" collapsed="false">
      <c r="A3892" s="50" t="s">
        <v>1402</v>
      </c>
      <c r="B3892" s="51" t="n">
        <v>45894</v>
      </c>
      <c r="C3892" s="50" t="s">
        <v>261</v>
      </c>
      <c r="D3892" s="50" t="s">
        <v>2185</v>
      </c>
      <c r="E3892" s="50" t="n">
        <v>4</v>
      </c>
      <c r="F3892" s="50" t="s">
        <v>2174</v>
      </c>
      <c r="G3892" s="54" t="n">
        <v>3125300</v>
      </c>
    </row>
    <row r="3893" customFormat="false" ht="15" hidden="false" customHeight="false" outlineLevel="0" collapsed="false">
      <c r="A3893" s="50" t="s">
        <v>1403</v>
      </c>
      <c r="B3893" s="51" t="n">
        <v>45895</v>
      </c>
      <c r="C3893" s="50" t="s">
        <v>170</v>
      </c>
      <c r="D3893" s="50" t="s">
        <v>2182</v>
      </c>
      <c r="E3893" s="50" t="n">
        <v>3</v>
      </c>
      <c r="F3893" s="50" t="s">
        <v>2174</v>
      </c>
      <c r="G3893" s="54" t="n">
        <v>2866500</v>
      </c>
    </row>
    <row r="3894" customFormat="false" ht="15" hidden="false" customHeight="false" outlineLevel="0" collapsed="false">
      <c r="A3894" s="50" t="s">
        <v>1403</v>
      </c>
      <c r="B3894" s="51" t="n">
        <v>45895</v>
      </c>
      <c r="C3894" s="50" t="s">
        <v>170</v>
      </c>
      <c r="D3894" s="50" t="s">
        <v>2173</v>
      </c>
      <c r="E3894" s="50" t="n">
        <v>8</v>
      </c>
      <c r="F3894" s="50" t="s">
        <v>2174</v>
      </c>
      <c r="G3894" s="54" t="n">
        <v>6386300</v>
      </c>
    </row>
    <row r="3895" customFormat="false" ht="15" hidden="false" customHeight="false" outlineLevel="0" collapsed="false">
      <c r="A3895" s="50" t="s">
        <v>1404</v>
      </c>
      <c r="B3895" s="51" t="n">
        <v>45895</v>
      </c>
      <c r="C3895" s="50" t="s">
        <v>168</v>
      </c>
      <c r="D3895" s="50" t="s">
        <v>2183</v>
      </c>
      <c r="E3895" s="50" t="n">
        <v>4</v>
      </c>
      <c r="F3895" s="50" t="s">
        <v>2167</v>
      </c>
      <c r="G3895" s="54" t="n">
        <v>1510200</v>
      </c>
    </row>
    <row r="3896" customFormat="false" ht="15" hidden="false" customHeight="false" outlineLevel="0" collapsed="false">
      <c r="A3896" s="50" t="s">
        <v>1404</v>
      </c>
      <c r="B3896" s="51" t="n">
        <v>45895</v>
      </c>
      <c r="C3896" s="50" t="s">
        <v>168</v>
      </c>
      <c r="D3896" s="50" t="s">
        <v>2177</v>
      </c>
      <c r="E3896" s="50" t="n">
        <v>8</v>
      </c>
      <c r="F3896" s="50" t="s">
        <v>2174</v>
      </c>
      <c r="G3896" s="54" t="n">
        <v>8945600</v>
      </c>
    </row>
    <row r="3897" customFormat="false" ht="15" hidden="false" customHeight="false" outlineLevel="0" collapsed="false">
      <c r="A3897" s="50" t="s">
        <v>1404</v>
      </c>
      <c r="B3897" s="51" t="n">
        <v>45895</v>
      </c>
      <c r="C3897" s="50" t="s">
        <v>168</v>
      </c>
      <c r="D3897" s="50" t="s">
        <v>2179</v>
      </c>
      <c r="E3897" s="50" t="n">
        <v>3</v>
      </c>
      <c r="F3897" s="50" t="s">
        <v>2174</v>
      </c>
      <c r="G3897" s="54" t="n">
        <v>3653500</v>
      </c>
    </row>
    <row r="3898" customFormat="false" ht="15" hidden="false" customHeight="false" outlineLevel="0" collapsed="false">
      <c r="A3898" s="50" t="s">
        <v>1405</v>
      </c>
      <c r="B3898" s="51" t="n">
        <v>45895</v>
      </c>
      <c r="C3898" s="50" t="s">
        <v>211</v>
      </c>
      <c r="D3898" s="50" t="s">
        <v>2178</v>
      </c>
      <c r="E3898" s="50" t="n">
        <v>8</v>
      </c>
      <c r="F3898" s="50" t="s">
        <v>2167</v>
      </c>
      <c r="G3898" s="54" t="n">
        <v>3740400</v>
      </c>
    </row>
    <row r="3899" customFormat="false" ht="15" hidden="false" customHeight="false" outlineLevel="0" collapsed="false">
      <c r="A3899" s="50" t="s">
        <v>1405</v>
      </c>
      <c r="B3899" s="51" t="n">
        <v>45895</v>
      </c>
      <c r="C3899" s="50" t="s">
        <v>211</v>
      </c>
      <c r="D3899" s="50" t="s">
        <v>2173</v>
      </c>
      <c r="E3899" s="50" t="n">
        <v>3</v>
      </c>
      <c r="F3899" s="50" t="s">
        <v>2174</v>
      </c>
      <c r="G3899" s="54" t="n">
        <v>2387200</v>
      </c>
    </row>
    <row r="3900" customFormat="false" ht="15" hidden="false" customHeight="false" outlineLevel="0" collapsed="false">
      <c r="A3900" s="50" t="s">
        <v>1405</v>
      </c>
      <c r="B3900" s="51" t="n">
        <v>45895</v>
      </c>
      <c r="C3900" s="50" t="s">
        <v>211</v>
      </c>
      <c r="D3900" s="50" t="s">
        <v>2180</v>
      </c>
      <c r="E3900" s="50" t="n">
        <v>4</v>
      </c>
      <c r="F3900" s="50" t="s">
        <v>2167</v>
      </c>
      <c r="G3900" s="54" t="n">
        <v>1838600</v>
      </c>
    </row>
    <row r="3901" customFormat="false" ht="15" hidden="false" customHeight="false" outlineLevel="0" collapsed="false">
      <c r="A3901" s="50" t="s">
        <v>1405</v>
      </c>
      <c r="B3901" s="51" t="n">
        <v>45895</v>
      </c>
      <c r="C3901" s="50" t="s">
        <v>211</v>
      </c>
      <c r="D3901" s="50" t="s">
        <v>2176</v>
      </c>
      <c r="E3901" s="50" t="n">
        <v>3</v>
      </c>
      <c r="F3901" s="50" t="s">
        <v>2167</v>
      </c>
      <c r="G3901" s="54" t="n">
        <v>1302700</v>
      </c>
    </row>
    <row r="3902" customFormat="false" ht="15" hidden="false" customHeight="false" outlineLevel="0" collapsed="false">
      <c r="A3902" s="50" t="s">
        <v>1406</v>
      </c>
      <c r="B3902" s="51" t="n">
        <v>45895</v>
      </c>
      <c r="C3902" s="50" t="s">
        <v>170</v>
      </c>
      <c r="D3902" s="50" t="s">
        <v>2187</v>
      </c>
      <c r="E3902" s="50" t="n">
        <v>4</v>
      </c>
      <c r="F3902" s="50" t="s">
        <v>2167</v>
      </c>
      <c r="G3902" s="54" t="n">
        <v>1437400</v>
      </c>
    </row>
    <row r="3903" customFormat="false" ht="15" hidden="false" customHeight="false" outlineLevel="0" collapsed="false">
      <c r="A3903" s="50" t="s">
        <v>1406</v>
      </c>
      <c r="B3903" s="51" t="n">
        <v>45895</v>
      </c>
      <c r="C3903" s="50" t="s">
        <v>170</v>
      </c>
      <c r="D3903" s="50" t="s">
        <v>2169</v>
      </c>
      <c r="E3903" s="50" t="n">
        <v>7</v>
      </c>
      <c r="F3903" s="50" t="s">
        <v>2167</v>
      </c>
      <c r="G3903" s="54" t="n">
        <v>4198800</v>
      </c>
    </row>
    <row r="3904" customFormat="false" ht="15" hidden="false" customHeight="false" outlineLevel="0" collapsed="false">
      <c r="A3904" s="50" t="s">
        <v>1406</v>
      </c>
      <c r="B3904" s="51" t="n">
        <v>45895</v>
      </c>
      <c r="C3904" s="50" t="s">
        <v>170</v>
      </c>
      <c r="D3904" s="50" t="s">
        <v>2178</v>
      </c>
      <c r="E3904" s="50" t="n">
        <v>8</v>
      </c>
      <c r="F3904" s="50" t="s">
        <v>2167</v>
      </c>
      <c r="G3904" s="54" t="n">
        <v>3819700</v>
      </c>
    </row>
    <row r="3905" customFormat="false" ht="15" hidden="false" customHeight="false" outlineLevel="0" collapsed="false">
      <c r="A3905" s="50" t="s">
        <v>1407</v>
      </c>
      <c r="B3905" s="51" t="n">
        <v>45895</v>
      </c>
      <c r="C3905" s="50" t="s">
        <v>367</v>
      </c>
      <c r="D3905" s="50" t="s">
        <v>2187</v>
      </c>
      <c r="E3905" s="50" t="n">
        <v>7</v>
      </c>
      <c r="F3905" s="50" t="s">
        <v>2167</v>
      </c>
      <c r="G3905" s="54" t="n">
        <v>2499000</v>
      </c>
    </row>
    <row r="3906" customFormat="false" ht="15" hidden="false" customHeight="false" outlineLevel="0" collapsed="false">
      <c r="A3906" s="50" t="s">
        <v>1407</v>
      </c>
      <c r="B3906" s="51" t="n">
        <v>45895</v>
      </c>
      <c r="C3906" s="50" t="s">
        <v>367</v>
      </c>
      <c r="D3906" s="50" t="s">
        <v>2176</v>
      </c>
      <c r="E3906" s="50" t="n">
        <v>5</v>
      </c>
      <c r="F3906" s="50" t="s">
        <v>2167</v>
      </c>
      <c r="G3906" s="54" t="n">
        <v>2052900</v>
      </c>
    </row>
    <row r="3907" customFormat="false" ht="15" hidden="false" customHeight="false" outlineLevel="0" collapsed="false">
      <c r="A3907" s="50" t="s">
        <v>1407</v>
      </c>
      <c r="B3907" s="51" t="n">
        <v>45895</v>
      </c>
      <c r="C3907" s="50" t="s">
        <v>367</v>
      </c>
      <c r="D3907" s="50" t="s">
        <v>2168</v>
      </c>
      <c r="E3907" s="50" t="n">
        <v>7</v>
      </c>
      <c r="F3907" s="50" t="s">
        <v>2167</v>
      </c>
      <c r="G3907" s="54" t="n">
        <v>3006100</v>
      </c>
    </row>
    <row r="3908" customFormat="false" ht="15" hidden="false" customHeight="false" outlineLevel="0" collapsed="false">
      <c r="A3908" s="50" t="s">
        <v>1407</v>
      </c>
      <c r="B3908" s="51" t="n">
        <v>45895</v>
      </c>
      <c r="C3908" s="50" t="s">
        <v>367</v>
      </c>
      <c r="D3908" s="50" t="s">
        <v>2181</v>
      </c>
      <c r="E3908" s="50" t="n">
        <v>8</v>
      </c>
      <c r="F3908" s="50" t="s">
        <v>2167</v>
      </c>
      <c r="G3908" s="54" t="n">
        <v>9089100</v>
      </c>
    </row>
    <row r="3909" customFormat="false" ht="15" hidden="false" customHeight="false" outlineLevel="0" collapsed="false">
      <c r="A3909" s="50" t="s">
        <v>1407</v>
      </c>
      <c r="B3909" s="51" t="n">
        <v>45895</v>
      </c>
      <c r="C3909" s="50" t="s">
        <v>367</v>
      </c>
      <c r="D3909" s="50" t="s">
        <v>2183</v>
      </c>
      <c r="E3909" s="50" t="n">
        <v>5</v>
      </c>
      <c r="F3909" s="50" t="s">
        <v>2167</v>
      </c>
      <c r="G3909" s="54" t="n">
        <v>1836500</v>
      </c>
    </row>
    <row r="3910" customFormat="false" ht="15" hidden="false" customHeight="false" outlineLevel="0" collapsed="false">
      <c r="A3910" s="50" t="s">
        <v>1407</v>
      </c>
      <c r="B3910" s="51" t="n">
        <v>45895</v>
      </c>
      <c r="C3910" s="50" t="s">
        <v>367</v>
      </c>
      <c r="D3910" s="50" t="s">
        <v>2169</v>
      </c>
      <c r="E3910" s="50" t="n">
        <v>3</v>
      </c>
      <c r="F3910" s="50" t="s">
        <v>2167</v>
      </c>
      <c r="G3910" s="54" t="n">
        <v>1875800</v>
      </c>
    </row>
    <row r="3911" customFormat="false" ht="15" hidden="false" customHeight="false" outlineLevel="0" collapsed="false">
      <c r="A3911" s="50" t="s">
        <v>1408</v>
      </c>
      <c r="B3911" s="51" t="n">
        <v>45895</v>
      </c>
      <c r="C3911" s="50" t="s">
        <v>191</v>
      </c>
      <c r="D3911" s="50" t="s">
        <v>2180</v>
      </c>
      <c r="E3911" s="50" t="n">
        <v>2</v>
      </c>
      <c r="F3911" s="50" t="s">
        <v>2167</v>
      </c>
      <c r="G3911" s="54" t="n">
        <v>885800</v>
      </c>
    </row>
    <row r="3912" customFormat="false" ht="15" hidden="false" customHeight="false" outlineLevel="0" collapsed="false">
      <c r="A3912" s="50" t="s">
        <v>1408</v>
      </c>
      <c r="B3912" s="51" t="n">
        <v>45895</v>
      </c>
      <c r="C3912" s="50" t="s">
        <v>191</v>
      </c>
      <c r="D3912" s="50" t="s">
        <v>2186</v>
      </c>
      <c r="E3912" s="50" t="n">
        <v>1</v>
      </c>
      <c r="F3912" s="50" t="s">
        <v>2167</v>
      </c>
      <c r="G3912" s="54" t="n">
        <v>591600</v>
      </c>
    </row>
    <row r="3913" customFormat="false" ht="15" hidden="false" customHeight="false" outlineLevel="0" collapsed="false">
      <c r="A3913" s="50" t="s">
        <v>1408</v>
      </c>
      <c r="B3913" s="51" t="n">
        <v>45895</v>
      </c>
      <c r="C3913" s="50" t="s">
        <v>191</v>
      </c>
      <c r="D3913" s="50" t="s">
        <v>2181</v>
      </c>
      <c r="E3913" s="50" t="n">
        <v>5</v>
      </c>
      <c r="F3913" s="50" t="s">
        <v>2167</v>
      </c>
      <c r="G3913" s="54" t="n">
        <v>5574600</v>
      </c>
    </row>
    <row r="3914" customFormat="false" ht="15" hidden="false" customHeight="false" outlineLevel="0" collapsed="false">
      <c r="A3914" s="50" t="s">
        <v>1408</v>
      </c>
      <c r="B3914" s="51" t="n">
        <v>45895</v>
      </c>
      <c r="C3914" s="50" t="s">
        <v>191</v>
      </c>
      <c r="D3914" s="50" t="s">
        <v>2168</v>
      </c>
      <c r="E3914" s="50" t="n">
        <v>1</v>
      </c>
      <c r="F3914" s="50" t="s">
        <v>2167</v>
      </c>
      <c r="G3914" s="54" t="n">
        <v>416000</v>
      </c>
    </row>
    <row r="3915" customFormat="false" ht="15" hidden="false" customHeight="false" outlineLevel="0" collapsed="false">
      <c r="A3915" s="50" t="s">
        <v>1408</v>
      </c>
      <c r="B3915" s="51" t="n">
        <v>45895</v>
      </c>
      <c r="C3915" s="50" t="s">
        <v>191</v>
      </c>
      <c r="D3915" s="50" t="s">
        <v>2169</v>
      </c>
      <c r="E3915" s="50" t="n">
        <v>2</v>
      </c>
      <c r="F3915" s="50" t="s">
        <v>2167</v>
      </c>
      <c r="G3915" s="54" t="n">
        <v>1279500</v>
      </c>
    </row>
    <row r="3916" customFormat="false" ht="15" hidden="false" customHeight="false" outlineLevel="0" collapsed="false">
      <c r="A3916" s="50" t="s">
        <v>1408</v>
      </c>
      <c r="B3916" s="51" t="n">
        <v>45895</v>
      </c>
      <c r="C3916" s="50" t="s">
        <v>191</v>
      </c>
      <c r="D3916" s="50" t="s">
        <v>2178</v>
      </c>
      <c r="E3916" s="50" t="n">
        <v>2</v>
      </c>
      <c r="F3916" s="50" t="s">
        <v>2167</v>
      </c>
      <c r="G3916" s="54" t="n">
        <v>958000</v>
      </c>
    </row>
    <row r="3917" customFormat="false" ht="15" hidden="false" customHeight="false" outlineLevel="0" collapsed="false">
      <c r="A3917" s="50" t="s">
        <v>1409</v>
      </c>
      <c r="B3917" s="51" t="n">
        <v>45895</v>
      </c>
      <c r="C3917" s="50" t="s">
        <v>293</v>
      </c>
      <c r="D3917" s="50" t="s">
        <v>2180</v>
      </c>
      <c r="E3917" s="50" t="n">
        <v>4</v>
      </c>
      <c r="F3917" s="50" t="s">
        <v>2167</v>
      </c>
      <c r="G3917" s="54" t="n">
        <v>1832900</v>
      </c>
    </row>
    <row r="3918" customFormat="false" ht="15" hidden="false" customHeight="false" outlineLevel="0" collapsed="false">
      <c r="A3918" s="50" t="s">
        <v>1409</v>
      </c>
      <c r="B3918" s="51" t="n">
        <v>45895</v>
      </c>
      <c r="C3918" s="50" t="s">
        <v>293</v>
      </c>
      <c r="D3918" s="50" t="s">
        <v>2182</v>
      </c>
      <c r="E3918" s="50" t="n">
        <v>8</v>
      </c>
      <c r="F3918" s="50" t="s">
        <v>2174</v>
      </c>
      <c r="G3918" s="54" t="n">
        <v>7713700</v>
      </c>
    </row>
    <row r="3919" customFormat="false" ht="15" hidden="false" customHeight="false" outlineLevel="0" collapsed="false">
      <c r="A3919" s="50" t="s">
        <v>1410</v>
      </c>
      <c r="B3919" s="51" t="n">
        <v>45896</v>
      </c>
      <c r="C3919" s="50" t="s">
        <v>177</v>
      </c>
      <c r="D3919" s="50" t="s">
        <v>2176</v>
      </c>
      <c r="E3919" s="50" t="n">
        <v>4</v>
      </c>
      <c r="F3919" s="50" t="s">
        <v>2167</v>
      </c>
      <c r="G3919" s="54" t="n">
        <v>1695300</v>
      </c>
    </row>
    <row r="3920" customFormat="false" ht="15" hidden="false" customHeight="false" outlineLevel="0" collapsed="false">
      <c r="A3920" s="50" t="s">
        <v>1410</v>
      </c>
      <c r="B3920" s="51" t="n">
        <v>45896</v>
      </c>
      <c r="C3920" s="50" t="s">
        <v>177</v>
      </c>
      <c r="D3920" s="50" t="s">
        <v>2186</v>
      </c>
      <c r="E3920" s="50" t="n">
        <v>8</v>
      </c>
      <c r="F3920" s="50" t="s">
        <v>2167</v>
      </c>
      <c r="G3920" s="54" t="n">
        <v>4898900</v>
      </c>
    </row>
    <row r="3921" customFormat="false" ht="15" hidden="false" customHeight="false" outlineLevel="0" collapsed="false">
      <c r="A3921" s="50" t="s">
        <v>1410</v>
      </c>
      <c r="B3921" s="51" t="n">
        <v>45896</v>
      </c>
      <c r="C3921" s="50" t="s">
        <v>177</v>
      </c>
      <c r="D3921" s="50" t="s">
        <v>2168</v>
      </c>
      <c r="E3921" s="50" t="n">
        <v>3</v>
      </c>
      <c r="F3921" s="50" t="s">
        <v>2167</v>
      </c>
      <c r="G3921" s="54" t="n">
        <v>1323400</v>
      </c>
    </row>
    <row r="3922" customFormat="false" ht="15" hidden="false" customHeight="false" outlineLevel="0" collapsed="false">
      <c r="A3922" s="50" t="s">
        <v>1410</v>
      </c>
      <c r="B3922" s="51" t="n">
        <v>45896</v>
      </c>
      <c r="C3922" s="50" t="s">
        <v>177</v>
      </c>
      <c r="D3922" s="50" t="s">
        <v>2182</v>
      </c>
      <c r="E3922" s="50" t="n">
        <v>7</v>
      </c>
      <c r="F3922" s="50" t="s">
        <v>2174</v>
      </c>
      <c r="G3922" s="54" t="n">
        <v>6842300</v>
      </c>
    </row>
    <row r="3923" customFormat="false" ht="15" hidden="false" customHeight="false" outlineLevel="0" collapsed="false">
      <c r="A3923" s="50" t="s">
        <v>1411</v>
      </c>
      <c r="B3923" s="51" t="n">
        <v>45896</v>
      </c>
      <c r="C3923" s="50" t="s">
        <v>358</v>
      </c>
      <c r="D3923" s="50" t="s">
        <v>2172</v>
      </c>
      <c r="E3923" s="50" t="n">
        <v>7</v>
      </c>
      <c r="F3923" s="50" t="s">
        <v>2167</v>
      </c>
      <c r="G3923" s="54" t="n">
        <v>3634000</v>
      </c>
    </row>
    <row r="3924" customFormat="false" ht="15" hidden="false" customHeight="false" outlineLevel="0" collapsed="false">
      <c r="A3924" s="50" t="s">
        <v>1411</v>
      </c>
      <c r="B3924" s="51" t="n">
        <v>45896</v>
      </c>
      <c r="C3924" s="50" t="s">
        <v>358</v>
      </c>
      <c r="D3924" s="50" t="s">
        <v>2169</v>
      </c>
      <c r="E3924" s="50" t="n">
        <v>3</v>
      </c>
      <c r="F3924" s="50" t="s">
        <v>2167</v>
      </c>
      <c r="G3924" s="54" t="n">
        <v>1851900</v>
      </c>
    </row>
    <row r="3925" customFormat="false" ht="15" hidden="false" customHeight="false" outlineLevel="0" collapsed="false">
      <c r="A3925" s="50" t="s">
        <v>1411</v>
      </c>
      <c r="B3925" s="51" t="n">
        <v>45896</v>
      </c>
      <c r="C3925" s="50" t="s">
        <v>358</v>
      </c>
      <c r="D3925" s="50" t="s">
        <v>2185</v>
      </c>
      <c r="E3925" s="50" t="n">
        <v>6</v>
      </c>
      <c r="F3925" s="50" t="s">
        <v>2174</v>
      </c>
      <c r="G3925" s="54" t="n">
        <v>4708500</v>
      </c>
    </row>
    <row r="3926" customFormat="false" ht="15" hidden="false" customHeight="false" outlineLevel="0" collapsed="false">
      <c r="A3926" s="50" t="s">
        <v>1412</v>
      </c>
      <c r="B3926" s="51" t="n">
        <v>45896</v>
      </c>
      <c r="C3926" s="50" t="s">
        <v>179</v>
      </c>
      <c r="D3926" s="50" t="s">
        <v>2169</v>
      </c>
      <c r="E3926" s="50" t="n">
        <v>4</v>
      </c>
      <c r="F3926" s="50" t="s">
        <v>2167</v>
      </c>
      <c r="G3926" s="54" t="n">
        <v>2400300</v>
      </c>
    </row>
    <row r="3927" customFormat="false" ht="15" hidden="false" customHeight="false" outlineLevel="0" collapsed="false">
      <c r="A3927" s="50" t="s">
        <v>1412</v>
      </c>
      <c r="B3927" s="51" t="n">
        <v>45896</v>
      </c>
      <c r="C3927" s="50" t="s">
        <v>179</v>
      </c>
      <c r="D3927" s="50" t="s">
        <v>2178</v>
      </c>
      <c r="E3927" s="50" t="n">
        <v>6</v>
      </c>
      <c r="F3927" s="50" t="s">
        <v>2167</v>
      </c>
      <c r="G3927" s="54" t="n">
        <v>2969100</v>
      </c>
    </row>
    <row r="3928" customFormat="false" ht="15" hidden="false" customHeight="false" outlineLevel="0" collapsed="false">
      <c r="A3928" s="50" t="s">
        <v>1412</v>
      </c>
      <c r="B3928" s="51" t="n">
        <v>45896</v>
      </c>
      <c r="C3928" s="50" t="s">
        <v>179</v>
      </c>
      <c r="D3928" s="50" t="s">
        <v>2176</v>
      </c>
      <c r="E3928" s="50" t="n">
        <v>8</v>
      </c>
      <c r="F3928" s="50" t="s">
        <v>2167</v>
      </c>
      <c r="G3928" s="54" t="n">
        <v>3492100</v>
      </c>
    </row>
    <row r="3929" customFormat="false" ht="15" hidden="false" customHeight="false" outlineLevel="0" collapsed="false">
      <c r="A3929" s="50" t="s">
        <v>1413</v>
      </c>
      <c r="B3929" s="51" t="n">
        <v>45896</v>
      </c>
      <c r="C3929" s="50" t="s">
        <v>261</v>
      </c>
      <c r="D3929" s="50" t="s">
        <v>2169</v>
      </c>
      <c r="E3929" s="50" t="n">
        <v>1</v>
      </c>
      <c r="F3929" s="50" t="s">
        <v>2167</v>
      </c>
      <c r="G3929" s="54" t="n">
        <v>629600</v>
      </c>
    </row>
    <row r="3930" customFormat="false" ht="15" hidden="false" customHeight="false" outlineLevel="0" collapsed="false">
      <c r="A3930" s="50" t="s">
        <v>1413</v>
      </c>
      <c r="B3930" s="51" t="n">
        <v>45896</v>
      </c>
      <c r="C3930" s="50" t="s">
        <v>261</v>
      </c>
      <c r="D3930" s="50" t="s">
        <v>2176</v>
      </c>
      <c r="E3930" s="50" t="n">
        <v>2</v>
      </c>
      <c r="F3930" s="50" t="s">
        <v>2167</v>
      </c>
      <c r="G3930" s="54" t="n">
        <v>807400</v>
      </c>
    </row>
    <row r="3931" customFormat="false" ht="15" hidden="false" customHeight="false" outlineLevel="0" collapsed="false">
      <c r="A3931" s="50" t="s">
        <v>1413</v>
      </c>
      <c r="B3931" s="51" t="n">
        <v>45896</v>
      </c>
      <c r="C3931" s="50" t="s">
        <v>261</v>
      </c>
      <c r="D3931" s="50" t="s">
        <v>2181</v>
      </c>
      <c r="E3931" s="50" t="n">
        <v>8</v>
      </c>
      <c r="F3931" s="50" t="s">
        <v>2167</v>
      </c>
      <c r="G3931" s="54" t="n">
        <v>9026100</v>
      </c>
    </row>
    <row r="3932" customFormat="false" ht="15" hidden="false" customHeight="false" outlineLevel="0" collapsed="false">
      <c r="A3932" s="50" t="s">
        <v>1414</v>
      </c>
      <c r="B3932" s="51" t="n">
        <v>45896</v>
      </c>
      <c r="C3932" s="50" t="s">
        <v>481</v>
      </c>
      <c r="D3932" s="50" t="s">
        <v>2186</v>
      </c>
      <c r="E3932" s="50" t="n">
        <v>6</v>
      </c>
      <c r="F3932" s="50" t="s">
        <v>2167</v>
      </c>
      <c r="G3932" s="54" t="n">
        <v>3493500</v>
      </c>
    </row>
    <row r="3933" customFormat="false" ht="15" hidden="false" customHeight="false" outlineLevel="0" collapsed="false">
      <c r="A3933" s="50" t="s">
        <v>1415</v>
      </c>
      <c r="B3933" s="51" t="n">
        <v>45896</v>
      </c>
      <c r="C3933" s="50" t="s">
        <v>211</v>
      </c>
      <c r="D3933" s="50" t="s">
        <v>2169</v>
      </c>
      <c r="E3933" s="50" t="n">
        <v>2</v>
      </c>
      <c r="F3933" s="50" t="s">
        <v>2167</v>
      </c>
      <c r="G3933" s="54" t="n">
        <v>1208800</v>
      </c>
    </row>
    <row r="3934" customFormat="false" ht="15" hidden="false" customHeight="false" outlineLevel="0" collapsed="false">
      <c r="A3934" s="50" t="s">
        <v>1415</v>
      </c>
      <c r="B3934" s="51" t="n">
        <v>45896</v>
      </c>
      <c r="C3934" s="50" t="s">
        <v>211</v>
      </c>
      <c r="D3934" s="50" t="s">
        <v>2177</v>
      </c>
      <c r="E3934" s="50" t="n">
        <v>4</v>
      </c>
      <c r="F3934" s="50" t="s">
        <v>2174</v>
      </c>
      <c r="G3934" s="54" t="n">
        <v>4267900</v>
      </c>
    </row>
    <row r="3935" customFormat="false" ht="15" hidden="false" customHeight="false" outlineLevel="0" collapsed="false">
      <c r="A3935" s="50" t="s">
        <v>1415</v>
      </c>
      <c r="B3935" s="51" t="n">
        <v>45896</v>
      </c>
      <c r="C3935" s="50" t="s">
        <v>211</v>
      </c>
      <c r="D3935" s="50" t="s">
        <v>2185</v>
      </c>
      <c r="E3935" s="50" t="n">
        <v>1</v>
      </c>
      <c r="F3935" s="50" t="s">
        <v>2174</v>
      </c>
      <c r="G3935" s="54" t="n">
        <v>792000</v>
      </c>
    </row>
    <row r="3936" customFormat="false" ht="15" hidden="false" customHeight="false" outlineLevel="0" collapsed="false">
      <c r="A3936" s="50" t="s">
        <v>1415</v>
      </c>
      <c r="B3936" s="51" t="n">
        <v>45896</v>
      </c>
      <c r="C3936" s="50" t="s">
        <v>211</v>
      </c>
      <c r="D3936" s="50" t="s">
        <v>2168</v>
      </c>
      <c r="E3936" s="50" t="n">
        <v>3</v>
      </c>
      <c r="F3936" s="50" t="s">
        <v>2167</v>
      </c>
      <c r="G3936" s="54" t="n">
        <v>1298300</v>
      </c>
    </row>
    <row r="3937" customFormat="false" ht="15" hidden="false" customHeight="false" outlineLevel="0" collapsed="false">
      <c r="A3937" s="50" t="s">
        <v>1416</v>
      </c>
      <c r="B3937" s="51" t="n">
        <v>45897</v>
      </c>
      <c r="C3937" s="50" t="s">
        <v>205</v>
      </c>
      <c r="D3937" s="50" t="s">
        <v>2186</v>
      </c>
      <c r="E3937" s="50" t="n">
        <v>3</v>
      </c>
      <c r="F3937" s="50" t="s">
        <v>2167</v>
      </c>
      <c r="G3937" s="54" t="n">
        <v>1752800</v>
      </c>
    </row>
    <row r="3938" customFormat="false" ht="15" hidden="false" customHeight="false" outlineLevel="0" collapsed="false">
      <c r="A3938" s="50" t="s">
        <v>1416</v>
      </c>
      <c r="B3938" s="51" t="n">
        <v>45897</v>
      </c>
      <c r="C3938" s="50" t="s">
        <v>205</v>
      </c>
      <c r="D3938" s="50" t="s">
        <v>2185</v>
      </c>
      <c r="E3938" s="50" t="n">
        <v>5</v>
      </c>
      <c r="F3938" s="50" t="s">
        <v>2174</v>
      </c>
      <c r="G3938" s="54" t="n">
        <v>4015200</v>
      </c>
    </row>
    <row r="3939" customFormat="false" ht="15" hidden="false" customHeight="false" outlineLevel="0" collapsed="false">
      <c r="A3939" s="50" t="s">
        <v>1416</v>
      </c>
      <c r="B3939" s="51" t="n">
        <v>45897</v>
      </c>
      <c r="C3939" s="50" t="s">
        <v>205</v>
      </c>
      <c r="D3939" s="50" t="s">
        <v>2166</v>
      </c>
      <c r="E3939" s="50" t="n">
        <v>4</v>
      </c>
      <c r="F3939" s="50" t="s">
        <v>2167</v>
      </c>
      <c r="G3939" s="54" t="n">
        <v>2114900</v>
      </c>
    </row>
    <row r="3940" customFormat="false" ht="15" hidden="false" customHeight="false" outlineLevel="0" collapsed="false">
      <c r="A3940" s="50" t="s">
        <v>1416</v>
      </c>
      <c r="B3940" s="51" t="n">
        <v>45897</v>
      </c>
      <c r="C3940" s="50" t="s">
        <v>205</v>
      </c>
      <c r="D3940" s="50" t="s">
        <v>2173</v>
      </c>
      <c r="E3940" s="50" t="n">
        <v>2</v>
      </c>
      <c r="F3940" s="50" t="s">
        <v>2174</v>
      </c>
      <c r="G3940" s="54" t="n">
        <v>1582000</v>
      </c>
    </row>
    <row r="3941" customFormat="false" ht="15" hidden="false" customHeight="false" outlineLevel="0" collapsed="false">
      <c r="A3941" s="50" t="s">
        <v>1417</v>
      </c>
      <c r="B3941" s="51" t="n">
        <v>45897</v>
      </c>
      <c r="C3941" s="50" t="s">
        <v>172</v>
      </c>
      <c r="D3941" s="50" t="s">
        <v>2186</v>
      </c>
      <c r="E3941" s="50" t="n">
        <v>1</v>
      </c>
      <c r="F3941" s="50" t="s">
        <v>2167</v>
      </c>
      <c r="G3941" s="54" t="n">
        <v>585600</v>
      </c>
    </row>
    <row r="3942" customFormat="false" ht="15" hidden="false" customHeight="false" outlineLevel="0" collapsed="false">
      <c r="A3942" s="50" t="s">
        <v>1417</v>
      </c>
      <c r="B3942" s="51" t="n">
        <v>45897</v>
      </c>
      <c r="C3942" s="50" t="s">
        <v>172</v>
      </c>
      <c r="D3942" s="50" t="s">
        <v>2181</v>
      </c>
      <c r="E3942" s="50" t="n">
        <v>8</v>
      </c>
      <c r="F3942" s="50" t="s">
        <v>2167</v>
      </c>
      <c r="G3942" s="54" t="n">
        <v>8848500</v>
      </c>
    </row>
    <row r="3943" customFormat="false" ht="15" hidden="false" customHeight="false" outlineLevel="0" collapsed="false">
      <c r="A3943" s="50" t="s">
        <v>1417</v>
      </c>
      <c r="B3943" s="51" t="n">
        <v>45897</v>
      </c>
      <c r="C3943" s="50" t="s">
        <v>172</v>
      </c>
      <c r="D3943" s="50" t="s">
        <v>2184</v>
      </c>
      <c r="E3943" s="50" t="n">
        <v>3</v>
      </c>
      <c r="F3943" s="50" t="s">
        <v>2167</v>
      </c>
      <c r="G3943" s="54" t="n">
        <v>1662800</v>
      </c>
    </row>
    <row r="3944" customFormat="false" ht="15" hidden="false" customHeight="false" outlineLevel="0" collapsed="false">
      <c r="A3944" s="50" t="s">
        <v>1417</v>
      </c>
      <c r="B3944" s="51" t="n">
        <v>45897</v>
      </c>
      <c r="C3944" s="50" t="s">
        <v>172</v>
      </c>
      <c r="D3944" s="50" t="s">
        <v>2188</v>
      </c>
      <c r="E3944" s="50" t="n">
        <v>4</v>
      </c>
      <c r="F3944" s="50" t="s">
        <v>2167</v>
      </c>
      <c r="G3944" s="54" t="n">
        <v>3937600</v>
      </c>
    </row>
    <row r="3945" customFormat="false" ht="15" hidden="false" customHeight="false" outlineLevel="0" collapsed="false">
      <c r="A3945" s="50" t="s">
        <v>1418</v>
      </c>
      <c r="B3945" s="51" t="n">
        <v>45897</v>
      </c>
      <c r="C3945" s="50" t="s">
        <v>349</v>
      </c>
      <c r="D3945" s="50" t="s">
        <v>2181</v>
      </c>
      <c r="E3945" s="50" t="n">
        <v>1</v>
      </c>
      <c r="F3945" s="50" t="s">
        <v>2167</v>
      </c>
      <c r="G3945" s="54" t="n">
        <v>1121300</v>
      </c>
    </row>
    <row r="3946" customFormat="false" ht="15" hidden="false" customHeight="false" outlineLevel="0" collapsed="false">
      <c r="A3946" s="50" t="s">
        <v>1418</v>
      </c>
      <c r="B3946" s="51" t="n">
        <v>45897</v>
      </c>
      <c r="C3946" s="50" t="s">
        <v>349</v>
      </c>
      <c r="D3946" s="50" t="s">
        <v>2176</v>
      </c>
      <c r="E3946" s="50" t="n">
        <v>4</v>
      </c>
      <c r="F3946" s="50" t="s">
        <v>2167</v>
      </c>
      <c r="G3946" s="54" t="n">
        <v>1724200</v>
      </c>
    </row>
    <row r="3947" customFormat="false" ht="15" hidden="false" customHeight="false" outlineLevel="0" collapsed="false">
      <c r="A3947" s="50" t="s">
        <v>1418</v>
      </c>
      <c r="B3947" s="51" t="n">
        <v>45897</v>
      </c>
      <c r="C3947" s="50" t="s">
        <v>349</v>
      </c>
      <c r="D3947" s="50" t="s">
        <v>2178</v>
      </c>
      <c r="E3947" s="50" t="n">
        <v>6</v>
      </c>
      <c r="F3947" s="50" t="s">
        <v>2167</v>
      </c>
      <c r="G3947" s="54" t="n">
        <v>2881600</v>
      </c>
    </row>
    <row r="3948" customFormat="false" ht="15" hidden="false" customHeight="false" outlineLevel="0" collapsed="false">
      <c r="A3948" s="50" t="s">
        <v>1418</v>
      </c>
      <c r="B3948" s="51" t="n">
        <v>45897</v>
      </c>
      <c r="C3948" s="50" t="s">
        <v>349</v>
      </c>
      <c r="D3948" s="50" t="s">
        <v>2185</v>
      </c>
      <c r="E3948" s="50" t="n">
        <v>7</v>
      </c>
      <c r="F3948" s="50" t="s">
        <v>2174</v>
      </c>
      <c r="G3948" s="54" t="n">
        <v>5311800</v>
      </c>
    </row>
    <row r="3949" customFormat="false" ht="15" hidden="false" customHeight="false" outlineLevel="0" collapsed="false">
      <c r="A3949" s="50" t="s">
        <v>1418</v>
      </c>
      <c r="B3949" s="51" t="n">
        <v>45897</v>
      </c>
      <c r="C3949" s="50" t="s">
        <v>349</v>
      </c>
      <c r="D3949" s="50" t="s">
        <v>2168</v>
      </c>
      <c r="E3949" s="50" t="n">
        <v>4</v>
      </c>
      <c r="F3949" s="50" t="s">
        <v>2167</v>
      </c>
      <c r="G3949" s="54" t="n">
        <v>1693300</v>
      </c>
    </row>
    <row r="3950" customFormat="false" ht="15" hidden="false" customHeight="false" outlineLevel="0" collapsed="false">
      <c r="A3950" s="50" t="s">
        <v>1419</v>
      </c>
      <c r="B3950" s="51" t="n">
        <v>45898</v>
      </c>
      <c r="C3950" s="50" t="s">
        <v>174</v>
      </c>
      <c r="D3950" s="50" t="s">
        <v>2166</v>
      </c>
      <c r="E3950" s="50" t="n">
        <v>7</v>
      </c>
      <c r="F3950" s="50" t="s">
        <v>2167</v>
      </c>
      <c r="G3950" s="54" t="n">
        <v>3731500</v>
      </c>
    </row>
    <row r="3951" customFormat="false" ht="15" hidden="false" customHeight="false" outlineLevel="0" collapsed="false">
      <c r="A3951" s="50" t="s">
        <v>1419</v>
      </c>
      <c r="B3951" s="51" t="n">
        <v>45898</v>
      </c>
      <c r="C3951" s="50" t="s">
        <v>174</v>
      </c>
      <c r="D3951" s="50" t="s">
        <v>2172</v>
      </c>
      <c r="E3951" s="50" t="n">
        <v>1</v>
      </c>
      <c r="F3951" s="50" t="s">
        <v>2167</v>
      </c>
      <c r="G3951" s="54" t="n">
        <v>510700</v>
      </c>
    </row>
    <row r="3952" customFormat="false" ht="15" hidden="false" customHeight="false" outlineLevel="0" collapsed="false">
      <c r="A3952" s="50" t="s">
        <v>1419</v>
      </c>
      <c r="B3952" s="51" t="n">
        <v>45898</v>
      </c>
      <c r="C3952" s="50" t="s">
        <v>174</v>
      </c>
      <c r="D3952" s="50" t="s">
        <v>2173</v>
      </c>
      <c r="E3952" s="50" t="n">
        <v>1</v>
      </c>
      <c r="F3952" s="50" t="s">
        <v>2174</v>
      </c>
      <c r="G3952" s="54" t="n">
        <v>787700</v>
      </c>
    </row>
    <row r="3953" customFormat="false" ht="15" hidden="false" customHeight="false" outlineLevel="0" collapsed="false">
      <c r="A3953" s="50" t="s">
        <v>1420</v>
      </c>
      <c r="B3953" s="51" t="n">
        <v>45898</v>
      </c>
      <c r="C3953" s="50" t="s">
        <v>199</v>
      </c>
      <c r="D3953" s="50" t="s">
        <v>2169</v>
      </c>
      <c r="E3953" s="50" t="n">
        <v>6</v>
      </c>
      <c r="F3953" s="50" t="s">
        <v>2167</v>
      </c>
      <c r="G3953" s="54" t="n">
        <v>3795400</v>
      </c>
    </row>
    <row r="3954" customFormat="false" ht="15" hidden="false" customHeight="false" outlineLevel="0" collapsed="false">
      <c r="A3954" s="50" t="s">
        <v>1420</v>
      </c>
      <c r="B3954" s="51" t="n">
        <v>45898</v>
      </c>
      <c r="C3954" s="50" t="s">
        <v>199</v>
      </c>
      <c r="D3954" s="50" t="s">
        <v>2168</v>
      </c>
      <c r="E3954" s="50" t="n">
        <v>2</v>
      </c>
      <c r="F3954" s="50" t="s">
        <v>2167</v>
      </c>
      <c r="G3954" s="54" t="n">
        <v>878600</v>
      </c>
    </row>
    <row r="3955" customFormat="false" ht="15" hidden="false" customHeight="false" outlineLevel="0" collapsed="false">
      <c r="A3955" s="50" t="s">
        <v>1420</v>
      </c>
      <c r="B3955" s="51" t="n">
        <v>45898</v>
      </c>
      <c r="C3955" s="50" t="s">
        <v>199</v>
      </c>
      <c r="D3955" s="50" t="s">
        <v>2176</v>
      </c>
      <c r="E3955" s="50" t="n">
        <v>4</v>
      </c>
      <c r="F3955" s="50" t="s">
        <v>2167</v>
      </c>
      <c r="G3955" s="54" t="n">
        <v>1681800</v>
      </c>
    </row>
    <row r="3956" customFormat="false" ht="15" hidden="false" customHeight="false" outlineLevel="0" collapsed="false">
      <c r="A3956" s="50" t="s">
        <v>1421</v>
      </c>
      <c r="B3956" s="51" t="n">
        <v>45898</v>
      </c>
      <c r="C3956" s="50" t="s">
        <v>1147</v>
      </c>
      <c r="D3956" s="50" t="s">
        <v>2173</v>
      </c>
      <c r="E3956" s="50" t="n">
        <v>8</v>
      </c>
      <c r="F3956" s="50" t="s">
        <v>2174</v>
      </c>
      <c r="G3956" s="54" t="n">
        <v>6401900</v>
      </c>
    </row>
    <row r="3957" customFormat="false" ht="15" hidden="false" customHeight="false" outlineLevel="0" collapsed="false">
      <c r="A3957" s="50" t="s">
        <v>1421</v>
      </c>
      <c r="B3957" s="51" t="n">
        <v>45898</v>
      </c>
      <c r="C3957" s="50" t="s">
        <v>1147</v>
      </c>
      <c r="D3957" s="50" t="s">
        <v>2183</v>
      </c>
      <c r="E3957" s="50" t="n">
        <v>3</v>
      </c>
      <c r="F3957" s="50" t="s">
        <v>2167</v>
      </c>
      <c r="G3957" s="54" t="n">
        <v>1128500</v>
      </c>
    </row>
    <row r="3958" customFormat="false" ht="15" hidden="false" customHeight="false" outlineLevel="0" collapsed="false">
      <c r="A3958" s="50" t="s">
        <v>1422</v>
      </c>
      <c r="B3958" s="51" t="n">
        <v>45898</v>
      </c>
      <c r="C3958" s="50" t="s">
        <v>505</v>
      </c>
      <c r="D3958" s="50" t="s">
        <v>2172</v>
      </c>
      <c r="E3958" s="50" t="n">
        <v>6</v>
      </c>
      <c r="F3958" s="50" t="s">
        <v>2167</v>
      </c>
      <c r="G3958" s="54" t="n">
        <v>3222500</v>
      </c>
    </row>
    <row r="3959" customFormat="false" ht="15" hidden="false" customHeight="false" outlineLevel="0" collapsed="false">
      <c r="A3959" s="50" t="s">
        <v>1422</v>
      </c>
      <c r="B3959" s="51" t="n">
        <v>45898</v>
      </c>
      <c r="C3959" s="50" t="s">
        <v>505</v>
      </c>
      <c r="D3959" s="50" t="s">
        <v>2181</v>
      </c>
      <c r="E3959" s="50" t="n">
        <v>3</v>
      </c>
      <c r="F3959" s="50" t="s">
        <v>2167</v>
      </c>
      <c r="G3959" s="54" t="n">
        <v>3353400</v>
      </c>
    </row>
    <row r="3960" customFormat="false" ht="15" hidden="false" customHeight="false" outlineLevel="0" collapsed="false">
      <c r="A3960" s="50" t="s">
        <v>1422</v>
      </c>
      <c r="B3960" s="51" t="n">
        <v>45898</v>
      </c>
      <c r="C3960" s="50" t="s">
        <v>505</v>
      </c>
      <c r="D3960" s="50" t="s">
        <v>2175</v>
      </c>
      <c r="E3960" s="50" t="n">
        <v>4</v>
      </c>
      <c r="F3960" s="50" t="s">
        <v>2167</v>
      </c>
      <c r="G3960" s="54" t="n">
        <v>2559000</v>
      </c>
    </row>
    <row r="3961" customFormat="false" ht="15" hidden="false" customHeight="false" outlineLevel="0" collapsed="false">
      <c r="A3961" s="50" t="s">
        <v>1422</v>
      </c>
      <c r="B3961" s="51" t="n">
        <v>45898</v>
      </c>
      <c r="C3961" s="50" t="s">
        <v>505</v>
      </c>
      <c r="D3961" s="50" t="s">
        <v>2185</v>
      </c>
      <c r="E3961" s="50" t="n">
        <v>3</v>
      </c>
      <c r="F3961" s="50" t="s">
        <v>2174</v>
      </c>
      <c r="G3961" s="54" t="n">
        <v>2271200</v>
      </c>
    </row>
    <row r="3962" customFormat="false" ht="15" hidden="false" customHeight="false" outlineLevel="0" collapsed="false">
      <c r="A3962" s="50" t="s">
        <v>1423</v>
      </c>
      <c r="B3962" s="51" t="n">
        <v>45898</v>
      </c>
      <c r="C3962" s="50" t="s">
        <v>232</v>
      </c>
      <c r="D3962" s="50" t="s">
        <v>2169</v>
      </c>
      <c r="E3962" s="50" t="n">
        <v>4</v>
      </c>
      <c r="F3962" s="50" t="s">
        <v>2167</v>
      </c>
      <c r="G3962" s="54" t="n">
        <v>2441500</v>
      </c>
    </row>
    <row r="3963" customFormat="false" ht="15" hidden="false" customHeight="false" outlineLevel="0" collapsed="false">
      <c r="A3963" s="50" t="s">
        <v>1423</v>
      </c>
      <c r="B3963" s="51" t="n">
        <v>45898</v>
      </c>
      <c r="C3963" s="50" t="s">
        <v>232</v>
      </c>
      <c r="D3963" s="50" t="s">
        <v>2176</v>
      </c>
      <c r="E3963" s="50" t="n">
        <v>2</v>
      </c>
      <c r="F3963" s="50" t="s">
        <v>2167</v>
      </c>
      <c r="G3963" s="54" t="n">
        <v>852000</v>
      </c>
    </row>
    <row r="3964" customFormat="false" ht="15" hidden="false" customHeight="false" outlineLevel="0" collapsed="false">
      <c r="A3964" s="50" t="s">
        <v>1423</v>
      </c>
      <c r="B3964" s="51" t="n">
        <v>45898</v>
      </c>
      <c r="C3964" s="50" t="s">
        <v>232</v>
      </c>
      <c r="D3964" s="50" t="s">
        <v>2177</v>
      </c>
      <c r="E3964" s="50" t="n">
        <v>8</v>
      </c>
      <c r="F3964" s="50" t="s">
        <v>2174</v>
      </c>
      <c r="G3964" s="54" t="n">
        <v>9113200</v>
      </c>
    </row>
    <row r="3965" customFormat="false" ht="15" hidden="false" customHeight="false" outlineLevel="0" collapsed="false">
      <c r="A3965" s="50" t="s">
        <v>1423</v>
      </c>
      <c r="B3965" s="51" t="n">
        <v>45898</v>
      </c>
      <c r="C3965" s="50" t="s">
        <v>232</v>
      </c>
      <c r="D3965" s="50" t="s">
        <v>2172</v>
      </c>
      <c r="E3965" s="50" t="n">
        <v>3</v>
      </c>
      <c r="F3965" s="50" t="s">
        <v>2167</v>
      </c>
      <c r="G3965" s="54" t="n">
        <v>1552100</v>
      </c>
    </row>
    <row r="3966" customFormat="false" ht="15" hidden="false" customHeight="false" outlineLevel="0" collapsed="false">
      <c r="A3966" s="50" t="s">
        <v>1423</v>
      </c>
      <c r="B3966" s="51" t="n">
        <v>45898</v>
      </c>
      <c r="C3966" s="50" t="s">
        <v>232</v>
      </c>
      <c r="D3966" s="50" t="s">
        <v>2183</v>
      </c>
      <c r="E3966" s="50" t="n">
        <v>2</v>
      </c>
      <c r="F3966" s="50" t="s">
        <v>2167</v>
      </c>
      <c r="G3966" s="54" t="n">
        <v>761200</v>
      </c>
    </row>
    <row r="3967" customFormat="false" ht="15" hidden="false" customHeight="false" outlineLevel="0" collapsed="false">
      <c r="A3967" s="50" t="s">
        <v>1424</v>
      </c>
      <c r="B3967" s="51" t="n">
        <v>45898</v>
      </c>
      <c r="C3967" s="50" t="s">
        <v>419</v>
      </c>
      <c r="D3967" s="50" t="s">
        <v>2173</v>
      </c>
      <c r="E3967" s="50" t="n">
        <v>1</v>
      </c>
      <c r="F3967" s="50" t="s">
        <v>2174</v>
      </c>
      <c r="G3967" s="54" t="n">
        <v>823400</v>
      </c>
    </row>
    <row r="3968" customFormat="false" ht="15" hidden="false" customHeight="false" outlineLevel="0" collapsed="false">
      <c r="A3968" s="50" t="s">
        <v>1425</v>
      </c>
      <c r="B3968" s="51" t="n">
        <v>45898</v>
      </c>
      <c r="C3968" s="50" t="s">
        <v>349</v>
      </c>
      <c r="D3968" s="50" t="s">
        <v>2176</v>
      </c>
      <c r="E3968" s="50" t="n">
        <v>7</v>
      </c>
      <c r="F3968" s="50" t="s">
        <v>2167</v>
      </c>
      <c r="G3968" s="54" t="n">
        <v>3047800</v>
      </c>
    </row>
    <row r="3969" customFormat="false" ht="15" hidden="false" customHeight="false" outlineLevel="0" collapsed="false">
      <c r="A3969" s="50" t="s">
        <v>1425</v>
      </c>
      <c r="B3969" s="51" t="n">
        <v>45898</v>
      </c>
      <c r="C3969" s="50" t="s">
        <v>349</v>
      </c>
      <c r="D3969" s="50" t="s">
        <v>2175</v>
      </c>
      <c r="E3969" s="50" t="n">
        <v>5</v>
      </c>
      <c r="F3969" s="50" t="s">
        <v>2167</v>
      </c>
      <c r="G3969" s="54" t="n">
        <v>3143200</v>
      </c>
    </row>
    <row r="3970" customFormat="false" ht="15" hidden="false" customHeight="false" outlineLevel="0" collapsed="false">
      <c r="A3970" s="50" t="s">
        <v>1427</v>
      </c>
      <c r="B3970" s="51" t="n">
        <v>45899</v>
      </c>
      <c r="C3970" s="50" t="s">
        <v>296</v>
      </c>
      <c r="D3970" s="50" t="s">
        <v>2172</v>
      </c>
      <c r="E3970" s="50" t="n">
        <v>8</v>
      </c>
      <c r="F3970" s="50" t="s">
        <v>2167</v>
      </c>
      <c r="G3970" s="54" t="n">
        <v>4031600</v>
      </c>
    </row>
    <row r="3971" customFormat="false" ht="15" hidden="false" customHeight="false" outlineLevel="0" collapsed="false">
      <c r="A3971" s="50" t="s">
        <v>1427</v>
      </c>
      <c r="B3971" s="51" t="n">
        <v>45899</v>
      </c>
      <c r="C3971" s="50" t="s">
        <v>296</v>
      </c>
      <c r="D3971" s="50" t="s">
        <v>2180</v>
      </c>
      <c r="E3971" s="50" t="n">
        <v>2</v>
      </c>
      <c r="F3971" s="50" t="s">
        <v>2167</v>
      </c>
      <c r="G3971" s="54" t="n">
        <v>898800</v>
      </c>
    </row>
    <row r="3972" customFormat="false" ht="15" hidden="false" customHeight="false" outlineLevel="0" collapsed="false">
      <c r="A3972" s="50" t="s">
        <v>1427</v>
      </c>
      <c r="B3972" s="51" t="n">
        <v>45899</v>
      </c>
      <c r="C3972" s="50" t="s">
        <v>296</v>
      </c>
      <c r="D3972" s="50" t="s">
        <v>2178</v>
      </c>
      <c r="E3972" s="50" t="n">
        <v>8</v>
      </c>
      <c r="F3972" s="50" t="s">
        <v>2167</v>
      </c>
      <c r="G3972" s="54" t="n">
        <v>3872000</v>
      </c>
    </row>
    <row r="3973" customFormat="false" ht="15" hidden="false" customHeight="false" outlineLevel="0" collapsed="false">
      <c r="A3973" s="50" t="s">
        <v>1427</v>
      </c>
      <c r="B3973" s="51" t="n">
        <v>45899</v>
      </c>
      <c r="C3973" s="50" t="s">
        <v>296</v>
      </c>
      <c r="D3973" s="50" t="s">
        <v>2176</v>
      </c>
      <c r="E3973" s="50" t="n">
        <v>2</v>
      </c>
      <c r="F3973" s="50" t="s">
        <v>2167</v>
      </c>
      <c r="G3973" s="54" t="n">
        <v>828800</v>
      </c>
    </row>
    <row r="3974" customFormat="false" ht="15" hidden="false" customHeight="false" outlineLevel="0" collapsed="false">
      <c r="A3974" s="50" t="s">
        <v>1428</v>
      </c>
      <c r="B3974" s="51" t="n">
        <v>45899</v>
      </c>
      <c r="C3974" s="50" t="s">
        <v>177</v>
      </c>
      <c r="D3974" s="50" t="s">
        <v>2169</v>
      </c>
      <c r="E3974" s="50" t="n">
        <v>2</v>
      </c>
      <c r="F3974" s="50" t="s">
        <v>2167</v>
      </c>
      <c r="G3974" s="54" t="n">
        <v>1282000</v>
      </c>
    </row>
    <row r="3975" customFormat="false" ht="15" hidden="false" customHeight="false" outlineLevel="0" collapsed="false">
      <c r="A3975" s="50" t="s">
        <v>1428</v>
      </c>
      <c r="B3975" s="51" t="n">
        <v>45899</v>
      </c>
      <c r="C3975" s="50" t="s">
        <v>177</v>
      </c>
      <c r="D3975" s="50" t="s">
        <v>2178</v>
      </c>
      <c r="E3975" s="50" t="n">
        <v>2</v>
      </c>
      <c r="F3975" s="50" t="s">
        <v>2167</v>
      </c>
      <c r="G3975" s="54" t="n">
        <v>982200</v>
      </c>
    </row>
    <row r="3976" customFormat="false" ht="15" hidden="false" customHeight="false" outlineLevel="0" collapsed="false">
      <c r="A3976" s="50" t="s">
        <v>1428</v>
      </c>
      <c r="B3976" s="51" t="n">
        <v>45899</v>
      </c>
      <c r="C3976" s="50" t="s">
        <v>177</v>
      </c>
      <c r="D3976" s="50" t="s">
        <v>2179</v>
      </c>
      <c r="E3976" s="50" t="n">
        <v>7</v>
      </c>
      <c r="F3976" s="50" t="s">
        <v>2174</v>
      </c>
      <c r="G3976" s="54" t="n">
        <v>8402500</v>
      </c>
    </row>
    <row r="3977" customFormat="false" ht="15" hidden="false" customHeight="false" outlineLevel="0" collapsed="false">
      <c r="A3977" s="50" t="s">
        <v>1428</v>
      </c>
      <c r="B3977" s="51" t="n">
        <v>45899</v>
      </c>
      <c r="C3977" s="50" t="s">
        <v>177</v>
      </c>
      <c r="D3977" s="50" t="s">
        <v>2175</v>
      </c>
      <c r="E3977" s="50" t="n">
        <v>7</v>
      </c>
      <c r="F3977" s="50" t="s">
        <v>2167</v>
      </c>
      <c r="G3977" s="54" t="n">
        <v>4606200</v>
      </c>
    </row>
    <row r="3978" customFormat="false" ht="15" hidden="false" customHeight="false" outlineLevel="0" collapsed="false">
      <c r="A3978" s="50" t="s">
        <v>1428</v>
      </c>
      <c r="B3978" s="51" t="n">
        <v>45899</v>
      </c>
      <c r="C3978" s="50" t="s">
        <v>177</v>
      </c>
      <c r="D3978" s="50" t="s">
        <v>2184</v>
      </c>
      <c r="E3978" s="50" t="n">
        <v>2</v>
      </c>
      <c r="F3978" s="50" t="s">
        <v>2167</v>
      </c>
      <c r="G3978" s="54" t="n">
        <v>1163800</v>
      </c>
    </row>
    <row r="3979" customFormat="false" ht="15" hidden="false" customHeight="false" outlineLevel="0" collapsed="false">
      <c r="A3979" s="50" t="s">
        <v>1428</v>
      </c>
      <c r="B3979" s="51" t="n">
        <v>45899</v>
      </c>
      <c r="C3979" s="50" t="s">
        <v>177</v>
      </c>
      <c r="D3979" s="50" t="s">
        <v>2166</v>
      </c>
      <c r="E3979" s="50" t="n">
        <v>6</v>
      </c>
      <c r="F3979" s="50" t="s">
        <v>2167</v>
      </c>
      <c r="G3979" s="54" t="n">
        <v>3124100</v>
      </c>
    </row>
    <row r="3980" customFormat="false" ht="15" hidden="false" customHeight="false" outlineLevel="0" collapsed="false">
      <c r="A3980" s="50" t="s">
        <v>1429</v>
      </c>
      <c r="B3980" s="51" t="n">
        <v>45899</v>
      </c>
      <c r="C3980" s="50" t="s">
        <v>179</v>
      </c>
      <c r="D3980" s="50" t="s">
        <v>2185</v>
      </c>
      <c r="E3980" s="50" t="n">
        <v>1</v>
      </c>
      <c r="F3980" s="50" t="s">
        <v>2174</v>
      </c>
      <c r="G3980" s="54" t="n">
        <v>751200</v>
      </c>
    </row>
    <row r="3981" customFormat="false" ht="15" hidden="false" customHeight="false" outlineLevel="0" collapsed="false">
      <c r="A3981" s="50" t="s">
        <v>1429</v>
      </c>
      <c r="B3981" s="51" t="n">
        <v>45899</v>
      </c>
      <c r="C3981" s="50" t="s">
        <v>179</v>
      </c>
      <c r="D3981" s="50" t="s">
        <v>2180</v>
      </c>
      <c r="E3981" s="50" t="n">
        <v>1</v>
      </c>
      <c r="F3981" s="50" t="s">
        <v>2167</v>
      </c>
      <c r="G3981" s="54" t="n">
        <v>457200</v>
      </c>
    </row>
    <row r="3982" customFormat="false" ht="15" hidden="false" customHeight="false" outlineLevel="0" collapsed="false">
      <c r="A3982" s="50" t="s">
        <v>1429</v>
      </c>
      <c r="B3982" s="51" t="n">
        <v>45899</v>
      </c>
      <c r="C3982" s="50" t="s">
        <v>179</v>
      </c>
      <c r="D3982" s="50" t="s">
        <v>2186</v>
      </c>
      <c r="E3982" s="50" t="n">
        <v>6</v>
      </c>
      <c r="F3982" s="50" t="s">
        <v>2167</v>
      </c>
      <c r="G3982" s="54" t="n">
        <v>3628700</v>
      </c>
    </row>
    <row r="3983" customFormat="false" ht="15" hidden="false" customHeight="false" outlineLevel="0" collapsed="false">
      <c r="A3983" s="50" t="s">
        <v>1429</v>
      </c>
      <c r="B3983" s="51" t="n">
        <v>45899</v>
      </c>
      <c r="C3983" s="50" t="s">
        <v>179</v>
      </c>
      <c r="D3983" s="50" t="s">
        <v>2172</v>
      </c>
      <c r="E3983" s="50" t="n">
        <v>3</v>
      </c>
      <c r="F3983" s="50" t="s">
        <v>2167</v>
      </c>
      <c r="G3983" s="54" t="n">
        <v>1607900</v>
      </c>
    </row>
    <row r="3984" customFormat="false" ht="15" hidden="false" customHeight="false" outlineLevel="0" collapsed="false">
      <c r="A3984" s="50" t="s">
        <v>1430</v>
      </c>
      <c r="B3984" s="51" t="n">
        <v>45899</v>
      </c>
      <c r="C3984" s="50" t="s">
        <v>209</v>
      </c>
      <c r="D3984" s="50" t="s">
        <v>2173</v>
      </c>
      <c r="E3984" s="50" t="n">
        <v>6</v>
      </c>
      <c r="F3984" s="50" t="s">
        <v>2174</v>
      </c>
      <c r="G3984" s="54" t="n">
        <v>4957200</v>
      </c>
    </row>
    <row r="3985" customFormat="false" ht="15" hidden="false" customHeight="false" outlineLevel="0" collapsed="false">
      <c r="A3985" s="50" t="s">
        <v>1430</v>
      </c>
      <c r="B3985" s="51" t="n">
        <v>45899</v>
      </c>
      <c r="C3985" s="50" t="s">
        <v>209</v>
      </c>
      <c r="D3985" s="50" t="s">
        <v>2180</v>
      </c>
      <c r="E3985" s="50" t="n">
        <v>5</v>
      </c>
      <c r="F3985" s="50" t="s">
        <v>2167</v>
      </c>
      <c r="G3985" s="54" t="n">
        <v>2173700</v>
      </c>
    </row>
    <row r="3986" customFormat="false" ht="15" hidden="false" customHeight="false" outlineLevel="0" collapsed="false">
      <c r="A3986" s="50" t="s">
        <v>1431</v>
      </c>
      <c r="B3986" s="51" t="n">
        <v>45899</v>
      </c>
      <c r="C3986" s="50" t="s">
        <v>289</v>
      </c>
      <c r="D3986" s="50" t="s">
        <v>2178</v>
      </c>
      <c r="E3986" s="50" t="n">
        <v>5</v>
      </c>
      <c r="F3986" s="50" t="s">
        <v>2167</v>
      </c>
      <c r="G3986" s="54" t="n">
        <v>2476100</v>
      </c>
    </row>
    <row r="3987" customFormat="false" ht="15" hidden="false" customHeight="false" outlineLevel="0" collapsed="false">
      <c r="A3987" s="50" t="s">
        <v>1431</v>
      </c>
      <c r="B3987" s="51" t="n">
        <v>45899</v>
      </c>
      <c r="C3987" s="50" t="s">
        <v>289</v>
      </c>
      <c r="D3987" s="50" t="s">
        <v>2179</v>
      </c>
      <c r="E3987" s="50" t="n">
        <v>5</v>
      </c>
      <c r="F3987" s="50" t="s">
        <v>2174</v>
      </c>
      <c r="G3987" s="54" t="n">
        <v>6102000</v>
      </c>
    </row>
    <row r="3988" customFormat="false" ht="15" hidden="false" customHeight="false" outlineLevel="0" collapsed="false">
      <c r="A3988" s="50" t="s">
        <v>1431</v>
      </c>
      <c r="B3988" s="51" t="n">
        <v>45899</v>
      </c>
      <c r="C3988" s="50" t="s">
        <v>289</v>
      </c>
      <c r="D3988" s="50" t="s">
        <v>2166</v>
      </c>
      <c r="E3988" s="50" t="n">
        <v>6</v>
      </c>
      <c r="F3988" s="50" t="s">
        <v>2167</v>
      </c>
      <c r="G3988" s="54" t="n">
        <v>3265800</v>
      </c>
    </row>
    <row r="3989" customFormat="false" ht="15" hidden="false" customHeight="false" outlineLevel="0" collapsed="false">
      <c r="A3989" s="50" t="s">
        <v>1431</v>
      </c>
      <c r="B3989" s="51" t="n">
        <v>45899</v>
      </c>
      <c r="C3989" s="50" t="s">
        <v>289</v>
      </c>
      <c r="D3989" s="50" t="s">
        <v>2181</v>
      </c>
      <c r="E3989" s="50" t="n">
        <v>3</v>
      </c>
      <c r="F3989" s="50" t="s">
        <v>2167</v>
      </c>
      <c r="G3989" s="54" t="n">
        <v>3585500</v>
      </c>
    </row>
    <row r="3990" customFormat="false" ht="15" hidden="false" customHeight="false" outlineLevel="0" collapsed="false">
      <c r="A3990" s="50" t="s">
        <v>1431</v>
      </c>
      <c r="B3990" s="51" t="n">
        <v>45899</v>
      </c>
      <c r="C3990" s="50" t="s">
        <v>289</v>
      </c>
      <c r="D3990" s="50" t="s">
        <v>2185</v>
      </c>
      <c r="E3990" s="50" t="n">
        <v>7</v>
      </c>
      <c r="F3990" s="50" t="s">
        <v>2174</v>
      </c>
      <c r="G3990" s="54" t="n">
        <v>5254500</v>
      </c>
    </row>
    <row r="3991" customFormat="false" ht="15" hidden="false" customHeight="false" outlineLevel="0" collapsed="false">
      <c r="A3991" s="50" t="s">
        <v>1431</v>
      </c>
      <c r="B3991" s="51" t="n">
        <v>45899</v>
      </c>
      <c r="C3991" s="50" t="s">
        <v>289</v>
      </c>
      <c r="D3991" s="50" t="s">
        <v>2177</v>
      </c>
      <c r="E3991" s="50" t="n">
        <v>5</v>
      </c>
      <c r="F3991" s="50" t="s">
        <v>2174</v>
      </c>
      <c r="G3991" s="54" t="n">
        <v>5445300</v>
      </c>
    </row>
    <row r="3992" customFormat="false" ht="15" hidden="false" customHeight="false" outlineLevel="0" collapsed="false">
      <c r="A3992" s="50" t="s">
        <v>1432</v>
      </c>
      <c r="B3992" s="51" t="n">
        <v>45899</v>
      </c>
      <c r="C3992" s="50" t="s">
        <v>216</v>
      </c>
      <c r="D3992" s="50" t="s">
        <v>2177</v>
      </c>
      <c r="E3992" s="50" t="n">
        <v>7</v>
      </c>
      <c r="F3992" s="50" t="s">
        <v>2174</v>
      </c>
      <c r="G3992" s="54" t="n">
        <v>7644000</v>
      </c>
    </row>
    <row r="3993" customFormat="false" ht="15" hidden="false" customHeight="false" outlineLevel="0" collapsed="false">
      <c r="A3993" s="50" t="s">
        <v>1432</v>
      </c>
      <c r="B3993" s="51" t="n">
        <v>45899</v>
      </c>
      <c r="C3993" s="50" t="s">
        <v>216</v>
      </c>
      <c r="D3993" s="50" t="s">
        <v>2182</v>
      </c>
      <c r="E3993" s="50" t="n">
        <v>6</v>
      </c>
      <c r="F3993" s="50" t="s">
        <v>2174</v>
      </c>
      <c r="G3993" s="54" t="n">
        <v>5661200</v>
      </c>
    </row>
    <row r="3994" customFormat="false" ht="15" hidden="false" customHeight="false" outlineLevel="0" collapsed="false">
      <c r="A3994" s="50" t="s">
        <v>1432</v>
      </c>
      <c r="B3994" s="51" t="n">
        <v>45899</v>
      </c>
      <c r="C3994" s="50" t="s">
        <v>216</v>
      </c>
      <c r="D3994" s="50" t="s">
        <v>2170</v>
      </c>
      <c r="E3994" s="50" t="n">
        <v>2</v>
      </c>
      <c r="F3994" s="50" t="s">
        <v>2171</v>
      </c>
      <c r="G3994" s="54" t="n">
        <v>15563400</v>
      </c>
    </row>
    <row r="3995" customFormat="false" ht="15" hidden="false" customHeight="false" outlineLevel="0" collapsed="false">
      <c r="A3995" s="50" t="s">
        <v>1432</v>
      </c>
      <c r="B3995" s="51" t="n">
        <v>45899</v>
      </c>
      <c r="C3995" s="50" t="s">
        <v>216</v>
      </c>
      <c r="D3995" s="50" t="s">
        <v>2169</v>
      </c>
      <c r="E3995" s="50" t="n">
        <v>1</v>
      </c>
      <c r="F3995" s="50" t="s">
        <v>2167</v>
      </c>
      <c r="G3995" s="54" t="n">
        <v>596600</v>
      </c>
    </row>
    <row r="3996" customFormat="false" ht="15" hidden="false" customHeight="false" outlineLevel="0" collapsed="false">
      <c r="A3996" s="50" t="s">
        <v>1433</v>
      </c>
      <c r="B3996" s="51" t="n">
        <v>45899</v>
      </c>
      <c r="C3996" s="50" t="s">
        <v>293</v>
      </c>
      <c r="D3996" s="50" t="s">
        <v>2172</v>
      </c>
      <c r="E3996" s="50" t="n">
        <v>4</v>
      </c>
      <c r="F3996" s="50" t="s">
        <v>2167</v>
      </c>
      <c r="G3996" s="54" t="n">
        <v>2082800</v>
      </c>
    </row>
    <row r="3997" customFormat="false" ht="15" hidden="false" customHeight="false" outlineLevel="0" collapsed="false">
      <c r="A3997" s="50" t="s">
        <v>1433</v>
      </c>
      <c r="B3997" s="51" t="n">
        <v>45899</v>
      </c>
      <c r="C3997" s="50" t="s">
        <v>293</v>
      </c>
      <c r="D3997" s="50" t="s">
        <v>2188</v>
      </c>
      <c r="E3997" s="50" t="n">
        <v>6</v>
      </c>
      <c r="F3997" s="50" t="s">
        <v>2167</v>
      </c>
      <c r="G3997" s="54" t="n">
        <v>6024800</v>
      </c>
    </row>
    <row r="3998" customFormat="false" ht="15" hidden="false" customHeight="false" outlineLevel="0" collapsed="false">
      <c r="A3998" s="50" t="s">
        <v>1434</v>
      </c>
      <c r="B3998" s="51" t="n">
        <v>45901</v>
      </c>
      <c r="C3998" s="50" t="s">
        <v>166</v>
      </c>
      <c r="D3998" s="50" t="s">
        <v>2188</v>
      </c>
      <c r="E3998" s="50" t="n">
        <v>3</v>
      </c>
      <c r="F3998" s="50" t="s">
        <v>2167</v>
      </c>
      <c r="G3998" s="54" t="n">
        <v>3048300</v>
      </c>
    </row>
    <row r="3999" customFormat="false" ht="15" hidden="false" customHeight="false" outlineLevel="0" collapsed="false">
      <c r="A3999" s="50" t="s">
        <v>1434</v>
      </c>
      <c r="B3999" s="51" t="n">
        <v>45901</v>
      </c>
      <c r="C3999" s="50" t="s">
        <v>166</v>
      </c>
      <c r="D3999" s="50" t="s">
        <v>2166</v>
      </c>
      <c r="E3999" s="50" t="n">
        <v>8</v>
      </c>
      <c r="F3999" s="50" t="s">
        <v>2167</v>
      </c>
      <c r="G3999" s="54" t="n">
        <v>4376100</v>
      </c>
    </row>
    <row r="4000" customFormat="false" ht="15" hidden="false" customHeight="false" outlineLevel="0" collapsed="false">
      <c r="A4000" s="50" t="s">
        <v>1434</v>
      </c>
      <c r="B4000" s="51" t="n">
        <v>45901</v>
      </c>
      <c r="C4000" s="50" t="s">
        <v>166</v>
      </c>
      <c r="D4000" s="50" t="s">
        <v>2184</v>
      </c>
      <c r="E4000" s="50" t="n">
        <v>3</v>
      </c>
      <c r="F4000" s="50" t="s">
        <v>2167</v>
      </c>
      <c r="G4000" s="54" t="n">
        <v>1619400</v>
      </c>
    </row>
    <row r="4001" customFormat="false" ht="15" hidden="false" customHeight="false" outlineLevel="0" collapsed="false">
      <c r="A4001" s="50" t="s">
        <v>1434</v>
      </c>
      <c r="B4001" s="51" t="n">
        <v>45901</v>
      </c>
      <c r="C4001" s="50" t="s">
        <v>166</v>
      </c>
      <c r="D4001" s="50" t="s">
        <v>2187</v>
      </c>
      <c r="E4001" s="50" t="n">
        <v>6</v>
      </c>
      <c r="F4001" s="50" t="s">
        <v>2167</v>
      </c>
      <c r="G4001" s="54" t="n">
        <v>2022000</v>
      </c>
    </row>
    <row r="4002" customFormat="false" ht="15" hidden="false" customHeight="false" outlineLevel="0" collapsed="false">
      <c r="A4002" s="50" t="s">
        <v>1434</v>
      </c>
      <c r="B4002" s="51" t="n">
        <v>45901</v>
      </c>
      <c r="C4002" s="50" t="s">
        <v>166</v>
      </c>
      <c r="D4002" s="50" t="s">
        <v>2178</v>
      </c>
      <c r="E4002" s="50" t="n">
        <v>3</v>
      </c>
      <c r="F4002" s="50" t="s">
        <v>2167</v>
      </c>
      <c r="G4002" s="54" t="n">
        <v>1455100</v>
      </c>
    </row>
    <row r="4003" customFormat="false" ht="15" hidden="false" customHeight="false" outlineLevel="0" collapsed="false">
      <c r="A4003" s="50" t="s">
        <v>1435</v>
      </c>
      <c r="B4003" s="51" t="n">
        <v>45901</v>
      </c>
      <c r="C4003" s="50" t="s">
        <v>640</v>
      </c>
      <c r="D4003" s="50" t="s">
        <v>2181</v>
      </c>
      <c r="E4003" s="50" t="n">
        <v>3</v>
      </c>
      <c r="F4003" s="50" t="s">
        <v>2167</v>
      </c>
      <c r="G4003" s="54" t="n">
        <v>3424600</v>
      </c>
    </row>
    <row r="4004" customFormat="false" ht="15" hidden="false" customHeight="false" outlineLevel="0" collapsed="false">
      <c r="A4004" s="50" t="s">
        <v>1435</v>
      </c>
      <c r="B4004" s="51" t="n">
        <v>45901</v>
      </c>
      <c r="C4004" s="50" t="s">
        <v>640</v>
      </c>
      <c r="D4004" s="50" t="s">
        <v>2187</v>
      </c>
      <c r="E4004" s="50" t="n">
        <v>5</v>
      </c>
      <c r="F4004" s="50" t="s">
        <v>2167</v>
      </c>
      <c r="G4004" s="54" t="n">
        <v>1720300</v>
      </c>
    </row>
    <row r="4005" customFormat="false" ht="15" hidden="false" customHeight="false" outlineLevel="0" collapsed="false">
      <c r="A4005" s="50" t="s">
        <v>1435</v>
      </c>
      <c r="B4005" s="51" t="n">
        <v>45901</v>
      </c>
      <c r="C4005" s="50" t="s">
        <v>640</v>
      </c>
      <c r="D4005" s="50" t="s">
        <v>2186</v>
      </c>
      <c r="E4005" s="50" t="n">
        <v>4</v>
      </c>
      <c r="F4005" s="50" t="s">
        <v>2167</v>
      </c>
      <c r="G4005" s="54" t="n">
        <v>2331500</v>
      </c>
    </row>
    <row r="4006" customFormat="false" ht="15" hidden="false" customHeight="false" outlineLevel="0" collapsed="false">
      <c r="A4006" s="50" t="s">
        <v>1435</v>
      </c>
      <c r="B4006" s="51" t="n">
        <v>45901</v>
      </c>
      <c r="C4006" s="50" t="s">
        <v>640</v>
      </c>
      <c r="D4006" s="50" t="s">
        <v>2183</v>
      </c>
      <c r="E4006" s="50" t="n">
        <v>3</v>
      </c>
      <c r="F4006" s="50" t="s">
        <v>2167</v>
      </c>
      <c r="G4006" s="54" t="n">
        <v>1096600</v>
      </c>
    </row>
    <row r="4007" customFormat="false" ht="15" hidden="false" customHeight="false" outlineLevel="0" collapsed="false">
      <c r="A4007" s="50" t="s">
        <v>1436</v>
      </c>
      <c r="B4007" s="51" t="n">
        <v>45902</v>
      </c>
      <c r="C4007" s="50" t="s">
        <v>205</v>
      </c>
      <c r="D4007" s="50" t="s">
        <v>2176</v>
      </c>
      <c r="E4007" s="50" t="n">
        <v>4</v>
      </c>
      <c r="F4007" s="50" t="s">
        <v>2167</v>
      </c>
      <c r="G4007" s="54" t="n">
        <v>1742100</v>
      </c>
    </row>
    <row r="4008" customFormat="false" ht="15" hidden="false" customHeight="false" outlineLevel="0" collapsed="false">
      <c r="A4008" s="50" t="s">
        <v>1436</v>
      </c>
      <c r="B4008" s="51" t="n">
        <v>45902</v>
      </c>
      <c r="C4008" s="50" t="s">
        <v>205</v>
      </c>
      <c r="D4008" s="50" t="s">
        <v>2180</v>
      </c>
      <c r="E4008" s="50" t="n">
        <v>6</v>
      </c>
      <c r="F4008" s="50" t="s">
        <v>2167</v>
      </c>
      <c r="G4008" s="54" t="n">
        <v>2613600</v>
      </c>
    </row>
    <row r="4009" customFormat="false" ht="15" hidden="false" customHeight="false" outlineLevel="0" collapsed="false">
      <c r="A4009" s="50" t="s">
        <v>1436</v>
      </c>
      <c r="B4009" s="51" t="n">
        <v>45902</v>
      </c>
      <c r="C4009" s="50" t="s">
        <v>205</v>
      </c>
      <c r="D4009" s="50" t="s">
        <v>2172</v>
      </c>
      <c r="E4009" s="50" t="n">
        <v>4</v>
      </c>
      <c r="F4009" s="50" t="s">
        <v>2167</v>
      </c>
      <c r="G4009" s="54" t="n">
        <v>2045400</v>
      </c>
    </row>
    <row r="4010" customFormat="false" ht="15" hidden="false" customHeight="false" outlineLevel="0" collapsed="false">
      <c r="A4010" s="50" t="s">
        <v>1436</v>
      </c>
      <c r="B4010" s="51" t="n">
        <v>45902</v>
      </c>
      <c r="C4010" s="50" t="s">
        <v>205</v>
      </c>
      <c r="D4010" s="50" t="s">
        <v>2169</v>
      </c>
      <c r="E4010" s="50" t="n">
        <v>2</v>
      </c>
      <c r="F4010" s="50" t="s">
        <v>2167</v>
      </c>
      <c r="G4010" s="54" t="n">
        <v>1254400</v>
      </c>
    </row>
    <row r="4011" customFormat="false" ht="15" hidden="false" customHeight="false" outlineLevel="0" collapsed="false">
      <c r="A4011" s="50" t="s">
        <v>1437</v>
      </c>
      <c r="B4011" s="51" t="n">
        <v>45902</v>
      </c>
      <c r="C4011" s="50" t="s">
        <v>737</v>
      </c>
      <c r="D4011" s="50" t="s">
        <v>2180</v>
      </c>
      <c r="E4011" s="50" t="n">
        <v>6</v>
      </c>
      <c r="F4011" s="50" t="s">
        <v>2167</v>
      </c>
      <c r="G4011" s="54" t="n">
        <v>2643200</v>
      </c>
    </row>
    <row r="4012" customFormat="false" ht="15" hidden="false" customHeight="false" outlineLevel="0" collapsed="false">
      <c r="A4012" s="50" t="s">
        <v>1438</v>
      </c>
      <c r="B4012" s="51" t="n">
        <v>45902</v>
      </c>
      <c r="C4012" s="50" t="s">
        <v>967</v>
      </c>
      <c r="D4012" s="50" t="s">
        <v>2172</v>
      </c>
      <c r="E4012" s="50" t="n">
        <v>5</v>
      </c>
      <c r="F4012" s="50" t="s">
        <v>2167</v>
      </c>
      <c r="G4012" s="54" t="n">
        <v>2576000</v>
      </c>
    </row>
    <row r="4013" customFormat="false" ht="15" hidden="false" customHeight="false" outlineLevel="0" collapsed="false">
      <c r="A4013" s="50" t="s">
        <v>1438</v>
      </c>
      <c r="B4013" s="51" t="n">
        <v>45902</v>
      </c>
      <c r="C4013" s="50" t="s">
        <v>967</v>
      </c>
      <c r="D4013" s="50" t="s">
        <v>2169</v>
      </c>
      <c r="E4013" s="50" t="n">
        <v>1</v>
      </c>
      <c r="F4013" s="50" t="s">
        <v>2167</v>
      </c>
      <c r="G4013" s="54" t="n">
        <v>644800</v>
      </c>
    </row>
    <row r="4014" customFormat="false" ht="15" hidden="false" customHeight="false" outlineLevel="0" collapsed="false">
      <c r="A4014" s="50" t="s">
        <v>1438</v>
      </c>
      <c r="B4014" s="51" t="n">
        <v>45902</v>
      </c>
      <c r="C4014" s="50" t="s">
        <v>967</v>
      </c>
      <c r="D4014" s="50" t="s">
        <v>2178</v>
      </c>
      <c r="E4014" s="50" t="n">
        <v>1</v>
      </c>
      <c r="F4014" s="50" t="s">
        <v>2167</v>
      </c>
      <c r="G4014" s="54" t="n">
        <v>487400</v>
      </c>
    </row>
    <row r="4015" customFormat="false" ht="15" hidden="false" customHeight="false" outlineLevel="0" collapsed="false">
      <c r="A4015" s="50" t="s">
        <v>1439</v>
      </c>
      <c r="B4015" s="51" t="n">
        <v>45903</v>
      </c>
      <c r="C4015" s="50" t="s">
        <v>562</v>
      </c>
      <c r="D4015" s="50" t="s">
        <v>2172</v>
      </c>
      <c r="E4015" s="50" t="n">
        <v>6</v>
      </c>
      <c r="F4015" s="50" t="s">
        <v>2167</v>
      </c>
      <c r="G4015" s="54" t="n">
        <v>3137900</v>
      </c>
    </row>
    <row r="4016" customFormat="false" ht="15" hidden="false" customHeight="false" outlineLevel="0" collapsed="false">
      <c r="A4016" s="50" t="s">
        <v>1440</v>
      </c>
      <c r="B4016" s="51" t="n">
        <v>45903</v>
      </c>
      <c r="C4016" s="50" t="s">
        <v>197</v>
      </c>
      <c r="D4016" s="50" t="s">
        <v>2184</v>
      </c>
      <c r="E4016" s="50" t="n">
        <v>4</v>
      </c>
      <c r="F4016" s="50" t="s">
        <v>2167</v>
      </c>
      <c r="G4016" s="54" t="n">
        <v>2281300</v>
      </c>
    </row>
    <row r="4017" customFormat="false" ht="15" hidden="false" customHeight="false" outlineLevel="0" collapsed="false">
      <c r="A4017" s="50" t="s">
        <v>1440</v>
      </c>
      <c r="B4017" s="51" t="n">
        <v>45903</v>
      </c>
      <c r="C4017" s="50" t="s">
        <v>197</v>
      </c>
      <c r="D4017" s="50" t="s">
        <v>2181</v>
      </c>
      <c r="E4017" s="50" t="n">
        <v>3</v>
      </c>
      <c r="F4017" s="50" t="s">
        <v>2167</v>
      </c>
      <c r="G4017" s="54" t="n">
        <v>3449100</v>
      </c>
    </row>
    <row r="4018" customFormat="false" ht="15" hidden="false" customHeight="false" outlineLevel="0" collapsed="false">
      <c r="A4018" s="50" t="s">
        <v>1440</v>
      </c>
      <c r="B4018" s="51" t="n">
        <v>45903</v>
      </c>
      <c r="C4018" s="50" t="s">
        <v>197</v>
      </c>
      <c r="D4018" s="50" t="s">
        <v>2185</v>
      </c>
      <c r="E4018" s="50" t="n">
        <v>8</v>
      </c>
      <c r="F4018" s="50" t="s">
        <v>2174</v>
      </c>
      <c r="G4018" s="54" t="n">
        <v>6233300</v>
      </c>
    </row>
    <row r="4019" customFormat="false" ht="15" hidden="false" customHeight="false" outlineLevel="0" collapsed="false">
      <c r="A4019" s="50" t="s">
        <v>1441</v>
      </c>
      <c r="B4019" s="51" t="n">
        <v>45903</v>
      </c>
      <c r="C4019" s="50" t="s">
        <v>280</v>
      </c>
      <c r="D4019" s="50" t="s">
        <v>2180</v>
      </c>
      <c r="E4019" s="50" t="n">
        <v>5</v>
      </c>
      <c r="F4019" s="50" t="s">
        <v>2167</v>
      </c>
      <c r="G4019" s="54" t="n">
        <v>2295600</v>
      </c>
    </row>
    <row r="4020" customFormat="false" ht="15" hidden="false" customHeight="false" outlineLevel="0" collapsed="false">
      <c r="A4020" s="50" t="s">
        <v>1441</v>
      </c>
      <c r="B4020" s="51" t="n">
        <v>45903</v>
      </c>
      <c r="C4020" s="50" t="s">
        <v>280</v>
      </c>
      <c r="D4020" s="50" t="s">
        <v>2185</v>
      </c>
      <c r="E4020" s="50" t="n">
        <v>2</v>
      </c>
      <c r="F4020" s="50" t="s">
        <v>2174</v>
      </c>
      <c r="G4020" s="54" t="n">
        <v>1576800</v>
      </c>
    </row>
    <row r="4021" customFormat="false" ht="15" hidden="false" customHeight="false" outlineLevel="0" collapsed="false">
      <c r="A4021" s="50" t="s">
        <v>1442</v>
      </c>
      <c r="B4021" s="51" t="n">
        <v>45903</v>
      </c>
      <c r="C4021" s="50" t="s">
        <v>405</v>
      </c>
      <c r="D4021" s="50" t="s">
        <v>2180</v>
      </c>
      <c r="E4021" s="50" t="n">
        <v>2</v>
      </c>
      <c r="F4021" s="50" t="s">
        <v>2167</v>
      </c>
      <c r="G4021" s="54" t="n">
        <v>908300</v>
      </c>
    </row>
    <row r="4022" customFormat="false" ht="15" hidden="false" customHeight="false" outlineLevel="0" collapsed="false">
      <c r="A4022" s="50" t="s">
        <v>1442</v>
      </c>
      <c r="B4022" s="51" t="n">
        <v>45903</v>
      </c>
      <c r="C4022" s="50" t="s">
        <v>405</v>
      </c>
      <c r="D4022" s="50" t="s">
        <v>2186</v>
      </c>
      <c r="E4022" s="50" t="n">
        <v>1</v>
      </c>
      <c r="F4022" s="50" t="s">
        <v>2167</v>
      </c>
      <c r="G4022" s="54" t="n">
        <v>605800</v>
      </c>
    </row>
    <row r="4023" customFormat="false" ht="15" hidden="false" customHeight="false" outlineLevel="0" collapsed="false">
      <c r="A4023" s="50" t="s">
        <v>1442</v>
      </c>
      <c r="B4023" s="51" t="n">
        <v>45903</v>
      </c>
      <c r="C4023" s="50" t="s">
        <v>405</v>
      </c>
      <c r="D4023" s="50" t="s">
        <v>2184</v>
      </c>
      <c r="E4023" s="50" t="n">
        <v>2</v>
      </c>
      <c r="F4023" s="50" t="s">
        <v>2167</v>
      </c>
      <c r="G4023" s="54" t="n">
        <v>1164100</v>
      </c>
    </row>
    <row r="4024" customFormat="false" ht="15" hidden="false" customHeight="false" outlineLevel="0" collapsed="false">
      <c r="A4024" s="50" t="s">
        <v>1442</v>
      </c>
      <c r="B4024" s="51" t="n">
        <v>45903</v>
      </c>
      <c r="C4024" s="50" t="s">
        <v>405</v>
      </c>
      <c r="D4024" s="50" t="s">
        <v>2181</v>
      </c>
      <c r="E4024" s="50" t="n">
        <v>7</v>
      </c>
      <c r="F4024" s="50" t="s">
        <v>2167</v>
      </c>
      <c r="G4024" s="54" t="n">
        <v>8207100</v>
      </c>
    </row>
    <row r="4025" customFormat="false" ht="15" hidden="false" customHeight="false" outlineLevel="0" collapsed="false">
      <c r="A4025" s="50" t="s">
        <v>1443</v>
      </c>
      <c r="B4025" s="51" t="n">
        <v>45903</v>
      </c>
      <c r="C4025" s="50" t="s">
        <v>256</v>
      </c>
      <c r="D4025" s="50" t="s">
        <v>2176</v>
      </c>
      <c r="E4025" s="50" t="n">
        <v>1</v>
      </c>
      <c r="F4025" s="50" t="s">
        <v>2167</v>
      </c>
      <c r="G4025" s="54" t="n">
        <v>406400</v>
      </c>
    </row>
    <row r="4026" customFormat="false" ht="15" hidden="false" customHeight="false" outlineLevel="0" collapsed="false">
      <c r="A4026" s="50" t="s">
        <v>1443</v>
      </c>
      <c r="B4026" s="51" t="n">
        <v>45903</v>
      </c>
      <c r="C4026" s="50" t="s">
        <v>256</v>
      </c>
      <c r="D4026" s="50" t="s">
        <v>2175</v>
      </c>
      <c r="E4026" s="50" t="n">
        <v>7</v>
      </c>
      <c r="F4026" s="50" t="s">
        <v>2167</v>
      </c>
      <c r="G4026" s="54" t="n">
        <v>4302900</v>
      </c>
    </row>
    <row r="4027" customFormat="false" ht="15" hidden="false" customHeight="false" outlineLevel="0" collapsed="false">
      <c r="A4027" s="50" t="s">
        <v>1443</v>
      </c>
      <c r="B4027" s="51" t="n">
        <v>45903</v>
      </c>
      <c r="C4027" s="50" t="s">
        <v>256</v>
      </c>
      <c r="D4027" s="50" t="s">
        <v>2179</v>
      </c>
      <c r="E4027" s="50" t="n">
        <v>4</v>
      </c>
      <c r="F4027" s="50" t="s">
        <v>2174</v>
      </c>
      <c r="G4027" s="54" t="n">
        <v>4951100</v>
      </c>
    </row>
    <row r="4028" customFormat="false" ht="15" hidden="false" customHeight="false" outlineLevel="0" collapsed="false">
      <c r="A4028" s="50" t="s">
        <v>1443</v>
      </c>
      <c r="B4028" s="51" t="n">
        <v>45903</v>
      </c>
      <c r="C4028" s="50" t="s">
        <v>256</v>
      </c>
      <c r="D4028" s="50" t="s">
        <v>2169</v>
      </c>
      <c r="E4028" s="50" t="n">
        <v>8</v>
      </c>
      <c r="F4028" s="50" t="s">
        <v>2167</v>
      </c>
      <c r="G4028" s="54" t="n">
        <v>5123200</v>
      </c>
    </row>
    <row r="4029" customFormat="false" ht="15" hidden="false" customHeight="false" outlineLevel="0" collapsed="false">
      <c r="A4029" s="50" t="s">
        <v>1443</v>
      </c>
      <c r="B4029" s="51" t="n">
        <v>45903</v>
      </c>
      <c r="C4029" s="50" t="s">
        <v>256</v>
      </c>
      <c r="D4029" s="50" t="s">
        <v>2173</v>
      </c>
      <c r="E4029" s="50" t="n">
        <v>6</v>
      </c>
      <c r="F4029" s="50" t="s">
        <v>2174</v>
      </c>
      <c r="G4029" s="54" t="n">
        <v>4740900</v>
      </c>
    </row>
    <row r="4030" customFormat="false" ht="15" hidden="false" customHeight="false" outlineLevel="0" collapsed="false">
      <c r="A4030" s="50" t="s">
        <v>1444</v>
      </c>
      <c r="B4030" s="51" t="n">
        <v>45903</v>
      </c>
      <c r="C4030" s="50" t="s">
        <v>467</v>
      </c>
      <c r="D4030" s="50" t="s">
        <v>2176</v>
      </c>
      <c r="E4030" s="50" t="n">
        <v>8</v>
      </c>
      <c r="F4030" s="50" t="s">
        <v>2167</v>
      </c>
      <c r="G4030" s="54" t="n">
        <v>3428700</v>
      </c>
    </row>
    <row r="4031" customFormat="false" ht="15" hidden="false" customHeight="false" outlineLevel="0" collapsed="false">
      <c r="A4031" s="50" t="s">
        <v>1444</v>
      </c>
      <c r="B4031" s="51" t="n">
        <v>45903</v>
      </c>
      <c r="C4031" s="50" t="s">
        <v>467</v>
      </c>
      <c r="D4031" s="50" t="s">
        <v>2185</v>
      </c>
      <c r="E4031" s="50" t="n">
        <v>7</v>
      </c>
      <c r="F4031" s="50" t="s">
        <v>2174</v>
      </c>
      <c r="G4031" s="54" t="n">
        <v>5336800</v>
      </c>
    </row>
    <row r="4032" customFormat="false" ht="15" hidden="false" customHeight="false" outlineLevel="0" collapsed="false">
      <c r="A4032" s="50" t="s">
        <v>1444</v>
      </c>
      <c r="B4032" s="51" t="n">
        <v>45903</v>
      </c>
      <c r="C4032" s="50" t="s">
        <v>467</v>
      </c>
      <c r="D4032" s="50" t="s">
        <v>2168</v>
      </c>
      <c r="E4032" s="50" t="n">
        <v>5</v>
      </c>
      <c r="F4032" s="50" t="s">
        <v>2167</v>
      </c>
      <c r="G4032" s="54" t="n">
        <v>2176800</v>
      </c>
    </row>
    <row r="4033" customFormat="false" ht="15" hidden="false" customHeight="false" outlineLevel="0" collapsed="false">
      <c r="A4033" s="50" t="s">
        <v>1444</v>
      </c>
      <c r="B4033" s="51" t="n">
        <v>45903</v>
      </c>
      <c r="C4033" s="50" t="s">
        <v>467</v>
      </c>
      <c r="D4033" s="50" t="s">
        <v>2186</v>
      </c>
      <c r="E4033" s="50" t="n">
        <v>2</v>
      </c>
      <c r="F4033" s="50" t="s">
        <v>2167</v>
      </c>
      <c r="G4033" s="54" t="n">
        <v>1177500</v>
      </c>
    </row>
    <row r="4034" customFormat="false" ht="15" hidden="false" customHeight="false" outlineLevel="0" collapsed="false">
      <c r="A4034" s="50" t="s">
        <v>1444</v>
      </c>
      <c r="B4034" s="51" t="n">
        <v>45903</v>
      </c>
      <c r="C4034" s="50" t="s">
        <v>467</v>
      </c>
      <c r="D4034" s="50" t="s">
        <v>2188</v>
      </c>
      <c r="E4034" s="50" t="n">
        <v>3</v>
      </c>
      <c r="F4034" s="50" t="s">
        <v>2167</v>
      </c>
      <c r="G4034" s="54" t="n">
        <v>2953900</v>
      </c>
    </row>
    <row r="4035" customFormat="false" ht="15" hidden="false" customHeight="false" outlineLevel="0" collapsed="false">
      <c r="A4035" s="50" t="s">
        <v>1444</v>
      </c>
      <c r="B4035" s="51" t="n">
        <v>45903</v>
      </c>
      <c r="C4035" s="50" t="s">
        <v>467</v>
      </c>
      <c r="D4035" s="50" t="s">
        <v>2178</v>
      </c>
      <c r="E4035" s="50" t="n">
        <v>6</v>
      </c>
      <c r="F4035" s="50" t="s">
        <v>2167</v>
      </c>
      <c r="G4035" s="54" t="n">
        <v>2951900</v>
      </c>
    </row>
    <row r="4036" customFormat="false" ht="15" hidden="false" customHeight="false" outlineLevel="0" collapsed="false">
      <c r="A4036" s="50" t="s">
        <v>1445</v>
      </c>
      <c r="B4036" s="51" t="n">
        <v>45904</v>
      </c>
      <c r="C4036" s="50" t="s">
        <v>172</v>
      </c>
      <c r="D4036" s="50" t="s">
        <v>2186</v>
      </c>
      <c r="E4036" s="50" t="n">
        <v>2</v>
      </c>
      <c r="F4036" s="50" t="s">
        <v>2167</v>
      </c>
      <c r="G4036" s="54" t="n">
        <v>1170900</v>
      </c>
    </row>
    <row r="4037" customFormat="false" ht="15" hidden="false" customHeight="false" outlineLevel="0" collapsed="false">
      <c r="A4037" s="50" t="s">
        <v>1445</v>
      </c>
      <c r="B4037" s="51" t="n">
        <v>45904</v>
      </c>
      <c r="C4037" s="50" t="s">
        <v>172</v>
      </c>
      <c r="D4037" s="50" t="s">
        <v>2187</v>
      </c>
      <c r="E4037" s="50" t="n">
        <v>4</v>
      </c>
      <c r="F4037" s="50" t="s">
        <v>2167</v>
      </c>
      <c r="G4037" s="54" t="n">
        <v>1434100</v>
      </c>
    </row>
    <row r="4038" customFormat="false" ht="15" hidden="false" customHeight="false" outlineLevel="0" collapsed="false">
      <c r="A4038" s="50" t="s">
        <v>1445</v>
      </c>
      <c r="B4038" s="51" t="n">
        <v>45904</v>
      </c>
      <c r="C4038" s="50" t="s">
        <v>172</v>
      </c>
      <c r="D4038" s="50" t="s">
        <v>2185</v>
      </c>
      <c r="E4038" s="50" t="n">
        <v>3</v>
      </c>
      <c r="F4038" s="50" t="s">
        <v>2174</v>
      </c>
      <c r="G4038" s="54" t="n">
        <v>2249200</v>
      </c>
    </row>
    <row r="4039" customFormat="false" ht="15" hidden="false" customHeight="false" outlineLevel="0" collapsed="false">
      <c r="A4039" s="50" t="s">
        <v>1445</v>
      </c>
      <c r="B4039" s="51" t="n">
        <v>45904</v>
      </c>
      <c r="C4039" s="50" t="s">
        <v>172</v>
      </c>
      <c r="D4039" s="50" t="s">
        <v>2176</v>
      </c>
      <c r="E4039" s="50" t="n">
        <v>7</v>
      </c>
      <c r="F4039" s="50" t="s">
        <v>2167</v>
      </c>
      <c r="G4039" s="54" t="n">
        <v>2911000</v>
      </c>
    </row>
    <row r="4040" customFormat="false" ht="15" hidden="false" customHeight="false" outlineLevel="0" collapsed="false">
      <c r="A4040" s="50" t="s">
        <v>1446</v>
      </c>
      <c r="B4040" s="51" t="n">
        <v>45904</v>
      </c>
      <c r="C4040" s="50" t="s">
        <v>205</v>
      </c>
      <c r="D4040" s="50" t="s">
        <v>2172</v>
      </c>
      <c r="E4040" s="50" t="n">
        <v>7</v>
      </c>
      <c r="F4040" s="50" t="s">
        <v>2167</v>
      </c>
      <c r="G4040" s="54" t="n">
        <v>3594300</v>
      </c>
    </row>
    <row r="4041" customFormat="false" ht="15" hidden="false" customHeight="false" outlineLevel="0" collapsed="false">
      <c r="A4041" s="50" t="s">
        <v>1446</v>
      </c>
      <c r="B4041" s="51" t="n">
        <v>45904</v>
      </c>
      <c r="C4041" s="50" t="s">
        <v>205</v>
      </c>
      <c r="D4041" s="50" t="s">
        <v>2182</v>
      </c>
      <c r="E4041" s="50" t="n">
        <v>4</v>
      </c>
      <c r="F4041" s="50" t="s">
        <v>2174</v>
      </c>
      <c r="G4041" s="54" t="n">
        <v>3664000</v>
      </c>
    </row>
    <row r="4042" customFormat="false" ht="15" hidden="false" customHeight="false" outlineLevel="0" collapsed="false">
      <c r="A4042" s="50" t="s">
        <v>1447</v>
      </c>
      <c r="B4042" s="51" t="n">
        <v>45904</v>
      </c>
      <c r="C4042" s="50" t="s">
        <v>174</v>
      </c>
      <c r="D4042" s="50" t="s">
        <v>2181</v>
      </c>
      <c r="E4042" s="50" t="n">
        <v>1</v>
      </c>
      <c r="F4042" s="50" t="s">
        <v>2167</v>
      </c>
      <c r="G4042" s="54" t="n">
        <v>1144700</v>
      </c>
    </row>
    <row r="4043" customFormat="false" ht="15" hidden="false" customHeight="false" outlineLevel="0" collapsed="false">
      <c r="A4043" s="50" t="s">
        <v>1447</v>
      </c>
      <c r="B4043" s="51" t="n">
        <v>45904</v>
      </c>
      <c r="C4043" s="50" t="s">
        <v>174</v>
      </c>
      <c r="D4043" s="50" t="s">
        <v>2186</v>
      </c>
      <c r="E4043" s="50" t="n">
        <v>6</v>
      </c>
      <c r="F4043" s="50" t="s">
        <v>2167</v>
      </c>
      <c r="G4043" s="54" t="n">
        <v>3412700</v>
      </c>
    </row>
    <row r="4044" customFormat="false" ht="15" hidden="false" customHeight="false" outlineLevel="0" collapsed="false">
      <c r="A4044" s="50" t="s">
        <v>1447</v>
      </c>
      <c r="B4044" s="51" t="n">
        <v>45904</v>
      </c>
      <c r="C4044" s="50" t="s">
        <v>174</v>
      </c>
      <c r="D4044" s="50" t="s">
        <v>2179</v>
      </c>
      <c r="E4044" s="50" t="n">
        <v>5</v>
      </c>
      <c r="F4044" s="50" t="s">
        <v>2174</v>
      </c>
      <c r="G4044" s="54" t="n">
        <v>6383800</v>
      </c>
    </row>
    <row r="4045" customFormat="false" ht="15" hidden="false" customHeight="false" outlineLevel="0" collapsed="false">
      <c r="A4045" s="50" t="s">
        <v>1447</v>
      </c>
      <c r="B4045" s="51" t="n">
        <v>45904</v>
      </c>
      <c r="C4045" s="50" t="s">
        <v>174</v>
      </c>
      <c r="D4045" s="50" t="s">
        <v>2183</v>
      </c>
      <c r="E4045" s="50" t="n">
        <v>7</v>
      </c>
      <c r="F4045" s="50" t="s">
        <v>2167</v>
      </c>
      <c r="G4045" s="54" t="n">
        <v>2692300</v>
      </c>
    </row>
    <row r="4046" customFormat="false" ht="15" hidden="false" customHeight="false" outlineLevel="0" collapsed="false">
      <c r="A4046" s="50" t="s">
        <v>1447</v>
      </c>
      <c r="B4046" s="51" t="n">
        <v>45904</v>
      </c>
      <c r="C4046" s="50" t="s">
        <v>174</v>
      </c>
      <c r="D4046" s="50" t="s">
        <v>2172</v>
      </c>
      <c r="E4046" s="50" t="n">
        <v>1</v>
      </c>
      <c r="F4046" s="50" t="s">
        <v>2167</v>
      </c>
      <c r="G4046" s="54" t="n">
        <v>528900</v>
      </c>
    </row>
    <row r="4047" customFormat="false" ht="15" hidden="false" customHeight="false" outlineLevel="0" collapsed="false">
      <c r="A4047" s="50" t="s">
        <v>1448</v>
      </c>
      <c r="B4047" s="51" t="n">
        <v>45904</v>
      </c>
      <c r="C4047" s="50" t="s">
        <v>199</v>
      </c>
      <c r="D4047" s="50" t="s">
        <v>2180</v>
      </c>
      <c r="E4047" s="50" t="n">
        <v>3</v>
      </c>
      <c r="F4047" s="50" t="s">
        <v>2167</v>
      </c>
      <c r="G4047" s="54" t="n">
        <v>1302600</v>
      </c>
    </row>
    <row r="4048" customFormat="false" ht="15" hidden="false" customHeight="false" outlineLevel="0" collapsed="false">
      <c r="A4048" s="50" t="s">
        <v>1448</v>
      </c>
      <c r="B4048" s="51" t="n">
        <v>45904</v>
      </c>
      <c r="C4048" s="50" t="s">
        <v>199</v>
      </c>
      <c r="D4048" s="50" t="s">
        <v>2186</v>
      </c>
      <c r="E4048" s="50" t="n">
        <v>8</v>
      </c>
      <c r="F4048" s="50" t="s">
        <v>2167</v>
      </c>
      <c r="G4048" s="54" t="n">
        <v>4875300</v>
      </c>
    </row>
    <row r="4049" customFormat="false" ht="15" hidden="false" customHeight="false" outlineLevel="0" collapsed="false">
      <c r="A4049" s="50" t="s">
        <v>1448</v>
      </c>
      <c r="B4049" s="51" t="n">
        <v>45904</v>
      </c>
      <c r="C4049" s="50" t="s">
        <v>199</v>
      </c>
      <c r="D4049" s="50" t="s">
        <v>2178</v>
      </c>
      <c r="E4049" s="50" t="n">
        <v>2</v>
      </c>
      <c r="F4049" s="50" t="s">
        <v>2167</v>
      </c>
      <c r="G4049" s="54" t="n">
        <v>926200</v>
      </c>
    </row>
    <row r="4050" customFormat="false" ht="15" hidden="false" customHeight="false" outlineLevel="0" collapsed="false">
      <c r="A4050" s="50" t="s">
        <v>1449</v>
      </c>
      <c r="B4050" s="51" t="n">
        <v>45904</v>
      </c>
      <c r="C4050" s="50" t="s">
        <v>419</v>
      </c>
      <c r="D4050" s="50" t="s">
        <v>2169</v>
      </c>
      <c r="E4050" s="50" t="n">
        <v>3</v>
      </c>
      <c r="F4050" s="50" t="s">
        <v>2167</v>
      </c>
      <c r="G4050" s="54" t="n">
        <v>1823300</v>
      </c>
    </row>
    <row r="4051" customFormat="false" ht="15" hidden="false" customHeight="false" outlineLevel="0" collapsed="false">
      <c r="A4051" s="50" t="s">
        <v>1449</v>
      </c>
      <c r="B4051" s="51" t="n">
        <v>45904</v>
      </c>
      <c r="C4051" s="50" t="s">
        <v>419</v>
      </c>
      <c r="D4051" s="50" t="s">
        <v>2181</v>
      </c>
      <c r="E4051" s="50" t="n">
        <v>5</v>
      </c>
      <c r="F4051" s="50" t="s">
        <v>2167</v>
      </c>
      <c r="G4051" s="54" t="n">
        <v>5932500</v>
      </c>
    </row>
    <row r="4052" customFormat="false" ht="15" hidden="false" customHeight="false" outlineLevel="0" collapsed="false">
      <c r="A4052" s="50" t="s">
        <v>1450</v>
      </c>
      <c r="B4052" s="51" t="n">
        <v>45904</v>
      </c>
      <c r="C4052" s="50" t="s">
        <v>223</v>
      </c>
      <c r="D4052" s="50" t="s">
        <v>2176</v>
      </c>
      <c r="E4052" s="50" t="n">
        <v>8</v>
      </c>
      <c r="F4052" s="50" t="s">
        <v>2167</v>
      </c>
      <c r="G4052" s="54" t="n">
        <v>3344600</v>
      </c>
    </row>
    <row r="4053" customFormat="false" ht="15" hidden="false" customHeight="false" outlineLevel="0" collapsed="false">
      <c r="A4053" s="50" t="s">
        <v>1450</v>
      </c>
      <c r="B4053" s="51" t="n">
        <v>45904</v>
      </c>
      <c r="C4053" s="50" t="s">
        <v>223</v>
      </c>
      <c r="D4053" s="50" t="s">
        <v>2182</v>
      </c>
      <c r="E4053" s="50" t="n">
        <v>5</v>
      </c>
      <c r="F4053" s="50" t="s">
        <v>2174</v>
      </c>
      <c r="G4053" s="54" t="n">
        <v>4826400</v>
      </c>
    </row>
    <row r="4054" customFormat="false" ht="15" hidden="false" customHeight="false" outlineLevel="0" collapsed="false">
      <c r="A4054" s="50" t="s">
        <v>1450</v>
      </c>
      <c r="B4054" s="51" t="n">
        <v>45904</v>
      </c>
      <c r="C4054" s="50" t="s">
        <v>223</v>
      </c>
      <c r="D4054" s="50" t="s">
        <v>2168</v>
      </c>
      <c r="E4054" s="50" t="n">
        <v>3</v>
      </c>
      <c r="F4054" s="50" t="s">
        <v>2167</v>
      </c>
      <c r="G4054" s="54" t="n">
        <v>1259600</v>
      </c>
    </row>
    <row r="4055" customFormat="false" ht="15" hidden="false" customHeight="false" outlineLevel="0" collapsed="false">
      <c r="A4055" s="50" t="s">
        <v>1450</v>
      </c>
      <c r="B4055" s="51" t="n">
        <v>45904</v>
      </c>
      <c r="C4055" s="50" t="s">
        <v>223</v>
      </c>
      <c r="D4055" s="50" t="s">
        <v>2172</v>
      </c>
      <c r="E4055" s="50" t="n">
        <v>7</v>
      </c>
      <c r="F4055" s="50" t="s">
        <v>2167</v>
      </c>
      <c r="G4055" s="54" t="n">
        <v>3661000</v>
      </c>
    </row>
    <row r="4056" customFormat="false" ht="15" hidden="false" customHeight="false" outlineLevel="0" collapsed="false">
      <c r="A4056" s="50" t="s">
        <v>1451</v>
      </c>
      <c r="B4056" s="51" t="n">
        <v>45904</v>
      </c>
      <c r="C4056" s="50" t="s">
        <v>447</v>
      </c>
      <c r="D4056" s="50" t="s">
        <v>2169</v>
      </c>
      <c r="E4056" s="50" t="n">
        <v>7</v>
      </c>
      <c r="F4056" s="50" t="s">
        <v>2167</v>
      </c>
      <c r="G4056" s="54" t="n">
        <v>4478600</v>
      </c>
    </row>
    <row r="4057" customFormat="false" ht="15" hidden="false" customHeight="false" outlineLevel="0" collapsed="false">
      <c r="A4057" s="50" t="s">
        <v>1451</v>
      </c>
      <c r="B4057" s="51" t="n">
        <v>45904</v>
      </c>
      <c r="C4057" s="50" t="s">
        <v>447</v>
      </c>
      <c r="D4057" s="50" t="s">
        <v>2177</v>
      </c>
      <c r="E4057" s="50" t="n">
        <v>2</v>
      </c>
      <c r="F4057" s="50" t="s">
        <v>2174</v>
      </c>
      <c r="G4057" s="54" t="n">
        <v>2133500</v>
      </c>
    </row>
    <row r="4058" customFormat="false" ht="15" hidden="false" customHeight="false" outlineLevel="0" collapsed="false">
      <c r="A4058" s="50" t="s">
        <v>1451</v>
      </c>
      <c r="B4058" s="51" t="n">
        <v>45904</v>
      </c>
      <c r="C4058" s="50" t="s">
        <v>447</v>
      </c>
      <c r="D4058" s="50" t="s">
        <v>2166</v>
      </c>
      <c r="E4058" s="50" t="n">
        <v>7</v>
      </c>
      <c r="F4058" s="50" t="s">
        <v>2167</v>
      </c>
      <c r="G4058" s="54" t="n">
        <v>3860900</v>
      </c>
    </row>
    <row r="4059" customFormat="false" ht="15" hidden="false" customHeight="false" outlineLevel="0" collapsed="false">
      <c r="A4059" s="50" t="s">
        <v>1451</v>
      </c>
      <c r="B4059" s="51" t="n">
        <v>45904</v>
      </c>
      <c r="C4059" s="50" t="s">
        <v>447</v>
      </c>
      <c r="D4059" s="50" t="s">
        <v>2182</v>
      </c>
      <c r="E4059" s="50" t="n">
        <v>1</v>
      </c>
      <c r="F4059" s="50" t="s">
        <v>2174</v>
      </c>
      <c r="G4059" s="54" t="n">
        <v>966700</v>
      </c>
    </row>
    <row r="4060" customFormat="false" ht="15" hidden="false" customHeight="false" outlineLevel="0" collapsed="false">
      <c r="A4060" s="50" t="s">
        <v>1451</v>
      </c>
      <c r="B4060" s="51" t="n">
        <v>45904</v>
      </c>
      <c r="C4060" s="50" t="s">
        <v>447</v>
      </c>
      <c r="D4060" s="50" t="s">
        <v>2180</v>
      </c>
      <c r="E4060" s="50" t="n">
        <v>8</v>
      </c>
      <c r="F4060" s="50" t="s">
        <v>2167</v>
      </c>
      <c r="G4060" s="54" t="n">
        <v>3479600</v>
      </c>
    </row>
    <row r="4061" customFormat="false" ht="15" hidden="false" customHeight="false" outlineLevel="0" collapsed="false">
      <c r="A4061" s="50" t="s">
        <v>1451</v>
      </c>
      <c r="B4061" s="51" t="n">
        <v>45904</v>
      </c>
      <c r="C4061" s="50" t="s">
        <v>447</v>
      </c>
      <c r="D4061" s="50" t="s">
        <v>2173</v>
      </c>
      <c r="E4061" s="50" t="n">
        <v>8</v>
      </c>
      <c r="F4061" s="50" t="s">
        <v>2174</v>
      </c>
      <c r="G4061" s="54" t="n">
        <v>6306100</v>
      </c>
    </row>
    <row r="4062" customFormat="false" ht="15" hidden="false" customHeight="false" outlineLevel="0" collapsed="false">
      <c r="A4062" s="50" t="s">
        <v>1452</v>
      </c>
      <c r="B4062" s="51" t="n">
        <v>45904</v>
      </c>
      <c r="C4062" s="50" t="s">
        <v>166</v>
      </c>
      <c r="D4062" s="50" t="s">
        <v>2176</v>
      </c>
      <c r="E4062" s="50" t="n">
        <v>5</v>
      </c>
      <c r="F4062" s="50" t="s">
        <v>2167</v>
      </c>
      <c r="G4062" s="54" t="n">
        <v>2046700</v>
      </c>
    </row>
    <row r="4063" customFormat="false" ht="15" hidden="false" customHeight="false" outlineLevel="0" collapsed="false">
      <c r="A4063" s="50" t="s">
        <v>1452</v>
      </c>
      <c r="B4063" s="51" t="n">
        <v>45904</v>
      </c>
      <c r="C4063" s="50" t="s">
        <v>166</v>
      </c>
      <c r="D4063" s="50" t="s">
        <v>2183</v>
      </c>
      <c r="E4063" s="50" t="n">
        <v>2</v>
      </c>
      <c r="F4063" s="50" t="s">
        <v>2167</v>
      </c>
      <c r="G4063" s="54" t="n">
        <v>781200</v>
      </c>
    </row>
    <row r="4064" customFormat="false" ht="15" hidden="false" customHeight="false" outlineLevel="0" collapsed="false">
      <c r="A4064" s="50" t="s">
        <v>1452</v>
      </c>
      <c r="B4064" s="51" t="n">
        <v>45904</v>
      </c>
      <c r="C4064" s="50" t="s">
        <v>166</v>
      </c>
      <c r="D4064" s="50" t="s">
        <v>2178</v>
      </c>
      <c r="E4064" s="50" t="n">
        <v>6</v>
      </c>
      <c r="F4064" s="50" t="s">
        <v>2167</v>
      </c>
      <c r="G4064" s="54" t="n">
        <v>2914100</v>
      </c>
    </row>
    <row r="4065" customFormat="false" ht="15" hidden="false" customHeight="false" outlineLevel="0" collapsed="false">
      <c r="A4065" s="50" t="s">
        <v>1452</v>
      </c>
      <c r="B4065" s="51" t="n">
        <v>45904</v>
      </c>
      <c r="C4065" s="50" t="s">
        <v>166</v>
      </c>
      <c r="D4065" s="50" t="s">
        <v>2180</v>
      </c>
      <c r="E4065" s="50" t="n">
        <v>8</v>
      </c>
      <c r="F4065" s="50" t="s">
        <v>2167</v>
      </c>
      <c r="G4065" s="54" t="n">
        <v>3664900</v>
      </c>
    </row>
    <row r="4066" customFormat="false" ht="15" hidden="false" customHeight="false" outlineLevel="0" collapsed="false">
      <c r="A4066" s="50" t="s">
        <v>1452</v>
      </c>
      <c r="B4066" s="51" t="n">
        <v>45904</v>
      </c>
      <c r="C4066" s="50" t="s">
        <v>166</v>
      </c>
      <c r="D4066" s="50" t="s">
        <v>2173</v>
      </c>
      <c r="E4066" s="50" t="n">
        <v>7</v>
      </c>
      <c r="F4066" s="50" t="s">
        <v>2174</v>
      </c>
      <c r="G4066" s="54" t="n">
        <v>5632600</v>
      </c>
    </row>
    <row r="4067" customFormat="false" ht="15" hidden="false" customHeight="false" outlineLevel="0" collapsed="false">
      <c r="A4067" s="50" t="s">
        <v>1452</v>
      </c>
      <c r="B4067" s="51" t="n">
        <v>45904</v>
      </c>
      <c r="C4067" s="50" t="s">
        <v>166</v>
      </c>
      <c r="D4067" s="50" t="s">
        <v>2188</v>
      </c>
      <c r="E4067" s="50" t="n">
        <v>8</v>
      </c>
      <c r="F4067" s="50" t="s">
        <v>2167</v>
      </c>
      <c r="G4067" s="54" t="n">
        <v>7527200</v>
      </c>
    </row>
    <row r="4068" customFormat="false" ht="15" hidden="false" customHeight="false" outlineLevel="0" collapsed="false">
      <c r="A4068" s="50" t="s">
        <v>1453</v>
      </c>
      <c r="B4068" s="51" t="n">
        <v>45904</v>
      </c>
      <c r="C4068" s="50" t="s">
        <v>174</v>
      </c>
      <c r="D4068" s="50" t="s">
        <v>2181</v>
      </c>
      <c r="E4068" s="50" t="n">
        <v>1</v>
      </c>
      <c r="F4068" s="50" t="s">
        <v>2167</v>
      </c>
      <c r="G4068" s="54" t="n">
        <v>1174000</v>
      </c>
    </row>
    <row r="4069" customFormat="false" ht="15" hidden="false" customHeight="false" outlineLevel="0" collapsed="false">
      <c r="A4069" s="50" t="s">
        <v>1453</v>
      </c>
      <c r="B4069" s="51" t="n">
        <v>45904</v>
      </c>
      <c r="C4069" s="50" t="s">
        <v>174</v>
      </c>
      <c r="D4069" s="50" t="s">
        <v>2166</v>
      </c>
      <c r="E4069" s="50" t="n">
        <v>1</v>
      </c>
      <c r="F4069" s="50" t="s">
        <v>2167</v>
      </c>
      <c r="G4069" s="54" t="n">
        <v>545100</v>
      </c>
    </row>
    <row r="4070" customFormat="false" ht="15" hidden="false" customHeight="false" outlineLevel="0" collapsed="false">
      <c r="A4070" s="50" t="s">
        <v>1453</v>
      </c>
      <c r="B4070" s="51" t="n">
        <v>45904</v>
      </c>
      <c r="C4070" s="50" t="s">
        <v>174</v>
      </c>
      <c r="D4070" s="50" t="s">
        <v>2173</v>
      </c>
      <c r="E4070" s="50" t="n">
        <v>5</v>
      </c>
      <c r="F4070" s="50" t="s">
        <v>2174</v>
      </c>
      <c r="G4070" s="54" t="n">
        <v>3947600</v>
      </c>
    </row>
    <row r="4071" customFormat="false" ht="15" hidden="false" customHeight="false" outlineLevel="0" collapsed="false">
      <c r="A4071" s="50" t="s">
        <v>1453</v>
      </c>
      <c r="B4071" s="51" t="n">
        <v>45904</v>
      </c>
      <c r="C4071" s="50" t="s">
        <v>174</v>
      </c>
      <c r="D4071" s="50" t="s">
        <v>2172</v>
      </c>
      <c r="E4071" s="50" t="n">
        <v>7</v>
      </c>
      <c r="F4071" s="50" t="s">
        <v>2167</v>
      </c>
      <c r="G4071" s="54" t="n">
        <v>3650800</v>
      </c>
    </row>
    <row r="4072" customFormat="false" ht="15" hidden="false" customHeight="false" outlineLevel="0" collapsed="false">
      <c r="A4072" s="50" t="s">
        <v>1453</v>
      </c>
      <c r="B4072" s="51" t="n">
        <v>45904</v>
      </c>
      <c r="C4072" s="50" t="s">
        <v>174</v>
      </c>
      <c r="D4072" s="50" t="s">
        <v>2176</v>
      </c>
      <c r="E4072" s="50" t="n">
        <v>2</v>
      </c>
      <c r="F4072" s="50" t="s">
        <v>2167</v>
      </c>
      <c r="G4072" s="54" t="n">
        <v>820700</v>
      </c>
    </row>
    <row r="4073" customFormat="false" ht="15" hidden="false" customHeight="false" outlineLevel="0" collapsed="false">
      <c r="A4073" s="50" t="s">
        <v>1454</v>
      </c>
      <c r="B4073" s="51" t="n">
        <v>45905</v>
      </c>
      <c r="C4073" s="50" t="s">
        <v>463</v>
      </c>
      <c r="D4073" s="50" t="s">
        <v>2169</v>
      </c>
      <c r="E4073" s="50" t="n">
        <v>6</v>
      </c>
      <c r="F4073" s="50" t="s">
        <v>2167</v>
      </c>
      <c r="G4073" s="54" t="n">
        <v>3761400</v>
      </c>
    </row>
    <row r="4074" customFormat="false" ht="15" hidden="false" customHeight="false" outlineLevel="0" collapsed="false">
      <c r="A4074" s="50" t="s">
        <v>1454</v>
      </c>
      <c r="B4074" s="51" t="n">
        <v>45905</v>
      </c>
      <c r="C4074" s="50" t="s">
        <v>463</v>
      </c>
      <c r="D4074" s="50" t="s">
        <v>2178</v>
      </c>
      <c r="E4074" s="50" t="n">
        <v>8</v>
      </c>
      <c r="F4074" s="50" t="s">
        <v>2167</v>
      </c>
      <c r="G4074" s="54" t="n">
        <v>3692200</v>
      </c>
    </row>
    <row r="4075" customFormat="false" ht="15" hidden="false" customHeight="false" outlineLevel="0" collapsed="false">
      <c r="A4075" s="50" t="s">
        <v>1454</v>
      </c>
      <c r="B4075" s="51" t="n">
        <v>45905</v>
      </c>
      <c r="C4075" s="50" t="s">
        <v>463</v>
      </c>
      <c r="D4075" s="50" t="s">
        <v>2179</v>
      </c>
      <c r="E4075" s="50" t="n">
        <v>6</v>
      </c>
      <c r="F4075" s="50" t="s">
        <v>2174</v>
      </c>
      <c r="G4075" s="54" t="n">
        <v>7712500</v>
      </c>
    </row>
    <row r="4076" customFormat="false" ht="15" hidden="false" customHeight="false" outlineLevel="0" collapsed="false">
      <c r="A4076" s="50" t="s">
        <v>1454</v>
      </c>
      <c r="B4076" s="51" t="n">
        <v>45905</v>
      </c>
      <c r="C4076" s="50" t="s">
        <v>463</v>
      </c>
      <c r="D4076" s="50" t="s">
        <v>2176</v>
      </c>
      <c r="E4076" s="50" t="n">
        <v>6</v>
      </c>
      <c r="F4076" s="50" t="s">
        <v>2167</v>
      </c>
      <c r="G4076" s="54" t="n">
        <v>2472900</v>
      </c>
    </row>
    <row r="4077" customFormat="false" ht="15" hidden="false" customHeight="false" outlineLevel="0" collapsed="false">
      <c r="A4077" s="50" t="s">
        <v>1455</v>
      </c>
      <c r="B4077" s="51" t="n">
        <v>45905</v>
      </c>
      <c r="C4077" s="50" t="s">
        <v>475</v>
      </c>
      <c r="D4077" s="50" t="s">
        <v>2176</v>
      </c>
      <c r="E4077" s="50" t="n">
        <v>4</v>
      </c>
      <c r="F4077" s="50" t="s">
        <v>2167</v>
      </c>
      <c r="G4077" s="54" t="n">
        <v>1706500</v>
      </c>
    </row>
    <row r="4078" customFormat="false" ht="15" hidden="false" customHeight="false" outlineLevel="0" collapsed="false">
      <c r="A4078" s="50" t="s">
        <v>1455</v>
      </c>
      <c r="B4078" s="51" t="n">
        <v>45905</v>
      </c>
      <c r="C4078" s="50" t="s">
        <v>475</v>
      </c>
      <c r="D4078" s="50" t="s">
        <v>2172</v>
      </c>
      <c r="E4078" s="50" t="n">
        <v>8</v>
      </c>
      <c r="F4078" s="50" t="s">
        <v>2167</v>
      </c>
      <c r="G4078" s="54" t="n">
        <v>4264700</v>
      </c>
    </row>
    <row r="4079" customFormat="false" ht="15" hidden="false" customHeight="false" outlineLevel="0" collapsed="false">
      <c r="A4079" s="50" t="s">
        <v>1456</v>
      </c>
      <c r="B4079" s="51" t="n">
        <v>45905</v>
      </c>
      <c r="C4079" s="50" t="s">
        <v>177</v>
      </c>
      <c r="D4079" s="50" t="s">
        <v>2176</v>
      </c>
      <c r="E4079" s="50" t="n">
        <v>5</v>
      </c>
      <c r="F4079" s="50" t="s">
        <v>2167</v>
      </c>
      <c r="G4079" s="54" t="n">
        <v>2178100</v>
      </c>
    </row>
    <row r="4080" customFormat="false" ht="15" hidden="false" customHeight="false" outlineLevel="0" collapsed="false">
      <c r="A4080" s="50" t="s">
        <v>1456</v>
      </c>
      <c r="B4080" s="51" t="n">
        <v>45905</v>
      </c>
      <c r="C4080" s="50" t="s">
        <v>177</v>
      </c>
      <c r="D4080" s="50" t="s">
        <v>2183</v>
      </c>
      <c r="E4080" s="50" t="n">
        <v>4</v>
      </c>
      <c r="F4080" s="50" t="s">
        <v>2167</v>
      </c>
      <c r="G4080" s="54" t="n">
        <v>1462900</v>
      </c>
    </row>
    <row r="4081" customFormat="false" ht="15" hidden="false" customHeight="false" outlineLevel="0" collapsed="false">
      <c r="A4081" s="50" t="s">
        <v>1456</v>
      </c>
      <c r="B4081" s="51" t="n">
        <v>45905</v>
      </c>
      <c r="C4081" s="50" t="s">
        <v>177</v>
      </c>
      <c r="D4081" s="50" t="s">
        <v>2186</v>
      </c>
      <c r="E4081" s="50" t="n">
        <v>7</v>
      </c>
      <c r="F4081" s="50" t="s">
        <v>2167</v>
      </c>
      <c r="G4081" s="54" t="n">
        <v>4260400</v>
      </c>
    </row>
    <row r="4082" customFormat="false" ht="15" hidden="false" customHeight="false" outlineLevel="0" collapsed="false">
      <c r="A4082" s="50" t="s">
        <v>1456</v>
      </c>
      <c r="B4082" s="51" t="n">
        <v>45905</v>
      </c>
      <c r="C4082" s="50" t="s">
        <v>177</v>
      </c>
      <c r="D4082" s="50" t="s">
        <v>2172</v>
      </c>
      <c r="E4082" s="50" t="n">
        <v>3</v>
      </c>
      <c r="F4082" s="50" t="s">
        <v>2167</v>
      </c>
      <c r="G4082" s="54" t="n">
        <v>1513400</v>
      </c>
    </row>
    <row r="4083" customFormat="false" ht="15" hidden="false" customHeight="false" outlineLevel="0" collapsed="false">
      <c r="A4083" s="50" t="s">
        <v>1456</v>
      </c>
      <c r="B4083" s="51" t="n">
        <v>45905</v>
      </c>
      <c r="C4083" s="50" t="s">
        <v>177</v>
      </c>
      <c r="D4083" s="50" t="s">
        <v>2185</v>
      </c>
      <c r="E4083" s="50" t="n">
        <v>1</v>
      </c>
      <c r="F4083" s="50" t="s">
        <v>2174</v>
      </c>
      <c r="G4083" s="54" t="n">
        <v>768600</v>
      </c>
    </row>
    <row r="4084" customFormat="false" ht="15" hidden="false" customHeight="false" outlineLevel="0" collapsed="false">
      <c r="A4084" s="50" t="s">
        <v>1457</v>
      </c>
      <c r="B4084" s="51" t="n">
        <v>45905</v>
      </c>
      <c r="C4084" s="50" t="s">
        <v>174</v>
      </c>
      <c r="D4084" s="50" t="s">
        <v>2184</v>
      </c>
      <c r="E4084" s="50" t="n">
        <v>4</v>
      </c>
      <c r="F4084" s="50" t="s">
        <v>2167</v>
      </c>
      <c r="G4084" s="54" t="n">
        <v>2323900</v>
      </c>
    </row>
    <row r="4085" customFormat="false" ht="15" hidden="false" customHeight="false" outlineLevel="0" collapsed="false">
      <c r="A4085" s="50" t="s">
        <v>1457</v>
      </c>
      <c r="B4085" s="51" t="n">
        <v>45905</v>
      </c>
      <c r="C4085" s="50" t="s">
        <v>174</v>
      </c>
      <c r="D4085" s="50" t="s">
        <v>2173</v>
      </c>
      <c r="E4085" s="50" t="n">
        <v>3</v>
      </c>
      <c r="F4085" s="50" t="s">
        <v>2174</v>
      </c>
      <c r="G4085" s="54" t="n">
        <v>2467100</v>
      </c>
    </row>
    <row r="4086" customFormat="false" ht="15" hidden="false" customHeight="false" outlineLevel="0" collapsed="false">
      <c r="A4086" s="50" t="s">
        <v>1457</v>
      </c>
      <c r="B4086" s="51" t="n">
        <v>45905</v>
      </c>
      <c r="C4086" s="50" t="s">
        <v>174</v>
      </c>
      <c r="D4086" s="50" t="s">
        <v>2180</v>
      </c>
      <c r="E4086" s="50" t="n">
        <v>1</v>
      </c>
      <c r="F4086" s="50" t="s">
        <v>2167</v>
      </c>
      <c r="G4086" s="54" t="n">
        <v>458200</v>
      </c>
    </row>
    <row r="4087" customFormat="false" ht="15" hidden="false" customHeight="false" outlineLevel="0" collapsed="false">
      <c r="A4087" s="50" t="s">
        <v>1457</v>
      </c>
      <c r="B4087" s="51" t="n">
        <v>45905</v>
      </c>
      <c r="C4087" s="50" t="s">
        <v>174</v>
      </c>
      <c r="D4087" s="50" t="s">
        <v>2176</v>
      </c>
      <c r="E4087" s="50" t="n">
        <v>6</v>
      </c>
      <c r="F4087" s="50" t="s">
        <v>2167</v>
      </c>
      <c r="G4087" s="54" t="n">
        <v>2524000</v>
      </c>
    </row>
    <row r="4088" customFormat="false" ht="15" hidden="false" customHeight="false" outlineLevel="0" collapsed="false">
      <c r="A4088" s="50" t="s">
        <v>1458</v>
      </c>
      <c r="B4088" s="51" t="n">
        <v>45906</v>
      </c>
      <c r="C4088" s="50" t="s">
        <v>358</v>
      </c>
      <c r="D4088" s="50" t="s">
        <v>2181</v>
      </c>
      <c r="E4088" s="50" t="n">
        <v>4</v>
      </c>
      <c r="F4088" s="50" t="s">
        <v>2167</v>
      </c>
      <c r="G4088" s="54" t="n">
        <v>4656000</v>
      </c>
    </row>
    <row r="4089" customFormat="false" ht="15" hidden="false" customHeight="false" outlineLevel="0" collapsed="false">
      <c r="A4089" s="50" t="s">
        <v>1458</v>
      </c>
      <c r="B4089" s="51" t="n">
        <v>45906</v>
      </c>
      <c r="C4089" s="50" t="s">
        <v>358</v>
      </c>
      <c r="D4089" s="50" t="s">
        <v>2177</v>
      </c>
      <c r="E4089" s="50" t="n">
        <v>2</v>
      </c>
      <c r="F4089" s="50" t="s">
        <v>2174</v>
      </c>
      <c r="G4089" s="54" t="n">
        <v>2167000</v>
      </c>
    </row>
    <row r="4090" customFormat="false" ht="15" hidden="false" customHeight="false" outlineLevel="0" collapsed="false">
      <c r="A4090" s="50" t="s">
        <v>1458</v>
      </c>
      <c r="B4090" s="51" t="n">
        <v>45906</v>
      </c>
      <c r="C4090" s="50" t="s">
        <v>358</v>
      </c>
      <c r="D4090" s="50" t="s">
        <v>2179</v>
      </c>
      <c r="E4090" s="50" t="n">
        <v>3</v>
      </c>
      <c r="F4090" s="50" t="s">
        <v>2174</v>
      </c>
      <c r="G4090" s="54" t="n">
        <v>3823200</v>
      </c>
    </row>
    <row r="4091" customFormat="false" ht="15" hidden="false" customHeight="false" outlineLevel="0" collapsed="false">
      <c r="A4091" s="50" t="s">
        <v>1458</v>
      </c>
      <c r="B4091" s="51" t="n">
        <v>45906</v>
      </c>
      <c r="C4091" s="50" t="s">
        <v>358</v>
      </c>
      <c r="D4091" s="50" t="s">
        <v>2180</v>
      </c>
      <c r="E4091" s="50" t="n">
        <v>7</v>
      </c>
      <c r="F4091" s="50" t="s">
        <v>2167</v>
      </c>
      <c r="G4091" s="54" t="n">
        <v>3135400</v>
      </c>
    </row>
    <row r="4092" customFormat="false" ht="15" hidden="false" customHeight="false" outlineLevel="0" collapsed="false">
      <c r="A4092" s="50" t="s">
        <v>1459</v>
      </c>
      <c r="B4092" s="51" t="n">
        <v>45906</v>
      </c>
      <c r="C4092" s="50" t="s">
        <v>191</v>
      </c>
      <c r="D4092" s="50" t="s">
        <v>2178</v>
      </c>
      <c r="E4092" s="50" t="n">
        <v>2</v>
      </c>
      <c r="F4092" s="50" t="s">
        <v>2167</v>
      </c>
      <c r="G4092" s="54" t="n">
        <v>965900</v>
      </c>
    </row>
    <row r="4093" customFormat="false" ht="15" hidden="false" customHeight="false" outlineLevel="0" collapsed="false">
      <c r="A4093" s="50" t="s">
        <v>1459</v>
      </c>
      <c r="B4093" s="51" t="n">
        <v>45906</v>
      </c>
      <c r="C4093" s="50" t="s">
        <v>191</v>
      </c>
      <c r="D4093" s="50" t="s">
        <v>2180</v>
      </c>
      <c r="E4093" s="50" t="n">
        <v>5</v>
      </c>
      <c r="F4093" s="50" t="s">
        <v>2167</v>
      </c>
      <c r="G4093" s="54" t="n">
        <v>2189100</v>
      </c>
    </row>
    <row r="4094" customFormat="false" ht="15" hidden="false" customHeight="false" outlineLevel="0" collapsed="false">
      <c r="A4094" s="50" t="s">
        <v>1459</v>
      </c>
      <c r="B4094" s="51" t="n">
        <v>45906</v>
      </c>
      <c r="C4094" s="50" t="s">
        <v>191</v>
      </c>
      <c r="D4094" s="50" t="s">
        <v>2173</v>
      </c>
      <c r="E4094" s="50" t="n">
        <v>3</v>
      </c>
      <c r="F4094" s="50" t="s">
        <v>2174</v>
      </c>
      <c r="G4094" s="54" t="n">
        <v>2380800</v>
      </c>
    </row>
    <row r="4095" customFormat="false" ht="15" hidden="false" customHeight="false" outlineLevel="0" collapsed="false">
      <c r="A4095" s="50" t="s">
        <v>1459</v>
      </c>
      <c r="B4095" s="51" t="n">
        <v>45906</v>
      </c>
      <c r="C4095" s="50" t="s">
        <v>191</v>
      </c>
      <c r="D4095" s="50" t="s">
        <v>2177</v>
      </c>
      <c r="E4095" s="50" t="n">
        <v>6</v>
      </c>
      <c r="F4095" s="50" t="s">
        <v>2174</v>
      </c>
      <c r="G4095" s="54" t="n">
        <v>6381300</v>
      </c>
    </row>
    <row r="4096" customFormat="false" ht="15" hidden="false" customHeight="false" outlineLevel="0" collapsed="false">
      <c r="A4096" s="50" t="s">
        <v>1460</v>
      </c>
      <c r="B4096" s="51" t="n">
        <v>45906</v>
      </c>
      <c r="C4096" s="50" t="s">
        <v>289</v>
      </c>
      <c r="D4096" s="50" t="s">
        <v>2169</v>
      </c>
      <c r="E4096" s="50" t="n">
        <v>2</v>
      </c>
      <c r="F4096" s="50" t="s">
        <v>2167</v>
      </c>
      <c r="G4096" s="54" t="n">
        <v>1208000</v>
      </c>
    </row>
    <row r="4097" customFormat="false" ht="15" hidden="false" customHeight="false" outlineLevel="0" collapsed="false">
      <c r="A4097" s="50" t="s">
        <v>1461</v>
      </c>
      <c r="B4097" s="51" t="n">
        <v>45906</v>
      </c>
      <c r="C4097" s="50" t="s">
        <v>177</v>
      </c>
      <c r="D4097" s="50" t="s">
        <v>2187</v>
      </c>
      <c r="E4097" s="50" t="n">
        <v>4</v>
      </c>
      <c r="F4097" s="50" t="s">
        <v>2167</v>
      </c>
      <c r="G4097" s="54" t="n">
        <v>1415900</v>
      </c>
    </row>
    <row r="4098" customFormat="false" ht="15" hidden="false" customHeight="false" outlineLevel="0" collapsed="false">
      <c r="A4098" s="50" t="s">
        <v>1461</v>
      </c>
      <c r="B4098" s="51" t="n">
        <v>45906</v>
      </c>
      <c r="C4098" s="50" t="s">
        <v>177</v>
      </c>
      <c r="D4098" s="50" t="s">
        <v>2178</v>
      </c>
      <c r="E4098" s="50" t="n">
        <v>2</v>
      </c>
      <c r="F4098" s="50" t="s">
        <v>2167</v>
      </c>
      <c r="G4098" s="54" t="n">
        <v>923200</v>
      </c>
    </row>
    <row r="4099" customFormat="false" ht="15" hidden="false" customHeight="false" outlineLevel="0" collapsed="false">
      <c r="A4099" s="50" t="s">
        <v>1461</v>
      </c>
      <c r="B4099" s="51" t="n">
        <v>45906</v>
      </c>
      <c r="C4099" s="50" t="s">
        <v>177</v>
      </c>
      <c r="D4099" s="50" t="s">
        <v>2172</v>
      </c>
      <c r="E4099" s="50" t="n">
        <v>6</v>
      </c>
      <c r="F4099" s="50" t="s">
        <v>2167</v>
      </c>
      <c r="G4099" s="54" t="n">
        <v>3226100</v>
      </c>
    </row>
    <row r="4100" customFormat="false" ht="15" hidden="false" customHeight="false" outlineLevel="0" collapsed="false">
      <c r="A4100" s="50" t="s">
        <v>1462</v>
      </c>
      <c r="B4100" s="51" t="n">
        <v>45906</v>
      </c>
      <c r="C4100" s="50" t="s">
        <v>174</v>
      </c>
      <c r="D4100" s="50" t="s">
        <v>2180</v>
      </c>
      <c r="E4100" s="50" t="n">
        <v>3</v>
      </c>
      <c r="F4100" s="50" t="s">
        <v>2167</v>
      </c>
      <c r="G4100" s="54" t="n">
        <v>1372700</v>
      </c>
    </row>
    <row r="4101" customFormat="false" ht="15" hidden="false" customHeight="false" outlineLevel="0" collapsed="false">
      <c r="A4101" s="50" t="s">
        <v>1462</v>
      </c>
      <c r="B4101" s="51" t="n">
        <v>45906</v>
      </c>
      <c r="C4101" s="50" t="s">
        <v>174</v>
      </c>
      <c r="D4101" s="50" t="s">
        <v>2173</v>
      </c>
      <c r="E4101" s="50" t="n">
        <v>8</v>
      </c>
      <c r="F4101" s="50" t="s">
        <v>2174</v>
      </c>
      <c r="G4101" s="54" t="n">
        <v>6224000</v>
      </c>
    </row>
    <row r="4102" customFormat="false" ht="15" hidden="false" customHeight="false" outlineLevel="0" collapsed="false">
      <c r="A4102" s="50" t="s">
        <v>1462</v>
      </c>
      <c r="B4102" s="51" t="n">
        <v>45906</v>
      </c>
      <c r="C4102" s="50" t="s">
        <v>174</v>
      </c>
      <c r="D4102" s="50" t="s">
        <v>2175</v>
      </c>
      <c r="E4102" s="50" t="n">
        <v>5</v>
      </c>
      <c r="F4102" s="50" t="s">
        <v>2167</v>
      </c>
      <c r="G4102" s="54" t="n">
        <v>3154900</v>
      </c>
    </row>
    <row r="4103" customFormat="false" ht="15" hidden="false" customHeight="false" outlineLevel="0" collapsed="false">
      <c r="A4103" s="50" t="s">
        <v>1462</v>
      </c>
      <c r="B4103" s="51" t="n">
        <v>45906</v>
      </c>
      <c r="C4103" s="50" t="s">
        <v>174</v>
      </c>
      <c r="D4103" s="50" t="s">
        <v>2183</v>
      </c>
      <c r="E4103" s="50" t="n">
        <v>4</v>
      </c>
      <c r="F4103" s="50" t="s">
        <v>2167</v>
      </c>
      <c r="G4103" s="54" t="n">
        <v>1518500</v>
      </c>
    </row>
    <row r="4104" customFormat="false" ht="15" hidden="false" customHeight="false" outlineLevel="0" collapsed="false">
      <c r="A4104" s="50" t="s">
        <v>1463</v>
      </c>
      <c r="B4104" s="51" t="n">
        <v>45906</v>
      </c>
      <c r="C4104" s="50" t="s">
        <v>367</v>
      </c>
      <c r="D4104" s="50" t="s">
        <v>2184</v>
      </c>
      <c r="E4104" s="50" t="n">
        <v>7</v>
      </c>
      <c r="F4104" s="50" t="s">
        <v>2167</v>
      </c>
      <c r="G4104" s="54" t="n">
        <v>4018900</v>
      </c>
    </row>
    <row r="4105" customFormat="false" ht="15" hidden="false" customHeight="false" outlineLevel="0" collapsed="false">
      <c r="A4105" s="50" t="s">
        <v>1464</v>
      </c>
      <c r="B4105" s="51" t="n">
        <v>45908</v>
      </c>
      <c r="C4105" s="50" t="s">
        <v>195</v>
      </c>
      <c r="D4105" s="50" t="s">
        <v>2178</v>
      </c>
      <c r="E4105" s="50" t="n">
        <v>8</v>
      </c>
      <c r="F4105" s="50" t="s">
        <v>2167</v>
      </c>
      <c r="G4105" s="54" t="n">
        <v>3712200</v>
      </c>
    </row>
    <row r="4106" customFormat="false" ht="15" hidden="false" customHeight="false" outlineLevel="0" collapsed="false">
      <c r="A4106" s="50" t="s">
        <v>1464</v>
      </c>
      <c r="B4106" s="51" t="n">
        <v>45908</v>
      </c>
      <c r="C4106" s="50" t="s">
        <v>195</v>
      </c>
      <c r="D4106" s="50" t="s">
        <v>2173</v>
      </c>
      <c r="E4106" s="50" t="n">
        <v>7</v>
      </c>
      <c r="F4106" s="50" t="s">
        <v>2174</v>
      </c>
      <c r="G4106" s="54" t="n">
        <v>5570600</v>
      </c>
    </row>
    <row r="4107" customFormat="false" ht="15" hidden="false" customHeight="false" outlineLevel="0" collapsed="false">
      <c r="A4107" s="50" t="s">
        <v>1464</v>
      </c>
      <c r="B4107" s="51" t="n">
        <v>45908</v>
      </c>
      <c r="C4107" s="50" t="s">
        <v>195</v>
      </c>
      <c r="D4107" s="50" t="s">
        <v>2176</v>
      </c>
      <c r="E4107" s="50" t="n">
        <v>7</v>
      </c>
      <c r="F4107" s="50" t="s">
        <v>2167</v>
      </c>
      <c r="G4107" s="54" t="n">
        <v>2855500</v>
      </c>
    </row>
    <row r="4108" customFormat="false" ht="15" hidden="false" customHeight="false" outlineLevel="0" collapsed="false">
      <c r="A4108" s="50" t="s">
        <v>1464</v>
      </c>
      <c r="B4108" s="51" t="n">
        <v>45908</v>
      </c>
      <c r="C4108" s="50" t="s">
        <v>195</v>
      </c>
      <c r="D4108" s="50" t="s">
        <v>2169</v>
      </c>
      <c r="E4108" s="50" t="n">
        <v>6</v>
      </c>
      <c r="F4108" s="50" t="s">
        <v>2167</v>
      </c>
      <c r="G4108" s="54" t="n">
        <v>3829700</v>
      </c>
    </row>
    <row r="4109" customFormat="false" ht="15" hidden="false" customHeight="false" outlineLevel="0" collapsed="false">
      <c r="A4109" s="50" t="s">
        <v>1464</v>
      </c>
      <c r="B4109" s="51" t="n">
        <v>45908</v>
      </c>
      <c r="C4109" s="50" t="s">
        <v>195</v>
      </c>
      <c r="D4109" s="50" t="s">
        <v>2181</v>
      </c>
      <c r="E4109" s="50" t="n">
        <v>4</v>
      </c>
      <c r="F4109" s="50" t="s">
        <v>2167</v>
      </c>
      <c r="G4109" s="54" t="n">
        <v>4723700</v>
      </c>
    </row>
    <row r="4110" customFormat="false" ht="15" hidden="false" customHeight="false" outlineLevel="0" collapsed="false">
      <c r="A4110" s="50" t="s">
        <v>1465</v>
      </c>
      <c r="B4110" s="51" t="n">
        <v>45908</v>
      </c>
      <c r="C4110" s="50" t="s">
        <v>221</v>
      </c>
      <c r="D4110" s="50" t="s">
        <v>2181</v>
      </c>
      <c r="E4110" s="50" t="n">
        <v>6</v>
      </c>
      <c r="F4110" s="50" t="s">
        <v>2167</v>
      </c>
      <c r="G4110" s="54" t="n">
        <v>6873500</v>
      </c>
    </row>
    <row r="4111" customFormat="false" ht="15" hidden="false" customHeight="false" outlineLevel="0" collapsed="false">
      <c r="A4111" s="50" t="s">
        <v>1465</v>
      </c>
      <c r="B4111" s="51" t="n">
        <v>45908</v>
      </c>
      <c r="C4111" s="50" t="s">
        <v>221</v>
      </c>
      <c r="D4111" s="50" t="s">
        <v>2184</v>
      </c>
      <c r="E4111" s="50" t="n">
        <v>2</v>
      </c>
      <c r="F4111" s="50" t="s">
        <v>2167</v>
      </c>
      <c r="G4111" s="54" t="n">
        <v>1136200</v>
      </c>
    </row>
    <row r="4112" customFormat="false" ht="15" hidden="false" customHeight="false" outlineLevel="0" collapsed="false">
      <c r="A4112" s="50" t="s">
        <v>1465</v>
      </c>
      <c r="B4112" s="51" t="n">
        <v>45908</v>
      </c>
      <c r="C4112" s="50" t="s">
        <v>221</v>
      </c>
      <c r="D4112" s="50" t="s">
        <v>2172</v>
      </c>
      <c r="E4112" s="50" t="n">
        <v>2</v>
      </c>
      <c r="F4112" s="50" t="s">
        <v>2167</v>
      </c>
      <c r="G4112" s="54" t="n">
        <v>1005800</v>
      </c>
    </row>
    <row r="4113" customFormat="false" ht="15" hidden="false" customHeight="false" outlineLevel="0" collapsed="false">
      <c r="A4113" s="50" t="s">
        <v>1466</v>
      </c>
      <c r="B4113" s="51" t="n">
        <v>45908</v>
      </c>
      <c r="C4113" s="50" t="s">
        <v>320</v>
      </c>
      <c r="D4113" s="50" t="s">
        <v>2180</v>
      </c>
      <c r="E4113" s="50" t="n">
        <v>4</v>
      </c>
      <c r="F4113" s="50" t="s">
        <v>2167</v>
      </c>
      <c r="G4113" s="54" t="n">
        <v>1792500</v>
      </c>
    </row>
    <row r="4114" customFormat="false" ht="15" hidden="false" customHeight="false" outlineLevel="0" collapsed="false">
      <c r="A4114" s="50" t="s">
        <v>1466</v>
      </c>
      <c r="B4114" s="51" t="n">
        <v>45908</v>
      </c>
      <c r="C4114" s="50" t="s">
        <v>320</v>
      </c>
      <c r="D4114" s="50" t="s">
        <v>2169</v>
      </c>
      <c r="E4114" s="50" t="n">
        <v>7</v>
      </c>
      <c r="F4114" s="50" t="s">
        <v>2167</v>
      </c>
      <c r="G4114" s="54" t="n">
        <v>4396600</v>
      </c>
    </row>
    <row r="4115" customFormat="false" ht="15" hidden="false" customHeight="false" outlineLevel="0" collapsed="false">
      <c r="A4115" s="50" t="s">
        <v>1466</v>
      </c>
      <c r="B4115" s="51" t="n">
        <v>45908</v>
      </c>
      <c r="C4115" s="50" t="s">
        <v>320</v>
      </c>
      <c r="D4115" s="50" t="s">
        <v>2168</v>
      </c>
      <c r="E4115" s="50" t="n">
        <v>8</v>
      </c>
      <c r="F4115" s="50" t="s">
        <v>2167</v>
      </c>
      <c r="G4115" s="54" t="n">
        <v>3365500</v>
      </c>
    </row>
    <row r="4116" customFormat="false" ht="15" hidden="false" customHeight="false" outlineLevel="0" collapsed="false">
      <c r="A4116" s="50" t="s">
        <v>1466</v>
      </c>
      <c r="B4116" s="51" t="n">
        <v>45908</v>
      </c>
      <c r="C4116" s="50" t="s">
        <v>320</v>
      </c>
      <c r="D4116" s="50" t="s">
        <v>2166</v>
      </c>
      <c r="E4116" s="50" t="n">
        <v>2</v>
      </c>
      <c r="F4116" s="50" t="s">
        <v>2167</v>
      </c>
      <c r="G4116" s="54" t="n">
        <v>1043500</v>
      </c>
    </row>
    <row r="4117" customFormat="false" ht="15" hidden="false" customHeight="false" outlineLevel="0" collapsed="false">
      <c r="A4117" s="50" t="s">
        <v>1467</v>
      </c>
      <c r="B4117" s="51" t="n">
        <v>45909</v>
      </c>
      <c r="C4117" s="50" t="s">
        <v>1048</v>
      </c>
      <c r="D4117" s="50" t="s">
        <v>2169</v>
      </c>
      <c r="E4117" s="50" t="n">
        <v>3</v>
      </c>
      <c r="F4117" s="50" t="s">
        <v>2167</v>
      </c>
      <c r="G4117" s="54" t="n">
        <v>1861200</v>
      </c>
    </row>
    <row r="4118" customFormat="false" ht="15" hidden="false" customHeight="false" outlineLevel="0" collapsed="false">
      <c r="A4118" s="50" t="s">
        <v>1467</v>
      </c>
      <c r="B4118" s="51" t="n">
        <v>45909</v>
      </c>
      <c r="C4118" s="50" t="s">
        <v>1048</v>
      </c>
      <c r="D4118" s="50" t="s">
        <v>2175</v>
      </c>
      <c r="E4118" s="50" t="n">
        <v>7</v>
      </c>
      <c r="F4118" s="50" t="s">
        <v>2167</v>
      </c>
      <c r="G4118" s="54" t="n">
        <v>4525800</v>
      </c>
    </row>
    <row r="4119" customFormat="false" ht="15" hidden="false" customHeight="false" outlineLevel="0" collapsed="false">
      <c r="A4119" s="50" t="s">
        <v>1467</v>
      </c>
      <c r="B4119" s="51" t="n">
        <v>45909</v>
      </c>
      <c r="C4119" s="50" t="s">
        <v>1048</v>
      </c>
      <c r="D4119" s="50" t="s">
        <v>2177</v>
      </c>
      <c r="E4119" s="50" t="n">
        <v>6</v>
      </c>
      <c r="F4119" s="50" t="s">
        <v>2174</v>
      </c>
      <c r="G4119" s="54" t="n">
        <v>6580400</v>
      </c>
    </row>
    <row r="4120" customFormat="false" ht="15" hidden="false" customHeight="false" outlineLevel="0" collapsed="false">
      <c r="A4120" s="50" t="s">
        <v>1468</v>
      </c>
      <c r="B4120" s="51" t="n">
        <v>45909</v>
      </c>
      <c r="C4120" s="50" t="s">
        <v>405</v>
      </c>
      <c r="D4120" s="50" t="s">
        <v>2169</v>
      </c>
      <c r="E4120" s="50" t="n">
        <v>3</v>
      </c>
      <c r="F4120" s="50" t="s">
        <v>2167</v>
      </c>
      <c r="G4120" s="54" t="n">
        <v>1854100</v>
      </c>
    </row>
    <row r="4121" customFormat="false" ht="15" hidden="false" customHeight="false" outlineLevel="0" collapsed="false">
      <c r="A4121" s="50" t="s">
        <v>1469</v>
      </c>
      <c r="B4121" s="51" t="n">
        <v>45909</v>
      </c>
      <c r="C4121" s="50" t="s">
        <v>369</v>
      </c>
      <c r="D4121" s="50" t="s">
        <v>2183</v>
      </c>
      <c r="E4121" s="50" t="n">
        <v>5</v>
      </c>
      <c r="F4121" s="50" t="s">
        <v>2167</v>
      </c>
      <c r="G4121" s="54" t="n">
        <v>1864800</v>
      </c>
    </row>
    <row r="4122" customFormat="false" ht="15" hidden="false" customHeight="false" outlineLevel="0" collapsed="false">
      <c r="A4122" s="50" t="s">
        <v>1470</v>
      </c>
      <c r="B4122" s="51" t="n">
        <v>45909</v>
      </c>
      <c r="C4122" s="50" t="s">
        <v>293</v>
      </c>
      <c r="D4122" s="50" t="s">
        <v>2179</v>
      </c>
      <c r="E4122" s="50" t="n">
        <v>3</v>
      </c>
      <c r="F4122" s="50" t="s">
        <v>2174</v>
      </c>
      <c r="G4122" s="54" t="n">
        <v>3810100</v>
      </c>
    </row>
    <row r="4123" customFormat="false" ht="15" hidden="false" customHeight="false" outlineLevel="0" collapsed="false">
      <c r="A4123" s="50" t="s">
        <v>1470</v>
      </c>
      <c r="B4123" s="51" t="n">
        <v>45909</v>
      </c>
      <c r="C4123" s="50" t="s">
        <v>293</v>
      </c>
      <c r="D4123" s="50" t="s">
        <v>2175</v>
      </c>
      <c r="E4123" s="50" t="n">
        <v>1</v>
      </c>
      <c r="F4123" s="50" t="s">
        <v>2167</v>
      </c>
      <c r="G4123" s="54" t="n">
        <v>615100</v>
      </c>
    </row>
    <row r="4124" customFormat="false" ht="15" hidden="false" customHeight="false" outlineLevel="0" collapsed="false">
      <c r="A4124" s="50" t="s">
        <v>1470</v>
      </c>
      <c r="B4124" s="51" t="n">
        <v>45909</v>
      </c>
      <c r="C4124" s="50" t="s">
        <v>293</v>
      </c>
      <c r="D4124" s="50" t="s">
        <v>2182</v>
      </c>
      <c r="E4124" s="50" t="n">
        <v>1</v>
      </c>
      <c r="F4124" s="50" t="s">
        <v>2174</v>
      </c>
      <c r="G4124" s="54" t="n">
        <v>976300</v>
      </c>
    </row>
    <row r="4125" customFormat="false" ht="15" hidden="false" customHeight="false" outlineLevel="0" collapsed="false">
      <c r="A4125" s="50" t="s">
        <v>1470</v>
      </c>
      <c r="B4125" s="51" t="n">
        <v>45909</v>
      </c>
      <c r="C4125" s="50" t="s">
        <v>293</v>
      </c>
      <c r="D4125" s="50" t="s">
        <v>2168</v>
      </c>
      <c r="E4125" s="50" t="n">
        <v>2</v>
      </c>
      <c r="F4125" s="50" t="s">
        <v>2167</v>
      </c>
      <c r="G4125" s="54" t="n">
        <v>892400</v>
      </c>
    </row>
    <row r="4126" customFormat="false" ht="15" hidden="false" customHeight="false" outlineLevel="0" collapsed="false">
      <c r="A4126" s="50" t="s">
        <v>1470</v>
      </c>
      <c r="B4126" s="51" t="n">
        <v>45909</v>
      </c>
      <c r="C4126" s="50" t="s">
        <v>293</v>
      </c>
      <c r="D4126" s="50" t="s">
        <v>2166</v>
      </c>
      <c r="E4126" s="50" t="n">
        <v>6</v>
      </c>
      <c r="F4126" s="50" t="s">
        <v>2167</v>
      </c>
      <c r="G4126" s="54" t="n">
        <v>3241100</v>
      </c>
    </row>
    <row r="4127" customFormat="false" ht="15" hidden="false" customHeight="false" outlineLevel="0" collapsed="false">
      <c r="A4127" s="50" t="s">
        <v>1470</v>
      </c>
      <c r="B4127" s="51" t="n">
        <v>45909</v>
      </c>
      <c r="C4127" s="50" t="s">
        <v>293</v>
      </c>
      <c r="D4127" s="50" t="s">
        <v>2186</v>
      </c>
      <c r="E4127" s="50" t="n">
        <v>3</v>
      </c>
      <c r="F4127" s="50" t="s">
        <v>2167</v>
      </c>
      <c r="G4127" s="54" t="n">
        <v>1799800</v>
      </c>
    </row>
    <row r="4128" customFormat="false" ht="15" hidden="false" customHeight="false" outlineLevel="0" collapsed="false">
      <c r="A4128" s="50" t="s">
        <v>1471</v>
      </c>
      <c r="B4128" s="51" t="n">
        <v>45909</v>
      </c>
      <c r="C4128" s="50" t="s">
        <v>243</v>
      </c>
      <c r="D4128" s="50" t="s">
        <v>2173</v>
      </c>
      <c r="E4128" s="50" t="n">
        <v>7</v>
      </c>
      <c r="F4128" s="50" t="s">
        <v>2174</v>
      </c>
      <c r="G4128" s="54" t="n">
        <v>5403300</v>
      </c>
    </row>
    <row r="4129" customFormat="false" ht="15" hidden="false" customHeight="false" outlineLevel="0" collapsed="false">
      <c r="A4129" s="50" t="s">
        <v>1471</v>
      </c>
      <c r="B4129" s="51" t="n">
        <v>45909</v>
      </c>
      <c r="C4129" s="50" t="s">
        <v>243</v>
      </c>
      <c r="D4129" s="50" t="s">
        <v>2185</v>
      </c>
      <c r="E4129" s="50" t="n">
        <v>1</v>
      </c>
      <c r="F4129" s="50" t="s">
        <v>2174</v>
      </c>
      <c r="G4129" s="54" t="n">
        <v>799700</v>
      </c>
    </row>
    <row r="4130" customFormat="false" ht="15" hidden="false" customHeight="false" outlineLevel="0" collapsed="false">
      <c r="A4130" s="50" t="s">
        <v>1471</v>
      </c>
      <c r="B4130" s="51" t="n">
        <v>45909</v>
      </c>
      <c r="C4130" s="50" t="s">
        <v>243</v>
      </c>
      <c r="D4130" s="50" t="s">
        <v>2172</v>
      </c>
      <c r="E4130" s="50" t="n">
        <v>4</v>
      </c>
      <c r="F4130" s="50" t="s">
        <v>2167</v>
      </c>
      <c r="G4130" s="54" t="n">
        <v>2016000</v>
      </c>
    </row>
    <row r="4131" customFormat="false" ht="15" hidden="false" customHeight="false" outlineLevel="0" collapsed="false">
      <c r="A4131" s="50" t="s">
        <v>1471</v>
      </c>
      <c r="B4131" s="51" t="n">
        <v>45909</v>
      </c>
      <c r="C4131" s="50" t="s">
        <v>243</v>
      </c>
      <c r="D4131" s="50" t="s">
        <v>2179</v>
      </c>
      <c r="E4131" s="50" t="n">
        <v>8</v>
      </c>
      <c r="F4131" s="50" t="s">
        <v>2174</v>
      </c>
      <c r="G4131" s="54" t="n">
        <v>9670600</v>
      </c>
    </row>
    <row r="4132" customFormat="false" ht="15" hidden="false" customHeight="false" outlineLevel="0" collapsed="false">
      <c r="A4132" s="50" t="s">
        <v>1472</v>
      </c>
      <c r="B4132" s="51" t="n">
        <v>45909</v>
      </c>
      <c r="C4132" s="50" t="s">
        <v>177</v>
      </c>
      <c r="D4132" s="50" t="s">
        <v>2172</v>
      </c>
      <c r="E4132" s="50" t="n">
        <v>1</v>
      </c>
      <c r="F4132" s="50" t="s">
        <v>2167</v>
      </c>
      <c r="G4132" s="54" t="n">
        <v>527500</v>
      </c>
    </row>
    <row r="4133" customFormat="false" ht="15" hidden="false" customHeight="false" outlineLevel="0" collapsed="false">
      <c r="A4133" s="50" t="s">
        <v>1472</v>
      </c>
      <c r="B4133" s="51" t="n">
        <v>45909</v>
      </c>
      <c r="C4133" s="50" t="s">
        <v>177</v>
      </c>
      <c r="D4133" s="50" t="s">
        <v>2181</v>
      </c>
      <c r="E4133" s="50" t="n">
        <v>4</v>
      </c>
      <c r="F4133" s="50" t="s">
        <v>2167</v>
      </c>
      <c r="G4133" s="54" t="n">
        <v>4730100</v>
      </c>
    </row>
    <row r="4134" customFormat="false" ht="15" hidden="false" customHeight="false" outlineLevel="0" collapsed="false">
      <c r="A4134" s="50" t="s">
        <v>1472</v>
      </c>
      <c r="B4134" s="51" t="n">
        <v>45909</v>
      </c>
      <c r="C4134" s="50" t="s">
        <v>177</v>
      </c>
      <c r="D4134" s="50" t="s">
        <v>2186</v>
      </c>
      <c r="E4134" s="50" t="n">
        <v>6</v>
      </c>
      <c r="F4134" s="50" t="s">
        <v>2167</v>
      </c>
      <c r="G4134" s="54" t="n">
        <v>3450800</v>
      </c>
    </row>
    <row r="4135" customFormat="false" ht="15" hidden="false" customHeight="false" outlineLevel="0" collapsed="false">
      <c r="A4135" s="50" t="s">
        <v>1472</v>
      </c>
      <c r="B4135" s="51" t="n">
        <v>45909</v>
      </c>
      <c r="C4135" s="50" t="s">
        <v>177</v>
      </c>
      <c r="D4135" s="50" t="s">
        <v>2173</v>
      </c>
      <c r="E4135" s="50" t="n">
        <v>1</v>
      </c>
      <c r="F4135" s="50" t="s">
        <v>2174</v>
      </c>
      <c r="G4135" s="54" t="n">
        <v>768600</v>
      </c>
    </row>
    <row r="4136" customFormat="false" ht="15" hidden="false" customHeight="false" outlineLevel="0" collapsed="false">
      <c r="A4136" s="50" t="s">
        <v>1473</v>
      </c>
      <c r="B4136" s="51" t="n">
        <v>45909</v>
      </c>
      <c r="C4136" s="50" t="s">
        <v>179</v>
      </c>
      <c r="D4136" s="50" t="s">
        <v>2169</v>
      </c>
      <c r="E4136" s="50" t="n">
        <v>7</v>
      </c>
      <c r="F4136" s="50" t="s">
        <v>2167</v>
      </c>
      <c r="G4136" s="54" t="n">
        <v>4220400</v>
      </c>
    </row>
    <row r="4137" customFormat="false" ht="15" hidden="false" customHeight="false" outlineLevel="0" collapsed="false">
      <c r="A4137" s="50" t="s">
        <v>1473</v>
      </c>
      <c r="B4137" s="51" t="n">
        <v>45909</v>
      </c>
      <c r="C4137" s="50" t="s">
        <v>179</v>
      </c>
      <c r="D4137" s="50" t="s">
        <v>2172</v>
      </c>
      <c r="E4137" s="50" t="n">
        <v>7</v>
      </c>
      <c r="F4137" s="50" t="s">
        <v>2167</v>
      </c>
      <c r="G4137" s="54" t="n">
        <v>3655800</v>
      </c>
    </row>
    <row r="4138" customFormat="false" ht="15" hidden="false" customHeight="false" outlineLevel="0" collapsed="false">
      <c r="A4138" s="50" t="s">
        <v>1474</v>
      </c>
      <c r="B4138" s="51" t="n">
        <v>45909</v>
      </c>
      <c r="C4138" s="50" t="s">
        <v>205</v>
      </c>
      <c r="D4138" s="50" t="s">
        <v>2176</v>
      </c>
      <c r="E4138" s="50" t="n">
        <v>2</v>
      </c>
      <c r="F4138" s="50" t="s">
        <v>2167</v>
      </c>
      <c r="G4138" s="54" t="n">
        <v>859500</v>
      </c>
    </row>
    <row r="4139" customFormat="false" ht="15" hidden="false" customHeight="false" outlineLevel="0" collapsed="false">
      <c r="A4139" s="50" t="s">
        <v>1474</v>
      </c>
      <c r="B4139" s="51" t="n">
        <v>45909</v>
      </c>
      <c r="C4139" s="50" t="s">
        <v>205</v>
      </c>
      <c r="D4139" s="50" t="s">
        <v>2184</v>
      </c>
      <c r="E4139" s="50" t="n">
        <v>2</v>
      </c>
      <c r="F4139" s="50" t="s">
        <v>2167</v>
      </c>
      <c r="G4139" s="54" t="n">
        <v>1127600</v>
      </c>
    </row>
    <row r="4140" customFormat="false" ht="15" hidden="false" customHeight="false" outlineLevel="0" collapsed="false">
      <c r="A4140" s="50" t="s">
        <v>1475</v>
      </c>
      <c r="B4140" s="51" t="n">
        <v>45909</v>
      </c>
      <c r="C4140" s="50" t="s">
        <v>205</v>
      </c>
      <c r="D4140" s="50" t="s">
        <v>2175</v>
      </c>
      <c r="E4140" s="50" t="n">
        <v>6</v>
      </c>
      <c r="F4140" s="50" t="s">
        <v>2167</v>
      </c>
      <c r="G4140" s="54" t="n">
        <v>3916900</v>
      </c>
    </row>
    <row r="4141" customFormat="false" ht="15" hidden="false" customHeight="false" outlineLevel="0" collapsed="false">
      <c r="A4141" s="50" t="s">
        <v>1475</v>
      </c>
      <c r="B4141" s="51" t="n">
        <v>45909</v>
      </c>
      <c r="C4141" s="50" t="s">
        <v>205</v>
      </c>
      <c r="D4141" s="50" t="s">
        <v>2179</v>
      </c>
      <c r="E4141" s="50" t="n">
        <v>1</v>
      </c>
      <c r="F4141" s="50" t="s">
        <v>2174</v>
      </c>
      <c r="G4141" s="54" t="n">
        <v>1278900</v>
      </c>
    </row>
    <row r="4142" customFormat="false" ht="15" hidden="false" customHeight="false" outlineLevel="0" collapsed="false">
      <c r="A4142" s="50" t="s">
        <v>1476</v>
      </c>
      <c r="B4142" s="51" t="n">
        <v>45910</v>
      </c>
      <c r="C4142" s="50" t="s">
        <v>491</v>
      </c>
      <c r="D4142" s="50" t="s">
        <v>2182</v>
      </c>
      <c r="E4142" s="50" t="n">
        <v>4</v>
      </c>
      <c r="F4142" s="50" t="s">
        <v>2174</v>
      </c>
      <c r="G4142" s="54" t="n">
        <v>3925900</v>
      </c>
    </row>
    <row r="4143" customFormat="false" ht="15" hidden="false" customHeight="false" outlineLevel="0" collapsed="false">
      <c r="A4143" s="50" t="s">
        <v>1476</v>
      </c>
      <c r="B4143" s="51" t="n">
        <v>45910</v>
      </c>
      <c r="C4143" s="50" t="s">
        <v>491</v>
      </c>
      <c r="D4143" s="50" t="s">
        <v>2184</v>
      </c>
      <c r="E4143" s="50" t="n">
        <v>1</v>
      </c>
      <c r="F4143" s="50" t="s">
        <v>2167</v>
      </c>
      <c r="G4143" s="54" t="n">
        <v>574000</v>
      </c>
    </row>
    <row r="4144" customFormat="false" ht="15" hidden="false" customHeight="false" outlineLevel="0" collapsed="false">
      <c r="A4144" s="50" t="s">
        <v>1476</v>
      </c>
      <c r="B4144" s="51" t="n">
        <v>45910</v>
      </c>
      <c r="C4144" s="50" t="s">
        <v>491</v>
      </c>
      <c r="D4144" s="50" t="s">
        <v>2179</v>
      </c>
      <c r="E4144" s="50" t="n">
        <v>7</v>
      </c>
      <c r="F4144" s="50" t="s">
        <v>2174</v>
      </c>
      <c r="G4144" s="54" t="n">
        <v>8657500</v>
      </c>
    </row>
    <row r="4145" customFormat="false" ht="15" hidden="false" customHeight="false" outlineLevel="0" collapsed="false">
      <c r="A4145" s="50" t="s">
        <v>1476</v>
      </c>
      <c r="B4145" s="51" t="n">
        <v>45910</v>
      </c>
      <c r="C4145" s="50" t="s">
        <v>491</v>
      </c>
      <c r="D4145" s="50" t="s">
        <v>2185</v>
      </c>
      <c r="E4145" s="50" t="n">
        <v>7</v>
      </c>
      <c r="F4145" s="50" t="s">
        <v>2174</v>
      </c>
      <c r="G4145" s="54" t="n">
        <v>5375700</v>
      </c>
    </row>
    <row r="4146" customFormat="false" ht="15" hidden="false" customHeight="false" outlineLevel="0" collapsed="false">
      <c r="A4146" s="50" t="s">
        <v>1477</v>
      </c>
      <c r="B4146" s="51" t="n">
        <v>45910</v>
      </c>
      <c r="C4146" s="50" t="s">
        <v>174</v>
      </c>
      <c r="D4146" s="50" t="s">
        <v>2188</v>
      </c>
      <c r="E4146" s="50" t="n">
        <v>2</v>
      </c>
      <c r="F4146" s="50" t="s">
        <v>2167</v>
      </c>
      <c r="G4146" s="54" t="n">
        <v>1941500</v>
      </c>
    </row>
    <row r="4147" customFormat="false" ht="15" hidden="false" customHeight="false" outlineLevel="0" collapsed="false">
      <c r="A4147" s="50" t="s">
        <v>1477</v>
      </c>
      <c r="B4147" s="51" t="n">
        <v>45910</v>
      </c>
      <c r="C4147" s="50" t="s">
        <v>174</v>
      </c>
      <c r="D4147" s="50" t="s">
        <v>2169</v>
      </c>
      <c r="E4147" s="50" t="n">
        <v>7</v>
      </c>
      <c r="F4147" s="50" t="s">
        <v>2167</v>
      </c>
      <c r="G4147" s="54" t="n">
        <v>4178800</v>
      </c>
    </row>
    <row r="4148" customFormat="false" ht="15" hidden="false" customHeight="false" outlineLevel="0" collapsed="false">
      <c r="A4148" s="50" t="s">
        <v>1477</v>
      </c>
      <c r="B4148" s="51" t="n">
        <v>45910</v>
      </c>
      <c r="C4148" s="50" t="s">
        <v>174</v>
      </c>
      <c r="D4148" s="50" t="s">
        <v>2187</v>
      </c>
      <c r="E4148" s="50" t="n">
        <v>2</v>
      </c>
      <c r="F4148" s="50" t="s">
        <v>2167</v>
      </c>
      <c r="G4148" s="54" t="n">
        <v>686500</v>
      </c>
    </row>
    <row r="4149" customFormat="false" ht="15" hidden="false" customHeight="false" outlineLevel="0" collapsed="false">
      <c r="A4149" s="50" t="s">
        <v>1477</v>
      </c>
      <c r="B4149" s="51" t="n">
        <v>45910</v>
      </c>
      <c r="C4149" s="50" t="s">
        <v>174</v>
      </c>
      <c r="D4149" s="50" t="s">
        <v>2183</v>
      </c>
      <c r="E4149" s="50" t="n">
        <v>3</v>
      </c>
      <c r="F4149" s="50" t="s">
        <v>2167</v>
      </c>
      <c r="G4149" s="54" t="n">
        <v>1141600</v>
      </c>
    </row>
    <row r="4150" customFormat="false" ht="15" hidden="false" customHeight="false" outlineLevel="0" collapsed="false">
      <c r="A4150" s="50" t="s">
        <v>1478</v>
      </c>
      <c r="B4150" s="51" t="n">
        <v>45910</v>
      </c>
      <c r="C4150" s="50" t="s">
        <v>166</v>
      </c>
      <c r="D4150" s="50" t="s">
        <v>2181</v>
      </c>
      <c r="E4150" s="50" t="n">
        <v>5</v>
      </c>
      <c r="F4150" s="50" t="s">
        <v>2167</v>
      </c>
      <c r="G4150" s="54" t="n">
        <v>5716000</v>
      </c>
    </row>
    <row r="4151" customFormat="false" ht="15" hidden="false" customHeight="false" outlineLevel="0" collapsed="false">
      <c r="A4151" s="50" t="s">
        <v>1478</v>
      </c>
      <c r="B4151" s="51" t="n">
        <v>45910</v>
      </c>
      <c r="C4151" s="50" t="s">
        <v>166</v>
      </c>
      <c r="D4151" s="50" t="s">
        <v>2185</v>
      </c>
      <c r="E4151" s="50" t="n">
        <v>1</v>
      </c>
      <c r="F4151" s="50" t="s">
        <v>2174</v>
      </c>
      <c r="G4151" s="54" t="n">
        <v>801300</v>
      </c>
    </row>
    <row r="4152" customFormat="false" ht="15" hidden="false" customHeight="false" outlineLevel="0" collapsed="false">
      <c r="A4152" s="50" t="s">
        <v>1478</v>
      </c>
      <c r="B4152" s="51" t="n">
        <v>45910</v>
      </c>
      <c r="C4152" s="50" t="s">
        <v>166</v>
      </c>
      <c r="D4152" s="50" t="s">
        <v>2172</v>
      </c>
      <c r="E4152" s="50" t="n">
        <v>1</v>
      </c>
      <c r="F4152" s="50" t="s">
        <v>2167</v>
      </c>
      <c r="G4152" s="54" t="n">
        <v>516200</v>
      </c>
    </row>
    <row r="4153" customFormat="false" ht="15" hidden="false" customHeight="false" outlineLevel="0" collapsed="false">
      <c r="A4153" s="50" t="s">
        <v>1478</v>
      </c>
      <c r="B4153" s="51" t="n">
        <v>45910</v>
      </c>
      <c r="C4153" s="50" t="s">
        <v>166</v>
      </c>
      <c r="D4153" s="50" t="s">
        <v>2187</v>
      </c>
      <c r="E4153" s="50" t="n">
        <v>6</v>
      </c>
      <c r="F4153" s="50" t="s">
        <v>2167</v>
      </c>
      <c r="G4153" s="54" t="n">
        <v>2111600</v>
      </c>
    </row>
    <row r="4154" customFormat="false" ht="15" hidden="false" customHeight="false" outlineLevel="0" collapsed="false">
      <c r="A4154" s="50" t="s">
        <v>1478</v>
      </c>
      <c r="B4154" s="51" t="n">
        <v>45910</v>
      </c>
      <c r="C4154" s="50" t="s">
        <v>166</v>
      </c>
      <c r="D4154" s="50" t="s">
        <v>2186</v>
      </c>
      <c r="E4154" s="50" t="n">
        <v>3</v>
      </c>
      <c r="F4154" s="50" t="s">
        <v>2167</v>
      </c>
      <c r="G4154" s="54" t="n">
        <v>1794000</v>
      </c>
    </row>
    <row r="4155" customFormat="false" ht="15" hidden="false" customHeight="false" outlineLevel="0" collapsed="false">
      <c r="A4155" s="50" t="s">
        <v>1479</v>
      </c>
      <c r="B4155" s="51" t="n">
        <v>45910</v>
      </c>
      <c r="C4155" s="50" t="s">
        <v>223</v>
      </c>
      <c r="D4155" s="50" t="s">
        <v>2183</v>
      </c>
      <c r="E4155" s="50" t="n">
        <v>6</v>
      </c>
      <c r="F4155" s="50" t="s">
        <v>2167</v>
      </c>
      <c r="G4155" s="54" t="n">
        <v>2252100</v>
      </c>
    </row>
    <row r="4156" customFormat="false" ht="15" hidden="false" customHeight="false" outlineLevel="0" collapsed="false">
      <c r="A4156" s="50" t="s">
        <v>1480</v>
      </c>
      <c r="B4156" s="51" t="n">
        <v>45910</v>
      </c>
      <c r="C4156" s="50" t="s">
        <v>174</v>
      </c>
      <c r="D4156" s="50" t="s">
        <v>2185</v>
      </c>
      <c r="E4156" s="50" t="n">
        <v>2</v>
      </c>
      <c r="F4156" s="50" t="s">
        <v>2174</v>
      </c>
      <c r="G4156" s="54" t="n">
        <v>1554200</v>
      </c>
    </row>
    <row r="4157" customFormat="false" ht="15" hidden="false" customHeight="false" outlineLevel="0" collapsed="false">
      <c r="A4157" s="50" t="s">
        <v>1480</v>
      </c>
      <c r="B4157" s="51" t="n">
        <v>45910</v>
      </c>
      <c r="C4157" s="50" t="s">
        <v>174</v>
      </c>
      <c r="D4157" s="50" t="s">
        <v>2186</v>
      </c>
      <c r="E4157" s="50" t="n">
        <v>1</v>
      </c>
      <c r="F4157" s="50" t="s">
        <v>2167</v>
      </c>
      <c r="G4157" s="54" t="n">
        <v>577900</v>
      </c>
    </row>
    <row r="4158" customFormat="false" ht="15" hidden="false" customHeight="false" outlineLevel="0" collapsed="false">
      <c r="A4158" s="50" t="s">
        <v>1480</v>
      </c>
      <c r="B4158" s="51" t="n">
        <v>45910</v>
      </c>
      <c r="C4158" s="50" t="s">
        <v>174</v>
      </c>
      <c r="D4158" s="50" t="s">
        <v>2169</v>
      </c>
      <c r="E4158" s="50" t="n">
        <v>6</v>
      </c>
      <c r="F4158" s="50" t="s">
        <v>2167</v>
      </c>
      <c r="G4158" s="54" t="n">
        <v>3840500</v>
      </c>
    </row>
    <row r="4159" customFormat="false" ht="15" hidden="false" customHeight="false" outlineLevel="0" collapsed="false">
      <c r="A4159" s="50" t="s">
        <v>1480</v>
      </c>
      <c r="B4159" s="51" t="n">
        <v>45910</v>
      </c>
      <c r="C4159" s="50" t="s">
        <v>174</v>
      </c>
      <c r="D4159" s="50" t="s">
        <v>2182</v>
      </c>
      <c r="E4159" s="50" t="n">
        <v>3</v>
      </c>
      <c r="F4159" s="50" t="s">
        <v>2174</v>
      </c>
      <c r="G4159" s="54" t="n">
        <v>2773800</v>
      </c>
    </row>
    <row r="4160" customFormat="false" ht="15" hidden="false" customHeight="false" outlineLevel="0" collapsed="false">
      <c r="A4160" s="50" t="s">
        <v>1481</v>
      </c>
      <c r="B4160" s="51" t="n">
        <v>45910</v>
      </c>
      <c r="C4160" s="50" t="s">
        <v>367</v>
      </c>
      <c r="D4160" s="50" t="s">
        <v>2180</v>
      </c>
      <c r="E4160" s="50" t="n">
        <v>3</v>
      </c>
      <c r="F4160" s="50" t="s">
        <v>2167</v>
      </c>
      <c r="G4160" s="54" t="n">
        <v>1389000</v>
      </c>
    </row>
    <row r="4161" customFormat="false" ht="15" hidden="false" customHeight="false" outlineLevel="0" collapsed="false">
      <c r="A4161" s="50" t="s">
        <v>1481</v>
      </c>
      <c r="B4161" s="51" t="n">
        <v>45910</v>
      </c>
      <c r="C4161" s="50" t="s">
        <v>367</v>
      </c>
      <c r="D4161" s="50" t="s">
        <v>2169</v>
      </c>
      <c r="E4161" s="50" t="n">
        <v>1</v>
      </c>
      <c r="F4161" s="50" t="s">
        <v>2167</v>
      </c>
      <c r="G4161" s="54" t="n">
        <v>612600</v>
      </c>
    </row>
    <row r="4162" customFormat="false" ht="15" hidden="false" customHeight="false" outlineLevel="0" collapsed="false">
      <c r="A4162" s="50" t="s">
        <v>1482</v>
      </c>
      <c r="B4162" s="51" t="n">
        <v>45910</v>
      </c>
      <c r="C4162" s="50" t="s">
        <v>211</v>
      </c>
      <c r="D4162" s="50" t="s">
        <v>2178</v>
      </c>
      <c r="E4162" s="50" t="n">
        <v>8</v>
      </c>
      <c r="F4162" s="50" t="s">
        <v>2167</v>
      </c>
      <c r="G4162" s="54" t="n">
        <v>3863900</v>
      </c>
    </row>
    <row r="4163" customFormat="false" ht="15" hidden="false" customHeight="false" outlineLevel="0" collapsed="false">
      <c r="A4163" s="50" t="s">
        <v>1482</v>
      </c>
      <c r="B4163" s="51" t="n">
        <v>45910</v>
      </c>
      <c r="C4163" s="50" t="s">
        <v>211</v>
      </c>
      <c r="D4163" s="50" t="s">
        <v>2186</v>
      </c>
      <c r="E4163" s="50" t="n">
        <v>2</v>
      </c>
      <c r="F4163" s="50" t="s">
        <v>2167</v>
      </c>
      <c r="G4163" s="54" t="n">
        <v>1157200</v>
      </c>
    </row>
    <row r="4164" customFormat="false" ht="15" hidden="false" customHeight="false" outlineLevel="0" collapsed="false">
      <c r="A4164" s="50" t="s">
        <v>1483</v>
      </c>
      <c r="B4164" s="51" t="n">
        <v>45911</v>
      </c>
      <c r="C4164" s="50" t="s">
        <v>838</v>
      </c>
      <c r="D4164" s="50" t="s">
        <v>2188</v>
      </c>
      <c r="E4164" s="50" t="n">
        <v>3</v>
      </c>
      <c r="F4164" s="50" t="s">
        <v>2167</v>
      </c>
      <c r="G4164" s="54" t="n">
        <v>3009600</v>
      </c>
    </row>
    <row r="4165" customFormat="false" ht="15" hidden="false" customHeight="false" outlineLevel="0" collapsed="false">
      <c r="A4165" s="50" t="s">
        <v>1483</v>
      </c>
      <c r="B4165" s="51" t="n">
        <v>45911</v>
      </c>
      <c r="C4165" s="50" t="s">
        <v>838</v>
      </c>
      <c r="D4165" s="50" t="s">
        <v>2166</v>
      </c>
      <c r="E4165" s="50" t="n">
        <v>2</v>
      </c>
      <c r="F4165" s="50" t="s">
        <v>2167</v>
      </c>
      <c r="G4165" s="54" t="n">
        <v>1040100</v>
      </c>
    </row>
    <row r="4166" customFormat="false" ht="15" hidden="false" customHeight="false" outlineLevel="0" collapsed="false">
      <c r="A4166" s="50" t="s">
        <v>1483</v>
      </c>
      <c r="B4166" s="51" t="n">
        <v>45911</v>
      </c>
      <c r="C4166" s="50" t="s">
        <v>838</v>
      </c>
      <c r="D4166" s="50" t="s">
        <v>2182</v>
      </c>
      <c r="E4166" s="50" t="n">
        <v>1</v>
      </c>
      <c r="F4166" s="50" t="s">
        <v>2174</v>
      </c>
      <c r="G4166" s="54" t="n">
        <v>931600</v>
      </c>
    </row>
    <row r="4167" customFormat="false" ht="15" hidden="false" customHeight="false" outlineLevel="0" collapsed="false">
      <c r="A4167" s="50" t="s">
        <v>1483</v>
      </c>
      <c r="B4167" s="51" t="n">
        <v>45911</v>
      </c>
      <c r="C4167" s="50" t="s">
        <v>838</v>
      </c>
      <c r="D4167" s="50" t="s">
        <v>2186</v>
      </c>
      <c r="E4167" s="50" t="n">
        <v>6</v>
      </c>
      <c r="F4167" s="50" t="s">
        <v>2167</v>
      </c>
      <c r="G4167" s="54" t="n">
        <v>3584100</v>
      </c>
    </row>
    <row r="4168" customFormat="false" ht="15" hidden="false" customHeight="false" outlineLevel="0" collapsed="false">
      <c r="A4168" s="50" t="s">
        <v>1483</v>
      </c>
      <c r="B4168" s="51" t="n">
        <v>45911</v>
      </c>
      <c r="C4168" s="50" t="s">
        <v>838</v>
      </c>
      <c r="D4168" s="50" t="s">
        <v>2176</v>
      </c>
      <c r="E4168" s="50" t="n">
        <v>7</v>
      </c>
      <c r="F4168" s="50" t="s">
        <v>2167</v>
      </c>
      <c r="G4168" s="54" t="n">
        <v>2931500</v>
      </c>
    </row>
    <row r="4169" customFormat="false" ht="15" hidden="false" customHeight="false" outlineLevel="0" collapsed="false">
      <c r="A4169" s="50" t="s">
        <v>1483</v>
      </c>
      <c r="B4169" s="51" t="n">
        <v>45911</v>
      </c>
      <c r="C4169" s="50" t="s">
        <v>838</v>
      </c>
      <c r="D4169" s="50" t="s">
        <v>2169</v>
      </c>
      <c r="E4169" s="50" t="n">
        <v>1</v>
      </c>
      <c r="F4169" s="50" t="s">
        <v>2167</v>
      </c>
      <c r="G4169" s="54" t="n">
        <v>626600</v>
      </c>
    </row>
    <row r="4170" customFormat="false" ht="15" hidden="false" customHeight="false" outlineLevel="0" collapsed="false">
      <c r="A4170" s="50" t="s">
        <v>1483</v>
      </c>
      <c r="B4170" s="51" t="n">
        <v>45911</v>
      </c>
      <c r="C4170" s="50" t="s">
        <v>838</v>
      </c>
      <c r="D4170" s="50" t="s">
        <v>2181</v>
      </c>
      <c r="E4170" s="50" t="n">
        <v>4</v>
      </c>
      <c r="F4170" s="50" t="s">
        <v>2167</v>
      </c>
      <c r="G4170" s="54" t="n">
        <v>4754900</v>
      </c>
    </row>
    <row r="4171" customFormat="false" ht="15" hidden="false" customHeight="false" outlineLevel="0" collapsed="false">
      <c r="A4171" s="50" t="s">
        <v>1484</v>
      </c>
      <c r="B4171" s="51" t="n">
        <v>45911</v>
      </c>
      <c r="C4171" s="50" t="s">
        <v>571</v>
      </c>
      <c r="D4171" s="50" t="s">
        <v>2187</v>
      </c>
      <c r="E4171" s="50" t="n">
        <v>3</v>
      </c>
      <c r="F4171" s="50" t="s">
        <v>2167</v>
      </c>
      <c r="G4171" s="54" t="n">
        <v>1089000</v>
      </c>
    </row>
    <row r="4172" customFormat="false" ht="15" hidden="false" customHeight="false" outlineLevel="0" collapsed="false">
      <c r="A4172" s="50" t="s">
        <v>1484</v>
      </c>
      <c r="B4172" s="51" t="n">
        <v>45911</v>
      </c>
      <c r="C4172" s="50" t="s">
        <v>571</v>
      </c>
      <c r="D4172" s="50" t="s">
        <v>2166</v>
      </c>
      <c r="E4172" s="50" t="n">
        <v>8</v>
      </c>
      <c r="F4172" s="50" t="s">
        <v>2167</v>
      </c>
      <c r="G4172" s="54" t="n">
        <v>4223900</v>
      </c>
    </row>
    <row r="4173" customFormat="false" ht="15" hidden="false" customHeight="false" outlineLevel="0" collapsed="false">
      <c r="A4173" s="50" t="s">
        <v>1485</v>
      </c>
      <c r="B4173" s="51" t="n">
        <v>45911</v>
      </c>
      <c r="C4173" s="50" t="s">
        <v>376</v>
      </c>
      <c r="D4173" s="50" t="s">
        <v>2187</v>
      </c>
      <c r="E4173" s="50" t="n">
        <v>6</v>
      </c>
      <c r="F4173" s="50" t="s">
        <v>2167</v>
      </c>
      <c r="G4173" s="54" t="n">
        <v>2129800</v>
      </c>
    </row>
    <row r="4174" customFormat="false" ht="15" hidden="false" customHeight="false" outlineLevel="0" collapsed="false">
      <c r="A4174" s="50" t="s">
        <v>1485</v>
      </c>
      <c r="B4174" s="51" t="n">
        <v>45911</v>
      </c>
      <c r="C4174" s="50" t="s">
        <v>376</v>
      </c>
      <c r="D4174" s="50" t="s">
        <v>2184</v>
      </c>
      <c r="E4174" s="50" t="n">
        <v>1</v>
      </c>
      <c r="F4174" s="50" t="s">
        <v>2167</v>
      </c>
      <c r="G4174" s="54" t="n">
        <v>581100</v>
      </c>
    </row>
    <row r="4175" customFormat="false" ht="15" hidden="false" customHeight="false" outlineLevel="0" collapsed="false">
      <c r="A4175" s="50" t="s">
        <v>1485</v>
      </c>
      <c r="B4175" s="51" t="n">
        <v>45911</v>
      </c>
      <c r="C4175" s="50" t="s">
        <v>376</v>
      </c>
      <c r="D4175" s="50" t="s">
        <v>2180</v>
      </c>
      <c r="E4175" s="50" t="n">
        <v>8</v>
      </c>
      <c r="F4175" s="50" t="s">
        <v>2167</v>
      </c>
      <c r="G4175" s="54" t="n">
        <v>3614100</v>
      </c>
    </row>
    <row r="4176" customFormat="false" ht="15" hidden="false" customHeight="false" outlineLevel="0" collapsed="false">
      <c r="A4176" s="50" t="s">
        <v>1485</v>
      </c>
      <c r="B4176" s="51" t="n">
        <v>45911</v>
      </c>
      <c r="C4176" s="50" t="s">
        <v>376</v>
      </c>
      <c r="D4176" s="50" t="s">
        <v>2172</v>
      </c>
      <c r="E4176" s="50" t="n">
        <v>2</v>
      </c>
      <c r="F4176" s="50" t="s">
        <v>2167</v>
      </c>
      <c r="G4176" s="54" t="n">
        <v>1039000</v>
      </c>
    </row>
    <row r="4177" customFormat="false" ht="15" hidden="false" customHeight="false" outlineLevel="0" collapsed="false">
      <c r="A4177" s="50" t="s">
        <v>1485</v>
      </c>
      <c r="B4177" s="51" t="n">
        <v>45911</v>
      </c>
      <c r="C4177" s="50" t="s">
        <v>376</v>
      </c>
      <c r="D4177" s="50" t="s">
        <v>2166</v>
      </c>
      <c r="E4177" s="50" t="n">
        <v>1</v>
      </c>
      <c r="F4177" s="50" t="s">
        <v>2167</v>
      </c>
      <c r="G4177" s="54" t="n">
        <v>550900</v>
      </c>
    </row>
    <row r="4178" customFormat="false" ht="15" hidden="false" customHeight="false" outlineLevel="0" collapsed="false">
      <c r="A4178" s="50" t="s">
        <v>1485</v>
      </c>
      <c r="B4178" s="51" t="n">
        <v>45911</v>
      </c>
      <c r="C4178" s="50" t="s">
        <v>376</v>
      </c>
      <c r="D4178" s="50" t="s">
        <v>2176</v>
      </c>
      <c r="E4178" s="50" t="n">
        <v>1</v>
      </c>
      <c r="F4178" s="50" t="s">
        <v>2167</v>
      </c>
      <c r="G4178" s="54" t="n">
        <v>422200</v>
      </c>
    </row>
    <row r="4179" customFormat="false" ht="15" hidden="false" customHeight="false" outlineLevel="0" collapsed="false">
      <c r="A4179" s="50" t="s">
        <v>1486</v>
      </c>
      <c r="B4179" s="51" t="n">
        <v>45911</v>
      </c>
      <c r="C4179" s="50" t="s">
        <v>1487</v>
      </c>
      <c r="D4179" s="50" t="s">
        <v>2181</v>
      </c>
      <c r="E4179" s="50" t="n">
        <v>7</v>
      </c>
      <c r="F4179" s="50" t="s">
        <v>2167</v>
      </c>
      <c r="G4179" s="54" t="n">
        <v>7912000</v>
      </c>
    </row>
    <row r="4180" customFormat="false" ht="15" hidden="false" customHeight="false" outlineLevel="0" collapsed="false">
      <c r="A4180" s="50" t="s">
        <v>1486</v>
      </c>
      <c r="B4180" s="51" t="n">
        <v>45911</v>
      </c>
      <c r="C4180" s="50" t="s">
        <v>1487</v>
      </c>
      <c r="D4180" s="50" t="s">
        <v>2173</v>
      </c>
      <c r="E4180" s="50" t="n">
        <v>3</v>
      </c>
      <c r="F4180" s="50" t="s">
        <v>2174</v>
      </c>
      <c r="G4180" s="54" t="n">
        <v>2408900</v>
      </c>
    </row>
    <row r="4181" customFormat="false" ht="15" hidden="false" customHeight="false" outlineLevel="0" collapsed="false">
      <c r="A4181" s="50" t="s">
        <v>1486</v>
      </c>
      <c r="B4181" s="51" t="n">
        <v>45911</v>
      </c>
      <c r="C4181" s="50" t="s">
        <v>1487</v>
      </c>
      <c r="D4181" s="50" t="s">
        <v>2185</v>
      </c>
      <c r="E4181" s="50" t="n">
        <v>3</v>
      </c>
      <c r="F4181" s="50" t="s">
        <v>2174</v>
      </c>
      <c r="G4181" s="54" t="n">
        <v>2372700</v>
      </c>
    </row>
    <row r="4182" customFormat="false" ht="15" hidden="false" customHeight="false" outlineLevel="0" collapsed="false">
      <c r="A4182" s="50" t="s">
        <v>1486</v>
      </c>
      <c r="B4182" s="51" t="n">
        <v>45911</v>
      </c>
      <c r="C4182" s="50" t="s">
        <v>1487</v>
      </c>
      <c r="D4182" s="50" t="s">
        <v>2177</v>
      </c>
      <c r="E4182" s="50" t="n">
        <v>4</v>
      </c>
      <c r="F4182" s="50" t="s">
        <v>2174</v>
      </c>
      <c r="G4182" s="54" t="n">
        <v>4350300</v>
      </c>
    </row>
    <row r="4183" customFormat="false" ht="15" hidden="false" customHeight="false" outlineLevel="0" collapsed="false">
      <c r="A4183" s="50" t="s">
        <v>1486</v>
      </c>
      <c r="B4183" s="51" t="n">
        <v>45911</v>
      </c>
      <c r="C4183" s="50" t="s">
        <v>1487</v>
      </c>
      <c r="D4183" s="50" t="s">
        <v>2179</v>
      </c>
      <c r="E4183" s="50" t="n">
        <v>5</v>
      </c>
      <c r="F4183" s="50" t="s">
        <v>2174</v>
      </c>
      <c r="G4183" s="54" t="n">
        <v>6277800</v>
      </c>
    </row>
    <row r="4184" customFormat="false" ht="15" hidden="false" customHeight="false" outlineLevel="0" collapsed="false">
      <c r="A4184" s="50" t="s">
        <v>1488</v>
      </c>
      <c r="B4184" s="51" t="n">
        <v>45912</v>
      </c>
      <c r="C4184" s="50" t="s">
        <v>207</v>
      </c>
      <c r="D4184" s="50" t="s">
        <v>2188</v>
      </c>
      <c r="E4184" s="50" t="n">
        <v>5</v>
      </c>
      <c r="F4184" s="50" t="s">
        <v>2167</v>
      </c>
      <c r="G4184" s="54" t="n">
        <v>5046100</v>
      </c>
    </row>
    <row r="4185" customFormat="false" ht="15" hidden="false" customHeight="false" outlineLevel="0" collapsed="false">
      <c r="A4185" s="50" t="s">
        <v>1488</v>
      </c>
      <c r="B4185" s="51" t="n">
        <v>45912</v>
      </c>
      <c r="C4185" s="50" t="s">
        <v>207</v>
      </c>
      <c r="D4185" s="50" t="s">
        <v>2182</v>
      </c>
      <c r="E4185" s="50" t="n">
        <v>4</v>
      </c>
      <c r="F4185" s="50" t="s">
        <v>2174</v>
      </c>
      <c r="G4185" s="54" t="n">
        <v>3822500</v>
      </c>
    </row>
    <row r="4186" customFormat="false" ht="15" hidden="false" customHeight="false" outlineLevel="0" collapsed="false">
      <c r="A4186" s="50" t="s">
        <v>1489</v>
      </c>
      <c r="B4186" s="51" t="n">
        <v>45912</v>
      </c>
      <c r="C4186" s="50" t="s">
        <v>205</v>
      </c>
      <c r="D4186" s="50" t="s">
        <v>2183</v>
      </c>
      <c r="E4186" s="50" t="n">
        <v>6</v>
      </c>
      <c r="F4186" s="50" t="s">
        <v>2167</v>
      </c>
      <c r="G4186" s="54" t="n">
        <v>2267900</v>
      </c>
    </row>
    <row r="4187" customFormat="false" ht="15" hidden="false" customHeight="false" outlineLevel="0" collapsed="false">
      <c r="A4187" s="50" t="s">
        <v>1489</v>
      </c>
      <c r="B4187" s="51" t="n">
        <v>45912</v>
      </c>
      <c r="C4187" s="50" t="s">
        <v>205</v>
      </c>
      <c r="D4187" s="50" t="s">
        <v>2169</v>
      </c>
      <c r="E4187" s="50" t="n">
        <v>8</v>
      </c>
      <c r="F4187" s="50" t="s">
        <v>2167</v>
      </c>
      <c r="G4187" s="54" t="n">
        <v>5051900</v>
      </c>
    </row>
    <row r="4188" customFormat="false" ht="15" hidden="false" customHeight="false" outlineLevel="0" collapsed="false">
      <c r="A4188" s="50" t="s">
        <v>1489</v>
      </c>
      <c r="B4188" s="51" t="n">
        <v>45912</v>
      </c>
      <c r="C4188" s="50" t="s">
        <v>205</v>
      </c>
      <c r="D4188" s="50" t="s">
        <v>2186</v>
      </c>
      <c r="E4188" s="50" t="n">
        <v>4</v>
      </c>
      <c r="F4188" s="50" t="s">
        <v>2167</v>
      </c>
      <c r="G4188" s="54" t="n">
        <v>2410000</v>
      </c>
    </row>
    <row r="4189" customFormat="false" ht="15" hidden="false" customHeight="false" outlineLevel="0" collapsed="false">
      <c r="A4189" s="50" t="s">
        <v>1490</v>
      </c>
      <c r="B4189" s="51" t="n">
        <v>45912</v>
      </c>
      <c r="C4189" s="50" t="s">
        <v>174</v>
      </c>
      <c r="D4189" s="50" t="s">
        <v>2181</v>
      </c>
      <c r="E4189" s="50" t="n">
        <v>5</v>
      </c>
      <c r="F4189" s="50" t="s">
        <v>2167</v>
      </c>
      <c r="G4189" s="54" t="n">
        <v>5953700</v>
      </c>
    </row>
    <row r="4190" customFormat="false" ht="15" hidden="false" customHeight="false" outlineLevel="0" collapsed="false">
      <c r="A4190" s="50" t="s">
        <v>1490</v>
      </c>
      <c r="B4190" s="51" t="n">
        <v>45912</v>
      </c>
      <c r="C4190" s="50" t="s">
        <v>174</v>
      </c>
      <c r="D4190" s="50" t="s">
        <v>2176</v>
      </c>
      <c r="E4190" s="50" t="n">
        <v>5</v>
      </c>
      <c r="F4190" s="50" t="s">
        <v>2167</v>
      </c>
      <c r="G4190" s="54" t="n">
        <v>2069400</v>
      </c>
    </row>
    <row r="4191" customFormat="false" ht="15" hidden="false" customHeight="false" outlineLevel="0" collapsed="false">
      <c r="A4191" s="50" t="s">
        <v>1490</v>
      </c>
      <c r="B4191" s="51" t="n">
        <v>45912</v>
      </c>
      <c r="C4191" s="50" t="s">
        <v>174</v>
      </c>
      <c r="D4191" s="50" t="s">
        <v>2173</v>
      </c>
      <c r="E4191" s="50" t="n">
        <v>2</v>
      </c>
      <c r="F4191" s="50" t="s">
        <v>2174</v>
      </c>
      <c r="G4191" s="54" t="n">
        <v>1540400</v>
      </c>
    </row>
    <row r="4192" customFormat="false" ht="15" hidden="false" customHeight="false" outlineLevel="0" collapsed="false">
      <c r="A4192" s="50" t="s">
        <v>1491</v>
      </c>
      <c r="B4192" s="51" t="n">
        <v>45912</v>
      </c>
      <c r="C4192" s="50" t="s">
        <v>174</v>
      </c>
      <c r="D4192" s="50" t="s">
        <v>2166</v>
      </c>
      <c r="E4192" s="50" t="n">
        <v>5</v>
      </c>
      <c r="F4192" s="50" t="s">
        <v>2167</v>
      </c>
      <c r="G4192" s="54" t="n">
        <v>2752700</v>
      </c>
    </row>
    <row r="4193" customFormat="false" ht="15" hidden="false" customHeight="false" outlineLevel="0" collapsed="false">
      <c r="A4193" s="50" t="s">
        <v>1491</v>
      </c>
      <c r="B4193" s="51" t="n">
        <v>45912</v>
      </c>
      <c r="C4193" s="50" t="s">
        <v>174</v>
      </c>
      <c r="D4193" s="50" t="s">
        <v>2173</v>
      </c>
      <c r="E4193" s="50" t="n">
        <v>4</v>
      </c>
      <c r="F4193" s="50" t="s">
        <v>2174</v>
      </c>
      <c r="G4193" s="54" t="n">
        <v>3194800</v>
      </c>
    </row>
    <row r="4194" customFormat="false" ht="15" hidden="false" customHeight="false" outlineLevel="0" collapsed="false">
      <c r="A4194" s="50" t="s">
        <v>1491</v>
      </c>
      <c r="B4194" s="51" t="n">
        <v>45912</v>
      </c>
      <c r="C4194" s="50" t="s">
        <v>174</v>
      </c>
      <c r="D4194" s="50" t="s">
        <v>2188</v>
      </c>
      <c r="E4194" s="50" t="n">
        <v>8</v>
      </c>
      <c r="F4194" s="50" t="s">
        <v>2167</v>
      </c>
      <c r="G4194" s="54" t="n">
        <v>7745000</v>
      </c>
    </row>
    <row r="4195" customFormat="false" ht="15" hidden="false" customHeight="false" outlineLevel="0" collapsed="false">
      <c r="A4195" s="50" t="s">
        <v>144</v>
      </c>
      <c r="B4195" s="51" t="n">
        <v>45913</v>
      </c>
      <c r="C4195" s="50" t="s">
        <v>315</v>
      </c>
      <c r="D4195" s="50" t="s">
        <v>2172</v>
      </c>
      <c r="E4195" s="50" t="n">
        <v>7</v>
      </c>
      <c r="F4195" s="50" t="s">
        <v>2167</v>
      </c>
      <c r="G4195" s="54" t="n">
        <v>3719600</v>
      </c>
    </row>
    <row r="4196" customFormat="false" ht="15" hidden="false" customHeight="false" outlineLevel="0" collapsed="false">
      <c r="A4196" s="50" t="s">
        <v>144</v>
      </c>
      <c r="B4196" s="51" t="n">
        <v>45913</v>
      </c>
      <c r="C4196" s="50" t="s">
        <v>315</v>
      </c>
      <c r="D4196" s="50" t="s">
        <v>2169</v>
      </c>
      <c r="E4196" s="50" t="n">
        <v>3</v>
      </c>
      <c r="F4196" s="50" t="s">
        <v>2167</v>
      </c>
      <c r="G4196" s="54" t="n">
        <v>1900000</v>
      </c>
    </row>
    <row r="4197" customFormat="false" ht="15" hidden="false" customHeight="false" outlineLevel="0" collapsed="false">
      <c r="A4197" s="50" t="s">
        <v>1492</v>
      </c>
      <c r="B4197" s="51" t="n">
        <v>45913</v>
      </c>
      <c r="C4197" s="50" t="s">
        <v>562</v>
      </c>
      <c r="D4197" s="50" t="s">
        <v>2180</v>
      </c>
      <c r="E4197" s="50" t="n">
        <v>2</v>
      </c>
      <c r="F4197" s="50" t="s">
        <v>2167</v>
      </c>
      <c r="G4197" s="54" t="n">
        <v>920200</v>
      </c>
    </row>
    <row r="4198" customFormat="false" ht="15" hidden="false" customHeight="false" outlineLevel="0" collapsed="false">
      <c r="A4198" s="50" t="s">
        <v>1492</v>
      </c>
      <c r="B4198" s="51" t="n">
        <v>45913</v>
      </c>
      <c r="C4198" s="50" t="s">
        <v>562</v>
      </c>
      <c r="D4198" s="50" t="s">
        <v>2175</v>
      </c>
      <c r="E4198" s="50" t="n">
        <v>7</v>
      </c>
      <c r="F4198" s="50" t="s">
        <v>2167</v>
      </c>
      <c r="G4198" s="54" t="n">
        <v>4359100</v>
      </c>
    </row>
    <row r="4199" customFormat="false" ht="15" hidden="false" customHeight="false" outlineLevel="0" collapsed="false">
      <c r="A4199" s="50" t="s">
        <v>1492</v>
      </c>
      <c r="B4199" s="51" t="n">
        <v>45913</v>
      </c>
      <c r="C4199" s="50" t="s">
        <v>562</v>
      </c>
      <c r="D4199" s="50" t="s">
        <v>2169</v>
      </c>
      <c r="E4199" s="50" t="n">
        <v>6</v>
      </c>
      <c r="F4199" s="50" t="s">
        <v>2167</v>
      </c>
      <c r="G4199" s="54" t="n">
        <v>3687100</v>
      </c>
    </row>
    <row r="4200" customFormat="false" ht="15" hidden="false" customHeight="false" outlineLevel="0" collapsed="false">
      <c r="A4200" s="50" t="s">
        <v>1492</v>
      </c>
      <c r="B4200" s="51" t="n">
        <v>45913</v>
      </c>
      <c r="C4200" s="50" t="s">
        <v>562</v>
      </c>
      <c r="D4200" s="50" t="s">
        <v>2186</v>
      </c>
      <c r="E4200" s="50" t="n">
        <v>5</v>
      </c>
      <c r="F4200" s="50" t="s">
        <v>2167</v>
      </c>
      <c r="G4200" s="54" t="n">
        <v>2849300</v>
      </c>
    </row>
    <row r="4201" customFormat="false" ht="15" hidden="false" customHeight="false" outlineLevel="0" collapsed="false">
      <c r="A4201" s="50" t="s">
        <v>1492</v>
      </c>
      <c r="B4201" s="51" t="n">
        <v>45913</v>
      </c>
      <c r="C4201" s="50" t="s">
        <v>562</v>
      </c>
      <c r="D4201" s="50" t="s">
        <v>2168</v>
      </c>
      <c r="E4201" s="50" t="n">
        <v>3</v>
      </c>
      <c r="F4201" s="50" t="s">
        <v>2167</v>
      </c>
      <c r="G4201" s="54" t="n">
        <v>1318900</v>
      </c>
    </row>
    <row r="4202" customFormat="false" ht="15" hidden="false" customHeight="false" outlineLevel="0" collapsed="false">
      <c r="A4202" s="50" t="s">
        <v>1492</v>
      </c>
      <c r="B4202" s="51" t="n">
        <v>45913</v>
      </c>
      <c r="C4202" s="50" t="s">
        <v>562</v>
      </c>
      <c r="D4202" s="50" t="s">
        <v>2177</v>
      </c>
      <c r="E4202" s="50" t="n">
        <v>4</v>
      </c>
      <c r="F4202" s="50" t="s">
        <v>2174</v>
      </c>
      <c r="G4202" s="54" t="n">
        <v>4547200</v>
      </c>
    </row>
    <row r="4203" customFormat="false" ht="15" hidden="false" customHeight="false" outlineLevel="0" collapsed="false">
      <c r="A4203" s="50" t="s">
        <v>1493</v>
      </c>
      <c r="B4203" s="51" t="n">
        <v>45913</v>
      </c>
      <c r="C4203" s="50" t="s">
        <v>188</v>
      </c>
      <c r="D4203" s="50" t="s">
        <v>2168</v>
      </c>
      <c r="E4203" s="50" t="n">
        <v>4</v>
      </c>
      <c r="F4203" s="50" t="s">
        <v>2167</v>
      </c>
      <c r="G4203" s="54" t="n">
        <v>1659600</v>
      </c>
    </row>
    <row r="4204" customFormat="false" ht="15" hidden="false" customHeight="false" outlineLevel="0" collapsed="false">
      <c r="A4204" s="50" t="s">
        <v>1494</v>
      </c>
      <c r="B4204" s="51" t="n">
        <v>45913</v>
      </c>
      <c r="C4204" s="50" t="s">
        <v>174</v>
      </c>
      <c r="D4204" s="50" t="s">
        <v>2176</v>
      </c>
      <c r="E4204" s="50" t="n">
        <v>1</v>
      </c>
      <c r="F4204" s="50" t="s">
        <v>2167</v>
      </c>
      <c r="G4204" s="54" t="n">
        <v>406100</v>
      </c>
    </row>
    <row r="4205" customFormat="false" ht="15" hidden="false" customHeight="false" outlineLevel="0" collapsed="false">
      <c r="A4205" s="50" t="s">
        <v>1494</v>
      </c>
      <c r="B4205" s="51" t="n">
        <v>45913</v>
      </c>
      <c r="C4205" s="50" t="s">
        <v>174</v>
      </c>
      <c r="D4205" s="50" t="s">
        <v>2178</v>
      </c>
      <c r="E4205" s="50" t="n">
        <v>6</v>
      </c>
      <c r="F4205" s="50" t="s">
        <v>2167</v>
      </c>
      <c r="G4205" s="54" t="n">
        <v>2792800</v>
      </c>
    </row>
    <row r="4206" customFormat="false" ht="15" hidden="false" customHeight="false" outlineLevel="0" collapsed="false">
      <c r="A4206" s="50" t="s">
        <v>1494</v>
      </c>
      <c r="B4206" s="51" t="n">
        <v>45913</v>
      </c>
      <c r="C4206" s="50" t="s">
        <v>174</v>
      </c>
      <c r="D4206" s="50" t="s">
        <v>2184</v>
      </c>
      <c r="E4206" s="50" t="n">
        <v>5</v>
      </c>
      <c r="F4206" s="50" t="s">
        <v>2167</v>
      </c>
      <c r="G4206" s="54" t="n">
        <v>2705400</v>
      </c>
    </row>
    <row r="4207" customFormat="false" ht="15" hidden="false" customHeight="false" outlineLevel="0" collapsed="false">
      <c r="A4207" s="50" t="s">
        <v>1494</v>
      </c>
      <c r="B4207" s="51" t="n">
        <v>45913</v>
      </c>
      <c r="C4207" s="50" t="s">
        <v>174</v>
      </c>
      <c r="D4207" s="50" t="s">
        <v>2186</v>
      </c>
      <c r="E4207" s="50" t="n">
        <v>5</v>
      </c>
      <c r="F4207" s="50" t="s">
        <v>2167</v>
      </c>
      <c r="G4207" s="54" t="n">
        <v>2908100</v>
      </c>
    </row>
    <row r="4208" customFormat="false" ht="15" hidden="false" customHeight="false" outlineLevel="0" collapsed="false">
      <c r="A4208" s="50" t="s">
        <v>1495</v>
      </c>
      <c r="B4208" s="51" t="n">
        <v>45915</v>
      </c>
      <c r="C4208" s="50" t="s">
        <v>1147</v>
      </c>
      <c r="D4208" s="50" t="s">
        <v>2179</v>
      </c>
      <c r="E4208" s="50" t="n">
        <v>2</v>
      </c>
      <c r="F4208" s="50" t="s">
        <v>2174</v>
      </c>
      <c r="G4208" s="54" t="n">
        <v>2526500</v>
      </c>
    </row>
    <row r="4209" customFormat="false" ht="15" hidden="false" customHeight="false" outlineLevel="0" collapsed="false">
      <c r="A4209" s="50" t="s">
        <v>1495</v>
      </c>
      <c r="B4209" s="51" t="n">
        <v>45915</v>
      </c>
      <c r="C4209" s="50" t="s">
        <v>1147</v>
      </c>
      <c r="D4209" s="50" t="s">
        <v>2178</v>
      </c>
      <c r="E4209" s="50" t="n">
        <v>7</v>
      </c>
      <c r="F4209" s="50" t="s">
        <v>2167</v>
      </c>
      <c r="G4209" s="54" t="n">
        <v>3414900</v>
      </c>
    </row>
    <row r="4210" customFormat="false" ht="15" hidden="false" customHeight="false" outlineLevel="0" collapsed="false">
      <c r="A4210" s="50" t="s">
        <v>1495</v>
      </c>
      <c r="B4210" s="51" t="n">
        <v>45915</v>
      </c>
      <c r="C4210" s="50" t="s">
        <v>1147</v>
      </c>
      <c r="D4210" s="50" t="s">
        <v>2181</v>
      </c>
      <c r="E4210" s="50" t="n">
        <v>7</v>
      </c>
      <c r="F4210" s="50" t="s">
        <v>2167</v>
      </c>
      <c r="G4210" s="54" t="n">
        <v>8136600</v>
      </c>
    </row>
    <row r="4211" customFormat="false" ht="15" hidden="false" customHeight="false" outlineLevel="0" collapsed="false">
      <c r="A4211" s="50" t="s">
        <v>1495</v>
      </c>
      <c r="B4211" s="51" t="n">
        <v>45915</v>
      </c>
      <c r="C4211" s="50" t="s">
        <v>1147</v>
      </c>
      <c r="D4211" s="50" t="s">
        <v>2169</v>
      </c>
      <c r="E4211" s="50" t="n">
        <v>1</v>
      </c>
      <c r="F4211" s="50" t="s">
        <v>2167</v>
      </c>
      <c r="G4211" s="54" t="n">
        <v>600800</v>
      </c>
    </row>
    <row r="4212" customFormat="false" ht="15" hidden="false" customHeight="false" outlineLevel="0" collapsed="false">
      <c r="A4212" s="50" t="s">
        <v>1495</v>
      </c>
      <c r="B4212" s="51" t="n">
        <v>45915</v>
      </c>
      <c r="C4212" s="50" t="s">
        <v>1147</v>
      </c>
      <c r="D4212" s="50" t="s">
        <v>2188</v>
      </c>
      <c r="E4212" s="50" t="n">
        <v>5</v>
      </c>
      <c r="F4212" s="50" t="s">
        <v>2167</v>
      </c>
      <c r="G4212" s="54" t="n">
        <v>4793000</v>
      </c>
    </row>
    <row r="4213" customFormat="false" ht="15" hidden="false" customHeight="false" outlineLevel="0" collapsed="false">
      <c r="A4213" s="50" t="s">
        <v>1496</v>
      </c>
      <c r="B4213" s="51" t="n">
        <v>45915</v>
      </c>
      <c r="C4213" s="50" t="s">
        <v>216</v>
      </c>
      <c r="D4213" s="50" t="s">
        <v>2176</v>
      </c>
      <c r="E4213" s="50" t="n">
        <v>7</v>
      </c>
      <c r="F4213" s="50" t="s">
        <v>2167</v>
      </c>
      <c r="G4213" s="54" t="n">
        <v>2833200</v>
      </c>
    </row>
    <row r="4214" customFormat="false" ht="15" hidden="false" customHeight="false" outlineLevel="0" collapsed="false">
      <c r="A4214" s="50" t="s">
        <v>1496</v>
      </c>
      <c r="B4214" s="51" t="n">
        <v>45915</v>
      </c>
      <c r="C4214" s="50" t="s">
        <v>216</v>
      </c>
      <c r="D4214" s="50" t="s">
        <v>2184</v>
      </c>
      <c r="E4214" s="50" t="n">
        <v>7</v>
      </c>
      <c r="F4214" s="50" t="s">
        <v>2167</v>
      </c>
      <c r="G4214" s="54" t="n">
        <v>3796900</v>
      </c>
    </row>
    <row r="4215" customFormat="false" ht="15" hidden="false" customHeight="false" outlineLevel="0" collapsed="false">
      <c r="A4215" s="50" t="s">
        <v>1496</v>
      </c>
      <c r="B4215" s="51" t="n">
        <v>45915</v>
      </c>
      <c r="C4215" s="50" t="s">
        <v>216</v>
      </c>
      <c r="D4215" s="50" t="s">
        <v>2181</v>
      </c>
      <c r="E4215" s="50" t="n">
        <v>8</v>
      </c>
      <c r="F4215" s="50" t="s">
        <v>2167</v>
      </c>
      <c r="G4215" s="54" t="n">
        <v>9038300</v>
      </c>
    </row>
    <row r="4216" customFormat="false" ht="15" hidden="false" customHeight="false" outlineLevel="0" collapsed="false">
      <c r="A4216" s="50" t="s">
        <v>1497</v>
      </c>
      <c r="B4216" s="51" t="n">
        <v>45915</v>
      </c>
      <c r="C4216" s="50" t="s">
        <v>527</v>
      </c>
      <c r="D4216" s="50" t="s">
        <v>2178</v>
      </c>
      <c r="E4216" s="50" t="n">
        <v>8</v>
      </c>
      <c r="F4216" s="50" t="s">
        <v>2167</v>
      </c>
      <c r="G4216" s="54" t="n">
        <v>3982500</v>
      </c>
    </row>
    <row r="4217" customFormat="false" ht="15" hidden="false" customHeight="false" outlineLevel="0" collapsed="false">
      <c r="A4217" s="50" t="s">
        <v>1497</v>
      </c>
      <c r="B4217" s="51" t="n">
        <v>45915</v>
      </c>
      <c r="C4217" s="50" t="s">
        <v>527</v>
      </c>
      <c r="D4217" s="50" t="s">
        <v>2168</v>
      </c>
      <c r="E4217" s="50" t="n">
        <v>5</v>
      </c>
      <c r="F4217" s="50" t="s">
        <v>2167</v>
      </c>
      <c r="G4217" s="54" t="n">
        <v>2186000</v>
      </c>
    </row>
    <row r="4218" customFormat="false" ht="15" hidden="false" customHeight="false" outlineLevel="0" collapsed="false">
      <c r="A4218" s="50" t="s">
        <v>1497</v>
      </c>
      <c r="B4218" s="51" t="n">
        <v>45915</v>
      </c>
      <c r="C4218" s="50" t="s">
        <v>527</v>
      </c>
      <c r="D4218" s="50" t="s">
        <v>2169</v>
      </c>
      <c r="E4218" s="50" t="n">
        <v>1</v>
      </c>
      <c r="F4218" s="50" t="s">
        <v>2167</v>
      </c>
      <c r="G4218" s="54" t="n">
        <v>640400</v>
      </c>
    </row>
    <row r="4219" customFormat="false" ht="15" hidden="false" customHeight="false" outlineLevel="0" collapsed="false">
      <c r="A4219" s="50" t="s">
        <v>1497</v>
      </c>
      <c r="B4219" s="51" t="n">
        <v>45915</v>
      </c>
      <c r="C4219" s="50" t="s">
        <v>527</v>
      </c>
      <c r="D4219" s="50" t="s">
        <v>2177</v>
      </c>
      <c r="E4219" s="50" t="n">
        <v>7</v>
      </c>
      <c r="F4219" s="50" t="s">
        <v>2174</v>
      </c>
      <c r="G4219" s="54" t="n">
        <v>7487100</v>
      </c>
    </row>
    <row r="4220" customFormat="false" ht="15" hidden="false" customHeight="false" outlineLevel="0" collapsed="false">
      <c r="A4220" s="50" t="s">
        <v>1497</v>
      </c>
      <c r="B4220" s="51" t="n">
        <v>45915</v>
      </c>
      <c r="C4220" s="50" t="s">
        <v>527</v>
      </c>
      <c r="D4220" s="50" t="s">
        <v>2181</v>
      </c>
      <c r="E4220" s="50" t="n">
        <v>7</v>
      </c>
      <c r="F4220" s="50" t="s">
        <v>2167</v>
      </c>
      <c r="G4220" s="54" t="n">
        <v>8122400</v>
      </c>
    </row>
    <row r="4221" customFormat="false" ht="15" hidden="false" customHeight="false" outlineLevel="0" collapsed="false">
      <c r="A4221" s="50" t="s">
        <v>1497</v>
      </c>
      <c r="B4221" s="51" t="n">
        <v>45915</v>
      </c>
      <c r="C4221" s="50" t="s">
        <v>527</v>
      </c>
      <c r="D4221" s="50" t="s">
        <v>2184</v>
      </c>
      <c r="E4221" s="50" t="n">
        <v>1</v>
      </c>
      <c r="F4221" s="50" t="s">
        <v>2167</v>
      </c>
      <c r="G4221" s="54" t="n">
        <v>581600</v>
      </c>
    </row>
    <row r="4222" customFormat="false" ht="15" hidden="false" customHeight="false" outlineLevel="0" collapsed="false">
      <c r="A4222" s="50" t="s">
        <v>1498</v>
      </c>
      <c r="B4222" s="51" t="n">
        <v>45915</v>
      </c>
      <c r="C4222" s="50" t="s">
        <v>237</v>
      </c>
      <c r="D4222" s="50" t="s">
        <v>2186</v>
      </c>
      <c r="E4222" s="50" t="n">
        <v>7</v>
      </c>
      <c r="F4222" s="50" t="s">
        <v>2167</v>
      </c>
      <c r="G4222" s="54" t="n">
        <v>4036200</v>
      </c>
    </row>
    <row r="4223" customFormat="false" ht="15" hidden="false" customHeight="false" outlineLevel="0" collapsed="false">
      <c r="A4223" s="50" t="s">
        <v>1498</v>
      </c>
      <c r="B4223" s="51" t="n">
        <v>45915</v>
      </c>
      <c r="C4223" s="50" t="s">
        <v>237</v>
      </c>
      <c r="D4223" s="50" t="s">
        <v>2169</v>
      </c>
      <c r="E4223" s="50" t="n">
        <v>4</v>
      </c>
      <c r="F4223" s="50" t="s">
        <v>2167</v>
      </c>
      <c r="G4223" s="54" t="n">
        <v>2500000</v>
      </c>
    </row>
    <row r="4224" customFormat="false" ht="15" hidden="false" customHeight="false" outlineLevel="0" collapsed="false">
      <c r="A4224" s="50" t="s">
        <v>1499</v>
      </c>
      <c r="B4224" s="51" t="n">
        <v>45915</v>
      </c>
      <c r="C4224" s="50" t="s">
        <v>174</v>
      </c>
      <c r="D4224" s="50" t="s">
        <v>2182</v>
      </c>
      <c r="E4224" s="50" t="n">
        <v>2</v>
      </c>
      <c r="F4224" s="50" t="s">
        <v>2174</v>
      </c>
      <c r="G4224" s="54" t="n">
        <v>1869700</v>
      </c>
    </row>
    <row r="4225" customFormat="false" ht="15" hidden="false" customHeight="false" outlineLevel="0" collapsed="false">
      <c r="A4225" s="50" t="s">
        <v>1499</v>
      </c>
      <c r="B4225" s="51" t="n">
        <v>45915</v>
      </c>
      <c r="C4225" s="50" t="s">
        <v>174</v>
      </c>
      <c r="D4225" s="50" t="s">
        <v>2166</v>
      </c>
      <c r="E4225" s="50" t="n">
        <v>8</v>
      </c>
      <c r="F4225" s="50" t="s">
        <v>2167</v>
      </c>
      <c r="G4225" s="54" t="n">
        <v>4169200</v>
      </c>
    </row>
    <row r="4226" customFormat="false" ht="15" hidden="false" customHeight="false" outlineLevel="0" collapsed="false">
      <c r="A4226" s="50" t="s">
        <v>1499</v>
      </c>
      <c r="B4226" s="51" t="n">
        <v>45915</v>
      </c>
      <c r="C4226" s="50" t="s">
        <v>174</v>
      </c>
      <c r="D4226" s="50" t="s">
        <v>2176</v>
      </c>
      <c r="E4226" s="50" t="n">
        <v>3</v>
      </c>
      <c r="F4226" s="50" t="s">
        <v>2167</v>
      </c>
      <c r="G4226" s="54" t="n">
        <v>1281000</v>
      </c>
    </row>
    <row r="4227" customFormat="false" ht="15" hidden="false" customHeight="false" outlineLevel="0" collapsed="false">
      <c r="A4227" s="50" t="s">
        <v>1499</v>
      </c>
      <c r="B4227" s="51" t="n">
        <v>45915</v>
      </c>
      <c r="C4227" s="50" t="s">
        <v>174</v>
      </c>
      <c r="D4227" s="50" t="s">
        <v>2179</v>
      </c>
      <c r="E4227" s="50" t="n">
        <v>1</v>
      </c>
      <c r="F4227" s="50" t="s">
        <v>2174</v>
      </c>
      <c r="G4227" s="54" t="n">
        <v>1252400</v>
      </c>
    </row>
    <row r="4228" customFormat="false" ht="15" hidden="false" customHeight="false" outlineLevel="0" collapsed="false">
      <c r="A4228" s="50" t="s">
        <v>1499</v>
      </c>
      <c r="B4228" s="51" t="n">
        <v>45915</v>
      </c>
      <c r="C4228" s="50" t="s">
        <v>174</v>
      </c>
      <c r="D4228" s="50" t="s">
        <v>2181</v>
      </c>
      <c r="E4228" s="50" t="n">
        <v>1</v>
      </c>
      <c r="F4228" s="50" t="s">
        <v>2167</v>
      </c>
      <c r="G4228" s="54" t="n">
        <v>1114400</v>
      </c>
    </row>
    <row r="4229" customFormat="false" ht="15" hidden="false" customHeight="false" outlineLevel="0" collapsed="false">
      <c r="A4229" s="50" t="s">
        <v>1500</v>
      </c>
      <c r="B4229" s="51" t="n">
        <v>45916</v>
      </c>
      <c r="C4229" s="50" t="s">
        <v>174</v>
      </c>
      <c r="D4229" s="50" t="s">
        <v>2173</v>
      </c>
      <c r="E4229" s="50" t="n">
        <v>2</v>
      </c>
      <c r="F4229" s="50" t="s">
        <v>2174</v>
      </c>
      <c r="G4229" s="54" t="n">
        <v>1552900</v>
      </c>
    </row>
    <row r="4230" customFormat="false" ht="15" hidden="false" customHeight="false" outlineLevel="0" collapsed="false">
      <c r="A4230" s="50" t="s">
        <v>1500</v>
      </c>
      <c r="B4230" s="51" t="n">
        <v>45916</v>
      </c>
      <c r="C4230" s="50" t="s">
        <v>174</v>
      </c>
      <c r="D4230" s="50" t="s">
        <v>2183</v>
      </c>
      <c r="E4230" s="50" t="n">
        <v>1</v>
      </c>
      <c r="F4230" s="50" t="s">
        <v>2167</v>
      </c>
      <c r="G4230" s="54" t="n">
        <v>387500</v>
      </c>
    </row>
    <row r="4231" customFormat="false" ht="15" hidden="false" customHeight="false" outlineLevel="0" collapsed="false">
      <c r="A4231" s="50" t="s">
        <v>1500</v>
      </c>
      <c r="B4231" s="51" t="n">
        <v>45916</v>
      </c>
      <c r="C4231" s="50" t="s">
        <v>174</v>
      </c>
      <c r="D4231" s="50" t="s">
        <v>2185</v>
      </c>
      <c r="E4231" s="50" t="n">
        <v>5</v>
      </c>
      <c r="F4231" s="50" t="s">
        <v>2174</v>
      </c>
      <c r="G4231" s="54" t="n">
        <v>3750200</v>
      </c>
    </row>
    <row r="4232" customFormat="false" ht="15" hidden="false" customHeight="false" outlineLevel="0" collapsed="false">
      <c r="A4232" s="50" t="s">
        <v>1500</v>
      </c>
      <c r="B4232" s="51" t="n">
        <v>45916</v>
      </c>
      <c r="C4232" s="50" t="s">
        <v>174</v>
      </c>
      <c r="D4232" s="50" t="s">
        <v>2177</v>
      </c>
      <c r="E4232" s="50" t="n">
        <v>4</v>
      </c>
      <c r="F4232" s="50" t="s">
        <v>2174</v>
      </c>
      <c r="G4232" s="54" t="n">
        <v>4373000</v>
      </c>
    </row>
    <row r="4233" customFormat="false" ht="15" hidden="false" customHeight="false" outlineLevel="0" collapsed="false">
      <c r="A4233" s="50" t="s">
        <v>1501</v>
      </c>
      <c r="B4233" s="51" t="n">
        <v>45916</v>
      </c>
      <c r="C4233" s="50" t="s">
        <v>177</v>
      </c>
      <c r="D4233" s="50" t="s">
        <v>2173</v>
      </c>
      <c r="E4233" s="50" t="n">
        <v>6</v>
      </c>
      <c r="F4233" s="50" t="s">
        <v>2174</v>
      </c>
      <c r="G4233" s="54" t="n">
        <v>4786100</v>
      </c>
    </row>
    <row r="4234" customFormat="false" ht="15" hidden="false" customHeight="false" outlineLevel="0" collapsed="false">
      <c r="A4234" s="50" t="s">
        <v>1501</v>
      </c>
      <c r="B4234" s="51" t="n">
        <v>45916</v>
      </c>
      <c r="C4234" s="50" t="s">
        <v>177</v>
      </c>
      <c r="D4234" s="50" t="s">
        <v>2184</v>
      </c>
      <c r="E4234" s="50" t="n">
        <v>5</v>
      </c>
      <c r="F4234" s="50" t="s">
        <v>2167</v>
      </c>
      <c r="G4234" s="54" t="n">
        <v>2731300</v>
      </c>
    </row>
    <row r="4235" customFormat="false" ht="15" hidden="false" customHeight="false" outlineLevel="0" collapsed="false">
      <c r="A4235" s="50" t="s">
        <v>1501</v>
      </c>
      <c r="B4235" s="51" t="n">
        <v>45916</v>
      </c>
      <c r="C4235" s="50" t="s">
        <v>177</v>
      </c>
      <c r="D4235" s="50" t="s">
        <v>2166</v>
      </c>
      <c r="E4235" s="50" t="n">
        <v>2</v>
      </c>
      <c r="F4235" s="50" t="s">
        <v>2167</v>
      </c>
      <c r="G4235" s="54" t="n">
        <v>1094300</v>
      </c>
    </row>
    <row r="4236" customFormat="false" ht="15" hidden="false" customHeight="false" outlineLevel="0" collapsed="false">
      <c r="A4236" s="50" t="s">
        <v>1501</v>
      </c>
      <c r="B4236" s="51" t="n">
        <v>45916</v>
      </c>
      <c r="C4236" s="50" t="s">
        <v>177</v>
      </c>
      <c r="D4236" s="50" t="s">
        <v>2176</v>
      </c>
      <c r="E4236" s="50" t="n">
        <v>1</v>
      </c>
      <c r="F4236" s="50" t="s">
        <v>2167</v>
      </c>
      <c r="G4236" s="54" t="n">
        <v>429600</v>
      </c>
    </row>
    <row r="4237" customFormat="false" ht="15" hidden="false" customHeight="false" outlineLevel="0" collapsed="false">
      <c r="A4237" s="50" t="s">
        <v>1501</v>
      </c>
      <c r="B4237" s="51" t="n">
        <v>45916</v>
      </c>
      <c r="C4237" s="50" t="s">
        <v>177</v>
      </c>
      <c r="D4237" s="50" t="s">
        <v>2179</v>
      </c>
      <c r="E4237" s="50" t="n">
        <v>8</v>
      </c>
      <c r="F4237" s="50" t="s">
        <v>2174</v>
      </c>
      <c r="G4237" s="54" t="n">
        <v>9965900</v>
      </c>
    </row>
    <row r="4238" customFormat="false" ht="15" hidden="false" customHeight="false" outlineLevel="0" collapsed="false">
      <c r="A4238" s="50" t="s">
        <v>1501</v>
      </c>
      <c r="B4238" s="51" t="n">
        <v>45916</v>
      </c>
      <c r="C4238" s="50" t="s">
        <v>177</v>
      </c>
      <c r="D4238" s="50" t="s">
        <v>2177</v>
      </c>
      <c r="E4238" s="50" t="n">
        <v>6</v>
      </c>
      <c r="F4238" s="50" t="s">
        <v>2174</v>
      </c>
      <c r="G4238" s="54" t="n">
        <v>6858900</v>
      </c>
    </row>
    <row r="4239" customFormat="false" ht="15" hidden="false" customHeight="false" outlineLevel="0" collapsed="false">
      <c r="A4239" s="50" t="s">
        <v>1501</v>
      </c>
      <c r="B4239" s="51" t="n">
        <v>45916</v>
      </c>
      <c r="C4239" s="50" t="s">
        <v>177</v>
      </c>
      <c r="D4239" s="50" t="s">
        <v>2181</v>
      </c>
      <c r="E4239" s="50" t="n">
        <v>8</v>
      </c>
      <c r="F4239" s="50" t="s">
        <v>2167</v>
      </c>
      <c r="G4239" s="54" t="n">
        <v>9280800</v>
      </c>
    </row>
    <row r="4240" customFormat="false" ht="15" hidden="false" customHeight="false" outlineLevel="0" collapsed="false">
      <c r="A4240" s="50" t="s">
        <v>1502</v>
      </c>
      <c r="B4240" s="51" t="n">
        <v>45916</v>
      </c>
      <c r="C4240" s="50" t="s">
        <v>329</v>
      </c>
      <c r="D4240" s="50" t="s">
        <v>2180</v>
      </c>
      <c r="E4240" s="50" t="n">
        <v>2</v>
      </c>
      <c r="F4240" s="50" t="s">
        <v>2167</v>
      </c>
      <c r="G4240" s="54" t="n">
        <v>890000</v>
      </c>
    </row>
    <row r="4241" customFormat="false" ht="15" hidden="false" customHeight="false" outlineLevel="0" collapsed="false">
      <c r="A4241" s="50" t="s">
        <v>1502</v>
      </c>
      <c r="B4241" s="51" t="n">
        <v>45916</v>
      </c>
      <c r="C4241" s="50" t="s">
        <v>329</v>
      </c>
      <c r="D4241" s="50" t="s">
        <v>2186</v>
      </c>
      <c r="E4241" s="50" t="n">
        <v>1</v>
      </c>
      <c r="F4241" s="50" t="s">
        <v>2167</v>
      </c>
      <c r="G4241" s="54" t="n">
        <v>572400</v>
      </c>
    </row>
    <row r="4242" customFormat="false" ht="15" hidden="false" customHeight="false" outlineLevel="0" collapsed="false">
      <c r="A4242" s="50" t="s">
        <v>1502</v>
      </c>
      <c r="B4242" s="51" t="n">
        <v>45916</v>
      </c>
      <c r="C4242" s="50" t="s">
        <v>329</v>
      </c>
      <c r="D4242" s="50" t="s">
        <v>2177</v>
      </c>
      <c r="E4242" s="50" t="n">
        <v>4</v>
      </c>
      <c r="F4242" s="50" t="s">
        <v>2174</v>
      </c>
      <c r="G4242" s="54" t="n">
        <v>4370900</v>
      </c>
    </row>
    <row r="4243" customFormat="false" ht="15" hidden="false" customHeight="false" outlineLevel="0" collapsed="false">
      <c r="A4243" s="50" t="s">
        <v>1503</v>
      </c>
      <c r="B4243" s="51" t="n">
        <v>45916</v>
      </c>
      <c r="C4243" s="50" t="s">
        <v>223</v>
      </c>
      <c r="D4243" s="50" t="s">
        <v>2187</v>
      </c>
      <c r="E4243" s="50" t="n">
        <v>4</v>
      </c>
      <c r="F4243" s="50" t="s">
        <v>2167</v>
      </c>
      <c r="G4243" s="54" t="n">
        <v>1394000</v>
      </c>
    </row>
    <row r="4244" customFormat="false" ht="15" hidden="false" customHeight="false" outlineLevel="0" collapsed="false">
      <c r="A4244" s="50" t="s">
        <v>1503</v>
      </c>
      <c r="B4244" s="51" t="n">
        <v>45916</v>
      </c>
      <c r="C4244" s="50" t="s">
        <v>223</v>
      </c>
      <c r="D4244" s="50" t="s">
        <v>2183</v>
      </c>
      <c r="E4244" s="50" t="n">
        <v>8</v>
      </c>
      <c r="F4244" s="50" t="s">
        <v>2167</v>
      </c>
      <c r="G4244" s="54" t="n">
        <v>3038700</v>
      </c>
    </row>
    <row r="4245" customFormat="false" ht="15" hidden="false" customHeight="false" outlineLevel="0" collapsed="false">
      <c r="A4245" s="50" t="s">
        <v>1503</v>
      </c>
      <c r="B4245" s="51" t="n">
        <v>45916</v>
      </c>
      <c r="C4245" s="50" t="s">
        <v>223</v>
      </c>
      <c r="D4245" s="50" t="s">
        <v>2184</v>
      </c>
      <c r="E4245" s="50" t="n">
        <v>4</v>
      </c>
      <c r="F4245" s="50" t="s">
        <v>2167</v>
      </c>
      <c r="G4245" s="54" t="n">
        <v>2238000</v>
      </c>
    </row>
    <row r="4246" customFormat="false" ht="15" hidden="false" customHeight="false" outlineLevel="0" collapsed="false">
      <c r="A4246" s="50" t="s">
        <v>1504</v>
      </c>
      <c r="B4246" s="51" t="n">
        <v>45916</v>
      </c>
      <c r="C4246" s="50" t="s">
        <v>286</v>
      </c>
      <c r="D4246" s="50" t="s">
        <v>2179</v>
      </c>
      <c r="E4246" s="50" t="n">
        <v>2</v>
      </c>
      <c r="F4246" s="50" t="s">
        <v>2174</v>
      </c>
      <c r="G4246" s="54" t="n">
        <v>2410100</v>
      </c>
    </row>
    <row r="4247" customFormat="false" ht="15" hidden="false" customHeight="false" outlineLevel="0" collapsed="false">
      <c r="A4247" s="50" t="s">
        <v>1505</v>
      </c>
      <c r="B4247" s="51" t="n">
        <v>45916</v>
      </c>
      <c r="C4247" s="50" t="s">
        <v>286</v>
      </c>
      <c r="D4247" s="50" t="s">
        <v>2186</v>
      </c>
      <c r="E4247" s="50" t="n">
        <v>6</v>
      </c>
      <c r="F4247" s="50" t="s">
        <v>2167</v>
      </c>
      <c r="G4247" s="54" t="n">
        <v>3430300</v>
      </c>
    </row>
    <row r="4248" customFormat="false" ht="15" hidden="false" customHeight="false" outlineLevel="0" collapsed="false">
      <c r="A4248" s="50" t="s">
        <v>1505</v>
      </c>
      <c r="B4248" s="51" t="n">
        <v>45916</v>
      </c>
      <c r="C4248" s="50" t="s">
        <v>286</v>
      </c>
      <c r="D4248" s="50" t="s">
        <v>2187</v>
      </c>
      <c r="E4248" s="50" t="n">
        <v>6</v>
      </c>
      <c r="F4248" s="50" t="s">
        <v>2167</v>
      </c>
      <c r="G4248" s="54" t="n">
        <v>2033700</v>
      </c>
    </row>
    <row r="4249" customFormat="false" ht="15" hidden="false" customHeight="false" outlineLevel="0" collapsed="false">
      <c r="A4249" s="50" t="s">
        <v>1505</v>
      </c>
      <c r="B4249" s="51" t="n">
        <v>45916</v>
      </c>
      <c r="C4249" s="50" t="s">
        <v>286</v>
      </c>
      <c r="D4249" s="50" t="s">
        <v>2169</v>
      </c>
      <c r="E4249" s="50" t="n">
        <v>7</v>
      </c>
      <c r="F4249" s="50" t="s">
        <v>2167</v>
      </c>
      <c r="G4249" s="54" t="n">
        <v>4173900</v>
      </c>
    </row>
    <row r="4250" customFormat="false" ht="15" hidden="false" customHeight="false" outlineLevel="0" collapsed="false">
      <c r="A4250" s="50" t="s">
        <v>1506</v>
      </c>
      <c r="B4250" s="51" t="n">
        <v>45917</v>
      </c>
      <c r="C4250" s="50" t="s">
        <v>261</v>
      </c>
      <c r="D4250" s="50" t="s">
        <v>2178</v>
      </c>
      <c r="E4250" s="50" t="n">
        <v>5</v>
      </c>
      <c r="F4250" s="50" t="s">
        <v>2167</v>
      </c>
      <c r="G4250" s="54" t="n">
        <v>2404800</v>
      </c>
    </row>
    <row r="4251" customFormat="false" ht="15" hidden="false" customHeight="false" outlineLevel="0" collapsed="false">
      <c r="A4251" s="50" t="s">
        <v>1506</v>
      </c>
      <c r="B4251" s="51" t="n">
        <v>45917</v>
      </c>
      <c r="C4251" s="50" t="s">
        <v>261</v>
      </c>
      <c r="D4251" s="50" t="s">
        <v>2180</v>
      </c>
      <c r="E4251" s="50" t="n">
        <v>5</v>
      </c>
      <c r="F4251" s="50" t="s">
        <v>2167</v>
      </c>
      <c r="G4251" s="54" t="n">
        <v>2287200</v>
      </c>
    </row>
    <row r="4252" customFormat="false" ht="15" hidden="false" customHeight="false" outlineLevel="0" collapsed="false">
      <c r="A4252" s="50" t="s">
        <v>1506</v>
      </c>
      <c r="B4252" s="51" t="n">
        <v>45917</v>
      </c>
      <c r="C4252" s="50" t="s">
        <v>261</v>
      </c>
      <c r="D4252" s="50" t="s">
        <v>2188</v>
      </c>
      <c r="E4252" s="50" t="n">
        <v>2</v>
      </c>
      <c r="F4252" s="50" t="s">
        <v>2167</v>
      </c>
      <c r="G4252" s="54" t="n">
        <v>1953100</v>
      </c>
    </row>
    <row r="4253" customFormat="false" ht="15" hidden="false" customHeight="false" outlineLevel="0" collapsed="false">
      <c r="A4253" s="50" t="s">
        <v>1506</v>
      </c>
      <c r="B4253" s="51" t="n">
        <v>45917</v>
      </c>
      <c r="C4253" s="50" t="s">
        <v>261</v>
      </c>
      <c r="D4253" s="50" t="s">
        <v>2166</v>
      </c>
      <c r="E4253" s="50" t="n">
        <v>8</v>
      </c>
      <c r="F4253" s="50" t="s">
        <v>2167</v>
      </c>
      <c r="G4253" s="54" t="n">
        <v>4467400</v>
      </c>
    </row>
    <row r="4254" customFormat="false" ht="15" hidden="false" customHeight="false" outlineLevel="0" collapsed="false">
      <c r="A4254" s="50" t="s">
        <v>1506</v>
      </c>
      <c r="B4254" s="51" t="n">
        <v>45917</v>
      </c>
      <c r="C4254" s="50" t="s">
        <v>261</v>
      </c>
      <c r="D4254" s="50" t="s">
        <v>2186</v>
      </c>
      <c r="E4254" s="50" t="n">
        <v>4</v>
      </c>
      <c r="F4254" s="50" t="s">
        <v>2167</v>
      </c>
      <c r="G4254" s="54" t="n">
        <v>2346900</v>
      </c>
    </row>
    <row r="4255" customFormat="false" ht="15" hidden="false" customHeight="false" outlineLevel="0" collapsed="false">
      <c r="A4255" s="50" t="s">
        <v>1507</v>
      </c>
      <c r="B4255" s="51" t="n">
        <v>45917</v>
      </c>
      <c r="C4255" s="50" t="s">
        <v>174</v>
      </c>
      <c r="D4255" s="50" t="s">
        <v>2187</v>
      </c>
      <c r="E4255" s="50" t="n">
        <v>8</v>
      </c>
      <c r="F4255" s="50" t="s">
        <v>2167</v>
      </c>
      <c r="G4255" s="54" t="n">
        <v>2774600</v>
      </c>
    </row>
    <row r="4256" customFormat="false" ht="15" hidden="false" customHeight="false" outlineLevel="0" collapsed="false">
      <c r="A4256" s="50" t="s">
        <v>1508</v>
      </c>
      <c r="B4256" s="51" t="n">
        <v>45917</v>
      </c>
      <c r="C4256" s="50" t="s">
        <v>225</v>
      </c>
      <c r="D4256" s="50" t="s">
        <v>2185</v>
      </c>
      <c r="E4256" s="50" t="n">
        <v>7</v>
      </c>
      <c r="F4256" s="50" t="s">
        <v>2174</v>
      </c>
      <c r="G4256" s="54" t="n">
        <v>5650300</v>
      </c>
    </row>
    <row r="4257" customFormat="false" ht="15" hidden="false" customHeight="false" outlineLevel="0" collapsed="false">
      <c r="A4257" s="50" t="s">
        <v>1508</v>
      </c>
      <c r="B4257" s="51" t="n">
        <v>45917</v>
      </c>
      <c r="C4257" s="50" t="s">
        <v>225</v>
      </c>
      <c r="D4257" s="50" t="s">
        <v>2169</v>
      </c>
      <c r="E4257" s="50" t="n">
        <v>8</v>
      </c>
      <c r="F4257" s="50" t="s">
        <v>2167</v>
      </c>
      <c r="G4257" s="54" t="n">
        <v>4902600</v>
      </c>
    </row>
    <row r="4258" customFormat="false" ht="15" hidden="false" customHeight="false" outlineLevel="0" collapsed="false">
      <c r="A4258" s="50" t="s">
        <v>1508</v>
      </c>
      <c r="B4258" s="51" t="n">
        <v>45917</v>
      </c>
      <c r="C4258" s="50" t="s">
        <v>225</v>
      </c>
      <c r="D4258" s="50" t="s">
        <v>2188</v>
      </c>
      <c r="E4258" s="50" t="n">
        <v>6</v>
      </c>
      <c r="F4258" s="50" t="s">
        <v>2167</v>
      </c>
      <c r="G4258" s="54" t="n">
        <v>5963300</v>
      </c>
    </row>
    <row r="4259" customFormat="false" ht="15" hidden="false" customHeight="false" outlineLevel="0" collapsed="false">
      <c r="A4259" s="50" t="s">
        <v>1508</v>
      </c>
      <c r="B4259" s="51" t="n">
        <v>45917</v>
      </c>
      <c r="C4259" s="50" t="s">
        <v>225</v>
      </c>
      <c r="D4259" s="50" t="s">
        <v>2184</v>
      </c>
      <c r="E4259" s="50" t="n">
        <v>2</v>
      </c>
      <c r="F4259" s="50" t="s">
        <v>2167</v>
      </c>
      <c r="G4259" s="54" t="n">
        <v>1130700</v>
      </c>
    </row>
    <row r="4260" customFormat="false" ht="15" hidden="false" customHeight="false" outlineLevel="0" collapsed="false">
      <c r="A4260" s="50" t="s">
        <v>1509</v>
      </c>
      <c r="B4260" s="51" t="n">
        <v>45917</v>
      </c>
      <c r="C4260" s="50" t="s">
        <v>249</v>
      </c>
      <c r="D4260" s="50" t="s">
        <v>2181</v>
      </c>
      <c r="E4260" s="50" t="n">
        <v>8</v>
      </c>
      <c r="F4260" s="50" t="s">
        <v>2167</v>
      </c>
      <c r="G4260" s="54" t="n">
        <v>9220000</v>
      </c>
    </row>
    <row r="4261" customFormat="false" ht="15" hidden="false" customHeight="false" outlineLevel="0" collapsed="false">
      <c r="A4261" s="50" t="s">
        <v>1509</v>
      </c>
      <c r="B4261" s="51" t="n">
        <v>45917</v>
      </c>
      <c r="C4261" s="50" t="s">
        <v>249</v>
      </c>
      <c r="D4261" s="50" t="s">
        <v>2178</v>
      </c>
      <c r="E4261" s="50" t="n">
        <v>8</v>
      </c>
      <c r="F4261" s="50" t="s">
        <v>2167</v>
      </c>
      <c r="G4261" s="54" t="n">
        <v>3798200</v>
      </c>
    </row>
    <row r="4262" customFormat="false" ht="15" hidden="false" customHeight="false" outlineLevel="0" collapsed="false">
      <c r="A4262" s="50" t="s">
        <v>1509</v>
      </c>
      <c r="B4262" s="51" t="n">
        <v>45917</v>
      </c>
      <c r="C4262" s="50" t="s">
        <v>249</v>
      </c>
      <c r="D4262" s="50" t="s">
        <v>2169</v>
      </c>
      <c r="E4262" s="50" t="n">
        <v>8</v>
      </c>
      <c r="F4262" s="50" t="s">
        <v>2167</v>
      </c>
      <c r="G4262" s="54" t="n">
        <v>4785600</v>
      </c>
    </row>
    <row r="4263" customFormat="false" ht="15" hidden="false" customHeight="false" outlineLevel="0" collapsed="false">
      <c r="A4263" s="50" t="s">
        <v>1509</v>
      </c>
      <c r="B4263" s="51" t="n">
        <v>45917</v>
      </c>
      <c r="C4263" s="50" t="s">
        <v>249</v>
      </c>
      <c r="D4263" s="50" t="s">
        <v>2170</v>
      </c>
      <c r="E4263" s="50" t="n">
        <v>2</v>
      </c>
      <c r="F4263" s="50" t="s">
        <v>2171</v>
      </c>
      <c r="G4263" s="54" t="n">
        <v>15320600</v>
      </c>
    </row>
    <row r="4264" customFormat="false" ht="15" hidden="false" customHeight="false" outlineLevel="0" collapsed="false">
      <c r="A4264" s="50" t="s">
        <v>1510</v>
      </c>
      <c r="B4264" s="51" t="n">
        <v>45917</v>
      </c>
      <c r="C4264" s="50" t="s">
        <v>286</v>
      </c>
      <c r="D4264" s="50" t="s">
        <v>2175</v>
      </c>
      <c r="E4264" s="50" t="n">
        <v>6</v>
      </c>
      <c r="F4264" s="50" t="s">
        <v>2167</v>
      </c>
      <c r="G4264" s="54" t="n">
        <v>3892800</v>
      </c>
    </row>
    <row r="4265" customFormat="false" ht="15" hidden="false" customHeight="false" outlineLevel="0" collapsed="false">
      <c r="A4265" s="50" t="s">
        <v>1510</v>
      </c>
      <c r="B4265" s="51" t="n">
        <v>45917</v>
      </c>
      <c r="C4265" s="50" t="s">
        <v>286</v>
      </c>
      <c r="D4265" s="50" t="s">
        <v>2166</v>
      </c>
      <c r="E4265" s="50" t="n">
        <v>3</v>
      </c>
      <c r="F4265" s="50" t="s">
        <v>2167</v>
      </c>
      <c r="G4265" s="54" t="n">
        <v>1560100</v>
      </c>
    </row>
    <row r="4266" customFormat="false" ht="15" hidden="false" customHeight="false" outlineLevel="0" collapsed="false">
      <c r="A4266" s="50" t="s">
        <v>1510</v>
      </c>
      <c r="B4266" s="51" t="n">
        <v>45917</v>
      </c>
      <c r="C4266" s="50" t="s">
        <v>286</v>
      </c>
      <c r="D4266" s="50" t="s">
        <v>2176</v>
      </c>
      <c r="E4266" s="50" t="n">
        <v>6</v>
      </c>
      <c r="F4266" s="50" t="s">
        <v>2167</v>
      </c>
      <c r="G4266" s="54" t="n">
        <v>2419400</v>
      </c>
    </row>
    <row r="4267" customFormat="false" ht="15" hidden="false" customHeight="false" outlineLevel="0" collapsed="false">
      <c r="A4267" s="50" t="s">
        <v>1510</v>
      </c>
      <c r="B4267" s="51" t="n">
        <v>45917</v>
      </c>
      <c r="C4267" s="50" t="s">
        <v>286</v>
      </c>
      <c r="D4267" s="50" t="s">
        <v>2183</v>
      </c>
      <c r="E4267" s="50" t="n">
        <v>1</v>
      </c>
      <c r="F4267" s="50" t="s">
        <v>2167</v>
      </c>
      <c r="G4267" s="54" t="n">
        <v>394500</v>
      </c>
    </row>
    <row r="4268" customFormat="false" ht="15" hidden="false" customHeight="false" outlineLevel="0" collapsed="false">
      <c r="A4268" s="50" t="s">
        <v>1510</v>
      </c>
      <c r="B4268" s="51" t="n">
        <v>45917</v>
      </c>
      <c r="C4268" s="50" t="s">
        <v>286</v>
      </c>
      <c r="D4268" s="50" t="s">
        <v>2173</v>
      </c>
      <c r="E4268" s="50" t="n">
        <v>2</v>
      </c>
      <c r="F4268" s="50" t="s">
        <v>2174</v>
      </c>
      <c r="G4268" s="54" t="n">
        <v>1538800</v>
      </c>
    </row>
    <row r="4269" customFormat="false" ht="15" hidden="false" customHeight="false" outlineLevel="0" collapsed="false">
      <c r="A4269" s="50" t="s">
        <v>1510</v>
      </c>
      <c r="B4269" s="51" t="n">
        <v>45917</v>
      </c>
      <c r="C4269" s="50" t="s">
        <v>286</v>
      </c>
      <c r="D4269" s="50" t="s">
        <v>2186</v>
      </c>
      <c r="E4269" s="50" t="n">
        <v>6</v>
      </c>
      <c r="F4269" s="50" t="s">
        <v>2167</v>
      </c>
      <c r="G4269" s="54" t="n">
        <v>3541600</v>
      </c>
    </row>
    <row r="4270" customFormat="false" ht="15" hidden="false" customHeight="false" outlineLevel="0" collapsed="false">
      <c r="A4270" s="50" t="s">
        <v>1511</v>
      </c>
      <c r="B4270" s="51" t="n">
        <v>45917</v>
      </c>
      <c r="C4270" s="50" t="s">
        <v>211</v>
      </c>
      <c r="D4270" s="50" t="s">
        <v>2181</v>
      </c>
      <c r="E4270" s="50" t="n">
        <v>5</v>
      </c>
      <c r="F4270" s="50" t="s">
        <v>2167</v>
      </c>
      <c r="G4270" s="54" t="n">
        <v>5970400</v>
      </c>
    </row>
    <row r="4271" customFormat="false" ht="15" hidden="false" customHeight="false" outlineLevel="0" collapsed="false">
      <c r="A4271" s="50" t="s">
        <v>1511</v>
      </c>
      <c r="B4271" s="51" t="n">
        <v>45917</v>
      </c>
      <c r="C4271" s="50" t="s">
        <v>211</v>
      </c>
      <c r="D4271" s="50" t="s">
        <v>2180</v>
      </c>
      <c r="E4271" s="50" t="n">
        <v>2</v>
      </c>
      <c r="F4271" s="50" t="s">
        <v>2167</v>
      </c>
      <c r="G4271" s="54" t="n">
        <v>907600</v>
      </c>
    </row>
    <row r="4272" customFormat="false" ht="15" hidden="false" customHeight="false" outlineLevel="0" collapsed="false">
      <c r="A4272" s="50" t="s">
        <v>1511</v>
      </c>
      <c r="B4272" s="51" t="n">
        <v>45917</v>
      </c>
      <c r="C4272" s="50" t="s">
        <v>211</v>
      </c>
      <c r="D4272" s="50" t="s">
        <v>2176</v>
      </c>
      <c r="E4272" s="50" t="n">
        <v>2</v>
      </c>
      <c r="F4272" s="50" t="s">
        <v>2167</v>
      </c>
      <c r="G4272" s="54" t="n">
        <v>806900</v>
      </c>
    </row>
    <row r="4273" customFormat="false" ht="15" hidden="false" customHeight="false" outlineLevel="0" collapsed="false">
      <c r="A4273" s="50" t="s">
        <v>1511</v>
      </c>
      <c r="B4273" s="51" t="n">
        <v>45917</v>
      </c>
      <c r="C4273" s="50" t="s">
        <v>211</v>
      </c>
      <c r="D4273" s="50" t="s">
        <v>2186</v>
      </c>
      <c r="E4273" s="50" t="n">
        <v>2</v>
      </c>
      <c r="F4273" s="50" t="s">
        <v>2167</v>
      </c>
      <c r="G4273" s="54" t="n">
        <v>1165100</v>
      </c>
    </row>
    <row r="4274" customFormat="false" ht="15" hidden="false" customHeight="false" outlineLevel="0" collapsed="false">
      <c r="A4274" s="50" t="s">
        <v>1511</v>
      </c>
      <c r="B4274" s="51" t="n">
        <v>45917</v>
      </c>
      <c r="C4274" s="50" t="s">
        <v>211</v>
      </c>
      <c r="D4274" s="50" t="s">
        <v>2184</v>
      </c>
      <c r="E4274" s="50" t="n">
        <v>3</v>
      </c>
      <c r="F4274" s="50" t="s">
        <v>2167</v>
      </c>
      <c r="G4274" s="54" t="n">
        <v>1682600</v>
      </c>
    </row>
    <row r="4275" customFormat="false" ht="15" hidden="false" customHeight="false" outlineLevel="0" collapsed="false">
      <c r="A4275" s="50" t="s">
        <v>1512</v>
      </c>
      <c r="B4275" s="51" t="n">
        <v>45917</v>
      </c>
      <c r="C4275" s="50" t="s">
        <v>174</v>
      </c>
      <c r="D4275" s="50" t="s">
        <v>2172</v>
      </c>
      <c r="E4275" s="50" t="n">
        <v>4</v>
      </c>
      <c r="F4275" s="50" t="s">
        <v>2167</v>
      </c>
      <c r="G4275" s="54" t="n">
        <v>2057600</v>
      </c>
    </row>
    <row r="4276" customFormat="false" ht="15" hidden="false" customHeight="false" outlineLevel="0" collapsed="false">
      <c r="A4276" s="50" t="s">
        <v>1512</v>
      </c>
      <c r="B4276" s="51" t="n">
        <v>45917</v>
      </c>
      <c r="C4276" s="50" t="s">
        <v>174</v>
      </c>
      <c r="D4276" s="50" t="s">
        <v>2177</v>
      </c>
      <c r="E4276" s="50" t="n">
        <v>2</v>
      </c>
      <c r="F4276" s="50" t="s">
        <v>2174</v>
      </c>
      <c r="G4276" s="54" t="n">
        <v>2227100</v>
      </c>
    </row>
    <row r="4277" customFormat="false" ht="15" hidden="false" customHeight="false" outlineLevel="0" collapsed="false">
      <c r="A4277" s="50" t="s">
        <v>1512</v>
      </c>
      <c r="B4277" s="51" t="n">
        <v>45917</v>
      </c>
      <c r="C4277" s="50" t="s">
        <v>174</v>
      </c>
      <c r="D4277" s="50" t="s">
        <v>2184</v>
      </c>
      <c r="E4277" s="50" t="n">
        <v>3</v>
      </c>
      <c r="F4277" s="50" t="s">
        <v>2167</v>
      </c>
      <c r="G4277" s="54" t="n">
        <v>1652800</v>
      </c>
    </row>
    <row r="4278" customFormat="false" ht="15" hidden="false" customHeight="false" outlineLevel="0" collapsed="false">
      <c r="A4278" s="50" t="s">
        <v>1513</v>
      </c>
      <c r="B4278" s="51" t="n">
        <v>45918</v>
      </c>
      <c r="C4278" s="50" t="s">
        <v>243</v>
      </c>
      <c r="D4278" s="50" t="s">
        <v>2173</v>
      </c>
      <c r="E4278" s="50" t="n">
        <v>4</v>
      </c>
      <c r="F4278" s="50" t="s">
        <v>2174</v>
      </c>
      <c r="G4278" s="54" t="n">
        <v>3100200</v>
      </c>
    </row>
    <row r="4279" customFormat="false" ht="15" hidden="false" customHeight="false" outlineLevel="0" collapsed="false">
      <c r="A4279" s="50" t="s">
        <v>1513</v>
      </c>
      <c r="B4279" s="51" t="n">
        <v>45918</v>
      </c>
      <c r="C4279" s="50" t="s">
        <v>243</v>
      </c>
      <c r="D4279" s="50" t="s">
        <v>2170</v>
      </c>
      <c r="E4279" s="50" t="n">
        <v>2</v>
      </c>
      <c r="F4279" s="50" t="s">
        <v>2171</v>
      </c>
      <c r="G4279" s="54" t="n">
        <v>15252700</v>
      </c>
    </row>
    <row r="4280" customFormat="false" ht="15" hidden="false" customHeight="false" outlineLevel="0" collapsed="false">
      <c r="A4280" s="50" t="s">
        <v>1514</v>
      </c>
      <c r="B4280" s="51" t="n">
        <v>45918</v>
      </c>
      <c r="C4280" s="50" t="s">
        <v>199</v>
      </c>
      <c r="D4280" s="50" t="s">
        <v>2180</v>
      </c>
      <c r="E4280" s="50" t="n">
        <v>8</v>
      </c>
      <c r="F4280" s="50" t="s">
        <v>2167</v>
      </c>
      <c r="G4280" s="54" t="n">
        <v>3509600</v>
      </c>
    </row>
    <row r="4281" customFormat="false" ht="15" hidden="false" customHeight="false" outlineLevel="0" collapsed="false">
      <c r="A4281" s="50" t="s">
        <v>1514</v>
      </c>
      <c r="B4281" s="51" t="n">
        <v>45918</v>
      </c>
      <c r="C4281" s="50" t="s">
        <v>199</v>
      </c>
      <c r="D4281" s="50" t="s">
        <v>2169</v>
      </c>
      <c r="E4281" s="50" t="n">
        <v>1</v>
      </c>
      <c r="F4281" s="50" t="s">
        <v>2167</v>
      </c>
      <c r="G4281" s="54" t="n">
        <v>605200</v>
      </c>
    </row>
    <row r="4282" customFormat="false" ht="15" hidden="false" customHeight="false" outlineLevel="0" collapsed="false">
      <c r="A4282" s="50" t="s">
        <v>1515</v>
      </c>
      <c r="B4282" s="51" t="n">
        <v>45918</v>
      </c>
      <c r="C4282" s="50" t="s">
        <v>179</v>
      </c>
      <c r="D4282" s="50" t="s">
        <v>2172</v>
      </c>
      <c r="E4282" s="50" t="n">
        <v>2</v>
      </c>
      <c r="F4282" s="50" t="s">
        <v>2167</v>
      </c>
      <c r="G4282" s="54" t="n">
        <v>1024700</v>
      </c>
    </row>
    <row r="4283" customFormat="false" ht="15" hidden="false" customHeight="false" outlineLevel="0" collapsed="false">
      <c r="A4283" s="50" t="s">
        <v>1515</v>
      </c>
      <c r="B4283" s="51" t="n">
        <v>45918</v>
      </c>
      <c r="C4283" s="50" t="s">
        <v>179</v>
      </c>
      <c r="D4283" s="50" t="s">
        <v>2183</v>
      </c>
      <c r="E4283" s="50" t="n">
        <v>4</v>
      </c>
      <c r="F4283" s="50" t="s">
        <v>2167</v>
      </c>
      <c r="G4283" s="54" t="n">
        <v>1484400</v>
      </c>
    </row>
    <row r="4284" customFormat="false" ht="15" hidden="false" customHeight="false" outlineLevel="0" collapsed="false">
      <c r="A4284" s="50" t="s">
        <v>1515</v>
      </c>
      <c r="B4284" s="51" t="n">
        <v>45918</v>
      </c>
      <c r="C4284" s="50" t="s">
        <v>179</v>
      </c>
      <c r="D4284" s="50" t="s">
        <v>2186</v>
      </c>
      <c r="E4284" s="50" t="n">
        <v>6</v>
      </c>
      <c r="F4284" s="50" t="s">
        <v>2167</v>
      </c>
      <c r="G4284" s="54" t="n">
        <v>3482100</v>
      </c>
    </row>
    <row r="4285" customFormat="false" ht="15" hidden="false" customHeight="false" outlineLevel="0" collapsed="false">
      <c r="A4285" s="50" t="s">
        <v>1515</v>
      </c>
      <c r="B4285" s="51" t="n">
        <v>45918</v>
      </c>
      <c r="C4285" s="50" t="s">
        <v>179</v>
      </c>
      <c r="D4285" s="50" t="s">
        <v>2177</v>
      </c>
      <c r="E4285" s="50" t="n">
        <v>7</v>
      </c>
      <c r="F4285" s="50" t="s">
        <v>2174</v>
      </c>
      <c r="G4285" s="54" t="n">
        <v>7437000</v>
      </c>
    </row>
    <row r="4286" customFormat="false" ht="15" hidden="false" customHeight="false" outlineLevel="0" collapsed="false">
      <c r="A4286" s="50" t="s">
        <v>1515</v>
      </c>
      <c r="B4286" s="51" t="n">
        <v>45918</v>
      </c>
      <c r="C4286" s="50" t="s">
        <v>179</v>
      </c>
      <c r="D4286" s="50" t="s">
        <v>2180</v>
      </c>
      <c r="E4286" s="50" t="n">
        <v>6</v>
      </c>
      <c r="F4286" s="50" t="s">
        <v>2167</v>
      </c>
      <c r="G4286" s="54" t="n">
        <v>2640500</v>
      </c>
    </row>
    <row r="4287" customFormat="false" ht="15" hidden="false" customHeight="false" outlineLevel="0" collapsed="false">
      <c r="A4287" s="50" t="s">
        <v>1516</v>
      </c>
      <c r="B4287" s="51" t="n">
        <v>45919</v>
      </c>
      <c r="C4287" s="50" t="s">
        <v>271</v>
      </c>
      <c r="D4287" s="50" t="s">
        <v>2186</v>
      </c>
      <c r="E4287" s="50" t="n">
        <v>6</v>
      </c>
      <c r="F4287" s="50" t="s">
        <v>2167</v>
      </c>
      <c r="G4287" s="54" t="n">
        <v>3661700</v>
      </c>
    </row>
    <row r="4288" customFormat="false" ht="15" hidden="false" customHeight="false" outlineLevel="0" collapsed="false">
      <c r="A4288" s="50" t="s">
        <v>1516</v>
      </c>
      <c r="B4288" s="51" t="n">
        <v>45919</v>
      </c>
      <c r="C4288" s="50" t="s">
        <v>271</v>
      </c>
      <c r="D4288" s="50" t="s">
        <v>2187</v>
      </c>
      <c r="E4288" s="50" t="n">
        <v>2</v>
      </c>
      <c r="F4288" s="50" t="s">
        <v>2167</v>
      </c>
      <c r="G4288" s="54" t="n">
        <v>705100</v>
      </c>
    </row>
    <row r="4289" customFormat="false" ht="15" hidden="false" customHeight="false" outlineLevel="0" collapsed="false">
      <c r="A4289" s="50" t="s">
        <v>1517</v>
      </c>
      <c r="B4289" s="51" t="n">
        <v>45919</v>
      </c>
      <c r="C4289" s="50" t="s">
        <v>166</v>
      </c>
      <c r="D4289" s="50" t="s">
        <v>2187</v>
      </c>
      <c r="E4289" s="50" t="n">
        <v>3</v>
      </c>
      <c r="F4289" s="50" t="s">
        <v>2167</v>
      </c>
      <c r="G4289" s="54" t="n">
        <v>1084300</v>
      </c>
    </row>
    <row r="4290" customFormat="false" ht="15" hidden="false" customHeight="false" outlineLevel="0" collapsed="false">
      <c r="A4290" s="50" t="s">
        <v>1517</v>
      </c>
      <c r="B4290" s="51" t="n">
        <v>45919</v>
      </c>
      <c r="C4290" s="50" t="s">
        <v>166</v>
      </c>
      <c r="D4290" s="50" t="s">
        <v>2169</v>
      </c>
      <c r="E4290" s="50" t="n">
        <v>7</v>
      </c>
      <c r="F4290" s="50" t="s">
        <v>2167</v>
      </c>
      <c r="G4290" s="54" t="n">
        <v>4389500</v>
      </c>
    </row>
    <row r="4291" customFormat="false" ht="15" hidden="false" customHeight="false" outlineLevel="0" collapsed="false">
      <c r="A4291" s="50" t="s">
        <v>1517</v>
      </c>
      <c r="B4291" s="51" t="n">
        <v>45919</v>
      </c>
      <c r="C4291" s="50" t="s">
        <v>166</v>
      </c>
      <c r="D4291" s="50" t="s">
        <v>2172</v>
      </c>
      <c r="E4291" s="50" t="n">
        <v>3</v>
      </c>
      <c r="F4291" s="50" t="s">
        <v>2167</v>
      </c>
      <c r="G4291" s="54" t="n">
        <v>1544600</v>
      </c>
    </row>
    <row r="4292" customFormat="false" ht="15" hidden="false" customHeight="false" outlineLevel="0" collapsed="false">
      <c r="A4292" s="50" t="s">
        <v>1518</v>
      </c>
      <c r="B4292" s="51" t="n">
        <v>45919</v>
      </c>
      <c r="C4292" s="50" t="s">
        <v>419</v>
      </c>
      <c r="D4292" s="50" t="s">
        <v>2169</v>
      </c>
      <c r="E4292" s="50" t="n">
        <v>8</v>
      </c>
      <c r="F4292" s="50" t="s">
        <v>2167</v>
      </c>
      <c r="G4292" s="54" t="n">
        <v>5011000</v>
      </c>
    </row>
    <row r="4293" customFormat="false" ht="15" hidden="false" customHeight="false" outlineLevel="0" collapsed="false">
      <c r="A4293" s="50" t="s">
        <v>1518</v>
      </c>
      <c r="B4293" s="51" t="n">
        <v>45919</v>
      </c>
      <c r="C4293" s="50" t="s">
        <v>419</v>
      </c>
      <c r="D4293" s="50" t="s">
        <v>2168</v>
      </c>
      <c r="E4293" s="50" t="n">
        <v>6</v>
      </c>
      <c r="F4293" s="50" t="s">
        <v>2167</v>
      </c>
      <c r="G4293" s="54" t="n">
        <v>2639700</v>
      </c>
    </row>
    <row r="4294" customFormat="false" ht="15" hidden="false" customHeight="false" outlineLevel="0" collapsed="false">
      <c r="A4294" s="50" t="s">
        <v>1518</v>
      </c>
      <c r="B4294" s="51" t="n">
        <v>45919</v>
      </c>
      <c r="C4294" s="50" t="s">
        <v>419</v>
      </c>
      <c r="D4294" s="50" t="s">
        <v>2166</v>
      </c>
      <c r="E4294" s="50" t="n">
        <v>7</v>
      </c>
      <c r="F4294" s="50" t="s">
        <v>2167</v>
      </c>
      <c r="G4294" s="54" t="n">
        <v>3849800</v>
      </c>
    </row>
    <row r="4295" customFormat="false" ht="15" hidden="false" customHeight="false" outlineLevel="0" collapsed="false">
      <c r="A4295" s="50" t="s">
        <v>1518</v>
      </c>
      <c r="B4295" s="51" t="n">
        <v>45919</v>
      </c>
      <c r="C4295" s="50" t="s">
        <v>419</v>
      </c>
      <c r="D4295" s="50" t="s">
        <v>2185</v>
      </c>
      <c r="E4295" s="50" t="n">
        <v>5</v>
      </c>
      <c r="F4295" s="50" t="s">
        <v>2174</v>
      </c>
      <c r="G4295" s="54" t="n">
        <v>3916600</v>
      </c>
    </row>
    <row r="4296" customFormat="false" ht="15" hidden="false" customHeight="false" outlineLevel="0" collapsed="false">
      <c r="A4296" s="50" t="s">
        <v>1518</v>
      </c>
      <c r="B4296" s="51" t="n">
        <v>45919</v>
      </c>
      <c r="C4296" s="50" t="s">
        <v>419</v>
      </c>
      <c r="D4296" s="50" t="s">
        <v>2177</v>
      </c>
      <c r="E4296" s="50" t="n">
        <v>6</v>
      </c>
      <c r="F4296" s="50" t="s">
        <v>2174</v>
      </c>
      <c r="G4296" s="54" t="n">
        <v>6632100</v>
      </c>
    </row>
    <row r="4297" customFormat="false" ht="15" hidden="false" customHeight="false" outlineLevel="0" collapsed="false">
      <c r="A4297" s="50" t="s">
        <v>1519</v>
      </c>
      <c r="B4297" s="51" t="n">
        <v>45919</v>
      </c>
      <c r="C4297" s="50" t="s">
        <v>261</v>
      </c>
      <c r="D4297" s="50" t="s">
        <v>2169</v>
      </c>
      <c r="E4297" s="50" t="n">
        <v>6</v>
      </c>
      <c r="F4297" s="50" t="s">
        <v>2167</v>
      </c>
      <c r="G4297" s="54" t="n">
        <v>3847400</v>
      </c>
    </row>
    <row r="4298" customFormat="false" ht="15" hidden="false" customHeight="false" outlineLevel="0" collapsed="false">
      <c r="A4298" s="50" t="s">
        <v>1519</v>
      </c>
      <c r="B4298" s="51" t="n">
        <v>45919</v>
      </c>
      <c r="C4298" s="50" t="s">
        <v>261</v>
      </c>
      <c r="D4298" s="50" t="s">
        <v>2183</v>
      </c>
      <c r="E4298" s="50" t="n">
        <v>7</v>
      </c>
      <c r="F4298" s="50" t="s">
        <v>2167</v>
      </c>
      <c r="G4298" s="54" t="n">
        <v>2764200</v>
      </c>
    </row>
    <row r="4299" customFormat="false" ht="15" hidden="false" customHeight="false" outlineLevel="0" collapsed="false">
      <c r="A4299" s="50" t="s">
        <v>1520</v>
      </c>
      <c r="B4299" s="51" t="n">
        <v>45919</v>
      </c>
      <c r="C4299" s="50" t="s">
        <v>207</v>
      </c>
      <c r="D4299" s="50" t="s">
        <v>2177</v>
      </c>
      <c r="E4299" s="50" t="n">
        <v>8</v>
      </c>
      <c r="F4299" s="50" t="s">
        <v>2174</v>
      </c>
      <c r="G4299" s="54" t="n">
        <v>8564100</v>
      </c>
    </row>
    <row r="4300" customFormat="false" ht="15" hidden="false" customHeight="false" outlineLevel="0" collapsed="false">
      <c r="A4300" s="50" t="s">
        <v>1520</v>
      </c>
      <c r="B4300" s="51" t="n">
        <v>45919</v>
      </c>
      <c r="C4300" s="50" t="s">
        <v>207</v>
      </c>
      <c r="D4300" s="50" t="s">
        <v>2186</v>
      </c>
      <c r="E4300" s="50" t="n">
        <v>7</v>
      </c>
      <c r="F4300" s="50" t="s">
        <v>2167</v>
      </c>
      <c r="G4300" s="54" t="n">
        <v>4130600</v>
      </c>
    </row>
    <row r="4301" customFormat="false" ht="15" hidden="false" customHeight="false" outlineLevel="0" collapsed="false">
      <c r="A4301" s="50" t="s">
        <v>1520</v>
      </c>
      <c r="B4301" s="51" t="n">
        <v>45919</v>
      </c>
      <c r="C4301" s="50" t="s">
        <v>207</v>
      </c>
      <c r="D4301" s="50" t="s">
        <v>2178</v>
      </c>
      <c r="E4301" s="50" t="n">
        <v>1</v>
      </c>
      <c r="F4301" s="50" t="s">
        <v>2167</v>
      </c>
      <c r="G4301" s="54" t="n">
        <v>469800</v>
      </c>
    </row>
    <row r="4302" customFormat="false" ht="15" hidden="false" customHeight="false" outlineLevel="0" collapsed="false">
      <c r="A4302" s="50" t="s">
        <v>1521</v>
      </c>
      <c r="B4302" s="51" t="n">
        <v>45919</v>
      </c>
      <c r="C4302" s="50" t="s">
        <v>247</v>
      </c>
      <c r="D4302" s="50" t="s">
        <v>2182</v>
      </c>
      <c r="E4302" s="50" t="n">
        <v>7</v>
      </c>
      <c r="F4302" s="50" t="s">
        <v>2174</v>
      </c>
      <c r="G4302" s="54" t="n">
        <v>6413500</v>
      </c>
    </row>
    <row r="4303" customFormat="false" ht="15" hidden="false" customHeight="false" outlineLevel="0" collapsed="false">
      <c r="A4303" s="50" t="s">
        <v>1521</v>
      </c>
      <c r="B4303" s="51" t="n">
        <v>45919</v>
      </c>
      <c r="C4303" s="50" t="s">
        <v>247</v>
      </c>
      <c r="D4303" s="50" t="s">
        <v>2169</v>
      </c>
      <c r="E4303" s="50" t="n">
        <v>1</v>
      </c>
      <c r="F4303" s="50" t="s">
        <v>2167</v>
      </c>
      <c r="G4303" s="54" t="n">
        <v>636300</v>
      </c>
    </row>
    <row r="4304" customFormat="false" ht="15" hidden="false" customHeight="false" outlineLevel="0" collapsed="false">
      <c r="A4304" s="50" t="s">
        <v>1521</v>
      </c>
      <c r="B4304" s="51" t="n">
        <v>45919</v>
      </c>
      <c r="C4304" s="50" t="s">
        <v>247</v>
      </c>
      <c r="D4304" s="50" t="s">
        <v>2186</v>
      </c>
      <c r="E4304" s="50" t="n">
        <v>5</v>
      </c>
      <c r="F4304" s="50" t="s">
        <v>2167</v>
      </c>
      <c r="G4304" s="54" t="n">
        <v>2868800</v>
      </c>
    </row>
    <row r="4305" customFormat="false" ht="15" hidden="false" customHeight="false" outlineLevel="0" collapsed="false">
      <c r="A4305" s="50" t="s">
        <v>1522</v>
      </c>
      <c r="B4305" s="51" t="n">
        <v>45919</v>
      </c>
      <c r="C4305" s="50" t="s">
        <v>382</v>
      </c>
      <c r="D4305" s="50" t="s">
        <v>2179</v>
      </c>
      <c r="E4305" s="50" t="n">
        <v>4</v>
      </c>
      <c r="F4305" s="50" t="s">
        <v>2174</v>
      </c>
      <c r="G4305" s="54" t="n">
        <v>5094900</v>
      </c>
    </row>
    <row r="4306" customFormat="false" ht="15" hidden="false" customHeight="false" outlineLevel="0" collapsed="false">
      <c r="A4306" s="50" t="s">
        <v>1522</v>
      </c>
      <c r="B4306" s="51" t="n">
        <v>45919</v>
      </c>
      <c r="C4306" s="50" t="s">
        <v>382</v>
      </c>
      <c r="D4306" s="50" t="s">
        <v>2181</v>
      </c>
      <c r="E4306" s="50" t="n">
        <v>7</v>
      </c>
      <c r="F4306" s="50" t="s">
        <v>2167</v>
      </c>
      <c r="G4306" s="54" t="n">
        <v>8318000</v>
      </c>
    </row>
    <row r="4307" customFormat="false" ht="15" hidden="false" customHeight="false" outlineLevel="0" collapsed="false">
      <c r="A4307" s="50" t="s">
        <v>1522</v>
      </c>
      <c r="B4307" s="51" t="n">
        <v>45919</v>
      </c>
      <c r="C4307" s="50" t="s">
        <v>382</v>
      </c>
      <c r="D4307" s="50" t="s">
        <v>2186</v>
      </c>
      <c r="E4307" s="50" t="n">
        <v>3</v>
      </c>
      <c r="F4307" s="50" t="s">
        <v>2167</v>
      </c>
      <c r="G4307" s="54" t="n">
        <v>1810200</v>
      </c>
    </row>
    <row r="4308" customFormat="false" ht="15" hidden="false" customHeight="false" outlineLevel="0" collapsed="false">
      <c r="A4308" s="50" t="s">
        <v>1522</v>
      </c>
      <c r="B4308" s="51" t="n">
        <v>45919</v>
      </c>
      <c r="C4308" s="50" t="s">
        <v>382</v>
      </c>
      <c r="D4308" s="50" t="s">
        <v>2169</v>
      </c>
      <c r="E4308" s="50" t="n">
        <v>4</v>
      </c>
      <c r="F4308" s="50" t="s">
        <v>2167</v>
      </c>
      <c r="G4308" s="54" t="n">
        <v>2571300</v>
      </c>
    </row>
    <row r="4309" customFormat="false" ht="15" hidden="false" customHeight="false" outlineLevel="0" collapsed="false">
      <c r="A4309" s="50" t="s">
        <v>1522</v>
      </c>
      <c r="B4309" s="51" t="n">
        <v>45919</v>
      </c>
      <c r="C4309" s="50" t="s">
        <v>382</v>
      </c>
      <c r="D4309" s="50" t="s">
        <v>2187</v>
      </c>
      <c r="E4309" s="50" t="n">
        <v>1</v>
      </c>
      <c r="F4309" s="50" t="s">
        <v>2167</v>
      </c>
      <c r="G4309" s="54" t="n">
        <v>356600</v>
      </c>
    </row>
    <row r="4310" customFormat="false" ht="15" hidden="false" customHeight="false" outlineLevel="0" collapsed="false">
      <c r="A4310" s="50" t="s">
        <v>1523</v>
      </c>
      <c r="B4310" s="51" t="n">
        <v>45920</v>
      </c>
      <c r="C4310" s="50" t="s">
        <v>177</v>
      </c>
      <c r="D4310" s="50" t="s">
        <v>2187</v>
      </c>
      <c r="E4310" s="50" t="n">
        <v>3</v>
      </c>
      <c r="F4310" s="50" t="s">
        <v>2167</v>
      </c>
      <c r="G4310" s="54" t="n">
        <v>1084500</v>
      </c>
    </row>
    <row r="4311" customFormat="false" ht="15" hidden="false" customHeight="false" outlineLevel="0" collapsed="false">
      <c r="A4311" s="50" t="s">
        <v>1523</v>
      </c>
      <c r="B4311" s="51" t="n">
        <v>45920</v>
      </c>
      <c r="C4311" s="50" t="s">
        <v>177</v>
      </c>
      <c r="D4311" s="50" t="s">
        <v>2168</v>
      </c>
      <c r="E4311" s="50" t="n">
        <v>8</v>
      </c>
      <c r="F4311" s="50" t="s">
        <v>2167</v>
      </c>
      <c r="G4311" s="54" t="n">
        <v>3381500</v>
      </c>
    </row>
    <row r="4312" customFormat="false" ht="15" hidden="false" customHeight="false" outlineLevel="0" collapsed="false">
      <c r="A4312" s="50" t="s">
        <v>1523</v>
      </c>
      <c r="B4312" s="51" t="n">
        <v>45920</v>
      </c>
      <c r="C4312" s="50" t="s">
        <v>177</v>
      </c>
      <c r="D4312" s="50" t="s">
        <v>2169</v>
      </c>
      <c r="E4312" s="50" t="n">
        <v>8</v>
      </c>
      <c r="F4312" s="50" t="s">
        <v>2167</v>
      </c>
      <c r="G4312" s="54" t="n">
        <v>4860800</v>
      </c>
    </row>
    <row r="4313" customFormat="false" ht="15" hidden="false" customHeight="false" outlineLevel="0" collapsed="false">
      <c r="A4313" s="50" t="s">
        <v>1523</v>
      </c>
      <c r="B4313" s="51" t="n">
        <v>45920</v>
      </c>
      <c r="C4313" s="50" t="s">
        <v>177</v>
      </c>
      <c r="D4313" s="50" t="s">
        <v>2181</v>
      </c>
      <c r="E4313" s="50" t="n">
        <v>1</v>
      </c>
      <c r="F4313" s="50" t="s">
        <v>2167</v>
      </c>
      <c r="G4313" s="54" t="n">
        <v>1146000</v>
      </c>
    </row>
    <row r="4314" customFormat="false" ht="15" hidden="false" customHeight="false" outlineLevel="0" collapsed="false">
      <c r="A4314" s="50" t="s">
        <v>1524</v>
      </c>
      <c r="B4314" s="51" t="n">
        <v>45920</v>
      </c>
      <c r="C4314" s="50" t="s">
        <v>376</v>
      </c>
      <c r="D4314" s="50" t="s">
        <v>2181</v>
      </c>
      <c r="E4314" s="50" t="n">
        <v>5</v>
      </c>
      <c r="F4314" s="50" t="s">
        <v>2167</v>
      </c>
      <c r="G4314" s="54" t="n">
        <v>5877200</v>
      </c>
    </row>
    <row r="4315" customFormat="false" ht="15" hidden="false" customHeight="false" outlineLevel="0" collapsed="false">
      <c r="A4315" s="50" t="s">
        <v>1524</v>
      </c>
      <c r="B4315" s="51" t="n">
        <v>45920</v>
      </c>
      <c r="C4315" s="50" t="s">
        <v>376</v>
      </c>
      <c r="D4315" s="50" t="s">
        <v>2184</v>
      </c>
      <c r="E4315" s="50" t="n">
        <v>6</v>
      </c>
      <c r="F4315" s="50" t="s">
        <v>2167</v>
      </c>
      <c r="G4315" s="54" t="n">
        <v>3284000</v>
      </c>
    </row>
    <row r="4316" customFormat="false" ht="15" hidden="false" customHeight="false" outlineLevel="0" collapsed="false">
      <c r="A4316" s="50" t="s">
        <v>1524</v>
      </c>
      <c r="B4316" s="51" t="n">
        <v>45920</v>
      </c>
      <c r="C4316" s="50" t="s">
        <v>376</v>
      </c>
      <c r="D4316" s="50" t="s">
        <v>2176</v>
      </c>
      <c r="E4316" s="50" t="n">
        <v>8</v>
      </c>
      <c r="F4316" s="50" t="s">
        <v>2167</v>
      </c>
      <c r="G4316" s="54" t="n">
        <v>3250800</v>
      </c>
    </row>
    <row r="4317" customFormat="false" ht="15" hidden="false" customHeight="false" outlineLevel="0" collapsed="false">
      <c r="A4317" s="50" t="s">
        <v>1524</v>
      </c>
      <c r="B4317" s="51" t="n">
        <v>45920</v>
      </c>
      <c r="C4317" s="50" t="s">
        <v>376</v>
      </c>
      <c r="D4317" s="50" t="s">
        <v>2168</v>
      </c>
      <c r="E4317" s="50" t="n">
        <v>7</v>
      </c>
      <c r="F4317" s="50" t="s">
        <v>2167</v>
      </c>
      <c r="G4317" s="54" t="n">
        <v>3030900</v>
      </c>
    </row>
    <row r="4318" customFormat="false" ht="15" hidden="false" customHeight="false" outlineLevel="0" collapsed="false">
      <c r="A4318" s="50" t="s">
        <v>1524</v>
      </c>
      <c r="B4318" s="51" t="n">
        <v>45920</v>
      </c>
      <c r="C4318" s="50" t="s">
        <v>376</v>
      </c>
      <c r="D4318" s="50" t="s">
        <v>2187</v>
      </c>
      <c r="E4318" s="50" t="n">
        <v>7</v>
      </c>
      <c r="F4318" s="50" t="s">
        <v>2167</v>
      </c>
      <c r="G4318" s="54" t="n">
        <v>2528700</v>
      </c>
    </row>
    <row r="4319" customFormat="false" ht="15" hidden="false" customHeight="false" outlineLevel="0" collapsed="false">
      <c r="A4319" s="50" t="s">
        <v>1525</v>
      </c>
      <c r="B4319" s="51" t="n">
        <v>45920</v>
      </c>
      <c r="C4319" s="50" t="s">
        <v>298</v>
      </c>
      <c r="D4319" s="50" t="s">
        <v>2178</v>
      </c>
      <c r="E4319" s="50" t="n">
        <v>3</v>
      </c>
      <c r="F4319" s="50" t="s">
        <v>2167</v>
      </c>
      <c r="G4319" s="54" t="n">
        <v>1402700</v>
      </c>
    </row>
    <row r="4320" customFormat="false" ht="15" hidden="false" customHeight="false" outlineLevel="0" collapsed="false">
      <c r="A4320" s="50" t="s">
        <v>1525</v>
      </c>
      <c r="B4320" s="51" t="n">
        <v>45920</v>
      </c>
      <c r="C4320" s="50" t="s">
        <v>298</v>
      </c>
      <c r="D4320" s="50" t="s">
        <v>2177</v>
      </c>
      <c r="E4320" s="50" t="n">
        <v>5</v>
      </c>
      <c r="F4320" s="50" t="s">
        <v>2174</v>
      </c>
      <c r="G4320" s="54" t="n">
        <v>5663200</v>
      </c>
    </row>
    <row r="4321" customFormat="false" ht="15" hidden="false" customHeight="false" outlineLevel="0" collapsed="false">
      <c r="A4321" s="50" t="s">
        <v>1525</v>
      </c>
      <c r="B4321" s="51" t="n">
        <v>45920</v>
      </c>
      <c r="C4321" s="50" t="s">
        <v>298</v>
      </c>
      <c r="D4321" s="50" t="s">
        <v>2181</v>
      </c>
      <c r="E4321" s="50" t="n">
        <v>4</v>
      </c>
      <c r="F4321" s="50" t="s">
        <v>2167</v>
      </c>
      <c r="G4321" s="54" t="n">
        <v>4434000</v>
      </c>
    </row>
    <row r="4322" customFormat="false" ht="15" hidden="false" customHeight="false" outlineLevel="0" collapsed="false">
      <c r="A4322" s="50" t="s">
        <v>1525</v>
      </c>
      <c r="B4322" s="51" t="n">
        <v>45920</v>
      </c>
      <c r="C4322" s="50" t="s">
        <v>298</v>
      </c>
      <c r="D4322" s="50" t="s">
        <v>2179</v>
      </c>
      <c r="E4322" s="50" t="n">
        <v>5</v>
      </c>
      <c r="F4322" s="50" t="s">
        <v>2174</v>
      </c>
      <c r="G4322" s="54" t="n">
        <v>6147300</v>
      </c>
    </row>
    <row r="4323" customFormat="false" ht="15" hidden="false" customHeight="false" outlineLevel="0" collapsed="false">
      <c r="A4323" s="50" t="s">
        <v>1526</v>
      </c>
      <c r="B4323" s="51" t="n">
        <v>45920</v>
      </c>
      <c r="C4323" s="50" t="s">
        <v>962</v>
      </c>
      <c r="D4323" s="50" t="s">
        <v>2184</v>
      </c>
      <c r="E4323" s="50" t="n">
        <v>7</v>
      </c>
      <c r="F4323" s="50" t="s">
        <v>2167</v>
      </c>
      <c r="G4323" s="54" t="n">
        <v>4061600</v>
      </c>
    </row>
    <row r="4324" customFormat="false" ht="15" hidden="false" customHeight="false" outlineLevel="0" collapsed="false">
      <c r="A4324" s="50" t="s">
        <v>1526</v>
      </c>
      <c r="B4324" s="51" t="n">
        <v>45920</v>
      </c>
      <c r="C4324" s="50" t="s">
        <v>962</v>
      </c>
      <c r="D4324" s="50" t="s">
        <v>2186</v>
      </c>
      <c r="E4324" s="50" t="n">
        <v>7</v>
      </c>
      <c r="F4324" s="50" t="s">
        <v>2167</v>
      </c>
      <c r="G4324" s="54" t="n">
        <v>4234300</v>
      </c>
    </row>
    <row r="4325" customFormat="false" ht="15" hidden="false" customHeight="false" outlineLevel="0" collapsed="false">
      <c r="A4325" s="50" t="s">
        <v>1526</v>
      </c>
      <c r="B4325" s="51" t="n">
        <v>45920</v>
      </c>
      <c r="C4325" s="50" t="s">
        <v>962</v>
      </c>
      <c r="D4325" s="50" t="s">
        <v>2181</v>
      </c>
      <c r="E4325" s="50" t="n">
        <v>5</v>
      </c>
      <c r="F4325" s="50" t="s">
        <v>2167</v>
      </c>
      <c r="G4325" s="54" t="n">
        <v>5934100</v>
      </c>
    </row>
    <row r="4326" customFormat="false" ht="15" hidden="false" customHeight="false" outlineLevel="0" collapsed="false">
      <c r="A4326" s="50" t="s">
        <v>1526</v>
      </c>
      <c r="B4326" s="51" t="n">
        <v>45920</v>
      </c>
      <c r="C4326" s="50" t="s">
        <v>962</v>
      </c>
      <c r="D4326" s="50" t="s">
        <v>2169</v>
      </c>
      <c r="E4326" s="50" t="n">
        <v>8</v>
      </c>
      <c r="F4326" s="50" t="s">
        <v>2167</v>
      </c>
      <c r="G4326" s="54" t="n">
        <v>5085500</v>
      </c>
    </row>
    <row r="4327" customFormat="false" ht="15" hidden="false" customHeight="false" outlineLevel="0" collapsed="false">
      <c r="A4327" s="50" t="s">
        <v>1527</v>
      </c>
      <c r="B4327" s="51" t="n">
        <v>45920</v>
      </c>
      <c r="C4327" s="50" t="s">
        <v>1099</v>
      </c>
      <c r="D4327" s="50" t="s">
        <v>2169</v>
      </c>
      <c r="E4327" s="50" t="n">
        <v>4</v>
      </c>
      <c r="F4327" s="50" t="s">
        <v>2167</v>
      </c>
      <c r="G4327" s="54" t="n">
        <v>2508200</v>
      </c>
    </row>
    <row r="4328" customFormat="false" ht="15" hidden="false" customHeight="false" outlineLevel="0" collapsed="false">
      <c r="A4328" s="50" t="s">
        <v>1527</v>
      </c>
      <c r="B4328" s="51" t="n">
        <v>45920</v>
      </c>
      <c r="C4328" s="50" t="s">
        <v>1099</v>
      </c>
      <c r="D4328" s="50" t="s">
        <v>2186</v>
      </c>
      <c r="E4328" s="50" t="n">
        <v>5</v>
      </c>
      <c r="F4328" s="50" t="s">
        <v>2167</v>
      </c>
      <c r="G4328" s="54" t="n">
        <v>3060100</v>
      </c>
    </row>
    <row r="4329" customFormat="false" ht="15" hidden="false" customHeight="false" outlineLevel="0" collapsed="false">
      <c r="A4329" s="50" t="s">
        <v>1527</v>
      </c>
      <c r="B4329" s="51" t="n">
        <v>45920</v>
      </c>
      <c r="C4329" s="50" t="s">
        <v>1099</v>
      </c>
      <c r="D4329" s="50" t="s">
        <v>2173</v>
      </c>
      <c r="E4329" s="50" t="n">
        <v>3</v>
      </c>
      <c r="F4329" s="50" t="s">
        <v>2174</v>
      </c>
      <c r="G4329" s="54" t="n">
        <v>2393600</v>
      </c>
    </row>
    <row r="4330" customFormat="false" ht="15" hidden="false" customHeight="false" outlineLevel="0" collapsed="false">
      <c r="A4330" s="50" t="s">
        <v>1528</v>
      </c>
      <c r="B4330" s="51" t="n">
        <v>45920</v>
      </c>
      <c r="C4330" s="50" t="s">
        <v>315</v>
      </c>
      <c r="D4330" s="50" t="s">
        <v>2180</v>
      </c>
      <c r="E4330" s="50" t="n">
        <v>8</v>
      </c>
      <c r="F4330" s="50" t="s">
        <v>2167</v>
      </c>
      <c r="G4330" s="54" t="n">
        <v>3575000</v>
      </c>
    </row>
    <row r="4331" customFormat="false" ht="15" hidden="false" customHeight="false" outlineLevel="0" collapsed="false">
      <c r="A4331" s="50" t="s">
        <v>1529</v>
      </c>
      <c r="B4331" s="51" t="n">
        <v>45920</v>
      </c>
      <c r="C4331" s="50" t="s">
        <v>403</v>
      </c>
      <c r="D4331" s="50" t="s">
        <v>2170</v>
      </c>
      <c r="E4331" s="50" t="n">
        <v>2</v>
      </c>
      <c r="F4331" s="50" t="s">
        <v>2171</v>
      </c>
      <c r="G4331" s="54" t="n">
        <v>14774300</v>
      </c>
    </row>
    <row r="4332" customFormat="false" ht="15" hidden="false" customHeight="false" outlineLevel="0" collapsed="false">
      <c r="A4332" s="50" t="s">
        <v>1529</v>
      </c>
      <c r="B4332" s="51" t="n">
        <v>45920</v>
      </c>
      <c r="C4332" s="50" t="s">
        <v>403</v>
      </c>
      <c r="D4332" s="50" t="s">
        <v>2168</v>
      </c>
      <c r="E4332" s="50" t="n">
        <v>1</v>
      </c>
      <c r="F4332" s="50" t="s">
        <v>2167</v>
      </c>
      <c r="G4332" s="54" t="n">
        <v>445300</v>
      </c>
    </row>
    <row r="4333" customFormat="false" ht="15" hidden="false" customHeight="false" outlineLevel="0" collapsed="false">
      <c r="A4333" s="50" t="s">
        <v>1529</v>
      </c>
      <c r="B4333" s="51" t="n">
        <v>45920</v>
      </c>
      <c r="C4333" s="50" t="s">
        <v>403</v>
      </c>
      <c r="D4333" s="50" t="s">
        <v>2185</v>
      </c>
      <c r="E4333" s="50" t="n">
        <v>7</v>
      </c>
      <c r="F4333" s="50" t="s">
        <v>2174</v>
      </c>
      <c r="G4333" s="54" t="n">
        <v>5248300</v>
      </c>
    </row>
    <row r="4334" customFormat="false" ht="15" hidden="false" customHeight="false" outlineLevel="0" collapsed="false">
      <c r="A4334" s="50" t="s">
        <v>1530</v>
      </c>
      <c r="B4334" s="51" t="n">
        <v>45920</v>
      </c>
      <c r="C4334" s="50" t="s">
        <v>223</v>
      </c>
      <c r="D4334" s="50" t="s">
        <v>2175</v>
      </c>
      <c r="E4334" s="50" t="n">
        <v>8</v>
      </c>
      <c r="F4334" s="50" t="s">
        <v>2167</v>
      </c>
      <c r="G4334" s="54" t="n">
        <v>5286400</v>
      </c>
    </row>
    <row r="4335" customFormat="false" ht="15" hidden="false" customHeight="false" outlineLevel="0" collapsed="false">
      <c r="A4335" s="50" t="s">
        <v>1530</v>
      </c>
      <c r="B4335" s="51" t="n">
        <v>45920</v>
      </c>
      <c r="C4335" s="50" t="s">
        <v>223</v>
      </c>
      <c r="D4335" s="50" t="s">
        <v>2187</v>
      </c>
      <c r="E4335" s="50" t="n">
        <v>8</v>
      </c>
      <c r="F4335" s="50" t="s">
        <v>2167</v>
      </c>
      <c r="G4335" s="54" t="n">
        <v>2854100</v>
      </c>
    </row>
    <row r="4336" customFormat="false" ht="15" hidden="false" customHeight="false" outlineLevel="0" collapsed="false">
      <c r="A4336" s="50" t="s">
        <v>1530</v>
      </c>
      <c r="B4336" s="51" t="n">
        <v>45920</v>
      </c>
      <c r="C4336" s="50" t="s">
        <v>223</v>
      </c>
      <c r="D4336" s="50" t="s">
        <v>2173</v>
      </c>
      <c r="E4336" s="50" t="n">
        <v>6</v>
      </c>
      <c r="F4336" s="50" t="s">
        <v>2174</v>
      </c>
      <c r="G4336" s="54" t="n">
        <v>4608200</v>
      </c>
    </row>
    <row r="4337" customFormat="false" ht="15" hidden="false" customHeight="false" outlineLevel="0" collapsed="false">
      <c r="A4337" s="50" t="s">
        <v>1530</v>
      </c>
      <c r="B4337" s="51" t="n">
        <v>45920</v>
      </c>
      <c r="C4337" s="50" t="s">
        <v>223</v>
      </c>
      <c r="D4337" s="50" t="s">
        <v>2179</v>
      </c>
      <c r="E4337" s="50" t="n">
        <v>7</v>
      </c>
      <c r="F4337" s="50" t="s">
        <v>2174</v>
      </c>
      <c r="G4337" s="54" t="n">
        <v>9006800</v>
      </c>
    </row>
    <row r="4338" customFormat="false" ht="15" hidden="false" customHeight="false" outlineLevel="0" collapsed="false">
      <c r="A4338" s="50" t="s">
        <v>1531</v>
      </c>
      <c r="B4338" s="51" t="n">
        <v>45922</v>
      </c>
      <c r="C4338" s="50" t="s">
        <v>403</v>
      </c>
      <c r="D4338" s="50" t="s">
        <v>2188</v>
      </c>
      <c r="E4338" s="50" t="n">
        <v>4</v>
      </c>
      <c r="F4338" s="50" t="s">
        <v>2167</v>
      </c>
      <c r="G4338" s="54" t="n">
        <v>3962700</v>
      </c>
    </row>
    <row r="4339" customFormat="false" ht="15" hidden="false" customHeight="false" outlineLevel="0" collapsed="false">
      <c r="A4339" s="50" t="s">
        <v>1532</v>
      </c>
      <c r="B4339" s="51" t="n">
        <v>45922</v>
      </c>
      <c r="C4339" s="50" t="s">
        <v>174</v>
      </c>
      <c r="D4339" s="50" t="s">
        <v>2178</v>
      </c>
      <c r="E4339" s="50" t="n">
        <v>3</v>
      </c>
      <c r="F4339" s="50" t="s">
        <v>2167</v>
      </c>
      <c r="G4339" s="54" t="n">
        <v>1437700</v>
      </c>
    </row>
    <row r="4340" customFormat="false" ht="15" hidden="false" customHeight="false" outlineLevel="0" collapsed="false">
      <c r="A4340" s="50" t="s">
        <v>1532</v>
      </c>
      <c r="B4340" s="51" t="n">
        <v>45922</v>
      </c>
      <c r="C4340" s="50" t="s">
        <v>174</v>
      </c>
      <c r="D4340" s="50" t="s">
        <v>2173</v>
      </c>
      <c r="E4340" s="50" t="n">
        <v>8</v>
      </c>
      <c r="F4340" s="50" t="s">
        <v>2174</v>
      </c>
      <c r="G4340" s="54" t="n">
        <v>6356100</v>
      </c>
    </row>
    <row r="4341" customFormat="false" ht="15" hidden="false" customHeight="false" outlineLevel="0" collapsed="false">
      <c r="A4341" s="50" t="s">
        <v>1532</v>
      </c>
      <c r="B4341" s="51" t="n">
        <v>45922</v>
      </c>
      <c r="C4341" s="50" t="s">
        <v>174</v>
      </c>
      <c r="D4341" s="50" t="s">
        <v>2184</v>
      </c>
      <c r="E4341" s="50" t="n">
        <v>5</v>
      </c>
      <c r="F4341" s="50" t="s">
        <v>2167</v>
      </c>
      <c r="G4341" s="54" t="n">
        <v>2849800</v>
      </c>
    </row>
    <row r="4342" customFormat="false" ht="15" hidden="false" customHeight="false" outlineLevel="0" collapsed="false">
      <c r="A4342" s="50" t="s">
        <v>1532</v>
      </c>
      <c r="B4342" s="51" t="n">
        <v>45922</v>
      </c>
      <c r="C4342" s="50" t="s">
        <v>174</v>
      </c>
      <c r="D4342" s="50" t="s">
        <v>2185</v>
      </c>
      <c r="E4342" s="50" t="n">
        <v>5</v>
      </c>
      <c r="F4342" s="50" t="s">
        <v>2174</v>
      </c>
      <c r="G4342" s="54" t="n">
        <v>4018500</v>
      </c>
    </row>
    <row r="4343" customFormat="false" ht="15" hidden="false" customHeight="false" outlineLevel="0" collapsed="false">
      <c r="A4343" s="50" t="s">
        <v>1532</v>
      </c>
      <c r="B4343" s="51" t="n">
        <v>45922</v>
      </c>
      <c r="C4343" s="50" t="s">
        <v>174</v>
      </c>
      <c r="D4343" s="50" t="s">
        <v>2180</v>
      </c>
      <c r="E4343" s="50" t="n">
        <v>2</v>
      </c>
      <c r="F4343" s="50" t="s">
        <v>2167</v>
      </c>
      <c r="G4343" s="54" t="n">
        <v>906400</v>
      </c>
    </row>
    <row r="4344" customFormat="false" ht="15" hidden="false" customHeight="false" outlineLevel="0" collapsed="false">
      <c r="A4344" s="50" t="s">
        <v>1532</v>
      </c>
      <c r="B4344" s="51" t="n">
        <v>45922</v>
      </c>
      <c r="C4344" s="50" t="s">
        <v>174</v>
      </c>
      <c r="D4344" s="50" t="s">
        <v>2169</v>
      </c>
      <c r="E4344" s="50" t="n">
        <v>8</v>
      </c>
      <c r="F4344" s="50" t="s">
        <v>2167</v>
      </c>
      <c r="G4344" s="54" t="n">
        <v>5032300</v>
      </c>
    </row>
    <row r="4345" customFormat="false" ht="15" hidden="false" customHeight="false" outlineLevel="0" collapsed="false">
      <c r="A4345" s="50" t="s">
        <v>1533</v>
      </c>
      <c r="B4345" s="51" t="n">
        <v>45922</v>
      </c>
      <c r="C4345" s="50" t="s">
        <v>766</v>
      </c>
      <c r="D4345" s="50" t="s">
        <v>2177</v>
      </c>
      <c r="E4345" s="50" t="n">
        <v>3</v>
      </c>
      <c r="F4345" s="50" t="s">
        <v>2174</v>
      </c>
      <c r="G4345" s="54" t="n">
        <v>3259900</v>
      </c>
    </row>
    <row r="4346" customFormat="false" ht="15" hidden="false" customHeight="false" outlineLevel="0" collapsed="false">
      <c r="A4346" s="50" t="s">
        <v>1533</v>
      </c>
      <c r="B4346" s="51" t="n">
        <v>45922</v>
      </c>
      <c r="C4346" s="50" t="s">
        <v>766</v>
      </c>
      <c r="D4346" s="50" t="s">
        <v>2181</v>
      </c>
      <c r="E4346" s="50" t="n">
        <v>2</v>
      </c>
      <c r="F4346" s="50" t="s">
        <v>2167</v>
      </c>
      <c r="G4346" s="54" t="n">
        <v>2254500</v>
      </c>
    </row>
    <row r="4347" customFormat="false" ht="15" hidden="false" customHeight="false" outlineLevel="0" collapsed="false">
      <c r="A4347" s="50" t="s">
        <v>1534</v>
      </c>
      <c r="B4347" s="51" t="n">
        <v>45922</v>
      </c>
      <c r="C4347" s="50" t="s">
        <v>271</v>
      </c>
      <c r="D4347" s="50" t="s">
        <v>2175</v>
      </c>
      <c r="E4347" s="50" t="n">
        <v>6</v>
      </c>
      <c r="F4347" s="50" t="s">
        <v>2167</v>
      </c>
      <c r="G4347" s="54" t="n">
        <v>3693600</v>
      </c>
    </row>
    <row r="4348" customFormat="false" ht="15" hidden="false" customHeight="false" outlineLevel="0" collapsed="false">
      <c r="A4348" s="50" t="s">
        <v>1534</v>
      </c>
      <c r="B4348" s="51" t="n">
        <v>45922</v>
      </c>
      <c r="C4348" s="50" t="s">
        <v>271</v>
      </c>
      <c r="D4348" s="50" t="s">
        <v>2188</v>
      </c>
      <c r="E4348" s="50" t="n">
        <v>5</v>
      </c>
      <c r="F4348" s="50" t="s">
        <v>2167</v>
      </c>
      <c r="G4348" s="54" t="n">
        <v>5052500</v>
      </c>
    </row>
    <row r="4349" customFormat="false" ht="15" hidden="false" customHeight="false" outlineLevel="0" collapsed="false">
      <c r="A4349" s="50" t="s">
        <v>1534</v>
      </c>
      <c r="B4349" s="51" t="n">
        <v>45922</v>
      </c>
      <c r="C4349" s="50" t="s">
        <v>271</v>
      </c>
      <c r="D4349" s="50" t="s">
        <v>2173</v>
      </c>
      <c r="E4349" s="50" t="n">
        <v>2</v>
      </c>
      <c r="F4349" s="50" t="s">
        <v>2174</v>
      </c>
      <c r="G4349" s="54" t="n">
        <v>1581500</v>
      </c>
    </row>
    <row r="4350" customFormat="false" ht="15" hidden="false" customHeight="false" outlineLevel="0" collapsed="false">
      <c r="A4350" s="50" t="s">
        <v>1534</v>
      </c>
      <c r="B4350" s="51" t="n">
        <v>45922</v>
      </c>
      <c r="C4350" s="50" t="s">
        <v>271</v>
      </c>
      <c r="D4350" s="50" t="s">
        <v>2180</v>
      </c>
      <c r="E4350" s="50" t="n">
        <v>5</v>
      </c>
      <c r="F4350" s="50" t="s">
        <v>2167</v>
      </c>
      <c r="G4350" s="54" t="n">
        <v>2247200</v>
      </c>
    </row>
    <row r="4351" customFormat="false" ht="15" hidden="false" customHeight="false" outlineLevel="0" collapsed="false">
      <c r="A4351" s="50" t="s">
        <v>1535</v>
      </c>
      <c r="B4351" s="51" t="n">
        <v>45923</v>
      </c>
      <c r="C4351" s="50" t="s">
        <v>228</v>
      </c>
      <c r="D4351" s="50" t="s">
        <v>2176</v>
      </c>
      <c r="E4351" s="50" t="n">
        <v>7</v>
      </c>
      <c r="F4351" s="50" t="s">
        <v>2167</v>
      </c>
      <c r="G4351" s="54" t="n">
        <v>2851600</v>
      </c>
    </row>
    <row r="4352" customFormat="false" ht="15" hidden="false" customHeight="false" outlineLevel="0" collapsed="false">
      <c r="A4352" s="50" t="s">
        <v>1536</v>
      </c>
      <c r="B4352" s="51" t="n">
        <v>45923</v>
      </c>
      <c r="C4352" s="50" t="s">
        <v>505</v>
      </c>
      <c r="D4352" s="50" t="s">
        <v>2182</v>
      </c>
      <c r="E4352" s="50" t="n">
        <v>3</v>
      </c>
      <c r="F4352" s="50" t="s">
        <v>2174</v>
      </c>
      <c r="G4352" s="54" t="n">
        <v>2858800</v>
      </c>
    </row>
    <row r="4353" customFormat="false" ht="15" hidden="false" customHeight="false" outlineLevel="0" collapsed="false">
      <c r="A4353" s="50" t="s">
        <v>1536</v>
      </c>
      <c r="B4353" s="51" t="n">
        <v>45923</v>
      </c>
      <c r="C4353" s="50" t="s">
        <v>505</v>
      </c>
      <c r="D4353" s="50" t="s">
        <v>2170</v>
      </c>
      <c r="E4353" s="50" t="n">
        <v>2</v>
      </c>
      <c r="F4353" s="50" t="s">
        <v>2171</v>
      </c>
      <c r="G4353" s="54" t="n">
        <v>15071100</v>
      </c>
    </row>
    <row r="4354" customFormat="false" ht="15" hidden="false" customHeight="false" outlineLevel="0" collapsed="false">
      <c r="A4354" s="50" t="s">
        <v>1536</v>
      </c>
      <c r="B4354" s="51" t="n">
        <v>45923</v>
      </c>
      <c r="C4354" s="50" t="s">
        <v>505</v>
      </c>
      <c r="D4354" s="50" t="s">
        <v>2169</v>
      </c>
      <c r="E4354" s="50" t="n">
        <v>7</v>
      </c>
      <c r="F4354" s="50" t="s">
        <v>2167</v>
      </c>
      <c r="G4354" s="54" t="n">
        <v>4447900</v>
      </c>
    </row>
    <row r="4355" customFormat="false" ht="15" hidden="false" customHeight="false" outlineLevel="0" collapsed="false">
      <c r="A4355" s="50" t="s">
        <v>1536</v>
      </c>
      <c r="B4355" s="51" t="n">
        <v>45923</v>
      </c>
      <c r="C4355" s="50" t="s">
        <v>505</v>
      </c>
      <c r="D4355" s="50" t="s">
        <v>2185</v>
      </c>
      <c r="E4355" s="50" t="n">
        <v>6</v>
      </c>
      <c r="F4355" s="50" t="s">
        <v>2174</v>
      </c>
      <c r="G4355" s="54" t="n">
        <v>4782900</v>
      </c>
    </row>
    <row r="4356" customFormat="false" ht="15" hidden="false" customHeight="false" outlineLevel="0" collapsed="false">
      <c r="A4356" s="50" t="s">
        <v>1536</v>
      </c>
      <c r="B4356" s="51" t="n">
        <v>45923</v>
      </c>
      <c r="C4356" s="50" t="s">
        <v>505</v>
      </c>
      <c r="D4356" s="50" t="s">
        <v>2168</v>
      </c>
      <c r="E4356" s="50" t="n">
        <v>3</v>
      </c>
      <c r="F4356" s="50" t="s">
        <v>2167</v>
      </c>
      <c r="G4356" s="54" t="n">
        <v>1307700</v>
      </c>
    </row>
    <row r="4357" customFormat="false" ht="15" hidden="false" customHeight="false" outlineLevel="0" collapsed="false">
      <c r="A4357" s="50" t="s">
        <v>1537</v>
      </c>
      <c r="B4357" s="51" t="n">
        <v>45923</v>
      </c>
      <c r="C4357" s="50" t="s">
        <v>193</v>
      </c>
      <c r="D4357" s="50" t="s">
        <v>2186</v>
      </c>
      <c r="E4357" s="50" t="n">
        <v>5</v>
      </c>
      <c r="F4357" s="50" t="s">
        <v>2167</v>
      </c>
      <c r="G4357" s="54" t="n">
        <v>2979000</v>
      </c>
    </row>
    <row r="4358" customFormat="false" ht="15" hidden="false" customHeight="false" outlineLevel="0" collapsed="false">
      <c r="A4358" s="50" t="s">
        <v>1538</v>
      </c>
      <c r="B4358" s="51" t="n">
        <v>45923</v>
      </c>
      <c r="C4358" s="50" t="s">
        <v>174</v>
      </c>
      <c r="D4358" s="50" t="s">
        <v>2173</v>
      </c>
      <c r="E4358" s="50" t="n">
        <v>1</v>
      </c>
      <c r="F4358" s="50" t="s">
        <v>2174</v>
      </c>
      <c r="G4358" s="54" t="n">
        <v>788600</v>
      </c>
    </row>
    <row r="4359" customFormat="false" ht="15" hidden="false" customHeight="false" outlineLevel="0" collapsed="false">
      <c r="A4359" s="50" t="s">
        <v>1538</v>
      </c>
      <c r="B4359" s="51" t="n">
        <v>45923</v>
      </c>
      <c r="C4359" s="50" t="s">
        <v>174</v>
      </c>
      <c r="D4359" s="50" t="s">
        <v>2180</v>
      </c>
      <c r="E4359" s="50" t="n">
        <v>3</v>
      </c>
      <c r="F4359" s="50" t="s">
        <v>2167</v>
      </c>
      <c r="G4359" s="54" t="n">
        <v>1296200</v>
      </c>
    </row>
    <row r="4360" customFormat="false" ht="15" hidden="false" customHeight="false" outlineLevel="0" collapsed="false">
      <c r="A4360" s="50" t="s">
        <v>1539</v>
      </c>
      <c r="B4360" s="51" t="n">
        <v>45924</v>
      </c>
      <c r="C4360" s="50" t="s">
        <v>166</v>
      </c>
      <c r="D4360" s="50" t="s">
        <v>2175</v>
      </c>
      <c r="E4360" s="50" t="n">
        <v>5</v>
      </c>
      <c r="F4360" s="50" t="s">
        <v>2167</v>
      </c>
      <c r="G4360" s="54" t="n">
        <v>3140400</v>
      </c>
    </row>
    <row r="4361" customFormat="false" ht="15" hidden="false" customHeight="false" outlineLevel="0" collapsed="false">
      <c r="A4361" s="50" t="s">
        <v>1540</v>
      </c>
      <c r="B4361" s="51" t="n">
        <v>45924</v>
      </c>
      <c r="C4361" s="50" t="s">
        <v>284</v>
      </c>
      <c r="D4361" s="50" t="s">
        <v>2179</v>
      </c>
      <c r="E4361" s="50" t="n">
        <v>5</v>
      </c>
      <c r="F4361" s="50" t="s">
        <v>2174</v>
      </c>
      <c r="G4361" s="54" t="n">
        <v>6243500</v>
      </c>
    </row>
    <row r="4362" customFormat="false" ht="15" hidden="false" customHeight="false" outlineLevel="0" collapsed="false">
      <c r="A4362" s="50" t="s">
        <v>1540</v>
      </c>
      <c r="B4362" s="51" t="n">
        <v>45924</v>
      </c>
      <c r="C4362" s="50" t="s">
        <v>284</v>
      </c>
      <c r="D4362" s="50" t="s">
        <v>2187</v>
      </c>
      <c r="E4362" s="50" t="n">
        <v>3</v>
      </c>
      <c r="F4362" s="50" t="s">
        <v>2167</v>
      </c>
      <c r="G4362" s="54" t="n">
        <v>1042900</v>
      </c>
    </row>
    <row r="4363" customFormat="false" ht="15" hidden="false" customHeight="false" outlineLevel="0" collapsed="false">
      <c r="A4363" s="50" t="s">
        <v>1540</v>
      </c>
      <c r="B4363" s="51" t="n">
        <v>45924</v>
      </c>
      <c r="C4363" s="50" t="s">
        <v>284</v>
      </c>
      <c r="D4363" s="50" t="s">
        <v>2186</v>
      </c>
      <c r="E4363" s="50" t="n">
        <v>7</v>
      </c>
      <c r="F4363" s="50" t="s">
        <v>2167</v>
      </c>
      <c r="G4363" s="54" t="n">
        <v>4146200</v>
      </c>
    </row>
    <row r="4364" customFormat="false" ht="15" hidden="false" customHeight="false" outlineLevel="0" collapsed="false">
      <c r="A4364" s="50" t="s">
        <v>1540</v>
      </c>
      <c r="B4364" s="51" t="n">
        <v>45924</v>
      </c>
      <c r="C4364" s="50" t="s">
        <v>284</v>
      </c>
      <c r="D4364" s="50" t="s">
        <v>2169</v>
      </c>
      <c r="E4364" s="50" t="n">
        <v>8</v>
      </c>
      <c r="F4364" s="50" t="s">
        <v>2167</v>
      </c>
      <c r="G4364" s="54" t="n">
        <v>4806900</v>
      </c>
    </row>
    <row r="4365" customFormat="false" ht="15" hidden="false" customHeight="false" outlineLevel="0" collapsed="false">
      <c r="A4365" s="50" t="s">
        <v>1540</v>
      </c>
      <c r="B4365" s="51" t="n">
        <v>45924</v>
      </c>
      <c r="C4365" s="50" t="s">
        <v>284</v>
      </c>
      <c r="D4365" s="50" t="s">
        <v>2176</v>
      </c>
      <c r="E4365" s="50" t="n">
        <v>6</v>
      </c>
      <c r="F4365" s="50" t="s">
        <v>2167</v>
      </c>
      <c r="G4365" s="54" t="n">
        <v>2424100</v>
      </c>
    </row>
    <row r="4366" customFormat="false" ht="15" hidden="false" customHeight="false" outlineLevel="0" collapsed="false">
      <c r="A4366" s="50" t="s">
        <v>1540</v>
      </c>
      <c r="B4366" s="51" t="n">
        <v>45924</v>
      </c>
      <c r="C4366" s="50" t="s">
        <v>284</v>
      </c>
      <c r="D4366" s="50" t="s">
        <v>2178</v>
      </c>
      <c r="E4366" s="50" t="n">
        <v>4</v>
      </c>
      <c r="F4366" s="50" t="s">
        <v>2167</v>
      </c>
      <c r="G4366" s="54" t="n">
        <v>1859100</v>
      </c>
    </row>
    <row r="4367" customFormat="false" ht="15" hidden="false" customHeight="false" outlineLevel="0" collapsed="false">
      <c r="A4367" s="50" t="s">
        <v>1541</v>
      </c>
      <c r="B4367" s="51" t="n">
        <v>45924</v>
      </c>
      <c r="C4367" s="50" t="s">
        <v>293</v>
      </c>
      <c r="D4367" s="50" t="s">
        <v>2176</v>
      </c>
      <c r="E4367" s="50" t="n">
        <v>3</v>
      </c>
      <c r="F4367" s="50" t="s">
        <v>2167</v>
      </c>
      <c r="G4367" s="54" t="n">
        <v>1241200</v>
      </c>
    </row>
    <row r="4368" customFormat="false" ht="15" hidden="false" customHeight="false" outlineLevel="0" collapsed="false">
      <c r="A4368" s="50" t="s">
        <v>1541</v>
      </c>
      <c r="B4368" s="51" t="n">
        <v>45924</v>
      </c>
      <c r="C4368" s="50" t="s">
        <v>293</v>
      </c>
      <c r="D4368" s="50" t="s">
        <v>2186</v>
      </c>
      <c r="E4368" s="50" t="n">
        <v>5</v>
      </c>
      <c r="F4368" s="50" t="s">
        <v>2167</v>
      </c>
      <c r="G4368" s="54" t="n">
        <v>2849400</v>
      </c>
    </row>
    <row r="4369" customFormat="false" ht="15" hidden="false" customHeight="false" outlineLevel="0" collapsed="false">
      <c r="A4369" s="50" t="s">
        <v>1541</v>
      </c>
      <c r="B4369" s="51" t="n">
        <v>45924</v>
      </c>
      <c r="C4369" s="50" t="s">
        <v>293</v>
      </c>
      <c r="D4369" s="50" t="s">
        <v>2180</v>
      </c>
      <c r="E4369" s="50" t="n">
        <v>5</v>
      </c>
      <c r="F4369" s="50" t="s">
        <v>2167</v>
      </c>
      <c r="G4369" s="54" t="n">
        <v>2172400</v>
      </c>
    </row>
    <row r="4370" customFormat="false" ht="15" hidden="false" customHeight="false" outlineLevel="0" collapsed="false">
      <c r="A4370" s="50" t="s">
        <v>1541</v>
      </c>
      <c r="B4370" s="51" t="n">
        <v>45924</v>
      </c>
      <c r="C4370" s="50" t="s">
        <v>293</v>
      </c>
      <c r="D4370" s="50" t="s">
        <v>2179</v>
      </c>
      <c r="E4370" s="50" t="n">
        <v>3</v>
      </c>
      <c r="F4370" s="50" t="s">
        <v>2174</v>
      </c>
      <c r="G4370" s="54" t="n">
        <v>3831200</v>
      </c>
    </row>
    <row r="4371" customFormat="false" ht="15" hidden="false" customHeight="false" outlineLevel="0" collapsed="false">
      <c r="A4371" s="50" t="s">
        <v>1542</v>
      </c>
      <c r="B4371" s="51" t="n">
        <v>45924</v>
      </c>
      <c r="C4371" s="50" t="s">
        <v>284</v>
      </c>
      <c r="D4371" s="50" t="s">
        <v>2180</v>
      </c>
      <c r="E4371" s="50" t="n">
        <v>1</v>
      </c>
      <c r="F4371" s="50" t="s">
        <v>2167</v>
      </c>
      <c r="G4371" s="54" t="n">
        <v>447100</v>
      </c>
    </row>
    <row r="4372" customFormat="false" ht="15" hidden="false" customHeight="false" outlineLevel="0" collapsed="false">
      <c r="A4372" s="50" t="s">
        <v>1542</v>
      </c>
      <c r="B4372" s="51" t="n">
        <v>45924</v>
      </c>
      <c r="C4372" s="50" t="s">
        <v>284</v>
      </c>
      <c r="D4372" s="50" t="s">
        <v>2170</v>
      </c>
      <c r="E4372" s="50" t="n">
        <v>2</v>
      </c>
      <c r="F4372" s="50" t="s">
        <v>2171</v>
      </c>
      <c r="G4372" s="54" t="n">
        <v>14799800</v>
      </c>
    </row>
    <row r="4373" customFormat="false" ht="15" hidden="false" customHeight="false" outlineLevel="0" collapsed="false">
      <c r="A4373" s="50" t="s">
        <v>1542</v>
      </c>
      <c r="B4373" s="51" t="n">
        <v>45924</v>
      </c>
      <c r="C4373" s="50" t="s">
        <v>284</v>
      </c>
      <c r="D4373" s="50" t="s">
        <v>2175</v>
      </c>
      <c r="E4373" s="50" t="n">
        <v>7</v>
      </c>
      <c r="F4373" s="50" t="s">
        <v>2167</v>
      </c>
      <c r="G4373" s="54" t="n">
        <v>4471400</v>
      </c>
    </row>
    <row r="4374" customFormat="false" ht="15" hidden="false" customHeight="false" outlineLevel="0" collapsed="false">
      <c r="A4374" s="50" t="s">
        <v>1542</v>
      </c>
      <c r="B4374" s="51" t="n">
        <v>45924</v>
      </c>
      <c r="C4374" s="50" t="s">
        <v>284</v>
      </c>
      <c r="D4374" s="50" t="s">
        <v>2172</v>
      </c>
      <c r="E4374" s="50" t="n">
        <v>1</v>
      </c>
      <c r="F4374" s="50" t="s">
        <v>2167</v>
      </c>
      <c r="G4374" s="54" t="n">
        <v>530800</v>
      </c>
    </row>
    <row r="4375" customFormat="false" ht="15" hidden="false" customHeight="false" outlineLevel="0" collapsed="false">
      <c r="A4375" s="50" t="s">
        <v>1542</v>
      </c>
      <c r="B4375" s="51" t="n">
        <v>45924</v>
      </c>
      <c r="C4375" s="50" t="s">
        <v>284</v>
      </c>
      <c r="D4375" s="50" t="s">
        <v>2178</v>
      </c>
      <c r="E4375" s="50" t="n">
        <v>8</v>
      </c>
      <c r="F4375" s="50" t="s">
        <v>2167</v>
      </c>
      <c r="G4375" s="54" t="n">
        <v>3765300</v>
      </c>
    </row>
    <row r="4376" customFormat="false" ht="15" hidden="false" customHeight="false" outlineLevel="0" collapsed="false">
      <c r="A4376" s="50" t="s">
        <v>1542</v>
      </c>
      <c r="B4376" s="51" t="n">
        <v>45924</v>
      </c>
      <c r="C4376" s="50" t="s">
        <v>284</v>
      </c>
      <c r="D4376" s="50" t="s">
        <v>2188</v>
      </c>
      <c r="E4376" s="50" t="n">
        <v>1</v>
      </c>
      <c r="F4376" s="50" t="s">
        <v>2167</v>
      </c>
      <c r="G4376" s="54" t="n">
        <v>948700</v>
      </c>
    </row>
    <row r="4377" customFormat="false" ht="15" hidden="false" customHeight="false" outlineLevel="0" collapsed="false">
      <c r="A4377" s="50" t="s">
        <v>1542</v>
      </c>
      <c r="B4377" s="51" t="n">
        <v>45924</v>
      </c>
      <c r="C4377" s="50" t="s">
        <v>284</v>
      </c>
      <c r="D4377" s="50" t="s">
        <v>2181</v>
      </c>
      <c r="E4377" s="50" t="n">
        <v>5</v>
      </c>
      <c r="F4377" s="50" t="s">
        <v>2167</v>
      </c>
      <c r="G4377" s="54" t="n">
        <v>5527400</v>
      </c>
    </row>
    <row r="4378" customFormat="false" ht="15" hidden="false" customHeight="false" outlineLevel="0" collapsed="false">
      <c r="A4378" s="50" t="s">
        <v>1543</v>
      </c>
      <c r="B4378" s="51" t="n">
        <v>45924</v>
      </c>
      <c r="C4378" s="50" t="s">
        <v>256</v>
      </c>
      <c r="D4378" s="50" t="s">
        <v>2186</v>
      </c>
      <c r="E4378" s="50" t="n">
        <v>1</v>
      </c>
      <c r="F4378" s="50" t="s">
        <v>2167</v>
      </c>
      <c r="G4378" s="54" t="n">
        <v>611900</v>
      </c>
    </row>
    <row r="4379" customFormat="false" ht="15" hidden="false" customHeight="false" outlineLevel="0" collapsed="false">
      <c r="A4379" s="50" t="s">
        <v>1543</v>
      </c>
      <c r="B4379" s="51" t="n">
        <v>45924</v>
      </c>
      <c r="C4379" s="50" t="s">
        <v>256</v>
      </c>
      <c r="D4379" s="50" t="s">
        <v>2187</v>
      </c>
      <c r="E4379" s="50" t="n">
        <v>6</v>
      </c>
      <c r="F4379" s="50" t="s">
        <v>2167</v>
      </c>
      <c r="G4379" s="54" t="n">
        <v>2142000</v>
      </c>
    </row>
    <row r="4380" customFormat="false" ht="15" hidden="false" customHeight="false" outlineLevel="0" collapsed="false">
      <c r="A4380" s="50" t="s">
        <v>1543</v>
      </c>
      <c r="B4380" s="51" t="n">
        <v>45924</v>
      </c>
      <c r="C4380" s="50" t="s">
        <v>256</v>
      </c>
      <c r="D4380" s="50" t="s">
        <v>2178</v>
      </c>
      <c r="E4380" s="50" t="n">
        <v>5</v>
      </c>
      <c r="F4380" s="50" t="s">
        <v>2167</v>
      </c>
      <c r="G4380" s="54" t="n">
        <v>2362800</v>
      </c>
    </row>
    <row r="4381" customFormat="false" ht="15" hidden="false" customHeight="false" outlineLevel="0" collapsed="false">
      <c r="A4381" s="50" t="s">
        <v>1543</v>
      </c>
      <c r="B4381" s="51" t="n">
        <v>45924</v>
      </c>
      <c r="C4381" s="50" t="s">
        <v>256</v>
      </c>
      <c r="D4381" s="50" t="s">
        <v>2179</v>
      </c>
      <c r="E4381" s="50" t="n">
        <v>4</v>
      </c>
      <c r="F4381" s="50" t="s">
        <v>2174</v>
      </c>
      <c r="G4381" s="54" t="n">
        <v>5064700</v>
      </c>
    </row>
    <row r="4382" customFormat="false" ht="15" hidden="false" customHeight="false" outlineLevel="0" collapsed="false">
      <c r="A4382" s="50" t="s">
        <v>1544</v>
      </c>
      <c r="B4382" s="51" t="n">
        <v>45924</v>
      </c>
      <c r="C4382" s="50" t="s">
        <v>354</v>
      </c>
      <c r="D4382" s="50" t="s">
        <v>2180</v>
      </c>
      <c r="E4382" s="50" t="n">
        <v>4</v>
      </c>
      <c r="F4382" s="50" t="s">
        <v>2167</v>
      </c>
      <c r="G4382" s="54" t="n">
        <v>1737100</v>
      </c>
    </row>
    <row r="4383" customFormat="false" ht="15" hidden="false" customHeight="false" outlineLevel="0" collapsed="false">
      <c r="A4383" s="50" t="s">
        <v>1544</v>
      </c>
      <c r="B4383" s="51" t="n">
        <v>45924</v>
      </c>
      <c r="C4383" s="50" t="s">
        <v>354</v>
      </c>
      <c r="D4383" s="50" t="s">
        <v>2184</v>
      </c>
      <c r="E4383" s="50" t="n">
        <v>4</v>
      </c>
      <c r="F4383" s="50" t="s">
        <v>2167</v>
      </c>
      <c r="G4383" s="54" t="n">
        <v>2289400</v>
      </c>
    </row>
    <row r="4384" customFormat="false" ht="15" hidden="false" customHeight="false" outlineLevel="0" collapsed="false">
      <c r="A4384" s="50" t="s">
        <v>1544</v>
      </c>
      <c r="B4384" s="51" t="n">
        <v>45924</v>
      </c>
      <c r="C4384" s="50" t="s">
        <v>354</v>
      </c>
      <c r="D4384" s="50" t="s">
        <v>2177</v>
      </c>
      <c r="E4384" s="50" t="n">
        <v>5</v>
      </c>
      <c r="F4384" s="50" t="s">
        <v>2174</v>
      </c>
      <c r="G4384" s="54" t="n">
        <v>5426400</v>
      </c>
    </row>
    <row r="4385" customFormat="false" ht="15" hidden="false" customHeight="false" outlineLevel="0" collapsed="false">
      <c r="A4385" s="50" t="s">
        <v>1544</v>
      </c>
      <c r="B4385" s="51" t="n">
        <v>45924</v>
      </c>
      <c r="C4385" s="50" t="s">
        <v>354</v>
      </c>
      <c r="D4385" s="50" t="s">
        <v>2169</v>
      </c>
      <c r="E4385" s="50" t="n">
        <v>1</v>
      </c>
      <c r="F4385" s="50" t="s">
        <v>2167</v>
      </c>
      <c r="G4385" s="54" t="n">
        <v>636800</v>
      </c>
    </row>
    <row r="4386" customFormat="false" ht="15" hidden="false" customHeight="false" outlineLevel="0" collapsed="false">
      <c r="A4386" s="50" t="s">
        <v>1545</v>
      </c>
      <c r="B4386" s="51" t="n">
        <v>45925</v>
      </c>
      <c r="C4386" s="50" t="s">
        <v>179</v>
      </c>
      <c r="D4386" s="50" t="s">
        <v>2182</v>
      </c>
      <c r="E4386" s="50" t="n">
        <v>4</v>
      </c>
      <c r="F4386" s="50" t="s">
        <v>2174</v>
      </c>
      <c r="G4386" s="54" t="n">
        <v>3870300</v>
      </c>
    </row>
    <row r="4387" customFormat="false" ht="15" hidden="false" customHeight="false" outlineLevel="0" collapsed="false">
      <c r="A4387" s="50" t="s">
        <v>1546</v>
      </c>
      <c r="B4387" s="51" t="n">
        <v>45925</v>
      </c>
      <c r="C4387" s="50" t="s">
        <v>179</v>
      </c>
      <c r="D4387" s="50" t="s">
        <v>2168</v>
      </c>
      <c r="E4387" s="50" t="n">
        <v>8</v>
      </c>
      <c r="F4387" s="50" t="s">
        <v>2167</v>
      </c>
      <c r="G4387" s="54" t="n">
        <v>3455000</v>
      </c>
    </row>
    <row r="4388" customFormat="false" ht="15" hidden="false" customHeight="false" outlineLevel="0" collapsed="false">
      <c r="A4388" s="50" t="s">
        <v>1546</v>
      </c>
      <c r="B4388" s="51" t="n">
        <v>45925</v>
      </c>
      <c r="C4388" s="50" t="s">
        <v>179</v>
      </c>
      <c r="D4388" s="50" t="s">
        <v>2173</v>
      </c>
      <c r="E4388" s="50" t="n">
        <v>1</v>
      </c>
      <c r="F4388" s="50" t="s">
        <v>2174</v>
      </c>
      <c r="G4388" s="54" t="n">
        <v>768700</v>
      </c>
    </row>
    <row r="4389" customFormat="false" ht="15" hidden="false" customHeight="false" outlineLevel="0" collapsed="false">
      <c r="A4389" s="50" t="s">
        <v>1546</v>
      </c>
      <c r="B4389" s="51" t="n">
        <v>45925</v>
      </c>
      <c r="C4389" s="50" t="s">
        <v>179</v>
      </c>
      <c r="D4389" s="50" t="s">
        <v>2178</v>
      </c>
      <c r="E4389" s="50" t="n">
        <v>4</v>
      </c>
      <c r="F4389" s="50" t="s">
        <v>2167</v>
      </c>
      <c r="G4389" s="54" t="n">
        <v>1844900</v>
      </c>
    </row>
    <row r="4390" customFormat="false" ht="15" hidden="false" customHeight="false" outlineLevel="0" collapsed="false">
      <c r="A4390" s="50" t="s">
        <v>1546</v>
      </c>
      <c r="B4390" s="51" t="n">
        <v>45925</v>
      </c>
      <c r="C4390" s="50" t="s">
        <v>179</v>
      </c>
      <c r="D4390" s="50" t="s">
        <v>2176</v>
      </c>
      <c r="E4390" s="50" t="n">
        <v>7</v>
      </c>
      <c r="F4390" s="50" t="s">
        <v>2167</v>
      </c>
      <c r="G4390" s="54" t="n">
        <v>3012800</v>
      </c>
    </row>
    <row r="4391" customFormat="false" ht="15" hidden="false" customHeight="false" outlineLevel="0" collapsed="false">
      <c r="A4391" s="50" t="s">
        <v>1547</v>
      </c>
      <c r="B4391" s="51" t="n">
        <v>45925</v>
      </c>
      <c r="C4391" s="50" t="s">
        <v>289</v>
      </c>
      <c r="D4391" s="50" t="s">
        <v>2180</v>
      </c>
      <c r="E4391" s="50" t="n">
        <v>2</v>
      </c>
      <c r="F4391" s="50" t="s">
        <v>2167</v>
      </c>
      <c r="G4391" s="54" t="n">
        <v>935600</v>
      </c>
    </row>
    <row r="4392" customFormat="false" ht="15" hidden="false" customHeight="false" outlineLevel="0" collapsed="false">
      <c r="A4392" s="50" t="s">
        <v>1547</v>
      </c>
      <c r="B4392" s="51" t="n">
        <v>45925</v>
      </c>
      <c r="C4392" s="50" t="s">
        <v>289</v>
      </c>
      <c r="D4392" s="50" t="s">
        <v>2186</v>
      </c>
      <c r="E4392" s="50" t="n">
        <v>7</v>
      </c>
      <c r="F4392" s="50" t="s">
        <v>2167</v>
      </c>
      <c r="G4392" s="54" t="n">
        <v>4182500</v>
      </c>
    </row>
    <row r="4393" customFormat="false" ht="15" hidden="false" customHeight="false" outlineLevel="0" collapsed="false">
      <c r="A4393" s="50" t="s">
        <v>1547</v>
      </c>
      <c r="B4393" s="51" t="n">
        <v>45925</v>
      </c>
      <c r="C4393" s="50" t="s">
        <v>289</v>
      </c>
      <c r="D4393" s="50" t="s">
        <v>2184</v>
      </c>
      <c r="E4393" s="50" t="n">
        <v>2</v>
      </c>
      <c r="F4393" s="50" t="s">
        <v>2167</v>
      </c>
      <c r="G4393" s="54" t="n">
        <v>1099900</v>
      </c>
    </row>
    <row r="4394" customFormat="false" ht="15" hidden="false" customHeight="false" outlineLevel="0" collapsed="false">
      <c r="A4394" s="50" t="s">
        <v>1547</v>
      </c>
      <c r="B4394" s="51" t="n">
        <v>45925</v>
      </c>
      <c r="C4394" s="50" t="s">
        <v>289</v>
      </c>
      <c r="D4394" s="50" t="s">
        <v>2173</v>
      </c>
      <c r="E4394" s="50" t="n">
        <v>6</v>
      </c>
      <c r="F4394" s="50" t="s">
        <v>2174</v>
      </c>
      <c r="G4394" s="54" t="n">
        <v>4850000</v>
      </c>
    </row>
    <row r="4395" customFormat="false" ht="15" hidden="false" customHeight="false" outlineLevel="0" collapsed="false">
      <c r="A4395" s="50" t="s">
        <v>1548</v>
      </c>
      <c r="B4395" s="51" t="n">
        <v>45925</v>
      </c>
      <c r="C4395" s="50" t="s">
        <v>241</v>
      </c>
      <c r="D4395" s="50" t="s">
        <v>2185</v>
      </c>
      <c r="E4395" s="50" t="n">
        <v>8</v>
      </c>
      <c r="F4395" s="50" t="s">
        <v>2174</v>
      </c>
      <c r="G4395" s="54" t="n">
        <v>6084300</v>
      </c>
    </row>
    <row r="4396" customFormat="false" ht="15" hidden="false" customHeight="false" outlineLevel="0" collapsed="false">
      <c r="A4396" s="50" t="s">
        <v>1548</v>
      </c>
      <c r="B4396" s="51" t="n">
        <v>45925</v>
      </c>
      <c r="C4396" s="50" t="s">
        <v>241</v>
      </c>
      <c r="D4396" s="50" t="s">
        <v>2173</v>
      </c>
      <c r="E4396" s="50" t="n">
        <v>6</v>
      </c>
      <c r="F4396" s="50" t="s">
        <v>2174</v>
      </c>
      <c r="G4396" s="54" t="n">
        <v>4848400</v>
      </c>
    </row>
    <row r="4397" customFormat="false" ht="15" hidden="false" customHeight="false" outlineLevel="0" collapsed="false">
      <c r="A4397" s="50" t="s">
        <v>1548</v>
      </c>
      <c r="B4397" s="51" t="n">
        <v>45925</v>
      </c>
      <c r="C4397" s="50" t="s">
        <v>241</v>
      </c>
      <c r="D4397" s="50" t="s">
        <v>2188</v>
      </c>
      <c r="E4397" s="50" t="n">
        <v>2</v>
      </c>
      <c r="F4397" s="50" t="s">
        <v>2167</v>
      </c>
      <c r="G4397" s="54" t="n">
        <v>1911600</v>
      </c>
    </row>
    <row r="4398" customFormat="false" ht="15" hidden="false" customHeight="false" outlineLevel="0" collapsed="false">
      <c r="A4398" s="50" t="s">
        <v>1548</v>
      </c>
      <c r="B4398" s="51" t="n">
        <v>45925</v>
      </c>
      <c r="C4398" s="50" t="s">
        <v>241</v>
      </c>
      <c r="D4398" s="50" t="s">
        <v>2181</v>
      </c>
      <c r="E4398" s="50" t="n">
        <v>8</v>
      </c>
      <c r="F4398" s="50" t="s">
        <v>2167</v>
      </c>
      <c r="G4398" s="54" t="n">
        <v>8991800</v>
      </c>
    </row>
    <row r="4399" customFormat="false" ht="15" hidden="false" customHeight="false" outlineLevel="0" collapsed="false">
      <c r="A4399" s="50" t="s">
        <v>1548</v>
      </c>
      <c r="B4399" s="51" t="n">
        <v>45925</v>
      </c>
      <c r="C4399" s="50" t="s">
        <v>241</v>
      </c>
      <c r="D4399" s="50" t="s">
        <v>2176</v>
      </c>
      <c r="E4399" s="50" t="n">
        <v>7</v>
      </c>
      <c r="F4399" s="50" t="s">
        <v>2167</v>
      </c>
      <c r="G4399" s="54" t="n">
        <v>2910300</v>
      </c>
    </row>
    <row r="4400" customFormat="false" ht="15" hidden="false" customHeight="false" outlineLevel="0" collapsed="false">
      <c r="A4400" s="50" t="s">
        <v>1549</v>
      </c>
      <c r="B4400" s="51" t="n">
        <v>45925</v>
      </c>
      <c r="C4400" s="50" t="s">
        <v>197</v>
      </c>
      <c r="D4400" s="50" t="s">
        <v>2179</v>
      </c>
      <c r="E4400" s="50" t="n">
        <v>8</v>
      </c>
      <c r="F4400" s="50" t="s">
        <v>2174</v>
      </c>
      <c r="G4400" s="54" t="n">
        <v>9772000</v>
      </c>
    </row>
    <row r="4401" customFormat="false" ht="15" hidden="false" customHeight="false" outlineLevel="0" collapsed="false">
      <c r="A4401" s="50" t="s">
        <v>1549</v>
      </c>
      <c r="B4401" s="51" t="n">
        <v>45925</v>
      </c>
      <c r="C4401" s="50" t="s">
        <v>197</v>
      </c>
      <c r="D4401" s="50" t="s">
        <v>2177</v>
      </c>
      <c r="E4401" s="50" t="n">
        <v>4</v>
      </c>
      <c r="F4401" s="50" t="s">
        <v>2174</v>
      </c>
      <c r="G4401" s="54" t="n">
        <v>4526800</v>
      </c>
    </row>
    <row r="4402" customFormat="false" ht="15" hidden="false" customHeight="false" outlineLevel="0" collapsed="false">
      <c r="A4402" s="50" t="s">
        <v>1549</v>
      </c>
      <c r="B4402" s="51" t="n">
        <v>45925</v>
      </c>
      <c r="C4402" s="50" t="s">
        <v>197</v>
      </c>
      <c r="D4402" s="50" t="s">
        <v>2169</v>
      </c>
      <c r="E4402" s="50" t="n">
        <v>3</v>
      </c>
      <c r="F4402" s="50" t="s">
        <v>2167</v>
      </c>
      <c r="G4402" s="54" t="n">
        <v>1796800</v>
      </c>
    </row>
    <row r="4403" customFormat="false" ht="15" hidden="false" customHeight="false" outlineLevel="0" collapsed="false">
      <c r="A4403" s="50" t="s">
        <v>1550</v>
      </c>
      <c r="B4403" s="51" t="n">
        <v>45925</v>
      </c>
      <c r="C4403" s="50" t="s">
        <v>838</v>
      </c>
      <c r="D4403" s="50" t="s">
        <v>2184</v>
      </c>
      <c r="E4403" s="50" t="n">
        <v>7</v>
      </c>
      <c r="F4403" s="50" t="s">
        <v>2167</v>
      </c>
      <c r="G4403" s="54" t="n">
        <v>3851000</v>
      </c>
    </row>
    <row r="4404" customFormat="false" ht="15" hidden="false" customHeight="false" outlineLevel="0" collapsed="false">
      <c r="A4404" s="50" t="s">
        <v>1550</v>
      </c>
      <c r="B4404" s="51" t="n">
        <v>45925</v>
      </c>
      <c r="C4404" s="50" t="s">
        <v>838</v>
      </c>
      <c r="D4404" s="50" t="s">
        <v>2181</v>
      </c>
      <c r="E4404" s="50" t="n">
        <v>3</v>
      </c>
      <c r="F4404" s="50" t="s">
        <v>2167</v>
      </c>
      <c r="G4404" s="54" t="n">
        <v>3338900</v>
      </c>
    </row>
    <row r="4405" customFormat="false" ht="15" hidden="false" customHeight="false" outlineLevel="0" collapsed="false">
      <c r="A4405" s="50" t="s">
        <v>1550</v>
      </c>
      <c r="B4405" s="51" t="n">
        <v>45925</v>
      </c>
      <c r="C4405" s="50" t="s">
        <v>838</v>
      </c>
      <c r="D4405" s="50" t="s">
        <v>2185</v>
      </c>
      <c r="E4405" s="50" t="n">
        <v>3</v>
      </c>
      <c r="F4405" s="50" t="s">
        <v>2174</v>
      </c>
      <c r="G4405" s="54" t="n">
        <v>2359600</v>
      </c>
    </row>
    <row r="4406" customFormat="false" ht="15" hidden="false" customHeight="false" outlineLevel="0" collapsed="false">
      <c r="A4406" s="50" t="s">
        <v>1550</v>
      </c>
      <c r="B4406" s="51" t="n">
        <v>45925</v>
      </c>
      <c r="C4406" s="50" t="s">
        <v>838</v>
      </c>
      <c r="D4406" s="50" t="s">
        <v>2169</v>
      </c>
      <c r="E4406" s="50" t="n">
        <v>7</v>
      </c>
      <c r="F4406" s="50" t="s">
        <v>2167</v>
      </c>
      <c r="G4406" s="54" t="n">
        <v>4191800</v>
      </c>
    </row>
    <row r="4407" customFormat="false" ht="15" hidden="false" customHeight="false" outlineLevel="0" collapsed="false">
      <c r="A4407" s="50" t="s">
        <v>1550</v>
      </c>
      <c r="B4407" s="51" t="n">
        <v>45925</v>
      </c>
      <c r="C4407" s="50" t="s">
        <v>838</v>
      </c>
      <c r="D4407" s="50" t="s">
        <v>2178</v>
      </c>
      <c r="E4407" s="50" t="n">
        <v>5</v>
      </c>
      <c r="F4407" s="50" t="s">
        <v>2167</v>
      </c>
      <c r="G4407" s="54" t="n">
        <v>2326000</v>
      </c>
    </row>
    <row r="4408" customFormat="false" ht="15" hidden="false" customHeight="false" outlineLevel="0" collapsed="false">
      <c r="A4408" s="50" t="s">
        <v>1551</v>
      </c>
      <c r="B4408" s="51" t="n">
        <v>45925</v>
      </c>
      <c r="C4408" s="50" t="s">
        <v>243</v>
      </c>
      <c r="D4408" s="50" t="s">
        <v>2173</v>
      </c>
      <c r="E4408" s="50" t="n">
        <v>6</v>
      </c>
      <c r="F4408" s="50" t="s">
        <v>2174</v>
      </c>
      <c r="G4408" s="54" t="n">
        <v>4884400</v>
      </c>
    </row>
    <row r="4409" customFormat="false" ht="15" hidden="false" customHeight="false" outlineLevel="0" collapsed="false">
      <c r="A4409" s="50" t="s">
        <v>1551</v>
      </c>
      <c r="B4409" s="51" t="n">
        <v>45925</v>
      </c>
      <c r="C4409" s="50" t="s">
        <v>243</v>
      </c>
      <c r="D4409" s="50" t="s">
        <v>2176</v>
      </c>
      <c r="E4409" s="50" t="n">
        <v>2</v>
      </c>
      <c r="F4409" s="50" t="s">
        <v>2167</v>
      </c>
      <c r="G4409" s="54" t="n">
        <v>833500</v>
      </c>
    </row>
    <row r="4410" customFormat="false" ht="15" hidden="false" customHeight="false" outlineLevel="0" collapsed="false">
      <c r="A4410" s="50" t="s">
        <v>1552</v>
      </c>
      <c r="B4410" s="51" t="n">
        <v>45925</v>
      </c>
      <c r="C4410" s="50" t="s">
        <v>298</v>
      </c>
      <c r="D4410" s="50" t="s">
        <v>2184</v>
      </c>
      <c r="E4410" s="50" t="n">
        <v>6</v>
      </c>
      <c r="F4410" s="50" t="s">
        <v>2167</v>
      </c>
      <c r="G4410" s="54" t="n">
        <v>3443700</v>
      </c>
    </row>
    <row r="4411" customFormat="false" ht="15" hidden="false" customHeight="false" outlineLevel="0" collapsed="false">
      <c r="A4411" s="50" t="s">
        <v>1552</v>
      </c>
      <c r="B4411" s="51" t="n">
        <v>45925</v>
      </c>
      <c r="C4411" s="50" t="s">
        <v>298</v>
      </c>
      <c r="D4411" s="50" t="s">
        <v>2180</v>
      </c>
      <c r="E4411" s="50" t="n">
        <v>8</v>
      </c>
      <c r="F4411" s="50" t="s">
        <v>2167</v>
      </c>
      <c r="G4411" s="54" t="n">
        <v>3596900</v>
      </c>
    </row>
    <row r="4412" customFormat="false" ht="15" hidden="false" customHeight="false" outlineLevel="0" collapsed="false">
      <c r="A4412" s="50" t="s">
        <v>1552</v>
      </c>
      <c r="B4412" s="51" t="n">
        <v>45925</v>
      </c>
      <c r="C4412" s="50" t="s">
        <v>298</v>
      </c>
      <c r="D4412" s="50" t="s">
        <v>2185</v>
      </c>
      <c r="E4412" s="50" t="n">
        <v>4</v>
      </c>
      <c r="F4412" s="50" t="s">
        <v>2174</v>
      </c>
      <c r="G4412" s="54" t="n">
        <v>3094700</v>
      </c>
    </row>
    <row r="4413" customFormat="false" ht="15" hidden="false" customHeight="false" outlineLevel="0" collapsed="false">
      <c r="A4413" s="50" t="s">
        <v>1552</v>
      </c>
      <c r="B4413" s="51" t="n">
        <v>45925</v>
      </c>
      <c r="C4413" s="50" t="s">
        <v>298</v>
      </c>
      <c r="D4413" s="50" t="s">
        <v>2178</v>
      </c>
      <c r="E4413" s="50" t="n">
        <v>8</v>
      </c>
      <c r="F4413" s="50" t="s">
        <v>2167</v>
      </c>
      <c r="G4413" s="54" t="n">
        <v>3885500</v>
      </c>
    </row>
    <row r="4414" customFormat="false" ht="15" hidden="false" customHeight="false" outlineLevel="0" collapsed="false">
      <c r="A4414" s="50" t="s">
        <v>1552</v>
      </c>
      <c r="B4414" s="51" t="n">
        <v>45925</v>
      </c>
      <c r="C4414" s="50" t="s">
        <v>298</v>
      </c>
      <c r="D4414" s="50" t="s">
        <v>2172</v>
      </c>
      <c r="E4414" s="50" t="n">
        <v>7</v>
      </c>
      <c r="F4414" s="50" t="s">
        <v>2167</v>
      </c>
      <c r="G4414" s="54" t="n">
        <v>3674000</v>
      </c>
    </row>
    <row r="4415" customFormat="false" ht="15" hidden="false" customHeight="false" outlineLevel="0" collapsed="false">
      <c r="A4415" s="50" t="s">
        <v>1553</v>
      </c>
      <c r="B4415" s="51" t="n">
        <v>45926</v>
      </c>
      <c r="C4415" s="50" t="s">
        <v>228</v>
      </c>
      <c r="D4415" s="50" t="s">
        <v>2175</v>
      </c>
      <c r="E4415" s="50" t="n">
        <v>3</v>
      </c>
      <c r="F4415" s="50" t="s">
        <v>2167</v>
      </c>
      <c r="G4415" s="54" t="n">
        <v>1855400</v>
      </c>
    </row>
    <row r="4416" customFormat="false" ht="15" hidden="false" customHeight="false" outlineLevel="0" collapsed="false">
      <c r="A4416" s="50" t="s">
        <v>1553</v>
      </c>
      <c r="B4416" s="51" t="n">
        <v>45926</v>
      </c>
      <c r="C4416" s="50" t="s">
        <v>228</v>
      </c>
      <c r="D4416" s="50" t="s">
        <v>2183</v>
      </c>
      <c r="E4416" s="50" t="n">
        <v>6</v>
      </c>
      <c r="F4416" s="50" t="s">
        <v>2167</v>
      </c>
      <c r="G4416" s="54" t="n">
        <v>2262900</v>
      </c>
    </row>
    <row r="4417" customFormat="false" ht="15" hidden="false" customHeight="false" outlineLevel="0" collapsed="false">
      <c r="A4417" s="50" t="s">
        <v>1553</v>
      </c>
      <c r="B4417" s="51" t="n">
        <v>45926</v>
      </c>
      <c r="C4417" s="50" t="s">
        <v>228</v>
      </c>
      <c r="D4417" s="50" t="s">
        <v>2184</v>
      </c>
      <c r="E4417" s="50" t="n">
        <v>2</v>
      </c>
      <c r="F4417" s="50" t="s">
        <v>2167</v>
      </c>
      <c r="G4417" s="54" t="n">
        <v>1127000</v>
      </c>
    </row>
    <row r="4418" customFormat="false" ht="15" hidden="false" customHeight="false" outlineLevel="0" collapsed="false">
      <c r="A4418" s="50" t="s">
        <v>1554</v>
      </c>
      <c r="B4418" s="51" t="n">
        <v>45926</v>
      </c>
      <c r="C4418" s="50" t="s">
        <v>269</v>
      </c>
      <c r="D4418" s="50" t="s">
        <v>2186</v>
      </c>
      <c r="E4418" s="50" t="n">
        <v>6</v>
      </c>
      <c r="F4418" s="50" t="s">
        <v>2167</v>
      </c>
      <c r="G4418" s="54" t="n">
        <v>3467800</v>
      </c>
    </row>
    <row r="4419" customFormat="false" ht="15" hidden="false" customHeight="false" outlineLevel="0" collapsed="false">
      <c r="A4419" s="50" t="s">
        <v>1554</v>
      </c>
      <c r="B4419" s="51" t="n">
        <v>45926</v>
      </c>
      <c r="C4419" s="50" t="s">
        <v>269</v>
      </c>
      <c r="D4419" s="50" t="s">
        <v>2169</v>
      </c>
      <c r="E4419" s="50" t="n">
        <v>7</v>
      </c>
      <c r="F4419" s="50" t="s">
        <v>2167</v>
      </c>
      <c r="G4419" s="54" t="n">
        <v>4356500</v>
      </c>
    </row>
    <row r="4420" customFormat="false" ht="15" hidden="false" customHeight="false" outlineLevel="0" collapsed="false">
      <c r="A4420" s="50" t="s">
        <v>1554</v>
      </c>
      <c r="B4420" s="51" t="n">
        <v>45926</v>
      </c>
      <c r="C4420" s="50" t="s">
        <v>269</v>
      </c>
      <c r="D4420" s="50" t="s">
        <v>2177</v>
      </c>
      <c r="E4420" s="50" t="n">
        <v>4</v>
      </c>
      <c r="F4420" s="50" t="s">
        <v>2174</v>
      </c>
      <c r="G4420" s="54" t="n">
        <v>4377800</v>
      </c>
    </row>
    <row r="4421" customFormat="false" ht="15" hidden="false" customHeight="false" outlineLevel="0" collapsed="false">
      <c r="A4421" s="50" t="s">
        <v>1554</v>
      </c>
      <c r="B4421" s="51" t="n">
        <v>45926</v>
      </c>
      <c r="C4421" s="50" t="s">
        <v>269</v>
      </c>
      <c r="D4421" s="50" t="s">
        <v>2179</v>
      </c>
      <c r="E4421" s="50" t="n">
        <v>4</v>
      </c>
      <c r="F4421" s="50" t="s">
        <v>2174</v>
      </c>
      <c r="G4421" s="54" t="n">
        <v>4875400</v>
      </c>
    </row>
    <row r="4422" customFormat="false" ht="15" hidden="false" customHeight="false" outlineLevel="0" collapsed="false">
      <c r="A4422" s="50" t="s">
        <v>1555</v>
      </c>
      <c r="B4422" s="51" t="n">
        <v>45926</v>
      </c>
      <c r="C4422" s="50" t="s">
        <v>475</v>
      </c>
      <c r="D4422" s="50" t="s">
        <v>2178</v>
      </c>
      <c r="E4422" s="50" t="n">
        <v>5</v>
      </c>
      <c r="F4422" s="50" t="s">
        <v>2167</v>
      </c>
      <c r="G4422" s="54" t="n">
        <v>2355200</v>
      </c>
    </row>
    <row r="4423" customFormat="false" ht="15" hidden="false" customHeight="false" outlineLevel="0" collapsed="false">
      <c r="A4423" s="50" t="s">
        <v>1555</v>
      </c>
      <c r="B4423" s="51" t="n">
        <v>45926</v>
      </c>
      <c r="C4423" s="50" t="s">
        <v>475</v>
      </c>
      <c r="D4423" s="50" t="s">
        <v>2186</v>
      </c>
      <c r="E4423" s="50" t="n">
        <v>4</v>
      </c>
      <c r="F4423" s="50" t="s">
        <v>2167</v>
      </c>
      <c r="G4423" s="54" t="n">
        <v>2434200</v>
      </c>
    </row>
    <row r="4424" customFormat="false" ht="15" hidden="false" customHeight="false" outlineLevel="0" collapsed="false">
      <c r="A4424" s="50" t="s">
        <v>1555</v>
      </c>
      <c r="B4424" s="51" t="n">
        <v>45926</v>
      </c>
      <c r="C4424" s="50" t="s">
        <v>475</v>
      </c>
      <c r="D4424" s="50" t="s">
        <v>2179</v>
      </c>
      <c r="E4424" s="50" t="n">
        <v>4</v>
      </c>
      <c r="F4424" s="50" t="s">
        <v>2174</v>
      </c>
      <c r="G4424" s="54" t="n">
        <v>4909100</v>
      </c>
    </row>
    <row r="4425" customFormat="false" ht="15" hidden="false" customHeight="false" outlineLevel="0" collapsed="false">
      <c r="A4425" s="50" t="s">
        <v>1555</v>
      </c>
      <c r="B4425" s="51" t="n">
        <v>45926</v>
      </c>
      <c r="C4425" s="50" t="s">
        <v>475</v>
      </c>
      <c r="D4425" s="50" t="s">
        <v>2172</v>
      </c>
      <c r="E4425" s="50" t="n">
        <v>2</v>
      </c>
      <c r="F4425" s="50" t="s">
        <v>2167</v>
      </c>
      <c r="G4425" s="54" t="n">
        <v>999700</v>
      </c>
    </row>
    <row r="4426" customFormat="false" ht="15" hidden="false" customHeight="false" outlineLevel="0" collapsed="false">
      <c r="A4426" s="50" t="s">
        <v>1555</v>
      </c>
      <c r="B4426" s="51" t="n">
        <v>45926</v>
      </c>
      <c r="C4426" s="50" t="s">
        <v>475</v>
      </c>
      <c r="D4426" s="50" t="s">
        <v>2183</v>
      </c>
      <c r="E4426" s="50" t="n">
        <v>5</v>
      </c>
      <c r="F4426" s="50" t="s">
        <v>2167</v>
      </c>
      <c r="G4426" s="54" t="n">
        <v>1907600</v>
      </c>
    </row>
    <row r="4427" customFormat="false" ht="15" hidden="false" customHeight="false" outlineLevel="0" collapsed="false">
      <c r="A4427" s="50" t="s">
        <v>1555</v>
      </c>
      <c r="B4427" s="51" t="n">
        <v>45926</v>
      </c>
      <c r="C4427" s="50" t="s">
        <v>475</v>
      </c>
      <c r="D4427" s="50" t="s">
        <v>2180</v>
      </c>
      <c r="E4427" s="50" t="n">
        <v>7</v>
      </c>
      <c r="F4427" s="50" t="s">
        <v>2167</v>
      </c>
      <c r="G4427" s="54" t="n">
        <v>3043000</v>
      </c>
    </row>
    <row r="4428" customFormat="false" ht="15" hidden="false" customHeight="false" outlineLevel="0" collapsed="false">
      <c r="A4428" s="50" t="s">
        <v>1556</v>
      </c>
      <c r="B4428" s="51" t="n">
        <v>45927</v>
      </c>
      <c r="C4428" s="50" t="s">
        <v>174</v>
      </c>
      <c r="D4428" s="50" t="s">
        <v>2180</v>
      </c>
      <c r="E4428" s="50" t="n">
        <v>4</v>
      </c>
      <c r="F4428" s="50" t="s">
        <v>2167</v>
      </c>
      <c r="G4428" s="54" t="n">
        <v>1749400</v>
      </c>
    </row>
    <row r="4429" customFormat="false" ht="15" hidden="false" customHeight="false" outlineLevel="0" collapsed="false">
      <c r="A4429" s="50" t="s">
        <v>1556</v>
      </c>
      <c r="B4429" s="51" t="n">
        <v>45927</v>
      </c>
      <c r="C4429" s="50" t="s">
        <v>174</v>
      </c>
      <c r="D4429" s="50" t="s">
        <v>2185</v>
      </c>
      <c r="E4429" s="50" t="n">
        <v>8</v>
      </c>
      <c r="F4429" s="50" t="s">
        <v>2174</v>
      </c>
      <c r="G4429" s="54" t="n">
        <v>5996800</v>
      </c>
    </row>
    <row r="4430" customFormat="false" ht="15" hidden="false" customHeight="false" outlineLevel="0" collapsed="false">
      <c r="A4430" s="50" t="s">
        <v>1556</v>
      </c>
      <c r="B4430" s="51" t="n">
        <v>45927</v>
      </c>
      <c r="C4430" s="50" t="s">
        <v>174</v>
      </c>
      <c r="D4430" s="50" t="s">
        <v>2186</v>
      </c>
      <c r="E4430" s="50" t="n">
        <v>5</v>
      </c>
      <c r="F4430" s="50" t="s">
        <v>2167</v>
      </c>
      <c r="G4430" s="54" t="n">
        <v>2834600</v>
      </c>
    </row>
    <row r="4431" customFormat="false" ht="15" hidden="false" customHeight="false" outlineLevel="0" collapsed="false">
      <c r="A4431" s="50" t="s">
        <v>1557</v>
      </c>
      <c r="B4431" s="51" t="n">
        <v>45927</v>
      </c>
      <c r="C4431" s="50" t="s">
        <v>199</v>
      </c>
      <c r="D4431" s="50" t="s">
        <v>2181</v>
      </c>
      <c r="E4431" s="50" t="n">
        <v>6</v>
      </c>
      <c r="F4431" s="50" t="s">
        <v>2167</v>
      </c>
      <c r="G4431" s="54" t="n">
        <v>7059400</v>
      </c>
    </row>
    <row r="4432" customFormat="false" ht="15" hidden="false" customHeight="false" outlineLevel="0" collapsed="false">
      <c r="A4432" s="50" t="s">
        <v>1557</v>
      </c>
      <c r="B4432" s="51" t="n">
        <v>45927</v>
      </c>
      <c r="C4432" s="50" t="s">
        <v>199</v>
      </c>
      <c r="D4432" s="50" t="s">
        <v>2180</v>
      </c>
      <c r="E4432" s="50" t="n">
        <v>2</v>
      </c>
      <c r="F4432" s="50" t="s">
        <v>2167</v>
      </c>
      <c r="G4432" s="54" t="n">
        <v>898100</v>
      </c>
    </row>
    <row r="4433" customFormat="false" ht="15" hidden="false" customHeight="false" outlineLevel="0" collapsed="false">
      <c r="A4433" s="50" t="s">
        <v>1557</v>
      </c>
      <c r="B4433" s="51" t="n">
        <v>45927</v>
      </c>
      <c r="C4433" s="50" t="s">
        <v>199</v>
      </c>
      <c r="D4433" s="50" t="s">
        <v>2176</v>
      </c>
      <c r="E4433" s="50" t="n">
        <v>6</v>
      </c>
      <c r="F4433" s="50" t="s">
        <v>2167</v>
      </c>
      <c r="G4433" s="54" t="n">
        <v>2517200</v>
      </c>
    </row>
    <row r="4434" customFormat="false" ht="15" hidden="false" customHeight="false" outlineLevel="0" collapsed="false">
      <c r="A4434" s="50" t="s">
        <v>1557</v>
      </c>
      <c r="B4434" s="51" t="n">
        <v>45927</v>
      </c>
      <c r="C4434" s="50" t="s">
        <v>199</v>
      </c>
      <c r="D4434" s="50" t="s">
        <v>2183</v>
      </c>
      <c r="E4434" s="50" t="n">
        <v>7</v>
      </c>
      <c r="F4434" s="50" t="s">
        <v>2167</v>
      </c>
      <c r="G4434" s="54" t="n">
        <v>2650500</v>
      </c>
    </row>
    <row r="4435" customFormat="false" ht="15" hidden="false" customHeight="false" outlineLevel="0" collapsed="false">
      <c r="A4435" s="50" t="s">
        <v>1558</v>
      </c>
      <c r="B4435" s="51" t="n">
        <v>45927</v>
      </c>
      <c r="C4435" s="50" t="s">
        <v>232</v>
      </c>
      <c r="D4435" s="50" t="s">
        <v>2180</v>
      </c>
      <c r="E4435" s="50" t="n">
        <v>3</v>
      </c>
      <c r="F4435" s="50" t="s">
        <v>2167</v>
      </c>
      <c r="G4435" s="54" t="n">
        <v>1316800</v>
      </c>
    </row>
    <row r="4436" customFormat="false" ht="15" hidden="false" customHeight="false" outlineLevel="0" collapsed="false">
      <c r="A4436" s="50" t="s">
        <v>1558</v>
      </c>
      <c r="B4436" s="51" t="n">
        <v>45927</v>
      </c>
      <c r="C4436" s="50" t="s">
        <v>232</v>
      </c>
      <c r="D4436" s="50" t="s">
        <v>2176</v>
      </c>
      <c r="E4436" s="50" t="n">
        <v>8</v>
      </c>
      <c r="F4436" s="50" t="s">
        <v>2167</v>
      </c>
      <c r="G4436" s="54" t="n">
        <v>3375900</v>
      </c>
    </row>
    <row r="4437" customFormat="false" ht="15" hidden="false" customHeight="false" outlineLevel="0" collapsed="false">
      <c r="A4437" s="50" t="s">
        <v>1559</v>
      </c>
      <c r="B4437" s="51" t="n">
        <v>45927</v>
      </c>
      <c r="C4437" s="50" t="s">
        <v>205</v>
      </c>
      <c r="D4437" s="50" t="s">
        <v>2179</v>
      </c>
      <c r="E4437" s="50" t="n">
        <v>8</v>
      </c>
      <c r="F4437" s="50" t="s">
        <v>2174</v>
      </c>
      <c r="G4437" s="54" t="n">
        <v>10323000</v>
      </c>
    </row>
    <row r="4438" customFormat="false" ht="15" hidden="false" customHeight="false" outlineLevel="0" collapsed="false">
      <c r="A4438" s="50" t="s">
        <v>1559</v>
      </c>
      <c r="B4438" s="51" t="n">
        <v>45927</v>
      </c>
      <c r="C4438" s="50" t="s">
        <v>205</v>
      </c>
      <c r="D4438" s="50" t="s">
        <v>2187</v>
      </c>
      <c r="E4438" s="50" t="n">
        <v>2</v>
      </c>
      <c r="F4438" s="50" t="s">
        <v>2167</v>
      </c>
      <c r="G4438" s="54" t="n">
        <v>705300</v>
      </c>
    </row>
    <row r="4439" customFormat="false" ht="15" hidden="false" customHeight="false" outlineLevel="0" collapsed="false">
      <c r="A4439" s="50" t="s">
        <v>1559</v>
      </c>
      <c r="B4439" s="51" t="n">
        <v>45927</v>
      </c>
      <c r="C4439" s="50" t="s">
        <v>205</v>
      </c>
      <c r="D4439" s="50" t="s">
        <v>2180</v>
      </c>
      <c r="E4439" s="50" t="n">
        <v>2</v>
      </c>
      <c r="F4439" s="50" t="s">
        <v>2167</v>
      </c>
      <c r="G4439" s="54" t="n">
        <v>925900</v>
      </c>
    </row>
    <row r="4440" customFormat="false" ht="15" hidden="false" customHeight="false" outlineLevel="0" collapsed="false">
      <c r="A4440" s="50" t="s">
        <v>1559</v>
      </c>
      <c r="B4440" s="51" t="n">
        <v>45927</v>
      </c>
      <c r="C4440" s="50" t="s">
        <v>205</v>
      </c>
      <c r="D4440" s="50" t="s">
        <v>2176</v>
      </c>
      <c r="E4440" s="50" t="n">
        <v>1</v>
      </c>
      <c r="F4440" s="50" t="s">
        <v>2167</v>
      </c>
      <c r="G4440" s="54" t="n">
        <v>418500</v>
      </c>
    </row>
    <row r="4441" customFormat="false" ht="15" hidden="false" customHeight="false" outlineLevel="0" collapsed="false">
      <c r="A4441" s="50" t="s">
        <v>1559</v>
      </c>
      <c r="B4441" s="51" t="n">
        <v>45927</v>
      </c>
      <c r="C4441" s="50" t="s">
        <v>205</v>
      </c>
      <c r="D4441" s="50" t="s">
        <v>2178</v>
      </c>
      <c r="E4441" s="50" t="n">
        <v>3</v>
      </c>
      <c r="F4441" s="50" t="s">
        <v>2167</v>
      </c>
      <c r="G4441" s="54" t="n">
        <v>1425300</v>
      </c>
    </row>
    <row r="4442" customFormat="false" ht="15" hidden="false" customHeight="false" outlineLevel="0" collapsed="false">
      <c r="A4442" s="50" t="s">
        <v>1559</v>
      </c>
      <c r="B4442" s="51" t="n">
        <v>45927</v>
      </c>
      <c r="C4442" s="50" t="s">
        <v>205</v>
      </c>
      <c r="D4442" s="50" t="s">
        <v>2182</v>
      </c>
      <c r="E4442" s="50" t="n">
        <v>1</v>
      </c>
      <c r="F4442" s="50" t="s">
        <v>2174</v>
      </c>
      <c r="G4442" s="54" t="n">
        <v>927400</v>
      </c>
    </row>
    <row r="4443" customFormat="false" ht="15" hidden="false" customHeight="false" outlineLevel="0" collapsed="false">
      <c r="A4443" s="50" t="s">
        <v>1560</v>
      </c>
      <c r="B4443" s="51" t="n">
        <v>45927</v>
      </c>
      <c r="C4443" s="50" t="s">
        <v>207</v>
      </c>
      <c r="D4443" s="50" t="s">
        <v>2183</v>
      </c>
      <c r="E4443" s="50" t="n">
        <v>1</v>
      </c>
      <c r="F4443" s="50" t="s">
        <v>2167</v>
      </c>
      <c r="G4443" s="54" t="n">
        <v>386600</v>
      </c>
    </row>
    <row r="4444" customFormat="false" ht="15" hidden="false" customHeight="false" outlineLevel="0" collapsed="false">
      <c r="A4444" s="50" t="s">
        <v>1560</v>
      </c>
      <c r="B4444" s="51" t="n">
        <v>45927</v>
      </c>
      <c r="C4444" s="50" t="s">
        <v>207</v>
      </c>
      <c r="D4444" s="50" t="s">
        <v>2172</v>
      </c>
      <c r="E4444" s="50" t="n">
        <v>3</v>
      </c>
      <c r="F4444" s="50" t="s">
        <v>2167</v>
      </c>
      <c r="G4444" s="54" t="n">
        <v>1582300</v>
      </c>
    </row>
    <row r="4445" customFormat="false" ht="15" hidden="false" customHeight="false" outlineLevel="0" collapsed="false">
      <c r="A4445" s="50" t="s">
        <v>1560</v>
      </c>
      <c r="B4445" s="51" t="n">
        <v>45927</v>
      </c>
      <c r="C4445" s="50" t="s">
        <v>207</v>
      </c>
      <c r="D4445" s="50" t="s">
        <v>2181</v>
      </c>
      <c r="E4445" s="50" t="n">
        <v>1</v>
      </c>
      <c r="F4445" s="50" t="s">
        <v>2167</v>
      </c>
      <c r="G4445" s="54" t="n">
        <v>1119800</v>
      </c>
    </row>
    <row r="4446" customFormat="false" ht="15" hidden="false" customHeight="false" outlineLevel="0" collapsed="false">
      <c r="A4446" s="50" t="s">
        <v>1561</v>
      </c>
      <c r="B4446" s="51" t="n">
        <v>45927</v>
      </c>
      <c r="C4446" s="50" t="s">
        <v>298</v>
      </c>
      <c r="D4446" s="50" t="s">
        <v>2176</v>
      </c>
      <c r="E4446" s="50" t="n">
        <v>7</v>
      </c>
      <c r="F4446" s="50" t="s">
        <v>2167</v>
      </c>
      <c r="G4446" s="54" t="n">
        <v>2881600</v>
      </c>
    </row>
    <row r="4447" customFormat="false" ht="15" hidden="false" customHeight="false" outlineLevel="0" collapsed="false">
      <c r="A4447" s="50" t="s">
        <v>1561</v>
      </c>
      <c r="B4447" s="51" t="n">
        <v>45927</v>
      </c>
      <c r="C4447" s="50" t="s">
        <v>298</v>
      </c>
      <c r="D4447" s="50" t="s">
        <v>2169</v>
      </c>
      <c r="E4447" s="50" t="n">
        <v>2</v>
      </c>
      <c r="F4447" s="50" t="s">
        <v>2167</v>
      </c>
      <c r="G4447" s="54" t="n">
        <v>1199400</v>
      </c>
    </row>
    <row r="4448" customFormat="false" ht="15" hidden="false" customHeight="false" outlineLevel="0" collapsed="false">
      <c r="A4448" s="50" t="s">
        <v>1561</v>
      </c>
      <c r="B4448" s="51" t="n">
        <v>45927</v>
      </c>
      <c r="C4448" s="50" t="s">
        <v>298</v>
      </c>
      <c r="D4448" s="50" t="s">
        <v>2180</v>
      </c>
      <c r="E4448" s="50" t="n">
        <v>3</v>
      </c>
      <c r="F4448" s="50" t="s">
        <v>2167</v>
      </c>
      <c r="G4448" s="54" t="n">
        <v>1368700</v>
      </c>
    </row>
    <row r="4449" customFormat="false" ht="15" hidden="false" customHeight="false" outlineLevel="0" collapsed="false">
      <c r="A4449" s="50" t="s">
        <v>1561</v>
      </c>
      <c r="B4449" s="51" t="n">
        <v>45927</v>
      </c>
      <c r="C4449" s="50" t="s">
        <v>298</v>
      </c>
      <c r="D4449" s="50" t="s">
        <v>2178</v>
      </c>
      <c r="E4449" s="50" t="n">
        <v>6</v>
      </c>
      <c r="F4449" s="50" t="s">
        <v>2167</v>
      </c>
      <c r="G4449" s="54" t="n">
        <v>2933600</v>
      </c>
    </row>
    <row r="4450" customFormat="false" ht="15" hidden="false" customHeight="false" outlineLevel="0" collapsed="false">
      <c r="A4450" s="50" t="s">
        <v>1562</v>
      </c>
      <c r="B4450" s="51" t="n">
        <v>45929</v>
      </c>
      <c r="C4450" s="50" t="s">
        <v>199</v>
      </c>
      <c r="D4450" s="50" t="s">
        <v>2173</v>
      </c>
      <c r="E4450" s="50" t="n">
        <v>6</v>
      </c>
      <c r="F4450" s="50" t="s">
        <v>2174</v>
      </c>
      <c r="G4450" s="54" t="n">
        <v>4978500</v>
      </c>
    </row>
    <row r="4451" customFormat="false" ht="15" hidden="false" customHeight="false" outlineLevel="0" collapsed="false">
      <c r="A4451" s="50" t="s">
        <v>1562</v>
      </c>
      <c r="B4451" s="51" t="n">
        <v>45929</v>
      </c>
      <c r="C4451" s="50" t="s">
        <v>199</v>
      </c>
      <c r="D4451" s="50" t="s">
        <v>2186</v>
      </c>
      <c r="E4451" s="50" t="n">
        <v>1</v>
      </c>
      <c r="F4451" s="50" t="s">
        <v>2167</v>
      </c>
      <c r="G4451" s="54" t="n">
        <v>603800</v>
      </c>
    </row>
    <row r="4452" customFormat="false" ht="15" hidden="false" customHeight="false" outlineLevel="0" collapsed="false">
      <c r="A4452" s="50" t="s">
        <v>1562</v>
      </c>
      <c r="B4452" s="51" t="n">
        <v>45929</v>
      </c>
      <c r="C4452" s="50" t="s">
        <v>199</v>
      </c>
      <c r="D4452" s="50" t="s">
        <v>2184</v>
      </c>
      <c r="E4452" s="50" t="n">
        <v>1</v>
      </c>
      <c r="F4452" s="50" t="s">
        <v>2167</v>
      </c>
      <c r="G4452" s="54" t="n">
        <v>570900</v>
      </c>
    </row>
    <row r="4453" customFormat="false" ht="15" hidden="false" customHeight="false" outlineLevel="0" collapsed="false">
      <c r="A4453" s="50" t="s">
        <v>1563</v>
      </c>
      <c r="B4453" s="51" t="n">
        <v>45929</v>
      </c>
      <c r="C4453" s="50" t="s">
        <v>166</v>
      </c>
      <c r="D4453" s="50" t="s">
        <v>2183</v>
      </c>
      <c r="E4453" s="50" t="n">
        <v>7</v>
      </c>
      <c r="F4453" s="50" t="s">
        <v>2167</v>
      </c>
      <c r="G4453" s="54" t="n">
        <v>2749800</v>
      </c>
    </row>
    <row r="4454" customFormat="false" ht="15" hidden="false" customHeight="false" outlineLevel="0" collapsed="false">
      <c r="A4454" s="50" t="s">
        <v>1563</v>
      </c>
      <c r="B4454" s="51" t="n">
        <v>45929</v>
      </c>
      <c r="C4454" s="50" t="s">
        <v>166</v>
      </c>
      <c r="D4454" s="50" t="s">
        <v>2179</v>
      </c>
      <c r="E4454" s="50" t="n">
        <v>4</v>
      </c>
      <c r="F4454" s="50" t="s">
        <v>2174</v>
      </c>
      <c r="G4454" s="54" t="n">
        <v>5017700</v>
      </c>
    </row>
    <row r="4455" customFormat="false" ht="15" hidden="false" customHeight="false" outlineLevel="0" collapsed="false">
      <c r="A4455" s="50" t="s">
        <v>1563</v>
      </c>
      <c r="B4455" s="51" t="n">
        <v>45929</v>
      </c>
      <c r="C4455" s="50" t="s">
        <v>166</v>
      </c>
      <c r="D4455" s="50" t="s">
        <v>2170</v>
      </c>
      <c r="E4455" s="50" t="n">
        <v>2</v>
      </c>
      <c r="F4455" s="50" t="s">
        <v>2171</v>
      </c>
      <c r="G4455" s="54" t="n">
        <v>14702500</v>
      </c>
    </row>
    <row r="4456" customFormat="false" ht="15" hidden="false" customHeight="false" outlineLevel="0" collapsed="false">
      <c r="A4456" s="50" t="s">
        <v>1564</v>
      </c>
      <c r="B4456" s="51" t="n">
        <v>45929</v>
      </c>
      <c r="C4456" s="50" t="s">
        <v>358</v>
      </c>
      <c r="D4456" s="50" t="s">
        <v>2183</v>
      </c>
      <c r="E4456" s="50" t="n">
        <v>4</v>
      </c>
      <c r="F4456" s="50" t="s">
        <v>2167</v>
      </c>
      <c r="G4456" s="54" t="n">
        <v>1538900</v>
      </c>
    </row>
    <row r="4457" customFormat="false" ht="15" hidden="false" customHeight="false" outlineLevel="0" collapsed="false">
      <c r="A4457" s="50" t="s">
        <v>1564</v>
      </c>
      <c r="B4457" s="51" t="n">
        <v>45929</v>
      </c>
      <c r="C4457" s="50" t="s">
        <v>358</v>
      </c>
      <c r="D4457" s="50" t="s">
        <v>2168</v>
      </c>
      <c r="E4457" s="50" t="n">
        <v>4</v>
      </c>
      <c r="F4457" s="50" t="s">
        <v>2167</v>
      </c>
      <c r="G4457" s="54" t="n">
        <v>1669500</v>
      </c>
    </row>
    <row r="4458" customFormat="false" ht="15" hidden="false" customHeight="false" outlineLevel="0" collapsed="false">
      <c r="A4458" s="50" t="s">
        <v>1565</v>
      </c>
      <c r="B4458" s="51" t="n">
        <v>45929</v>
      </c>
      <c r="C4458" s="50" t="s">
        <v>505</v>
      </c>
      <c r="D4458" s="50" t="s">
        <v>2170</v>
      </c>
      <c r="E4458" s="50" t="n">
        <v>1</v>
      </c>
      <c r="F4458" s="50" t="s">
        <v>2171</v>
      </c>
      <c r="G4458" s="54" t="n">
        <v>7419100</v>
      </c>
    </row>
    <row r="4459" customFormat="false" ht="15" hidden="false" customHeight="false" outlineLevel="0" collapsed="false">
      <c r="A4459" s="50" t="s">
        <v>1565</v>
      </c>
      <c r="B4459" s="51" t="n">
        <v>45929</v>
      </c>
      <c r="C4459" s="50" t="s">
        <v>505</v>
      </c>
      <c r="D4459" s="50" t="s">
        <v>2181</v>
      </c>
      <c r="E4459" s="50" t="n">
        <v>5</v>
      </c>
      <c r="F4459" s="50" t="s">
        <v>2167</v>
      </c>
      <c r="G4459" s="54" t="n">
        <v>5814400</v>
      </c>
    </row>
    <row r="4460" customFormat="false" ht="15" hidden="false" customHeight="false" outlineLevel="0" collapsed="false">
      <c r="A4460" s="50" t="s">
        <v>1565</v>
      </c>
      <c r="B4460" s="51" t="n">
        <v>45929</v>
      </c>
      <c r="C4460" s="50" t="s">
        <v>505</v>
      </c>
      <c r="D4460" s="50" t="s">
        <v>2176</v>
      </c>
      <c r="E4460" s="50" t="n">
        <v>7</v>
      </c>
      <c r="F4460" s="50" t="s">
        <v>2167</v>
      </c>
      <c r="G4460" s="54" t="n">
        <v>3041800</v>
      </c>
    </row>
    <row r="4461" customFormat="false" ht="15" hidden="false" customHeight="false" outlineLevel="0" collapsed="false">
      <c r="A4461" s="50" t="s">
        <v>1566</v>
      </c>
      <c r="B4461" s="51" t="n">
        <v>45929</v>
      </c>
      <c r="C4461" s="50" t="s">
        <v>234</v>
      </c>
      <c r="D4461" s="50" t="s">
        <v>2182</v>
      </c>
      <c r="E4461" s="50" t="n">
        <v>4</v>
      </c>
      <c r="F4461" s="50" t="s">
        <v>2174</v>
      </c>
      <c r="G4461" s="54" t="n">
        <v>3829000</v>
      </c>
    </row>
    <row r="4462" customFormat="false" ht="15" hidden="false" customHeight="false" outlineLevel="0" collapsed="false">
      <c r="A4462" s="50" t="s">
        <v>1566</v>
      </c>
      <c r="B4462" s="51" t="n">
        <v>45929</v>
      </c>
      <c r="C4462" s="50" t="s">
        <v>234</v>
      </c>
      <c r="D4462" s="50" t="s">
        <v>2172</v>
      </c>
      <c r="E4462" s="50" t="n">
        <v>8</v>
      </c>
      <c r="F4462" s="50" t="s">
        <v>2167</v>
      </c>
      <c r="G4462" s="54" t="n">
        <v>4088500</v>
      </c>
    </row>
    <row r="4463" customFormat="false" ht="15" hidden="false" customHeight="false" outlineLevel="0" collapsed="false">
      <c r="A4463" s="50" t="s">
        <v>1566</v>
      </c>
      <c r="B4463" s="51" t="n">
        <v>45929</v>
      </c>
      <c r="C4463" s="50" t="s">
        <v>234</v>
      </c>
      <c r="D4463" s="50" t="s">
        <v>2176</v>
      </c>
      <c r="E4463" s="50" t="n">
        <v>2</v>
      </c>
      <c r="F4463" s="50" t="s">
        <v>2167</v>
      </c>
      <c r="G4463" s="54" t="n">
        <v>827300</v>
      </c>
    </row>
    <row r="4464" customFormat="false" ht="15" hidden="false" customHeight="false" outlineLevel="0" collapsed="false">
      <c r="A4464" s="50" t="s">
        <v>1566</v>
      </c>
      <c r="B4464" s="51" t="n">
        <v>45929</v>
      </c>
      <c r="C4464" s="50" t="s">
        <v>234</v>
      </c>
      <c r="D4464" s="50" t="s">
        <v>2188</v>
      </c>
      <c r="E4464" s="50" t="n">
        <v>1</v>
      </c>
      <c r="F4464" s="50" t="s">
        <v>2167</v>
      </c>
      <c r="G4464" s="54" t="n">
        <v>953400</v>
      </c>
    </row>
    <row r="4465" customFormat="false" ht="15" hidden="false" customHeight="false" outlineLevel="0" collapsed="false">
      <c r="A4465" s="50" t="s">
        <v>1567</v>
      </c>
      <c r="B4465" s="51" t="n">
        <v>45929</v>
      </c>
      <c r="C4465" s="50" t="s">
        <v>174</v>
      </c>
      <c r="D4465" s="50" t="s">
        <v>2168</v>
      </c>
      <c r="E4465" s="50" t="n">
        <v>3</v>
      </c>
      <c r="F4465" s="50" t="s">
        <v>2167</v>
      </c>
      <c r="G4465" s="54" t="n">
        <v>1274300</v>
      </c>
    </row>
    <row r="4466" customFormat="false" ht="15" hidden="false" customHeight="false" outlineLevel="0" collapsed="false">
      <c r="A4466" s="50" t="s">
        <v>1567</v>
      </c>
      <c r="B4466" s="51" t="n">
        <v>45929</v>
      </c>
      <c r="C4466" s="50" t="s">
        <v>174</v>
      </c>
      <c r="D4466" s="50" t="s">
        <v>2182</v>
      </c>
      <c r="E4466" s="50" t="n">
        <v>2</v>
      </c>
      <c r="F4466" s="50" t="s">
        <v>2174</v>
      </c>
      <c r="G4466" s="54" t="n">
        <v>1881600</v>
      </c>
    </row>
    <row r="4467" customFormat="false" ht="15" hidden="false" customHeight="false" outlineLevel="0" collapsed="false">
      <c r="A4467" s="50" t="s">
        <v>1567</v>
      </c>
      <c r="B4467" s="51" t="n">
        <v>45929</v>
      </c>
      <c r="C4467" s="50" t="s">
        <v>174</v>
      </c>
      <c r="D4467" s="50" t="s">
        <v>2180</v>
      </c>
      <c r="E4467" s="50" t="n">
        <v>3</v>
      </c>
      <c r="F4467" s="50" t="s">
        <v>2167</v>
      </c>
      <c r="G4467" s="54" t="n">
        <v>1305800</v>
      </c>
    </row>
    <row r="4468" customFormat="false" ht="15" hidden="false" customHeight="false" outlineLevel="0" collapsed="false">
      <c r="A4468" s="50" t="s">
        <v>1568</v>
      </c>
      <c r="B4468" s="51" t="n">
        <v>45929</v>
      </c>
      <c r="C4468" s="50" t="s">
        <v>247</v>
      </c>
      <c r="D4468" s="50" t="s">
        <v>2172</v>
      </c>
      <c r="E4468" s="50" t="n">
        <v>3</v>
      </c>
      <c r="F4468" s="50" t="s">
        <v>2167</v>
      </c>
      <c r="G4468" s="54" t="n">
        <v>1568400</v>
      </c>
    </row>
    <row r="4469" customFormat="false" ht="15" hidden="false" customHeight="false" outlineLevel="0" collapsed="false">
      <c r="A4469" s="50" t="s">
        <v>1568</v>
      </c>
      <c r="B4469" s="51" t="n">
        <v>45929</v>
      </c>
      <c r="C4469" s="50" t="s">
        <v>247</v>
      </c>
      <c r="D4469" s="50" t="s">
        <v>2183</v>
      </c>
      <c r="E4469" s="50" t="n">
        <v>3</v>
      </c>
      <c r="F4469" s="50" t="s">
        <v>2167</v>
      </c>
      <c r="G4469" s="54" t="n">
        <v>1125100</v>
      </c>
    </row>
    <row r="4470" customFormat="false" ht="15" hidden="false" customHeight="false" outlineLevel="0" collapsed="false">
      <c r="A4470" s="50" t="s">
        <v>1568</v>
      </c>
      <c r="B4470" s="51" t="n">
        <v>45929</v>
      </c>
      <c r="C4470" s="50" t="s">
        <v>247</v>
      </c>
      <c r="D4470" s="50" t="s">
        <v>2182</v>
      </c>
      <c r="E4470" s="50" t="n">
        <v>4</v>
      </c>
      <c r="F4470" s="50" t="s">
        <v>2174</v>
      </c>
      <c r="G4470" s="54" t="n">
        <v>3728000</v>
      </c>
    </row>
    <row r="4471" customFormat="false" ht="15" hidden="false" customHeight="false" outlineLevel="0" collapsed="false">
      <c r="A4471" s="50" t="s">
        <v>1569</v>
      </c>
      <c r="B4471" s="51" t="n">
        <v>45929</v>
      </c>
      <c r="C4471" s="50" t="s">
        <v>491</v>
      </c>
      <c r="D4471" s="50" t="s">
        <v>2178</v>
      </c>
      <c r="E4471" s="50" t="n">
        <v>6</v>
      </c>
      <c r="F4471" s="50" t="s">
        <v>2167</v>
      </c>
      <c r="G4471" s="54" t="n">
        <v>2916500</v>
      </c>
    </row>
    <row r="4472" customFormat="false" ht="15" hidden="false" customHeight="false" outlineLevel="0" collapsed="false">
      <c r="A4472" s="50" t="s">
        <v>1569</v>
      </c>
      <c r="B4472" s="51" t="n">
        <v>45929</v>
      </c>
      <c r="C4472" s="50" t="s">
        <v>491</v>
      </c>
      <c r="D4472" s="50" t="s">
        <v>2186</v>
      </c>
      <c r="E4472" s="50" t="n">
        <v>2</v>
      </c>
      <c r="F4472" s="50" t="s">
        <v>2167</v>
      </c>
      <c r="G4472" s="54" t="n">
        <v>1150000</v>
      </c>
    </row>
    <row r="4473" customFormat="false" ht="15" hidden="false" customHeight="false" outlineLevel="0" collapsed="false">
      <c r="A4473" s="50" t="s">
        <v>1569</v>
      </c>
      <c r="B4473" s="51" t="n">
        <v>45929</v>
      </c>
      <c r="C4473" s="50" t="s">
        <v>491</v>
      </c>
      <c r="D4473" s="50" t="s">
        <v>2177</v>
      </c>
      <c r="E4473" s="50" t="n">
        <v>8</v>
      </c>
      <c r="F4473" s="50" t="s">
        <v>2174</v>
      </c>
      <c r="G4473" s="54" t="n">
        <v>9054000</v>
      </c>
    </row>
    <row r="4474" customFormat="false" ht="15" hidden="false" customHeight="false" outlineLevel="0" collapsed="false">
      <c r="A4474" s="50" t="s">
        <v>1569</v>
      </c>
      <c r="B4474" s="51" t="n">
        <v>45929</v>
      </c>
      <c r="C4474" s="50" t="s">
        <v>491</v>
      </c>
      <c r="D4474" s="50" t="s">
        <v>2175</v>
      </c>
      <c r="E4474" s="50" t="n">
        <v>8</v>
      </c>
      <c r="F4474" s="50" t="s">
        <v>2167</v>
      </c>
      <c r="G4474" s="54" t="n">
        <v>5225600</v>
      </c>
    </row>
    <row r="4475" customFormat="false" ht="15" hidden="false" customHeight="false" outlineLevel="0" collapsed="false">
      <c r="A4475" s="50" t="s">
        <v>1569</v>
      </c>
      <c r="B4475" s="51" t="n">
        <v>45929</v>
      </c>
      <c r="C4475" s="50" t="s">
        <v>491</v>
      </c>
      <c r="D4475" s="50" t="s">
        <v>2188</v>
      </c>
      <c r="E4475" s="50" t="n">
        <v>8</v>
      </c>
      <c r="F4475" s="50" t="s">
        <v>2167</v>
      </c>
      <c r="G4475" s="54" t="n">
        <v>7782800</v>
      </c>
    </row>
    <row r="4476" customFormat="false" ht="15" hidden="false" customHeight="false" outlineLevel="0" collapsed="false">
      <c r="A4476" s="50" t="s">
        <v>1569</v>
      </c>
      <c r="B4476" s="51" t="n">
        <v>45929</v>
      </c>
      <c r="C4476" s="50" t="s">
        <v>491</v>
      </c>
      <c r="D4476" s="50" t="s">
        <v>2169</v>
      </c>
      <c r="E4476" s="50" t="n">
        <v>8</v>
      </c>
      <c r="F4476" s="50" t="s">
        <v>2167</v>
      </c>
      <c r="G4476" s="54" t="n">
        <v>4978800</v>
      </c>
    </row>
    <row r="4477" customFormat="false" ht="15" hidden="false" customHeight="false" outlineLevel="0" collapsed="false">
      <c r="A4477" s="50" t="s">
        <v>1569</v>
      </c>
      <c r="B4477" s="51" t="n">
        <v>45929</v>
      </c>
      <c r="C4477" s="50" t="s">
        <v>491</v>
      </c>
      <c r="D4477" s="50" t="s">
        <v>2183</v>
      </c>
      <c r="E4477" s="50" t="n">
        <v>6</v>
      </c>
      <c r="F4477" s="50" t="s">
        <v>2167</v>
      </c>
      <c r="G4477" s="54" t="n">
        <v>2335800</v>
      </c>
    </row>
    <row r="4478" customFormat="false" ht="15" hidden="false" customHeight="false" outlineLevel="0" collapsed="false">
      <c r="A4478" s="50" t="s">
        <v>1569</v>
      </c>
      <c r="B4478" s="51" t="n">
        <v>45929</v>
      </c>
      <c r="C4478" s="50" t="s">
        <v>491</v>
      </c>
      <c r="D4478" s="50" t="s">
        <v>2166</v>
      </c>
      <c r="E4478" s="50" t="n">
        <v>6</v>
      </c>
      <c r="F4478" s="50" t="s">
        <v>2167</v>
      </c>
      <c r="G4478" s="54" t="n">
        <v>3170000</v>
      </c>
    </row>
    <row r="4479" customFormat="false" ht="15" hidden="false" customHeight="false" outlineLevel="0" collapsed="false">
      <c r="A4479" s="50" t="s">
        <v>1570</v>
      </c>
      <c r="B4479" s="51" t="n">
        <v>45930</v>
      </c>
      <c r="C4479" s="50" t="s">
        <v>168</v>
      </c>
      <c r="D4479" s="50" t="s">
        <v>2175</v>
      </c>
      <c r="E4479" s="50" t="n">
        <v>4</v>
      </c>
      <c r="F4479" s="50" t="s">
        <v>2167</v>
      </c>
      <c r="G4479" s="54" t="n">
        <v>2555500</v>
      </c>
    </row>
    <row r="4480" customFormat="false" ht="15" hidden="false" customHeight="false" outlineLevel="0" collapsed="false">
      <c r="A4480" s="50" t="s">
        <v>1571</v>
      </c>
      <c r="B4480" s="51" t="n">
        <v>45930</v>
      </c>
      <c r="C4480" s="50" t="s">
        <v>228</v>
      </c>
      <c r="D4480" s="50" t="s">
        <v>2187</v>
      </c>
      <c r="E4480" s="50" t="n">
        <v>8</v>
      </c>
      <c r="F4480" s="50" t="s">
        <v>2167</v>
      </c>
      <c r="G4480" s="54" t="n">
        <v>2707600</v>
      </c>
    </row>
    <row r="4481" customFormat="false" ht="15" hidden="false" customHeight="false" outlineLevel="0" collapsed="false">
      <c r="A4481" s="50" t="s">
        <v>1571</v>
      </c>
      <c r="B4481" s="51" t="n">
        <v>45930</v>
      </c>
      <c r="C4481" s="50" t="s">
        <v>228</v>
      </c>
      <c r="D4481" s="50" t="s">
        <v>2180</v>
      </c>
      <c r="E4481" s="50" t="n">
        <v>6</v>
      </c>
      <c r="F4481" s="50" t="s">
        <v>2167</v>
      </c>
      <c r="G4481" s="54" t="n">
        <v>2807500</v>
      </c>
    </row>
    <row r="4482" customFormat="false" ht="15" hidden="false" customHeight="false" outlineLevel="0" collapsed="false">
      <c r="A4482" s="50" t="s">
        <v>1571</v>
      </c>
      <c r="B4482" s="51" t="n">
        <v>45930</v>
      </c>
      <c r="C4482" s="50" t="s">
        <v>228</v>
      </c>
      <c r="D4482" s="50" t="s">
        <v>2186</v>
      </c>
      <c r="E4482" s="50" t="n">
        <v>2</v>
      </c>
      <c r="F4482" s="50" t="s">
        <v>2167</v>
      </c>
      <c r="G4482" s="54" t="n">
        <v>1193200</v>
      </c>
    </row>
    <row r="4483" customFormat="false" ht="15" hidden="false" customHeight="false" outlineLevel="0" collapsed="false">
      <c r="A4483" s="50" t="s">
        <v>1572</v>
      </c>
      <c r="B4483" s="51" t="n">
        <v>45930</v>
      </c>
      <c r="C4483" s="50" t="s">
        <v>197</v>
      </c>
      <c r="D4483" s="50" t="s">
        <v>2185</v>
      </c>
      <c r="E4483" s="50" t="n">
        <v>3</v>
      </c>
      <c r="F4483" s="50" t="s">
        <v>2174</v>
      </c>
      <c r="G4483" s="54" t="n">
        <v>2273200</v>
      </c>
    </row>
    <row r="4484" customFormat="false" ht="15" hidden="false" customHeight="false" outlineLevel="0" collapsed="false">
      <c r="A4484" s="50" t="s">
        <v>1572</v>
      </c>
      <c r="B4484" s="51" t="n">
        <v>45930</v>
      </c>
      <c r="C4484" s="50" t="s">
        <v>197</v>
      </c>
      <c r="D4484" s="50" t="s">
        <v>2181</v>
      </c>
      <c r="E4484" s="50" t="n">
        <v>2</v>
      </c>
      <c r="F4484" s="50" t="s">
        <v>2167</v>
      </c>
      <c r="G4484" s="54" t="n">
        <v>2311900</v>
      </c>
    </row>
    <row r="4485" customFormat="false" ht="15" hidden="false" customHeight="false" outlineLevel="0" collapsed="false">
      <c r="A4485" s="50" t="s">
        <v>1572</v>
      </c>
      <c r="B4485" s="51" t="n">
        <v>45930</v>
      </c>
      <c r="C4485" s="50" t="s">
        <v>197</v>
      </c>
      <c r="D4485" s="50" t="s">
        <v>2187</v>
      </c>
      <c r="E4485" s="50" t="n">
        <v>7</v>
      </c>
      <c r="F4485" s="50" t="s">
        <v>2167</v>
      </c>
      <c r="G4485" s="54" t="n">
        <v>2496800</v>
      </c>
    </row>
    <row r="4486" customFormat="false" ht="15" hidden="false" customHeight="false" outlineLevel="0" collapsed="false">
      <c r="A4486" s="50" t="s">
        <v>1572</v>
      </c>
      <c r="B4486" s="51" t="n">
        <v>45930</v>
      </c>
      <c r="C4486" s="50" t="s">
        <v>197</v>
      </c>
      <c r="D4486" s="50" t="s">
        <v>2175</v>
      </c>
      <c r="E4486" s="50" t="n">
        <v>1</v>
      </c>
      <c r="F4486" s="50" t="s">
        <v>2167</v>
      </c>
      <c r="G4486" s="54" t="n">
        <v>622100</v>
      </c>
    </row>
    <row r="4487" customFormat="false" ht="15" hidden="false" customHeight="false" outlineLevel="0" collapsed="false">
      <c r="A4487" s="50" t="s">
        <v>1573</v>
      </c>
      <c r="B4487" s="51" t="n">
        <v>45930</v>
      </c>
      <c r="C4487" s="50" t="s">
        <v>562</v>
      </c>
      <c r="D4487" s="50" t="s">
        <v>2186</v>
      </c>
      <c r="E4487" s="50" t="n">
        <v>7</v>
      </c>
      <c r="F4487" s="50" t="s">
        <v>2167</v>
      </c>
      <c r="G4487" s="54" t="n">
        <v>4222700</v>
      </c>
    </row>
    <row r="4488" customFormat="false" ht="15" hidden="false" customHeight="false" outlineLevel="0" collapsed="false">
      <c r="A4488" s="50" t="s">
        <v>1573</v>
      </c>
      <c r="B4488" s="51" t="n">
        <v>45930</v>
      </c>
      <c r="C4488" s="50" t="s">
        <v>562</v>
      </c>
      <c r="D4488" s="50" t="s">
        <v>2169</v>
      </c>
      <c r="E4488" s="50" t="n">
        <v>3</v>
      </c>
      <c r="F4488" s="50" t="s">
        <v>2167</v>
      </c>
      <c r="G4488" s="54" t="n">
        <v>1845700</v>
      </c>
    </row>
    <row r="4489" customFormat="false" ht="15" hidden="false" customHeight="false" outlineLevel="0" collapsed="false">
      <c r="A4489" s="50" t="s">
        <v>1573</v>
      </c>
      <c r="B4489" s="51" t="n">
        <v>45930</v>
      </c>
      <c r="C4489" s="50" t="s">
        <v>562</v>
      </c>
      <c r="D4489" s="50" t="s">
        <v>2187</v>
      </c>
      <c r="E4489" s="50" t="n">
        <v>6</v>
      </c>
      <c r="F4489" s="50" t="s">
        <v>2167</v>
      </c>
      <c r="G4489" s="54" t="n">
        <v>2174400</v>
      </c>
    </row>
    <row r="4490" customFormat="false" ht="15" hidden="false" customHeight="false" outlineLevel="0" collapsed="false">
      <c r="A4490" s="50" t="s">
        <v>1573</v>
      </c>
      <c r="B4490" s="51" t="n">
        <v>45930</v>
      </c>
      <c r="C4490" s="50" t="s">
        <v>562</v>
      </c>
      <c r="D4490" s="50" t="s">
        <v>2173</v>
      </c>
      <c r="E4490" s="50" t="n">
        <v>1</v>
      </c>
      <c r="F4490" s="50" t="s">
        <v>2174</v>
      </c>
      <c r="G4490" s="54" t="n">
        <v>795100</v>
      </c>
    </row>
    <row r="4491" customFormat="false" ht="15" hidden="false" customHeight="false" outlineLevel="0" collapsed="false">
      <c r="A4491" s="50" t="s">
        <v>1573</v>
      </c>
      <c r="B4491" s="51" t="n">
        <v>45930</v>
      </c>
      <c r="C4491" s="50" t="s">
        <v>562</v>
      </c>
      <c r="D4491" s="50" t="s">
        <v>2178</v>
      </c>
      <c r="E4491" s="50" t="n">
        <v>1</v>
      </c>
      <c r="F4491" s="50" t="s">
        <v>2167</v>
      </c>
      <c r="G4491" s="54" t="n">
        <v>488600</v>
      </c>
    </row>
    <row r="4492" customFormat="false" ht="15" hidden="false" customHeight="false" outlineLevel="0" collapsed="false">
      <c r="A4492" s="50" t="s">
        <v>1573</v>
      </c>
      <c r="B4492" s="51" t="n">
        <v>45930</v>
      </c>
      <c r="C4492" s="50" t="s">
        <v>562</v>
      </c>
      <c r="D4492" s="50" t="s">
        <v>2188</v>
      </c>
      <c r="E4492" s="50" t="n">
        <v>7</v>
      </c>
      <c r="F4492" s="50" t="s">
        <v>2167</v>
      </c>
      <c r="G4492" s="54" t="n">
        <v>7071400</v>
      </c>
    </row>
    <row r="4493" customFormat="false" ht="15" hidden="false" customHeight="false" outlineLevel="0" collapsed="false">
      <c r="A4493" s="50" t="s">
        <v>1574</v>
      </c>
      <c r="B4493" s="51" t="n">
        <v>45930</v>
      </c>
      <c r="C4493" s="50" t="s">
        <v>197</v>
      </c>
      <c r="D4493" s="50" t="s">
        <v>2170</v>
      </c>
      <c r="E4493" s="50" t="n">
        <v>1</v>
      </c>
      <c r="F4493" s="50" t="s">
        <v>2171</v>
      </c>
      <c r="G4493" s="54" t="n">
        <v>7467700</v>
      </c>
    </row>
    <row r="4494" customFormat="false" ht="15" hidden="false" customHeight="false" outlineLevel="0" collapsed="false">
      <c r="A4494" s="50" t="s">
        <v>1574</v>
      </c>
      <c r="B4494" s="51" t="n">
        <v>45930</v>
      </c>
      <c r="C4494" s="50" t="s">
        <v>197</v>
      </c>
      <c r="D4494" s="50" t="s">
        <v>2178</v>
      </c>
      <c r="E4494" s="50" t="n">
        <v>8</v>
      </c>
      <c r="F4494" s="50" t="s">
        <v>2167</v>
      </c>
      <c r="G4494" s="54" t="n">
        <v>3888700</v>
      </c>
    </row>
    <row r="4495" customFormat="false" ht="15" hidden="false" customHeight="false" outlineLevel="0" collapsed="false">
      <c r="A4495" s="50" t="s">
        <v>1574</v>
      </c>
      <c r="B4495" s="51" t="n">
        <v>45930</v>
      </c>
      <c r="C4495" s="50" t="s">
        <v>197</v>
      </c>
      <c r="D4495" s="50" t="s">
        <v>2186</v>
      </c>
      <c r="E4495" s="50" t="n">
        <v>5</v>
      </c>
      <c r="F4495" s="50" t="s">
        <v>2167</v>
      </c>
      <c r="G4495" s="54" t="n">
        <v>3048900</v>
      </c>
    </row>
    <row r="4496" customFormat="false" ht="15" hidden="false" customHeight="false" outlineLevel="0" collapsed="false">
      <c r="A4496" s="50" t="s">
        <v>1574</v>
      </c>
      <c r="B4496" s="51" t="n">
        <v>45930</v>
      </c>
      <c r="C4496" s="50" t="s">
        <v>197</v>
      </c>
      <c r="D4496" s="50" t="s">
        <v>2169</v>
      </c>
      <c r="E4496" s="50" t="n">
        <v>1</v>
      </c>
      <c r="F4496" s="50" t="s">
        <v>2167</v>
      </c>
      <c r="G4496" s="54" t="n">
        <v>617700</v>
      </c>
    </row>
    <row r="4497" customFormat="false" ht="15" hidden="false" customHeight="false" outlineLevel="0" collapsed="false">
      <c r="A4497" s="50" t="s">
        <v>1574</v>
      </c>
      <c r="B4497" s="51" t="n">
        <v>45930</v>
      </c>
      <c r="C4497" s="50" t="s">
        <v>197</v>
      </c>
      <c r="D4497" s="50" t="s">
        <v>2173</v>
      </c>
      <c r="E4497" s="50" t="n">
        <v>4</v>
      </c>
      <c r="F4497" s="50" t="s">
        <v>2174</v>
      </c>
      <c r="G4497" s="54" t="n">
        <v>3279500</v>
      </c>
    </row>
    <row r="4498" customFormat="false" ht="15" hidden="false" customHeight="false" outlineLevel="0" collapsed="false">
      <c r="A4498" s="50" t="s">
        <v>1574</v>
      </c>
      <c r="B4498" s="51" t="n">
        <v>45930</v>
      </c>
      <c r="C4498" s="50" t="s">
        <v>197</v>
      </c>
      <c r="D4498" s="50" t="s">
        <v>2183</v>
      </c>
      <c r="E4498" s="50" t="n">
        <v>8</v>
      </c>
      <c r="F4498" s="50" t="s">
        <v>2167</v>
      </c>
      <c r="G4498" s="54" t="n">
        <v>3148100</v>
      </c>
    </row>
    <row r="4499" customFormat="false" ht="15" hidden="false" customHeight="false" outlineLevel="0" collapsed="false">
      <c r="A4499" s="50" t="s">
        <v>1575</v>
      </c>
      <c r="B4499" s="51" t="n">
        <v>45930</v>
      </c>
      <c r="C4499" s="50" t="s">
        <v>172</v>
      </c>
      <c r="D4499" s="50" t="s">
        <v>2181</v>
      </c>
      <c r="E4499" s="50" t="n">
        <v>1</v>
      </c>
      <c r="F4499" s="50" t="s">
        <v>2167</v>
      </c>
      <c r="G4499" s="54" t="n">
        <v>1111200</v>
      </c>
    </row>
    <row r="4500" customFormat="false" ht="15" hidden="false" customHeight="false" outlineLevel="0" collapsed="false">
      <c r="A4500" s="50" t="s">
        <v>1575</v>
      </c>
      <c r="B4500" s="51" t="n">
        <v>45930</v>
      </c>
      <c r="C4500" s="50" t="s">
        <v>172</v>
      </c>
      <c r="D4500" s="50" t="s">
        <v>2169</v>
      </c>
      <c r="E4500" s="50" t="n">
        <v>1</v>
      </c>
      <c r="F4500" s="50" t="s">
        <v>2167</v>
      </c>
      <c r="G4500" s="54" t="n">
        <v>610300</v>
      </c>
    </row>
    <row r="4501" customFormat="false" ht="15" hidden="false" customHeight="false" outlineLevel="0" collapsed="false">
      <c r="A4501" s="50" t="s">
        <v>1575</v>
      </c>
      <c r="B4501" s="51" t="n">
        <v>45930</v>
      </c>
      <c r="C4501" s="50" t="s">
        <v>172</v>
      </c>
      <c r="D4501" s="50" t="s">
        <v>2172</v>
      </c>
      <c r="E4501" s="50" t="n">
        <v>5</v>
      </c>
      <c r="F4501" s="50" t="s">
        <v>2167</v>
      </c>
      <c r="G4501" s="54" t="n">
        <v>2648800</v>
      </c>
    </row>
    <row r="4502" customFormat="false" ht="15" hidden="false" customHeight="false" outlineLevel="0" collapsed="false">
      <c r="A4502" s="50" t="s">
        <v>1575</v>
      </c>
      <c r="B4502" s="51" t="n">
        <v>45930</v>
      </c>
      <c r="C4502" s="50" t="s">
        <v>172</v>
      </c>
      <c r="D4502" s="50" t="s">
        <v>2180</v>
      </c>
      <c r="E4502" s="50" t="n">
        <v>1</v>
      </c>
      <c r="F4502" s="50" t="s">
        <v>2167</v>
      </c>
      <c r="G4502" s="54" t="n">
        <v>440400</v>
      </c>
    </row>
    <row r="4503" customFormat="false" ht="15" hidden="false" customHeight="false" outlineLevel="0" collapsed="false">
      <c r="A4503" s="50" t="s">
        <v>1576</v>
      </c>
      <c r="B4503" s="51" t="n">
        <v>45930</v>
      </c>
      <c r="C4503" s="50" t="s">
        <v>166</v>
      </c>
      <c r="D4503" s="50" t="s">
        <v>2176</v>
      </c>
      <c r="E4503" s="50" t="n">
        <v>4</v>
      </c>
      <c r="F4503" s="50" t="s">
        <v>2167</v>
      </c>
      <c r="G4503" s="54" t="n">
        <v>1729100</v>
      </c>
    </row>
    <row r="4504" customFormat="false" ht="15" hidden="false" customHeight="false" outlineLevel="0" collapsed="false">
      <c r="A4504" s="50" t="s">
        <v>1576</v>
      </c>
      <c r="B4504" s="51" t="n">
        <v>45930</v>
      </c>
      <c r="C4504" s="50" t="s">
        <v>166</v>
      </c>
      <c r="D4504" s="50" t="s">
        <v>2168</v>
      </c>
      <c r="E4504" s="50" t="n">
        <v>3</v>
      </c>
      <c r="F4504" s="50" t="s">
        <v>2167</v>
      </c>
      <c r="G4504" s="54" t="n">
        <v>1254100</v>
      </c>
    </row>
    <row r="4505" customFormat="false" ht="15" hidden="false" customHeight="false" outlineLevel="0" collapsed="false">
      <c r="A4505" s="50" t="s">
        <v>1576</v>
      </c>
      <c r="B4505" s="51" t="n">
        <v>45930</v>
      </c>
      <c r="C4505" s="50" t="s">
        <v>166</v>
      </c>
      <c r="D4505" s="50" t="s">
        <v>2180</v>
      </c>
      <c r="E4505" s="50" t="n">
        <v>5</v>
      </c>
      <c r="F4505" s="50" t="s">
        <v>2167</v>
      </c>
      <c r="G4505" s="54" t="n">
        <v>2174100</v>
      </c>
    </row>
    <row r="4506" customFormat="false" ht="15" hidden="false" customHeight="false" outlineLevel="0" collapsed="false">
      <c r="A4506" s="50" t="s">
        <v>1576</v>
      </c>
      <c r="B4506" s="51" t="n">
        <v>45930</v>
      </c>
      <c r="C4506" s="50" t="s">
        <v>166</v>
      </c>
      <c r="D4506" s="50" t="s">
        <v>2173</v>
      </c>
      <c r="E4506" s="50" t="n">
        <v>4</v>
      </c>
      <c r="F4506" s="50" t="s">
        <v>2174</v>
      </c>
      <c r="G4506" s="54" t="n">
        <v>3285700</v>
      </c>
    </row>
    <row r="4507" customFormat="false" ht="15" hidden="false" customHeight="false" outlineLevel="0" collapsed="false">
      <c r="A4507" s="50" t="s">
        <v>1576</v>
      </c>
      <c r="B4507" s="51" t="n">
        <v>45930</v>
      </c>
      <c r="C4507" s="50" t="s">
        <v>166</v>
      </c>
      <c r="D4507" s="50" t="s">
        <v>2185</v>
      </c>
      <c r="E4507" s="50" t="n">
        <v>6</v>
      </c>
      <c r="F4507" s="50" t="s">
        <v>2174</v>
      </c>
      <c r="G4507" s="54" t="n">
        <v>4829900</v>
      </c>
    </row>
    <row r="4508" customFormat="false" ht="15" hidden="false" customHeight="false" outlineLevel="0" collapsed="false">
      <c r="A4508" s="50" t="s">
        <v>1576</v>
      </c>
      <c r="B4508" s="51" t="n">
        <v>45930</v>
      </c>
      <c r="C4508" s="50" t="s">
        <v>166</v>
      </c>
      <c r="D4508" s="50" t="s">
        <v>2188</v>
      </c>
      <c r="E4508" s="50" t="n">
        <v>4</v>
      </c>
      <c r="F4508" s="50" t="s">
        <v>2167</v>
      </c>
      <c r="G4508" s="54" t="n">
        <v>3836200</v>
      </c>
    </row>
    <row r="4509" customFormat="false" ht="15" hidden="false" customHeight="false" outlineLevel="0" collapsed="false">
      <c r="A4509" s="50" t="s">
        <v>1577</v>
      </c>
      <c r="B4509" s="51" t="n">
        <v>45931</v>
      </c>
      <c r="C4509" s="50" t="s">
        <v>172</v>
      </c>
      <c r="D4509" s="50" t="s">
        <v>2179</v>
      </c>
      <c r="E4509" s="50" t="n">
        <v>4</v>
      </c>
      <c r="F4509" s="50" t="s">
        <v>2174</v>
      </c>
      <c r="G4509" s="54" t="n">
        <v>5024500</v>
      </c>
    </row>
    <row r="4510" customFormat="false" ht="15" hidden="false" customHeight="false" outlineLevel="0" collapsed="false">
      <c r="A4510" s="50" t="s">
        <v>1577</v>
      </c>
      <c r="B4510" s="51" t="n">
        <v>45931</v>
      </c>
      <c r="C4510" s="50" t="s">
        <v>172</v>
      </c>
      <c r="D4510" s="50" t="s">
        <v>2178</v>
      </c>
      <c r="E4510" s="50" t="n">
        <v>6</v>
      </c>
      <c r="F4510" s="50" t="s">
        <v>2167</v>
      </c>
      <c r="G4510" s="54" t="n">
        <v>2879500</v>
      </c>
    </row>
    <row r="4511" customFormat="false" ht="15" hidden="false" customHeight="false" outlineLevel="0" collapsed="false">
      <c r="A4511" s="50" t="s">
        <v>1577</v>
      </c>
      <c r="B4511" s="51" t="n">
        <v>45931</v>
      </c>
      <c r="C4511" s="50" t="s">
        <v>172</v>
      </c>
      <c r="D4511" s="50" t="s">
        <v>2186</v>
      </c>
      <c r="E4511" s="50" t="n">
        <v>8</v>
      </c>
      <c r="F4511" s="50" t="s">
        <v>2167</v>
      </c>
      <c r="G4511" s="54" t="n">
        <v>4617000</v>
      </c>
    </row>
    <row r="4512" customFormat="false" ht="15" hidden="false" customHeight="false" outlineLevel="0" collapsed="false">
      <c r="A4512" s="50" t="s">
        <v>1577</v>
      </c>
      <c r="B4512" s="51" t="n">
        <v>45931</v>
      </c>
      <c r="C4512" s="50" t="s">
        <v>172</v>
      </c>
      <c r="D4512" s="50" t="s">
        <v>2172</v>
      </c>
      <c r="E4512" s="50" t="n">
        <v>8</v>
      </c>
      <c r="F4512" s="50" t="s">
        <v>2167</v>
      </c>
      <c r="G4512" s="54" t="n">
        <v>4033100</v>
      </c>
    </row>
    <row r="4513" customFormat="false" ht="15" hidden="false" customHeight="false" outlineLevel="0" collapsed="false">
      <c r="A4513" s="50" t="s">
        <v>1577</v>
      </c>
      <c r="B4513" s="51" t="n">
        <v>45931</v>
      </c>
      <c r="C4513" s="50" t="s">
        <v>172</v>
      </c>
      <c r="D4513" s="50" t="s">
        <v>2166</v>
      </c>
      <c r="E4513" s="50" t="n">
        <v>3</v>
      </c>
      <c r="F4513" s="50" t="s">
        <v>2167</v>
      </c>
      <c r="G4513" s="54" t="n">
        <v>1576800</v>
      </c>
    </row>
    <row r="4514" customFormat="false" ht="15" hidden="false" customHeight="false" outlineLevel="0" collapsed="false">
      <c r="A4514" s="50" t="s">
        <v>1577</v>
      </c>
      <c r="B4514" s="51" t="n">
        <v>45931</v>
      </c>
      <c r="C4514" s="50" t="s">
        <v>172</v>
      </c>
      <c r="D4514" s="50" t="s">
        <v>2169</v>
      </c>
      <c r="E4514" s="50" t="n">
        <v>2</v>
      </c>
      <c r="F4514" s="50" t="s">
        <v>2167</v>
      </c>
      <c r="G4514" s="54" t="n">
        <v>1245600</v>
      </c>
    </row>
    <row r="4515" customFormat="false" ht="15" hidden="false" customHeight="false" outlineLevel="0" collapsed="false">
      <c r="A4515" s="50" t="s">
        <v>1578</v>
      </c>
      <c r="B4515" s="51" t="n">
        <v>45931</v>
      </c>
      <c r="C4515" s="50" t="s">
        <v>289</v>
      </c>
      <c r="D4515" s="50" t="s">
        <v>2169</v>
      </c>
      <c r="E4515" s="50" t="n">
        <v>3</v>
      </c>
      <c r="F4515" s="50" t="s">
        <v>2167</v>
      </c>
      <c r="G4515" s="54" t="n">
        <v>1817800</v>
      </c>
    </row>
    <row r="4516" customFormat="false" ht="15" hidden="false" customHeight="false" outlineLevel="0" collapsed="false">
      <c r="A4516" s="50" t="s">
        <v>1578</v>
      </c>
      <c r="B4516" s="51" t="n">
        <v>45931</v>
      </c>
      <c r="C4516" s="50" t="s">
        <v>289</v>
      </c>
      <c r="D4516" s="50" t="s">
        <v>2184</v>
      </c>
      <c r="E4516" s="50" t="n">
        <v>7</v>
      </c>
      <c r="F4516" s="50" t="s">
        <v>2167</v>
      </c>
      <c r="G4516" s="54" t="n">
        <v>4067100</v>
      </c>
    </row>
    <row r="4517" customFormat="false" ht="15" hidden="false" customHeight="false" outlineLevel="0" collapsed="false">
      <c r="A4517" s="50" t="s">
        <v>1579</v>
      </c>
      <c r="B4517" s="51" t="n">
        <v>45931</v>
      </c>
      <c r="C4517" s="50" t="s">
        <v>421</v>
      </c>
      <c r="D4517" s="50" t="s">
        <v>2166</v>
      </c>
      <c r="E4517" s="50" t="n">
        <v>3</v>
      </c>
      <c r="F4517" s="50" t="s">
        <v>2167</v>
      </c>
      <c r="G4517" s="54" t="n">
        <v>1654400</v>
      </c>
    </row>
    <row r="4518" customFormat="false" ht="15" hidden="false" customHeight="false" outlineLevel="0" collapsed="false">
      <c r="A4518" s="50" t="s">
        <v>1579</v>
      </c>
      <c r="B4518" s="51" t="n">
        <v>45931</v>
      </c>
      <c r="C4518" s="50" t="s">
        <v>421</v>
      </c>
      <c r="D4518" s="50" t="s">
        <v>2172</v>
      </c>
      <c r="E4518" s="50" t="n">
        <v>3</v>
      </c>
      <c r="F4518" s="50" t="s">
        <v>2167</v>
      </c>
      <c r="G4518" s="54" t="n">
        <v>1499000</v>
      </c>
    </row>
    <row r="4519" customFormat="false" ht="15" hidden="false" customHeight="false" outlineLevel="0" collapsed="false">
      <c r="A4519" s="50" t="s">
        <v>1579</v>
      </c>
      <c r="B4519" s="51" t="n">
        <v>45931</v>
      </c>
      <c r="C4519" s="50" t="s">
        <v>421</v>
      </c>
      <c r="D4519" s="50" t="s">
        <v>2180</v>
      </c>
      <c r="E4519" s="50" t="n">
        <v>2</v>
      </c>
      <c r="F4519" s="50" t="s">
        <v>2167</v>
      </c>
      <c r="G4519" s="54" t="n">
        <v>886200</v>
      </c>
    </row>
    <row r="4520" customFormat="false" ht="15" hidden="false" customHeight="false" outlineLevel="0" collapsed="false">
      <c r="A4520" s="50" t="s">
        <v>1579</v>
      </c>
      <c r="B4520" s="51" t="n">
        <v>45931</v>
      </c>
      <c r="C4520" s="50" t="s">
        <v>421</v>
      </c>
      <c r="D4520" s="50" t="s">
        <v>2186</v>
      </c>
      <c r="E4520" s="50" t="n">
        <v>3</v>
      </c>
      <c r="F4520" s="50" t="s">
        <v>2167</v>
      </c>
      <c r="G4520" s="54" t="n">
        <v>1790900</v>
      </c>
    </row>
    <row r="4521" customFormat="false" ht="15" hidden="false" customHeight="false" outlineLevel="0" collapsed="false">
      <c r="A4521" s="50" t="s">
        <v>1579</v>
      </c>
      <c r="B4521" s="51" t="n">
        <v>45931</v>
      </c>
      <c r="C4521" s="50" t="s">
        <v>421</v>
      </c>
      <c r="D4521" s="50" t="s">
        <v>2169</v>
      </c>
      <c r="E4521" s="50" t="n">
        <v>2</v>
      </c>
      <c r="F4521" s="50" t="s">
        <v>2167</v>
      </c>
      <c r="G4521" s="54" t="n">
        <v>1250100</v>
      </c>
    </row>
    <row r="4522" customFormat="false" ht="15" hidden="false" customHeight="false" outlineLevel="0" collapsed="false">
      <c r="A4522" s="50" t="s">
        <v>1580</v>
      </c>
      <c r="B4522" s="51" t="n">
        <v>45931</v>
      </c>
      <c r="C4522" s="50" t="s">
        <v>367</v>
      </c>
      <c r="D4522" s="50" t="s">
        <v>2186</v>
      </c>
      <c r="E4522" s="50" t="n">
        <v>4</v>
      </c>
      <c r="F4522" s="50" t="s">
        <v>2167</v>
      </c>
      <c r="G4522" s="54" t="n">
        <v>2378800</v>
      </c>
    </row>
    <row r="4523" customFormat="false" ht="15" hidden="false" customHeight="false" outlineLevel="0" collapsed="false">
      <c r="A4523" s="50" t="s">
        <v>1580</v>
      </c>
      <c r="B4523" s="51" t="n">
        <v>45931</v>
      </c>
      <c r="C4523" s="50" t="s">
        <v>367</v>
      </c>
      <c r="D4523" s="50" t="s">
        <v>2177</v>
      </c>
      <c r="E4523" s="50" t="n">
        <v>6</v>
      </c>
      <c r="F4523" s="50" t="s">
        <v>2174</v>
      </c>
      <c r="G4523" s="54" t="n">
        <v>6363800</v>
      </c>
    </row>
    <row r="4524" customFormat="false" ht="15" hidden="false" customHeight="false" outlineLevel="0" collapsed="false">
      <c r="A4524" s="50" t="s">
        <v>1580</v>
      </c>
      <c r="B4524" s="51" t="n">
        <v>45931</v>
      </c>
      <c r="C4524" s="50" t="s">
        <v>367</v>
      </c>
      <c r="D4524" s="50" t="s">
        <v>2169</v>
      </c>
      <c r="E4524" s="50" t="n">
        <v>6</v>
      </c>
      <c r="F4524" s="50" t="s">
        <v>2167</v>
      </c>
      <c r="G4524" s="54" t="n">
        <v>3671900</v>
      </c>
    </row>
    <row r="4525" customFormat="false" ht="15" hidden="false" customHeight="false" outlineLevel="0" collapsed="false">
      <c r="A4525" s="50" t="s">
        <v>1580</v>
      </c>
      <c r="B4525" s="51" t="n">
        <v>45931</v>
      </c>
      <c r="C4525" s="50" t="s">
        <v>367</v>
      </c>
      <c r="D4525" s="50" t="s">
        <v>2173</v>
      </c>
      <c r="E4525" s="50" t="n">
        <v>5</v>
      </c>
      <c r="F4525" s="50" t="s">
        <v>2174</v>
      </c>
      <c r="G4525" s="54" t="n">
        <v>3864300</v>
      </c>
    </row>
    <row r="4526" customFormat="false" ht="15" hidden="false" customHeight="false" outlineLevel="0" collapsed="false">
      <c r="A4526" s="50" t="s">
        <v>1581</v>
      </c>
      <c r="B4526" s="51" t="n">
        <v>45931</v>
      </c>
      <c r="C4526" s="50" t="s">
        <v>174</v>
      </c>
      <c r="D4526" s="50" t="s">
        <v>2187</v>
      </c>
      <c r="E4526" s="50" t="n">
        <v>4</v>
      </c>
      <c r="F4526" s="50" t="s">
        <v>2167</v>
      </c>
      <c r="G4526" s="54" t="n">
        <v>1434400</v>
      </c>
    </row>
    <row r="4527" customFormat="false" ht="15" hidden="false" customHeight="false" outlineLevel="0" collapsed="false">
      <c r="A4527" s="50" t="s">
        <v>1582</v>
      </c>
      <c r="B4527" s="51" t="n">
        <v>45931</v>
      </c>
      <c r="C4527" s="50" t="s">
        <v>205</v>
      </c>
      <c r="D4527" s="50" t="s">
        <v>2173</v>
      </c>
      <c r="E4527" s="50" t="n">
        <v>8</v>
      </c>
      <c r="F4527" s="50" t="s">
        <v>2174</v>
      </c>
      <c r="G4527" s="54" t="n">
        <v>6450700</v>
      </c>
    </row>
    <row r="4528" customFormat="false" ht="15" hidden="false" customHeight="false" outlineLevel="0" collapsed="false">
      <c r="A4528" s="50" t="s">
        <v>1582</v>
      </c>
      <c r="B4528" s="51" t="n">
        <v>45931</v>
      </c>
      <c r="C4528" s="50" t="s">
        <v>205</v>
      </c>
      <c r="D4528" s="50" t="s">
        <v>2184</v>
      </c>
      <c r="E4528" s="50" t="n">
        <v>6</v>
      </c>
      <c r="F4528" s="50" t="s">
        <v>2167</v>
      </c>
      <c r="G4528" s="54" t="n">
        <v>3282200</v>
      </c>
    </row>
    <row r="4529" customFormat="false" ht="15" hidden="false" customHeight="false" outlineLevel="0" collapsed="false">
      <c r="A4529" s="50" t="s">
        <v>1583</v>
      </c>
      <c r="B4529" s="51" t="n">
        <v>45931</v>
      </c>
      <c r="C4529" s="50" t="s">
        <v>174</v>
      </c>
      <c r="D4529" s="50" t="s">
        <v>2168</v>
      </c>
      <c r="E4529" s="50" t="n">
        <v>8</v>
      </c>
      <c r="F4529" s="50" t="s">
        <v>2167</v>
      </c>
      <c r="G4529" s="54" t="n">
        <v>3485200</v>
      </c>
    </row>
    <row r="4530" customFormat="false" ht="15" hidden="false" customHeight="false" outlineLevel="0" collapsed="false">
      <c r="A4530" s="50" t="s">
        <v>1583</v>
      </c>
      <c r="B4530" s="51" t="n">
        <v>45931</v>
      </c>
      <c r="C4530" s="50" t="s">
        <v>174</v>
      </c>
      <c r="D4530" s="50" t="s">
        <v>2170</v>
      </c>
      <c r="E4530" s="50" t="n">
        <v>1</v>
      </c>
      <c r="F4530" s="50" t="s">
        <v>2171</v>
      </c>
      <c r="G4530" s="54" t="n">
        <v>7800500</v>
      </c>
    </row>
    <row r="4531" customFormat="false" ht="15" hidden="false" customHeight="false" outlineLevel="0" collapsed="false">
      <c r="A4531" s="50" t="s">
        <v>1583</v>
      </c>
      <c r="B4531" s="51" t="n">
        <v>45931</v>
      </c>
      <c r="C4531" s="50" t="s">
        <v>174</v>
      </c>
      <c r="D4531" s="50" t="s">
        <v>2186</v>
      </c>
      <c r="E4531" s="50" t="n">
        <v>1</v>
      </c>
      <c r="F4531" s="50" t="s">
        <v>2167</v>
      </c>
      <c r="G4531" s="54" t="n">
        <v>602200</v>
      </c>
    </row>
    <row r="4532" customFormat="false" ht="15" hidden="false" customHeight="false" outlineLevel="0" collapsed="false">
      <c r="A4532" s="50" t="s">
        <v>1584</v>
      </c>
      <c r="B4532" s="51" t="n">
        <v>45931</v>
      </c>
      <c r="C4532" s="50" t="s">
        <v>174</v>
      </c>
      <c r="D4532" s="50" t="s">
        <v>2168</v>
      </c>
      <c r="E4532" s="50" t="n">
        <v>2</v>
      </c>
      <c r="F4532" s="50" t="s">
        <v>2167</v>
      </c>
      <c r="G4532" s="54" t="n">
        <v>871700</v>
      </c>
    </row>
    <row r="4533" customFormat="false" ht="15" hidden="false" customHeight="false" outlineLevel="0" collapsed="false">
      <c r="A4533" s="50" t="s">
        <v>1584</v>
      </c>
      <c r="B4533" s="51" t="n">
        <v>45931</v>
      </c>
      <c r="C4533" s="50" t="s">
        <v>174</v>
      </c>
      <c r="D4533" s="50" t="s">
        <v>2179</v>
      </c>
      <c r="E4533" s="50" t="n">
        <v>5</v>
      </c>
      <c r="F4533" s="50" t="s">
        <v>2174</v>
      </c>
      <c r="G4533" s="54" t="n">
        <v>6286900</v>
      </c>
    </row>
    <row r="4534" customFormat="false" ht="15" hidden="false" customHeight="false" outlineLevel="0" collapsed="false">
      <c r="A4534" s="50" t="s">
        <v>1585</v>
      </c>
      <c r="B4534" s="51" t="n">
        <v>45931</v>
      </c>
      <c r="C4534" s="50" t="s">
        <v>298</v>
      </c>
      <c r="D4534" s="50" t="s">
        <v>2177</v>
      </c>
      <c r="E4534" s="50" t="n">
        <v>7</v>
      </c>
      <c r="F4534" s="50" t="s">
        <v>2174</v>
      </c>
      <c r="G4534" s="54" t="n">
        <v>7556800</v>
      </c>
    </row>
    <row r="4535" customFormat="false" ht="15" hidden="false" customHeight="false" outlineLevel="0" collapsed="false">
      <c r="A4535" s="50" t="s">
        <v>1585</v>
      </c>
      <c r="B4535" s="51" t="n">
        <v>45931</v>
      </c>
      <c r="C4535" s="50" t="s">
        <v>298</v>
      </c>
      <c r="D4535" s="50" t="s">
        <v>2184</v>
      </c>
      <c r="E4535" s="50" t="n">
        <v>5</v>
      </c>
      <c r="F4535" s="50" t="s">
        <v>2167</v>
      </c>
      <c r="G4535" s="54" t="n">
        <v>2814900</v>
      </c>
    </row>
    <row r="4536" customFormat="false" ht="15" hidden="false" customHeight="false" outlineLevel="0" collapsed="false">
      <c r="A4536" s="50" t="s">
        <v>1586</v>
      </c>
      <c r="B4536" s="51" t="n">
        <v>45932</v>
      </c>
      <c r="C4536" s="50" t="s">
        <v>278</v>
      </c>
      <c r="D4536" s="50" t="s">
        <v>2173</v>
      </c>
      <c r="E4536" s="50" t="n">
        <v>5</v>
      </c>
      <c r="F4536" s="50" t="s">
        <v>2174</v>
      </c>
      <c r="G4536" s="54" t="n">
        <v>4081100</v>
      </c>
    </row>
    <row r="4537" customFormat="false" ht="15" hidden="false" customHeight="false" outlineLevel="0" collapsed="false">
      <c r="A4537" s="50" t="s">
        <v>1586</v>
      </c>
      <c r="B4537" s="51" t="n">
        <v>45932</v>
      </c>
      <c r="C4537" s="50" t="s">
        <v>278</v>
      </c>
      <c r="D4537" s="50" t="s">
        <v>2179</v>
      </c>
      <c r="E4537" s="50" t="n">
        <v>1</v>
      </c>
      <c r="F4537" s="50" t="s">
        <v>2174</v>
      </c>
      <c r="G4537" s="54" t="n">
        <v>1235500</v>
      </c>
    </row>
    <row r="4538" customFormat="false" ht="15" hidden="false" customHeight="false" outlineLevel="0" collapsed="false">
      <c r="A4538" s="50" t="s">
        <v>1586</v>
      </c>
      <c r="B4538" s="51" t="n">
        <v>45932</v>
      </c>
      <c r="C4538" s="50" t="s">
        <v>278</v>
      </c>
      <c r="D4538" s="50" t="s">
        <v>2166</v>
      </c>
      <c r="E4538" s="50" t="n">
        <v>3</v>
      </c>
      <c r="F4538" s="50" t="s">
        <v>2167</v>
      </c>
      <c r="G4538" s="54" t="n">
        <v>1572600</v>
      </c>
    </row>
    <row r="4539" customFormat="false" ht="15" hidden="false" customHeight="false" outlineLevel="0" collapsed="false">
      <c r="A4539" s="50" t="s">
        <v>1587</v>
      </c>
      <c r="B4539" s="51" t="n">
        <v>45932</v>
      </c>
      <c r="C4539" s="50" t="s">
        <v>199</v>
      </c>
      <c r="D4539" s="50" t="s">
        <v>2180</v>
      </c>
      <c r="E4539" s="50" t="n">
        <v>6</v>
      </c>
      <c r="F4539" s="50" t="s">
        <v>2167</v>
      </c>
      <c r="G4539" s="54" t="n">
        <v>2787800</v>
      </c>
    </row>
    <row r="4540" customFormat="false" ht="15" hidden="false" customHeight="false" outlineLevel="0" collapsed="false">
      <c r="A4540" s="50" t="s">
        <v>1587</v>
      </c>
      <c r="B4540" s="51" t="n">
        <v>45932</v>
      </c>
      <c r="C4540" s="50" t="s">
        <v>199</v>
      </c>
      <c r="D4540" s="50" t="s">
        <v>2169</v>
      </c>
      <c r="E4540" s="50" t="n">
        <v>7</v>
      </c>
      <c r="F4540" s="50" t="s">
        <v>2167</v>
      </c>
      <c r="G4540" s="54" t="n">
        <v>4469300</v>
      </c>
    </row>
    <row r="4541" customFormat="false" ht="15" hidden="false" customHeight="false" outlineLevel="0" collapsed="false">
      <c r="A4541" s="50" t="s">
        <v>1588</v>
      </c>
      <c r="B4541" s="51" t="n">
        <v>45933</v>
      </c>
      <c r="C4541" s="50" t="s">
        <v>211</v>
      </c>
      <c r="D4541" s="50" t="s">
        <v>2188</v>
      </c>
      <c r="E4541" s="50" t="n">
        <v>6</v>
      </c>
      <c r="F4541" s="50" t="s">
        <v>2167</v>
      </c>
      <c r="G4541" s="54" t="n">
        <v>5729600</v>
      </c>
    </row>
    <row r="4542" customFormat="false" ht="15" hidden="false" customHeight="false" outlineLevel="0" collapsed="false">
      <c r="A4542" s="50" t="s">
        <v>1588</v>
      </c>
      <c r="B4542" s="51" t="n">
        <v>45933</v>
      </c>
      <c r="C4542" s="50" t="s">
        <v>211</v>
      </c>
      <c r="D4542" s="50" t="s">
        <v>2166</v>
      </c>
      <c r="E4542" s="50" t="n">
        <v>2</v>
      </c>
      <c r="F4542" s="50" t="s">
        <v>2167</v>
      </c>
      <c r="G4542" s="54" t="n">
        <v>1080200</v>
      </c>
    </row>
    <row r="4543" customFormat="false" ht="15" hidden="false" customHeight="false" outlineLevel="0" collapsed="false">
      <c r="A4543" s="50" t="s">
        <v>1588</v>
      </c>
      <c r="B4543" s="51" t="n">
        <v>45933</v>
      </c>
      <c r="C4543" s="50" t="s">
        <v>211</v>
      </c>
      <c r="D4543" s="50" t="s">
        <v>2176</v>
      </c>
      <c r="E4543" s="50" t="n">
        <v>1</v>
      </c>
      <c r="F4543" s="50" t="s">
        <v>2167</v>
      </c>
      <c r="G4543" s="54" t="n">
        <v>417700</v>
      </c>
    </row>
    <row r="4544" customFormat="false" ht="15" hidden="false" customHeight="false" outlineLevel="0" collapsed="false">
      <c r="A4544" s="50" t="s">
        <v>1588</v>
      </c>
      <c r="B4544" s="51" t="n">
        <v>45933</v>
      </c>
      <c r="C4544" s="50" t="s">
        <v>211</v>
      </c>
      <c r="D4544" s="50" t="s">
        <v>2179</v>
      </c>
      <c r="E4544" s="50" t="n">
        <v>6</v>
      </c>
      <c r="F4544" s="50" t="s">
        <v>2174</v>
      </c>
      <c r="G4544" s="54" t="n">
        <v>7569100</v>
      </c>
    </row>
    <row r="4545" customFormat="false" ht="15" hidden="false" customHeight="false" outlineLevel="0" collapsed="false">
      <c r="A4545" s="50" t="s">
        <v>1589</v>
      </c>
      <c r="B4545" s="51" t="n">
        <v>45933</v>
      </c>
      <c r="C4545" s="50" t="s">
        <v>278</v>
      </c>
      <c r="D4545" s="50" t="s">
        <v>2176</v>
      </c>
      <c r="E4545" s="50" t="n">
        <v>6</v>
      </c>
      <c r="F4545" s="50" t="s">
        <v>2167</v>
      </c>
      <c r="G4545" s="54" t="n">
        <v>2469500</v>
      </c>
    </row>
    <row r="4546" customFormat="false" ht="15" hidden="false" customHeight="false" outlineLevel="0" collapsed="false">
      <c r="A4546" s="50" t="s">
        <v>1589</v>
      </c>
      <c r="B4546" s="51" t="n">
        <v>45933</v>
      </c>
      <c r="C4546" s="50" t="s">
        <v>278</v>
      </c>
      <c r="D4546" s="50" t="s">
        <v>2188</v>
      </c>
      <c r="E4546" s="50" t="n">
        <v>6</v>
      </c>
      <c r="F4546" s="50" t="s">
        <v>2167</v>
      </c>
      <c r="G4546" s="54" t="n">
        <v>5835300</v>
      </c>
    </row>
    <row r="4547" customFormat="false" ht="15" hidden="false" customHeight="false" outlineLevel="0" collapsed="false">
      <c r="A4547" s="50" t="s">
        <v>1589</v>
      </c>
      <c r="B4547" s="51" t="n">
        <v>45933</v>
      </c>
      <c r="C4547" s="50" t="s">
        <v>278</v>
      </c>
      <c r="D4547" s="50" t="s">
        <v>2168</v>
      </c>
      <c r="E4547" s="50" t="n">
        <v>2</v>
      </c>
      <c r="F4547" s="50" t="s">
        <v>2167</v>
      </c>
      <c r="G4547" s="54" t="n">
        <v>842000</v>
      </c>
    </row>
    <row r="4548" customFormat="false" ht="15" hidden="false" customHeight="false" outlineLevel="0" collapsed="false">
      <c r="A4548" s="50" t="s">
        <v>1589</v>
      </c>
      <c r="B4548" s="51" t="n">
        <v>45933</v>
      </c>
      <c r="C4548" s="50" t="s">
        <v>278</v>
      </c>
      <c r="D4548" s="50" t="s">
        <v>2180</v>
      </c>
      <c r="E4548" s="50" t="n">
        <v>1</v>
      </c>
      <c r="F4548" s="50" t="s">
        <v>2167</v>
      </c>
      <c r="G4548" s="54" t="n">
        <v>443900</v>
      </c>
    </row>
    <row r="4549" customFormat="false" ht="15" hidden="false" customHeight="false" outlineLevel="0" collapsed="false">
      <c r="A4549" s="50" t="s">
        <v>1590</v>
      </c>
      <c r="B4549" s="51" t="n">
        <v>45933</v>
      </c>
      <c r="C4549" s="50" t="s">
        <v>251</v>
      </c>
      <c r="D4549" s="50" t="s">
        <v>2183</v>
      </c>
      <c r="E4549" s="50" t="n">
        <v>8</v>
      </c>
      <c r="F4549" s="50" t="s">
        <v>2167</v>
      </c>
      <c r="G4549" s="54" t="n">
        <v>3124100</v>
      </c>
    </row>
    <row r="4550" customFormat="false" ht="15" hidden="false" customHeight="false" outlineLevel="0" collapsed="false">
      <c r="A4550" s="50" t="s">
        <v>1590</v>
      </c>
      <c r="B4550" s="51" t="n">
        <v>45933</v>
      </c>
      <c r="C4550" s="50" t="s">
        <v>251</v>
      </c>
      <c r="D4550" s="50" t="s">
        <v>2169</v>
      </c>
      <c r="E4550" s="50" t="n">
        <v>2</v>
      </c>
      <c r="F4550" s="50" t="s">
        <v>2167</v>
      </c>
      <c r="G4550" s="54" t="n">
        <v>1253500</v>
      </c>
    </row>
    <row r="4551" customFormat="false" ht="15" hidden="false" customHeight="false" outlineLevel="0" collapsed="false">
      <c r="A4551" s="50" t="s">
        <v>1590</v>
      </c>
      <c r="B4551" s="51" t="n">
        <v>45933</v>
      </c>
      <c r="C4551" s="50" t="s">
        <v>251</v>
      </c>
      <c r="D4551" s="50" t="s">
        <v>2172</v>
      </c>
      <c r="E4551" s="50" t="n">
        <v>3</v>
      </c>
      <c r="F4551" s="50" t="s">
        <v>2167</v>
      </c>
      <c r="G4551" s="54" t="n">
        <v>1506900</v>
      </c>
    </row>
    <row r="4552" customFormat="false" ht="15" hidden="false" customHeight="false" outlineLevel="0" collapsed="false">
      <c r="A4552" s="50" t="s">
        <v>1591</v>
      </c>
      <c r="B4552" s="51" t="n">
        <v>45933</v>
      </c>
      <c r="C4552" s="50" t="s">
        <v>376</v>
      </c>
      <c r="D4552" s="50" t="s">
        <v>2169</v>
      </c>
      <c r="E4552" s="50" t="n">
        <v>8</v>
      </c>
      <c r="F4552" s="50" t="s">
        <v>2167</v>
      </c>
      <c r="G4552" s="54" t="n">
        <v>5138600</v>
      </c>
    </row>
    <row r="4553" customFormat="false" ht="15" hidden="false" customHeight="false" outlineLevel="0" collapsed="false">
      <c r="A4553" s="50" t="s">
        <v>1591</v>
      </c>
      <c r="B4553" s="51" t="n">
        <v>45933</v>
      </c>
      <c r="C4553" s="50" t="s">
        <v>376</v>
      </c>
      <c r="D4553" s="50" t="s">
        <v>2179</v>
      </c>
      <c r="E4553" s="50" t="n">
        <v>4</v>
      </c>
      <c r="F4553" s="50" t="s">
        <v>2174</v>
      </c>
      <c r="G4553" s="54" t="n">
        <v>5088100</v>
      </c>
    </row>
    <row r="4554" customFormat="false" ht="15" hidden="false" customHeight="false" outlineLevel="0" collapsed="false">
      <c r="A4554" s="50" t="s">
        <v>1591</v>
      </c>
      <c r="B4554" s="51" t="n">
        <v>45933</v>
      </c>
      <c r="C4554" s="50" t="s">
        <v>376</v>
      </c>
      <c r="D4554" s="50" t="s">
        <v>2175</v>
      </c>
      <c r="E4554" s="50" t="n">
        <v>8</v>
      </c>
      <c r="F4554" s="50" t="s">
        <v>2167</v>
      </c>
      <c r="G4554" s="54" t="n">
        <v>5140300</v>
      </c>
    </row>
    <row r="4555" customFormat="false" ht="15" hidden="false" customHeight="false" outlineLevel="0" collapsed="false">
      <c r="A4555" s="50" t="s">
        <v>1591</v>
      </c>
      <c r="B4555" s="51" t="n">
        <v>45933</v>
      </c>
      <c r="C4555" s="50" t="s">
        <v>376</v>
      </c>
      <c r="D4555" s="50" t="s">
        <v>2183</v>
      </c>
      <c r="E4555" s="50" t="n">
        <v>1</v>
      </c>
      <c r="F4555" s="50" t="s">
        <v>2167</v>
      </c>
      <c r="G4555" s="54" t="n">
        <v>377800</v>
      </c>
    </row>
    <row r="4556" customFormat="false" ht="15" hidden="false" customHeight="false" outlineLevel="0" collapsed="false">
      <c r="A4556" s="50" t="s">
        <v>1591</v>
      </c>
      <c r="B4556" s="51" t="n">
        <v>45933</v>
      </c>
      <c r="C4556" s="50" t="s">
        <v>376</v>
      </c>
      <c r="D4556" s="50" t="s">
        <v>2176</v>
      </c>
      <c r="E4556" s="50" t="n">
        <v>4</v>
      </c>
      <c r="F4556" s="50" t="s">
        <v>2167</v>
      </c>
      <c r="G4556" s="54" t="n">
        <v>1745100</v>
      </c>
    </row>
    <row r="4557" customFormat="false" ht="15" hidden="false" customHeight="false" outlineLevel="0" collapsed="false">
      <c r="A4557" s="50" t="s">
        <v>1592</v>
      </c>
      <c r="B4557" s="51" t="n">
        <v>45933</v>
      </c>
      <c r="C4557" s="50" t="s">
        <v>465</v>
      </c>
      <c r="D4557" s="50" t="s">
        <v>2168</v>
      </c>
      <c r="E4557" s="50" t="n">
        <v>7</v>
      </c>
      <c r="F4557" s="50" t="s">
        <v>2167</v>
      </c>
      <c r="G4557" s="54" t="n">
        <v>3115700</v>
      </c>
    </row>
    <row r="4558" customFormat="false" ht="15" hidden="false" customHeight="false" outlineLevel="0" collapsed="false">
      <c r="A4558" s="50" t="s">
        <v>1592</v>
      </c>
      <c r="B4558" s="51" t="n">
        <v>45933</v>
      </c>
      <c r="C4558" s="50" t="s">
        <v>465</v>
      </c>
      <c r="D4558" s="50" t="s">
        <v>2178</v>
      </c>
      <c r="E4558" s="50" t="n">
        <v>8</v>
      </c>
      <c r="F4558" s="50" t="s">
        <v>2167</v>
      </c>
      <c r="G4558" s="54" t="n">
        <v>3747200</v>
      </c>
    </row>
    <row r="4559" customFormat="false" ht="15" hidden="false" customHeight="false" outlineLevel="0" collapsed="false">
      <c r="A4559" s="50" t="s">
        <v>1592</v>
      </c>
      <c r="B4559" s="51" t="n">
        <v>45933</v>
      </c>
      <c r="C4559" s="50" t="s">
        <v>465</v>
      </c>
      <c r="D4559" s="50" t="s">
        <v>2188</v>
      </c>
      <c r="E4559" s="50" t="n">
        <v>8</v>
      </c>
      <c r="F4559" s="50" t="s">
        <v>2167</v>
      </c>
      <c r="G4559" s="54" t="n">
        <v>8053600</v>
      </c>
    </row>
    <row r="4560" customFormat="false" ht="15" hidden="false" customHeight="false" outlineLevel="0" collapsed="false">
      <c r="A4560" s="50" t="s">
        <v>1592</v>
      </c>
      <c r="B4560" s="51" t="n">
        <v>45933</v>
      </c>
      <c r="C4560" s="50" t="s">
        <v>465</v>
      </c>
      <c r="D4560" s="50" t="s">
        <v>2185</v>
      </c>
      <c r="E4560" s="50" t="n">
        <v>7</v>
      </c>
      <c r="F4560" s="50" t="s">
        <v>2174</v>
      </c>
      <c r="G4560" s="54" t="n">
        <v>5640200</v>
      </c>
    </row>
    <row r="4561" customFormat="false" ht="15" hidden="false" customHeight="false" outlineLevel="0" collapsed="false">
      <c r="A4561" s="50" t="s">
        <v>1593</v>
      </c>
      <c r="B4561" s="51" t="n">
        <v>45933</v>
      </c>
      <c r="C4561" s="50" t="s">
        <v>174</v>
      </c>
      <c r="D4561" s="50" t="s">
        <v>2188</v>
      </c>
      <c r="E4561" s="50" t="n">
        <v>6</v>
      </c>
      <c r="F4561" s="50" t="s">
        <v>2167</v>
      </c>
      <c r="G4561" s="54" t="n">
        <v>5966000</v>
      </c>
    </row>
    <row r="4562" customFormat="false" ht="15" hidden="false" customHeight="false" outlineLevel="0" collapsed="false">
      <c r="A4562" s="50" t="s">
        <v>1593</v>
      </c>
      <c r="B4562" s="51" t="n">
        <v>45933</v>
      </c>
      <c r="C4562" s="50" t="s">
        <v>174</v>
      </c>
      <c r="D4562" s="50" t="s">
        <v>2181</v>
      </c>
      <c r="E4562" s="50" t="n">
        <v>7</v>
      </c>
      <c r="F4562" s="50" t="s">
        <v>2167</v>
      </c>
      <c r="G4562" s="54" t="n">
        <v>7892000</v>
      </c>
    </row>
    <row r="4563" customFormat="false" ht="15" hidden="false" customHeight="false" outlineLevel="0" collapsed="false">
      <c r="A4563" s="50" t="s">
        <v>1594</v>
      </c>
      <c r="B4563" s="51" t="n">
        <v>45933</v>
      </c>
      <c r="C4563" s="50" t="s">
        <v>177</v>
      </c>
      <c r="D4563" s="50" t="s">
        <v>2180</v>
      </c>
      <c r="E4563" s="50" t="n">
        <v>8</v>
      </c>
      <c r="F4563" s="50" t="s">
        <v>2167</v>
      </c>
      <c r="G4563" s="54" t="n">
        <v>3565800</v>
      </c>
    </row>
    <row r="4564" customFormat="false" ht="15" hidden="false" customHeight="false" outlineLevel="0" collapsed="false">
      <c r="A4564" s="50" t="s">
        <v>145</v>
      </c>
      <c r="B4564" s="51" t="n">
        <v>45933</v>
      </c>
      <c r="C4564" s="50" t="s">
        <v>798</v>
      </c>
      <c r="D4564" s="50" t="s">
        <v>2181</v>
      </c>
      <c r="E4564" s="50" t="n">
        <v>6</v>
      </c>
      <c r="F4564" s="50" t="s">
        <v>2167</v>
      </c>
      <c r="G4564" s="54" t="n">
        <v>7054800</v>
      </c>
    </row>
    <row r="4565" customFormat="false" ht="15" hidden="false" customHeight="false" outlineLevel="0" collapsed="false">
      <c r="A4565" s="50" t="s">
        <v>145</v>
      </c>
      <c r="B4565" s="51" t="n">
        <v>45933</v>
      </c>
      <c r="C4565" s="50" t="s">
        <v>798</v>
      </c>
      <c r="D4565" s="50" t="s">
        <v>2168</v>
      </c>
      <c r="E4565" s="50" t="n">
        <v>6</v>
      </c>
      <c r="F4565" s="50" t="s">
        <v>2167</v>
      </c>
      <c r="G4565" s="54" t="n">
        <v>2659700</v>
      </c>
    </row>
    <row r="4566" customFormat="false" ht="15" hidden="false" customHeight="false" outlineLevel="0" collapsed="false">
      <c r="A4566" s="50" t="s">
        <v>1595</v>
      </c>
      <c r="B4566" s="51" t="n">
        <v>45933</v>
      </c>
      <c r="C4566" s="50" t="s">
        <v>188</v>
      </c>
      <c r="D4566" s="50" t="s">
        <v>2179</v>
      </c>
      <c r="E4566" s="50" t="n">
        <v>8</v>
      </c>
      <c r="F4566" s="50" t="s">
        <v>2174</v>
      </c>
      <c r="G4566" s="54" t="n">
        <v>9879600</v>
      </c>
    </row>
    <row r="4567" customFormat="false" ht="15" hidden="false" customHeight="false" outlineLevel="0" collapsed="false">
      <c r="A4567" s="50" t="s">
        <v>1595</v>
      </c>
      <c r="B4567" s="51" t="n">
        <v>45933</v>
      </c>
      <c r="C4567" s="50" t="s">
        <v>188</v>
      </c>
      <c r="D4567" s="50" t="s">
        <v>2175</v>
      </c>
      <c r="E4567" s="50" t="n">
        <v>5</v>
      </c>
      <c r="F4567" s="50" t="s">
        <v>2167</v>
      </c>
      <c r="G4567" s="54" t="n">
        <v>3313300</v>
      </c>
    </row>
    <row r="4568" customFormat="false" ht="15" hidden="false" customHeight="false" outlineLevel="0" collapsed="false">
      <c r="A4568" s="50" t="s">
        <v>1595</v>
      </c>
      <c r="B4568" s="51" t="n">
        <v>45933</v>
      </c>
      <c r="C4568" s="50" t="s">
        <v>188</v>
      </c>
      <c r="D4568" s="50" t="s">
        <v>2176</v>
      </c>
      <c r="E4568" s="50" t="n">
        <v>3</v>
      </c>
      <c r="F4568" s="50" t="s">
        <v>2167</v>
      </c>
      <c r="G4568" s="54" t="n">
        <v>1281100</v>
      </c>
    </row>
    <row r="4569" customFormat="false" ht="15" hidden="false" customHeight="false" outlineLevel="0" collapsed="false">
      <c r="A4569" s="50" t="s">
        <v>1596</v>
      </c>
      <c r="B4569" s="51" t="n">
        <v>45933</v>
      </c>
      <c r="C4569" s="50" t="s">
        <v>766</v>
      </c>
      <c r="D4569" s="50" t="s">
        <v>2180</v>
      </c>
      <c r="E4569" s="50" t="n">
        <v>4</v>
      </c>
      <c r="F4569" s="50" t="s">
        <v>2167</v>
      </c>
      <c r="G4569" s="54" t="n">
        <v>1807800</v>
      </c>
    </row>
    <row r="4570" customFormat="false" ht="15" hidden="false" customHeight="false" outlineLevel="0" collapsed="false">
      <c r="A4570" s="50" t="s">
        <v>1596</v>
      </c>
      <c r="B4570" s="51" t="n">
        <v>45933</v>
      </c>
      <c r="C4570" s="50" t="s">
        <v>766</v>
      </c>
      <c r="D4570" s="50" t="s">
        <v>2184</v>
      </c>
      <c r="E4570" s="50" t="n">
        <v>1</v>
      </c>
      <c r="F4570" s="50" t="s">
        <v>2167</v>
      </c>
      <c r="G4570" s="54" t="n">
        <v>548400</v>
      </c>
    </row>
    <row r="4571" customFormat="false" ht="15" hidden="false" customHeight="false" outlineLevel="0" collapsed="false">
      <c r="A4571" s="50" t="s">
        <v>1596</v>
      </c>
      <c r="B4571" s="51" t="n">
        <v>45933</v>
      </c>
      <c r="C4571" s="50" t="s">
        <v>766</v>
      </c>
      <c r="D4571" s="50" t="s">
        <v>2176</v>
      </c>
      <c r="E4571" s="50" t="n">
        <v>4</v>
      </c>
      <c r="F4571" s="50" t="s">
        <v>2167</v>
      </c>
      <c r="G4571" s="54" t="n">
        <v>1649900</v>
      </c>
    </row>
    <row r="4572" customFormat="false" ht="15" hidden="false" customHeight="false" outlineLevel="0" collapsed="false">
      <c r="A4572" s="50" t="s">
        <v>1597</v>
      </c>
      <c r="B4572" s="51" t="n">
        <v>45934</v>
      </c>
      <c r="C4572" s="50" t="s">
        <v>199</v>
      </c>
      <c r="D4572" s="50" t="s">
        <v>2168</v>
      </c>
      <c r="E4572" s="50" t="n">
        <v>1</v>
      </c>
      <c r="F4572" s="50" t="s">
        <v>2167</v>
      </c>
      <c r="G4572" s="54" t="n">
        <v>420900</v>
      </c>
    </row>
    <row r="4573" customFormat="false" ht="15" hidden="false" customHeight="false" outlineLevel="0" collapsed="false">
      <c r="A4573" s="50" t="s">
        <v>1597</v>
      </c>
      <c r="B4573" s="51" t="n">
        <v>45934</v>
      </c>
      <c r="C4573" s="50" t="s">
        <v>199</v>
      </c>
      <c r="D4573" s="50" t="s">
        <v>2183</v>
      </c>
      <c r="E4573" s="50" t="n">
        <v>1</v>
      </c>
      <c r="F4573" s="50" t="s">
        <v>2167</v>
      </c>
      <c r="G4573" s="54" t="n">
        <v>388200</v>
      </c>
    </row>
    <row r="4574" customFormat="false" ht="15" hidden="false" customHeight="false" outlineLevel="0" collapsed="false">
      <c r="A4574" s="50" t="s">
        <v>1597</v>
      </c>
      <c r="B4574" s="51" t="n">
        <v>45934</v>
      </c>
      <c r="C4574" s="50" t="s">
        <v>199</v>
      </c>
      <c r="D4574" s="50" t="s">
        <v>2182</v>
      </c>
      <c r="E4574" s="50" t="n">
        <v>2</v>
      </c>
      <c r="F4574" s="50" t="s">
        <v>2174</v>
      </c>
      <c r="G4574" s="54" t="n">
        <v>1842500</v>
      </c>
    </row>
    <row r="4575" customFormat="false" ht="15" hidden="false" customHeight="false" outlineLevel="0" collapsed="false">
      <c r="A4575" s="50" t="s">
        <v>1598</v>
      </c>
      <c r="B4575" s="51" t="n">
        <v>45934</v>
      </c>
      <c r="C4575" s="50" t="s">
        <v>289</v>
      </c>
      <c r="D4575" s="50" t="s">
        <v>2170</v>
      </c>
      <c r="E4575" s="50" t="n">
        <v>2</v>
      </c>
      <c r="F4575" s="50" t="s">
        <v>2171</v>
      </c>
      <c r="G4575" s="54" t="n">
        <v>15422700</v>
      </c>
    </row>
    <row r="4576" customFormat="false" ht="15" hidden="false" customHeight="false" outlineLevel="0" collapsed="false">
      <c r="A4576" s="50" t="s">
        <v>1599</v>
      </c>
      <c r="B4576" s="51" t="n">
        <v>45934</v>
      </c>
      <c r="C4576" s="50" t="s">
        <v>191</v>
      </c>
      <c r="D4576" s="50" t="s">
        <v>2184</v>
      </c>
      <c r="E4576" s="50" t="n">
        <v>6</v>
      </c>
      <c r="F4576" s="50" t="s">
        <v>2167</v>
      </c>
      <c r="G4576" s="54" t="n">
        <v>3365100</v>
      </c>
    </row>
    <row r="4577" customFormat="false" ht="15" hidden="false" customHeight="false" outlineLevel="0" collapsed="false">
      <c r="A4577" s="50" t="s">
        <v>1599</v>
      </c>
      <c r="B4577" s="51" t="n">
        <v>45934</v>
      </c>
      <c r="C4577" s="50" t="s">
        <v>191</v>
      </c>
      <c r="D4577" s="50" t="s">
        <v>2169</v>
      </c>
      <c r="E4577" s="50" t="n">
        <v>1</v>
      </c>
      <c r="F4577" s="50" t="s">
        <v>2167</v>
      </c>
      <c r="G4577" s="54" t="n">
        <v>600000</v>
      </c>
    </row>
    <row r="4578" customFormat="false" ht="15" hidden="false" customHeight="false" outlineLevel="0" collapsed="false">
      <c r="A4578" s="50" t="s">
        <v>1599</v>
      </c>
      <c r="B4578" s="51" t="n">
        <v>45934</v>
      </c>
      <c r="C4578" s="50" t="s">
        <v>191</v>
      </c>
      <c r="D4578" s="50" t="s">
        <v>2180</v>
      </c>
      <c r="E4578" s="50" t="n">
        <v>6</v>
      </c>
      <c r="F4578" s="50" t="s">
        <v>2167</v>
      </c>
      <c r="G4578" s="54" t="n">
        <v>2687900</v>
      </c>
    </row>
    <row r="4579" customFormat="false" ht="15" hidden="false" customHeight="false" outlineLevel="0" collapsed="false">
      <c r="A4579" s="50" t="s">
        <v>1599</v>
      </c>
      <c r="B4579" s="51" t="n">
        <v>45934</v>
      </c>
      <c r="C4579" s="50" t="s">
        <v>191</v>
      </c>
      <c r="D4579" s="50" t="s">
        <v>2185</v>
      </c>
      <c r="E4579" s="50" t="n">
        <v>8</v>
      </c>
      <c r="F4579" s="50" t="s">
        <v>2174</v>
      </c>
      <c r="G4579" s="54" t="n">
        <v>6179100</v>
      </c>
    </row>
    <row r="4580" customFormat="false" ht="15" hidden="false" customHeight="false" outlineLevel="0" collapsed="false">
      <c r="A4580" s="50" t="s">
        <v>1600</v>
      </c>
      <c r="B4580" s="51" t="n">
        <v>45934</v>
      </c>
      <c r="C4580" s="50" t="s">
        <v>174</v>
      </c>
      <c r="D4580" s="50" t="s">
        <v>2182</v>
      </c>
      <c r="E4580" s="50" t="n">
        <v>7</v>
      </c>
      <c r="F4580" s="50" t="s">
        <v>2174</v>
      </c>
      <c r="G4580" s="54" t="n">
        <v>6531000</v>
      </c>
    </row>
    <row r="4581" customFormat="false" ht="15" hidden="false" customHeight="false" outlineLevel="0" collapsed="false">
      <c r="A4581" s="50" t="s">
        <v>1600</v>
      </c>
      <c r="B4581" s="51" t="n">
        <v>45934</v>
      </c>
      <c r="C4581" s="50" t="s">
        <v>174</v>
      </c>
      <c r="D4581" s="50" t="s">
        <v>2173</v>
      </c>
      <c r="E4581" s="50" t="n">
        <v>8</v>
      </c>
      <c r="F4581" s="50" t="s">
        <v>2174</v>
      </c>
      <c r="G4581" s="54" t="n">
        <v>6329100</v>
      </c>
    </row>
    <row r="4582" customFormat="false" ht="15" hidden="false" customHeight="false" outlineLevel="0" collapsed="false">
      <c r="A4582" s="50" t="s">
        <v>1600</v>
      </c>
      <c r="B4582" s="51" t="n">
        <v>45934</v>
      </c>
      <c r="C4582" s="50" t="s">
        <v>174</v>
      </c>
      <c r="D4582" s="50" t="s">
        <v>2184</v>
      </c>
      <c r="E4582" s="50" t="n">
        <v>3</v>
      </c>
      <c r="F4582" s="50" t="s">
        <v>2167</v>
      </c>
      <c r="G4582" s="54" t="n">
        <v>1666200</v>
      </c>
    </row>
    <row r="4583" customFormat="false" ht="15" hidden="false" customHeight="false" outlineLevel="0" collapsed="false">
      <c r="A4583" s="50" t="s">
        <v>1600</v>
      </c>
      <c r="B4583" s="51" t="n">
        <v>45934</v>
      </c>
      <c r="C4583" s="50" t="s">
        <v>174</v>
      </c>
      <c r="D4583" s="50" t="s">
        <v>2185</v>
      </c>
      <c r="E4583" s="50" t="n">
        <v>6</v>
      </c>
      <c r="F4583" s="50" t="s">
        <v>2174</v>
      </c>
      <c r="G4583" s="54" t="n">
        <v>4830300</v>
      </c>
    </row>
    <row r="4584" customFormat="false" ht="15" hidden="false" customHeight="false" outlineLevel="0" collapsed="false">
      <c r="A4584" s="50" t="s">
        <v>1601</v>
      </c>
      <c r="B4584" s="51" t="n">
        <v>45934</v>
      </c>
      <c r="C4584" s="50" t="s">
        <v>967</v>
      </c>
      <c r="D4584" s="50" t="s">
        <v>2172</v>
      </c>
      <c r="E4584" s="50" t="n">
        <v>1</v>
      </c>
      <c r="F4584" s="50" t="s">
        <v>2167</v>
      </c>
      <c r="G4584" s="54" t="n">
        <v>505500</v>
      </c>
    </row>
    <row r="4585" customFormat="false" ht="15" hidden="false" customHeight="false" outlineLevel="0" collapsed="false">
      <c r="A4585" s="50" t="s">
        <v>1601</v>
      </c>
      <c r="B4585" s="51" t="n">
        <v>45934</v>
      </c>
      <c r="C4585" s="50" t="s">
        <v>967</v>
      </c>
      <c r="D4585" s="50" t="s">
        <v>2168</v>
      </c>
      <c r="E4585" s="50" t="n">
        <v>7</v>
      </c>
      <c r="F4585" s="50" t="s">
        <v>2167</v>
      </c>
      <c r="G4585" s="54" t="n">
        <v>3011300</v>
      </c>
    </row>
    <row r="4586" customFormat="false" ht="15" hidden="false" customHeight="false" outlineLevel="0" collapsed="false">
      <c r="A4586" s="50" t="s">
        <v>1601</v>
      </c>
      <c r="B4586" s="51" t="n">
        <v>45934</v>
      </c>
      <c r="C4586" s="50" t="s">
        <v>967</v>
      </c>
      <c r="D4586" s="50" t="s">
        <v>2178</v>
      </c>
      <c r="E4586" s="50" t="n">
        <v>1</v>
      </c>
      <c r="F4586" s="50" t="s">
        <v>2167</v>
      </c>
      <c r="G4586" s="54" t="n">
        <v>483000</v>
      </c>
    </row>
    <row r="4587" customFormat="false" ht="15" hidden="false" customHeight="false" outlineLevel="0" collapsed="false">
      <c r="A4587" s="50" t="s">
        <v>1602</v>
      </c>
      <c r="B4587" s="51" t="n">
        <v>45934</v>
      </c>
      <c r="C4587" s="50" t="s">
        <v>479</v>
      </c>
      <c r="D4587" s="50" t="s">
        <v>2176</v>
      </c>
      <c r="E4587" s="50" t="n">
        <v>2</v>
      </c>
      <c r="F4587" s="50" t="s">
        <v>2167</v>
      </c>
      <c r="G4587" s="54" t="n">
        <v>857700</v>
      </c>
    </row>
    <row r="4588" customFormat="false" ht="15" hidden="false" customHeight="false" outlineLevel="0" collapsed="false">
      <c r="A4588" s="50" t="s">
        <v>1602</v>
      </c>
      <c r="B4588" s="51" t="n">
        <v>45934</v>
      </c>
      <c r="C4588" s="50" t="s">
        <v>479</v>
      </c>
      <c r="D4588" s="50" t="s">
        <v>2186</v>
      </c>
      <c r="E4588" s="50" t="n">
        <v>8</v>
      </c>
      <c r="F4588" s="50" t="s">
        <v>2167</v>
      </c>
      <c r="G4588" s="54" t="n">
        <v>4586800</v>
      </c>
    </row>
    <row r="4589" customFormat="false" ht="15" hidden="false" customHeight="false" outlineLevel="0" collapsed="false">
      <c r="A4589" s="50" t="s">
        <v>1602</v>
      </c>
      <c r="B4589" s="51" t="n">
        <v>45934</v>
      </c>
      <c r="C4589" s="50" t="s">
        <v>479</v>
      </c>
      <c r="D4589" s="50" t="s">
        <v>2178</v>
      </c>
      <c r="E4589" s="50" t="n">
        <v>5</v>
      </c>
      <c r="F4589" s="50" t="s">
        <v>2167</v>
      </c>
      <c r="G4589" s="54" t="n">
        <v>2491200</v>
      </c>
    </row>
    <row r="4590" customFormat="false" ht="15" hidden="false" customHeight="false" outlineLevel="0" collapsed="false">
      <c r="A4590" s="50" t="s">
        <v>1603</v>
      </c>
      <c r="B4590" s="51" t="n">
        <v>45934</v>
      </c>
      <c r="C4590" s="50" t="s">
        <v>218</v>
      </c>
      <c r="D4590" s="50" t="s">
        <v>2178</v>
      </c>
      <c r="E4590" s="50" t="n">
        <v>3</v>
      </c>
      <c r="F4590" s="50" t="s">
        <v>2167</v>
      </c>
      <c r="G4590" s="54" t="n">
        <v>1457100</v>
      </c>
    </row>
    <row r="4591" customFormat="false" ht="15" hidden="false" customHeight="false" outlineLevel="0" collapsed="false">
      <c r="A4591" s="50" t="s">
        <v>1603</v>
      </c>
      <c r="B4591" s="51" t="n">
        <v>45934</v>
      </c>
      <c r="C4591" s="50" t="s">
        <v>218</v>
      </c>
      <c r="D4591" s="50" t="s">
        <v>2188</v>
      </c>
      <c r="E4591" s="50" t="n">
        <v>6</v>
      </c>
      <c r="F4591" s="50" t="s">
        <v>2167</v>
      </c>
      <c r="G4591" s="54" t="n">
        <v>6066800</v>
      </c>
    </row>
    <row r="4592" customFormat="false" ht="15" hidden="false" customHeight="false" outlineLevel="0" collapsed="false">
      <c r="A4592" s="50" t="s">
        <v>1603</v>
      </c>
      <c r="B4592" s="51" t="n">
        <v>45934</v>
      </c>
      <c r="C4592" s="50" t="s">
        <v>218</v>
      </c>
      <c r="D4592" s="50" t="s">
        <v>2176</v>
      </c>
      <c r="E4592" s="50" t="n">
        <v>7</v>
      </c>
      <c r="F4592" s="50" t="s">
        <v>2167</v>
      </c>
      <c r="G4592" s="54" t="n">
        <v>3013900</v>
      </c>
    </row>
    <row r="4593" customFormat="false" ht="15" hidden="false" customHeight="false" outlineLevel="0" collapsed="false">
      <c r="A4593" s="50" t="s">
        <v>1604</v>
      </c>
      <c r="B4593" s="51" t="n">
        <v>45934</v>
      </c>
      <c r="C4593" s="50" t="s">
        <v>447</v>
      </c>
      <c r="D4593" s="50" t="s">
        <v>2175</v>
      </c>
      <c r="E4593" s="50" t="n">
        <v>5</v>
      </c>
      <c r="F4593" s="50" t="s">
        <v>2167</v>
      </c>
      <c r="G4593" s="54" t="n">
        <v>3282100</v>
      </c>
    </row>
    <row r="4594" customFormat="false" ht="15" hidden="false" customHeight="false" outlineLevel="0" collapsed="false">
      <c r="A4594" s="50" t="s">
        <v>1604</v>
      </c>
      <c r="B4594" s="51" t="n">
        <v>45934</v>
      </c>
      <c r="C4594" s="50" t="s">
        <v>447</v>
      </c>
      <c r="D4594" s="50" t="s">
        <v>2173</v>
      </c>
      <c r="E4594" s="50" t="n">
        <v>5</v>
      </c>
      <c r="F4594" s="50" t="s">
        <v>2174</v>
      </c>
      <c r="G4594" s="54" t="n">
        <v>4045100</v>
      </c>
    </row>
    <row r="4595" customFormat="false" ht="15" hidden="false" customHeight="false" outlineLevel="0" collapsed="false">
      <c r="A4595" s="50" t="s">
        <v>1605</v>
      </c>
      <c r="B4595" s="51" t="n">
        <v>45934</v>
      </c>
      <c r="C4595" s="50" t="s">
        <v>325</v>
      </c>
      <c r="D4595" s="50" t="s">
        <v>2178</v>
      </c>
      <c r="E4595" s="50" t="n">
        <v>6</v>
      </c>
      <c r="F4595" s="50" t="s">
        <v>2167</v>
      </c>
      <c r="G4595" s="54" t="n">
        <v>2944900</v>
      </c>
    </row>
    <row r="4596" customFormat="false" ht="15" hidden="false" customHeight="false" outlineLevel="0" collapsed="false">
      <c r="A4596" s="50" t="s">
        <v>1605</v>
      </c>
      <c r="B4596" s="51" t="n">
        <v>45934</v>
      </c>
      <c r="C4596" s="50" t="s">
        <v>325</v>
      </c>
      <c r="D4596" s="50" t="s">
        <v>2179</v>
      </c>
      <c r="E4596" s="50" t="n">
        <v>3</v>
      </c>
      <c r="F4596" s="50" t="s">
        <v>2174</v>
      </c>
      <c r="G4596" s="54" t="n">
        <v>3807700</v>
      </c>
    </row>
    <row r="4597" customFormat="false" ht="15" hidden="false" customHeight="false" outlineLevel="0" collapsed="false">
      <c r="A4597" s="50" t="s">
        <v>1606</v>
      </c>
      <c r="B4597" s="51" t="n">
        <v>45936</v>
      </c>
      <c r="C4597" s="50" t="s">
        <v>172</v>
      </c>
      <c r="D4597" s="50" t="s">
        <v>2175</v>
      </c>
      <c r="E4597" s="50" t="n">
        <v>3</v>
      </c>
      <c r="F4597" s="50" t="s">
        <v>2167</v>
      </c>
      <c r="G4597" s="54" t="n">
        <v>1859800</v>
      </c>
    </row>
    <row r="4598" customFormat="false" ht="15" hidden="false" customHeight="false" outlineLevel="0" collapsed="false">
      <c r="A4598" s="50" t="s">
        <v>1606</v>
      </c>
      <c r="B4598" s="51" t="n">
        <v>45936</v>
      </c>
      <c r="C4598" s="50" t="s">
        <v>172</v>
      </c>
      <c r="D4598" s="50" t="s">
        <v>2178</v>
      </c>
      <c r="E4598" s="50" t="n">
        <v>6</v>
      </c>
      <c r="F4598" s="50" t="s">
        <v>2167</v>
      </c>
      <c r="G4598" s="54" t="n">
        <v>2944200</v>
      </c>
    </row>
    <row r="4599" customFormat="false" ht="15" hidden="false" customHeight="false" outlineLevel="0" collapsed="false">
      <c r="A4599" s="50" t="s">
        <v>1607</v>
      </c>
      <c r="B4599" s="51" t="n">
        <v>45936</v>
      </c>
      <c r="C4599" s="50" t="s">
        <v>228</v>
      </c>
      <c r="D4599" s="50" t="s">
        <v>2178</v>
      </c>
      <c r="E4599" s="50" t="n">
        <v>5</v>
      </c>
      <c r="F4599" s="50" t="s">
        <v>2167</v>
      </c>
      <c r="G4599" s="54" t="n">
        <v>2491700</v>
      </c>
    </row>
    <row r="4600" customFormat="false" ht="15" hidden="false" customHeight="false" outlineLevel="0" collapsed="false">
      <c r="A4600" s="50" t="s">
        <v>1608</v>
      </c>
      <c r="B4600" s="51" t="n">
        <v>45936</v>
      </c>
      <c r="C4600" s="50" t="s">
        <v>419</v>
      </c>
      <c r="D4600" s="50" t="s">
        <v>2175</v>
      </c>
      <c r="E4600" s="50" t="n">
        <v>3</v>
      </c>
      <c r="F4600" s="50" t="s">
        <v>2167</v>
      </c>
      <c r="G4600" s="54" t="n">
        <v>1880200</v>
      </c>
    </row>
    <row r="4601" customFormat="false" ht="15" hidden="false" customHeight="false" outlineLevel="0" collapsed="false">
      <c r="A4601" s="50" t="s">
        <v>1609</v>
      </c>
      <c r="B4601" s="51" t="n">
        <v>45936</v>
      </c>
      <c r="C4601" s="50" t="s">
        <v>174</v>
      </c>
      <c r="D4601" s="50" t="s">
        <v>2179</v>
      </c>
      <c r="E4601" s="50" t="n">
        <v>4</v>
      </c>
      <c r="F4601" s="50" t="s">
        <v>2174</v>
      </c>
      <c r="G4601" s="54" t="n">
        <v>5093200</v>
      </c>
    </row>
    <row r="4602" customFormat="false" ht="15" hidden="false" customHeight="false" outlineLevel="0" collapsed="false">
      <c r="A4602" s="50" t="s">
        <v>1609</v>
      </c>
      <c r="B4602" s="51" t="n">
        <v>45936</v>
      </c>
      <c r="C4602" s="50" t="s">
        <v>174</v>
      </c>
      <c r="D4602" s="50" t="s">
        <v>2168</v>
      </c>
      <c r="E4602" s="50" t="n">
        <v>5</v>
      </c>
      <c r="F4602" s="50" t="s">
        <v>2167</v>
      </c>
      <c r="G4602" s="54" t="n">
        <v>2215200</v>
      </c>
    </row>
    <row r="4603" customFormat="false" ht="15" hidden="false" customHeight="false" outlineLevel="0" collapsed="false">
      <c r="A4603" s="50" t="s">
        <v>1609</v>
      </c>
      <c r="B4603" s="51" t="n">
        <v>45936</v>
      </c>
      <c r="C4603" s="50" t="s">
        <v>174</v>
      </c>
      <c r="D4603" s="50" t="s">
        <v>2176</v>
      </c>
      <c r="E4603" s="50" t="n">
        <v>8</v>
      </c>
      <c r="F4603" s="50" t="s">
        <v>2167</v>
      </c>
      <c r="G4603" s="54" t="n">
        <v>3418100</v>
      </c>
    </row>
    <row r="4604" customFormat="false" ht="15" hidden="false" customHeight="false" outlineLevel="0" collapsed="false">
      <c r="A4604" s="50" t="s">
        <v>1609</v>
      </c>
      <c r="B4604" s="51" t="n">
        <v>45936</v>
      </c>
      <c r="C4604" s="50" t="s">
        <v>174</v>
      </c>
      <c r="D4604" s="50" t="s">
        <v>2186</v>
      </c>
      <c r="E4604" s="50" t="n">
        <v>7</v>
      </c>
      <c r="F4604" s="50" t="s">
        <v>2167</v>
      </c>
      <c r="G4604" s="54" t="n">
        <v>4068600</v>
      </c>
    </row>
    <row r="4605" customFormat="false" ht="15" hidden="false" customHeight="false" outlineLevel="0" collapsed="false">
      <c r="A4605" s="50" t="s">
        <v>1610</v>
      </c>
      <c r="B4605" s="51" t="n">
        <v>45936</v>
      </c>
      <c r="C4605" s="50" t="s">
        <v>166</v>
      </c>
      <c r="D4605" s="50" t="s">
        <v>2186</v>
      </c>
      <c r="E4605" s="50" t="n">
        <v>4</v>
      </c>
      <c r="F4605" s="50" t="s">
        <v>2167</v>
      </c>
      <c r="G4605" s="54" t="n">
        <v>2270500</v>
      </c>
    </row>
    <row r="4606" customFormat="false" ht="15" hidden="false" customHeight="false" outlineLevel="0" collapsed="false">
      <c r="A4606" s="50" t="s">
        <v>1610</v>
      </c>
      <c r="B4606" s="51" t="n">
        <v>45936</v>
      </c>
      <c r="C4606" s="50" t="s">
        <v>166</v>
      </c>
      <c r="D4606" s="50" t="s">
        <v>2178</v>
      </c>
      <c r="E4606" s="50" t="n">
        <v>1</v>
      </c>
      <c r="F4606" s="50" t="s">
        <v>2167</v>
      </c>
      <c r="G4606" s="54" t="n">
        <v>496200</v>
      </c>
    </row>
    <row r="4607" customFormat="false" ht="15" hidden="false" customHeight="false" outlineLevel="0" collapsed="false">
      <c r="A4607" s="50" t="s">
        <v>1611</v>
      </c>
      <c r="B4607" s="51" t="n">
        <v>45937</v>
      </c>
      <c r="C4607" s="50" t="s">
        <v>298</v>
      </c>
      <c r="D4607" s="50" t="s">
        <v>2180</v>
      </c>
      <c r="E4607" s="50" t="n">
        <v>1</v>
      </c>
      <c r="F4607" s="50" t="s">
        <v>2167</v>
      </c>
      <c r="G4607" s="54" t="n">
        <v>452900</v>
      </c>
    </row>
    <row r="4608" customFormat="false" ht="15" hidden="false" customHeight="false" outlineLevel="0" collapsed="false">
      <c r="A4608" s="50" t="s">
        <v>1611</v>
      </c>
      <c r="B4608" s="51" t="n">
        <v>45937</v>
      </c>
      <c r="C4608" s="50" t="s">
        <v>298</v>
      </c>
      <c r="D4608" s="50" t="s">
        <v>2179</v>
      </c>
      <c r="E4608" s="50" t="n">
        <v>4</v>
      </c>
      <c r="F4608" s="50" t="s">
        <v>2174</v>
      </c>
      <c r="G4608" s="54" t="n">
        <v>4869200</v>
      </c>
    </row>
    <row r="4609" customFormat="false" ht="15" hidden="false" customHeight="false" outlineLevel="0" collapsed="false">
      <c r="A4609" s="50" t="s">
        <v>1612</v>
      </c>
      <c r="B4609" s="51" t="n">
        <v>45937</v>
      </c>
      <c r="C4609" s="50" t="s">
        <v>286</v>
      </c>
      <c r="D4609" s="50" t="s">
        <v>2170</v>
      </c>
      <c r="E4609" s="50" t="n">
        <v>1</v>
      </c>
      <c r="F4609" s="50" t="s">
        <v>2171</v>
      </c>
      <c r="G4609" s="54" t="n">
        <v>7366400</v>
      </c>
    </row>
    <row r="4610" customFormat="false" ht="15" hidden="false" customHeight="false" outlineLevel="0" collapsed="false">
      <c r="A4610" s="50" t="s">
        <v>1612</v>
      </c>
      <c r="B4610" s="51" t="n">
        <v>45937</v>
      </c>
      <c r="C4610" s="50" t="s">
        <v>286</v>
      </c>
      <c r="D4610" s="50" t="s">
        <v>2184</v>
      </c>
      <c r="E4610" s="50" t="n">
        <v>5</v>
      </c>
      <c r="F4610" s="50" t="s">
        <v>2167</v>
      </c>
      <c r="G4610" s="54" t="n">
        <v>2883400</v>
      </c>
    </row>
    <row r="4611" customFormat="false" ht="15" hidden="false" customHeight="false" outlineLevel="0" collapsed="false">
      <c r="A4611" s="50" t="s">
        <v>1613</v>
      </c>
      <c r="B4611" s="51" t="n">
        <v>45937</v>
      </c>
      <c r="C4611" s="50" t="s">
        <v>778</v>
      </c>
      <c r="D4611" s="50" t="s">
        <v>2176</v>
      </c>
      <c r="E4611" s="50" t="n">
        <v>8</v>
      </c>
      <c r="F4611" s="50" t="s">
        <v>2167</v>
      </c>
      <c r="G4611" s="54" t="n">
        <v>3267500</v>
      </c>
    </row>
    <row r="4612" customFormat="false" ht="15" hidden="false" customHeight="false" outlineLevel="0" collapsed="false">
      <c r="A4612" s="50" t="s">
        <v>1613</v>
      </c>
      <c r="B4612" s="51" t="n">
        <v>45937</v>
      </c>
      <c r="C4612" s="50" t="s">
        <v>778</v>
      </c>
      <c r="D4612" s="50" t="s">
        <v>2169</v>
      </c>
      <c r="E4612" s="50" t="n">
        <v>8</v>
      </c>
      <c r="F4612" s="50" t="s">
        <v>2167</v>
      </c>
      <c r="G4612" s="54" t="n">
        <v>5081800</v>
      </c>
    </row>
    <row r="4613" customFormat="false" ht="15" hidden="false" customHeight="false" outlineLevel="0" collapsed="false">
      <c r="A4613" s="50" t="s">
        <v>1613</v>
      </c>
      <c r="B4613" s="51" t="n">
        <v>45937</v>
      </c>
      <c r="C4613" s="50" t="s">
        <v>778</v>
      </c>
      <c r="D4613" s="50" t="s">
        <v>2173</v>
      </c>
      <c r="E4613" s="50" t="n">
        <v>5</v>
      </c>
      <c r="F4613" s="50" t="s">
        <v>2174</v>
      </c>
      <c r="G4613" s="54" t="n">
        <v>4106000</v>
      </c>
    </row>
    <row r="4614" customFormat="false" ht="15" hidden="false" customHeight="false" outlineLevel="0" collapsed="false">
      <c r="A4614" s="50" t="s">
        <v>1613</v>
      </c>
      <c r="B4614" s="51" t="n">
        <v>45937</v>
      </c>
      <c r="C4614" s="50" t="s">
        <v>778</v>
      </c>
      <c r="D4614" s="50" t="s">
        <v>2180</v>
      </c>
      <c r="E4614" s="50" t="n">
        <v>3</v>
      </c>
      <c r="F4614" s="50" t="s">
        <v>2167</v>
      </c>
      <c r="G4614" s="54" t="n">
        <v>1309400</v>
      </c>
    </row>
    <row r="4615" customFormat="false" ht="15" hidden="false" customHeight="false" outlineLevel="0" collapsed="false">
      <c r="A4615" s="50" t="s">
        <v>1614</v>
      </c>
      <c r="B4615" s="51" t="n">
        <v>45937</v>
      </c>
      <c r="C4615" s="50" t="s">
        <v>186</v>
      </c>
      <c r="D4615" s="50" t="s">
        <v>2168</v>
      </c>
      <c r="E4615" s="50" t="n">
        <v>8</v>
      </c>
      <c r="F4615" s="50" t="s">
        <v>2167</v>
      </c>
      <c r="G4615" s="54" t="n">
        <v>3369400</v>
      </c>
    </row>
    <row r="4616" customFormat="false" ht="15" hidden="false" customHeight="false" outlineLevel="0" collapsed="false">
      <c r="A4616" s="50" t="s">
        <v>1615</v>
      </c>
      <c r="B4616" s="51" t="n">
        <v>45937</v>
      </c>
      <c r="C4616" s="50" t="s">
        <v>523</v>
      </c>
      <c r="D4616" s="50" t="s">
        <v>2173</v>
      </c>
      <c r="E4616" s="50" t="n">
        <v>3</v>
      </c>
      <c r="F4616" s="50" t="s">
        <v>2174</v>
      </c>
      <c r="G4616" s="54" t="n">
        <v>2461300</v>
      </c>
    </row>
    <row r="4617" customFormat="false" ht="15" hidden="false" customHeight="false" outlineLevel="0" collapsed="false">
      <c r="A4617" s="50" t="s">
        <v>1615</v>
      </c>
      <c r="B4617" s="51" t="n">
        <v>45937</v>
      </c>
      <c r="C4617" s="50" t="s">
        <v>523</v>
      </c>
      <c r="D4617" s="50" t="s">
        <v>2183</v>
      </c>
      <c r="E4617" s="50" t="n">
        <v>6</v>
      </c>
      <c r="F4617" s="50" t="s">
        <v>2167</v>
      </c>
      <c r="G4617" s="54" t="n">
        <v>2298800</v>
      </c>
    </row>
    <row r="4618" customFormat="false" ht="15" hidden="false" customHeight="false" outlineLevel="0" collapsed="false">
      <c r="A4618" s="50" t="s">
        <v>1616</v>
      </c>
      <c r="B4618" s="51" t="n">
        <v>45937</v>
      </c>
      <c r="C4618" s="50" t="s">
        <v>382</v>
      </c>
      <c r="D4618" s="50" t="s">
        <v>2181</v>
      </c>
      <c r="E4618" s="50" t="n">
        <v>6</v>
      </c>
      <c r="F4618" s="50" t="s">
        <v>2167</v>
      </c>
      <c r="G4618" s="54" t="n">
        <v>6673500</v>
      </c>
    </row>
    <row r="4619" customFormat="false" ht="15" hidden="false" customHeight="false" outlineLevel="0" collapsed="false">
      <c r="A4619" s="50" t="s">
        <v>1616</v>
      </c>
      <c r="B4619" s="51" t="n">
        <v>45937</v>
      </c>
      <c r="C4619" s="50" t="s">
        <v>382</v>
      </c>
      <c r="D4619" s="50" t="s">
        <v>2179</v>
      </c>
      <c r="E4619" s="50" t="n">
        <v>1</v>
      </c>
      <c r="F4619" s="50" t="s">
        <v>2174</v>
      </c>
      <c r="G4619" s="54" t="n">
        <v>1256900</v>
      </c>
    </row>
    <row r="4620" customFormat="false" ht="15" hidden="false" customHeight="false" outlineLevel="0" collapsed="false">
      <c r="A4620" s="50" t="s">
        <v>1616</v>
      </c>
      <c r="B4620" s="51" t="n">
        <v>45937</v>
      </c>
      <c r="C4620" s="50" t="s">
        <v>382</v>
      </c>
      <c r="D4620" s="50" t="s">
        <v>2178</v>
      </c>
      <c r="E4620" s="50" t="n">
        <v>5</v>
      </c>
      <c r="F4620" s="50" t="s">
        <v>2167</v>
      </c>
      <c r="G4620" s="54" t="n">
        <v>2431900</v>
      </c>
    </row>
    <row r="4621" customFormat="false" ht="15" hidden="false" customHeight="false" outlineLevel="0" collapsed="false">
      <c r="A4621" s="50" t="s">
        <v>1616</v>
      </c>
      <c r="B4621" s="51" t="n">
        <v>45937</v>
      </c>
      <c r="C4621" s="50" t="s">
        <v>382</v>
      </c>
      <c r="D4621" s="50" t="s">
        <v>2186</v>
      </c>
      <c r="E4621" s="50" t="n">
        <v>5</v>
      </c>
      <c r="F4621" s="50" t="s">
        <v>2167</v>
      </c>
      <c r="G4621" s="54" t="n">
        <v>2993100</v>
      </c>
    </row>
    <row r="4622" customFormat="false" ht="15" hidden="false" customHeight="false" outlineLevel="0" collapsed="false">
      <c r="A4622" s="50" t="s">
        <v>1617</v>
      </c>
      <c r="B4622" s="51" t="n">
        <v>45938</v>
      </c>
      <c r="C4622" s="50" t="s">
        <v>329</v>
      </c>
      <c r="D4622" s="50" t="s">
        <v>2184</v>
      </c>
      <c r="E4622" s="50" t="n">
        <v>4</v>
      </c>
      <c r="F4622" s="50" t="s">
        <v>2167</v>
      </c>
      <c r="G4622" s="54" t="n">
        <v>2293300</v>
      </c>
    </row>
    <row r="4623" customFormat="false" ht="15" hidden="false" customHeight="false" outlineLevel="0" collapsed="false">
      <c r="A4623" s="50" t="s">
        <v>1617</v>
      </c>
      <c r="B4623" s="51" t="n">
        <v>45938</v>
      </c>
      <c r="C4623" s="50" t="s">
        <v>329</v>
      </c>
      <c r="D4623" s="50" t="s">
        <v>2180</v>
      </c>
      <c r="E4623" s="50" t="n">
        <v>4</v>
      </c>
      <c r="F4623" s="50" t="s">
        <v>2167</v>
      </c>
      <c r="G4623" s="54" t="n">
        <v>1780900</v>
      </c>
    </row>
    <row r="4624" customFormat="false" ht="15" hidden="false" customHeight="false" outlineLevel="0" collapsed="false">
      <c r="A4624" s="50" t="s">
        <v>1617</v>
      </c>
      <c r="B4624" s="51" t="n">
        <v>45938</v>
      </c>
      <c r="C4624" s="50" t="s">
        <v>329</v>
      </c>
      <c r="D4624" s="50" t="s">
        <v>2183</v>
      </c>
      <c r="E4624" s="50" t="n">
        <v>4</v>
      </c>
      <c r="F4624" s="50" t="s">
        <v>2167</v>
      </c>
      <c r="G4624" s="54" t="n">
        <v>1471400</v>
      </c>
    </row>
    <row r="4625" customFormat="false" ht="15" hidden="false" customHeight="false" outlineLevel="0" collapsed="false">
      <c r="A4625" s="50" t="s">
        <v>1618</v>
      </c>
      <c r="B4625" s="51" t="n">
        <v>45938</v>
      </c>
      <c r="C4625" s="50" t="s">
        <v>211</v>
      </c>
      <c r="D4625" s="50" t="s">
        <v>2172</v>
      </c>
      <c r="E4625" s="50" t="n">
        <v>6</v>
      </c>
      <c r="F4625" s="50" t="s">
        <v>2167</v>
      </c>
      <c r="G4625" s="54" t="n">
        <v>3068600</v>
      </c>
    </row>
    <row r="4626" customFormat="false" ht="15" hidden="false" customHeight="false" outlineLevel="0" collapsed="false">
      <c r="A4626" s="50" t="s">
        <v>1618</v>
      </c>
      <c r="B4626" s="51" t="n">
        <v>45938</v>
      </c>
      <c r="C4626" s="50" t="s">
        <v>211</v>
      </c>
      <c r="D4626" s="50" t="s">
        <v>2180</v>
      </c>
      <c r="E4626" s="50" t="n">
        <v>7</v>
      </c>
      <c r="F4626" s="50" t="s">
        <v>2167</v>
      </c>
      <c r="G4626" s="54" t="n">
        <v>3202500</v>
      </c>
    </row>
    <row r="4627" customFormat="false" ht="15" hidden="false" customHeight="false" outlineLevel="0" collapsed="false">
      <c r="A4627" s="50" t="s">
        <v>1619</v>
      </c>
      <c r="B4627" s="51" t="n">
        <v>45938</v>
      </c>
      <c r="C4627" s="50" t="s">
        <v>261</v>
      </c>
      <c r="D4627" s="50" t="s">
        <v>2169</v>
      </c>
      <c r="E4627" s="50" t="n">
        <v>6</v>
      </c>
      <c r="F4627" s="50" t="s">
        <v>2167</v>
      </c>
      <c r="G4627" s="54" t="n">
        <v>3756600</v>
      </c>
    </row>
    <row r="4628" customFormat="false" ht="15" hidden="false" customHeight="false" outlineLevel="0" collapsed="false">
      <c r="A4628" s="50" t="s">
        <v>1619</v>
      </c>
      <c r="B4628" s="51" t="n">
        <v>45938</v>
      </c>
      <c r="C4628" s="50" t="s">
        <v>261</v>
      </c>
      <c r="D4628" s="50" t="s">
        <v>2177</v>
      </c>
      <c r="E4628" s="50" t="n">
        <v>5</v>
      </c>
      <c r="F4628" s="50" t="s">
        <v>2174</v>
      </c>
      <c r="G4628" s="54" t="n">
        <v>5364100</v>
      </c>
    </row>
    <row r="4629" customFormat="false" ht="15" hidden="false" customHeight="false" outlineLevel="0" collapsed="false">
      <c r="A4629" s="50" t="s">
        <v>1619</v>
      </c>
      <c r="B4629" s="51" t="n">
        <v>45938</v>
      </c>
      <c r="C4629" s="50" t="s">
        <v>261</v>
      </c>
      <c r="D4629" s="50" t="s">
        <v>2185</v>
      </c>
      <c r="E4629" s="50" t="n">
        <v>5</v>
      </c>
      <c r="F4629" s="50" t="s">
        <v>2174</v>
      </c>
      <c r="G4629" s="54" t="n">
        <v>3801000</v>
      </c>
    </row>
    <row r="4630" customFormat="false" ht="15" hidden="false" customHeight="false" outlineLevel="0" collapsed="false">
      <c r="A4630" s="50" t="s">
        <v>1620</v>
      </c>
      <c r="B4630" s="51" t="n">
        <v>45938</v>
      </c>
      <c r="C4630" s="50" t="s">
        <v>284</v>
      </c>
      <c r="D4630" s="50" t="s">
        <v>2168</v>
      </c>
      <c r="E4630" s="50" t="n">
        <v>7</v>
      </c>
      <c r="F4630" s="50" t="s">
        <v>2167</v>
      </c>
      <c r="G4630" s="54" t="n">
        <v>3075900</v>
      </c>
    </row>
    <row r="4631" customFormat="false" ht="15" hidden="false" customHeight="false" outlineLevel="0" collapsed="false">
      <c r="A4631" s="50" t="s">
        <v>1620</v>
      </c>
      <c r="B4631" s="51" t="n">
        <v>45938</v>
      </c>
      <c r="C4631" s="50" t="s">
        <v>284</v>
      </c>
      <c r="D4631" s="50" t="s">
        <v>2187</v>
      </c>
      <c r="E4631" s="50" t="n">
        <v>3</v>
      </c>
      <c r="F4631" s="50" t="s">
        <v>2167</v>
      </c>
      <c r="G4631" s="54" t="n">
        <v>1067000</v>
      </c>
    </row>
    <row r="4632" customFormat="false" ht="15" hidden="false" customHeight="false" outlineLevel="0" collapsed="false">
      <c r="A4632" s="50" t="s">
        <v>1620</v>
      </c>
      <c r="B4632" s="51" t="n">
        <v>45938</v>
      </c>
      <c r="C4632" s="50" t="s">
        <v>284</v>
      </c>
      <c r="D4632" s="50" t="s">
        <v>2169</v>
      </c>
      <c r="E4632" s="50" t="n">
        <v>5</v>
      </c>
      <c r="F4632" s="50" t="s">
        <v>2167</v>
      </c>
      <c r="G4632" s="54" t="n">
        <v>3154700</v>
      </c>
    </row>
    <row r="4633" customFormat="false" ht="15" hidden="false" customHeight="false" outlineLevel="0" collapsed="false">
      <c r="A4633" s="50" t="s">
        <v>1620</v>
      </c>
      <c r="B4633" s="51" t="n">
        <v>45938</v>
      </c>
      <c r="C4633" s="50" t="s">
        <v>284</v>
      </c>
      <c r="D4633" s="50" t="s">
        <v>2173</v>
      </c>
      <c r="E4633" s="50" t="n">
        <v>2</v>
      </c>
      <c r="F4633" s="50" t="s">
        <v>2174</v>
      </c>
      <c r="G4633" s="54" t="n">
        <v>1628700</v>
      </c>
    </row>
    <row r="4634" customFormat="false" ht="15" hidden="false" customHeight="false" outlineLevel="0" collapsed="false">
      <c r="A4634" s="50" t="s">
        <v>1621</v>
      </c>
      <c r="B4634" s="51" t="n">
        <v>45938</v>
      </c>
      <c r="C4634" s="50" t="s">
        <v>174</v>
      </c>
      <c r="D4634" s="50" t="s">
        <v>2166</v>
      </c>
      <c r="E4634" s="50" t="n">
        <v>1</v>
      </c>
      <c r="F4634" s="50" t="s">
        <v>2167</v>
      </c>
      <c r="G4634" s="54" t="n">
        <v>546400</v>
      </c>
    </row>
    <row r="4635" customFormat="false" ht="15" hidden="false" customHeight="false" outlineLevel="0" collapsed="false">
      <c r="A4635" s="50" t="s">
        <v>1621</v>
      </c>
      <c r="B4635" s="51" t="n">
        <v>45938</v>
      </c>
      <c r="C4635" s="50" t="s">
        <v>174</v>
      </c>
      <c r="D4635" s="50" t="s">
        <v>2178</v>
      </c>
      <c r="E4635" s="50" t="n">
        <v>2</v>
      </c>
      <c r="F4635" s="50" t="s">
        <v>2167</v>
      </c>
      <c r="G4635" s="54" t="n">
        <v>924200</v>
      </c>
    </row>
    <row r="4636" customFormat="false" ht="15" hidden="false" customHeight="false" outlineLevel="0" collapsed="false">
      <c r="A4636" s="50" t="s">
        <v>1622</v>
      </c>
      <c r="B4636" s="51" t="n">
        <v>45939</v>
      </c>
      <c r="C4636" s="50" t="s">
        <v>203</v>
      </c>
      <c r="D4636" s="50" t="s">
        <v>2178</v>
      </c>
      <c r="E4636" s="50" t="n">
        <v>7</v>
      </c>
      <c r="F4636" s="50" t="s">
        <v>2167</v>
      </c>
      <c r="G4636" s="54" t="n">
        <v>3232200</v>
      </c>
    </row>
    <row r="4637" customFormat="false" ht="15" hidden="false" customHeight="false" outlineLevel="0" collapsed="false">
      <c r="A4637" s="50" t="s">
        <v>1623</v>
      </c>
      <c r="B4637" s="51" t="n">
        <v>45939</v>
      </c>
      <c r="C4637" s="50" t="s">
        <v>463</v>
      </c>
      <c r="D4637" s="50" t="s">
        <v>2183</v>
      </c>
      <c r="E4637" s="50" t="n">
        <v>4</v>
      </c>
      <c r="F4637" s="50" t="s">
        <v>2167</v>
      </c>
      <c r="G4637" s="54" t="n">
        <v>1513700</v>
      </c>
    </row>
    <row r="4638" customFormat="false" ht="15" hidden="false" customHeight="false" outlineLevel="0" collapsed="false">
      <c r="A4638" s="50" t="s">
        <v>1623</v>
      </c>
      <c r="B4638" s="51" t="n">
        <v>45939</v>
      </c>
      <c r="C4638" s="50" t="s">
        <v>463</v>
      </c>
      <c r="D4638" s="50" t="s">
        <v>2184</v>
      </c>
      <c r="E4638" s="50" t="n">
        <v>6</v>
      </c>
      <c r="F4638" s="50" t="s">
        <v>2167</v>
      </c>
      <c r="G4638" s="54" t="n">
        <v>3254900</v>
      </c>
    </row>
    <row r="4639" customFormat="false" ht="15" hidden="false" customHeight="false" outlineLevel="0" collapsed="false">
      <c r="A4639" s="50" t="s">
        <v>1624</v>
      </c>
      <c r="B4639" s="51" t="n">
        <v>45939</v>
      </c>
      <c r="C4639" s="50" t="s">
        <v>666</v>
      </c>
      <c r="D4639" s="50" t="s">
        <v>2182</v>
      </c>
      <c r="E4639" s="50" t="n">
        <v>5</v>
      </c>
      <c r="F4639" s="50" t="s">
        <v>2174</v>
      </c>
      <c r="G4639" s="54" t="n">
        <v>4882200</v>
      </c>
    </row>
    <row r="4640" customFormat="false" ht="15" hidden="false" customHeight="false" outlineLevel="0" collapsed="false">
      <c r="A4640" s="50" t="s">
        <v>1624</v>
      </c>
      <c r="B4640" s="51" t="n">
        <v>45939</v>
      </c>
      <c r="C4640" s="50" t="s">
        <v>666</v>
      </c>
      <c r="D4640" s="50" t="s">
        <v>2177</v>
      </c>
      <c r="E4640" s="50" t="n">
        <v>8</v>
      </c>
      <c r="F4640" s="50" t="s">
        <v>2174</v>
      </c>
      <c r="G4640" s="54" t="n">
        <v>8634600</v>
      </c>
    </row>
    <row r="4641" customFormat="false" ht="15" hidden="false" customHeight="false" outlineLevel="0" collapsed="false">
      <c r="A4641" s="50" t="s">
        <v>1625</v>
      </c>
      <c r="B4641" s="51" t="n">
        <v>45939</v>
      </c>
      <c r="C4641" s="50" t="s">
        <v>540</v>
      </c>
      <c r="D4641" s="50" t="s">
        <v>2185</v>
      </c>
      <c r="E4641" s="50" t="n">
        <v>2</v>
      </c>
      <c r="F4641" s="50" t="s">
        <v>2174</v>
      </c>
      <c r="G4641" s="54" t="n">
        <v>1569000</v>
      </c>
    </row>
    <row r="4642" customFormat="false" ht="15" hidden="false" customHeight="false" outlineLevel="0" collapsed="false">
      <c r="A4642" s="50" t="s">
        <v>1625</v>
      </c>
      <c r="B4642" s="51" t="n">
        <v>45939</v>
      </c>
      <c r="C4642" s="50" t="s">
        <v>540</v>
      </c>
      <c r="D4642" s="50" t="s">
        <v>2173</v>
      </c>
      <c r="E4642" s="50" t="n">
        <v>5</v>
      </c>
      <c r="F4642" s="50" t="s">
        <v>2174</v>
      </c>
      <c r="G4642" s="54" t="n">
        <v>4025500</v>
      </c>
    </row>
    <row r="4643" customFormat="false" ht="15" hidden="false" customHeight="false" outlineLevel="0" collapsed="false">
      <c r="A4643" s="50" t="s">
        <v>1625</v>
      </c>
      <c r="B4643" s="51" t="n">
        <v>45939</v>
      </c>
      <c r="C4643" s="50" t="s">
        <v>540</v>
      </c>
      <c r="D4643" s="50" t="s">
        <v>2178</v>
      </c>
      <c r="E4643" s="50" t="n">
        <v>7</v>
      </c>
      <c r="F4643" s="50" t="s">
        <v>2167</v>
      </c>
      <c r="G4643" s="54" t="n">
        <v>3454800</v>
      </c>
    </row>
    <row r="4644" customFormat="false" ht="15" hidden="false" customHeight="false" outlineLevel="0" collapsed="false">
      <c r="A4644" s="50" t="s">
        <v>1625</v>
      </c>
      <c r="B4644" s="51" t="n">
        <v>45939</v>
      </c>
      <c r="C4644" s="50" t="s">
        <v>540</v>
      </c>
      <c r="D4644" s="50" t="s">
        <v>2175</v>
      </c>
      <c r="E4644" s="50" t="n">
        <v>2</v>
      </c>
      <c r="F4644" s="50" t="s">
        <v>2167</v>
      </c>
      <c r="G4644" s="54" t="n">
        <v>1261600</v>
      </c>
    </row>
    <row r="4645" customFormat="false" ht="15" hidden="false" customHeight="false" outlineLevel="0" collapsed="false">
      <c r="A4645" s="50" t="s">
        <v>1626</v>
      </c>
      <c r="B4645" s="51" t="n">
        <v>45940</v>
      </c>
      <c r="C4645" s="50" t="s">
        <v>249</v>
      </c>
      <c r="D4645" s="50" t="s">
        <v>2180</v>
      </c>
      <c r="E4645" s="50" t="n">
        <v>2</v>
      </c>
      <c r="F4645" s="50" t="s">
        <v>2167</v>
      </c>
      <c r="G4645" s="54" t="n">
        <v>895100</v>
      </c>
    </row>
    <row r="4646" customFormat="false" ht="15" hidden="false" customHeight="false" outlineLevel="0" collapsed="false">
      <c r="A4646" s="50" t="s">
        <v>1626</v>
      </c>
      <c r="B4646" s="51" t="n">
        <v>45940</v>
      </c>
      <c r="C4646" s="50" t="s">
        <v>249</v>
      </c>
      <c r="D4646" s="50" t="s">
        <v>2176</v>
      </c>
      <c r="E4646" s="50" t="n">
        <v>5</v>
      </c>
      <c r="F4646" s="50" t="s">
        <v>2167</v>
      </c>
      <c r="G4646" s="54" t="n">
        <v>2059200</v>
      </c>
    </row>
    <row r="4647" customFormat="false" ht="15" hidden="false" customHeight="false" outlineLevel="0" collapsed="false">
      <c r="A4647" s="50" t="s">
        <v>1626</v>
      </c>
      <c r="B4647" s="51" t="n">
        <v>45940</v>
      </c>
      <c r="C4647" s="50" t="s">
        <v>249</v>
      </c>
      <c r="D4647" s="50" t="s">
        <v>2166</v>
      </c>
      <c r="E4647" s="50" t="n">
        <v>2</v>
      </c>
      <c r="F4647" s="50" t="s">
        <v>2167</v>
      </c>
      <c r="G4647" s="54" t="n">
        <v>1058800</v>
      </c>
    </row>
    <row r="4648" customFormat="false" ht="15" hidden="false" customHeight="false" outlineLevel="0" collapsed="false">
      <c r="A4648" s="50" t="s">
        <v>1626</v>
      </c>
      <c r="B4648" s="51" t="n">
        <v>45940</v>
      </c>
      <c r="C4648" s="50" t="s">
        <v>249</v>
      </c>
      <c r="D4648" s="50" t="s">
        <v>2181</v>
      </c>
      <c r="E4648" s="50" t="n">
        <v>1</v>
      </c>
      <c r="F4648" s="50" t="s">
        <v>2167</v>
      </c>
      <c r="G4648" s="54" t="n">
        <v>1148300</v>
      </c>
    </row>
    <row r="4649" customFormat="false" ht="15" hidden="false" customHeight="false" outlineLevel="0" collapsed="false">
      <c r="A4649" s="50" t="s">
        <v>1627</v>
      </c>
      <c r="B4649" s="51" t="n">
        <v>45940</v>
      </c>
      <c r="C4649" s="50" t="s">
        <v>766</v>
      </c>
      <c r="D4649" s="50" t="s">
        <v>2181</v>
      </c>
      <c r="E4649" s="50" t="n">
        <v>2</v>
      </c>
      <c r="F4649" s="50" t="s">
        <v>2167</v>
      </c>
      <c r="G4649" s="54" t="n">
        <v>2260400</v>
      </c>
    </row>
    <row r="4650" customFormat="false" ht="15" hidden="false" customHeight="false" outlineLevel="0" collapsed="false">
      <c r="A4650" s="50" t="s">
        <v>1627</v>
      </c>
      <c r="B4650" s="51" t="n">
        <v>45940</v>
      </c>
      <c r="C4650" s="50" t="s">
        <v>766</v>
      </c>
      <c r="D4650" s="50" t="s">
        <v>2186</v>
      </c>
      <c r="E4650" s="50" t="n">
        <v>3</v>
      </c>
      <c r="F4650" s="50" t="s">
        <v>2167</v>
      </c>
      <c r="G4650" s="54" t="n">
        <v>1761600</v>
      </c>
    </row>
    <row r="4651" customFormat="false" ht="15" hidden="false" customHeight="false" outlineLevel="0" collapsed="false">
      <c r="A4651" s="50" t="s">
        <v>1627</v>
      </c>
      <c r="B4651" s="51" t="n">
        <v>45940</v>
      </c>
      <c r="C4651" s="50" t="s">
        <v>766</v>
      </c>
      <c r="D4651" s="50" t="s">
        <v>2179</v>
      </c>
      <c r="E4651" s="50" t="n">
        <v>5</v>
      </c>
      <c r="F4651" s="50" t="s">
        <v>2174</v>
      </c>
      <c r="G4651" s="54" t="n">
        <v>6270100</v>
      </c>
    </row>
    <row r="4652" customFormat="false" ht="15" hidden="false" customHeight="false" outlineLevel="0" collapsed="false">
      <c r="A4652" s="50" t="s">
        <v>1627</v>
      </c>
      <c r="B4652" s="51" t="n">
        <v>45940</v>
      </c>
      <c r="C4652" s="50" t="s">
        <v>766</v>
      </c>
      <c r="D4652" s="50" t="s">
        <v>2183</v>
      </c>
      <c r="E4652" s="50" t="n">
        <v>5</v>
      </c>
      <c r="F4652" s="50" t="s">
        <v>2167</v>
      </c>
      <c r="G4652" s="54" t="n">
        <v>1894200</v>
      </c>
    </row>
    <row r="4653" customFormat="false" ht="15" hidden="false" customHeight="false" outlineLevel="0" collapsed="false">
      <c r="A4653" s="50" t="s">
        <v>1628</v>
      </c>
      <c r="B4653" s="51" t="n">
        <v>45940</v>
      </c>
      <c r="C4653" s="50" t="s">
        <v>230</v>
      </c>
      <c r="D4653" s="50" t="s">
        <v>2175</v>
      </c>
      <c r="E4653" s="50" t="n">
        <v>6</v>
      </c>
      <c r="F4653" s="50" t="s">
        <v>2167</v>
      </c>
      <c r="G4653" s="54" t="n">
        <v>3954200</v>
      </c>
    </row>
    <row r="4654" customFormat="false" ht="15" hidden="false" customHeight="false" outlineLevel="0" collapsed="false">
      <c r="A4654" s="50" t="s">
        <v>1628</v>
      </c>
      <c r="B4654" s="51" t="n">
        <v>45940</v>
      </c>
      <c r="C4654" s="50" t="s">
        <v>230</v>
      </c>
      <c r="D4654" s="50" t="s">
        <v>2177</v>
      </c>
      <c r="E4654" s="50" t="n">
        <v>4</v>
      </c>
      <c r="F4654" s="50" t="s">
        <v>2174</v>
      </c>
      <c r="G4654" s="54" t="n">
        <v>4433900</v>
      </c>
    </row>
    <row r="4655" customFormat="false" ht="15" hidden="false" customHeight="false" outlineLevel="0" collapsed="false">
      <c r="A4655" s="50" t="s">
        <v>1629</v>
      </c>
      <c r="B4655" s="51" t="n">
        <v>45940</v>
      </c>
      <c r="C4655" s="50" t="s">
        <v>419</v>
      </c>
      <c r="D4655" s="50" t="s">
        <v>2185</v>
      </c>
      <c r="E4655" s="50" t="n">
        <v>7</v>
      </c>
      <c r="F4655" s="50" t="s">
        <v>2174</v>
      </c>
      <c r="G4655" s="54" t="n">
        <v>5467500</v>
      </c>
    </row>
    <row r="4656" customFormat="false" ht="15" hidden="false" customHeight="false" outlineLevel="0" collapsed="false">
      <c r="A4656" s="50" t="s">
        <v>1629</v>
      </c>
      <c r="B4656" s="51" t="n">
        <v>45940</v>
      </c>
      <c r="C4656" s="50" t="s">
        <v>419</v>
      </c>
      <c r="D4656" s="50" t="s">
        <v>2181</v>
      </c>
      <c r="E4656" s="50" t="n">
        <v>7</v>
      </c>
      <c r="F4656" s="50" t="s">
        <v>2167</v>
      </c>
      <c r="G4656" s="54" t="n">
        <v>8186400</v>
      </c>
    </row>
    <row r="4657" customFormat="false" ht="15" hidden="false" customHeight="false" outlineLevel="0" collapsed="false">
      <c r="A4657" s="50" t="s">
        <v>1629</v>
      </c>
      <c r="B4657" s="51" t="n">
        <v>45940</v>
      </c>
      <c r="C4657" s="50" t="s">
        <v>419</v>
      </c>
      <c r="D4657" s="50" t="s">
        <v>2187</v>
      </c>
      <c r="E4657" s="50" t="n">
        <v>6</v>
      </c>
      <c r="F4657" s="50" t="s">
        <v>2167</v>
      </c>
      <c r="G4657" s="54" t="n">
        <v>2093800</v>
      </c>
    </row>
    <row r="4658" customFormat="false" ht="15" hidden="false" customHeight="false" outlineLevel="0" collapsed="false">
      <c r="A4658" s="50" t="s">
        <v>1629</v>
      </c>
      <c r="B4658" s="51" t="n">
        <v>45940</v>
      </c>
      <c r="C4658" s="50" t="s">
        <v>419</v>
      </c>
      <c r="D4658" s="50" t="s">
        <v>2173</v>
      </c>
      <c r="E4658" s="50" t="n">
        <v>6</v>
      </c>
      <c r="F4658" s="50" t="s">
        <v>2174</v>
      </c>
      <c r="G4658" s="54" t="n">
        <v>4836500</v>
      </c>
    </row>
    <row r="4659" customFormat="false" ht="15" hidden="false" customHeight="false" outlineLevel="0" collapsed="false">
      <c r="A4659" s="50" t="s">
        <v>1629</v>
      </c>
      <c r="B4659" s="51" t="n">
        <v>45940</v>
      </c>
      <c r="C4659" s="50" t="s">
        <v>419</v>
      </c>
      <c r="D4659" s="50" t="s">
        <v>2175</v>
      </c>
      <c r="E4659" s="50" t="n">
        <v>7</v>
      </c>
      <c r="F4659" s="50" t="s">
        <v>2167</v>
      </c>
      <c r="G4659" s="54" t="n">
        <v>4608600</v>
      </c>
    </row>
    <row r="4660" customFormat="false" ht="15" hidden="false" customHeight="false" outlineLevel="0" collapsed="false">
      <c r="A4660" s="50" t="s">
        <v>1630</v>
      </c>
      <c r="B4660" s="51" t="n">
        <v>45940</v>
      </c>
      <c r="C4660" s="50" t="s">
        <v>566</v>
      </c>
      <c r="D4660" s="50" t="s">
        <v>2188</v>
      </c>
      <c r="E4660" s="50" t="n">
        <v>8</v>
      </c>
      <c r="F4660" s="50" t="s">
        <v>2167</v>
      </c>
      <c r="G4660" s="54" t="n">
        <v>8147800</v>
      </c>
    </row>
    <row r="4661" customFormat="false" ht="15" hidden="false" customHeight="false" outlineLevel="0" collapsed="false">
      <c r="A4661" s="50" t="s">
        <v>1630</v>
      </c>
      <c r="B4661" s="51" t="n">
        <v>45940</v>
      </c>
      <c r="C4661" s="50" t="s">
        <v>566</v>
      </c>
      <c r="D4661" s="50" t="s">
        <v>2176</v>
      </c>
      <c r="E4661" s="50" t="n">
        <v>1</v>
      </c>
      <c r="F4661" s="50" t="s">
        <v>2167</v>
      </c>
      <c r="G4661" s="54" t="n">
        <v>428100</v>
      </c>
    </row>
    <row r="4662" customFormat="false" ht="15" hidden="false" customHeight="false" outlineLevel="0" collapsed="false">
      <c r="A4662" s="50" t="s">
        <v>1631</v>
      </c>
      <c r="B4662" s="51" t="n">
        <v>45941</v>
      </c>
      <c r="C4662" s="50" t="s">
        <v>430</v>
      </c>
      <c r="D4662" s="50" t="s">
        <v>2183</v>
      </c>
      <c r="E4662" s="50" t="n">
        <v>5</v>
      </c>
      <c r="F4662" s="50" t="s">
        <v>2167</v>
      </c>
      <c r="G4662" s="54" t="n">
        <v>1962000</v>
      </c>
    </row>
    <row r="4663" customFormat="false" ht="15" hidden="false" customHeight="false" outlineLevel="0" collapsed="false">
      <c r="A4663" s="50" t="s">
        <v>1631</v>
      </c>
      <c r="B4663" s="51" t="n">
        <v>45941</v>
      </c>
      <c r="C4663" s="50" t="s">
        <v>430</v>
      </c>
      <c r="D4663" s="50" t="s">
        <v>2181</v>
      </c>
      <c r="E4663" s="50" t="n">
        <v>2</v>
      </c>
      <c r="F4663" s="50" t="s">
        <v>2167</v>
      </c>
      <c r="G4663" s="54" t="n">
        <v>2340000</v>
      </c>
    </row>
    <row r="4664" customFormat="false" ht="15" hidden="false" customHeight="false" outlineLevel="0" collapsed="false">
      <c r="A4664" s="50" t="s">
        <v>1631</v>
      </c>
      <c r="B4664" s="51" t="n">
        <v>45941</v>
      </c>
      <c r="C4664" s="50" t="s">
        <v>430</v>
      </c>
      <c r="D4664" s="50" t="s">
        <v>2186</v>
      </c>
      <c r="E4664" s="50" t="n">
        <v>5</v>
      </c>
      <c r="F4664" s="50" t="s">
        <v>2167</v>
      </c>
      <c r="G4664" s="54" t="n">
        <v>2890400</v>
      </c>
    </row>
    <row r="4665" customFormat="false" ht="15" hidden="false" customHeight="false" outlineLevel="0" collapsed="false">
      <c r="A4665" s="50" t="s">
        <v>1631</v>
      </c>
      <c r="B4665" s="51" t="n">
        <v>45941</v>
      </c>
      <c r="C4665" s="50" t="s">
        <v>430</v>
      </c>
      <c r="D4665" s="50" t="s">
        <v>2180</v>
      </c>
      <c r="E4665" s="50" t="n">
        <v>8</v>
      </c>
      <c r="F4665" s="50" t="s">
        <v>2167</v>
      </c>
      <c r="G4665" s="54" t="n">
        <v>3686400</v>
      </c>
    </row>
    <row r="4666" customFormat="false" ht="15" hidden="false" customHeight="false" outlineLevel="0" collapsed="false">
      <c r="A4666" s="50" t="s">
        <v>1632</v>
      </c>
      <c r="B4666" s="51" t="n">
        <v>45941</v>
      </c>
      <c r="C4666" s="50" t="s">
        <v>174</v>
      </c>
      <c r="D4666" s="50" t="s">
        <v>2175</v>
      </c>
      <c r="E4666" s="50" t="n">
        <v>6</v>
      </c>
      <c r="F4666" s="50" t="s">
        <v>2167</v>
      </c>
      <c r="G4666" s="54" t="n">
        <v>3922200</v>
      </c>
    </row>
    <row r="4667" customFormat="false" ht="15" hidden="false" customHeight="false" outlineLevel="0" collapsed="false">
      <c r="A4667" s="50" t="s">
        <v>1632</v>
      </c>
      <c r="B4667" s="51" t="n">
        <v>45941</v>
      </c>
      <c r="C4667" s="50" t="s">
        <v>174</v>
      </c>
      <c r="D4667" s="50" t="s">
        <v>2185</v>
      </c>
      <c r="E4667" s="50" t="n">
        <v>2</v>
      </c>
      <c r="F4667" s="50" t="s">
        <v>2174</v>
      </c>
      <c r="G4667" s="54" t="n">
        <v>1543600</v>
      </c>
    </row>
    <row r="4668" customFormat="false" ht="15" hidden="false" customHeight="false" outlineLevel="0" collapsed="false">
      <c r="A4668" s="50" t="s">
        <v>1632</v>
      </c>
      <c r="B4668" s="51" t="n">
        <v>45941</v>
      </c>
      <c r="C4668" s="50" t="s">
        <v>174</v>
      </c>
      <c r="D4668" s="50" t="s">
        <v>2184</v>
      </c>
      <c r="E4668" s="50" t="n">
        <v>8</v>
      </c>
      <c r="F4668" s="50" t="s">
        <v>2167</v>
      </c>
      <c r="G4668" s="54" t="n">
        <v>4411700</v>
      </c>
    </row>
    <row r="4669" customFormat="false" ht="15" hidden="false" customHeight="false" outlineLevel="0" collapsed="false">
      <c r="A4669" s="50" t="s">
        <v>1632</v>
      </c>
      <c r="B4669" s="51" t="n">
        <v>45941</v>
      </c>
      <c r="C4669" s="50" t="s">
        <v>174</v>
      </c>
      <c r="D4669" s="50" t="s">
        <v>2180</v>
      </c>
      <c r="E4669" s="50" t="n">
        <v>4</v>
      </c>
      <c r="F4669" s="50" t="s">
        <v>2167</v>
      </c>
      <c r="G4669" s="54" t="n">
        <v>1745500</v>
      </c>
    </row>
    <row r="4670" customFormat="false" ht="15" hidden="false" customHeight="false" outlineLevel="0" collapsed="false">
      <c r="A4670" s="50" t="s">
        <v>1633</v>
      </c>
      <c r="B4670" s="51" t="n">
        <v>45941</v>
      </c>
      <c r="C4670" s="50" t="s">
        <v>166</v>
      </c>
      <c r="D4670" s="50" t="s">
        <v>2183</v>
      </c>
      <c r="E4670" s="50" t="n">
        <v>3</v>
      </c>
      <c r="F4670" s="50" t="s">
        <v>2167</v>
      </c>
      <c r="G4670" s="54" t="n">
        <v>1135200</v>
      </c>
    </row>
    <row r="4671" customFormat="false" ht="15" hidden="false" customHeight="false" outlineLevel="0" collapsed="false">
      <c r="A4671" s="50" t="s">
        <v>1633</v>
      </c>
      <c r="B4671" s="51" t="n">
        <v>45941</v>
      </c>
      <c r="C4671" s="50" t="s">
        <v>166</v>
      </c>
      <c r="D4671" s="50" t="s">
        <v>2180</v>
      </c>
      <c r="E4671" s="50" t="n">
        <v>6</v>
      </c>
      <c r="F4671" s="50" t="s">
        <v>2167</v>
      </c>
      <c r="G4671" s="54" t="n">
        <v>2614900</v>
      </c>
    </row>
    <row r="4672" customFormat="false" ht="15" hidden="false" customHeight="false" outlineLevel="0" collapsed="false">
      <c r="A4672" s="50" t="s">
        <v>1633</v>
      </c>
      <c r="B4672" s="51" t="n">
        <v>45941</v>
      </c>
      <c r="C4672" s="50" t="s">
        <v>166</v>
      </c>
      <c r="D4672" s="50" t="s">
        <v>2186</v>
      </c>
      <c r="E4672" s="50" t="n">
        <v>7</v>
      </c>
      <c r="F4672" s="50" t="s">
        <v>2167</v>
      </c>
      <c r="G4672" s="54" t="n">
        <v>4254300</v>
      </c>
    </row>
    <row r="4673" customFormat="false" ht="15" hidden="false" customHeight="false" outlineLevel="0" collapsed="false">
      <c r="A4673" s="50" t="s">
        <v>1633</v>
      </c>
      <c r="B4673" s="51" t="n">
        <v>45941</v>
      </c>
      <c r="C4673" s="50" t="s">
        <v>166</v>
      </c>
      <c r="D4673" s="50" t="s">
        <v>2176</v>
      </c>
      <c r="E4673" s="50" t="n">
        <v>5</v>
      </c>
      <c r="F4673" s="50" t="s">
        <v>2167</v>
      </c>
      <c r="G4673" s="54" t="n">
        <v>2089200</v>
      </c>
    </row>
    <row r="4674" customFormat="false" ht="15" hidden="false" customHeight="false" outlineLevel="0" collapsed="false">
      <c r="A4674" s="50" t="s">
        <v>1634</v>
      </c>
      <c r="B4674" s="51" t="n">
        <v>45941</v>
      </c>
      <c r="C4674" s="50" t="s">
        <v>479</v>
      </c>
      <c r="D4674" s="50" t="s">
        <v>2181</v>
      </c>
      <c r="E4674" s="50" t="n">
        <v>6</v>
      </c>
      <c r="F4674" s="50" t="s">
        <v>2167</v>
      </c>
      <c r="G4674" s="54" t="n">
        <v>6779000</v>
      </c>
    </row>
    <row r="4675" customFormat="false" ht="15" hidden="false" customHeight="false" outlineLevel="0" collapsed="false">
      <c r="A4675" s="50" t="s">
        <v>1634</v>
      </c>
      <c r="B4675" s="51" t="n">
        <v>45941</v>
      </c>
      <c r="C4675" s="50" t="s">
        <v>479</v>
      </c>
      <c r="D4675" s="50" t="s">
        <v>2176</v>
      </c>
      <c r="E4675" s="50" t="n">
        <v>1</v>
      </c>
      <c r="F4675" s="50" t="s">
        <v>2167</v>
      </c>
      <c r="G4675" s="54" t="n">
        <v>419600</v>
      </c>
    </row>
    <row r="4676" customFormat="false" ht="15" hidden="false" customHeight="false" outlineLevel="0" collapsed="false">
      <c r="A4676" s="50" t="s">
        <v>1634</v>
      </c>
      <c r="B4676" s="51" t="n">
        <v>45941</v>
      </c>
      <c r="C4676" s="50" t="s">
        <v>479</v>
      </c>
      <c r="D4676" s="50" t="s">
        <v>2173</v>
      </c>
      <c r="E4676" s="50" t="n">
        <v>1</v>
      </c>
      <c r="F4676" s="50" t="s">
        <v>2174</v>
      </c>
      <c r="G4676" s="54" t="n">
        <v>788800</v>
      </c>
    </row>
    <row r="4677" customFormat="false" ht="15" hidden="false" customHeight="false" outlineLevel="0" collapsed="false">
      <c r="A4677" s="50" t="s">
        <v>1634</v>
      </c>
      <c r="B4677" s="51" t="n">
        <v>45941</v>
      </c>
      <c r="C4677" s="50" t="s">
        <v>479</v>
      </c>
      <c r="D4677" s="50" t="s">
        <v>2179</v>
      </c>
      <c r="E4677" s="50" t="n">
        <v>2</v>
      </c>
      <c r="F4677" s="50" t="s">
        <v>2174</v>
      </c>
      <c r="G4677" s="54" t="n">
        <v>2535300</v>
      </c>
    </row>
    <row r="4678" customFormat="false" ht="15" hidden="false" customHeight="false" outlineLevel="0" collapsed="false">
      <c r="A4678" s="50" t="s">
        <v>1634</v>
      </c>
      <c r="B4678" s="51" t="n">
        <v>45941</v>
      </c>
      <c r="C4678" s="50" t="s">
        <v>479</v>
      </c>
      <c r="D4678" s="50" t="s">
        <v>2177</v>
      </c>
      <c r="E4678" s="50" t="n">
        <v>7</v>
      </c>
      <c r="F4678" s="50" t="s">
        <v>2174</v>
      </c>
      <c r="G4678" s="54" t="n">
        <v>7790700</v>
      </c>
    </row>
    <row r="4679" customFormat="false" ht="15" hidden="false" customHeight="false" outlineLevel="0" collapsed="false">
      <c r="A4679" s="50" t="s">
        <v>1635</v>
      </c>
      <c r="B4679" s="51" t="n">
        <v>45941</v>
      </c>
      <c r="C4679" s="50" t="s">
        <v>221</v>
      </c>
      <c r="D4679" s="50" t="s">
        <v>2180</v>
      </c>
      <c r="E4679" s="50" t="n">
        <v>2</v>
      </c>
      <c r="F4679" s="50" t="s">
        <v>2167</v>
      </c>
      <c r="G4679" s="54" t="n">
        <v>916000</v>
      </c>
    </row>
    <row r="4680" customFormat="false" ht="15" hidden="false" customHeight="false" outlineLevel="0" collapsed="false">
      <c r="A4680" s="50" t="s">
        <v>1635</v>
      </c>
      <c r="B4680" s="51" t="n">
        <v>45941</v>
      </c>
      <c r="C4680" s="50" t="s">
        <v>221</v>
      </c>
      <c r="D4680" s="50" t="s">
        <v>2183</v>
      </c>
      <c r="E4680" s="50" t="n">
        <v>4</v>
      </c>
      <c r="F4680" s="50" t="s">
        <v>2167</v>
      </c>
      <c r="G4680" s="54" t="n">
        <v>1503300</v>
      </c>
    </row>
    <row r="4681" customFormat="false" ht="15" hidden="false" customHeight="false" outlineLevel="0" collapsed="false">
      <c r="A4681" s="50" t="s">
        <v>1636</v>
      </c>
      <c r="B4681" s="51" t="n">
        <v>45941</v>
      </c>
      <c r="C4681" s="50" t="s">
        <v>174</v>
      </c>
      <c r="D4681" s="50" t="s">
        <v>2178</v>
      </c>
      <c r="E4681" s="50" t="n">
        <v>5</v>
      </c>
      <c r="F4681" s="50" t="s">
        <v>2167</v>
      </c>
      <c r="G4681" s="54" t="n">
        <v>2377800</v>
      </c>
    </row>
    <row r="4682" customFormat="false" ht="15" hidden="false" customHeight="false" outlineLevel="0" collapsed="false">
      <c r="A4682" s="50" t="s">
        <v>1636</v>
      </c>
      <c r="B4682" s="51" t="n">
        <v>45941</v>
      </c>
      <c r="C4682" s="50" t="s">
        <v>174</v>
      </c>
      <c r="D4682" s="50" t="s">
        <v>2184</v>
      </c>
      <c r="E4682" s="50" t="n">
        <v>2</v>
      </c>
      <c r="F4682" s="50" t="s">
        <v>2167</v>
      </c>
      <c r="G4682" s="54" t="n">
        <v>1089100</v>
      </c>
    </row>
    <row r="4683" customFormat="false" ht="15" hidden="false" customHeight="false" outlineLevel="0" collapsed="false">
      <c r="A4683" s="50" t="s">
        <v>1636</v>
      </c>
      <c r="B4683" s="51" t="n">
        <v>45941</v>
      </c>
      <c r="C4683" s="50" t="s">
        <v>174</v>
      </c>
      <c r="D4683" s="50" t="s">
        <v>2180</v>
      </c>
      <c r="E4683" s="50" t="n">
        <v>1</v>
      </c>
      <c r="F4683" s="50" t="s">
        <v>2167</v>
      </c>
      <c r="G4683" s="54" t="n">
        <v>449100</v>
      </c>
    </row>
    <row r="4684" customFormat="false" ht="15" hidden="false" customHeight="false" outlineLevel="0" collapsed="false">
      <c r="A4684" s="50" t="s">
        <v>1637</v>
      </c>
      <c r="B4684" s="51" t="n">
        <v>45941</v>
      </c>
      <c r="C4684" s="50" t="s">
        <v>197</v>
      </c>
      <c r="D4684" s="50" t="s">
        <v>2169</v>
      </c>
      <c r="E4684" s="50" t="n">
        <v>7</v>
      </c>
      <c r="F4684" s="50" t="s">
        <v>2167</v>
      </c>
      <c r="G4684" s="54" t="n">
        <v>4338800</v>
      </c>
    </row>
    <row r="4685" customFormat="false" ht="15" hidden="false" customHeight="false" outlineLevel="0" collapsed="false">
      <c r="A4685" s="50" t="s">
        <v>1637</v>
      </c>
      <c r="B4685" s="51" t="n">
        <v>45941</v>
      </c>
      <c r="C4685" s="50" t="s">
        <v>197</v>
      </c>
      <c r="D4685" s="50" t="s">
        <v>2166</v>
      </c>
      <c r="E4685" s="50" t="n">
        <v>7</v>
      </c>
      <c r="F4685" s="50" t="s">
        <v>2167</v>
      </c>
      <c r="G4685" s="54" t="n">
        <v>3864100</v>
      </c>
    </row>
    <row r="4686" customFormat="false" ht="15" hidden="false" customHeight="false" outlineLevel="0" collapsed="false">
      <c r="A4686" s="50" t="s">
        <v>1637</v>
      </c>
      <c r="B4686" s="51" t="n">
        <v>45941</v>
      </c>
      <c r="C4686" s="50" t="s">
        <v>197</v>
      </c>
      <c r="D4686" s="50" t="s">
        <v>2183</v>
      </c>
      <c r="E4686" s="50" t="n">
        <v>8</v>
      </c>
      <c r="F4686" s="50" t="s">
        <v>2167</v>
      </c>
      <c r="G4686" s="54" t="n">
        <v>2945500</v>
      </c>
    </row>
    <row r="4687" customFormat="false" ht="15" hidden="false" customHeight="false" outlineLevel="0" collapsed="false">
      <c r="A4687" s="50" t="s">
        <v>1637</v>
      </c>
      <c r="B4687" s="51" t="n">
        <v>45941</v>
      </c>
      <c r="C4687" s="50" t="s">
        <v>197</v>
      </c>
      <c r="D4687" s="50" t="s">
        <v>2168</v>
      </c>
      <c r="E4687" s="50" t="n">
        <v>7</v>
      </c>
      <c r="F4687" s="50" t="s">
        <v>2167</v>
      </c>
      <c r="G4687" s="54" t="n">
        <v>2967600</v>
      </c>
    </row>
    <row r="4688" customFormat="false" ht="15" hidden="false" customHeight="false" outlineLevel="0" collapsed="false">
      <c r="A4688" s="50" t="s">
        <v>1638</v>
      </c>
      <c r="B4688" s="51" t="n">
        <v>45941</v>
      </c>
      <c r="C4688" s="50" t="s">
        <v>174</v>
      </c>
      <c r="D4688" s="50" t="s">
        <v>2181</v>
      </c>
      <c r="E4688" s="50" t="n">
        <v>1</v>
      </c>
      <c r="F4688" s="50" t="s">
        <v>2167</v>
      </c>
      <c r="G4688" s="54" t="n">
        <v>1180600</v>
      </c>
    </row>
    <row r="4689" customFormat="false" ht="15" hidden="false" customHeight="false" outlineLevel="0" collapsed="false">
      <c r="A4689" s="50" t="s">
        <v>1638</v>
      </c>
      <c r="B4689" s="51" t="n">
        <v>45941</v>
      </c>
      <c r="C4689" s="50" t="s">
        <v>174</v>
      </c>
      <c r="D4689" s="50" t="s">
        <v>2186</v>
      </c>
      <c r="E4689" s="50" t="n">
        <v>1</v>
      </c>
      <c r="F4689" s="50" t="s">
        <v>2167</v>
      </c>
      <c r="G4689" s="54" t="n">
        <v>598600</v>
      </c>
    </row>
    <row r="4690" customFormat="false" ht="15" hidden="false" customHeight="false" outlineLevel="0" collapsed="false">
      <c r="A4690" s="50" t="s">
        <v>1638</v>
      </c>
      <c r="B4690" s="51" t="n">
        <v>45941</v>
      </c>
      <c r="C4690" s="50" t="s">
        <v>174</v>
      </c>
      <c r="D4690" s="50" t="s">
        <v>2176</v>
      </c>
      <c r="E4690" s="50" t="n">
        <v>6</v>
      </c>
      <c r="F4690" s="50" t="s">
        <v>2167</v>
      </c>
      <c r="G4690" s="54" t="n">
        <v>2427900</v>
      </c>
    </row>
    <row r="4691" customFormat="false" ht="15" hidden="false" customHeight="false" outlineLevel="0" collapsed="false">
      <c r="A4691" s="50" t="s">
        <v>1638</v>
      </c>
      <c r="B4691" s="51" t="n">
        <v>45941</v>
      </c>
      <c r="C4691" s="50" t="s">
        <v>174</v>
      </c>
      <c r="D4691" s="50" t="s">
        <v>2188</v>
      </c>
      <c r="E4691" s="50" t="n">
        <v>3</v>
      </c>
      <c r="F4691" s="50" t="s">
        <v>2167</v>
      </c>
      <c r="G4691" s="54" t="n">
        <v>2947200</v>
      </c>
    </row>
    <row r="4692" customFormat="false" ht="15" hidden="false" customHeight="false" outlineLevel="0" collapsed="false">
      <c r="A4692" s="50" t="s">
        <v>1638</v>
      </c>
      <c r="B4692" s="51" t="n">
        <v>45941</v>
      </c>
      <c r="C4692" s="50" t="s">
        <v>174</v>
      </c>
      <c r="D4692" s="50" t="s">
        <v>2170</v>
      </c>
      <c r="E4692" s="50" t="n">
        <v>1</v>
      </c>
      <c r="F4692" s="50" t="s">
        <v>2171</v>
      </c>
      <c r="G4692" s="54" t="n">
        <v>7710200</v>
      </c>
    </row>
    <row r="4693" customFormat="false" ht="15" hidden="false" customHeight="false" outlineLevel="0" collapsed="false">
      <c r="A4693" s="50" t="s">
        <v>1639</v>
      </c>
      <c r="B4693" s="51" t="n">
        <v>45941</v>
      </c>
      <c r="C4693" s="50" t="s">
        <v>271</v>
      </c>
      <c r="D4693" s="50" t="s">
        <v>2176</v>
      </c>
      <c r="E4693" s="50" t="n">
        <v>3</v>
      </c>
      <c r="F4693" s="50" t="s">
        <v>2167</v>
      </c>
      <c r="G4693" s="54" t="n">
        <v>1216400</v>
      </c>
    </row>
    <row r="4694" customFormat="false" ht="15" hidden="false" customHeight="false" outlineLevel="0" collapsed="false">
      <c r="A4694" s="50" t="s">
        <v>1639</v>
      </c>
      <c r="B4694" s="51" t="n">
        <v>45941</v>
      </c>
      <c r="C4694" s="50" t="s">
        <v>271</v>
      </c>
      <c r="D4694" s="50" t="s">
        <v>2172</v>
      </c>
      <c r="E4694" s="50" t="n">
        <v>3</v>
      </c>
      <c r="F4694" s="50" t="s">
        <v>2167</v>
      </c>
      <c r="G4694" s="54" t="n">
        <v>1582900</v>
      </c>
    </row>
    <row r="4695" customFormat="false" ht="15" hidden="false" customHeight="false" outlineLevel="0" collapsed="false">
      <c r="A4695" s="50" t="s">
        <v>1639</v>
      </c>
      <c r="B4695" s="51" t="n">
        <v>45941</v>
      </c>
      <c r="C4695" s="50" t="s">
        <v>271</v>
      </c>
      <c r="D4695" s="50" t="s">
        <v>2186</v>
      </c>
      <c r="E4695" s="50" t="n">
        <v>7</v>
      </c>
      <c r="F4695" s="50" t="s">
        <v>2167</v>
      </c>
      <c r="G4695" s="54" t="n">
        <v>4056500</v>
      </c>
    </row>
    <row r="4696" customFormat="false" ht="15" hidden="false" customHeight="false" outlineLevel="0" collapsed="false">
      <c r="A4696" s="50" t="s">
        <v>1639</v>
      </c>
      <c r="B4696" s="51" t="n">
        <v>45941</v>
      </c>
      <c r="C4696" s="50" t="s">
        <v>271</v>
      </c>
      <c r="D4696" s="50" t="s">
        <v>2180</v>
      </c>
      <c r="E4696" s="50" t="n">
        <v>3</v>
      </c>
      <c r="F4696" s="50" t="s">
        <v>2167</v>
      </c>
      <c r="G4696" s="54" t="n">
        <v>1312800</v>
      </c>
    </row>
    <row r="4697" customFormat="false" ht="15" hidden="false" customHeight="false" outlineLevel="0" collapsed="false">
      <c r="A4697" s="50" t="s">
        <v>1639</v>
      </c>
      <c r="B4697" s="51" t="n">
        <v>45941</v>
      </c>
      <c r="C4697" s="50" t="s">
        <v>271</v>
      </c>
      <c r="D4697" s="50" t="s">
        <v>2173</v>
      </c>
      <c r="E4697" s="50" t="n">
        <v>3</v>
      </c>
      <c r="F4697" s="50" t="s">
        <v>2174</v>
      </c>
      <c r="G4697" s="54" t="n">
        <v>2407100</v>
      </c>
    </row>
    <row r="4698" customFormat="false" ht="15" hidden="false" customHeight="false" outlineLevel="0" collapsed="false">
      <c r="A4698" s="50" t="s">
        <v>1639</v>
      </c>
      <c r="B4698" s="51" t="n">
        <v>45941</v>
      </c>
      <c r="C4698" s="50" t="s">
        <v>271</v>
      </c>
      <c r="D4698" s="50" t="s">
        <v>2184</v>
      </c>
      <c r="E4698" s="50" t="n">
        <v>6</v>
      </c>
      <c r="F4698" s="50" t="s">
        <v>2167</v>
      </c>
      <c r="G4698" s="54" t="n">
        <v>3430100</v>
      </c>
    </row>
    <row r="4699" customFormat="false" ht="15" hidden="false" customHeight="false" outlineLevel="0" collapsed="false">
      <c r="A4699" s="50" t="s">
        <v>1640</v>
      </c>
      <c r="B4699" s="51" t="n">
        <v>45941</v>
      </c>
      <c r="C4699" s="50" t="s">
        <v>256</v>
      </c>
      <c r="D4699" s="50" t="s">
        <v>2169</v>
      </c>
      <c r="E4699" s="50" t="n">
        <v>4</v>
      </c>
      <c r="F4699" s="50" t="s">
        <v>2167</v>
      </c>
      <c r="G4699" s="54" t="n">
        <v>2558700</v>
      </c>
    </row>
    <row r="4700" customFormat="false" ht="15" hidden="false" customHeight="false" outlineLevel="0" collapsed="false">
      <c r="A4700" s="50" t="s">
        <v>1640</v>
      </c>
      <c r="B4700" s="51" t="n">
        <v>45941</v>
      </c>
      <c r="C4700" s="50" t="s">
        <v>256</v>
      </c>
      <c r="D4700" s="50" t="s">
        <v>2176</v>
      </c>
      <c r="E4700" s="50" t="n">
        <v>3</v>
      </c>
      <c r="F4700" s="50" t="s">
        <v>2167</v>
      </c>
      <c r="G4700" s="54" t="n">
        <v>1284000</v>
      </c>
    </row>
    <row r="4701" customFormat="false" ht="15" hidden="false" customHeight="false" outlineLevel="0" collapsed="false">
      <c r="A4701" s="50" t="s">
        <v>1640</v>
      </c>
      <c r="B4701" s="51" t="n">
        <v>45941</v>
      </c>
      <c r="C4701" s="50" t="s">
        <v>256</v>
      </c>
      <c r="D4701" s="50" t="s">
        <v>2173</v>
      </c>
      <c r="E4701" s="50" t="n">
        <v>2</v>
      </c>
      <c r="F4701" s="50" t="s">
        <v>2174</v>
      </c>
      <c r="G4701" s="54" t="n">
        <v>1610800</v>
      </c>
    </row>
    <row r="4702" customFormat="false" ht="15" hidden="false" customHeight="false" outlineLevel="0" collapsed="false">
      <c r="A4702" s="50" t="s">
        <v>1641</v>
      </c>
      <c r="B4702" s="51" t="n">
        <v>45941</v>
      </c>
      <c r="C4702" s="50" t="s">
        <v>296</v>
      </c>
      <c r="D4702" s="50" t="s">
        <v>2180</v>
      </c>
      <c r="E4702" s="50" t="n">
        <v>6</v>
      </c>
      <c r="F4702" s="50" t="s">
        <v>2167</v>
      </c>
      <c r="G4702" s="54" t="n">
        <v>2773300</v>
      </c>
    </row>
    <row r="4703" customFormat="false" ht="15" hidden="false" customHeight="false" outlineLevel="0" collapsed="false">
      <c r="A4703" s="50" t="s">
        <v>1641</v>
      </c>
      <c r="B4703" s="51" t="n">
        <v>45941</v>
      </c>
      <c r="C4703" s="50" t="s">
        <v>296</v>
      </c>
      <c r="D4703" s="50" t="s">
        <v>2176</v>
      </c>
      <c r="E4703" s="50" t="n">
        <v>8</v>
      </c>
      <c r="F4703" s="50" t="s">
        <v>2167</v>
      </c>
      <c r="G4703" s="54" t="n">
        <v>3321800</v>
      </c>
    </row>
    <row r="4704" customFormat="false" ht="15" hidden="false" customHeight="false" outlineLevel="0" collapsed="false">
      <c r="A4704" s="50" t="s">
        <v>1641</v>
      </c>
      <c r="B4704" s="51" t="n">
        <v>45941</v>
      </c>
      <c r="C4704" s="50" t="s">
        <v>296</v>
      </c>
      <c r="D4704" s="50" t="s">
        <v>2178</v>
      </c>
      <c r="E4704" s="50" t="n">
        <v>7</v>
      </c>
      <c r="F4704" s="50" t="s">
        <v>2167</v>
      </c>
      <c r="G4704" s="54" t="n">
        <v>3287300</v>
      </c>
    </row>
    <row r="4705" customFormat="false" ht="15" hidden="false" customHeight="false" outlineLevel="0" collapsed="false">
      <c r="A4705" s="50" t="s">
        <v>1642</v>
      </c>
      <c r="B4705" s="51" t="n">
        <v>45941</v>
      </c>
      <c r="C4705" s="50" t="s">
        <v>271</v>
      </c>
      <c r="D4705" s="50" t="s">
        <v>2180</v>
      </c>
      <c r="E4705" s="50" t="n">
        <v>5</v>
      </c>
      <c r="F4705" s="50" t="s">
        <v>2167</v>
      </c>
      <c r="G4705" s="54" t="n">
        <v>2339300</v>
      </c>
    </row>
    <row r="4706" customFormat="false" ht="15" hidden="false" customHeight="false" outlineLevel="0" collapsed="false">
      <c r="A4706" s="50" t="s">
        <v>1642</v>
      </c>
      <c r="B4706" s="51" t="n">
        <v>45941</v>
      </c>
      <c r="C4706" s="50" t="s">
        <v>271</v>
      </c>
      <c r="D4706" s="50" t="s">
        <v>2169</v>
      </c>
      <c r="E4706" s="50" t="n">
        <v>5</v>
      </c>
      <c r="F4706" s="50" t="s">
        <v>2167</v>
      </c>
      <c r="G4706" s="54" t="n">
        <v>3203700</v>
      </c>
    </row>
    <row r="4707" customFormat="false" ht="15" hidden="false" customHeight="false" outlineLevel="0" collapsed="false">
      <c r="A4707" s="50" t="s">
        <v>1642</v>
      </c>
      <c r="B4707" s="51" t="n">
        <v>45941</v>
      </c>
      <c r="C4707" s="50" t="s">
        <v>271</v>
      </c>
      <c r="D4707" s="50" t="s">
        <v>2166</v>
      </c>
      <c r="E4707" s="50" t="n">
        <v>1</v>
      </c>
      <c r="F4707" s="50" t="s">
        <v>2167</v>
      </c>
      <c r="G4707" s="54" t="n">
        <v>534300</v>
      </c>
    </row>
    <row r="4708" customFormat="false" ht="15" hidden="false" customHeight="false" outlineLevel="0" collapsed="false">
      <c r="A4708" s="50" t="s">
        <v>1642</v>
      </c>
      <c r="B4708" s="51" t="n">
        <v>45941</v>
      </c>
      <c r="C4708" s="50" t="s">
        <v>271</v>
      </c>
      <c r="D4708" s="50" t="s">
        <v>2179</v>
      </c>
      <c r="E4708" s="50" t="n">
        <v>1</v>
      </c>
      <c r="F4708" s="50" t="s">
        <v>2174</v>
      </c>
      <c r="G4708" s="54" t="n">
        <v>1245500</v>
      </c>
    </row>
    <row r="4709" customFormat="false" ht="15" hidden="false" customHeight="false" outlineLevel="0" collapsed="false">
      <c r="A4709" s="50" t="s">
        <v>1642</v>
      </c>
      <c r="B4709" s="51" t="n">
        <v>45941</v>
      </c>
      <c r="C4709" s="50" t="s">
        <v>271</v>
      </c>
      <c r="D4709" s="50" t="s">
        <v>2176</v>
      </c>
      <c r="E4709" s="50" t="n">
        <v>3</v>
      </c>
      <c r="F4709" s="50" t="s">
        <v>2167</v>
      </c>
      <c r="G4709" s="54" t="n">
        <v>1266900</v>
      </c>
    </row>
    <row r="4710" customFormat="false" ht="15" hidden="false" customHeight="false" outlineLevel="0" collapsed="false">
      <c r="A4710" s="50" t="s">
        <v>1642</v>
      </c>
      <c r="B4710" s="51" t="n">
        <v>45941</v>
      </c>
      <c r="C4710" s="50" t="s">
        <v>271</v>
      </c>
      <c r="D4710" s="50" t="s">
        <v>2175</v>
      </c>
      <c r="E4710" s="50" t="n">
        <v>1</v>
      </c>
      <c r="F4710" s="50" t="s">
        <v>2167</v>
      </c>
      <c r="G4710" s="54" t="n">
        <v>617400</v>
      </c>
    </row>
    <row r="4711" customFormat="false" ht="15" hidden="false" customHeight="false" outlineLevel="0" collapsed="false">
      <c r="A4711" s="50" t="s">
        <v>1643</v>
      </c>
      <c r="B4711" s="51" t="n">
        <v>45943</v>
      </c>
      <c r="C4711" s="50" t="s">
        <v>234</v>
      </c>
      <c r="D4711" s="50" t="s">
        <v>2178</v>
      </c>
      <c r="E4711" s="50" t="n">
        <v>8</v>
      </c>
      <c r="F4711" s="50" t="s">
        <v>2167</v>
      </c>
      <c r="G4711" s="54" t="n">
        <v>3795100</v>
      </c>
    </row>
    <row r="4712" customFormat="false" ht="15" hidden="false" customHeight="false" outlineLevel="0" collapsed="false">
      <c r="A4712" s="50" t="s">
        <v>1643</v>
      </c>
      <c r="B4712" s="51" t="n">
        <v>45943</v>
      </c>
      <c r="C4712" s="50" t="s">
        <v>234</v>
      </c>
      <c r="D4712" s="50" t="s">
        <v>2188</v>
      </c>
      <c r="E4712" s="50" t="n">
        <v>6</v>
      </c>
      <c r="F4712" s="50" t="s">
        <v>2167</v>
      </c>
      <c r="G4712" s="54" t="n">
        <v>5837200</v>
      </c>
    </row>
    <row r="4713" customFormat="false" ht="15" hidden="false" customHeight="false" outlineLevel="0" collapsed="false">
      <c r="A4713" s="50" t="s">
        <v>1643</v>
      </c>
      <c r="B4713" s="51" t="n">
        <v>45943</v>
      </c>
      <c r="C4713" s="50" t="s">
        <v>234</v>
      </c>
      <c r="D4713" s="50" t="s">
        <v>2187</v>
      </c>
      <c r="E4713" s="50" t="n">
        <v>2</v>
      </c>
      <c r="F4713" s="50" t="s">
        <v>2167</v>
      </c>
      <c r="G4713" s="54" t="n">
        <v>680700</v>
      </c>
    </row>
    <row r="4714" customFormat="false" ht="15" hidden="false" customHeight="false" outlineLevel="0" collapsed="false">
      <c r="A4714" s="50" t="s">
        <v>1643</v>
      </c>
      <c r="B4714" s="51" t="n">
        <v>45943</v>
      </c>
      <c r="C4714" s="50" t="s">
        <v>234</v>
      </c>
      <c r="D4714" s="50" t="s">
        <v>2183</v>
      </c>
      <c r="E4714" s="50" t="n">
        <v>8</v>
      </c>
      <c r="F4714" s="50" t="s">
        <v>2167</v>
      </c>
      <c r="G4714" s="54" t="n">
        <v>3160800</v>
      </c>
    </row>
    <row r="4715" customFormat="false" ht="15" hidden="false" customHeight="false" outlineLevel="0" collapsed="false">
      <c r="A4715" s="50" t="s">
        <v>1643</v>
      </c>
      <c r="B4715" s="51" t="n">
        <v>45943</v>
      </c>
      <c r="C4715" s="50" t="s">
        <v>234</v>
      </c>
      <c r="D4715" s="50" t="s">
        <v>2180</v>
      </c>
      <c r="E4715" s="50" t="n">
        <v>7</v>
      </c>
      <c r="F4715" s="50" t="s">
        <v>2167</v>
      </c>
      <c r="G4715" s="54" t="n">
        <v>3046900</v>
      </c>
    </row>
    <row r="4716" customFormat="false" ht="15" hidden="false" customHeight="false" outlineLevel="0" collapsed="false">
      <c r="A4716" s="50" t="s">
        <v>1643</v>
      </c>
      <c r="B4716" s="51" t="n">
        <v>45943</v>
      </c>
      <c r="C4716" s="50" t="s">
        <v>234</v>
      </c>
      <c r="D4716" s="50" t="s">
        <v>2179</v>
      </c>
      <c r="E4716" s="50" t="n">
        <v>6</v>
      </c>
      <c r="F4716" s="50" t="s">
        <v>2174</v>
      </c>
      <c r="G4716" s="54" t="n">
        <v>7312700</v>
      </c>
    </row>
    <row r="4717" customFormat="false" ht="15" hidden="false" customHeight="false" outlineLevel="0" collapsed="false">
      <c r="A4717" s="50" t="s">
        <v>1644</v>
      </c>
      <c r="B4717" s="51" t="n">
        <v>45943</v>
      </c>
      <c r="C4717" s="50" t="s">
        <v>234</v>
      </c>
      <c r="D4717" s="50" t="s">
        <v>2168</v>
      </c>
      <c r="E4717" s="50" t="n">
        <v>6</v>
      </c>
      <c r="F4717" s="50" t="s">
        <v>2167</v>
      </c>
      <c r="G4717" s="54" t="n">
        <v>2612400</v>
      </c>
    </row>
    <row r="4718" customFormat="false" ht="15" hidden="false" customHeight="false" outlineLevel="0" collapsed="false">
      <c r="A4718" s="50" t="s">
        <v>1644</v>
      </c>
      <c r="B4718" s="51" t="n">
        <v>45943</v>
      </c>
      <c r="C4718" s="50" t="s">
        <v>234</v>
      </c>
      <c r="D4718" s="50" t="s">
        <v>2169</v>
      </c>
      <c r="E4718" s="50" t="n">
        <v>8</v>
      </c>
      <c r="F4718" s="50" t="s">
        <v>2167</v>
      </c>
      <c r="G4718" s="54" t="n">
        <v>5014500</v>
      </c>
    </row>
    <row r="4719" customFormat="false" ht="15" hidden="false" customHeight="false" outlineLevel="0" collapsed="false">
      <c r="A4719" s="50" t="s">
        <v>1645</v>
      </c>
      <c r="B4719" s="51" t="n">
        <v>45943</v>
      </c>
      <c r="C4719" s="50" t="s">
        <v>693</v>
      </c>
      <c r="D4719" s="50" t="s">
        <v>2169</v>
      </c>
      <c r="E4719" s="50" t="n">
        <v>1</v>
      </c>
      <c r="F4719" s="50" t="s">
        <v>2167</v>
      </c>
      <c r="G4719" s="54" t="n">
        <v>634500</v>
      </c>
    </row>
    <row r="4720" customFormat="false" ht="15" hidden="false" customHeight="false" outlineLevel="0" collapsed="false">
      <c r="A4720" s="50" t="s">
        <v>1645</v>
      </c>
      <c r="B4720" s="51" t="n">
        <v>45943</v>
      </c>
      <c r="C4720" s="50" t="s">
        <v>693</v>
      </c>
      <c r="D4720" s="50" t="s">
        <v>2172</v>
      </c>
      <c r="E4720" s="50" t="n">
        <v>6</v>
      </c>
      <c r="F4720" s="50" t="s">
        <v>2167</v>
      </c>
      <c r="G4720" s="54" t="n">
        <v>3163100</v>
      </c>
    </row>
    <row r="4721" customFormat="false" ht="15" hidden="false" customHeight="false" outlineLevel="0" collapsed="false">
      <c r="A4721" s="50" t="s">
        <v>1645</v>
      </c>
      <c r="B4721" s="51" t="n">
        <v>45943</v>
      </c>
      <c r="C4721" s="50" t="s">
        <v>693</v>
      </c>
      <c r="D4721" s="50" t="s">
        <v>2175</v>
      </c>
      <c r="E4721" s="50" t="n">
        <v>6</v>
      </c>
      <c r="F4721" s="50" t="s">
        <v>2167</v>
      </c>
      <c r="G4721" s="54" t="n">
        <v>3711100</v>
      </c>
    </row>
    <row r="4722" customFormat="false" ht="15" hidden="false" customHeight="false" outlineLevel="0" collapsed="false">
      <c r="A4722" s="50" t="s">
        <v>1645</v>
      </c>
      <c r="B4722" s="51" t="n">
        <v>45943</v>
      </c>
      <c r="C4722" s="50" t="s">
        <v>693</v>
      </c>
      <c r="D4722" s="50" t="s">
        <v>2168</v>
      </c>
      <c r="E4722" s="50" t="n">
        <v>8</v>
      </c>
      <c r="F4722" s="50" t="s">
        <v>2167</v>
      </c>
      <c r="G4722" s="54" t="n">
        <v>3556600</v>
      </c>
    </row>
    <row r="4723" customFormat="false" ht="15" hidden="false" customHeight="false" outlineLevel="0" collapsed="false">
      <c r="A4723" s="50" t="s">
        <v>1645</v>
      </c>
      <c r="B4723" s="51" t="n">
        <v>45943</v>
      </c>
      <c r="C4723" s="50" t="s">
        <v>693</v>
      </c>
      <c r="D4723" s="50" t="s">
        <v>2173</v>
      </c>
      <c r="E4723" s="50" t="n">
        <v>2</v>
      </c>
      <c r="F4723" s="50" t="s">
        <v>2174</v>
      </c>
      <c r="G4723" s="54" t="n">
        <v>1605600</v>
      </c>
    </row>
    <row r="4724" customFormat="false" ht="15" hidden="false" customHeight="false" outlineLevel="0" collapsed="false">
      <c r="A4724" s="50" t="s">
        <v>1646</v>
      </c>
      <c r="B4724" s="51" t="n">
        <v>45943</v>
      </c>
      <c r="C4724" s="50" t="s">
        <v>410</v>
      </c>
      <c r="D4724" s="50" t="s">
        <v>2183</v>
      </c>
      <c r="E4724" s="50" t="n">
        <v>8</v>
      </c>
      <c r="F4724" s="50" t="s">
        <v>2167</v>
      </c>
      <c r="G4724" s="54" t="n">
        <v>2947100</v>
      </c>
    </row>
    <row r="4725" customFormat="false" ht="15" hidden="false" customHeight="false" outlineLevel="0" collapsed="false">
      <c r="A4725" s="50" t="s">
        <v>1647</v>
      </c>
      <c r="B4725" s="51" t="n">
        <v>45943</v>
      </c>
      <c r="C4725" s="50" t="s">
        <v>232</v>
      </c>
      <c r="D4725" s="50" t="s">
        <v>2179</v>
      </c>
      <c r="E4725" s="50" t="n">
        <v>5</v>
      </c>
      <c r="F4725" s="50" t="s">
        <v>2174</v>
      </c>
      <c r="G4725" s="54" t="n">
        <v>6414100</v>
      </c>
    </row>
    <row r="4726" customFormat="false" ht="15" hidden="false" customHeight="false" outlineLevel="0" collapsed="false">
      <c r="A4726" s="50" t="s">
        <v>1647</v>
      </c>
      <c r="B4726" s="51" t="n">
        <v>45943</v>
      </c>
      <c r="C4726" s="50" t="s">
        <v>232</v>
      </c>
      <c r="D4726" s="50" t="s">
        <v>2166</v>
      </c>
      <c r="E4726" s="50" t="n">
        <v>7</v>
      </c>
      <c r="F4726" s="50" t="s">
        <v>2167</v>
      </c>
      <c r="G4726" s="54" t="n">
        <v>3870100</v>
      </c>
    </row>
    <row r="4727" customFormat="false" ht="15" hidden="false" customHeight="false" outlineLevel="0" collapsed="false">
      <c r="A4727" s="50" t="s">
        <v>1647</v>
      </c>
      <c r="B4727" s="51" t="n">
        <v>45943</v>
      </c>
      <c r="C4727" s="50" t="s">
        <v>232</v>
      </c>
      <c r="D4727" s="50" t="s">
        <v>2176</v>
      </c>
      <c r="E4727" s="50" t="n">
        <v>6</v>
      </c>
      <c r="F4727" s="50" t="s">
        <v>2167</v>
      </c>
      <c r="G4727" s="54" t="n">
        <v>2471800</v>
      </c>
    </row>
    <row r="4728" customFormat="false" ht="15" hidden="false" customHeight="false" outlineLevel="0" collapsed="false">
      <c r="A4728" s="50" t="s">
        <v>1647</v>
      </c>
      <c r="B4728" s="51" t="n">
        <v>45943</v>
      </c>
      <c r="C4728" s="50" t="s">
        <v>232</v>
      </c>
      <c r="D4728" s="50" t="s">
        <v>2168</v>
      </c>
      <c r="E4728" s="50" t="n">
        <v>2</v>
      </c>
      <c r="F4728" s="50" t="s">
        <v>2167</v>
      </c>
      <c r="G4728" s="54" t="n">
        <v>892200</v>
      </c>
    </row>
    <row r="4729" customFormat="false" ht="15" hidden="false" customHeight="false" outlineLevel="0" collapsed="false">
      <c r="A4729" s="50" t="s">
        <v>1647</v>
      </c>
      <c r="B4729" s="51" t="n">
        <v>45943</v>
      </c>
      <c r="C4729" s="50" t="s">
        <v>232</v>
      </c>
      <c r="D4729" s="50" t="s">
        <v>2186</v>
      </c>
      <c r="E4729" s="50" t="n">
        <v>8</v>
      </c>
      <c r="F4729" s="50" t="s">
        <v>2167</v>
      </c>
      <c r="G4729" s="54" t="n">
        <v>4699500</v>
      </c>
    </row>
    <row r="4730" customFormat="false" ht="15" hidden="false" customHeight="false" outlineLevel="0" collapsed="false">
      <c r="A4730" s="50" t="s">
        <v>1648</v>
      </c>
      <c r="B4730" s="51" t="n">
        <v>45943</v>
      </c>
      <c r="C4730" s="50" t="s">
        <v>241</v>
      </c>
      <c r="D4730" s="50" t="s">
        <v>2169</v>
      </c>
      <c r="E4730" s="50" t="n">
        <v>2</v>
      </c>
      <c r="F4730" s="50" t="s">
        <v>2167</v>
      </c>
      <c r="G4730" s="54" t="n">
        <v>1267400</v>
      </c>
    </row>
    <row r="4731" customFormat="false" ht="15" hidden="false" customHeight="false" outlineLevel="0" collapsed="false">
      <c r="A4731" s="50" t="s">
        <v>1648</v>
      </c>
      <c r="B4731" s="51" t="n">
        <v>45943</v>
      </c>
      <c r="C4731" s="50" t="s">
        <v>241</v>
      </c>
      <c r="D4731" s="50" t="s">
        <v>2181</v>
      </c>
      <c r="E4731" s="50" t="n">
        <v>6</v>
      </c>
      <c r="F4731" s="50" t="s">
        <v>2167</v>
      </c>
      <c r="G4731" s="54" t="n">
        <v>6723100</v>
      </c>
    </row>
    <row r="4732" customFormat="false" ht="15" hidden="false" customHeight="false" outlineLevel="0" collapsed="false">
      <c r="A4732" s="50" t="s">
        <v>1648</v>
      </c>
      <c r="B4732" s="51" t="n">
        <v>45943</v>
      </c>
      <c r="C4732" s="50" t="s">
        <v>241</v>
      </c>
      <c r="D4732" s="50" t="s">
        <v>2183</v>
      </c>
      <c r="E4732" s="50" t="n">
        <v>1</v>
      </c>
      <c r="F4732" s="50" t="s">
        <v>2167</v>
      </c>
      <c r="G4732" s="54" t="n">
        <v>385200</v>
      </c>
    </row>
    <row r="4733" customFormat="false" ht="15" hidden="false" customHeight="false" outlineLevel="0" collapsed="false">
      <c r="A4733" s="50" t="s">
        <v>1648</v>
      </c>
      <c r="B4733" s="51" t="n">
        <v>45943</v>
      </c>
      <c r="C4733" s="50" t="s">
        <v>241</v>
      </c>
      <c r="D4733" s="50" t="s">
        <v>2184</v>
      </c>
      <c r="E4733" s="50" t="n">
        <v>6</v>
      </c>
      <c r="F4733" s="50" t="s">
        <v>2167</v>
      </c>
      <c r="G4733" s="54" t="n">
        <v>3480600</v>
      </c>
    </row>
    <row r="4734" customFormat="false" ht="15" hidden="false" customHeight="false" outlineLevel="0" collapsed="false">
      <c r="A4734" s="50" t="s">
        <v>1649</v>
      </c>
      <c r="B4734" s="51" t="n">
        <v>45943</v>
      </c>
      <c r="C4734" s="50" t="s">
        <v>199</v>
      </c>
      <c r="D4734" s="50" t="s">
        <v>2180</v>
      </c>
      <c r="E4734" s="50" t="n">
        <v>3</v>
      </c>
      <c r="F4734" s="50" t="s">
        <v>2167</v>
      </c>
      <c r="G4734" s="54" t="n">
        <v>1375500</v>
      </c>
    </row>
    <row r="4735" customFormat="false" ht="15" hidden="false" customHeight="false" outlineLevel="0" collapsed="false">
      <c r="A4735" s="50" t="s">
        <v>1649</v>
      </c>
      <c r="B4735" s="51" t="n">
        <v>45943</v>
      </c>
      <c r="C4735" s="50" t="s">
        <v>199</v>
      </c>
      <c r="D4735" s="50" t="s">
        <v>2178</v>
      </c>
      <c r="E4735" s="50" t="n">
        <v>3</v>
      </c>
      <c r="F4735" s="50" t="s">
        <v>2167</v>
      </c>
      <c r="G4735" s="54" t="n">
        <v>1458000</v>
      </c>
    </row>
    <row r="4736" customFormat="false" ht="15" hidden="false" customHeight="false" outlineLevel="0" collapsed="false">
      <c r="A4736" s="50" t="s">
        <v>1650</v>
      </c>
      <c r="B4736" s="51" t="n">
        <v>45944</v>
      </c>
      <c r="C4736" s="50" t="s">
        <v>211</v>
      </c>
      <c r="D4736" s="50" t="s">
        <v>2176</v>
      </c>
      <c r="E4736" s="50" t="n">
        <v>2</v>
      </c>
      <c r="F4736" s="50" t="s">
        <v>2167</v>
      </c>
      <c r="G4736" s="54" t="n">
        <v>819600</v>
      </c>
    </row>
    <row r="4737" customFormat="false" ht="15" hidden="false" customHeight="false" outlineLevel="0" collapsed="false">
      <c r="A4737" s="50" t="s">
        <v>1651</v>
      </c>
      <c r="B4737" s="51" t="n">
        <v>45944</v>
      </c>
      <c r="C4737" s="50" t="s">
        <v>179</v>
      </c>
      <c r="D4737" s="50" t="s">
        <v>2185</v>
      </c>
      <c r="E4737" s="50" t="n">
        <v>6</v>
      </c>
      <c r="F4737" s="50" t="s">
        <v>2174</v>
      </c>
      <c r="G4737" s="54" t="n">
        <v>4517000</v>
      </c>
    </row>
    <row r="4738" customFormat="false" ht="15" hidden="false" customHeight="false" outlineLevel="0" collapsed="false">
      <c r="A4738" s="50" t="s">
        <v>1651</v>
      </c>
      <c r="B4738" s="51" t="n">
        <v>45944</v>
      </c>
      <c r="C4738" s="50" t="s">
        <v>179</v>
      </c>
      <c r="D4738" s="50" t="s">
        <v>2182</v>
      </c>
      <c r="E4738" s="50" t="n">
        <v>6</v>
      </c>
      <c r="F4738" s="50" t="s">
        <v>2174</v>
      </c>
      <c r="G4738" s="54" t="n">
        <v>5613500</v>
      </c>
    </row>
    <row r="4739" customFormat="false" ht="15" hidden="false" customHeight="false" outlineLevel="0" collapsed="false">
      <c r="A4739" s="50" t="s">
        <v>1651</v>
      </c>
      <c r="B4739" s="51" t="n">
        <v>45944</v>
      </c>
      <c r="C4739" s="50" t="s">
        <v>179</v>
      </c>
      <c r="D4739" s="50" t="s">
        <v>2180</v>
      </c>
      <c r="E4739" s="50" t="n">
        <v>5</v>
      </c>
      <c r="F4739" s="50" t="s">
        <v>2167</v>
      </c>
      <c r="G4739" s="54" t="n">
        <v>2195200</v>
      </c>
    </row>
    <row r="4740" customFormat="false" ht="15" hidden="false" customHeight="false" outlineLevel="0" collapsed="false">
      <c r="A4740" s="50" t="s">
        <v>1651</v>
      </c>
      <c r="B4740" s="51" t="n">
        <v>45944</v>
      </c>
      <c r="C4740" s="50" t="s">
        <v>179</v>
      </c>
      <c r="D4740" s="50" t="s">
        <v>2173</v>
      </c>
      <c r="E4740" s="50" t="n">
        <v>1</v>
      </c>
      <c r="F4740" s="50" t="s">
        <v>2174</v>
      </c>
      <c r="G4740" s="54" t="n">
        <v>789300</v>
      </c>
    </row>
    <row r="4741" customFormat="false" ht="15" hidden="false" customHeight="false" outlineLevel="0" collapsed="false">
      <c r="A4741" s="50" t="s">
        <v>1651</v>
      </c>
      <c r="B4741" s="51" t="n">
        <v>45944</v>
      </c>
      <c r="C4741" s="50" t="s">
        <v>179</v>
      </c>
      <c r="D4741" s="50" t="s">
        <v>2178</v>
      </c>
      <c r="E4741" s="50" t="n">
        <v>6</v>
      </c>
      <c r="F4741" s="50" t="s">
        <v>2167</v>
      </c>
      <c r="G4741" s="54" t="n">
        <v>2803500</v>
      </c>
    </row>
    <row r="4742" customFormat="false" ht="15" hidden="false" customHeight="false" outlineLevel="0" collapsed="false">
      <c r="A4742" s="50" t="s">
        <v>1652</v>
      </c>
      <c r="B4742" s="51" t="n">
        <v>45944</v>
      </c>
      <c r="C4742" s="50" t="s">
        <v>174</v>
      </c>
      <c r="D4742" s="50" t="s">
        <v>2177</v>
      </c>
      <c r="E4742" s="50" t="n">
        <v>5</v>
      </c>
      <c r="F4742" s="50" t="s">
        <v>2174</v>
      </c>
      <c r="G4742" s="54" t="n">
        <v>5363200</v>
      </c>
    </row>
    <row r="4743" customFormat="false" ht="15" hidden="false" customHeight="false" outlineLevel="0" collapsed="false">
      <c r="A4743" s="50" t="s">
        <v>1652</v>
      </c>
      <c r="B4743" s="51" t="n">
        <v>45944</v>
      </c>
      <c r="C4743" s="50" t="s">
        <v>174</v>
      </c>
      <c r="D4743" s="50" t="s">
        <v>2176</v>
      </c>
      <c r="E4743" s="50" t="n">
        <v>1</v>
      </c>
      <c r="F4743" s="50" t="s">
        <v>2167</v>
      </c>
      <c r="G4743" s="54" t="n">
        <v>415900</v>
      </c>
    </row>
    <row r="4744" customFormat="false" ht="15" hidden="false" customHeight="false" outlineLevel="0" collapsed="false">
      <c r="A4744" s="50" t="s">
        <v>1653</v>
      </c>
      <c r="B4744" s="51" t="n">
        <v>45944</v>
      </c>
      <c r="C4744" s="50" t="s">
        <v>174</v>
      </c>
      <c r="D4744" s="50" t="s">
        <v>2188</v>
      </c>
      <c r="E4744" s="50" t="n">
        <v>7</v>
      </c>
      <c r="F4744" s="50" t="s">
        <v>2167</v>
      </c>
      <c r="G4744" s="54" t="n">
        <v>6687700</v>
      </c>
    </row>
    <row r="4745" customFormat="false" ht="15" hidden="false" customHeight="false" outlineLevel="0" collapsed="false">
      <c r="A4745" s="50" t="s">
        <v>1653</v>
      </c>
      <c r="B4745" s="51" t="n">
        <v>45944</v>
      </c>
      <c r="C4745" s="50" t="s">
        <v>174</v>
      </c>
      <c r="D4745" s="50" t="s">
        <v>2175</v>
      </c>
      <c r="E4745" s="50" t="n">
        <v>1</v>
      </c>
      <c r="F4745" s="50" t="s">
        <v>2167</v>
      </c>
      <c r="G4745" s="54" t="n">
        <v>620900</v>
      </c>
    </row>
    <row r="4746" customFormat="false" ht="15" hidden="false" customHeight="false" outlineLevel="0" collapsed="false">
      <c r="A4746" s="50" t="s">
        <v>1653</v>
      </c>
      <c r="B4746" s="51" t="n">
        <v>45944</v>
      </c>
      <c r="C4746" s="50" t="s">
        <v>174</v>
      </c>
      <c r="D4746" s="50" t="s">
        <v>2181</v>
      </c>
      <c r="E4746" s="50" t="n">
        <v>8</v>
      </c>
      <c r="F4746" s="50" t="s">
        <v>2167</v>
      </c>
      <c r="G4746" s="54" t="n">
        <v>9391900</v>
      </c>
    </row>
    <row r="4747" customFormat="false" ht="15" hidden="false" customHeight="false" outlineLevel="0" collapsed="false">
      <c r="A4747" s="50" t="s">
        <v>1653</v>
      </c>
      <c r="B4747" s="51" t="n">
        <v>45944</v>
      </c>
      <c r="C4747" s="50" t="s">
        <v>174</v>
      </c>
      <c r="D4747" s="50" t="s">
        <v>2178</v>
      </c>
      <c r="E4747" s="50" t="n">
        <v>6</v>
      </c>
      <c r="F4747" s="50" t="s">
        <v>2167</v>
      </c>
      <c r="G4747" s="54" t="n">
        <v>2924600</v>
      </c>
    </row>
    <row r="4748" customFormat="false" ht="15" hidden="false" customHeight="false" outlineLevel="0" collapsed="false">
      <c r="A4748" s="50" t="s">
        <v>1653</v>
      </c>
      <c r="B4748" s="51" t="n">
        <v>45944</v>
      </c>
      <c r="C4748" s="50" t="s">
        <v>174</v>
      </c>
      <c r="D4748" s="50" t="s">
        <v>2170</v>
      </c>
      <c r="E4748" s="50" t="n">
        <v>2</v>
      </c>
      <c r="F4748" s="50" t="s">
        <v>2171</v>
      </c>
      <c r="G4748" s="54" t="n">
        <v>15551400</v>
      </c>
    </row>
    <row r="4749" customFormat="false" ht="15" hidden="false" customHeight="false" outlineLevel="0" collapsed="false">
      <c r="A4749" s="50" t="s">
        <v>1654</v>
      </c>
      <c r="B4749" s="51" t="n">
        <v>45944</v>
      </c>
      <c r="C4749" s="50" t="s">
        <v>289</v>
      </c>
      <c r="D4749" s="50" t="s">
        <v>2185</v>
      </c>
      <c r="E4749" s="50" t="n">
        <v>1</v>
      </c>
      <c r="F4749" s="50" t="s">
        <v>2174</v>
      </c>
      <c r="G4749" s="54" t="n">
        <v>803400</v>
      </c>
    </row>
    <row r="4750" customFormat="false" ht="15" hidden="false" customHeight="false" outlineLevel="0" collapsed="false">
      <c r="A4750" s="50" t="s">
        <v>1655</v>
      </c>
      <c r="B4750" s="51" t="n">
        <v>45944</v>
      </c>
      <c r="C4750" s="50" t="s">
        <v>174</v>
      </c>
      <c r="D4750" s="50" t="s">
        <v>2177</v>
      </c>
      <c r="E4750" s="50" t="n">
        <v>7</v>
      </c>
      <c r="F4750" s="50" t="s">
        <v>2174</v>
      </c>
      <c r="G4750" s="54" t="n">
        <v>7871300</v>
      </c>
    </row>
    <row r="4751" customFormat="false" ht="15" hidden="false" customHeight="false" outlineLevel="0" collapsed="false">
      <c r="A4751" s="50" t="s">
        <v>1655</v>
      </c>
      <c r="B4751" s="51" t="n">
        <v>45944</v>
      </c>
      <c r="C4751" s="50" t="s">
        <v>174</v>
      </c>
      <c r="D4751" s="50" t="s">
        <v>2188</v>
      </c>
      <c r="E4751" s="50" t="n">
        <v>7</v>
      </c>
      <c r="F4751" s="50" t="s">
        <v>2167</v>
      </c>
      <c r="G4751" s="54" t="n">
        <v>6896000</v>
      </c>
    </row>
    <row r="4752" customFormat="false" ht="15" hidden="false" customHeight="false" outlineLevel="0" collapsed="false">
      <c r="A4752" s="50" t="s">
        <v>1655</v>
      </c>
      <c r="B4752" s="51" t="n">
        <v>45944</v>
      </c>
      <c r="C4752" s="50" t="s">
        <v>174</v>
      </c>
      <c r="D4752" s="50" t="s">
        <v>2185</v>
      </c>
      <c r="E4752" s="50" t="n">
        <v>6</v>
      </c>
      <c r="F4752" s="50" t="s">
        <v>2174</v>
      </c>
      <c r="G4752" s="54" t="n">
        <v>4648000</v>
      </c>
    </row>
    <row r="4753" customFormat="false" ht="15" hidden="false" customHeight="false" outlineLevel="0" collapsed="false">
      <c r="A4753" s="50" t="s">
        <v>1655</v>
      </c>
      <c r="B4753" s="51" t="n">
        <v>45944</v>
      </c>
      <c r="C4753" s="50" t="s">
        <v>174</v>
      </c>
      <c r="D4753" s="50" t="s">
        <v>2166</v>
      </c>
      <c r="E4753" s="50" t="n">
        <v>1</v>
      </c>
      <c r="F4753" s="50" t="s">
        <v>2167</v>
      </c>
      <c r="G4753" s="54" t="n">
        <v>541300</v>
      </c>
    </row>
    <row r="4754" customFormat="false" ht="15" hidden="false" customHeight="false" outlineLevel="0" collapsed="false">
      <c r="A4754" s="50" t="s">
        <v>1655</v>
      </c>
      <c r="B4754" s="51" t="n">
        <v>45944</v>
      </c>
      <c r="C4754" s="50" t="s">
        <v>174</v>
      </c>
      <c r="D4754" s="50" t="s">
        <v>2168</v>
      </c>
      <c r="E4754" s="50" t="n">
        <v>5</v>
      </c>
      <c r="F4754" s="50" t="s">
        <v>2167</v>
      </c>
      <c r="G4754" s="54" t="n">
        <v>2217900</v>
      </c>
    </row>
    <row r="4755" customFormat="false" ht="15" hidden="false" customHeight="false" outlineLevel="0" collapsed="false">
      <c r="A4755" s="50" t="s">
        <v>1656</v>
      </c>
      <c r="B4755" s="51" t="n">
        <v>45945</v>
      </c>
      <c r="C4755" s="50" t="s">
        <v>203</v>
      </c>
      <c r="D4755" s="50" t="s">
        <v>2181</v>
      </c>
      <c r="E4755" s="50" t="n">
        <v>3</v>
      </c>
      <c r="F4755" s="50" t="s">
        <v>2167</v>
      </c>
      <c r="G4755" s="54" t="n">
        <v>3317100</v>
      </c>
    </row>
    <row r="4756" customFormat="false" ht="15" hidden="false" customHeight="false" outlineLevel="0" collapsed="false">
      <c r="A4756" s="50" t="s">
        <v>1656</v>
      </c>
      <c r="B4756" s="51" t="n">
        <v>45945</v>
      </c>
      <c r="C4756" s="50" t="s">
        <v>203</v>
      </c>
      <c r="D4756" s="50" t="s">
        <v>2177</v>
      </c>
      <c r="E4756" s="50" t="n">
        <v>4</v>
      </c>
      <c r="F4756" s="50" t="s">
        <v>2174</v>
      </c>
      <c r="G4756" s="54" t="n">
        <v>4332900</v>
      </c>
    </row>
    <row r="4757" customFormat="false" ht="15" hidden="false" customHeight="false" outlineLevel="0" collapsed="false">
      <c r="A4757" s="50" t="s">
        <v>1656</v>
      </c>
      <c r="B4757" s="51" t="n">
        <v>45945</v>
      </c>
      <c r="C4757" s="50" t="s">
        <v>203</v>
      </c>
      <c r="D4757" s="50" t="s">
        <v>2178</v>
      </c>
      <c r="E4757" s="50" t="n">
        <v>7</v>
      </c>
      <c r="F4757" s="50" t="s">
        <v>2167</v>
      </c>
      <c r="G4757" s="54" t="n">
        <v>3431300</v>
      </c>
    </row>
    <row r="4758" customFormat="false" ht="15" hidden="false" customHeight="false" outlineLevel="0" collapsed="false">
      <c r="A4758" s="50" t="s">
        <v>1656</v>
      </c>
      <c r="B4758" s="51" t="n">
        <v>45945</v>
      </c>
      <c r="C4758" s="50" t="s">
        <v>203</v>
      </c>
      <c r="D4758" s="50" t="s">
        <v>2183</v>
      </c>
      <c r="E4758" s="50" t="n">
        <v>2</v>
      </c>
      <c r="F4758" s="50" t="s">
        <v>2167</v>
      </c>
      <c r="G4758" s="54" t="n">
        <v>744300</v>
      </c>
    </row>
    <row r="4759" customFormat="false" ht="15" hidden="false" customHeight="false" outlineLevel="0" collapsed="false">
      <c r="A4759" s="50" t="s">
        <v>1656</v>
      </c>
      <c r="B4759" s="51" t="n">
        <v>45945</v>
      </c>
      <c r="C4759" s="50" t="s">
        <v>203</v>
      </c>
      <c r="D4759" s="50" t="s">
        <v>2172</v>
      </c>
      <c r="E4759" s="50" t="n">
        <v>5</v>
      </c>
      <c r="F4759" s="50" t="s">
        <v>2167</v>
      </c>
      <c r="G4759" s="54" t="n">
        <v>2592700</v>
      </c>
    </row>
    <row r="4760" customFormat="false" ht="15" hidden="false" customHeight="false" outlineLevel="0" collapsed="false">
      <c r="A4760" s="50" t="s">
        <v>1656</v>
      </c>
      <c r="B4760" s="51" t="n">
        <v>45945</v>
      </c>
      <c r="C4760" s="50" t="s">
        <v>203</v>
      </c>
      <c r="D4760" s="50" t="s">
        <v>2176</v>
      </c>
      <c r="E4760" s="50" t="n">
        <v>2</v>
      </c>
      <c r="F4760" s="50" t="s">
        <v>2167</v>
      </c>
      <c r="G4760" s="54" t="n">
        <v>834300</v>
      </c>
    </row>
    <row r="4761" customFormat="false" ht="15" hidden="false" customHeight="false" outlineLevel="0" collapsed="false">
      <c r="A4761" s="50" t="s">
        <v>1657</v>
      </c>
      <c r="B4761" s="51" t="n">
        <v>45945</v>
      </c>
      <c r="C4761" s="50" t="s">
        <v>166</v>
      </c>
      <c r="D4761" s="50" t="s">
        <v>2180</v>
      </c>
      <c r="E4761" s="50" t="n">
        <v>5</v>
      </c>
      <c r="F4761" s="50" t="s">
        <v>2167</v>
      </c>
      <c r="G4761" s="54" t="n">
        <v>2337600</v>
      </c>
    </row>
    <row r="4762" customFormat="false" ht="15" hidden="false" customHeight="false" outlineLevel="0" collapsed="false">
      <c r="A4762" s="50" t="s">
        <v>1657</v>
      </c>
      <c r="B4762" s="51" t="n">
        <v>45945</v>
      </c>
      <c r="C4762" s="50" t="s">
        <v>166</v>
      </c>
      <c r="D4762" s="50" t="s">
        <v>2172</v>
      </c>
      <c r="E4762" s="50" t="n">
        <v>5</v>
      </c>
      <c r="F4762" s="50" t="s">
        <v>2167</v>
      </c>
      <c r="G4762" s="54" t="n">
        <v>2631000</v>
      </c>
    </row>
    <row r="4763" customFormat="false" ht="15" hidden="false" customHeight="false" outlineLevel="0" collapsed="false">
      <c r="A4763" s="50" t="s">
        <v>1658</v>
      </c>
      <c r="B4763" s="51" t="n">
        <v>45945</v>
      </c>
      <c r="C4763" s="50" t="s">
        <v>315</v>
      </c>
      <c r="D4763" s="50" t="s">
        <v>2177</v>
      </c>
      <c r="E4763" s="50" t="n">
        <v>2</v>
      </c>
      <c r="F4763" s="50" t="s">
        <v>2174</v>
      </c>
      <c r="G4763" s="54" t="n">
        <v>2245300</v>
      </c>
    </row>
    <row r="4764" customFormat="false" ht="15" hidden="false" customHeight="false" outlineLevel="0" collapsed="false">
      <c r="A4764" s="50" t="s">
        <v>1658</v>
      </c>
      <c r="B4764" s="51" t="n">
        <v>45945</v>
      </c>
      <c r="C4764" s="50" t="s">
        <v>315</v>
      </c>
      <c r="D4764" s="50" t="s">
        <v>2172</v>
      </c>
      <c r="E4764" s="50" t="n">
        <v>3</v>
      </c>
      <c r="F4764" s="50" t="s">
        <v>2167</v>
      </c>
      <c r="G4764" s="54" t="n">
        <v>1542800</v>
      </c>
    </row>
    <row r="4765" customFormat="false" ht="15" hidden="false" customHeight="false" outlineLevel="0" collapsed="false">
      <c r="A4765" s="50" t="s">
        <v>1658</v>
      </c>
      <c r="B4765" s="51" t="n">
        <v>45945</v>
      </c>
      <c r="C4765" s="50" t="s">
        <v>315</v>
      </c>
      <c r="D4765" s="50" t="s">
        <v>2179</v>
      </c>
      <c r="E4765" s="50" t="n">
        <v>2</v>
      </c>
      <c r="F4765" s="50" t="s">
        <v>2174</v>
      </c>
      <c r="G4765" s="54" t="n">
        <v>2509900</v>
      </c>
    </row>
    <row r="4766" customFormat="false" ht="15" hidden="false" customHeight="false" outlineLevel="0" collapsed="false">
      <c r="A4766" s="50" t="s">
        <v>1659</v>
      </c>
      <c r="B4766" s="51" t="n">
        <v>45945</v>
      </c>
      <c r="C4766" s="50" t="s">
        <v>174</v>
      </c>
      <c r="D4766" s="50" t="s">
        <v>2169</v>
      </c>
      <c r="E4766" s="50" t="n">
        <v>7</v>
      </c>
      <c r="F4766" s="50" t="s">
        <v>2167</v>
      </c>
      <c r="G4766" s="54" t="n">
        <v>4364800</v>
      </c>
    </row>
    <row r="4767" customFormat="false" ht="15" hidden="false" customHeight="false" outlineLevel="0" collapsed="false">
      <c r="A4767" s="50" t="s">
        <v>1659</v>
      </c>
      <c r="B4767" s="51" t="n">
        <v>45945</v>
      </c>
      <c r="C4767" s="50" t="s">
        <v>174</v>
      </c>
      <c r="D4767" s="50" t="s">
        <v>2175</v>
      </c>
      <c r="E4767" s="50" t="n">
        <v>5</v>
      </c>
      <c r="F4767" s="50" t="s">
        <v>2167</v>
      </c>
      <c r="G4767" s="54" t="n">
        <v>3308400</v>
      </c>
    </row>
    <row r="4768" customFormat="false" ht="15" hidden="false" customHeight="false" outlineLevel="0" collapsed="false">
      <c r="A4768" s="50" t="s">
        <v>1659</v>
      </c>
      <c r="B4768" s="51" t="n">
        <v>45945</v>
      </c>
      <c r="C4768" s="50" t="s">
        <v>174</v>
      </c>
      <c r="D4768" s="50" t="s">
        <v>2179</v>
      </c>
      <c r="E4768" s="50" t="n">
        <v>6</v>
      </c>
      <c r="F4768" s="50" t="s">
        <v>2174</v>
      </c>
      <c r="G4768" s="54" t="n">
        <v>7281000</v>
      </c>
    </row>
    <row r="4769" customFormat="false" ht="15" hidden="false" customHeight="false" outlineLevel="0" collapsed="false">
      <c r="A4769" s="50" t="s">
        <v>1660</v>
      </c>
      <c r="B4769" s="51" t="n">
        <v>45945</v>
      </c>
      <c r="C4769" s="50" t="s">
        <v>566</v>
      </c>
      <c r="D4769" s="50" t="s">
        <v>2180</v>
      </c>
      <c r="E4769" s="50" t="n">
        <v>2</v>
      </c>
      <c r="F4769" s="50" t="s">
        <v>2167</v>
      </c>
      <c r="G4769" s="54" t="n">
        <v>892500</v>
      </c>
    </row>
    <row r="4770" customFormat="false" ht="15" hidden="false" customHeight="false" outlineLevel="0" collapsed="false">
      <c r="A4770" s="50" t="s">
        <v>1660</v>
      </c>
      <c r="B4770" s="51" t="n">
        <v>45945</v>
      </c>
      <c r="C4770" s="50" t="s">
        <v>566</v>
      </c>
      <c r="D4770" s="50" t="s">
        <v>2181</v>
      </c>
      <c r="E4770" s="50" t="n">
        <v>5</v>
      </c>
      <c r="F4770" s="50" t="s">
        <v>2167</v>
      </c>
      <c r="G4770" s="54" t="n">
        <v>5911800</v>
      </c>
    </row>
    <row r="4771" customFormat="false" ht="15" hidden="false" customHeight="false" outlineLevel="0" collapsed="false">
      <c r="A4771" s="50" t="s">
        <v>1660</v>
      </c>
      <c r="B4771" s="51" t="n">
        <v>45945</v>
      </c>
      <c r="C4771" s="50" t="s">
        <v>566</v>
      </c>
      <c r="D4771" s="50" t="s">
        <v>2175</v>
      </c>
      <c r="E4771" s="50" t="n">
        <v>1</v>
      </c>
      <c r="F4771" s="50" t="s">
        <v>2167</v>
      </c>
      <c r="G4771" s="54" t="n">
        <v>637400</v>
      </c>
    </row>
    <row r="4772" customFormat="false" ht="15" hidden="false" customHeight="false" outlineLevel="0" collapsed="false">
      <c r="A4772" s="50" t="s">
        <v>1660</v>
      </c>
      <c r="B4772" s="51" t="n">
        <v>45945</v>
      </c>
      <c r="C4772" s="50" t="s">
        <v>566</v>
      </c>
      <c r="D4772" s="50" t="s">
        <v>2187</v>
      </c>
      <c r="E4772" s="50" t="n">
        <v>8</v>
      </c>
      <c r="F4772" s="50" t="s">
        <v>2167</v>
      </c>
      <c r="G4772" s="54" t="n">
        <v>2795400</v>
      </c>
    </row>
    <row r="4773" customFormat="false" ht="15" hidden="false" customHeight="false" outlineLevel="0" collapsed="false">
      <c r="A4773" s="50" t="s">
        <v>1660</v>
      </c>
      <c r="B4773" s="51" t="n">
        <v>45945</v>
      </c>
      <c r="C4773" s="50" t="s">
        <v>566</v>
      </c>
      <c r="D4773" s="50" t="s">
        <v>2182</v>
      </c>
      <c r="E4773" s="50" t="n">
        <v>8</v>
      </c>
      <c r="F4773" s="50" t="s">
        <v>2174</v>
      </c>
      <c r="G4773" s="54" t="n">
        <v>7656600</v>
      </c>
    </row>
    <row r="4774" customFormat="false" ht="15" hidden="false" customHeight="false" outlineLevel="0" collapsed="false">
      <c r="A4774" s="50" t="s">
        <v>1661</v>
      </c>
      <c r="B4774" s="51" t="n">
        <v>45945</v>
      </c>
      <c r="C4774" s="50" t="s">
        <v>271</v>
      </c>
      <c r="D4774" s="50" t="s">
        <v>2180</v>
      </c>
      <c r="E4774" s="50" t="n">
        <v>5</v>
      </c>
      <c r="F4774" s="50" t="s">
        <v>2167</v>
      </c>
      <c r="G4774" s="54" t="n">
        <v>2314800</v>
      </c>
    </row>
    <row r="4775" customFormat="false" ht="15" hidden="false" customHeight="false" outlineLevel="0" collapsed="false">
      <c r="A4775" s="50" t="s">
        <v>1661</v>
      </c>
      <c r="B4775" s="51" t="n">
        <v>45945</v>
      </c>
      <c r="C4775" s="50" t="s">
        <v>271</v>
      </c>
      <c r="D4775" s="50" t="s">
        <v>2173</v>
      </c>
      <c r="E4775" s="50" t="n">
        <v>2</v>
      </c>
      <c r="F4775" s="50" t="s">
        <v>2174</v>
      </c>
      <c r="G4775" s="54" t="n">
        <v>1578800</v>
      </c>
    </row>
    <row r="4776" customFormat="false" ht="15" hidden="false" customHeight="false" outlineLevel="0" collapsed="false">
      <c r="A4776" s="50" t="s">
        <v>1661</v>
      </c>
      <c r="B4776" s="51" t="n">
        <v>45945</v>
      </c>
      <c r="C4776" s="50" t="s">
        <v>271</v>
      </c>
      <c r="D4776" s="50" t="s">
        <v>2185</v>
      </c>
      <c r="E4776" s="50" t="n">
        <v>7</v>
      </c>
      <c r="F4776" s="50" t="s">
        <v>2174</v>
      </c>
      <c r="G4776" s="54" t="n">
        <v>5407500</v>
      </c>
    </row>
    <row r="4777" customFormat="false" ht="15" hidden="false" customHeight="false" outlineLevel="0" collapsed="false">
      <c r="A4777" s="50" t="s">
        <v>1662</v>
      </c>
      <c r="B4777" s="51" t="n">
        <v>45945</v>
      </c>
      <c r="C4777" s="50" t="s">
        <v>349</v>
      </c>
      <c r="D4777" s="50" t="s">
        <v>2173</v>
      </c>
      <c r="E4777" s="50" t="n">
        <v>1</v>
      </c>
      <c r="F4777" s="50" t="s">
        <v>2174</v>
      </c>
      <c r="G4777" s="54" t="n">
        <v>788700</v>
      </c>
    </row>
    <row r="4778" customFormat="false" ht="15" hidden="false" customHeight="false" outlineLevel="0" collapsed="false">
      <c r="A4778" s="50" t="s">
        <v>1662</v>
      </c>
      <c r="B4778" s="51" t="n">
        <v>45945</v>
      </c>
      <c r="C4778" s="50" t="s">
        <v>349</v>
      </c>
      <c r="D4778" s="50" t="s">
        <v>2176</v>
      </c>
      <c r="E4778" s="50" t="n">
        <v>5</v>
      </c>
      <c r="F4778" s="50" t="s">
        <v>2167</v>
      </c>
      <c r="G4778" s="54" t="n">
        <v>2022400</v>
      </c>
    </row>
    <row r="4779" customFormat="false" ht="15" hidden="false" customHeight="false" outlineLevel="0" collapsed="false">
      <c r="A4779" s="50" t="s">
        <v>1662</v>
      </c>
      <c r="B4779" s="51" t="n">
        <v>45945</v>
      </c>
      <c r="C4779" s="50" t="s">
        <v>349</v>
      </c>
      <c r="D4779" s="50" t="s">
        <v>2169</v>
      </c>
      <c r="E4779" s="50" t="n">
        <v>5</v>
      </c>
      <c r="F4779" s="50" t="s">
        <v>2167</v>
      </c>
      <c r="G4779" s="54" t="n">
        <v>3219300</v>
      </c>
    </row>
    <row r="4780" customFormat="false" ht="15" hidden="false" customHeight="false" outlineLevel="0" collapsed="false">
      <c r="A4780" s="50" t="s">
        <v>1662</v>
      </c>
      <c r="B4780" s="51" t="n">
        <v>45945</v>
      </c>
      <c r="C4780" s="50" t="s">
        <v>349</v>
      </c>
      <c r="D4780" s="50" t="s">
        <v>2181</v>
      </c>
      <c r="E4780" s="50" t="n">
        <v>5</v>
      </c>
      <c r="F4780" s="50" t="s">
        <v>2167</v>
      </c>
      <c r="G4780" s="54" t="n">
        <v>5948200</v>
      </c>
    </row>
    <row r="4781" customFormat="false" ht="15" hidden="false" customHeight="false" outlineLevel="0" collapsed="false">
      <c r="A4781" s="50" t="s">
        <v>1663</v>
      </c>
      <c r="B4781" s="51" t="n">
        <v>45946</v>
      </c>
      <c r="C4781" s="50" t="s">
        <v>491</v>
      </c>
      <c r="D4781" s="50" t="s">
        <v>2168</v>
      </c>
      <c r="E4781" s="50" t="n">
        <v>1</v>
      </c>
      <c r="F4781" s="50" t="s">
        <v>2167</v>
      </c>
      <c r="G4781" s="54" t="n">
        <v>414600</v>
      </c>
    </row>
    <row r="4782" customFormat="false" ht="15" hidden="false" customHeight="false" outlineLevel="0" collapsed="false">
      <c r="A4782" s="50" t="s">
        <v>1664</v>
      </c>
      <c r="B4782" s="51" t="n">
        <v>45946</v>
      </c>
      <c r="C4782" s="50" t="s">
        <v>566</v>
      </c>
      <c r="D4782" s="50" t="s">
        <v>2173</v>
      </c>
      <c r="E4782" s="50" t="n">
        <v>8</v>
      </c>
      <c r="F4782" s="50" t="s">
        <v>2174</v>
      </c>
      <c r="G4782" s="54" t="n">
        <v>6548300</v>
      </c>
    </row>
    <row r="4783" customFormat="false" ht="15" hidden="false" customHeight="false" outlineLevel="0" collapsed="false">
      <c r="A4783" s="50" t="s">
        <v>1664</v>
      </c>
      <c r="B4783" s="51" t="n">
        <v>45946</v>
      </c>
      <c r="C4783" s="50" t="s">
        <v>566</v>
      </c>
      <c r="D4783" s="50" t="s">
        <v>2181</v>
      </c>
      <c r="E4783" s="50" t="n">
        <v>7</v>
      </c>
      <c r="F4783" s="50" t="s">
        <v>2167</v>
      </c>
      <c r="G4783" s="54" t="n">
        <v>8327700</v>
      </c>
    </row>
    <row r="4784" customFormat="false" ht="15" hidden="false" customHeight="false" outlineLevel="0" collapsed="false">
      <c r="A4784" s="50" t="s">
        <v>1664</v>
      </c>
      <c r="B4784" s="51" t="n">
        <v>45946</v>
      </c>
      <c r="C4784" s="50" t="s">
        <v>566</v>
      </c>
      <c r="D4784" s="50" t="s">
        <v>2179</v>
      </c>
      <c r="E4784" s="50" t="n">
        <v>8</v>
      </c>
      <c r="F4784" s="50" t="s">
        <v>2174</v>
      </c>
      <c r="G4784" s="54" t="n">
        <v>10363300</v>
      </c>
    </row>
    <row r="4785" customFormat="false" ht="15" hidden="false" customHeight="false" outlineLevel="0" collapsed="false">
      <c r="A4785" s="50" t="s">
        <v>1664</v>
      </c>
      <c r="B4785" s="51" t="n">
        <v>45946</v>
      </c>
      <c r="C4785" s="50" t="s">
        <v>566</v>
      </c>
      <c r="D4785" s="50" t="s">
        <v>2169</v>
      </c>
      <c r="E4785" s="50" t="n">
        <v>4</v>
      </c>
      <c r="F4785" s="50" t="s">
        <v>2167</v>
      </c>
      <c r="G4785" s="54" t="n">
        <v>2460300</v>
      </c>
    </row>
    <row r="4786" customFormat="false" ht="15" hidden="false" customHeight="false" outlineLevel="0" collapsed="false">
      <c r="A4786" s="50" t="s">
        <v>1665</v>
      </c>
      <c r="B4786" s="51" t="n">
        <v>45946</v>
      </c>
      <c r="C4786" s="50" t="s">
        <v>197</v>
      </c>
      <c r="D4786" s="50" t="s">
        <v>2175</v>
      </c>
      <c r="E4786" s="50" t="n">
        <v>7</v>
      </c>
      <c r="F4786" s="50" t="s">
        <v>2167</v>
      </c>
      <c r="G4786" s="54" t="n">
        <v>4451800</v>
      </c>
    </row>
    <row r="4787" customFormat="false" ht="15" hidden="false" customHeight="false" outlineLevel="0" collapsed="false">
      <c r="A4787" s="50" t="s">
        <v>1665</v>
      </c>
      <c r="B4787" s="51" t="n">
        <v>45946</v>
      </c>
      <c r="C4787" s="50" t="s">
        <v>197</v>
      </c>
      <c r="D4787" s="50" t="s">
        <v>2176</v>
      </c>
      <c r="E4787" s="50" t="n">
        <v>7</v>
      </c>
      <c r="F4787" s="50" t="s">
        <v>2167</v>
      </c>
      <c r="G4787" s="54" t="n">
        <v>2901800</v>
      </c>
    </row>
    <row r="4788" customFormat="false" ht="15" hidden="false" customHeight="false" outlineLevel="0" collapsed="false">
      <c r="A4788" s="50" t="s">
        <v>1665</v>
      </c>
      <c r="B4788" s="51" t="n">
        <v>45946</v>
      </c>
      <c r="C4788" s="50" t="s">
        <v>197</v>
      </c>
      <c r="D4788" s="50" t="s">
        <v>2183</v>
      </c>
      <c r="E4788" s="50" t="n">
        <v>3</v>
      </c>
      <c r="F4788" s="50" t="s">
        <v>2167</v>
      </c>
      <c r="G4788" s="54" t="n">
        <v>1145000</v>
      </c>
    </row>
    <row r="4789" customFormat="false" ht="15" hidden="false" customHeight="false" outlineLevel="0" collapsed="false">
      <c r="A4789" s="50" t="s">
        <v>1665</v>
      </c>
      <c r="B4789" s="51" t="n">
        <v>45946</v>
      </c>
      <c r="C4789" s="50" t="s">
        <v>197</v>
      </c>
      <c r="D4789" s="50" t="s">
        <v>2178</v>
      </c>
      <c r="E4789" s="50" t="n">
        <v>7</v>
      </c>
      <c r="F4789" s="50" t="s">
        <v>2167</v>
      </c>
      <c r="G4789" s="54" t="n">
        <v>3374800</v>
      </c>
    </row>
    <row r="4790" customFormat="false" ht="15" hidden="false" customHeight="false" outlineLevel="0" collapsed="false">
      <c r="A4790" s="50" t="s">
        <v>1666</v>
      </c>
      <c r="B4790" s="51" t="n">
        <v>45946</v>
      </c>
      <c r="C4790" s="50" t="s">
        <v>174</v>
      </c>
      <c r="D4790" s="50" t="s">
        <v>2186</v>
      </c>
      <c r="E4790" s="50" t="n">
        <v>3</v>
      </c>
      <c r="F4790" s="50" t="s">
        <v>2167</v>
      </c>
      <c r="G4790" s="54" t="n">
        <v>1726300</v>
      </c>
    </row>
    <row r="4791" customFormat="false" ht="15" hidden="false" customHeight="false" outlineLevel="0" collapsed="false">
      <c r="A4791" s="50" t="s">
        <v>1666</v>
      </c>
      <c r="B4791" s="51" t="n">
        <v>45946</v>
      </c>
      <c r="C4791" s="50" t="s">
        <v>174</v>
      </c>
      <c r="D4791" s="50" t="s">
        <v>2169</v>
      </c>
      <c r="E4791" s="50" t="n">
        <v>8</v>
      </c>
      <c r="F4791" s="50" t="s">
        <v>2167</v>
      </c>
      <c r="G4791" s="54" t="n">
        <v>5141800</v>
      </c>
    </row>
    <row r="4792" customFormat="false" ht="15" hidden="false" customHeight="false" outlineLevel="0" collapsed="false">
      <c r="A4792" s="50" t="s">
        <v>1667</v>
      </c>
      <c r="B4792" s="51" t="n">
        <v>45946</v>
      </c>
      <c r="C4792" s="50" t="s">
        <v>1147</v>
      </c>
      <c r="D4792" s="50" t="s">
        <v>2186</v>
      </c>
      <c r="E4792" s="50" t="n">
        <v>2</v>
      </c>
      <c r="F4792" s="50" t="s">
        <v>2167</v>
      </c>
      <c r="G4792" s="54" t="n">
        <v>1210200</v>
      </c>
    </row>
    <row r="4793" customFormat="false" ht="15" hidden="false" customHeight="false" outlineLevel="0" collapsed="false">
      <c r="A4793" s="50" t="s">
        <v>1667</v>
      </c>
      <c r="B4793" s="51" t="n">
        <v>45946</v>
      </c>
      <c r="C4793" s="50" t="s">
        <v>1147</v>
      </c>
      <c r="D4793" s="50" t="s">
        <v>2169</v>
      </c>
      <c r="E4793" s="50" t="n">
        <v>4</v>
      </c>
      <c r="F4793" s="50" t="s">
        <v>2167</v>
      </c>
      <c r="G4793" s="54" t="n">
        <v>2515100</v>
      </c>
    </row>
    <row r="4794" customFormat="false" ht="15" hidden="false" customHeight="false" outlineLevel="0" collapsed="false">
      <c r="A4794" s="50" t="s">
        <v>1668</v>
      </c>
      <c r="B4794" s="51" t="n">
        <v>45946</v>
      </c>
      <c r="C4794" s="50" t="s">
        <v>289</v>
      </c>
      <c r="D4794" s="50" t="s">
        <v>2168</v>
      </c>
      <c r="E4794" s="50" t="n">
        <v>8</v>
      </c>
      <c r="F4794" s="50" t="s">
        <v>2167</v>
      </c>
      <c r="G4794" s="54" t="n">
        <v>3305300</v>
      </c>
    </row>
    <row r="4795" customFormat="false" ht="15" hidden="false" customHeight="false" outlineLevel="0" collapsed="false">
      <c r="A4795" s="50" t="s">
        <v>1668</v>
      </c>
      <c r="B4795" s="51" t="n">
        <v>45946</v>
      </c>
      <c r="C4795" s="50" t="s">
        <v>289</v>
      </c>
      <c r="D4795" s="50" t="s">
        <v>2186</v>
      </c>
      <c r="E4795" s="50" t="n">
        <v>1</v>
      </c>
      <c r="F4795" s="50" t="s">
        <v>2167</v>
      </c>
      <c r="G4795" s="54" t="n">
        <v>599700</v>
      </c>
    </row>
    <row r="4796" customFormat="false" ht="15" hidden="false" customHeight="false" outlineLevel="0" collapsed="false">
      <c r="A4796" s="50" t="s">
        <v>1668</v>
      </c>
      <c r="B4796" s="51" t="n">
        <v>45946</v>
      </c>
      <c r="C4796" s="50" t="s">
        <v>289</v>
      </c>
      <c r="D4796" s="50" t="s">
        <v>2177</v>
      </c>
      <c r="E4796" s="50" t="n">
        <v>4</v>
      </c>
      <c r="F4796" s="50" t="s">
        <v>2174</v>
      </c>
      <c r="G4796" s="54" t="n">
        <v>4546400</v>
      </c>
    </row>
    <row r="4797" customFormat="false" ht="15" hidden="false" customHeight="false" outlineLevel="0" collapsed="false">
      <c r="A4797" s="50" t="s">
        <v>1668</v>
      </c>
      <c r="B4797" s="51" t="n">
        <v>45946</v>
      </c>
      <c r="C4797" s="50" t="s">
        <v>289</v>
      </c>
      <c r="D4797" s="50" t="s">
        <v>2184</v>
      </c>
      <c r="E4797" s="50" t="n">
        <v>5</v>
      </c>
      <c r="F4797" s="50" t="s">
        <v>2167</v>
      </c>
      <c r="G4797" s="54" t="n">
        <v>2818000</v>
      </c>
    </row>
    <row r="4798" customFormat="false" ht="15" hidden="false" customHeight="false" outlineLevel="0" collapsed="false">
      <c r="A4798" s="50" t="s">
        <v>1669</v>
      </c>
      <c r="B4798" s="51" t="n">
        <v>45946</v>
      </c>
      <c r="C4798" s="50" t="s">
        <v>232</v>
      </c>
      <c r="D4798" s="50" t="s">
        <v>2172</v>
      </c>
      <c r="E4798" s="50" t="n">
        <v>6</v>
      </c>
      <c r="F4798" s="50" t="s">
        <v>2167</v>
      </c>
      <c r="G4798" s="54" t="n">
        <v>3002100</v>
      </c>
    </row>
    <row r="4799" customFormat="false" ht="15" hidden="false" customHeight="false" outlineLevel="0" collapsed="false">
      <c r="A4799" s="50" t="s">
        <v>1669</v>
      </c>
      <c r="B4799" s="51" t="n">
        <v>45946</v>
      </c>
      <c r="C4799" s="50" t="s">
        <v>232</v>
      </c>
      <c r="D4799" s="50" t="s">
        <v>2181</v>
      </c>
      <c r="E4799" s="50" t="n">
        <v>1</v>
      </c>
      <c r="F4799" s="50" t="s">
        <v>2167</v>
      </c>
      <c r="G4799" s="54" t="n">
        <v>1177800</v>
      </c>
    </row>
    <row r="4800" customFormat="false" ht="15" hidden="false" customHeight="false" outlineLevel="0" collapsed="false">
      <c r="A4800" s="50" t="s">
        <v>1669</v>
      </c>
      <c r="B4800" s="51" t="n">
        <v>45946</v>
      </c>
      <c r="C4800" s="50" t="s">
        <v>232</v>
      </c>
      <c r="D4800" s="50" t="s">
        <v>2188</v>
      </c>
      <c r="E4800" s="50" t="n">
        <v>5</v>
      </c>
      <c r="F4800" s="50" t="s">
        <v>2167</v>
      </c>
      <c r="G4800" s="54" t="n">
        <v>4753600</v>
      </c>
    </row>
    <row r="4801" customFormat="false" ht="15" hidden="false" customHeight="false" outlineLevel="0" collapsed="false">
      <c r="A4801" s="50" t="s">
        <v>1669</v>
      </c>
      <c r="B4801" s="51" t="n">
        <v>45946</v>
      </c>
      <c r="C4801" s="50" t="s">
        <v>232</v>
      </c>
      <c r="D4801" s="50" t="s">
        <v>2180</v>
      </c>
      <c r="E4801" s="50" t="n">
        <v>2</v>
      </c>
      <c r="F4801" s="50" t="s">
        <v>2167</v>
      </c>
      <c r="G4801" s="54" t="n">
        <v>931900</v>
      </c>
    </row>
    <row r="4802" customFormat="false" ht="15" hidden="false" customHeight="false" outlineLevel="0" collapsed="false">
      <c r="A4802" s="50" t="s">
        <v>1669</v>
      </c>
      <c r="B4802" s="51" t="n">
        <v>45946</v>
      </c>
      <c r="C4802" s="50" t="s">
        <v>232</v>
      </c>
      <c r="D4802" s="50" t="s">
        <v>2185</v>
      </c>
      <c r="E4802" s="50" t="n">
        <v>3</v>
      </c>
      <c r="F4802" s="50" t="s">
        <v>2174</v>
      </c>
      <c r="G4802" s="54" t="n">
        <v>2433300</v>
      </c>
    </row>
    <row r="4803" customFormat="false" ht="15" hidden="false" customHeight="false" outlineLevel="0" collapsed="false">
      <c r="A4803" s="50" t="s">
        <v>1670</v>
      </c>
      <c r="B4803" s="51" t="n">
        <v>45946</v>
      </c>
      <c r="C4803" s="50" t="s">
        <v>174</v>
      </c>
      <c r="D4803" s="50" t="s">
        <v>2184</v>
      </c>
      <c r="E4803" s="50" t="n">
        <v>4</v>
      </c>
      <c r="F4803" s="50" t="s">
        <v>2167</v>
      </c>
      <c r="G4803" s="54" t="n">
        <v>2321800</v>
      </c>
    </row>
    <row r="4804" customFormat="false" ht="15" hidden="false" customHeight="false" outlineLevel="0" collapsed="false">
      <c r="A4804" s="50" t="s">
        <v>1670</v>
      </c>
      <c r="B4804" s="51" t="n">
        <v>45946</v>
      </c>
      <c r="C4804" s="50" t="s">
        <v>174</v>
      </c>
      <c r="D4804" s="50" t="s">
        <v>2178</v>
      </c>
      <c r="E4804" s="50" t="n">
        <v>4</v>
      </c>
      <c r="F4804" s="50" t="s">
        <v>2167</v>
      </c>
      <c r="G4804" s="54" t="n">
        <v>1913800</v>
      </c>
    </row>
    <row r="4805" customFormat="false" ht="15" hidden="false" customHeight="false" outlineLevel="0" collapsed="false">
      <c r="A4805" s="50" t="s">
        <v>1670</v>
      </c>
      <c r="B4805" s="51" t="n">
        <v>45946</v>
      </c>
      <c r="C4805" s="50" t="s">
        <v>174</v>
      </c>
      <c r="D4805" s="50" t="s">
        <v>2187</v>
      </c>
      <c r="E4805" s="50" t="n">
        <v>1</v>
      </c>
      <c r="F4805" s="50" t="s">
        <v>2167</v>
      </c>
      <c r="G4805" s="54" t="n">
        <v>339700</v>
      </c>
    </row>
    <row r="4806" customFormat="false" ht="15" hidden="false" customHeight="false" outlineLevel="0" collapsed="false">
      <c r="A4806" s="50" t="s">
        <v>1670</v>
      </c>
      <c r="B4806" s="51" t="n">
        <v>45946</v>
      </c>
      <c r="C4806" s="50" t="s">
        <v>174</v>
      </c>
      <c r="D4806" s="50" t="s">
        <v>2173</v>
      </c>
      <c r="E4806" s="50" t="n">
        <v>2</v>
      </c>
      <c r="F4806" s="50" t="s">
        <v>2174</v>
      </c>
      <c r="G4806" s="54" t="n">
        <v>1629600</v>
      </c>
    </row>
    <row r="4807" customFormat="false" ht="15" hidden="false" customHeight="false" outlineLevel="0" collapsed="false">
      <c r="A4807" s="50" t="s">
        <v>1671</v>
      </c>
      <c r="B4807" s="51" t="n">
        <v>45946</v>
      </c>
      <c r="C4807" s="50" t="s">
        <v>419</v>
      </c>
      <c r="D4807" s="50" t="s">
        <v>2185</v>
      </c>
      <c r="E4807" s="50" t="n">
        <v>3</v>
      </c>
      <c r="F4807" s="50" t="s">
        <v>2174</v>
      </c>
      <c r="G4807" s="54" t="n">
        <v>2320600</v>
      </c>
    </row>
    <row r="4808" customFormat="false" ht="15" hidden="false" customHeight="false" outlineLevel="0" collapsed="false">
      <c r="A4808" s="50" t="s">
        <v>1671</v>
      </c>
      <c r="B4808" s="51" t="n">
        <v>45946</v>
      </c>
      <c r="C4808" s="50" t="s">
        <v>419</v>
      </c>
      <c r="D4808" s="50" t="s">
        <v>2177</v>
      </c>
      <c r="E4808" s="50" t="n">
        <v>8</v>
      </c>
      <c r="F4808" s="50" t="s">
        <v>2174</v>
      </c>
      <c r="G4808" s="54" t="n">
        <v>8970400</v>
      </c>
    </row>
    <row r="4809" customFormat="false" ht="15" hidden="false" customHeight="false" outlineLevel="0" collapsed="false">
      <c r="A4809" s="50" t="s">
        <v>1671</v>
      </c>
      <c r="B4809" s="51" t="n">
        <v>45946</v>
      </c>
      <c r="C4809" s="50" t="s">
        <v>419</v>
      </c>
      <c r="D4809" s="50" t="s">
        <v>2176</v>
      </c>
      <c r="E4809" s="50" t="n">
        <v>7</v>
      </c>
      <c r="F4809" s="50" t="s">
        <v>2167</v>
      </c>
      <c r="G4809" s="54" t="n">
        <v>2830200</v>
      </c>
    </row>
    <row r="4810" customFormat="false" ht="15" hidden="false" customHeight="false" outlineLevel="0" collapsed="false">
      <c r="A4810" s="50" t="s">
        <v>1672</v>
      </c>
      <c r="B4810" s="51" t="n">
        <v>45946</v>
      </c>
      <c r="C4810" s="50" t="s">
        <v>174</v>
      </c>
      <c r="D4810" s="50" t="s">
        <v>2173</v>
      </c>
      <c r="E4810" s="50" t="n">
        <v>5</v>
      </c>
      <c r="F4810" s="50" t="s">
        <v>2174</v>
      </c>
      <c r="G4810" s="54" t="n">
        <v>4094900</v>
      </c>
    </row>
    <row r="4811" customFormat="false" ht="15" hidden="false" customHeight="false" outlineLevel="0" collapsed="false">
      <c r="A4811" s="50" t="s">
        <v>1672</v>
      </c>
      <c r="B4811" s="51" t="n">
        <v>45946</v>
      </c>
      <c r="C4811" s="50" t="s">
        <v>174</v>
      </c>
      <c r="D4811" s="50" t="s">
        <v>2168</v>
      </c>
      <c r="E4811" s="50" t="n">
        <v>5</v>
      </c>
      <c r="F4811" s="50" t="s">
        <v>2167</v>
      </c>
      <c r="G4811" s="54" t="n">
        <v>2142800</v>
      </c>
    </row>
    <row r="4812" customFormat="false" ht="15" hidden="false" customHeight="false" outlineLevel="0" collapsed="false">
      <c r="A4812" s="50" t="s">
        <v>1673</v>
      </c>
      <c r="B4812" s="51" t="n">
        <v>45947</v>
      </c>
      <c r="C4812" s="50" t="s">
        <v>177</v>
      </c>
      <c r="D4812" s="50" t="s">
        <v>2176</v>
      </c>
      <c r="E4812" s="50" t="n">
        <v>4</v>
      </c>
      <c r="F4812" s="50" t="s">
        <v>2167</v>
      </c>
      <c r="G4812" s="54" t="n">
        <v>1656400</v>
      </c>
    </row>
    <row r="4813" customFormat="false" ht="15" hidden="false" customHeight="false" outlineLevel="0" collapsed="false">
      <c r="A4813" s="50" t="s">
        <v>1673</v>
      </c>
      <c r="B4813" s="51" t="n">
        <v>45947</v>
      </c>
      <c r="C4813" s="50" t="s">
        <v>177</v>
      </c>
      <c r="D4813" s="50" t="s">
        <v>2182</v>
      </c>
      <c r="E4813" s="50" t="n">
        <v>5</v>
      </c>
      <c r="F4813" s="50" t="s">
        <v>2174</v>
      </c>
      <c r="G4813" s="54" t="n">
        <v>4832900</v>
      </c>
    </row>
    <row r="4814" customFormat="false" ht="15" hidden="false" customHeight="false" outlineLevel="0" collapsed="false">
      <c r="A4814" s="50" t="s">
        <v>1673</v>
      </c>
      <c r="B4814" s="51" t="n">
        <v>45947</v>
      </c>
      <c r="C4814" s="50" t="s">
        <v>177</v>
      </c>
      <c r="D4814" s="50" t="s">
        <v>2168</v>
      </c>
      <c r="E4814" s="50" t="n">
        <v>1</v>
      </c>
      <c r="F4814" s="50" t="s">
        <v>2167</v>
      </c>
      <c r="G4814" s="54" t="n">
        <v>416200</v>
      </c>
    </row>
    <row r="4815" customFormat="false" ht="15" hidden="false" customHeight="false" outlineLevel="0" collapsed="false">
      <c r="A4815" s="50" t="s">
        <v>1673</v>
      </c>
      <c r="B4815" s="51" t="n">
        <v>45947</v>
      </c>
      <c r="C4815" s="50" t="s">
        <v>177</v>
      </c>
      <c r="D4815" s="50" t="s">
        <v>2186</v>
      </c>
      <c r="E4815" s="50" t="n">
        <v>8</v>
      </c>
      <c r="F4815" s="50" t="s">
        <v>2167</v>
      </c>
      <c r="G4815" s="54" t="n">
        <v>4695500</v>
      </c>
    </row>
    <row r="4816" customFormat="false" ht="15" hidden="false" customHeight="false" outlineLevel="0" collapsed="false">
      <c r="A4816" s="50" t="s">
        <v>1674</v>
      </c>
      <c r="B4816" s="51" t="n">
        <v>45947</v>
      </c>
      <c r="C4816" s="50" t="s">
        <v>562</v>
      </c>
      <c r="D4816" s="50" t="s">
        <v>2169</v>
      </c>
      <c r="E4816" s="50" t="n">
        <v>3</v>
      </c>
      <c r="F4816" s="50" t="s">
        <v>2167</v>
      </c>
      <c r="G4816" s="54" t="n">
        <v>1835800</v>
      </c>
    </row>
    <row r="4817" customFormat="false" ht="15" hidden="false" customHeight="false" outlineLevel="0" collapsed="false">
      <c r="A4817" s="50" t="s">
        <v>1675</v>
      </c>
      <c r="B4817" s="51" t="n">
        <v>45947</v>
      </c>
      <c r="C4817" s="50" t="s">
        <v>286</v>
      </c>
      <c r="D4817" s="50" t="s">
        <v>2173</v>
      </c>
      <c r="E4817" s="50" t="n">
        <v>2</v>
      </c>
      <c r="F4817" s="50" t="s">
        <v>2174</v>
      </c>
      <c r="G4817" s="54" t="n">
        <v>1565200</v>
      </c>
    </row>
    <row r="4818" customFormat="false" ht="15" hidden="false" customHeight="false" outlineLevel="0" collapsed="false">
      <c r="A4818" s="50" t="s">
        <v>1675</v>
      </c>
      <c r="B4818" s="51" t="n">
        <v>45947</v>
      </c>
      <c r="C4818" s="50" t="s">
        <v>286</v>
      </c>
      <c r="D4818" s="50" t="s">
        <v>2186</v>
      </c>
      <c r="E4818" s="50" t="n">
        <v>2</v>
      </c>
      <c r="F4818" s="50" t="s">
        <v>2167</v>
      </c>
      <c r="G4818" s="54" t="n">
        <v>1146400</v>
      </c>
    </row>
    <row r="4819" customFormat="false" ht="15" hidden="false" customHeight="false" outlineLevel="0" collapsed="false">
      <c r="A4819" s="50" t="s">
        <v>1675</v>
      </c>
      <c r="B4819" s="51" t="n">
        <v>45947</v>
      </c>
      <c r="C4819" s="50" t="s">
        <v>286</v>
      </c>
      <c r="D4819" s="50" t="s">
        <v>2169</v>
      </c>
      <c r="E4819" s="50" t="n">
        <v>1</v>
      </c>
      <c r="F4819" s="50" t="s">
        <v>2167</v>
      </c>
      <c r="G4819" s="54" t="n">
        <v>641200</v>
      </c>
    </row>
    <row r="4820" customFormat="false" ht="15" hidden="false" customHeight="false" outlineLevel="0" collapsed="false">
      <c r="A4820" s="50" t="s">
        <v>1676</v>
      </c>
      <c r="B4820" s="51" t="n">
        <v>45948</v>
      </c>
      <c r="C4820" s="50" t="s">
        <v>293</v>
      </c>
      <c r="D4820" s="50" t="s">
        <v>2176</v>
      </c>
      <c r="E4820" s="50" t="n">
        <v>6</v>
      </c>
      <c r="F4820" s="50" t="s">
        <v>2167</v>
      </c>
      <c r="G4820" s="54" t="n">
        <v>2495000</v>
      </c>
    </row>
    <row r="4821" customFormat="false" ht="15" hidden="false" customHeight="false" outlineLevel="0" collapsed="false">
      <c r="A4821" s="50" t="s">
        <v>1676</v>
      </c>
      <c r="B4821" s="51" t="n">
        <v>45948</v>
      </c>
      <c r="C4821" s="50" t="s">
        <v>293</v>
      </c>
      <c r="D4821" s="50" t="s">
        <v>2173</v>
      </c>
      <c r="E4821" s="50" t="n">
        <v>1</v>
      </c>
      <c r="F4821" s="50" t="s">
        <v>2174</v>
      </c>
      <c r="G4821" s="54" t="n">
        <v>772600</v>
      </c>
    </row>
    <row r="4822" customFormat="false" ht="15" hidden="false" customHeight="false" outlineLevel="0" collapsed="false">
      <c r="A4822" s="50" t="s">
        <v>1676</v>
      </c>
      <c r="B4822" s="51" t="n">
        <v>45948</v>
      </c>
      <c r="C4822" s="50" t="s">
        <v>293</v>
      </c>
      <c r="D4822" s="50" t="s">
        <v>2182</v>
      </c>
      <c r="E4822" s="50" t="n">
        <v>8</v>
      </c>
      <c r="F4822" s="50" t="s">
        <v>2174</v>
      </c>
      <c r="G4822" s="54" t="n">
        <v>7590300</v>
      </c>
    </row>
    <row r="4823" customFormat="false" ht="15" hidden="false" customHeight="false" outlineLevel="0" collapsed="false">
      <c r="A4823" s="50" t="s">
        <v>1677</v>
      </c>
      <c r="B4823" s="51" t="n">
        <v>45948</v>
      </c>
      <c r="C4823" s="50" t="s">
        <v>566</v>
      </c>
      <c r="D4823" s="50" t="s">
        <v>2181</v>
      </c>
      <c r="E4823" s="50" t="n">
        <v>1</v>
      </c>
      <c r="F4823" s="50" t="s">
        <v>2167</v>
      </c>
      <c r="G4823" s="54" t="n">
        <v>1106000</v>
      </c>
    </row>
    <row r="4824" customFormat="false" ht="15" hidden="false" customHeight="false" outlineLevel="0" collapsed="false">
      <c r="A4824" s="50" t="s">
        <v>1677</v>
      </c>
      <c r="B4824" s="51" t="n">
        <v>45948</v>
      </c>
      <c r="C4824" s="50" t="s">
        <v>566</v>
      </c>
      <c r="D4824" s="50" t="s">
        <v>2168</v>
      </c>
      <c r="E4824" s="50" t="n">
        <v>6</v>
      </c>
      <c r="F4824" s="50" t="s">
        <v>2167</v>
      </c>
      <c r="G4824" s="54" t="n">
        <v>2630200</v>
      </c>
    </row>
    <row r="4825" customFormat="false" ht="15" hidden="false" customHeight="false" outlineLevel="0" collapsed="false">
      <c r="A4825" s="50" t="s">
        <v>1678</v>
      </c>
      <c r="B4825" s="51" t="n">
        <v>45948</v>
      </c>
      <c r="C4825" s="50" t="s">
        <v>430</v>
      </c>
      <c r="D4825" s="50" t="s">
        <v>2169</v>
      </c>
      <c r="E4825" s="50" t="n">
        <v>5</v>
      </c>
      <c r="F4825" s="50" t="s">
        <v>2167</v>
      </c>
      <c r="G4825" s="54" t="n">
        <v>3074600</v>
      </c>
    </row>
    <row r="4826" customFormat="false" ht="15" hidden="false" customHeight="false" outlineLevel="0" collapsed="false">
      <c r="A4826" s="50" t="s">
        <v>1678</v>
      </c>
      <c r="B4826" s="51" t="n">
        <v>45948</v>
      </c>
      <c r="C4826" s="50" t="s">
        <v>430</v>
      </c>
      <c r="D4826" s="50" t="s">
        <v>2172</v>
      </c>
      <c r="E4826" s="50" t="n">
        <v>6</v>
      </c>
      <c r="F4826" s="50" t="s">
        <v>2167</v>
      </c>
      <c r="G4826" s="54" t="n">
        <v>3131300</v>
      </c>
    </row>
    <row r="4827" customFormat="false" ht="15" hidden="false" customHeight="false" outlineLevel="0" collapsed="false">
      <c r="A4827" s="50" t="s">
        <v>1678</v>
      </c>
      <c r="B4827" s="51" t="n">
        <v>45948</v>
      </c>
      <c r="C4827" s="50" t="s">
        <v>430</v>
      </c>
      <c r="D4827" s="50" t="s">
        <v>2178</v>
      </c>
      <c r="E4827" s="50" t="n">
        <v>2</v>
      </c>
      <c r="F4827" s="50" t="s">
        <v>2167</v>
      </c>
      <c r="G4827" s="54" t="n">
        <v>991100</v>
      </c>
    </row>
    <row r="4828" customFormat="false" ht="15" hidden="false" customHeight="false" outlineLevel="0" collapsed="false">
      <c r="A4828" s="50" t="s">
        <v>1678</v>
      </c>
      <c r="B4828" s="51" t="n">
        <v>45948</v>
      </c>
      <c r="C4828" s="50" t="s">
        <v>430</v>
      </c>
      <c r="D4828" s="50" t="s">
        <v>2166</v>
      </c>
      <c r="E4828" s="50" t="n">
        <v>6</v>
      </c>
      <c r="F4828" s="50" t="s">
        <v>2167</v>
      </c>
      <c r="G4828" s="54" t="n">
        <v>3323200</v>
      </c>
    </row>
    <row r="4829" customFormat="false" ht="15" hidden="false" customHeight="false" outlineLevel="0" collapsed="false">
      <c r="A4829" s="50" t="s">
        <v>1679</v>
      </c>
      <c r="B4829" s="51" t="n">
        <v>45948</v>
      </c>
      <c r="C4829" s="50" t="s">
        <v>174</v>
      </c>
      <c r="D4829" s="50" t="s">
        <v>2182</v>
      </c>
      <c r="E4829" s="50" t="n">
        <v>2</v>
      </c>
      <c r="F4829" s="50" t="s">
        <v>2174</v>
      </c>
      <c r="G4829" s="54" t="n">
        <v>1848400</v>
      </c>
    </row>
    <row r="4830" customFormat="false" ht="15" hidden="false" customHeight="false" outlineLevel="0" collapsed="false">
      <c r="A4830" s="50" t="s">
        <v>1680</v>
      </c>
      <c r="B4830" s="51" t="n">
        <v>45948</v>
      </c>
      <c r="C4830" s="50" t="s">
        <v>358</v>
      </c>
      <c r="D4830" s="50" t="s">
        <v>2169</v>
      </c>
      <c r="E4830" s="50" t="n">
        <v>8</v>
      </c>
      <c r="F4830" s="50" t="s">
        <v>2167</v>
      </c>
      <c r="G4830" s="54" t="n">
        <v>5031400</v>
      </c>
    </row>
    <row r="4831" customFormat="false" ht="15" hidden="false" customHeight="false" outlineLevel="0" collapsed="false">
      <c r="A4831" s="50" t="s">
        <v>1680</v>
      </c>
      <c r="B4831" s="51" t="n">
        <v>45948</v>
      </c>
      <c r="C4831" s="50" t="s">
        <v>358</v>
      </c>
      <c r="D4831" s="50" t="s">
        <v>2172</v>
      </c>
      <c r="E4831" s="50" t="n">
        <v>2</v>
      </c>
      <c r="F4831" s="50" t="s">
        <v>2167</v>
      </c>
      <c r="G4831" s="54" t="n">
        <v>1024100</v>
      </c>
    </row>
    <row r="4832" customFormat="false" ht="15" hidden="false" customHeight="false" outlineLevel="0" collapsed="false">
      <c r="A4832" s="50" t="s">
        <v>1681</v>
      </c>
      <c r="B4832" s="51" t="n">
        <v>45948</v>
      </c>
      <c r="C4832" s="50" t="s">
        <v>243</v>
      </c>
      <c r="D4832" s="50" t="s">
        <v>2181</v>
      </c>
      <c r="E4832" s="50" t="n">
        <v>5</v>
      </c>
      <c r="F4832" s="50" t="s">
        <v>2167</v>
      </c>
      <c r="G4832" s="54" t="n">
        <v>5566000</v>
      </c>
    </row>
    <row r="4833" customFormat="false" ht="15" hidden="false" customHeight="false" outlineLevel="0" collapsed="false">
      <c r="A4833" s="50" t="s">
        <v>1681</v>
      </c>
      <c r="B4833" s="51" t="n">
        <v>45948</v>
      </c>
      <c r="C4833" s="50" t="s">
        <v>243</v>
      </c>
      <c r="D4833" s="50" t="s">
        <v>2180</v>
      </c>
      <c r="E4833" s="50" t="n">
        <v>7</v>
      </c>
      <c r="F4833" s="50" t="s">
        <v>2167</v>
      </c>
      <c r="G4833" s="54" t="n">
        <v>3219300</v>
      </c>
    </row>
    <row r="4834" customFormat="false" ht="15" hidden="false" customHeight="false" outlineLevel="0" collapsed="false">
      <c r="A4834" s="50" t="s">
        <v>1681</v>
      </c>
      <c r="B4834" s="51" t="n">
        <v>45948</v>
      </c>
      <c r="C4834" s="50" t="s">
        <v>243</v>
      </c>
      <c r="D4834" s="50" t="s">
        <v>2187</v>
      </c>
      <c r="E4834" s="50" t="n">
        <v>3</v>
      </c>
      <c r="F4834" s="50" t="s">
        <v>2167</v>
      </c>
      <c r="G4834" s="54" t="n">
        <v>1075300</v>
      </c>
    </row>
    <row r="4835" customFormat="false" ht="15" hidden="false" customHeight="false" outlineLevel="0" collapsed="false">
      <c r="A4835" s="50" t="s">
        <v>1682</v>
      </c>
      <c r="B4835" s="51" t="n">
        <v>45950</v>
      </c>
      <c r="C4835" s="50" t="s">
        <v>271</v>
      </c>
      <c r="D4835" s="50" t="s">
        <v>2169</v>
      </c>
      <c r="E4835" s="50" t="n">
        <v>4</v>
      </c>
      <c r="F4835" s="50" t="s">
        <v>2167</v>
      </c>
      <c r="G4835" s="54" t="n">
        <v>2511500</v>
      </c>
    </row>
    <row r="4836" customFormat="false" ht="15" hidden="false" customHeight="false" outlineLevel="0" collapsed="false">
      <c r="A4836" s="50" t="s">
        <v>1682</v>
      </c>
      <c r="B4836" s="51" t="n">
        <v>45950</v>
      </c>
      <c r="C4836" s="50" t="s">
        <v>271</v>
      </c>
      <c r="D4836" s="50" t="s">
        <v>2176</v>
      </c>
      <c r="E4836" s="50" t="n">
        <v>6</v>
      </c>
      <c r="F4836" s="50" t="s">
        <v>2167</v>
      </c>
      <c r="G4836" s="54" t="n">
        <v>2590300</v>
      </c>
    </row>
    <row r="4837" customFormat="false" ht="15" hidden="false" customHeight="false" outlineLevel="0" collapsed="false">
      <c r="A4837" s="50" t="s">
        <v>1682</v>
      </c>
      <c r="B4837" s="51" t="n">
        <v>45950</v>
      </c>
      <c r="C4837" s="50" t="s">
        <v>271</v>
      </c>
      <c r="D4837" s="50" t="s">
        <v>2182</v>
      </c>
      <c r="E4837" s="50" t="n">
        <v>6</v>
      </c>
      <c r="F4837" s="50" t="s">
        <v>2174</v>
      </c>
      <c r="G4837" s="54" t="n">
        <v>5821600</v>
      </c>
    </row>
    <row r="4838" customFormat="false" ht="15" hidden="false" customHeight="false" outlineLevel="0" collapsed="false">
      <c r="A4838" s="50" t="s">
        <v>1683</v>
      </c>
      <c r="B4838" s="51" t="n">
        <v>45950</v>
      </c>
      <c r="C4838" s="50" t="s">
        <v>174</v>
      </c>
      <c r="D4838" s="50" t="s">
        <v>2180</v>
      </c>
      <c r="E4838" s="50" t="n">
        <v>3</v>
      </c>
      <c r="F4838" s="50" t="s">
        <v>2167</v>
      </c>
      <c r="G4838" s="54" t="n">
        <v>1297100</v>
      </c>
    </row>
    <row r="4839" customFormat="false" ht="15" hidden="false" customHeight="false" outlineLevel="0" collapsed="false">
      <c r="A4839" s="50" t="s">
        <v>1683</v>
      </c>
      <c r="B4839" s="51" t="n">
        <v>45950</v>
      </c>
      <c r="C4839" s="50" t="s">
        <v>174</v>
      </c>
      <c r="D4839" s="50" t="s">
        <v>2172</v>
      </c>
      <c r="E4839" s="50" t="n">
        <v>8</v>
      </c>
      <c r="F4839" s="50" t="s">
        <v>2167</v>
      </c>
      <c r="G4839" s="54" t="n">
        <v>4101300</v>
      </c>
    </row>
    <row r="4840" customFormat="false" ht="15" hidden="false" customHeight="false" outlineLevel="0" collapsed="false">
      <c r="A4840" s="50" t="s">
        <v>1683</v>
      </c>
      <c r="B4840" s="51" t="n">
        <v>45950</v>
      </c>
      <c r="C4840" s="50" t="s">
        <v>174</v>
      </c>
      <c r="D4840" s="50" t="s">
        <v>2169</v>
      </c>
      <c r="E4840" s="50" t="n">
        <v>7</v>
      </c>
      <c r="F4840" s="50" t="s">
        <v>2167</v>
      </c>
      <c r="G4840" s="54" t="n">
        <v>4304600</v>
      </c>
    </row>
    <row r="4841" customFormat="false" ht="15" hidden="false" customHeight="false" outlineLevel="0" collapsed="false">
      <c r="A4841" s="50" t="s">
        <v>1684</v>
      </c>
      <c r="B4841" s="51" t="n">
        <v>45951</v>
      </c>
      <c r="C4841" s="50" t="s">
        <v>216</v>
      </c>
      <c r="D4841" s="50" t="s">
        <v>2172</v>
      </c>
      <c r="E4841" s="50" t="n">
        <v>2</v>
      </c>
      <c r="F4841" s="50" t="s">
        <v>2167</v>
      </c>
      <c r="G4841" s="54" t="n">
        <v>1019400</v>
      </c>
    </row>
    <row r="4842" customFormat="false" ht="15" hidden="false" customHeight="false" outlineLevel="0" collapsed="false">
      <c r="A4842" s="50" t="s">
        <v>1684</v>
      </c>
      <c r="B4842" s="51" t="n">
        <v>45951</v>
      </c>
      <c r="C4842" s="50" t="s">
        <v>216</v>
      </c>
      <c r="D4842" s="50" t="s">
        <v>2184</v>
      </c>
      <c r="E4842" s="50" t="n">
        <v>7</v>
      </c>
      <c r="F4842" s="50" t="s">
        <v>2167</v>
      </c>
      <c r="G4842" s="54" t="n">
        <v>4023500</v>
      </c>
    </row>
    <row r="4843" customFormat="false" ht="15" hidden="false" customHeight="false" outlineLevel="0" collapsed="false">
      <c r="A4843" s="50" t="s">
        <v>1685</v>
      </c>
      <c r="B4843" s="51" t="n">
        <v>45951</v>
      </c>
      <c r="C4843" s="50" t="s">
        <v>349</v>
      </c>
      <c r="D4843" s="50" t="s">
        <v>2176</v>
      </c>
      <c r="E4843" s="50" t="n">
        <v>6</v>
      </c>
      <c r="F4843" s="50" t="s">
        <v>2167</v>
      </c>
      <c r="G4843" s="54" t="n">
        <v>2476000</v>
      </c>
    </row>
    <row r="4844" customFormat="false" ht="15" hidden="false" customHeight="false" outlineLevel="0" collapsed="false">
      <c r="A4844" s="50" t="s">
        <v>1686</v>
      </c>
      <c r="B4844" s="51" t="n">
        <v>45951</v>
      </c>
      <c r="C4844" s="50" t="s">
        <v>256</v>
      </c>
      <c r="D4844" s="50" t="s">
        <v>2170</v>
      </c>
      <c r="E4844" s="50" t="n">
        <v>1</v>
      </c>
      <c r="F4844" s="50" t="s">
        <v>2171</v>
      </c>
      <c r="G4844" s="54" t="n">
        <v>7709700</v>
      </c>
    </row>
    <row r="4845" customFormat="false" ht="15" hidden="false" customHeight="false" outlineLevel="0" collapsed="false">
      <c r="A4845" s="50" t="s">
        <v>1687</v>
      </c>
      <c r="B4845" s="51" t="n">
        <v>45951</v>
      </c>
      <c r="C4845" s="50" t="s">
        <v>174</v>
      </c>
      <c r="D4845" s="50" t="s">
        <v>2169</v>
      </c>
      <c r="E4845" s="50" t="n">
        <v>3</v>
      </c>
      <c r="F4845" s="50" t="s">
        <v>2167</v>
      </c>
      <c r="G4845" s="54" t="n">
        <v>1870700</v>
      </c>
    </row>
    <row r="4846" customFormat="false" ht="15" hidden="false" customHeight="false" outlineLevel="0" collapsed="false">
      <c r="A4846" s="50" t="s">
        <v>1687</v>
      </c>
      <c r="B4846" s="51" t="n">
        <v>45951</v>
      </c>
      <c r="C4846" s="50" t="s">
        <v>174</v>
      </c>
      <c r="D4846" s="50" t="s">
        <v>2179</v>
      </c>
      <c r="E4846" s="50" t="n">
        <v>4</v>
      </c>
      <c r="F4846" s="50" t="s">
        <v>2174</v>
      </c>
      <c r="G4846" s="54" t="n">
        <v>5073100</v>
      </c>
    </row>
    <row r="4847" customFormat="false" ht="15" hidden="false" customHeight="false" outlineLevel="0" collapsed="false">
      <c r="A4847" s="50" t="s">
        <v>1687</v>
      </c>
      <c r="B4847" s="51" t="n">
        <v>45951</v>
      </c>
      <c r="C4847" s="50" t="s">
        <v>174</v>
      </c>
      <c r="D4847" s="50" t="s">
        <v>2172</v>
      </c>
      <c r="E4847" s="50" t="n">
        <v>7</v>
      </c>
      <c r="F4847" s="50" t="s">
        <v>2167</v>
      </c>
      <c r="G4847" s="54" t="n">
        <v>3767400</v>
      </c>
    </row>
    <row r="4848" customFormat="false" ht="15" hidden="false" customHeight="false" outlineLevel="0" collapsed="false">
      <c r="A4848" s="50" t="s">
        <v>1687</v>
      </c>
      <c r="B4848" s="51" t="n">
        <v>45951</v>
      </c>
      <c r="C4848" s="50" t="s">
        <v>174</v>
      </c>
      <c r="D4848" s="50" t="s">
        <v>2173</v>
      </c>
      <c r="E4848" s="50" t="n">
        <v>3</v>
      </c>
      <c r="F4848" s="50" t="s">
        <v>2174</v>
      </c>
      <c r="G4848" s="54" t="n">
        <v>2412300</v>
      </c>
    </row>
    <row r="4849" customFormat="false" ht="15" hidden="false" customHeight="false" outlineLevel="0" collapsed="false">
      <c r="A4849" s="50" t="s">
        <v>1688</v>
      </c>
      <c r="B4849" s="51" t="n">
        <v>45951</v>
      </c>
      <c r="C4849" s="50" t="s">
        <v>174</v>
      </c>
      <c r="D4849" s="50" t="s">
        <v>2176</v>
      </c>
      <c r="E4849" s="50" t="n">
        <v>5</v>
      </c>
      <c r="F4849" s="50" t="s">
        <v>2167</v>
      </c>
      <c r="G4849" s="54" t="n">
        <v>2109300</v>
      </c>
    </row>
    <row r="4850" customFormat="false" ht="15" hidden="false" customHeight="false" outlineLevel="0" collapsed="false">
      <c r="A4850" s="50" t="s">
        <v>1689</v>
      </c>
      <c r="B4850" s="51" t="n">
        <v>45951</v>
      </c>
      <c r="C4850" s="50" t="s">
        <v>186</v>
      </c>
      <c r="D4850" s="50" t="s">
        <v>2181</v>
      </c>
      <c r="E4850" s="50" t="n">
        <v>4</v>
      </c>
      <c r="F4850" s="50" t="s">
        <v>2167</v>
      </c>
      <c r="G4850" s="54" t="n">
        <v>4764400</v>
      </c>
    </row>
    <row r="4851" customFormat="false" ht="15" hidden="false" customHeight="false" outlineLevel="0" collapsed="false">
      <c r="A4851" s="50" t="s">
        <v>1689</v>
      </c>
      <c r="B4851" s="51" t="n">
        <v>45951</v>
      </c>
      <c r="C4851" s="50" t="s">
        <v>186</v>
      </c>
      <c r="D4851" s="50" t="s">
        <v>2176</v>
      </c>
      <c r="E4851" s="50" t="n">
        <v>6</v>
      </c>
      <c r="F4851" s="50" t="s">
        <v>2167</v>
      </c>
      <c r="G4851" s="54" t="n">
        <v>2493500</v>
      </c>
    </row>
    <row r="4852" customFormat="false" ht="15" hidden="false" customHeight="false" outlineLevel="0" collapsed="false">
      <c r="A4852" s="50" t="s">
        <v>1689</v>
      </c>
      <c r="B4852" s="51" t="n">
        <v>45951</v>
      </c>
      <c r="C4852" s="50" t="s">
        <v>186</v>
      </c>
      <c r="D4852" s="50" t="s">
        <v>2184</v>
      </c>
      <c r="E4852" s="50" t="n">
        <v>2</v>
      </c>
      <c r="F4852" s="50" t="s">
        <v>2167</v>
      </c>
      <c r="G4852" s="54" t="n">
        <v>1106900</v>
      </c>
    </row>
    <row r="4853" customFormat="false" ht="15" hidden="false" customHeight="false" outlineLevel="0" collapsed="false">
      <c r="A4853" s="50" t="s">
        <v>1690</v>
      </c>
      <c r="B4853" s="51" t="n">
        <v>45951</v>
      </c>
      <c r="C4853" s="50" t="s">
        <v>286</v>
      </c>
      <c r="D4853" s="50" t="s">
        <v>2176</v>
      </c>
      <c r="E4853" s="50" t="n">
        <v>3</v>
      </c>
      <c r="F4853" s="50" t="s">
        <v>2167</v>
      </c>
      <c r="G4853" s="54" t="n">
        <v>1228200</v>
      </c>
    </row>
    <row r="4854" customFormat="false" ht="15" hidden="false" customHeight="false" outlineLevel="0" collapsed="false">
      <c r="A4854" s="50" t="s">
        <v>1690</v>
      </c>
      <c r="B4854" s="51" t="n">
        <v>45951</v>
      </c>
      <c r="C4854" s="50" t="s">
        <v>286</v>
      </c>
      <c r="D4854" s="50" t="s">
        <v>2172</v>
      </c>
      <c r="E4854" s="50" t="n">
        <v>8</v>
      </c>
      <c r="F4854" s="50" t="s">
        <v>2167</v>
      </c>
      <c r="G4854" s="54" t="n">
        <v>4228900</v>
      </c>
    </row>
    <row r="4855" customFormat="false" ht="15" hidden="false" customHeight="false" outlineLevel="0" collapsed="false">
      <c r="A4855" s="50" t="s">
        <v>1691</v>
      </c>
      <c r="B4855" s="51" t="n">
        <v>45952</v>
      </c>
      <c r="C4855" s="50" t="s">
        <v>213</v>
      </c>
      <c r="D4855" s="50" t="s">
        <v>2180</v>
      </c>
      <c r="E4855" s="50" t="n">
        <v>2</v>
      </c>
      <c r="F4855" s="50" t="s">
        <v>2167</v>
      </c>
      <c r="G4855" s="54" t="n">
        <v>896900</v>
      </c>
    </row>
    <row r="4856" customFormat="false" ht="15" hidden="false" customHeight="false" outlineLevel="0" collapsed="false">
      <c r="A4856" s="50" t="s">
        <v>1691</v>
      </c>
      <c r="B4856" s="51" t="n">
        <v>45952</v>
      </c>
      <c r="C4856" s="50" t="s">
        <v>213</v>
      </c>
      <c r="D4856" s="50" t="s">
        <v>2176</v>
      </c>
      <c r="E4856" s="50" t="n">
        <v>7</v>
      </c>
      <c r="F4856" s="50" t="s">
        <v>2167</v>
      </c>
      <c r="G4856" s="54" t="n">
        <v>2941100</v>
      </c>
    </row>
    <row r="4857" customFormat="false" ht="15" hidden="false" customHeight="false" outlineLevel="0" collapsed="false">
      <c r="A4857" s="50" t="s">
        <v>1691</v>
      </c>
      <c r="B4857" s="51" t="n">
        <v>45952</v>
      </c>
      <c r="C4857" s="50" t="s">
        <v>213</v>
      </c>
      <c r="D4857" s="50" t="s">
        <v>2182</v>
      </c>
      <c r="E4857" s="50" t="n">
        <v>5</v>
      </c>
      <c r="F4857" s="50" t="s">
        <v>2174</v>
      </c>
      <c r="G4857" s="54" t="n">
        <v>4588100</v>
      </c>
    </row>
    <row r="4858" customFormat="false" ht="15" hidden="false" customHeight="false" outlineLevel="0" collapsed="false">
      <c r="A4858" s="50" t="s">
        <v>1691</v>
      </c>
      <c r="B4858" s="51" t="n">
        <v>45952</v>
      </c>
      <c r="C4858" s="50" t="s">
        <v>213</v>
      </c>
      <c r="D4858" s="50" t="s">
        <v>2187</v>
      </c>
      <c r="E4858" s="50" t="n">
        <v>6</v>
      </c>
      <c r="F4858" s="50" t="s">
        <v>2167</v>
      </c>
      <c r="G4858" s="54" t="n">
        <v>2026300</v>
      </c>
    </row>
    <row r="4859" customFormat="false" ht="15" hidden="false" customHeight="false" outlineLevel="0" collapsed="false">
      <c r="A4859" s="50" t="s">
        <v>1691</v>
      </c>
      <c r="B4859" s="51" t="n">
        <v>45952</v>
      </c>
      <c r="C4859" s="50" t="s">
        <v>213</v>
      </c>
      <c r="D4859" s="50" t="s">
        <v>2168</v>
      </c>
      <c r="E4859" s="50" t="n">
        <v>3</v>
      </c>
      <c r="F4859" s="50" t="s">
        <v>2167</v>
      </c>
      <c r="G4859" s="54" t="n">
        <v>1328800</v>
      </c>
    </row>
    <row r="4860" customFormat="false" ht="15" hidden="false" customHeight="false" outlineLevel="0" collapsed="false">
      <c r="A4860" s="50" t="s">
        <v>1691</v>
      </c>
      <c r="B4860" s="51" t="n">
        <v>45952</v>
      </c>
      <c r="C4860" s="50" t="s">
        <v>213</v>
      </c>
      <c r="D4860" s="50" t="s">
        <v>2179</v>
      </c>
      <c r="E4860" s="50" t="n">
        <v>7</v>
      </c>
      <c r="F4860" s="50" t="s">
        <v>2174</v>
      </c>
      <c r="G4860" s="54" t="n">
        <v>8861400</v>
      </c>
    </row>
    <row r="4861" customFormat="false" ht="15" hidden="false" customHeight="false" outlineLevel="0" collapsed="false">
      <c r="A4861" s="50" t="s">
        <v>1691</v>
      </c>
      <c r="B4861" s="51" t="n">
        <v>45952</v>
      </c>
      <c r="C4861" s="50" t="s">
        <v>213</v>
      </c>
      <c r="D4861" s="50" t="s">
        <v>2177</v>
      </c>
      <c r="E4861" s="50" t="n">
        <v>1</v>
      </c>
      <c r="F4861" s="50" t="s">
        <v>2174</v>
      </c>
      <c r="G4861" s="54" t="n">
        <v>1117100</v>
      </c>
    </row>
    <row r="4862" customFormat="false" ht="15" hidden="false" customHeight="false" outlineLevel="0" collapsed="false">
      <c r="A4862" s="50" t="s">
        <v>1692</v>
      </c>
      <c r="B4862" s="51" t="n">
        <v>45952</v>
      </c>
      <c r="C4862" s="50" t="s">
        <v>376</v>
      </c>
      <c r="D4862" s="50" t="s">
        <v>2170</v>
      </c>
      <c r="E4862" s="50" t="n">
        <v>1</v>
      </c>
      <c r="F4862" s="50" t="s">
        <v>2171</v>
      </c>
      <c r="G4862" s="54" t="n">
        <v>7568400</v>
      </c>
    </row>
    <row r="4863" customFormat="false" ht="15" hidden="false" customHeight="false" outlineLevel="0" collapsed="false">
      <c r="A4863" s="50" t="s">
        <v>1692</v>
      </c>
      <c r="B4863" s="51" t="n">
        <v>45952</v>
      </c>
      <c r="C4863" s="50" t="s">
        <v>376</v>
      </c>
      <c r="D4863" s="50" t="s">
        <v>2176</v>
      </c>
      <c r="E4863" s="50" t="n">
        <v>5</v>
      </c>
      <c r="F4863" s="50" t="s">
        <v>2167</v>
      </c>
      <c r="G4863" s="54" t="n">
        <v>2176400</v>
      </c>
    </row>
    <row r="4864" customFormat="false" ht="15" hidden="false" customHeight="false" outlineLevel="0" collapsed="false">
      <c r="A4864" s="50" t="s">
        <v>1692</v>
      </c>
      <c r="B4864" s="51" t="n">
        <v>45952</v>
      </c>
      <c r="C4864" s="50" t="s">
        <v>376</v>
      </c>
      <c r="D4864" s="50" t="s">
        <v>2181</v>
      </c>
      <c r="E4864" s="50" t="n">
        <v>3</v>
      </c>
      <c r="F4864" s="50" t="s">
        <v>2167</v>
      </c>
      <c r="G4864" s="54" t="n">
        <v>3495100</v>
      </c>
    </row>
    <row r="4865" customFormat="false" ht="15" hidden="false" customHeight="false" outlineLevel="0" collapsed="false">
      <c r="A4865" s="50" t="s">
        <v>1693</v>
      </c>
      <c r="B4865" s="51" t="n">
        <v>45952</v>
      </c>
      <c r="C4865" s="50" t="s">
        <v>540</v>
      </c>
      <c r="D4865" s="50" t="s">
        <v>2187</v>
      </c>
      <c r="E4865" s="50" t="n">
        <v>7</v>
      </c>
      <c r="F4865" s="50" t="s">
        <v>2167</v>
      </c>
      <c r="G4865" s="54" t="n">
        <v>2358700</v>
      </c>
    </row>
    <row r="4866" customFormat="false" ht="15" hidden="false" customHeight="false" outlineLevel="0" collapsed="false">
      <c r="A4866" s="50" t="s">
        <v>1693</v>
      </c>
      <c r="B4866" s="51" t="n">
        <v>45952</v>
      </c>
      <c r="C4866" s="50" t="s">
        <v>540</v>
      </c>
      <c r="D4866" s="50" t="s">
        <v>2168</v>
      </c>
      <c r="E4866" s="50" t="n">
        <v>3</v>
      </c>
      <c r="F4866" s="50" t="s">
        <v>2167</v>
      </c>
      <c r="G4866" s="54" t="n">
        <v>1283100</v>
      </c>
    </row>
    <row r="4867" customFormat="false" ht="15" hidden="false" customHeight="false" outlineLevel="0" collapsed="false">
      <c r="A4867" s="50" t="s">
        <v>1693</v>
      </c>
      <c r="B4867" s="51" t="n">
        <v>45952</v>
      </c>
      <c r="C4867" s="50" t="s">
        <v>540</v>
      </c>
      <c r="D4867" s="50" t="s">
        <v>2186</v>
      </c>
      <c r="E4867" s="50" t="n">
        <v>4</v>
      </c>
      <c r="F4867" s="50" t="s">
        <v>2167</v>
      </c>
      <c r="G4867" s="54" t="n">
        <v>2303900</v>
      </c>
    </row>
    <row r="4868" customFormat="false" ht="15" hidden="false" customHeight="false" outlineLevel="0" collapsed="false">
      <c r="A4868" s="50" t="s">
        <v>146</v>
      </c>
      <c r="B4868" s="51" t="n">
        <v>45952</v>
      </c>
      <c r="C4868" s="50" t="s">
        <v>228</v>
      </c>
      <c r="D4868" s="50" t="s">
        <v>2169</v>
      </c>
      <c r="E4868" s="50" t="n">
        <v>7</v>
      </c>
      <c r="F4868" s="50" t="s">
        <v>2167</v>
      </c>
      <c r="G4868" s="54" t="n">
        <v>4418900</v>
      </c>
    </row>
    <row r="4869" customFormat="false" ht="15" hidden="false" customHeight="false" outlineLevel="0" collapsed="false">
      <c r="A4869" s="50" t="s">
        <v>146</v>
      </c>
      <c r="B4869" s="51" t="n">
        <v>45952</v>
      </c>
      <c r="C4869" s="50" t="s">
        <v>228</v>
      </c>
      <c r="D4869" s="50" t="s">
        <v>2184</v>
      </c>
      <c r="E4869" s="50" t="n">
        <v>1</v>
      </c>
      <c r="F4869" s="50" t="s">
        <v>2167</v>
      </c>
      <c r="G4869" s="54" t="n">
        <v>549600</v>
      </c>
    </row>
    <row r="4870" customFormat="false" ht="15" hidden="false" customHeight="false" outlineLevel="0" collapsed="false">
      <c r="A4870" s="50" t="s">
        <v>146</v>
      </c>
      <c r="B4870" s="51" t="n">
        <v>45952</v>
      </c>
      <c r="C4870" s="50" t="s">
        <v>228</v>
      </c>
      <c r="D4870" s="50" t="s">
        <v>2168</v>
      </c>
      <c r="E4870" s="50" t="n">
        <v>3</v>
      </c>
      <c r="F4870" s="50" t="s">
        <v>2167</v>
      </c>
      <c r="G4870" s="54" t="n">
        <v>1249900</v>
      </c>
    </row>
    <row r="4871" customFormat="false" ht="15" hidden="false" customHeight="false" outlineLevel="0" collapsed="false">
      <c r="A4871" s="50" t="s">
        <v>146</v>
      </c>
      <c r="B4871" s="51" t="n">
        <v>45952</v>
      </c>
      <c r="C4871" s="50" t="s">
        <v>228</v>
      </c>
      <c r="D4871" s="50" t="s">
        <v>2182</v>
      </c>
      <c r="E4871" s="50" t="n">
        <v>7</v>
      </c>
      <c r="F4871" s="50" t="s">
        <v>2174</v>
      </c>
      <c r="G4871" s="54" t="n">
        <v>6715700</v>
      </c>
    </row>
    <row r="4872" customFormat="false" ht="15" hidden="false" customHeight="false" outlineLevel="0" collapsed="false">
      <c r="A4872" s="50" t="s">
        <v>1694</v>
      </c>
      <c r="B4872" s="51" t="n">
        <v>45952</v>
      </c>
      <c r="C4872" s="50" t="s">
        <v>218</v>
      </c>
      <c r="D4872" s="50" t="s">
        <v>2173</v>
      </c>
      <c r="E4872" s="50" t="n">
        <v>5</v>
      </c>
      <c r="F4872" s="50" t="s">
        <v>2174</v>
      </c>
      <c r="G4872" s="54" t="n">
        <v>3913800</v>
      </c>
    </row>
    <row r="4873" customFormat="false" ht="15" hidden="false" customHeight="false" outlineLevel="0" collapsed="false">
      <c r="A4873" s="50" t="s">
        <v>1694</v>
      </c>
      <c r="B4873" s="51" t="n">
        <v>45952</v>
      </c>
      <c r="C4873" s="50" t="s">
        <v>218</v>
      </c>
      <c r="D4873" s="50" t="s">
        <v>2186</v>
      </c>
      <c r="E4873" s="50" t="n">
        <v>6</v>
      </c>
      <c r="F4873" s="50" t="s">
        <v>2167</v>
      </c>
      <c r="G4873" s="54" t="n">
        <v>3669500</v>
      </c>
    </row>
    <row r="4874" customFormat="false" ht="15" hidden="false" customHeight="false" outlineLevel="0" collapsed="false">
      <c r="A4874" s="50" t="s">
        <v>1694</v>
      </c>
      <c r="B4874" s="51" t="n">
        <v>45952</v>
      </c>
      <c r="C4874" s="50" t="s">
        <v>218</v>
      </c>
      <c r="D4874" s="50" t="s">
        <v>2184</v>
      </c>
      <c r="E4874" s="50" t="n">
        <v>7</v>
      </c>
      <c r="F4874" s="50" t="s">
        <v>2167</v>
      </c>
      <c r="G4874" s="54" t="n">
        <v>3833600</v>
      </c>
    </row>
    <row r="4875" customFormat="false" ht="15" hidden="false" customHeight="false" outlineLevel="0" collapsed="false">
      <c r="A4875" s="50" t="s">
        <v>1694</v>
      </c>
      <c r="B4875" s="51" t="n">
        <v>45952</v>
      </c>
      <c r="C4875" s="50" t="s">
        <v>218</v>
      </c>
      <c r="D4875" s="50" t="s">
        <v>2172</v>
      </c>
      <c r="E4875" s="50" t="n">
        <v>5</v>
      </c>
      <c r="F4875" s="50" t="s">
        <v>2167</v>
      </c>
      <c r="G4875" s="54" t="n">
        <v>2647000</v>
      </c>
    </row>
    <row r="4876" customFormat="false" ht="15" hidden="false" customHeight="false" outlineLevel="0" collapsed="false">
      <c r="A4876" s="50" t="s">
        <v>1694</v>
      </c>
      <c r="B4876" s="51" t="n">
        <v>45952</v>
      </c>
      <c r="C4876" s="50" t="s">
        <v>218</v>
      </c>
      <c r="D4876" s="50" t="s">
        <v>2166</v>
      </c>
      <c r="E4876" s="50" t="n">
        <v>6</v>
      </c>
      <c r="F4876" s="50" t="s">
        <v>2167</v>
      </c>
      <c r="G4876" s="54" t="n">
        <v>3327300</v>
      </c>
    </row>
    <row r="4877" customFormat="false" ht="15" hidden="false" customHeight="false" outlineLevel="0" collapsed="false">
      <c r="A4877" s="50" t="s">
        <v>1695</v>
      </c>
      <c r="B4877" s="51" t="n">
        <v>45953</v>
      </c>
      <c r="C4877" s="50" t="s">
        <v>467</v>
      </c>
      <c r="D4877" s="50" t="s">
        <v>2184</v>
      </c>
      <c r="E4877" s="50" t="n">
        <v>2</v>
      </c>
      <c r="F4877" s="50" t="s">
        <v>2167</v>
      </c>
      <c r="G4877" s="54" t="n">
        <v>1143400</v>
      </c>
    </row>
    <row r="4878" customFormat="false" ht="15" hidden="false" customHeight="false" outlineLevel="0" collapsed="false">
      <c r="A4878" s="50" t="s">
        <v>1695</v>
      </c>
      <c r="B4878" s="51" t="n">
        <v>45953</v>
      </c>
      <c r="C4878" s="50" t="s">
        <v>467</v>
      </c>
      <c r="D4878" s="50" t="s">
        <v>2176</v>
      </c>
      <c r="E4878" s="50" t="n">
        <v>2</v>
      </c>
      <c r="F4878" s="50" t="s">
        <v>2167</v>
      </c>
      <c r="G4878" s="54" t="n">
        <v>835500</v>
      </c>
    </row>
    <row r="4879" customFormat="false" ht="15" hidden="false" customHeight="false" outlineLevel="0" collapsed="false">
      <c r="A4879" s="50" t="s">
        <v>1696</v>
      </c>
      <c r="B4879" s="51" t="n">
        <v>45953</v>
      </c>
      <c r="C4879" s="50" t="s">
        <v>1048</v>
      </c>
      <c r="D4879" s="50" t="s">
        <v>2179</v>
      </c>
      <c r="E4879" s="50" t="n">
        <v>8</v>
      </c>
      <c r="F4879" s="50" t="s">
        <v>2174</v>
      </c>
      <c r="G4879" s="54" t="n">
        <v>9607800</v>
      </c>
    </row>
    <row r="4880" customFormat="false" ht="15" hidden="false" customHeight="false" outlineLevel="0" collapsed="false">
      <c r="A4880" s="50" t="s">
        <v>1696</v>
      </c>
      <c r="B4880" s="51" t="n">
        <v>45953</v>
      </c>
      <c r="C4880" s="50" t="s">
        <v>1048</v>
      </c>
      <c r="D4880" s="50" t="s">
        <v>2181</v>
      </c>
      <c r="E4880" s="50" t="n">
        <v>3</v>
      </c>
      <c r="F4880" s="50" t="s">
        <v>2167</v>
      </c>
      <c r="G4880" s="54" t="n">
        <v>3471100</v>
      </c>
    </row>
    <row r="4881" customFormat="false" ht="15" hidden="false" customHeight="false" outlineLevel="0" collapsed="false">
      <c r="A4881" s="50" t="s">
        <v>1696</v>
      </c>
      <c r="B4881" s="51" t="n">
        <v>45953</v>
      </c>
      <c r="C4881" s="50" t="s">
        <v>1048</v>
      </c>
      <c r="D4881" s="50" t="s">
        <v>2173</v>
      </c>
      <c r="E4881" s="50" t="n">
        <v>5</v>
      </c>
      <c r="F4881" s="50" t="s">
        <v>2174</v>
      </c>
      <c r="G4881" s="54" t="n">
        <v>4091100</v>
      </c>
    </row>
    <row r="4882" customFormat="false" ht="15" hidden="false" customHeight="false" outlineLevel="0" collapsed="false">
      <c r="A4882" s="50" t="s">
        <v>1696</v>
      </c>
      <c r="B4882" s="51" t="n">
        <v>45953</v>
      </c>
      <c r="C4882" s="50" t="s">
        <v>1048</v>
      </c>
      <c r="D4882" s="50" t="s">
        <v>2169</v>
      </c>
      <c r="E4882" s="50" t="n">
        <v>1</v>
      </c>
      <c r="F4882" s="50" t="s">
        <v>2167</v>
      </c>
      <c r="G4882" s="54" t="n">
        <v>632300</v>
      </c>
    </row>
    <row r="4883" customFormat="false" ht="15" hidden="false" customHeight="false" outlineLevel="0" collapsed="false">
      <c r="A4883" s="50" t="s">
        <v>1696</v>
      </c>
      <c r="B4883" s="51" t="n">
        <v>45953</v>
      </c>
      <c r="C4883" s="50" t="s">
        <v>1048</v>
      </c>
      <c r="D4883" s="50" t="s">
        <v>2168</v>
      </c>
      <c r="E4883" s="50" t="n">
        <v>2</v>
      </c>
      <c r="F4883" s="50" t="s">
        <v>2167</v>
      </c>
      <c r="G4883" s="54" t="n">
        <v>826700</v>
      </c>
    </row>
    <row r="4884" customFormat="false" ht="15" hidden="false" customHeight="false" outlineLevel="0" collapsed="false">
      <c r="A4884" s="50" t="s">
        <v>1697</v>
      </c>
      <c r="B4884" s="51" t="n">
        <v>45953</v>
      </c>
      <c r="C4884" s="50" t="s">
        <v>1200</v>
      </c>
      <c r="D4884" s="50" t="s">
        <v>2181</v>
      </c>
      <c r="E4884" s="50" t="n">
        <v>3</v>
      </c>
      <c r="F4884" s="50" t="s">
        <v>2167</v>
      </c>
      <c r="G4884" s="54" t="n">
        <v>3537300</v>
      </c>
    </row>
    <row r="4885" customFormat="false" ht="15" hidden="false" customHeight="false" outlineLevel="0" collapsed="false">
      <c r="A4885" s="50" t="s">
        <v>1698</v>
      </c>
      <c r="B4885" s="51" t="n">
        <v>45953</v>
      </c>
      <c r="C4885" s="50" t="s">
        <v>188</v>
      </c>
      <c r="D4885" s="50" t="s">
        <v>2176</v>
      </c>
      <c r="E4885" s="50" t="n">
        <v>8</v>
      </c>
      <c r="F4885" s="50" t="s">
        <v>2167</v>
      </c>
      <c r="G4885" s="54" t="n">
        <v>3449500</v>
      </c>
    </row>
    <row r="4886" customFormat="false" ht="15" hidden="false" customHeight="false" outlineLevel="0" collapsed="false">
      <c r="A4886" s="50" t="s">
        <v>1698</v>
      </c>
      <c r="B4886" s="51" t="n">
        <v>45953</v>
      </c>
      <c r="C4886" s="50" t="s">
        <v>188</v>
      </c>
      <c r="D4886" s="50" t="s">
        <v>2185</v>
      </c>
      <c r="E4886" s="50" t="n">
        <v>6</v>
      </c>
      <c r="F4886" s="50" t="s">
        <v>2174</v>
      </c>
      <c r="G4886" s="54" t="n">
        <v>4709000</v>
      </c>
    </row>
    <row r="4887" customFormat="false" ht="15" hidden="false" customHeight="false" outlineLevel="0" collapsed="false">
      <c r="A4887" s="50" t="s">
        <v>1698</v>
      </c>
      <c r="B4887" s="51" t="n">
        <v>45953</v>
      </c>
      <c r="C4887" s="50" t="s">
        <v>188</v>
      </c>
      <c r="D4887" s="50" t="s">
        <v>2169</v>
      </c>
      <c r="E4887" s="50" t="n">
        <v>5</v>
      </c>
      <c r="F4887" s="50" t="s">
        <v>2167</v>
      </c>
      <c r="G4887" s="54" t="n">
        <v>3212600</v>
      </c>
    </row>
    <row r="4888" customFormat="false" ht="15" hidden="false" customHeight="false" outlineLevel="0" collapsed="false">
      <c r="A4888" s="50" t="s">
        <v>1699</v>
      </c>
      <c r="B4888" s="51" t="n">
        <v>45953</v>
      </c>
      <c r="C4888" s="50" t="s">
        <v>491</v>
      </c>
      <c r="D4888" s="50" t="s">
        <v>2181</v>
      </c>
      <c r="E4888" s="50" t="n">
        <v>3</v>
      </c>
      <c r="F4888" s="50" t="s">
        <v>2167</v>
      </c>
      <c r="G4888" s="54" t="n">
        <v>3434300</v>
      </c>
    </row>
    <row r="4889" customFormat="false" ht="15" hidden="false" customHeight="false" outlineLevel="0" collapsed="false">
      <c r="A4889" s="50" t="s">
        <v>1699</v>
      </c>
      <c r="B4889" s="51" t="n">
        <v>45953</v>
      </c>
      <c r="C4889" s="50" t="s">
        <v>491</v>
      </c>
      <c r="D4889" s="50" t="s">
        <v>2182</v>
      </c>
      <c r="E4889" s="50" t="n">
        <v>3</v>
      </c>
      <c r="F4889" s="50" t="s">
        <v>2174</v>
      </c>
      <c r="G4889" s="54" t="n">
        <v>2835500</v>
      </c>
    </row>
    <row r="4890" customFormat="false" ht="15" hidden="false" customHeight="false" outlineLevel="0" collapsed="false">
      <c r="A4890" s="50" t="s">
        <v>1699</v>
      </c>
      <c r="B4890" s="51" t="n">
        <v>45953</v>
      </c>
      <c r="C4890" s="50" t="s">
        <v>491</v>
      </c>
      <c r="D4890" s="50" t="s">
        <v>2173</v>
      </c>
      <c r="E4890" s="50" t="n">
        <v>1</v>
      </c>
      <c r="F4890" s="50" t="s">
        <v>2174</v>
      </c>
      <c r="G4890" s="54" t="n">
        <v>777100</v>
      </c>
    </row>
    <row r="4891" customFormat="false" ht="15" hidden="false" customHeight="false" outlineLevel="0" collapsed="false">
      <c r="A4891" s="50" t="s">
        <v>1699</v>
      </c>
      <c r="B4891" s="51" t="n">
        <v>45953</v>
      </c>
      <c r="C4891" s="50" t="s">
        <v>491</v>
      </c>
      <c r="D4891" s="50" t="s">
        <v>2178</v>
      </c>
      <c r="E4891" s="50" t="n">
        <v>3</v>
      </c>
      <c r="F4891" s="50" t="s">
        <v>2167</v>
      </c>
      <c r="G4891" s="54" t="n">
        <v>1410900</v>
      </c>
    </row>
    <row r="4892" customFormat="false" ht="15" hidden="false" customHeight="false" outlineLevel="0" collapsed="false">
      <c r="A4892" s="50" t="s">
        <v>1699</v>
      </c>
      <c r="B4892" s="51" t="n">
        <v>45953</v>
      </c>
      <c r="C4892" s="50" t="s">
        <v>491</v>
      </c>
      <c r="D4892" s="50" t="s">
        <v>2169</v>
      </c>
      <c r="E4892" s="50" t="n">
        <v>7</v>
      </c>
      <c r="F4892" s="50" t="s">
        <v>2167</v>
      </c>
      <c r="G4892" s="54" t="n">
        <v>4341100</v>
      </c>
    </row>
    <row r="4893" customFormat="false" ht="15" hidden="false" customHeight="false" outlineLevel="0" collapsed="false">
      <c r="A4893" s="50" t="s">
        <v>1700</v>
      </c>
      <c r="B4893" s="51" t="n">
        <v>45953</v>
      </c>
      <c r="C4893" s="50" t="s">
        <v>1048</v>
      </c>
      <c r="D4893" s="50" t="s">
        <v>2176</v>
      </c>
      <c r="E4893" s="50" t="n">
        <v>1</v>
      </c>
      <c r="F4893" s="50" t="s">
        <v>2167</v>
      </c>
      <c r="G4893" s="54" t="n">
        <v>415300</v>
      </c>
    </row>
    <row r="4894" customFormat="false" ht="15" hidden="false" customHeight="false" outlineLevel="0" collapsed="false">
      <c r="A4894" s="50" t="s">
        <v>1700</v>
      </c>
      <c r="B4894" s="51" t="n">
        <v>45953</v>
      </c>
      <c r="C4894" s="50" t="s">
        <v>1048</v>
      </c>
      <c r="D4894" s="50" t="s">
        <v>2181</v>
      </c>
      <c r="E4894" s="50" t="n">
        <v>2</v>
      </c>
      <c r="F4894" s="50" t="s">
        <v>2167</v>
      </c>
      <c r="G4894" s="54" t="n">
        <v>2312700</v>
      </c>
    </row>
    <row r="4895" customFormat="false" ht="15" hidden="false" customHeight="false" outlineLevel="0" collapsed="false">
      <c r="A4895" s="50" t="s">
        <v>1700</v>
      </c>
      <c r="B4895" s="51" t="n">
        <v>45953</v>
      </c>
      <c r="C4895" s="50" t="s">
        <v>1048</v>
      </c>
      <c r="D4895" s="50" t="s">
        <v>2178</v>
      </c>
      <c r="E4895" s="50" t="n">
        <v>5</v>
      </c>
      <c r="F4895" s="50" t="s">
        <v>2167</v>
      </c>
      <c r="G4895" s="54" t="n">
        <v>2409600</v>
      </c>
    </row>
    <row r="4896" customFormat="false" ht="15" hidden="false" customHeight="false" outlineLevel="0" collapsed="false">
      <c r="A4896" s="50" t="s">
        <v>1701</v>
      </c>
      <c r="B4896" s="51" t="n">
        <v>45953</v>
      </c>
      <c r="C4896" s="50" t="s">
        <v>278</v>
      </c>
      <c r="D4896" s="50" t="s">
        <v>2188</v>
      </c>
      <c r="E4896" s="50" t="n">
        <v>2</v>
      </c>
      <c r="F4896" s="50" t="s">
        <v>2167</v>
      </c>
      <c r="G4896" s="54" t="n">
        <v>1906300</v>
      </c>
    </row>
    <row r="4897" customFormat="false" ht="15" hidden="false" customHeight="false" outlineLevel="0" collapsed="false">
      <c r="A4897" s="50" t="s">
        <v>1701</v>
      </c>
      <c r="B4897" s="51" t="n">
        <v>45953</v>
      </c>
      <c r="C4897" s="50" t="s">
        <v>278</v>
      </c>
      <c r="D4897" s="50" t="s">
        <v>2168</v>
      </c>
      <c r="E4897" s="50" t="n">
        <v>6</v>
      </c>
      <c r="F4897" s="50" t="s">
        <v>2167</v>
      </c>
      <c r="G4897" s="54" t="n">
        <v>2562100</v>
      </c>
    </row>
    <row r="4898" customFormat="false" ht="15" hidden="false" customHeight="false" outlineLevel="0" collapsed="false">
      <c r="A4898" s="50" t="s">
        <v>1701</v>
      </c>
      <c r="B4898" s="51" t="n">
        <v>45953</v>
      </c>
      <c r="C4898" s="50" t="s">
        <v>278</v>
      </c>
      <c r="D4898" s="50" t="s">
        <v>2185</v>
      </c>
      <c r="E4898" s="50" t="n">
        <v>8</v>
      </c>
      <c r="F4898" s="50" t="s">
        <v>2174</v>
      </c>
      <c r="G4898" s="54" t="n">
        <v>6196200</v>
      </c>
    </row>
    <row r="4899" customFormat="false" ht="15" hidden="false" customHeight="false" outlineLevel="0" collapsed="false">
      <c r="A4899" s="50" t="s">
        <v>1702</v>
      </c>
      <c r="B4899" s="51" t="n">
        <v>45953</v>
      </c>
      <c r="C4899" s="50" t="s">
        <v>166</v>
      </c>
      <c r="D4899" s="50" t="s">
        <v>2180</v>
      </c>
      <c r="E4899" s="50" t="n">
        <v>5</v>
      </c>
      <c r="F4899" s="50" t="s">
        <v>2167</v>
      </c>
      <c r="G4899" s="54" t="n">
        <v>2309900</v>
      </c>
    </row>
    <row r="4900" customFormat="false" ht="15" hidden="false" customHeight="false" outlineLevel="0" collapsed="false">
      <c r="A4900" s="50" t="s">
        <v>1702</v>
      </c>
      <c r="B4900" s="51" t="n">
        <v>45953</v>
      </c>
      <c r="C4900" s="50" t="s">
        <v>166</v>
      </c>
      <c r="D4900" s="50" t="s">
        <v>2186</v>
      </c>
      <c r="E4900" s="50" t="n">
        <v>6</v>
      </c>
      <c r="F4900" s="50" t="s">
        <v>2167</v>
      </c>
      <c r="G4900" s="54" t="n">
        <v>3592900</v>
      </c>
    </row>
    <row r="4901" customFormat="false" ht="15" hidden="false" customHeight="false" outlineLevel="0" collapsed="false">
      <c r="A4901" s="50" t="s">
        <v>1702</v>
      </c>
      <c r="B4901" s="51" t="n">
        <v>45953</v>
      </c>
      <c r="C4901" s="50" t="s">
        <v>166</v>
      </c>
      <c r="D4901" s="50" t="s">
        <v>2168</v>
      </c>
      <c r="E4901" s="50" t="n">
        <v>5</v>
      </c>
      <c r="F4901" s="50" t="s">
        <v>2167</v>
      </c>
      <c r="G4901" s="54" t="n">
        <v>2087000</v>
      </c>
    </row>
    <row r="4902" customFormat="false" ht="15" hidden="false" customHeight="false" outlineLevel="0" collapsed="false">
      <c r="A4902" s="50" t="s">
        <v>1703</v>
      </c>
      <c r="B4902" s="51" t="n">
        <v>45954</v>
      </c>
      <c r="C4902" s="50" t="s">
        <v>199</v>
      </c>
      <c r="D4902" s="50" t="s">
        <v>2181</v>
      </c>
      <c r="E4902" s="50" t="n">
        <v>7</v>
      </c>
      <c r="F4902" s="50" t="s">
        <v>2167</v>
      </c>
      <c r="G4902" s="54" t="n">
        <v>8235000</v>
      </c>
    </row>
    <row r="4903" customFormat="false" ht="15" hidden="false" customHeight="false" outlineLevel="0" collapsed="false">
      <c r="A4903" s="50" t="s">
        <v>1703</v>
      </c>
      <c r="B4903" s="51" t="n">
        <v>45954</v>
      </c>
      <c r="C4903" s="50" t="s">
        <v>199</v>
      </c>
      <c r="D4903" s="50" t="s">
        <v>2176</v>
      </c>
      <c r="E4903" s="50" t="n">
        <v>7</v>
      </c>
      <c r="F4903" s="50" t="s">
        <v>2167</v>
      </c>
      <c r="G4903" s="54" t="n">
        <v>2932200</v>
      </c>
    </row>
    <row r="4904" customFormat="false" ht="15" hidden="false" customHeight="false" outlineLevel="0" collapsed="false">
      <c r="A4904" s="50" t="s">
        <v>1704</v>
      </c>
      <c r="B4904" s="51" t="n">
        <v>45954</v>
      </c>
      <c r="C4904" s="50" t="s">
        <v>469</v>
      </c>
      <c r="D4904" s="50" t="s">
        <v>2180</v>
      </c>
      <c r="E4904" s="50" t="n">
        <v>1</v>
      </c>
      <c r="F4904" s="50" t="s">
        <v>2167</v>
      </c>
      <c r="G4904" s="54" t="n">
        <v>458200</v>
      </c>
    </row>
    <row r="4905" customFormat="false" ht="15" hidden="false" customHeight="false" outlineLevel="0" collapsed="false">
      <c r="A4905" s="50" t="s">
        <v>1704</v>
      </c>
      <c r="B4905" s="51" t="n">
        <v>45954</v>
      </c>
      <c r="C4905" s="50" t="s">
        <v>469</v>
      </c>
      <c r="D4905" s="50" t="s">
        <v>2187</v>
      </c>
      <c r="E4905" s="50" t="n">
        <v>5</v>
      </c>
      <c r="F4905" s="50" t="s">
        <v>2167</v>
      </c>
      <c r="G4905" s="54" t="n">
        <v>1721600</v>
      </c>
    </row>
    <row r="4906" customFormat="false" ht="15" hidden="false" customHeight="false" outlineLevel="0" collapsed="false">
      <c r="A4906" s="50" t="s">
        <v>1706</v>
      </c>
      <c r="B4906" s="51" t="n">
        <v>45954</v>
      </c>
      <c r="C4906" s="50" t="s">
        <v>228</v>
      </c>
      <c r="D4906" s="50" t="s">
        <v>2175</v>
      </c>
      <c r="E4906" s="50" t="n">
        <v>6</v>
      </c>
      <c r="F4906" s="50" t="s">
        <v>2167</v>
      </c>
      <c r="G4906" s="54" t="n">
        <v>3844700</v>
      </c>
    </row>
    <row r="4907" customFormat="false" ht="15" hidden="false" customHeight="false" outlineLevel="0" collapsed="false">
      <c r="A4907" s="50" t="s">
        <v>1706</v>
      </c>
      <c r="B4907" s="51" t="n">
        <v>45954</v>
      </c>
      <c r="C4907" s="50" t="s">
        <v>228</v>
      </c>
      <c r="D4907" s="50" t="s">
        <v>2176</v>
      </c>
      <c r="E4907" s="50" t="n">
        <v>1</v>
      </c>
      <c r="F4907" s="50" t="s">
        <v>2167</v>
      </c>
      <c r="G4907" s="54" t="n">
        <v>422700</v>
      </c>
    </row>
    <row r="4908" customFormat="false" ht="15" hidden="false" customHeight="false" outlineLevel="0" collapsed="false">
      <c r="A4908" s="50" t="s">
        <v>1706</v>
      </c>
      <c r="B4908" s="51" t="n">
        <v>45954</v>
      </c>
      <c r="C4908" s="50" t="s">
        <v>228</v>
      </c>
      <c r="D4908" s="50" t="s">
        <v>2186</v>
      </c>
      <c r="E4908" s="50" t="n">
        <v>2</v>
      </c>
      <c r="F4908" s="50" t="s">
        <v>2167</v>
      </c>
      <c r="G4908" s="54" t="n">
        <v>1225400</v>
      </c>
    </row>
    <row r="4909" customFormat="false" ht="15" hidden="false" customHeight="false" outlineLevel="0" collapsed="false">
      <c r="A4909" s="50" t="s">
        <v>1706</v>
      </c>
      <c r="B4909" s="51" t="n">
        <v>45954</v>
      </c>
      <c r="C4909" s="50" t="s">
        <v>228</v>
      </c>
      <c r="D4909" s="50" t="s">
        <v>2170</v>
      </c>
      <c r="E4909" s="50" t="n">
        <v>2</v>
      </c>
      <c r="F4909" s="50" t="s">
        <v>2171</v>
      </c>
      <c r="G4909" s="54" t="n">
        <v>15170900</v>
      </c>
    </row>
    <row r="4910" customFormat="false" ht="15" hidden="false" customHeight="false" outlineLevel="0" collapsed="false">
      <c r="A4910" s="50" t="s">
        <v>1707</v>
      </c>
      <c r="B4910" s="51" t="n">
        <v>45954</v>
      </c>
      <c r="C4910" s="50" t="s">
        <v>191</v>
      </c>
      <c r="D4910" s="50" t="s">
        <v>2180</v>
      </c>
      <c r="E4910" s="50" t="n">
        <v>5</v>
      </c>
      <c r="F4910" s="50" t="s">
        <v>2167</v>
      </c>
      <c r="G4910" s="54" t="n">
        <v>2337400</v>
      </c>
    </row>
    <row r="4911" customFormat="false" ht="15" hidden="false" customHeight="false" outlineLevel="0" collapsed="false">
      <c r="A4911" s="50" t="s">
        <v>1707</v>
      </c>
      <c r="B4911" s="51" t="n">
        <v>45954</v>
      </c>
      <c r="C4911" s="50" t="s">
        <v>191</v>
      </c>
      <c r="D4911" s="50" t="s">
        <v>2185</v>
      </c>
      <c r="E4911" s="50" t="n">
        <v>7</v>
      </c>
      <c r="F4911" s="50" t="s">
        <v>2174</v>
      </c>
      <c r="G4911" s="54" t="n">
        <v>5628000</v>
      </c>
    </row>
    <row r="4912" customFormat="false" ht="15" hidden="false" customHeight="false" outlineLevel="0" collapsed="false">
      <c r="A4912" s="50" t="s">
        <v>1707</v>
      </c>
      <c r="B4912" s="51" t="n">
        <v>45954</v>
      </c>
      <c r="C4912" s="50" t="s">
        <v>191</v>
      </c>
      <c r="D4912" s="50" t="s">
        <v>2187</v>
      </c>
      <c r="E4912" s="50" t="n">
        <v>1</v>
      </c>
      <c r="F4912" s="50" t="s">
        <v>2167</v>
      </c>
      <c r="G4912" s="54" t="n">
        <v>345600</v>
      </c>
    </row>
    <row r="4913" customFormat="false" ht="15" hidden="false" customHeight="false" outlineLevel="0" collapsed="false">
      <c r="A4913" s="50" t="s">
        <v>1707</v>
      </c>
      <c r="B4913" s="51" t="n">
        <v>45954</v>
      </c>
      <c r="C4913" s="50" t="s">
        <v>191</v>
      </c>
      <c r="D4913" s="50" t="s">
        <v>2182</v>
      </c>
      <c r="E4913" s="50" t="n">
        <v>6</v>
      </c>
      <c r="F4913" s="50" t="s">
        <v>2174</v>
      </c>
      <c r="G4913" s="54" t="n">
        <v>5510600</v>
      </c>
    </row>
    <row r="4914" customFormat="false" ht="15" hidden="false" customHeight="false" outlineLevel="0" collapsed="false">
      <c r="A4914" s="50" t="s">
        <v>1708</v>
      </c>
      <c r="B4914" s="51" t="n">
        <v>45954</v>
      </c>
      <c r="C4914" s="50" t="s">
        <v>358</v>
      </c>
      <c r="D4914" s="50" t="s">
        <v>2178</v>
      </c>
      <c r="E4914" s="50" t="n">
        <v>5</v>
      </c>
      <c r="F4914" s="50" t="s">
        <v>2167</v>
      </c>
      <c r="G4914" s="54" t="n">
        <v>2471400</v>
      </c>
    </row>
    <row r="4915" customFormat="false" ht="15" hidden="false" customHeight="false" outlineLevel="0" collapsed="false">
      <c r="A4915" s="50" t="s">
        <v>1709</v>
      </c>
      <c r="B4915" s="51" t="n">
        <v>45954</v>
      </c>
      <c r="C4915" s="50" t="s">
        <v>289</v>
      </c>
      <c r="D4915" s="50" t="s">
        <v>2184</v>
      </c>
      <c r="E4915" s="50" t="n">
        <v>7</v>
      </c>
      <c r="F4915" s="50" t="s">
        <v>2167</v>
      </c>
      <c r="G4915" s="54" t="n">
        <v>3807100</v>
      </c>
    </row>
    <row r="4916" customFormat="false" ht="15" hidden="false" customHeight="false" outlineLevel="0" collapsed="false">
      <c r="A4916" s="50" t="s">
        <v>1709</v>
      </c>
      <c r="B4916" s="51" t="n">
        <v>45954</v>
      </c>
      <c r="C4916" s="50" t="s">
        <v>289</v>
      </c>
      <c r="D4916" s="50" t="s">
        <v>2176</v>
      </c>
      <c r="E4916" s="50" t="n">
        <v>3</v>
      </c>
      <c r="F4916" s="50" t="s">
        <v>2167</v>
      </c>
      <c r="G4916" s="54" t="n">
        <v>1230000</v>
      </c>
    </row>
    <row r="4917" customFormat="false" ht="15" hidden="false" customHeight="false" outlineLevel="0" collapsed="false">
      <c r="A4917" s="50" t="s">
        <v>1709</v>
      </c>
      <c r="B4917" s="51" t="n">
        <v>45954</v>
      </c>
      <c r="C4917" s="50" t="s">
        <v>289</v>
      </c>
      <c r="D4917" s="50" t="s">
        <v>2168</v>
      </c>
      <c r="E4917" s="50" t="n">
        <v>2</v>
      </c>
      <c r="F4917" s="50" t="s">
        <v>2167</v>
      </c>
      <c r="G4917" s="54" t="n">
        <v>864200</v>
      </c>
    </row>
    <row r="4918" customFormat="false" ht="15" hidden="false" customHeight="false" outlineLevel="0" collapsed="false">
      <c r="A4918" s="50" t="s">
        <v>1709</v>
      </c>
      <c r="B4918" s="51" t="n">
        <v>45954</v>
      </c>
      <c r="C4918" s="50" t="s">
        <v>289</v>
      </c>
      <c r="D4918" s="50" t="s">
        <v>2178</v>
      </c>
      <c r="E4918" s="50" t="n">
        <v>4</v>
      </c>
      <c r="F4918" s="50" t="s">
        <v>2167</v>
      </c>
      <c r="G4918" s="54" t="n">
        <v>1880500</v>
      </c>
    </row>
    <row r="4919" customFormat="false" ht="15" hidden="false" customHeight="false" outlineLevel="0" collapsed="false">
      <c r="A4919" s="50" t="s">
        <v>1710</v>
      </c>
      <c r="B4919" s="51" t="n">
        <v>45954</v>
      </c>
      <c r="C4919" s="50" t="s">
        <v>475</v>
      </c>
      <c r="D4919" s="50" t="s">
        <v>2178</v>
      </c>
      <c r="E4919" s="50" t="n">
        <v>5</v>
      </c>
      <c r="F4919" s="50" t="s">
        <v>2167</v>
      </c>
      <c r="G4919" s="54" t="n">
        <v>2448100</v>
      </c>
    </row>
    <row r="4920" customFormat="false" ht="15" hidden="false" customHeight="false" outlineLevel="0" collapsed="false">
      <c r="A4920" s="50" t="s">
        <v>1710</v>
      </c>
      <c r="B4920" s="51" t="n">
        <v>45954</v>
      </c>
      <c r="C4920" s="50" t="s">
        <v>475</v>
      </c>
      <c r="D4920" s="50" t="s">
        <v>2184</v>
      </c>
      <c r="E4920" s="50" t="n">
        <v>3</v>
      </c>
      <c r="F4920" s="50" t="s">
        <v>2167</v>
      </c>
      <c r="G4920" s="54" t="n">
        <v>1660800</v>
      </c>
    </row>
    <row r="4921" customFormat="false" ht="15" hidden="false" customHeight="false" outlineLevel="0" collapsed="false">
      <c r="A4921" s="50" t="s">
        <v>1710</v>
      </c>
      <c r="B4921" s="51" t="n">
        <v>45954</v>
      </c>
      <c r="C4921" s="50" t="s">
        <v>475</v>
      </c>
      <c r="D4921" s="50" t="s">
        <v>2181</v>
      </c>
      <c r="E4921" s="50" t="n">
        <v>3</v>
      </c>
      <c r="F4921" s="50" t="s">
        <v>2167</v>
      </c>
      <c r="G4921" s="54" t="n">
        <v>3556600</v>
      </c>
    </row>
    <row r="4922" customFormat="false" ht="15" hidden="false" customHeight="false" outlineLevel="0" collapsed="false">
      <c r="A4922" s="50" t="s">
        <v>1710</v>
      </c>
      <c r="B4922" s="51" t="n">
        <v>45954</v>
      </c>
      <c r="C4922" s="50" t="s">
        <v>475</v>
      </c>
      <c r="D4922" s="50" t="s">
        <v>2177</v>
      </c>
      <c r="E4922" s="50" t="n">
        <v>7</v>
      </c>
      <c r="F4922" s="50" t="s">
        <v>2174</v>
      </c>
      <c r="G4922" s="54" t="n">
        <v>7732200</v>
      </c>
    </row>
    <row r="4923" customFormat="false" ht="15" hidden="false" customHeight="false" outlineLevel="0" collapsed="false">
      <c r="A4923" s="50" t="s">
        <v>1710</v>
      </c>
      <c r="B4923" s="51" t="n">
        <v>45954</v>
      </c>
      <c r="C4923" s="50" t="s">
        <v>475</v>
      </c>
      <c r="D4923" s="50" t="s">
        <v>2169</v>
      </c>
      <c r="E4923" s="50" t="n">
        <v>8</v>
      </c>
      <c r="F4923" s="50" t="s">
        <v>2167</v>
      </c>
      <c r="G4923" s="54" t="n">
        <v>4788700</v>
      </c>
    </row>
    <row r="4924" customFormat="false" ht="15" hidden="false" customHeight="false" outlineLevel="0" collapsed="false">
      <c r="A4924" s="50" t="s">
        <v>1711</v>
      </c>
      <c r="B4924" s="51" t="n">
        <v>45955</v>
      </c>
      <c r="C4924" s="50" t="s">
        <v>239</v>
      </c>
      <c r="D4924" s="50" t="s">
        <v>2186</v>
      </c>
      <c r="E4924" s="50" t="n">
        <v>8</v>
      </c>
      <c r="F4924" s="50" t="s">
        <v>2167</v>
      </c>
      <c r="G4924" s="54" t="n">
        <v>4836700</v>
      </c>
    </row>
    <row r="4925" customFormat="false" ht="15" hidden="false" customHeight="false" outlineLevel="0" collapsed="false">
      <c r="A4925" s="50" t="s">
        <v>1711</v>
      </c>
      <c r="B4925" s="51" t="n">
        <v>45955</v>
      </c>
      <c r="C4925" s="50" t="s">
        <v>239</v>
      </c>
      <c r="D4925" s="50" t="s">
        <v>2169</v>
      </c>
      <c r="E4925" s="50" t="n">
        <v>4</v>
      </c>
      <c r="F4925" s="50" t="s">
        <v>2167</v>
      </c>
      <c r="G4925" s="54" t="n">
        <v>2428700</v>
      </c>
    </row>
    <row r="4926" customFormat="false" ht="15" hidden="false" customHeight="false" outlineLevel="0" collapsed="false">
      <c r="A4926" s="50" t="s">
        <v>1711</v>
      </c>
      <c r="B4926" s="51" t="n">
        <v>45955</v>
      </c>
      <c r="C4926" s="50" t="s">
        <v>239</v>
      </c>
      <c r="D4926" s="50" t="s">
        <v>2170</v>
      </c>
      <c r="E4926" s="50" t="n">
        <v>1</v>
      </c>
      <c r="F4926" s="50" t="s">
        <v>2171</v>
      </c>
      <c r="G4926" s="54" t="n">
        <v>7588900</v>
      </c>
    </row>
    <row r="4927" customFormat="false" ht="15" hidden="false" customHeight="false" outlineLevel="0" collapsed="false">
      <c r="A4927" s="50" t="s">
        <v>1712</v>
      </c>
      <c r="B4927" s="51" t="n">
        <v>45955</v>
      </c>
      <c r="C4927" s="50" t="s">
        <v>369</v>
      </c>
      <c r="D4927" s="50" t="s">
        <v>2180</v>
      </c>
      <c r="E4927" s="50" t="n">
        <v>6</v>
      </c>
      <c r="F4927" s="50" t="s">
        <v>2167</v>
      </c>
      <c r="G4927" s="54" t="n">
        <v>2696000</v>
      </c>
    </row>
    <row r="4928" customFormat="false" ht="15" hidden="false" customHeight="false" outlineLevel="0" collapsed="false">
      <c r="A4928" s="50" t="s">
        <v>1712</v>
      </c>
      <c r="B4928" s="51" t="n">
        <v>45955</v>
      </c>
      <c r="C4928" s="50" t="s">
        <v>369</v>
      </c>
      <c r="D4928" s="50" t="s">
        <v>2178</v>
      </c>
      <c r="E4928" s="50" t="n">
        <v>3</v>
      </c>
      <c r="F4928" s="50" t="s">
        <v>2167</v>
      </c>
      <c r="G4928" s="54" t="n">
        <v>1409600</v>
      </c>
    </row>
    <row r="4929" customFormat="false" ht="15" hidden="false" customHeight="false" outlineLevel="0" collapsed="false">
      <c r="A4929" s="50" t="s">
        <v>1712</v>
      </c>
      <c r="B4929" s="51" t="n">
        <v>45955</v>
      </c>
      <c r="C4929" s="50" t="s">
        <v>369</v>
      </c>
      <c r="D4929" s="50" t="s">
        <v>2168</v>
      </c>
      <c r="E4929" s="50" t="n">
        <v>3</v>
      </c>
      <c r="F4929" s="50" t="s">
        <v>2167</v>
      </c>
      <c r="G4929" s="54" t="n">
        <v>1323600</v>
      </c>
    </row>
    <row r="4930" customFormat="false" ht="15" hidden="false" customHeight="false" outlineLevel="0" collapsed="false">
      <c r="A4930" s="50" t="s">
        <v>1712</v>
      </c>
      <c r="B4930" s="51" t="n">
        <v>45955</v>
      </c>
      <c r="C4930" s="50" t="s">
        <v>369</v>
      </c>
      <c r="D4930" s="50" t="s">
        <v>2169</v>
      </c>
      <c r="E4930" s="50" t="n">
        <v>4</v>
      </c>
      <c r="F4930" s="50" t="s">
        <v>2167</v>
      </c>
      <c r="G4930" s="54" t="n">
        <v>2430600</v>
      </c>
    </row>
    <row r="4931" customFormat="false" ht="15" hidden="false" customHeight="false" outlineLevel="0" collapsed="false">
      <c r="A4931" s="50" t="s">
        <v>1713</v>
      </c>
      <c r="B4931" s="51" t="n">
        <v>45955</v>
      </c>
      <c r="C4931" s="50" t="s">
        <v>174</v>
      </c>
      <c r="D4931" s="50" t="s">
        <v>2176</v>
      </c>
      <c r="E4931" s="50" t="n">
        <v>3</v>
      </c>
      <c r="F4931" s="50" t="s">
        <v>2167</v>
      </c>
      <c r="G4931" s="54" t="n">
        <v>1240200</v>
      </c>
    </row>
    <row r="4932" customFormat="false" ht="15" hidden="false" customHeight="false" outlineLevel="0" collapsed="false">
      <c r="A4932" s="50" t="s">
        <v>1713</v>
      </c>
      <c r="B4932" s="51" t="n">
        <v>45955</v>
      </c>
      <c r="C4932" s="50" t="s">
        <v>174</v>
      </c>
      <c r="D4932" s="50" t="s">
        <v>2180</v>
      </c>
      <c r="E4932" s="50" t="n">
        <v>3</v>
      </c>
      <c r="F4932" s="50" t="s">
        <v>2167</v>
      </c>
      <c r="G4932" s="54" t="n">
        <v>1358900</v>
      </c>
    </row>
    <row r="4933" customFormat="false" ht="15" hidden="false" customHeight="false" outlineLevel="0" collapsed="false">
      <c r="A4933" s="50" t="s">
        <v>1713</v>
      </c>
      <c r="B4933" s="51" t="n">
        <v>45955</v>
      </c>
      <c r="C4933" s="50" t="s">
        <v>174</v>
      </c>
      <c r="D4933" s="50" t="s">
        <v>2186</v>
      </c>
      <c r="E4933" s="50" t="n">
        <v>3</v>
      </c>
      <c r="F4933" s="50" t="s">
        <v>2167</v>
      </c>
      <c r="G4933" s="54" t="n">
        <v>1713400</v>
      </c>
    </row>
    <row r="4934" customFormat="false" ht="15" hidden="false" customHeight="false" outlineLevel="0" collapsed="false">
      <c r="A4934" s="50" t="s">
        <v>1714</v>
      </c>
      <c r="B4934" s="51" t="n">
        <v>45957</v>
      </c>
      <c r="C4934" s="50" t="s">
        <v>168</v>
      </c>
      <c r="D4934" s="50" t="s">
        <v>2175</v>
      </c>
      <c r="E4934" s="50" t="n">
        <v>1</v>
      </c>
      <c r="F4934" s="50" t="s">
        <v>2167</v>
      </c>
      <c r="G4934" s="54" t="n">
        <v>659500</v>
      </c>
    </row>
    <row r="4935" customFormat="false" ht="15" hidden="false" customHeight="false" outlineLevel="0" collapsed="false">
      <c r="A4935" s="50" t="s">
        <v>1714</v>
      </c>
      <c r="B4935" s="51" t="n">
        <v>45957</v>
      </c>
      <c r="C4935" s="50" t="s">
        <v>168</v>
      </c>
      <c r="D4935" s="50" t="s">
        <v>2187</v>
      </c>
      <c r="E4935" s="50" t="n">
        <v>3</v>
      </c>
      <c r="F4935" s="50" t="s">
        <v>2167</v>
      </c>
      <c r="G4935" s="54" t="n">
        <v>1076800</v>
      </c>
    </row>
    <row r="4936" customFormat="false" ht="15" hidden="false" customHeight="false" outlineLevel="0" collapsed="false">
      <c r="A4936" s="50" t="s">
        <v>1714</v>
      </c>
      <c r="B4936" s="51" t="n">
        <v>45957</v>
      </c>
      <c r="C4936" s="50" t="s">
        <v>168</v>
      </c>
      <c r="D4936" s="50" t="s">
        <v>2176</v>
      </c>
      <c r="E4936" s="50" t="n">
        <v>5</v>
      </c>
      <c r="F4936" s="50" t="s">
        <v>2167</v>
      </c>
      <c r="G4936" s="54" t="n">
        <v>2130600</v>
      </c>
    </row>
    <row r="4937" customFormat="false" ht="15" hidden="false" customHeight="false" outlineLevel="0" collapsed="false">
      <c r="A4937" s="50" t="s">
        <v>1715</v>
      </c>
      <c r="B4937" s="51" t="n">
        <v>45957</v>
      </c>
      <c r="C4937" s="50" t="s">
        <v>199</v>
      </c>
      <c r="D4937" s="50" t="s">
        <v>2176</v>
      </c>
      <c r="E4937" s="50" t="n">
        <v>4</v>
      </c>
      <c r="F4937" s="50" t="s">
        <v>2167</v>
      </c>
      <c r="G4937" s="54" t="n">
        <v>1626100</v>
      </c>
    </row>
    <row r="4938" customFormat="false" ht="15" hidden="false" customHeight="false" outlineLevel="0" collapsed="false">
      <c r="A4938" s="50" t="s">
        <v>1715</v>
      </c>
      <c r="B4938" s="51" t="n">
        <v>45957</v>
      </c>
      <c r="C4938" s="50" t="s">
        <v>199</v>
      </c>
      <c r="D4938" s="50" t="s">
        <v>2178</v>
      </c>
      <c r="E4938" s="50" t="n">
        <v>5</v>
      </c>
      <c r="F4938" s="50" t="s">
        <v>2167</v>
      </c>
      <c r="G4938" s="54" t="n">
        <v>2431100</v>
      </c>
    </row>
    <row r="4939" customFormat="false" ht="15" hidden="false" customHeight="false" outlineLevel="0" collapsed="false">
      <c r="A4939" s="50" t="s">
        <v>1715</v>
      </c>
      <c r="B4939" s="51" t="n">
        <v>45957</v>
      </c>
      <c r="C4939" s="50" t="s">
        <v>199</v>
      </c>
      <c r="D4939" s="50" t="s">
        <v>2181</v>
      </c>
      <c r="E4939" s="50" t="n">
        <v>6</v>
      </c>
      <c r="F4939" s="50" t="s">
        <v>2167</v>
      </c>
      <c r="G4939" s="54" t="n">
        <v>7003500</v>
      </c>
    </row>
    <row r="4940" customFormat="false" ht="15" hidden="false" customHeight="false" outlineLevel="0" collapsed="false">
      <c r="A4940" s="50" t="s">
        <v>1715</v>
      </c>
      <c r="B4940" s="51" t="n">
        <v>45957</v>
      </c>
      <c r="C4940" s="50" t="s">
        <v>199</v>
      </c>
      <c r="D4940" s="50" t="s">
        <v>2187</v>
      </c>
      <c r="E4940" s="50" t="n">
        <v>8</v>
      </c>
      <c r="F4940" s="50" t="s">
        <v>2167</v>
      </c>
      <c r="G4940" s="54" t="n">
        <v>2878600</v>
      </c>
    </row>
    <row r="4941" customFormat="false" ht="15" hidden="false" customHeight="false" outlineLevel="0" collapsed="false">
      <c r="A4941" s="50" t="s">
        <v>1715</v>
      </c>
      <c r="B4941" s="51" t="n">
        <v>45957</v>
      </c>
      <c r="C4941" s="50" t="s">
        <v>199</v>
      </c>
      <c r="D4941" s="50" t="s">
        <v>2177</v>
      </c>
      <c r="E4941" s="50" t="n">
        <v>1</v>
      </c>
      <c r="F4941" s="50" t="s">
        <v>2174</v>
      </c>
      <c r="G4941" s="54" t="n">
        <v>1121300</v>
      </c>
    </row>
    <row r="4942" customFormat="false" ht="15" hidden="false" customHeight="false" outlineLevel="0" collapsed="false">
      <c r="A4942" s="50" t="s">
        <v>1716</v>
      </c>
      <c r="B4942" s="51" t="n">
        <v>45957</v>
      </c>
      <c r="C4942" s="50" t="s">
        <v>247</v>
      </c>
      <c r="D4942" s="50" t="s">
        <v>2166</v>
      </c>
      <c r="E4942" s="50" t="n">
        <v>2</v>
      </c>
      <c r="F4942" s="50" t="s">
        <v>2167</v>
      </c>
      <c r="G4942" s="54" t="n">
        <v>1110300</v>
      </c>
    </row>
    <row r="4943" customFormat="false" ht="15" hidden="false" customHeight="false" outlineLevel="0" collapsed="false">
      <c r="A4943" s="50" t="s">
        <v>1716</v>
      </c>
      <c r="B4943" s="51" t="n">
        <v>45957</v>
      </c>
      <c r="C4943" s="50" t="s">
        <v>247</v>
      </c>
      <c r="D4943" s="50" t="s">
        <v>2169</v>
      </c>
      <c r="E4943" s="50" t="n">
        <v>1</v>
      </c>
      <c r="F4943" s="50" t="s">
        <v>2167</v>
      </c>
      <c r="G4943" s="54" t="n">
        <v>603700</v>
      </c>
    </row>
    <row r="4944" customFormat="false" ht="15" hidden="false" customHeight="false" outlineLevel="0" collapsed="false">
      <c r="A4944" s="50" t="s">
        <v>1716</v>
      </c>
      <c r="B4944" s="51" t="n">
        <v>45957</v>
      </c>
      <c r="C4944" s="50" t="s">
        <v>247</v>
      </c>
      <c r="D4944" s="50" t="s">
        <v>2176</v>
      </c>
      <c r="E4944" s="50" t="n">
        <v>1</v>
      </c>
      <c r="F4944" s="50" t="s">
        <v>2167</v>
      </c>
      <c r="G4944" s="54" t="n">
        <v>418100</v>
      </c>
    </row>
    <row r="4945" customFormat="false" ht="15" hidden="false" customHeight="false" outlineLevel="0" collapsed="false">
      <c r="A4945" s="50" t="s">
        <v>1717</v>
      </c>
      <c r="B4945" s="51" t="n">
        <v>45958</v>
      </c>
      <c r="C4945" s="50" t="s">
        <v>320</v>
      </c>
      <c r="D4945" s="50" t="s">
        <v>2180</v>
      </c>
      <c r="E4945" s="50" t="n">
        <v>1</v>
      </c>
      <c r="F4945" s="50" t="s">
        <v>2167</v>
      </c>
      <c r="G4945" s="54" t="n">
        <v>463700</v>
      </c>
    </row>
    <row r="4946" customFormat="false" ht="15" hidden="false" customHeight="false" outlineLevel="0" collapsed="false">
      <c r="A4946" s="50" t="s">
        <v>1717</v>
      </c>
      <c r="B4946" s="51" t="n">
        <v>45958</v>
      </c>
      <c r="C4946" s="50" t="s">
        <v>320</v>
      </c>
      <c r="D4946" s="50" t="s">
        <v>2184</v>
      </c>
      <c r="E4946" s="50" t="n">
        <v>8</v>
      </c>
      <c r="F4946" s="50" t="s">
        <v>2167</v>
      </c>
      <c r="G4946" s="54" t="n">
        <v>4596800</v>
      </c>
    </row>
    <row r="4947" customFormat="false" ht="15" hidden="false" customHeight="false" outlineLevel="0" collapsed="false">
      <c r="A4947" s="50" t="s">
        <v>1717</v>
      </c>
      <c r="B4947" s="51" t="n">
        <v>45958</v>
      </c>
      <c r="C4947" s="50" t="s">
        <v>320</v>
      </c>
      <c r="D4947" s="50" t="s">
        <v>2188</v>
      </c>
      <c r="E4947" s="50" t="n">
        <v>3</v>
      </c>
      <c r="F4947" s="50" t="s">
        <v>2167</v>
      </c>
      <c r="G4947" s="54" t="n">
        <v>2942400</v>
      </c>
    </row>
    <row r="4948" customFormat="false" ht="15" hidden="false" customHeight="false" outlineLevel="0" collapsed="false">
      <c r="A4948" s="50" t="s">
        <v>1717</v>
      </c>
      <c r="B4948" s="51" t="n">
        <v>45958</v>
      </c>
      <c r="C4948" s="50" t="s">
        <v>320</v>
      </c>
      <c r="D4948" s="50" t="s">
        <v>2181</v>
      </c>
      <c r="E4948" s="50" t="n">
        <v>1</v>
      </c>
      <c r="F4948" s="50" t="s">
        <v>2167</v>
      </c>
      <c r="G4948" s="54" t="n">
        <v>1151200</v>
      </c>
    </row>
    <row r="4949" customFormat="false" ht="15" hidden="false" customHeight="false" outlineLevel="0" collapsed="false">
      <c r="A4949" s="50" t="s">
        <v>1717</v>
      </c>
      <c r="B4949" s="51" t="n">
        <v>45958</v>
      </c>
      <c r="C4949" s="50" t="s">
        <v>320</v>
      </c>
      <c r="D4949" s="50" t="s">
        <v>2170</v>
      </c>
      <c r="E4949" s="50" t="n">
        <v>2</v>
      </c>
      <c r="F4949" s="50" t="s">
        <v>2171</v>
      </c>
      <c r="G4949" s="54" t="n">
        <v>14704000</v>
      </c>
    </row>
    <row r="4950" customFormat="false" ht="15" hidden="false" customHeight="false" outlineLevel="0" collapsed="false">
      <c r="A4950" s="50" t="s">
        <v>1718</v>
      </c>
      <c r="B4950" s="51" t="n">
        <v>45958</v>
      </c>
      <c r="C4950" s="50" t="s">
        <v>737</v>
      </c>
      <c r="D4950" s="50" t="s">
        <v>2177</v>
      </c>
      <c r="E4950" s="50" t="n">
        <v>3</v>
      </c>
      <c r="F4950" s="50" t="s">
        <v>2174</v>
      </c>
      <c r="G4950" s="54" t="n">
        <v>3337700</v>
      </c>
    </row>
    <row r="4951" customFormat="false" ht="15" hidden="false" customHeight="false" outlineLevel="0" collapsed="false">
      <c r="A4951" s="50" t="s">
        <v>1718</v>
      </c>
      <c r="B4951" s="51" t="n">
        <v>45958</v>
      </c>
      <c r="C4951" s="50" t="s">
        <v>737</v>
      </c>
      <c r="D4951" s="50" t="s">
        <v>2183</v>
      </c>
      <c r="E4951" s="50" t="n">
        <v>7</v>
      </c>
      <c r="F4951" s="50" t="s">
        <v>2167</v>
      </c>
      <c r="G4951" s="54" t="n">
        <v>2629000</v>
      </c>
    </row>
    <row r="4952" customFormat="false" ht="15" hidden="false" customHeight="false" outlineLevel="0" collapsed="false">
      <c r="A4952" s="50" t="s">
        <v>1718</v>
      </c>
      <c r="B4952" s="51" t="n">
        <v>45958</v>
      </c>
      <c r="C4952" s="50" t="s">
        <v>737</v>
      </c>
      <c r="D4952" s="50" t="s">
        <v>2184</v>
      </c>
      <c r="E4952" s="50" t="n">
        <v>4</v>
      </c>
      <c r="F4952" s="50" t="s">
        <v>2167</v>
      </c>
      <c r="G4952" s="54" t="n">
        <v>2262300</v>
      </c>
    </row>
    <row r="4953" customFormat="false" ht="15" hidden="false" customHeight="false" outlineLevel="0" collapsed="false">
      <c r="A4953" s="50" t="s">
        <v>1718</v>
      </c>
      <c r="B4953" s="51" t="n">
        <v>45958</v>
      </c>
      <c r="C4953" s="50" t="s">
        <v>737</v>
      </c>
      <c r="D4953" s="50" t="s">
        <v>2176</v>
      </c>
      <c r="E4953" s="50" t="n">
        <v>1</v>
      </c>
      <c r="F4953" s="50" t="s">
        <v>2167</v>
      </c>
      <c r="G4953" s="54" t="n">
        <v>420700</v>
      </c>
    </row>
    <row r="4954" customFormat="false" ht="15" hidden="false" customHeight="false" outlineLevel="0" collapsed="false">
      <c r="A4954" s="50" t="s">
        <v>1718</v>
      </c>
      <c r="B4954" s="51" t="n">
        <v>45958</v>
      </c>
      <c r="C4954" s="50" t="s">
        <v>737</v>
      </c>
      <c r="D4954" s="50" t="s">
        <v>2173</v>
      </c>
      <c r="E4954" s="50" t="n">
        <v>1</v>
      </c>
      <c r="F4954" s="50" t="s">
        <v>2174</v>
      </c>
      <c r="G4954" s="54" t="n">
        <v>823400</v>
      </c>
    </row>
    <row r="4955" customFormat="false" ht="15" hidden="false" customHeight="false" outlineLevel="0" collapsed="false">
      <c r="A4955" s="50" t="s">
        <v>1719</v>
      </c>
      <c r="B4955" s="51" t="n">
        <v>45958</v>
      </c>
      <c r="C4955" s="50" t="s">
        <v>174</v>
      </c>
      <c r="D4955" s="50" t="s">
        <v>2168</v>
      </c>
      <c r="E4955" s="50" t="n">
        <v>3</v>
      </c>
      <c r="F4955" s="50" t="s">
        <v>2167</v>
      </c>
      <c r="G4955" s="54" t="n">
        <v>1331700</v>
      </c>
    </row>
    <row r="4956" customFormat="false" ht="15" hidden="false" customHeight="false" outlineLevel="0" collapsed="false">
      <c r="A4956" s="50" t="s">
        <v>1719</v>
      </c>
      <c r="B4956" s="51" t="n">
        <v>45958</v>
      </c>
      <c r="C4956" s="50" t="s">
        <v>174</v>
      </c>
      <c r="D4956" s="50" t="s">
        <v>2184</v>
      </c>
      <c r="E4956" s="50" t="n">
        <v>2</v>
      </c>
      <c r="F4956" s="50" t="s">
        <v>2167</v>
      </c>
      <c r="G4956" s="54" t="n">
        <v>1099800</v>
      </c>
    </row>
    <row r="4957" customFormat="false" ht="15" hidden="false" customHeight="false" outlineLevel="0" collapsed="false">
      <c r="A4957" s="50" t="s">
        <v>1719</v>
      </c>
      <c r="B4957" s="51" t="n">
        <v>45958</v>
      </c>
      <c r="C4957" s="50" t="s">
        <v>174</v>
      </c>
      <c r="D4957" s="50" t="s">
        <v>2173</v>
      </c>
      <c r="E4957" s="50" t="n">
        <v>3</v>
      </c>
      <c r="F4957" s="50" t="s">
        <v>2174</v>
      </c>
      <c r="G4957" s="54" t="n">
        <v>2472000</v>
      </c>
    </row>
    <row r="4958" customFormat="false" ht="15" hidden="false" customHeight="false" outlineLevel="0" collapsed="false">
      <c r="A4958" s="50" t="s">
        <v>1719</v>
      </c>
      <c r="B4958" s="51" t="n">
        <v>45958</v>
      </c>
      <c r="C4958" s="50" t="s">
        <v>174</v>
      </c>
      <c r="D4958" s="50" t="s">
        <v>2181</v>
      </c>
      <c r="E4958" s="50" t="n">
        <v>6</v>
      </c>
      <c r="F4958" s="50" t="s">
        <v>2167</v>
      </c>
      <c r="G4958" s="54" t="n">
        <v>6834300</v>
      </c>
    </row>
    <row r="4959" customFormat="false" ht="15" hidden="false" customHeight="false" outlineLevel="0" collapsed="false">
      <c r="A4959" s="50" t="s">
        <v>1719</v>
      </c>
      <c r="B4959" s="51" t="n">
        <v>45958</v>
      </c>
      <c r="C4959" s="50" t="s">
        <v>174</v>
      </c>
      <c r="D4959" s="50" t="s">
        <v>2186</v>
      </c>
      <c r="E4959" s="50" t="n">
        <v>5</v>
      </c>
      <c r="F4959" s="50" t="s">
        <v>2167</v>
      </c>
      <c r="G4959" s="54" t="n">
        <v>2887800</v>
      </c>
    </row>
    <row r="4960" customFormat="false" ht="15" hidden="false" customHeight="false" outlineLevel="0" collapsed="false">
      <c r="A4960" s="50" t="s">
        <v>1719</v>
      </c>
      <c r="B4960" s="51" t="n">
        <v>45958</v>
      </c>
      <c r="C4960" s="50" t="s">
        <v>174</v>
      </c>
      <c r="D4960" s="50" t="s">
        <v>2185</v>
      </c>
      <c r="E4960" s="50" t="n">
        <v>1</v>
      </c>
      <c r="F4960" s="50" t="s">
        <v>2174</v>
      </c>
      <c r="G4960" s="54" t="n">
        <v>755400</v>
      </c>
    </row>
    <row r="4961" customFormat="false" ht="15" hidden="false" customHeight="false" outlineLevel="0" collapsed="false">
      <c r="A4961" s="50" t="s">
        <v>1720</v>
      </c>
      <c r="B4961" s="51" t="n">
        <v>45959</v>
      </c>
      <c r="C4961" s="50" t="s">
        <v>298</v>
      </c>
      <c r="D4961" s="50" t="s">
        <v>2169</v>
      </c>
      <c r="E4961" s="50" t="n">
        <v>8</v>
      </c>
      <c r="F4961" s="50" t="s">
        <v>2167</v>
      </c>
      <c r="G4961" s="54" t="n">
        <v>4890100</v>
      </c>
    </row>
    <row r="4962" customFormat="false" ht="15" hidden="false" customHeight="false" outlineLevel="0" collapsed="false">
      <c r="A4962" s="50" t="s">
        <v>1720</v>
      </c>
      <c r="B4962" s="51" t="n">
        <v>45959</v>
      </c>
      <c r="C4962" s="50" t="s">
        <v>298</v>
      </c>
      <c r="D4962" s="50" t="s">
        <v>2178</v>
      </c>
      <c r="E4962" s="50" t="n">
        <v>3</v>
      </c>
      <c r="F4962" s="50" t="s">
        <v>2167</v>
      </c>
      <c r="G4962" s="54" t="n">
        <v>1456400</v>
      </c>
    </row>
    <row r="4963" customFormat="false" ht="15" hidden="false" customHeight="false" outlineLevel="0" collapsed="false">
      <c r="A4963" s="50" t="s">
        <v>1720</v>
      </c>
      <c r="B4963" s="51" t="n">
        <v>45959</v>
      </c>
      <c r="C4963" s="50" t="s">
        <v>298</v>
      </c>
      <c r="D4963" s="50" t="s">
        <v>2186</v>
      </c>
      <c r="E4963" s="50" t="n">
        <v>2</v>
      </c>
      <c r="F4963" s="50" t="s">
        <v>2167</v>
      </c>
      <c r="G4963" s="54" t="n">
        <v>1189400</v>
      </c>
    </row>
    <row r="4964" customFormat="false" ht="15" hidden="false" customHeight="false" outlineLevel="0" collapsed="false">
      <c r="A4964" s="50" t="s">
        <v>1721</v>
      </c>
      <c r="B4964" s="51" t="n">
        <v>45959</v>
      </c>
      <c r="C4964" s="50" t="s">
        <v>574</v>
      </c>
      <c r="D4964" s="50" t="s">
        <v>2188</v>
      </c>
      <c r="E4964" s="50" t="n">
        <v>2</v>
      </c>
      <c r="F4964" s="50" t="s">
        <v>2167</v>
      </c>
      <c r="G4964" s="54" t="n">
        <v>2006900</v>
      </c>
    </row>
    <row r="4965" customFormat="false" ht="15" hidden="false" customHeight="false" outlineLevel="0" collapsed="false">
      <c r="A4965" s="50" t="s">
        <v>1721</v>
      </c>
      <c r="B4965" s="51" t="n">
        <v>45959</v>
      </c>
      <c r="C4965" s="50" t="s">
        <v>574</v>
      </c>
      <c r="D4965" s="50" t="s">
        <v>2168</v>
      </c>
      <c r="E4965" s="50" t="n">
        <v>3</v>
      </c>
      <c r="F4965" s="50" t="s">
        <v>2167</v>
      </c>
      <c r="G4965" s="54" t="n">
        <v>1283200</v>
      </c>
    </row>
    <row r="4966" customFormat="false" ht="15" hidden="false" customHeight="false" outlineLevel="0" collapsed="false">
      <c r="A4966" s="50" t="s">
        <v>1721</v>
      </c>
      <c r="B4966" s="51" t="n">
        <v>45959</v>
      </c>
      <c r="C4966" s="50" t="s">
        <v>574</v>
      </c>
      <c r="D4966" s="50" t="s">
        <v>2178</v>
      </c>
      <c r="E4966" s="50" t="n">
        <v>7</v>
      </c>
      <c r="F4966" s="50" t="s">
        <v>2167</v>
      </c>
      <c r="G4966" s="54" t="n">
        <v>3259400</v>
      </c>
    </row>
    <row r="4967" customFormat="false" ht="15" hidden="false" customHeight="false" outlineLevel="0" collapsed="false">
      <c r="A4967" s="50" t="s">
        <v>1721</v>
      </c>
      <c r="B4967" s="51" t="n">
        <v>45959</v>
      </c>
      <c r="C4967" s="50" t="s">
        <v>574</v>
      </c>
      <c r="D4967" s="50" t="s">
        <v>2166</v>
      </c>
      <c r="E4967" s="50" t="n">
        <v>6</v>
      </c>
      <c r="F4967" s="50" t="s">
        <v>2167</v>
      </c>
      <c r="G4967" s="54" t="n">
        <v>3175200</v>
      </c>
    </row>
    <row r="4968" customFormat="false" ht="15" hidden="false" customHeight="false" outlineLevel="0" collapsed="false">
      <c r="A4968" s="50" t="s">
        <v>1721</v>
      </c>
      <c r="B4968" s="51" t="n">
        <v>45959</v>
      </c>
      <c r="C4968" s="50" t="s">
        <v>574</v>
      </c>
      <c r="D4968" s="50" t="s">
        <v>2184</v>
      </c>
      <c r="E4968" s="50" t="n">
        <v>3</v>
      </c>
      <c r="F4968" s="50" t="s">
        <v>2167</v>
      </c>
      <c r="G4968" s="54" t="n">
        <v>1715600</v>
      </c>
    </row>
    <row r="4969" customFormat="false" ht="15" hidden="false" customHeight="false" outlineLevel="0" collapsed="false">
      <c r="A4969" s="50" t="s">
        <v>1722</v>
      </c>
      <c r="B4969" s="51" t="n">
        <v>45959</v>
      </c>
      <c r="C4969" s="50" t="s">
        <v>205</v>
      </c>
      <c r="D4969" s="50" t="s">
        <v>2175</v>
      </c>
      <c r="E4969" s="50" t="n">
        <v>7</v>
      </c>
      <c r="F4969" s="50" t="s">
        <v>2167</v>
      </c>
      <c r="G4969" s="54" t="n">
        <v>4445000</v>
      </c>
    </row>
    <row r="4970" customFormat="false" ht="15" hidden="false" customHeight="false" outlineLevel="0" collapsed="false">
      <c r="A4970" s="50" t="s">
        <v>1722</v>
      </c>
      <c r="B4970" s="51" t="n">
        <v>45959</v>
      </c>
      <c r="C4970" s="50" t="s">
        <v>205</v>
      </c>
      <c r="D4970" s="50" t="s">
        <v>2173</v>
      </c>
      <c r="E4970" s="50" t="n">
        <v>7</v>
      </c>
      <c r="F4970" s="50" t="s">
        <v>2174</v>
      </c>
      <c r="G4970" s="54" t="n">
        <v>5408200</v>
      </c>
    </row>
    <row r="4971" customFormat="false" ht="15" hidden="false" customHeight="false" outlineLevel="0" collapsed="false">
      <c r="A4971" s="50" t="s">
        <v>1722</v>
      </c>
      <c r="B4971" s="51" t="n">
        <v>45959</v>
      </c>
      <c r="C4971" s="50" t="s">
        <v>205</v>
      </c>
      <c r="D4971" s="50" t="s">
        <v>2176</v>
      </c>
      <c r="E4971" s="50" t="n">
        <v>7</v>
      </c>
      <c r="F4971" s="50" t="s">
        <v>2167</v>
      </c>
      <c r="G4971" s="54" t="n">
        <v>2899900</v>
      </c>
    </row>
    <row r="4972" customFormat="false" ht="15" hidden="false" customHeight="false" outlineLevel="0" collapsed="false">
      <c r="A4972" s="50" t="s">
        <v>1722</v>
      </c>
      <c r="B4972" s="51" t="n">
        <v>45959</v>
      </c>
      <c r="C4972" s="50" t="s">
        <v>205</v>
      </c>
      <c r="D4972" s="50" t="s">
        <v>2181</v>
      </c>
      <c r="E4972" s="50" t="n">
        <v>7</v>
      </c>
      <c r="F4972" s="50" t="s">
        <v>2167</v>
      </c>
      <c r="G4972" s="54" t="n">
        <v>7998700</v>
      </c>
    </row>
    <row r="4973" customFormat="false" ht="15" hidden="false" customHeight="false" outlineLevel="0" collapsed="false">
      <c r="A4973" s="50" t="s">
        <v>1722</v>
      </c>
      <c r="B4973" s="51" t="n">
        <v>45959</v>
      </c>
      <c r="C4973" s="50" t="s">
        <v>205</v>
      </c>
      <c r="D4973" s="50" t="s">
        <v>2182</v>
      </c>
      <c r="E4973" s="50" t="n">
        <v>3</v>
      </c>
      <c r="F4973" s="50" t="s">
        <v>2174</v>
      </c>
      <c r="G4973" s="54" t="n">
        <v>2949900</v>
      </c>
    </row>
    <row r="4974" customFormat="false" ht="15" hidden="false" customHeight="false" outlineLevel="0" collapsed="false">
      <c r="A4974" s="50" t="s">
        <v>1723</v>
      </c>
      <c r="B4974" s="51" t="n">
        <v>45959</v>
      </c>
      <c r="C4974" s="50" t="s">
        <v>225</v>
      </c>
      <c r="D4974" s="50" t="s">
        <v>2181</v>
      </c>
      <c r="E4974" s="50" t="n">
        <v>8</v>
      </c>
      <c r="F4974" s="50" t="s">
        <v>2167</v>
      </c>
      <c r="G4974" s="54" t="n">
        <v>8960700</v>
      </c>
    </row>
    <row r="4975" customFormat="false" ht="15" hidden="false" customHeight="false" outlineLevel="0" collapsed="false">
      <c r="A4975" s="50" t="s">
        <v>1723</v>
      </c>
      <c r="B4975" s="51" t="n">
        <v>45959</v>
      </c>
      <c r="C4975" s="50" t="s">
        <v>225</v>
      </c>
      <c r="D4975" s="50" t="s">
        <v>2184</v>
      </c>
      <c r="E4975" s="50" t="n">
        <v>5</v>
      </c>
      <c r="F4975" s="50" t="s">
        <v>2167</v>
      </c>
      <c r="G4975" s="54" t="n">
        <v>2901400</v>
      </c>
    </row>
    <row r="4976" customFormat="false" ht="15" hidden="false" customHeight="false" outlineLevel="0" collapsed="false">
      <c r="A4976" s="50" t="s">
        <v>1723</v>
      </c>
      <c r="B4976" s="51" t="n">
        <v>45959</v>
      </c>
      <c r="C4976" s="50" t="s">
        <v>225</v>
      </c>
      <c r="D4976" s="50" t="s">
        <v>2175</v>
      </c>
      <c r="E4976" s="50" t="n">
        <v>6</v>
      </c>
      <c r="F4976" s="50" t="s">
        <v>2167</v>
      </c>
      <c r="G4976" s="54" t="n">
        <v>3707200</v>
      </c>
    </row>
    <row r="4977" customFormat="false" ht="15" hidden="false" customHeight="false" outlineLevel="0" collapsed="false">
      <c r="A4977" s="50" t="s">
        <v>1724</v>
      </c>
      <c r="B4977" s="51" t="n">
        <v>45959</v>
      </c>
      <c r="C4977" s="50" t="s">
        <v>199</v>
      </c>
      <c r="D4977" s="50" t="s">
        <v>2173</v>
      </c>
      <c r="E4977" s="50" t="n">
        <v>8</v>
      </c>
      <c r="F4977" s="50" t="s">
        <v>2174</v>
      </c>
      <c r="G4977" s="54" t="n">
        <v>6200400</v>
      </c>
    </row>
    <row r="4978" customFormat="false" ht="15" hidden="false" customHeight="false" outlineLevel="0" collapsed="false">
      <c r="A4978" s="50" t="s">
        <v>1724</v>
      </c>
      <c r="B4978" s="51" t="n">
        <v>45959</v>
      </c>
      <c r="C4978" s="50" t="s">
        <v>199</v>
      </c>
      <c r="D4978" s="50" t="s">
        <v>2188</v>
      </c>
      <c r="E4978" s="50" t="n">
        <v>4</v>
      </c>
      <c r="F4978" s="50" t="s">
        <v>2167</v>
      </c>
      <c r="G4978" s="54" t="n">
        <v>3905800</v>
      </c>
    </row>
    <row r="4979" customFormat="false" ht="15" hidden="false" customHeight="false" outlineLevel="0" collapsed="false">
      <c r="A4979" s="50" t="s">
        <v>1725</v>
      </c>
      <c r="B4979" s="51" t="n">
        <v>45959</v>
      </c>
      <c r="C4979" s="50" t="s">
        <v>199</v>
      </c>
      <c r="D4979" s="50" t="s">
        <v>2180</v>
      </c>
      <c r="E4979" s="50" t="n">
        <v>1</v>
      </c>
      <c r="F4979" s="50" t="s">
        <v>2167</v>
      </c>
      <c r="G4979" s="54" t="n">
        <v>464300</v>
      </c>
    </row>
    <row r="4980" customFormat="false" ht="15" hidden="false" customHeight="false" outlineLevel="0" collapsed="false">
      <c r="A4980" s="50" t="s">
        <v>1725</v>
      </c>
      <c r="B4980" s="51" t="n">
        <v>45959</v>
      </c>
      <c r="C4980" s="50" t="s">
        <v>199</v>
      </c>
      <c r="D4980" s="50" t="s">
        <v>2186</v>
      </c>
      <c r="E4980" s="50" t="n">
        <v>2</v>
      </c>
      <c r="F4980" s="50" t="s">
        <v>2167</v>
      </c>
      <c r="G4980" s="54" t="n">
        <v>1168500</v>
      </c>
    </row>
    <row r="4981" customFormat="false" ht="15" hidden="false" customHeight="false" outlineLevel="0" collapsed="false">
      <c r="A4981" s="50" t="s">
        <v>1725</v>
      </c>
      <c r="B4981" s="51" t="n">
        <v>45959</v>
      </c>
      <c r="C4981" s="50" t="s">
        <v>199</v>
      </c>
      <c r="D4981" s="50" t="s">
        <v>2168</v>
      </c>
      <c r="E4981" s="50" t="n">
        <v>7</v>
      </c>
      <c r="F4981" s="50" t="s">
        <v>2167</v>
      </c>
      <c r="G4981" s="54" t="n">
        <v>3109900</v>
      </c>
    </row>
    <row r="4982" customFormat="false" ht="15" hidden="false" customHeight="false" outlineLevel="0" collapsed="false">
      <c r="A4982" s="50" t="s">
        <v>1725</v>
      </c>
      <c r="B4982" s="51" t="n">
        <v>45959</v>
      </c>
      <c r="C4982" s="50" t="s">
        <v>199</v>
      </c>
      <c r="D4982" s="50" t="s">
        <v>2183</v>
      </c>
      <c r="E4982" s="50" t="n">
        <v>4</v>
      </c>
      <c r="F4982" s="50" t="s">
        <v>2167</v>
      </c>
      <c r="G4982" s="54" t="n">
        <v>1535800</v>
      </c>
    </row>
    <row r="4983" customFormat="false" ht="15" hidden="false" customHeight="false" outlineLevel="0" collapsed="false">
      <c r="A4983" s="50" t="s">
        <v>1725</v>
      </c>
      <c r="B4983" s="51" t="n">
        <v>45959</v>
      </c>
      <c r="C4983" s="50" t="s">
        <v>199</v>
      </c>
      <c r="D4983" s="50" t="s">
        <v>2176</v>
      </c>
      <c r="E4983" s="50" t="n">
        <v>8</v>
      </c>
      <c r="F4983" s="50" t="s">
        <v>2167</v>
      </c>
      <c r="G4983" s="54" t="n">
        <v>3357000</v>
      </c>
    </row>
    <row r="4984" customFormat="false" ht="15" hidden="false" customHeight="false" outlineLevel="0" collapsed="false">
      <c r="A4984" s="50" t="s">
        <v>1726</v>
      </c>
      <c r="B4984" s="51" t="n">
        <v>45959</v>
      </c>
      <c r="C4984" s="50" t="s">
        <v>174</v>
      </c>
      <c r="D4984" s="50" t="s">
        <v>2176</v>
      </c>
      <c r="E4984" s="50" t="n">
        <v>3</v>
      </c>
      <c r="F4984" s="50" t="s">
        <v>2167</v>
      </c>
      <c r="G4984" s="54" t="n">
        <v>1251900</v>
      </c>
    </row>
    <row r="4985" customFormat="false" ht="15" hidden="false" customHeight="false" outlineLevel="0" collapsed="false">
      <c r="A4985" s="50" t="s">
        <v>1726</v>
      </c>
      <c r="B4985" s="51" t="n">
        <v>45959</v>
      </c>
      <c r="C4985" s="50" t="s">
        <v>174</v>
      </c>
      <c r="D4985" s="50" t="s">
        <v>2178</v>
      </c>
      <c r="E4985" s="50" t="n">
        <v>4</v>
      </c>
      <c r="F4985" s="50" t="s">
        <v>2167</v>
      </c>
      <c r="G4985" s="54" t="n">
        <v>1904600</v>
      </c>
    </row>
    <row r="4986" customFormat="false" ht="15" hidden="false" customHeight="false" outlineLevel="0" collapsed="false">
      <c r="A4986" s="50" t="s">
        <v>1726</v>
      </c>
      <c r="B4986" s="51" t="n">
        <v>45959</v>
      </c>
      <c r="C4986" s="50" t="s">
        <v>174</v>
      </c>
      <c r="D4986" s="50" t="s">
        <v>2185</v>
      </c>
      <c r="E4986" s="50" t="n">
        <v>2</v>
      </c>
      <c r="F4986" s="50" t="s">
        <v>2174</v>
      </c>
      <c r="G4986" s="54" t="n">
        <v>1621000</v>
      </c>
    </row>
    <row r="4987" customFormat="false" ht="15" hidden="false" customHeight="false" outlineLevel="0" collapsed="false">
      <c r="A4987" s="50" t="s">
        <v>1726</v>
      </c>
      <c r="B4987" s="51" t="n">
        <v>45959</v>
      </c>
      <c r="C4987" s="50" t="s">
        <v>174</v>
      </c>
      <c r="D4987" s="50" t="s">
        <v>2181</v>
      </c>
      <c r="E4987" s="50" t="n">
        <v>5</v>
      </c>
      <c r="F4987" s="50" t="s">
        <v>2167</v>
      </c>
      <c r="G4987" s="54" t="n">
        <v>5575400</v>
      </c>
    </row>
    <row r="4988" customFormat="false" ht="15" hidden="false" customHeight="false" outlineLevel="0" collapsed="false">
      <c r="A4988" s="50" t="s">
        <v>1727</v>
      </c>
      <c r="B4988" s="51" t="n">
        <v>45960</v>
      </c>
      <c r="C4988" s="50" t="s">
        <v>298</v>
      </c>
      <c r="D4988" s="50" t="s">
        <v>2176</v>
      </c>
      <c r="E4988" s="50" t="n">
        <v>5</v>
      </c>
      <c r="F4988" s="50" t="s">
        <v>2167</v>
      </c>
      <c r="G4988" s="54" t="n">
        <v>2103800</v>
      </c>
    </row>
    <row r="4989" customFormat="false" ht="15" hidden="false" customHeight="false" outlineLevel="0" collapsed="false">
      <c r="A4989" s="50" t="s">
        <v>1727</v>
      </c>
      <c r="B4989" s="51" t="n">
        <v>45960</v>
      </c>
      <c r="C4989" s="50" t="s">
        <v>298</v>
      </c>
      <c r="D4989" s="50" t="s">
        <v>2181</v>
      </c>
      <c r="E4989" s="50" t="n">
        <v>8</v>
      </c>
      <c r="F4989" s="50" t="s">
        <v>2167</v>
      </c>
      <c r="G4989" s="54" t="n">
        <v>9412000</v>
      </c>
    </row>
    <row r="4990" customFormat="false" ht="15" hidden="false" customHeight="false" outlineLevel="0" collapsed="false">
      <c r="A4990" s="50" t="s">
        <v>1727</v>
      </c>
      <c r="B4990" s="51" t="n">
        <v>45960</v>
      </c>
      <c r="C4990" s="50" t="s">
        <v>298</v>
      </c>
      <c r="D4990" s="50" t="s">
        <v>2185</v>
      </c>
      <c r="E4990" s="50" t="n">
        <v>6</v>
      </c>
      <c r="F4990" s="50" t="s">
        <v>2174</v>
      </c>
      <c r="G4990" s="54" t="n">
        <v>4663100</v>
      </c>
    </row>
    <row r="4991" customFormat="false" ht="15" hidden="false" customHeight="false" outlineLevel="0" collapsed="false">
      <c r="A4991" s="50" t="s">
        <v>1727</v>
      </c>
      <c r="B4991" s="51" t="n">
        <v>45960</v>
      </c>
      <c r="C4991" s="50" t="s">
        <v>298</v>
      </c>
      <c r="D4991" s="50" t="s">
        <v>2180</v>
      </c>
      <c r="E4991" s="50" t="n">
        <v>1</v>
      </c>
      <c r="F4991" s="50" t="s">
        <v>2167</v>
      </c>
      <c r="G4991" s="54" t="n">
        <v>455300</v>
      </c>
    </row>
    <row r="4992" customFormat="false" ht="15" hidden="false" customHeight="false" outlineLevel="0" collapsed="false">
      <c r="A4992" s="50" t="s">
        <v>1727</v>
      </c>
      <c r="B4992" s="51" t="n">
        <v>45960</v>
      </c>
      <c r="C4992" s="50" t="s">
        <v>298</v>
      </c>
      <c r="D4992" s="50" t="s">
        <v>2170</v>
      </c>
      <c r="E4992" s="50" t="n">
        <v>2</v>
      </c>
      <c r="F4992" s="50" t="s">
        <v>2171</v>
      </c>
      <c r="G4992" s="54" t="n">
        <v>14711500</v>
      </c>
    </row>
    <row r="4993" customFormat="false" ht="15" hidden="false" customHeight="false" outlineLevel="0" collapsed="false">
      <c r="A4993" s="50" t="s">
        <v>1727</v>
      </c>
      <c r="B4993" s="51" t="n">
        <v>45960</v>
      </c>
      <c r="C4993" s="50" t="s">
        <v>298</v>
      </c>
      <c r="D4993" s="50" t="s">
        <v>2179</v>
      </c>
      <c r="E4993" s="50" t="n">
        <v>6</v>
      </c>
      <c r="F4993" s="50" t="s">
        <v>2174</v>
      </c>
      <c r="G4993" s="54" t="n">
        <v>7787300</v>
      </c>
    </row>
    <row r="4994" customFormat="false" ht="15" hidden="false" customHeight="false" outlineLevel="0" collapsed="false">
      <c r="A4994" s="50" t="s">
        <v>1728</v>
      </c>
      <c r="B4994" s="51" t="n">
        <v>45960</v>
      </c>
      <c r="C4994" s="50" t="s">
        <v>195</v>
      </c>
      <c r="D4994" s="50" t="s">
        <v>2188</v>
      </c>
      <c r="E4994" s="50" t="n">
        <v>4</v>
      </c>
      <c r="F4994" s="50" t="s">
        <v>2167</v>
      </c>
      <c r="G4994" s="54" t="n">
        <v>3809500</v>
      </c>
    </row>
    <row r="4995" customFormat="false" ht="15" hidden="false" customHeight="false" outlineLevel="0" collapsed="false">
      <c r="A4995" s="50" t="s">
        <v>1728</v>
      </c>
      <c r="B4995" s="51" t="n">
        <v>45960</v>
      </c>
      <c r="C4995" s="50" t="s">
        <v>195</v>
      </c>
      <c r="D4995" s="50" t="s">
        <v>2172</v>
      </c>
      <c r="E4995" s="50" t="n">
        <v>7</v>
      </c>
      <c r="F4995" s="50" t="s">
        <v>2167</v>
      </c>
      <c r="G4995" s="54" t="n">
        <v>3522700</v>
      </c>
    </row>
    <row r="4996" customFormat="false" ht="15" hidden="false" customHeight="false" outlineLevel="0" collapsed="false">
      <c r="A4996" s="50" t="s">
        <v>1728</v>
      </c>
      <c r="B4996" s="51" t="n">
        <v>45960</v>
      </c>
      <c r="C4996" s="50" t="s">
        <v>195</v>
      </c>
      <c r="D4996" s="50" t="s">
        <v>2170</v>
      </c>
      <c r="E4996" s="50" t="n">
        <v>1</v>
      </c>
      <c r="F4996" s="50" t="s">
        <v>2171</v>
      </c>
      <c r="G4996" s="54" t="n">
        <v>7385000</v>
      </c>
    </row>
    <row r="4997" customFormat="false" ht="15" hidden="false" customHeight="false" outlineLevel="0" collapsed="false">
      <c r="A4997" s="50" t="s">
        <v>1729</v>
      </c>
      <c r="B4997" s="51" t="n">
        <v>45960</v>
      </c>
      <c r="C4997" s="50" t="s">
        <v>358</v>
      </c>
      <c r="D4997" s="50" t="s">
        <v>2166</v>
      </c>
      <c r="E4997" s="50" t="n">
        <v>6</v>
      </c>
      <c r="F4997" s="50" t="s">
        <v>2167</v>
      </c>
      <c r="G4997" s="54" t="n">
        <v>3347300</v>
      </c>
    </row>
    <row r="4998" customFormat="false" ht="15" hidden="false" customHeight="false" outlineLevel="0" collapsed="false">
      <c r="A4998" s="50" t="s">
        <v>1729</v>
      </c>
      <c r="B4998" s="51" t="n">
        <v>45960</v>
      </c>
      <c r="C4998" s="50" t="s">
        <v>358</v>
      </c>
      <c r="D4998" s="50" t="s">
        <v>2173</v>
      </c>
      <c r="E4998" s="50" t="n">
        <v>1</v>
      </c>
      <c r="F4998" s="50" t="s">
        <v>2174</v>
      </c>
      <c r="G4998" s="54" t="n">
        <v>826800</v>
      </c>
    </row>
    <row r="4999" customFormat="false" ht="15" hidden="false" customHeight="false" outlineLevel="0" collapsed="false">
      <c r="A4999" s="50" t="s">
        <v>1729</v>
      </c>
      <c r="B4999" s="51" t="n">
        <v>45960</v>
      </c>
      <c r="C4999" s="50" t="s">
        <v>358</v>
      </c>
      <c r="D4999" s="50" t="s">
        <v>2168</v>
      </c>
      <c r="E4999" s="50" t="n">
        <v>5</v>
      </c>
      <c r="F4999" s="50" t="s">
        <v>2167</v>
      </c>
      <c r="G4999" s="54" t="n">
        <v>2084100</v>
      </c>
    </row>
    <row r="5000" customFormat="false" ht="15" hidden="false" customHeight="false" outlineLevel="0" collapsed="false">
      <c r="A5000" s="50" t="s">
        <v>1729</v>
      </c>
      <c r="B5000" s="51" t="n">
        <v>45960</v>
      </c>
      <c r="C5000" s="50" t="s">
        <v>358</v>
      </c>
      <c r="D5000" s="50" t="s">
        <v>2183</v>
      </c>
      <c r="E5000" s="50" t="n">
        <v>2</v>
      </c>
      <c r="F5000" s="50" t="s">
        <v>2167</v>
      </c>
      <c r="G5000" s="54" t="n">
        <v>771800</v>
      </c>
    </row>
    <row r="5001" customFormat="false" ht="15" hidden="false" customHeight="false" outlineLevel="0" collapsed="false">
      <c r="A5001" s="50" t="s">
        <v>1730</v>
      </c>
      <c r="B5001" s="51" t="n">
        <v>45960</v>
      </c>
      <c r="C5001" s="50" t="s">
        <v>166</v>
      </c>
      <c r="D5001" s="50" t="s">
        <v>2178</v>
      </c>
      <c r="E5001" s="50" t="n">
        <v>5</v>
      </c>
      <c r="F5001" s="50" t="s">
        <v>2167</v>
      </c>
      <c r="G5001" s="54" t="n">
        <v>2332700</v>
      </c>
    </row>
    <row r="5002" customFormat="false" ht="15" hidden="false" customHeight="false" outlineLevel="0" collapsed="false">
      <c r="A5002" s="50" t="s">
        <v>1730</v>
      </c>
      <c r="B5002" s="51" t="n">
        <v>45960</v>
      </c>
      <c r="C5002" s="50" t="s">
        <v>166</v>
      </c>
      <c r="D5002" s="50" t="s">
        <v>2187</v>
      </c>
      <c r="E5002" s="50" t="n">
        <v>2</v>
      </c>
      <c r="F5002" s="50" t="s">
        <v>2167</v>
      </c>
      <c r="G5002" s="54" t="n">
        <v>679400</v>
      </c>
    </row>
    <row r="5003" customFormat="false" ht="15" hidden="false" customHeight="false" outlineLevel="0" collapsed="false">
      <c r="A5003" s="50" t="s">
        <v>1730</v>
      </c>
      <c r="B5003" s="51" t="n">
        <v>45960</v>
      </c>
      <c r="C5003" s="50" t="s">
        <v>166</v>
      </c>
      <c r="D5003" s="50" t="s">
        <v>2182</v>
      </c>
      <c r="E5003" s="50" t="n">
        <v>8</v>
      </c>
      <c r="F5003" s="50" t="s">
        <v>2174</v>
      </c>
      <c r="G5003" s="54" t="n">
        <v>7633000</v>
      </c>
    </row>
    <row r="5004" customFormat="false" ht="15" hidden="false" customHeight="false" outlineLevel="0" collapsed="false">
      <c r="A5004" s="50" t="s">
        <v>1731</v>
      </c>
      <c r="B5004" s="51" t="n">
        <v>45960</v>
      </c>
      <c r="C5004" s="50" t="s">
        <v>289</v>
      </c>
      <c r="D5004" s="50" t="s">
        <v>2186</v>
      </c>
      <c r="E5004" s="50" t="n">
        <v>6</v>
      </c>
      <c r="F5004" s="50" t="s">
        <v>2167</v>
      </c>
      <c r="G5004" s="54" t="n">
        <v>3437400</v>
      </c>
    </row>
    <row r="5005" customFormat="false" ht="15" hidden="false" customHeight="false" outlineLevel="0" collapsed="false">
      <c r="A5005" s="50" t="s">
        <v>1731</v>
      </c>
      <c r="B5005" s="51" t="n">
        <v>45960</v>
      </c>
      <c r="C5005" s="50" t="s">
        <v>289</v>
      </c>
      <c r="D5005" s="50" t="s">
        <v>2175</v>
      </c>
      <c r="E5005" s="50" t="n">
        <v>4</v>
      </c>
      <c r="F5005" s="50" t="s">
        <v>2167</v>
      </c>
      <c r="G5005" s="54" t="n">
        <v>2536200</v>
      </c>
    </row>
    <row r="5006" customFormat="false" ht="15" hidden="false" customHeight="false" outlineLevel="0" collapsed="false">
      <c r="A5006" s="50" t="s">
        <v>1731</v>
      </c>
      <c r="B5006" s="51" t="n">
        <v>45960</v>
      </c>
      <c r="C5006" s="50" t="s">
        <v>289</v>
      </c>
      <c r="D5006" s="50" t="s">
        <v>2181</v>
      </c>
      <c r="E5006" s="50" t="n">
        <v>2</v>
      </c>
      <c r="F5006" s="50" t="s">
        <v>2167</v>
      </c>
      <c r="G5006" s="54" t="n">
        <v>2288900</v>
      </c>
    </row>
    <row r="5007" customFormat="false" ht="15" hidden="false" customHeight="false" outlineLevel="0" collapsed="false">
      <c r="A5007" s="50" t="s">
        <v>1732</v>
      </c>
      <c r="B5007" s="51" t="n">
        <v>45960</v>
      </c>
      <c r="C5007" s="50" t="s">
        <v>463</v>
      </c>
      <c r="D5007" s="50" t="s">
        <v>2178</v>
      </c>
      <c r="E5007" s="50" t="n">
        <v>7</v>
      </c>
      <c r="F5007" s="50" t="s">
        <v>2167</v>
      </c>
      <c r="G5007" s="54" t="n">
        <v>3441900</v>
      </c>
    </row>
    <row r="5008" customFormat="false" ht="15" hidden="false" customHeight="false" outlineLevel="0" collapsed="false">
      <c r="A5008" s="50" t="s">
        <v>1732</v>
      </c>
      <c r="B5008" s="51" t="n">
        <v>45960</v>
      </c>
      <c r="C5008" s="50" t="s">
        <v>463</v>
      </c>
      <c r="D5008" s="50" t="s">
        <v>2181</v>
      </c>
      <c r="E5008" s="50" t="n">
        <v>7</v>
      </c>
      <c r="F5008" s="50" t="s">
        <v>2167</v>
      </c>
      <c r="G5008" s="54" t="n">
        <v>8267600</v>
      </c>
    </row>
    <row r="5009" customFormat="false" ht="15" hidden="false" customHeight="false" outlineLevel="0" collapsed="false">
      <c r="A5009" s="50" t="s">
        <v>1732</v>
      </c>
      <c r="B5009" s="51" t="n">
        <v>45960</v>
      </c>
      <c r="C5009" s="50" t="s">
        <v>463</v>
      </c>
      <c r="D5009" s="50" t="s">
        <v>2188</v>
      </c>
      <c r="E5009" s="50" t="n">
        <v>6</v>
      </c>
      <c r="F5009" s="50" t="s">
        <v>2167</v>
      </c>
      <c r="G5009" s="54" t="n">
        <v>5751400</v>
      </c>
    </row>
    <row r="5010" customFormat="false" ht="15" hidden="false" customHeight="false" outlineLevel="0" collapsed="false">
      <c r="A5010" s="50" t="s">
        <v>1732</v>
      </c>
      <c r="B5010" s="51" t="n">
        <v>45960</v>
      </c>
      <c r="C5010" s="50" t="s">
        <v>463</v>
      </c>
      <c r="D5010" s="50" t="s">
        <v>2169</v>
      </c>
      <c r="E5010" s="50" t="n">
        <v>8</v>
      </c>
      <c r="F5010" s="50" t="s">
        <v>2167</v>
      </c>
      <c r="G5010" s="54" t="n">
        <v>4770800</v>
      </c>
    </row>
    <row r="5011" customFormat="false" ht="15" hidden="false" customHeight="false" outlineLevel="0" collapsed="false">
      <c r="A5011" s="50" t="s">
        <v>1732</v>
      </c>
      <c r="B5011" s="51" t="n">
        <v>45960</v>
      </c>
      <c r="C5011" s="50" t="s">
        <v>463</v>
      </c>
      <c r="D5011" s="50" t="s">
        <v>2187</v>
      </c>
      <c r="E5011" s="50" t="n">
        <v>4</v>
      </c>
      <c r="F5011" s="50" t="s">
        <v>2167</v>
      </c>
      <c r="G5011" s="54" t="n">
        <v>1347900</v>
      </c>
    </row>
    <row r="5012" customFormat="false" ht="15" hidden="false" customHeight="false" outlineLevel="0" collapsed="false">
      <c r="A5012" s="50" t="s">
        <v>1732</v>
      </c>
      <c r="B5012" s="51" t="n">
        <v>45960</v>
      </c>
      <c r="C5012" s="50" t="s">
        <v>463</v>
      </c>
      <c r="D5012" s="50" t="s">
        <v>2184</v>
      </c>
      <c r="E5012" s="50" t="n">
        <v>3</v>
      </c>
      <c r="F5012" s="50" t="s">
        <v>2167</v>
      </c>
      <c r="G5012" s="54" t="n">
        <v>1697400</v>
      </c>
    </row>
    <row r="5013" customFormat="false" ht="15" hidden="false" customHeight="false" outlineLevel="0" collapsed="false">
      <c r="A5013" s="50" t="s">
        <v>1733</v>
      </c>
      <c r="B5013" s="51" t="n">
        <v>45960</v>
      </c>
      <c r="C5013" s="50" t="s">
        <v>243</v>
      </c>
      <c r="D5013" s="50" t="s">
        <v>2182</v>
      </c>
      <c r="E5013" s="50" t="n">
        <v>5</v>
      </c>
      <c r="F5013" s="50" t="s">
        <v>2174</v>
      </c>
      <c r="G5013" s="54" t="n">
        <v>4685200</v>
      </c>
    </row>
    <row r="5014" customFormat="false" ht="15" hidden="false" customHeight="false" outlineLevel="0" collapsed="false">
      <c r="A5014" s="50" t="s">
        <v>1733</v>
      </c>
      <c r="B5014" s="51" t="n">
        <v>45960</v>
      </c>
      <c r="C5014" s="50" t="s">
        <v>243</v>
      </c>
      <c r="D5014" s="50" t="s">
        <v>2180</v>
      </c>
      <c r="E5014" s="50" t="n">
        <v>3</v>
      </c>
      <c r="F5014" s="50" t="s">
        <v>2167</v>
      </c>
      <c r="G5014" s="54" t="n">
        <v>1375200</v>
      </c>
    </row>
    <row r="5015" customFormat="false" ht="15" hidden="false" customHeight="false" outlineLevel="0" collapsed="false">
      <c r="A5015" s="50" t="s">
        <v>1733</v>
      </c>
      <c r="B5015" s="51" t="n">
        <v>45960</v>
      </c>
      <c r="C5015" s="50" t="s">
        <v>243</v>
      </c>
      <c r="D5015" s="50" t="s">
        <v>2173</v>
      </c>
      <c r="E5015" s="50" t="n">
        <v>2</v>
      </c>
      <c r="F5015" s="50" t="s">
        <v>2174</v>
      </c>
      <c r="G5015" s="54" t="n">
        <v>1654600</v>
      </c>
    </row>
    <row r="5016" customFormat="false" ht="15" hidden="false" customHeight="false" outlineLevel="0" collapsed="false">
      <c r="A5016" s="50" t="s">
        <v>1733</v>
      </c>
      <c r="B5016" s="51" t="n">
        <v>45960</v>
      </c>
      <c r="C5016" s="50" t="s">
        <v>243</v>
      </c>
      <c r="D5016" s="50" t="s">
        <v>2185</v>
      </c>
      <c r="E5016" s="50" t="n">
        <v>5</v>
      </c>
      <c r="F5016" s="50" t="s">
        <v>2174</v>
      </c>
      <c r="G5016" s="54" t="n">
        <v>3881900</v>
      </c>
    </row>
    <row r="5017" customFormat="false" ht="15" hidden="false" customHeight="false" outlineLevel="0" collapsed="false">
      <c r="A5017" s="50" t="s">
        <v>1734</v>
      </c>
      <c r="B5017" s="51" t="n">
        <v>45961</v>
      </c>
      <c r="C5017" s="50" t="s">
        <v>174</v>
      </c>
      <c r="D5017" s="50" t="s">
        <v>2184</v>
      </c>
      <c r="E5017" s="50" t="n">
        <v>4</v>
      </c>
      <c r="F5017" s="50" t="s">
        <v>2167</v>
      </c>
      <c r="G5017" s="54" t="n">
        <v>2182500</v>
      </c>
    </row>
    <row r="5018" customFormat="false" ht="15" hidden="false" customHeight="false" outlineLevel="0" collapsed="false">
      <c r="A5018" s="50" t="s">
        <v>1734</v>
      </c>
      <c r="B5018" s="51" t="n">
        <v>45961</v>
      </c>
      <c r="C5018" s="50" t="s">
        <v>174</v>
      </c>
      <c r="D5018" s="50" t="s">
        <v>2177</v>
      </c>
      <c r="E5018" s="50" t="n">
        <v>1</v>
      </c>
      <c r="F5018" s="50" t="s">
        <v>2174</v>
      </c>
      <c r="G5018" s="54" t="n">
        <v>1101500</v>
      </c>
    </row>
    <row r="5019" customFormat="false" ht="15" hidden="false" customHeight="false" outlineLevel="0" collapsed="false">
      <c r="A5019" s="50" t="s">
        <v>1735</v>
      </c>
      <c r="B5019" s="51" t="n">
        <v>45962</v>
      </c>
      <c r="C5019" s="50" t="s">
        <v>1099</v>
      </c>
      <c r="D5019" s="50" t="s">
        <v>2180</v>
      </c>
      <c r="E5019" s="50" t="n">
        <v>8</v>
      </c>
      <c r="F5019" s="50" t="s">
        <v>2167</v>
      </c>
      <c r="G5019" s="54" t="n">
        <v>3549300</v>
      </c>
    </row>
    <row r="5020" customFormat="false" ht="15" hidden="false" customHeight="false" outlineLevel="0" collapsed="false">
      <c r="A5020" s="50" t="s">
        <v>1735</v>
      </c>
      <c r="B5020" s="51" t="n">
        <v>45962</v>
      </c>
      <c r="C5020" s="50" t="s">
        <v>1099</v>
      </c>
      <c r="D5020" s="50" t="s">
        <v>2182</v>
      </c>
      <c r="E5020" s="50" t="n">
        <v>8</v>
      </c>
      <c r="F5020" s="50" t="s">
        <v>2174</v>
      </c>
      <c r="G5020" s="54" t="n">
        <v>7362700</v>
      </c>
    </row>
    <row r="5021" customFormat="false" ht="15" hidden="false" customHeight="false" outlineLevel="0" collapsed="false">
      <c r="A5021" s="50" t="s">
        <v>1735</v>
      </c>
      <c r="B5021" s="51" t="n">
        <v>45962</v>
      </c>
      <c r="C5021" s="50" t="s">
        <v>1099</v>
      </c>
      <c r="D5021" s="50" t="s">
        <v>2184</v>
      </c>
      <c r="E5021" s="50" t="n">
        <v>5</v>
      </c>
      <c r="F5021" s="50" t="s">
        <v>2167</v>
      </c>
      <c r="G5021" s="54" t="n">
        <v>2830000</v>
      </c>
    </row>
    <row r="5022" customFormat="false" ht="15" hidden="false" customHeight="false" outlineLevel="0" collapsed="false">
      <c r="A5022" s="50" t="s">
        <v>1736</v>
      </c>
      <c r="B5022" s="51" t="n">
        <v>45962</v>
      </c>
      <c r="C5022" s="50" t="s">
        <v>211</v>
      </c>
      <c r="D5022" s="50" t="s">
        <v>2183</v>
      </c>
      <c r="E5022" s="50" t="n">
        <v>6</v>
      </c>
      <c r="F5022" s="50" t="s">
        <v>2167</v>
      </c>
      <c r="G5022" s="54" t="n">
        <v>2292000</v>
      </c>
    </row>
    <row r="5023" customFormat="false" ht="15" hidden="false" customHeight="false" outlineLevel="0" collapsed="false">
      <c r="A5023" s="50" t="s">
        <v>1736</v>
      </c>
      <c r="B5023" s="51" t="n">
        <v>45962</v>
      </c>
      <c r="C5023" s="50" t="s">
        <v>211</v>
      </c>
      <c r="D5023" s="50" t="s">
        <v>2182</v>
      </c>
      <c r="E5023" s="50" t="n">
        <v>2</v>
      </c>
      <c r="F5023" s="50" t="s">
        <v>2174</v>
      </c>
      <c r="G5023" s="54" t="n">
        <v>1884600</v>
      </c>
    </row>
    <row r="5024" customFormat="false" ht="15" hidden="false" customHeight="false" outlineLevel="0" collapsed="false">
      <c r="A5024" s="50" t="s">
        <v>1736</v>
      </c>
      <c r="B5024" s="51" t="n">
        <v>45962</v>
      </c>
      <c r="C5024" s="50" t="s">
        <v>211</v>
      </c>
      <c r="D5024" s="50" t="s">
        <v>2172</v>
      </c>
      <c r="E5024" s="50" t="n">
        <v>7</v>
      </c>
      <c r="F5024" s="50" t="s">
        <v>2167</v>
      </c>
      <c r="G5024" s="54" t="n">
        <v>3643500</v>
      </c>
    </row>
    <row r="5025" customFormat="false" ht="15" hidden="false" customHeight="false" outlineLevel="0" collapsed="false">
      <c r="A5025" s="50" t="s">
        <v>1736</v>
      </c>
      <c r="B5025" s="51" t="n">
        <v>45962</v>
      </c>
      <c r="C5025" s="50" t="s">
        <v>211</v>
      </c>
      <c r="D5025" s="50" t="s">
        <v>2176</v>
      </c>
      <c r="E5025" s="50" t="n">
        <v>7</v>
      </c>
      <c r="F5025" s="50" t="s">
        <v>2167</v>
      </c>
      <c r="G5025" s="54" t="n">
        <v>2962200</v>
      </c>
    </row>
    <row r="5026" customFormat="false" ht="15" hidden="false" customHeight="false" outlineLevel="0" collapsed="false">
      <c r="A5026" s="50" t="s">
        <v>1736</v>
      </c>
      <c r="B5026" s="51" t="n">
        <v>45962</v>
      </c>
      <c r="C5026" s="50" t="s">
        <v>211</v>
      </c>
      <c r="D5026" s="50" t="s">
        <v>2186</v>
      </c>
      <c r="E5026" s="50" t="n">
        <v>3</v>
      </c>
      <c r="F5026" s="50" t="s">
        <v>2167</v>
      </c>
      <c r="G5026" s="54" t="n">
        <v>1716100</v>
      </c>
    </row>
    <row r="5027" customFormat="false" ht="15" hidden="false" customHeight="false" outlineLevel="0" collapsed="false">
      <c r="A5027" s="50" t="s">
        <v>1737</v>
      </c>
      <c r="B5027" s="51" t="n">
        <v>45962</v>
      </c>
      <c r="C5027" s="50" t="s">
        <v>1738</v>
      </c>
      <c r="D5027" s="50" t="s">
        <v>2179</v>
      </c>
      <c r="E5027" s="50" t="n">
        <v>4</v>
      </c>
      <c r="F5027" s="50" t="s">
        <v>2174</v>
      </c>
      <c r="G5027" s="54" t="n">
        <v>5095300</v>
      </c>
    </row>
    <row r="5028" customFormat="false" ht="15" hidden="false" customHeight="false" outlineLevel="0" collapsed="false">
      <c r="A5028" s="50" t="s">
        <v>1737</v>
      </c>
      <c r="B5028" s="51" t="n">
        <v>45962</v>
      </c>
      <c r="C5028" s="50" t="s">
        <v>1738</v>
      </c>
      <c r="D5028" s="50" t="s">
        <v>2177</v>
      </c>
      <c r="E5028" s="50" t="n">
        <v>8</v>
      </c>
      <c r="F5028" s="50" t="s">
        <v>2174</v>
      </c>
      <c r="G5028" s="54" t="n">
        <v>8735400</v>
      </c>
    </row>
    <row r="5029" customFormat="false" ht="15" hidden="false" customHeight="false" outlineLevel="0" collapsed="false">
      <c r="A5029" s="50" t="s">
        <v>1737</v>
      </c>
      <c r="B5029" s="51" t="n">
        <v>45962</v>
      </c>
      <c r="C5029" s="50" t="s">
        <v>1738</v>
      </c>
      <c r="D5029" s="50" t="s">
        <v>2186</v>
      </c>
      <c r="E5029" s="50" t="n">
        <v>8</v>
      </c>
      <c r="F5029" s="50" t="s">
        <v>2167</v>
      </c>
      <c r="G5029" s="54" t="n">
        <v>4673300</v>
      </c>
    </row>
    <row r="5030" customFormat="false" ht="15" hidden="false" customHeight="false" outlineLevel="0" collapsed="false">
      <c r="A5030" s="50" t="s">
        <v>1737</v>
      </c>
      <c r="B5030" s="51" t="n">
        <v>45962</v>
      </c>
      <c r="C5030" s="50" t="s">
        <v>1738</v>
      </c>
      <c r="D5030" s="50" t="s">
        <v>2183</v>
      </c>
      <c r="E5030" s="50" t="n">
        <v>6</v>
      </c>
      <c r="F5030" s="50" t="s">
        <v>2167</v>
      </c>
      <c r="G5030" s="54" t="n">
        <v>2206100</v>
      </c>
    </row>
    <row r="5031" customFormat="false" ht="15" hidden="false" customHeight="false" outlineLevel="0" collapsed="false">
      <c r="A5031" s="50" t="s">
        <v>1739</v>
      </c>
      <c r="B5031" s="51" t="n">
        <v>45962</v>
      </c>
      <c r="C5031" s="50" t="s">
        <v>234</v>
      </c>
      <c r="D5031" s="50" t="s">
        <v>2181</v>
      </c>
      <c r="E5031" s="50" t="n">
        <v>6</v>
      </c>
      <c r="F5031" s="50" t="s">
        <v>2167</v>
      </c>
      <c r="G5031" s="54" t="n">
        <v>7131000</v>
      </c>
    </row>
    <row r="5032" customFormat="false" ht="15" hidden="false" customHeight="false" outlineLevel="0" collapsed="false">
      <c r="A5032" s="50" t="s">
        <v>1739</v>
      </c>
      <c r="B5032" s="51" t="n">
        <v>45962</v>
      </c>
      <c r="C5032" s="50" t="s">
        <v>234</v>
      </c>
      <c r="D5032" s="50" t="s">
        <v>2178</v>
      </c>
      <c r="E5032" s="50" t="n">
        <v>3</v>
      </c>
      <c r="F5032" s="50" t="s">
        <v>2167</v>
      </c>
      <c r="G5032" s="54" t="n">
        <v>1452400</v>
      </c>
    </row>
    <row r="5033" customFormat="false" ht="15" hidden="false" customHeight="false" outlineLevel="0" collapsed="false">
      <c r="A5033" s="50" t="s">
        <v>1739</v>
      </c>
      <c r="B5033" s="51" t="n">
        <v>45962</v>
      </c>
      <c r="C5033" s="50" t="s">
        <v>234</v>
      </c>
      <c r="D5033" s="50" t="s">
        <v>2177</v>
      </c>
      <c r="E5033" s="50" t="n">
        <v>7</v>
      </c>
      <c r="F5033" s="50" t="s">
        <v>2174</v>
      </c>
      <c r="G5033" s="54" t="n">
        <v>7781400</v>
      </c>
    </row>
    <row r="5034" customFormat="false" ht="15" hidden="false" customHeight="false" outlineLevel="0" collapsed="false">
      <c r="A5034" s="50" t="s">
        <v>1740</v>
      </c>
      <c r="B5034" s="51" t="n">
        <v>45962</v>
      </c>
      <c r="C5034" s="50" t="s">
        <v>1487</v>
      </c>
      <c r="D5034" s="50" t="s">
        <v>2184</v>
      </c>
      <c r="E5034" s="50" t="n">
        <v>6</v>
      </c>
      <c r="F5034" s="50" t="s">
        <v>2167</v>
      </c>
      <c r="G5034" s="54" t="n">
        <v>3265700</v>
      </c>
    </row>
    <row r="5035" customFormat="false" ht="15" hidden="false" customHeight="false" outlineLevel="0" collapsed="false">
      <c r="A5035" s="50" t="s">
        <v>1740</v>
      </c>
      <c r="B5035" s="51" t="n">
        <v>45962</v>
      </c>
      <c r="C5035" s="50" t="s">
        <v>1487</v>
      </c>
      <c r="D5035" s="50" t="s">
        <v>2185</v>
      </c>
      <c r="E5035" s="50" t="n">
        <v>2</v>
      </c>
      <c r="F5035" s="50" t="s">
        <v>2174</v>
      </c>
      <c r="G5035" s="54" t="n">
        <v>1560100</v>
      </c>
    </row>
    <row r="5036" customFormat="false" ht="15" hidden="false" customHeight="false" outlineLevel="0" collapsed="false">
      <c r="A5036" s="50" t="s">
        <v>1740</v>
      </c>
      <c r="B5036" s="51" t="n">
        <v>45962</v>
      </c>
      <c r="C5036" s="50" t="s">
        <v>1487</v>
      </c>
      <c r="D5036" s="50" t="s">
        <v>2169</v>
      </c>
      <c r="E5036" s="50" t="n">
        <v>2</v>
      </c>
      <c r="F5036" s="50" t="s">
        <v>2167</v>
      </c>
      <c r="G5036" s="54" t="n">
        <v>1209800</v>
      </c>
    </row>
    <row r="5037" customFormat="false" ht="15" hidden="false" customHeight="false" outlineLevel="0" collapsed="false">
      <c r="A5037" s="50" t="s">
        <v>1740</v>
      </c>
      <c r="B5037" s="51" t="n">
        <v>45962</v>
      </c>
      <c r="C5037" s="50" t="s">
        <v>1487</v>
      </c>
      <c r="D5037" s="50" t="s">
        <v>2183</v>
      </c>
      <c r="E5037" s="50" t="n">
        <v>4</v>
      </c>
      <c r="F5037" s="50" t="s">
        <v>2167</v>
      </c>
      <c r="G5037" s="54" t="n">
        <v>1549200</v>
      </c>
    </row>
    <row r="5038" customFormat="false" ht="15" hidden="false" customHeight="false" outlineLevel="0" collapsed="false">
      <c r="A5038" s="50" t="s">
        <v>1741</v>
      </c>
      <c r="B5038" s="51" t="n">
        <v>45962</v>
      </c>
      <c r="C5038" s="50" t="s">
        <v>193</v>
      </c>
      <c r="D5038" s="50" t="s">
        <v>2178</v>
      </c>
      <c r="E5038" s="50" t="n">
        <v>7</v>
      </c>
      <c r="F5038" s="50" t="s">
        <v>2167</v>
      </c>
      <c r="G5038" s="54" t="n">
        <v>3379100</v>
      </c>
    </row>
    <row r="5039" customFormat="false" ht="15" hidden="false" customHeight="false" outlineLevel="0" collapsed="false">
      <c r="A5039" s="50" t="s">
        <v>1741</v>
      </c>
      <c r="B5039" s="51" t="n">
        <v>45962</v>
      </c>
      <c r="C5039" s="50" t="s">
        <v>193</v>
      </c>
      <c r="D5039" s="50" t="s">
        <v>2172</v>
      </c>
      <c r="E5039" s="50" t="n">
        <v>8</v>
      </c>
      <c r="F5039" s="50" t="s">
        <v>2167</v>
      </c>
      <c r="G5039" s="54" t="n">
        <v>4262200</v>
      </c>
    </row>
    <row r="5040" customFormat="false" ht="15" hidden="false" customHeight="false" outlineLevel="0" collapsed="false">
      <c r="A5040" s="50" t="s">
        <v>1741</v>
      </c>
      <c r="B5040" s="51" t="n">
        <v>45962</v>
      </c>
      <c r="C5040" s="50" t="s">
        <v>193</v>
      </c>
      <c r="D5040" s="50" t="s">
        <v>2180</v>
      </c>
      <c r="E5040" s="50" t="n">
        <v>5</v>
      </c>
      <c r="F5040" s="50" t="s">
        <v>2167</v>
      </c>
      <c r="G5040" s="54" t="n">
        <v>2232100</v>
      </c>
    </row>
    <row r="5041" customFormat="false" ht="15" hidden="false" customHeight="false" outlineLevel="0" collapsed="false">
      <c r="A5041" s="50" t="s">
        <v>1741</v>
      </c>
      <c r="B5041" s="51" t="n">
        <v>45962</v>
      </c>
      <c r="C5041" s="50" t="s">
        <v>193</v>
      </c>
      <c r="D5041" s="50" t="s">
        <v>2175</v>
      </c>
      <c r="E5041" s="50" t="n">
        <v>2</v>
      </c>
      <c r="F5041" s="50" t="s">
        <v>2167</v>
      </c>
      <c r="G5041" s="54" t="n">
        <v>1278500</v>
      </c>
    </row>
    <row r="5042" customFormat="false" ht="15" hidden="false" customHeight="false" outlineLevel="0" collapsed="false">
      <c r="A5042" s="50" t="s">
        <v>1741</v>
      </c>
      <c r="B5042" s="51" t="n">
        <v>45962</v>
      </c>
      <c r="C5042" s="50" t="s">
        <v>193</v>
      </c>
      <c r="D5042" s="50" t="s">
        <v>2179</v>
      </c>
      <c r="E5042" s="50" t="n">
        <v>5</v>
      </c>
      <c r="F5042" s="50" t="s">
        <v>2174</v>
      </c>
      <c r="G5042" s="54" t="n">
        <v>6156800</v>
      </c>
    </row>
    <row r="5043" customFormat="false" ht="15" hidden="false" customHeight="false" outlineLevel="0" collapsed="false">
      <c r="A5043" s="50" t="s">
        <v>1742</v>
      </c>
      <c r="B5043" s="51" t="n">
        <v>45964</v>
      </c>
      <c r="C5043" s="50" t="s">
        <v>179</v>
      </c>
      <c r="D5043" s="50" t="s">
        <v>2180</v>
      </c>
      <c r="E5043" s="50" t="n">
        <v>4</v>
      </c>
      <c r="F5043" s="50" t="s">
        <v>2167</v>
      </c>
      <c r="G5043" s="54" t="n">
        <v>1812200</v>
      </c>
    </row>
    <row r="5044" customFormat="false" ht="15" hidden="false" customHeight="false" outlineLevel="0" collapsed="false">
      <c r="A5044" s="50" t="s">
        <v>1742</v>
      </c>
      <c r="B5044" s="51" t="n">
        <v>45964</v>
      </c>
      <c r="C5044" s="50" t="s">
        <v>179</v>
      </c>
      <c r="D5044" s="50" t="s">
        <v>2182</v>
      </c>
      <c r="E5044" s="50" t="n">
        <v>7</v>
      </c>
      <c r="F5044" s="50" t="s">
        <v>2174</v>
      </c>
      <c r="G5044" s="54" t="n">
        <v>6890700</v>
      </c>
    </row>
    <row r="5045" customFormat="false" ht="15" hidden="false" customHeight="false" outlineLevel="0" collapsed="false">
      <c r="A5045" s="50" t="s">
        <v>1742</v>
      </c>
      <c r="B5045" s="51" t="n">
        <v>45964</v>
      </c>
      <c r="C5045" s="50" t="s">
        <v>179</v>
      </c>
      <c r="D5045" s="50" t="s">
        <v>2188</v>
      </c>
      <c r="E5045" s="50" t="n">
        <v>5</v>
      </c>
      <c r="F5045" s="50" t="s">
        <v>2167</v>
      </c>
      <c r="G5045" s="54" t="n">
        <v>5074300</v>
      </c>
    </row>
    <row r="5046" customFormat="false" ht="15" hidden="false" customHeight="false" outlineLevel="0" collapsed="false">
      <c r="A5046" s="50" t="s">
        <v>1743</v>
      </c>
      <c r="B5046" s="51" t="n">
        <v>45964</v>
      </c>
      <c r="C5046" s="50" t="s">
        <v>666</v>
      </c>
      <c r="D5046" s="50" t="s">
        <v>2176</v>
      </c>
      <c r="E5046" s="50" t="n">
        <v>3</v>
      </c>
      <c r="F5046" s="50" t="s">
        <v>2167</v>
      </c>
      <c r="G5046" s="54" t="n">
        <v>1308300</v>
      </c>
    </row>
    <row r="5047" customFormat="false" ht="15" hidden="false" customHeight="false" outlineLevel="0" collapsed="false">
      <c r="A5047" s="50" t="s">
        <v>1743</v>
      </c>
      <c r="B5047" s="51" t="n">
        <v>45964</v>
      </c>
      <c r="C5047" s="50" t="s">
        <v>666</v>
      </c>
      <c r="D5047" s="50" t="s">
        <v>2184</v>
      </c>
      <c r="E5047" s="50" t="n">
        <v>3</v>
      </c>
      <c r="F5047" s="50" t="s">
        <v>2167</v>
      </c>
      <c r="G5047" s="54" t="n">
        <v>1621100</v>
      </c>
    </row>
    <row r="5048" customFormat="false" ht="15" hidden="false" customHeight="false" outlineLevel="0" collapsed="false">
      <c r="A5048" s="50" t="s">
        <v>1743</v>
      </c>
      <c r="B5048" s="51" t="n">
        <v>45964</v>
      </c>
      <c r="C5048" s="50" t="s">
        <v>666</v>
      </c>
      <c r="D5048" s="50" t="s">
        <v>2183</v>
      </c>
      <c r="E5048" s="50" t="n">
        <v>2</v>
      </c>
      <c r="F5048" s="50" t="s">
        <v>2167</v>
      </c>
      <c r="G5048" s="54" t="n">
        <v>748400</v>
      </c>
    </row>
    <row r="5049" customFormat="false" ht="15" hidden="false" customHeight="false" outlineLevel="0" collapsed="false">
      <c r="A5049" s="50" t="s">
        <v>1744</v>
      </c>
      <c r="B5049" s="51" t="n">
        <v>45965</v>
      </c>
      <c r="C5049" s="50" t="s">
        <v>174</v>
      </c>
      <c r="D5049" s="50" t="s">
        <v>2179</v>
      </c>
      <c r="E5049" s="50" t="n">
        <v>8</v>
      </c>
      <c r="F5049" s="50" t="s">
        <v>2174</v>
      </c>
      <c r="G5049" s="54" t="n">
        <v>10269900</v>
      </c>
    </row>
    <row r="5050" customFormat="false" ht="15" hidden="false" customHeight="false" outlineLevel="0" collapsed="false">
      <c r="A5050" s="50" t="s">
        <v>1744</v>
      </c>
      <c r="B5050" s="51" t="n">
        <v>45965</v>
      </c>
      <c r="C5050" s="50" t="s">
        <v>174</v>
      </c>
      <c r="D5050" s="50" t="s">
        <v>2183</v>
      </c>
      <c r="E5050" s="50" t="n">
        <v>5</v>
      </c>
      <c r="F5050" s="50" t="s">
        <v>2167</v>
      </c>
      <c r="G5050" s="54" t="n">
        <v>1875000</v>
      </c>
    </row>
    <row r="5051" customFormat="false" ht="15" hidden="false" customHeight="false" outlineLevel="0" collapsed="false">
      <c r="A5051" s="50" t="s">
        <v>1744</v>
      </c>
      <c r="B5051" s="51" t="n">
        <v>45965</v>
      </c>
      <c r="C5051" s="50" t="s">
        <v>174</v>
      </c>
      <c r="D5051" s="50" t="s">
        <v>2177</v>
      </c>
      <c r="E5051" s="50" t="n">
        <v>4</v>
      </c>
      <c r="F5051" s="50" t="s">
        <v>2174</v>
      </c>
      <c r="G5051" s="54" t="n">
        <v>4296000</v>
      </c>
    </row>
    <row r="5052" customFormat="false" ht="15" hidden="false" customHeight="false" outlineLevel="0" collapsed="false">
      <c r="A5052" s="50" t="s">
        <v>1744</v>
      </c>
      <c r="B5052" s="51" t="n">
        <v>45965</v>
      </c>
      <c r="C5052" s="50" t="s">
        <v>174</v>
      </c>
      <c r="D5052" s="50" t="s">
        <v>2186</v>
      </c>
      <c r="E5052" s="50" t="n">
        <v>1</v>
      </c>
      <c r="F5052" s="50" t="s">
        <v>2167</v>
      </c>
      <c r="G5052" s="54" t="n">
        <v>589100</v>
      </c>
    </row>
    <row r="5053" customFormat="false" ht="15" hidden="false" customHeight="false" outlineLevel="0" collapsed="false">
      <c r="A5053" s="50" t="s">
        <v>1744</v>
      </c>
      <c r="B5053" s="51" t="n">
        <v>45965</v>
      </c>
      <c r="C5053" s="50" t="s">
        <v>174</v>
      </c>
      <c r="D5053" s="50" t="s">
        <v>2178</v>
      </c>
      <c r="E5053" s="50" t="n">
        <v>7</v>
      </c>
      <c r="F5053" s="50" t="s">
        <v>2167</v>
      </c>
      <c r="G5053" s="54" t="n">
        <v>3388400</v>
      </c>
    </row>
    <row r="5054" customFormat="false" ht="15" hidden="false" customHeight="false" outlineLevel="0" collapsed="false">
      <c r="A5054" s="50" t="s">
        <v>1744</v>
      </c>
      <c r="B5054" s="51" t="n">
        <v>45965</v>
      </c>
      <c r="C5054" s="50" t="s">
        <v>174</v>
      </c>
      <c r="D5054" s="50" t="s">
        <v>2168</v>
      </c>
      <c r="E5054" s="50" t="n">
        <v>4</v>
      </c>
      <c r="F5054" s="50" t="s">
        <v>2167</v>
      </c>
      <c r="G5054" s="54" t="n">
        <v>1732900</v>
      </c>
    </row>
    <row r="5055" customFormat="false" ht="15" hidden="false" customHeight="false" outlineLevel="0" collapsed="false">
      <c r="A5055" s="50" t="s">
        <v>1744</v>
      </c>
      <c r="B5055" s="51" t="n">
        <v>45965</v>
      </c>
      <c r="C5055" s="50" t="s">
        <v>174</v>
      </c>
      <c r="D5055" s="50" t="s">
        <v>2180</v>
      </c>
      <c r="E5055" s="50" t="n">
        <v>8</v>
      </c>
      <c r="F5055" s="50" t="s">
        <v>2167</v>
      </c>
      <c r="G5055" s="54" t="n">
        <v>3524800</v>
      </c>
    </row>
    <row r="5056" customFormat="false" ht="15" hidden="false" customHeight="false" outlineLevel="0" collapsed="false">
      <c r="A5056" s="50" t="s">
        <v>1745</v>
      </c>
      <c r="B5056" s="51" t="n">
        <v>45965</v>
      </c>
      <c r="C5056" s="50" t="s">
        <v>228</v>
      </c>
      <c r="D5056" s="50" t="s">
        <v>2180</v>
      </c>
      <c r="E5056" s="50" t="n">
        <v>4</v>
      </c>
      <c r="F5056" s="50" t="s">
        <v>2167</v>
      </c>
      <c r="G5056" s="54" t="n">
        <v>1858900</v>
      </c>
    </row>
    <row r="5057" customFormat="false" ht="15" hidden="false" customHeight="false" outlineLevel="0" collapsed="false">
      <c r="A5057" s="50" t="s">
        <v>1746</v>
      </c>
      <c r="B5057" s="51" t="n">
        <v>45965</v>
      </c>
      <c r="C5057" s="50" t="s">
        <v>205</v>
      </c>
      <c r="D5057" s="50" t="s">
        <v>2168</v>
      </c>
      <c r="E5057" s="50" t="n">
        <v>1</v>
      </c>
      <c r="F5057" s="50" t="s">
        <v>2167</v>
      </c>
      <c r="G5057" s="54" t="n">
        <v>413200</v>
      </c>
    </row>
    <row r="5058" customFormat="false" ht="15" hidden="false" customHeight="false" outlineLevel="0" collapsed="false">
      <c r="A5058" s="50" t="s">
        <v>1746</v>
      </c>
      <c r="B5058" s="51" t="n">
        <v>45965</v>
      </c>
      <c r="C5058" s="50" t="s">
        <v>205</v>
      </c>
      <c r="D5058" s="50" t="s">
        <v>2186</v>
      </c>
      <c r="E5058" s="50" t="n">
        <v>6</v>
      </c>
      <c r="F5058" s="50" t="s">
        <v>2167</v>
      </c>
      <c r="G5058" s="54" t="n">
        <v>3660500</v>
      </c>
    </row>
    <row r="5059" customFormat="false" ht="15" hidden="false" customHeight="false" outlineLevel="0" collapsed="false">
      <c r="A5059" s="50" t="s">
        <v>1746</v>
      </c>
      <c r="B5059" s="51" t="n">
        <v>45965</v>
      </c>
      <c r="C5059" s="50" t="s">
        <v>205</v>
      </c>
      <c r="D5059" s="50" t="s">
        <v>2172</v>
      </c>
      <c r="E5059" s="50" t="n">
        <v>3</v>
      </c>
      <c r="F5059" s="50" t="s">
        <v>2167</v>
      </c>
      <c r="G5059" s="54" t="n">
        <v>1591000</v>
      </c>
    </row>
    <row r="5060" customFormat="false" ht="15" hidden="false" customHeight="false" outlineLevel="0" collapsed="false">
      <c r="A5060" s="50" t="s">
        <v>1746</v>
      </c>
      <c r="B5060" s="51" t="n">
        <v>45965</v>
      </c>
      <c r="C5060" s="50" t="s">
        <v>205</v>
      </c>
      <c r="D5060" s="50" t="s">
        <v>2169</v>
      </c>
      <c r="E5060" s="50" t="n">
        <v>7</v>
      </c>
      <c r="F5060" s="50" t="s">
        <v>2167</v>
      </c>
      <c r="G5060" s="54" t="n">
        <v>4247200</v>
      </c>
    </row>
    <row r="5061" customFormat="false" ht="15" hidden="false" customHeight="false" outlineLevel="0" collapsed="false">
      <c r="A5061" s="50" t="s">
        <v>1747</v>
      </c>
      <c r="B5061" s="51" t="n">
        <v>45965</v>
      </c>
      <c r="C5061" s="50" t="s">
        <v>382</v>
      </c>
      <c r="D5061" s="50" t="s">
        <v>2175</v>
      </c>
      <c r="E5061" s="50" t="n">
        <v>3</v>
      </c>
      <c r="F5061" s="50" t="s">
        <v>2167</v>
      </c>
      <c r="G5061" s="54" t="n">
        <v>1962700</v>
      </c>
    </row>
    <row r="5062" customFormat="false" ht="15" hidden="false" customHeight="false" outlineLevel="0" collapsed="false">
      <c r="A5062" s="50" t="s">
        <v>1747</v>
      </c>
      <c r="B5062" s="51" t="n">
        <v>45965</v>
      </c>
      <c r="C5062" s="50" t="s">
        <v>382</v>
      </c>
      <c r="D5062" s="50" t="s">
        <v>2183</v>
      </c>
      <c r="E5062" s="50" t="n">
        <v>3</v>
      </c>
      <c r="F5062" s="50" t="s">
        <v>2167</v>
      </c>
      <c r="G5062" s="54" t="n">
        <v>1107000</v>
      </c>
    </row>
    <row r="5063" customFormat="false" ht="15" hidden="false" customHeight="false" outlineLevel="0" collapsed="false">
      <c r="A5063" s="50" t="s">
        <v>1747</v>
      </c>
      <c r="B5063" s="51" t="n">
        <v>45965</v>
      </c>
      <c r="C5063" s="50" t="s">
        <v>382</v>
      </c>
      <c r="D5063" s="50" t="s">
        <v>2177</v>
      </c>
      <c r="E5063" s="50" t="n">
        <v>7</v>
      </c>
      <c r="F5063" s="50" t="s">
        <v>2174</v>
      </c>
      <c r="G5063" s="54" t="n">
        <v>7904400</v>
      </c>
    </row>
    <row r="5064" customFormat="false" ht="15" hidden="false" customHeight="false" outlineLevel="0" collapsed="false">
      <c r="A5064" s="50" t="s">
        <v>1747</v>
      </c>
      <c r="B5064" s="51" t="n">
        <v>45965</v>
      </c>
      <c r="C5064" s="50" t="s">
        <v>382</v>
      </c>
      <c r="D5064" s="50" t="s">
        <v>2187</v>
      </c>
      <c r="E5064" s="50" t="n">
        <v>6</v>
      </c>
      <c r="F5064" s="50" t="s">
        <v>2167</v>
      </c>
      <c r="G5064" s="54" t="n">
        <v>2026800</v>
      </c>
    </row>
    <row r="5065" customFormat="false" ht="15" hidden="false" customHeight="false" outlineLevel="0" collapsed="false">
      <c r="A5065" s="50" t="s">
        <v>1748</v>
      </c>
      <c r="B5065" s="51" t="n">
        <v>45965</v>
      </c>
      <c r="C5065" s="50" t="s">
        <v>249</v>
      </c>
      <c r="D5065" s="50" t="s">
        <v>2175</v>
      </c>
      <c r="E5065" s="50" t="n">
        <v>2</v>
      </c>
      <c r="F5065" s="50" t="s">
        <v>2167</v>
      </c>
      <c r="G5065" s="54" t="n">
        <v>1249900</v>
      </c>
    </row>
    <row r="5066" customFormat="false" ht="15" hidden="false" customHeight="false" outlineLevel="0" collapsed="false">
      <c r="A5066" s="50" t="s">
        <v>1748</v>
      </c>
      <c r="B5066" s="51" t="n">
        <v>45965</v>
      </c>
      <c r="C5066" s="50" t="s">
        <v>249</v>
      </c>
      <c r="D5066" s="50" t="s">
        <v>2186</v>
      </c>
      <c r="E5066" s="50" t="n">
        <v>5</v>
      </c>
      <c r="F5066" s="50" t="s">
        <v>2167</v>
      </c>
      <c r="G5066" s="54" t="n">
        <v>2980300</v>
      </c>
    </row>
    <row r="5067" customFormat="false" ht="15" hidden="false" customHeight="false" outlineLevel="0" collapsed="false">
      <c r="A5067" s="50" t="s">
        <v>1748</v>
      </c>
      <c r="B5067" s="51" t="n">
        <v>45965</v>
      </c>
      <c r="C5067" s="50" t="s">
        <v>249</v>
      </c>
      <c r="D5067" s="50" t="s">
        <v>2169</v>
      </c>
      <c r="E5067" s="50" t="n">
        <v>1</v>
      </c>
      <c r="F5067" s="50" t="s">
        <v>2167</v>
      </c>
      <c r="G5067" s="54" t="n">
        <v>612700</v>
      </c>
    </row>
    <row r="5068" customFormat="false" ht="15" hidden="false" customHeight="false" outlineLevel="0" collapsed="false">
      <c r="A5068" s="50" t="s">
        <v>1748</v>
      </c>
      <c r="B5068" s="51" t="n">
        <v>45965</v>
      </c>
      <c r="C5068" s="50" t="s">
        <v>249</v>
      </c>
      <c r="D5068" s="50" t="s">
        <v>2178</v>
      </c>
      <c r="E5068" s="50" t="n">
        <v>6</v>
      </c>
      <c r="F5068" s="50" t="s">
        <v>2167</v>
      </c>
      <c r="G5068" s="54" t="n">
        <v>2866000</v>
      </c>
    </row>
    <row r="5069" customFormat="false" ht="15" hidden="false" customHeight="false" outlineLevel="0" collapsed="false">
      <c r="A5069" s="50" t="s">
        <v>1749</v>
      </c>
      <c r="B5069" s="51" t="n">
        <v>45965</v>
      </c>
      <c r="C5069" s="50" t="s">
        <v>205</v>
      </c>
      <c r="D5069" s="50" t="s">
        <v>2180</v>
      </c>
      <c r="E5069" s="50" t="n">
        <v>1</v>
      </c>
      <c r="F5069" s="50" t="s">
        <v>2167</v>
      </c>
      <c r="G5069" s="54" t="n">
        <v>438500</v>
      </c>
    </row>
    <row r="5070" customFormat="false" ht="15" hidden="false" customHeight="false" outlineLevel="0" collapsed="false">
      <c r="A5070" s="50" t="s">
        <v>1749</v>
      </c>
      <c r="B5070" s="51" t="n">
        <v>45965</v>
      </c>
      <c r="C5070" s="50" t="s">
        <v>205</v>
      </c>
      <c r="D5070" s="50" t="s">
        <v>2186</v>
      </c>
      <c r="E5070" s="50" t="n">
        <v>2</v>
      </c>
      <c r="F5070" s="50" t="s">
        <v>2167</v>
      </c>
      <c r="G5070" s="54" t="n">
        <v>1176600</v>
      </c>
    </row>
    <row r="5071" customFormat="false" ht="15" hidden="false" customHeight="false" outlineLevel="0" collapsed="false">
      <c r="A5071" s="50" t="s">
        <v>1749</v>
      </c>
      <c r="B5071" s="51" t="n">
        <v>45965</v>
      </c>
      <c r="C5071" s="50" t="s">
        <v>205</v>
      </c>
      <c r="D5071" s="50" t="s">
        <v>2181</v>
      </c>
      <c r="E5071" s="50" t="n">
        <v>6</v>
      </c>
      <c r="F5071" s="50" t="s">
        <v>2167</v>
      </c>
      <c r="G5071" s="54" t="n">
        <v>6662100</v>
      </c>
    </row>
    <row r="5072" customFormat="false" ht="15" hidden="false" customHeight="false" outlineLevel="0" collapsed="false">
      <c r="A5072" s="50" t="s">
        <v>1749</v>
      </c>
      <c r="B5072" s="51" t="n">
        <v>45965</v>
      </c>
      <c r="C5072" s="50" t="s">
        <v>205</v>
      </c>
      <c r="D5072" s="50" t="s">
        <v>2179</v>
      </c>
      <c r="E5072" s="50" t="n">
        <v>3</v>
      </c>
      <c r="F5072" s="50" t="s">
        <v>2174</v>
      </c>
      <c r="G5072" s="54" t="n">
        <v>3615700</v>
      </c>
    </row>
    <row r="5073" customFormat="false" ht="15" hidden="false" customHeight="false" outlineLevel="0" collapsed="false">
      <c r="A5073" s="50" t="s">
        <v>1750</v>
      </c>
      <c r="B5073" s="51" t="n">
        <v>45965</v>
      </c>
      <c r="C5073" s="50" t="s">
        <v>289</v>
      </c>
      <c r="D5073" s="50" t="s">
        <v>2186</v>
      </c>
      <c r="E5073" s="50" t="n">
        <v>8</v>
      </c>
      <c r="F5073" s="50" t="s">
        <v>2167</v>
      </c>
      <c r="G5073" s="54" t="n">
        <v>4674900</v>
      </c>
    </row>
    <row r="5074" customFormat="false" ht="15" hidden="false" customHeight="false" outlineLevel="0" collapsed="false">
      <c r="A5074" s="50" t="s">
        <v>1750</v>
      </c>
      <c r="B5074" s="51" t="n">
        <v>45965</v>
      </c>
      <c r="C5074" s="50" t="s">
        <v>289</v>
      </c>
      <c r="D5074" s="50" t="s">
        <v>2182</v>
      </c>
      <c r="E5074" s="50" t="n">
        <v>5</v>
      </c>
      <c r="F5074" s="50" t="s">
        <v>2174</v>
      </c>
      <c r="G5074" s="54" t="n">
        <v>4745700</v>
      </c>
    </row>
    <row r="5075" customFormat="false" ht="15" hidden="false" customHeight="false" outlineLevel="0" collapsed="false">
      <c r="A5075" s="50" t="s">
        <v>1751</v>
      </c>
      <c r="B5075" s="51" t="n">
        <v>45965</v>
      </c>
      <c r="C5075" s="50" t="s">
        <v>308</v>
      </c>
      <c r="D5075" s="50" t="s">
        <v>2179</v>
      </c>
      <c r="E5075" s="50" t="n">
        <v>7</v>
      </c>
      <c r="F5075" s="50" t="s">
        <v>2174</v>
      </c>
      <c r="G5075" s="54" t="n">
        <v>8999400</v>
      </c>
    </row>
    <row r="5076" customFormat="false" ht="15" hidden="false" customHeight="false" outlineLevel="0" collapsed="false">
      <c r="A5076" s="50" t="s">
        <v>1752</v>
      </c>
      <c r="B5076" s="51" t="n">
        <v>45965</v>
      </c>
      <c r="C5076" s="50" t="s">
        <v>298</v>
      </c>
      <c r="D5076" s="50" t="s">
        <v>2179</v>
      </c>
      <c r="E5076" s="50" t="n">
        <v>2</v>
      </c>
      <c r="F5076" s="50" t="s">
        <v>2174</v>
      </c>
      <c r="G5076" s="54" t="n">
        <v>2518200</v>
      </c>
    </row>
    <row r="5077" customFormat="false" ht="15" hidden="false" customHeight="false" outlineLevel="0" collapsed="false">
      <c r="A5077" s="50" t="s">
        <v>1752</v>
      </c>
      <c r="B5077" s="51" t="n">
        <v>45965</v>
      </c>
      <c r="C5077" s="50" t="s">
        <v>298</v>
      </c>
      <c r="D5077" s="50" t="s">
        <v>2188</v>
      </c>
      <c r="E5077" s="50" t="n">
        <v>2</v>
      </c>
      <c r="F5077" s="50" t="s">
        <v>2167</v>
      </c>
      <c r="G5077" s="54" t="n">
        <v>2025400</v>
      </c>
    </row>
    <row r="5078" customFormat="false" ht="15" hidden="false" customHeight="false" outlineLevel="0" collapsed="false">
      <c r="A5078" s="50" t="s">
        <v>1752</v>
      </c>
      <c r="B5078" s="51" t="n">
        <v>45965</v>
      </c>
      <c r="C5078" s="50" t="s">
        <v>298</v>
      </c>
      <c r="D5078" s="50" t="s">
        <v>2182</v>
      </c>
      <c r="E5078" s="50" t="n">
        <v>1</v>
      </c>
      <c r="F5078" s="50" t="s">
        <v>2174</v>
      </c>
      <c r="G5078" s="54" t="n">
        <v>919000</v>
      </c>
    </row>
    <row r="5079" customFormat="false" ht="15" hidden="false" customHeight="false" outlineLevel="0" collapsed="false">
      <c r="A5079" s="50" t="s">
        <v>1753</v>
      </c>
      <c r="B5079" s="51" t="n">
        <v>45965</v>
      </c>
      <c r="C5079" s="50" t="s">
        <v>228</v>
      </c>
      <c r="D5079" s="50" t="s">
        <v>2184</v>
      </c>
      <c r="E5079" s="50" t="n">
        <v>7</v>
      </c>
      <c r="F5079" s="50" t="s">
        <v>2167</v>
      </c>
      <c r="G5079" s="54" t="n">
        <v>3903800</v>
      </c>
    </row>
    <row r="5080" customFormat="false" ht="15" hidden="false" customHeight="false" outlineLevel="0" collapsed="false">
      <c r="A5080" s="50" t="s">
        <v>1754</v>
      </c>
      <c r="B5080" s="51" t="n">
        <v>45965</v>
      </c>
      <c r="C5080" s="50" t="s">
        <v>234</v>
      </c>
      <c r="D5080" s="50" t="s">
        <v>2176</v>
      </c>
      <c r="E5080" s="50" t="n">
        <v>2</v>
      </c>
      <c r="F5080" s="50" t="s">
        <v>2167</v>
      </c>
      <c r="G5080" s="54" t="n">
        <v>856400</v>
      </c>
    </row>
    <row r="5081" customFormat="false" ht="15" hidden="false" customHeight="false" outlineLevel="0" collapsed="false">
      <c r="A5081" s="50" t="s">
        <v>1754</v>
      </c>
      <c r="B5081" s="51" t="n">
        <v>45965</v>
      </c>
      <c r="C5081" s="50" t="s">
        <v>234</v>
      </c>
      <c r="D5081" s="50" t="s">
        <v>2173</v>
      </c>
      <c r="E5081" s="50" t="n">
        <v>8</v>
      </c>
      <c r="F5081" s="50" t="s">
        <v>2174</v>
      </c>
      <c r="G5081" s="54" t="n">
        <v>6540900</v>
      </c>
    </row>
    <row r="5082" customFormat="false" ht="15" hidden="false" customHeight="false" outlineLevel="0" collapsed="false">
      <c r="A5082" s="50" t="s">
        <v>1754</v>
      </c>
      <c r="B5082" s="51" t="n">
        <v>45965</v>
      </c>
      <c r="C5082" s="50" t="s">
        <v>234</v>
      </c>
      <c r="D5082" s="50" t="s">
        <v>2186</v>
      </c>
      <c r="E5082" s="50" t="n">
        <v>5</v>
      </c>
      <c r="F5082" s="50" t="s">
        <v>2167</v>
      </c>
      <c r="G5082" s="54" t="n">
        <v>2903800</v>
      </c>
    </row>
    <row r="5083" customFormat="false" ht="15" hidden="false" customHeight="false" outlineLevel="0" collapsed="false">
      <c r="A5083" s="50" t="s">
        <v>1755</v>
      </c>
      <c r="B5083" s="51" t="n">
        <v>45965</v>
      </c>
      <c r="C5083" s="50" t="s">
        <v>640</v>
      </c>
      <c r="D5083" s="50" t="s">
        <v>2184</v>
      </c>
      <c r="E5083" s="50" t="n">
        <v>8</v>
      </c>
      <c r="F5083" s="50" t="s">
        <v>2167</v>
      </c>
      <c r="G5083" s="54" t="n">
        <v>4469100</v>
      </c>
    </row>
    <row r="5084" customFormat="false" ht="15" hidden="false" customHeight="false" outlineLevel="0" collapsed="false">
      <c r="A5084" s="50" t="s">
        <v>1755</v>
      </c>
      <c r="B5084" s="51" t="n">
        <v>45965</v>
      </c>
      <c r="C5084" s="50" t="s">
        <v>640</v>
      </c>
      <c r="D5084" s="50" t="s">
        <v>2175</v>
      </c>
      <c r="E5084" s="50" t="n">
        <v>1</v>
      </c>
      <c r="F5084" s="50" t="s">
        <v>2167</v>
      </c>
      <c r="G5084" s="54" t="n">
        <v>636400</v>
      </c>
    </row>
    <row r="5085" customFormat="false" ht="15" hidden="false" customHeight="false" outlineLevel="0" collapsed="false">
      <c r="A5085" s="50" t="s">
        <v>1755</v>
      </c>
      <c r="B5085" s="51" t="n">
        <v>45965</v>
      </c>
      <c r="C5085" s="50" t="s">
        <v>640</v>
      </c>
      <c r="D5085" s="50" t="s">
        <v>2180</v>
      </c>
      <c r="E5085" s="50" t="n">
        <v>8</v>
      </c>
      <c r="F5085" s="50" t="s">
        <v>2167</v>
      </c>
      <c r="G5085" s="54" t="n">
        <v>3705100</v>
      </c>
    </row>
    <row r="5086" customFormat="false" ht="15" hidden="false" customHeight="false" outlineLevel="0" collapsed="false">
      <c r="A5086" s="50" t="s">
        <v>1755</v>
      </c>
      <c r="B5086" s="51" t="n">
        <v>45965</v>
      </c>
      <c r="C5086" s="50" t="s">
        <v>640</v>
      </c>
      <c r="D5086" s="50" t="s">
        <v>2166</v>
      </c>
      <c r="E5086" s="50" t="n">
        <v>7</v>
      </c>
      <c r="F5086" s="50" t="s">
        <v>2167</v>
      </c>
      <c r="G5086" s="54" t="n">
        <v>3733600</v>
      </c>
    </row>
    <row r="5087" customFormat="false" ht="15" hidden="false" customHeight="false" outlineLevel="0" collapsed="false">
      <c r="A5087" s="50" t="s">
        <v>1755</v>
      </c>
      <c r="B5087" s="51" t="n">
        <v>45965</v>
      </c>
      <c r="C5087" s="50" t="s">
        <v>640</v>
      </c>
      <c r="D5087" s="50" t="s">
        <v>2187</v>
      </c>
      <c r="E5087" s="50" t="n">
        <v>2</v>
      </c>
      <c r="F5087" s="50" t="s">
        <v>2167</v>
      </c>
      <c r="G5087" s="54" t="n">
        <v>707600</v>
      </c>
    </row>
    <row r="5088" customFormat="false" ht="15" hidden="false" customHeight="false" outlineLevel="0" collapsed="false">
      <c r="A5088" s="50" t="s">
        <v>1755</v>
      </c>
      <c r="B5088" s="51" t="n">
        <v>45965</v>
      </c>
      <c r="C5088" s="50" t="s">
        <v>640</v>
      </c>
      <c r="D5088" s="50" t="s">
        <v>2178</v>
      </c>
      <c r="E5088" s="50" t="n">
        <v>6</v>
      </c>
      <c r="F5088" s="50" t="s">
        <v>2167</v>
      </c>
      <c r="G5088" s="54" t="n">
        <v>2899200</v>
      </c>
    </row>
    <row r="5089" customFormat="false" ht="15" hidden="false" customHeight="false" outlineLevel="0" collapsed="false">
      <c r="A5089" s="50" t="s">
        <v>1755</v>
      </c>
      <c r="B5089" s="51" t="n">
        <v>45965</v>
      </c>
      <c r="C5089" s="50" t="s">
        <v>640</v>
      </c>
      <c r="D5089" s="50" t="s">
        <v>2169</v>
      </c>
      <c r="E5089" s="50" t="n">
        <v>3</v>
      </c>
      <c r="F5089" s="50" t="s">
        <v>2167</v>
      </c>
      <c r="G5089" s="54" t="n">
        <v>1793200</v>
      </c>
    </row>
    <row r="5090" customFormat="false" ht="15" hidden="false" customHeight="false" outlineLevel="0" collapsed="false">
      <c r="A5090" s="50" t="s">
        <v>1756</v>
      </c>
      <c r="B5090" s="51" t="n">
        <v>45966</v>
      </c>
      <c r="C5090" s="50" t="s">
        <v>205</v>
      </c>
      <c r="D5090" s="50" t="s">
        <v>2172</v>
      </c>
      <c r="E5090" s="50" t="n">
        <v>2</v>
      </c>
      <c r="F5090" s="50" t="s">
        <v>2167</v>
      </c>
      <c r="G5090" s="54" t="n">
        <v>1030300</v>
      </c>
    </row>
    <row r="5091" customFormat="false" ht="15" hidden="false" customHeight="false" outlineLevel="0" collapsed="false">
      <c r="A5091" s="50" t="s">
        <v>1756</v>
      </c>
      <c r="B5091" s="51" t="n">
        <v>45966</v>
      </c>
      <c r="C5091" s="50" t="s">
        <v>205</v>
      </c>
      <c r="D5091" s="50" t="s">
        <v>2179</v>
      </c>
      <c r="E5091" s="50" t="n">
        <v>1</v>
      </c>
      <c r="F5091" s="50" t="s">
        <v>2174</v>
      </c>
      <c r="G5091" s="54" t="n">
        <v>1257900</v>
      </c>
    </row>
    <row r="5092" customFormat="false" ht="15" hidden="false" customHeight="false" outlineLevel="0" collapsed="false">
      <c r="A5092" s="50" t="s">
        <v>1756</v>
      </c>
      <c r="B5092" s="51" t="n">
        <v>45966</v>
      </c>
      <c r="C5092" s="50" t="s">
        <v>205</v>
      </c>
      <c r="D5092" s="50" t="s">
        <v>2168</v>
      </c>
      <c r="E5092" s="50" t="n">
        <v>7</v>
      </c>
      <c r="F5092" s="50" t="s">
        <v>2167</v>
      </c>
      <c r="G5092" s="54" t="n">
        <v>3026400</v>
      </c>
    </row>
    <row r="5093" customFormat="false" ht="15" hidden="false" customHeight="false" outlineLevel="0" collapsed="false">
      <c r="A5093" s="50" t="s">
        <v>1756</v>
      </c>
      <c r="B5093" s="51" t="n">
        <v>45966</v>
      </c>
      <c r="C5093" s="50" t="s">
        <v>205</v>
      </c>
      <c r="D5093" s="50" t="s">
        <v>2181</v>
      </c>
      <c r="E5093" s="50" t="n">
        <v>2</v>
      </c>
      <c r="F5093" s="50" t="s">
        <v>2167</v>
      </c>
      <c r="G5093" s="54" t="n">
        <v>2229600</v>
      </c>
    </row>
    <row r="5094" customFormat="false" ht="15" hidden="false" customHeight="false" outlineLevel="0" collapsed="false">
      <c r="A5094" s="50" t="s">
        <v>1757</v>
      </c>
      <c r="B5094" s="51" t="n">
        <v>45966</v>
      </c>
      <c r="C5094" s="50" t="s">
        <v>199</v>
      </c>
      <c r="D5094" s="50" t="s">
        <v>2183</v>
      </c>
      <c r="E5094" s="50" t="n">
        <v>2</v>
      </c>
      <c r="F5094" s="50" t="s">
        <v>2167</v>
      </c>
      <c r="G5094" s="54" t="n">
        <v>754700</v>
      </c>
    </row>
    <row r="5095" customFormat="false" ht="15" hidden="false" customHeight="false" outlineLevel="0" collapsed="false">
      <c r="A5095" s="50" t="s">
        <v>1757</v>
      </c>
      <c r="B5095" s="51" t="n">
        <v>45966</v>
      </c>
      <c r="C5095" s="50" t="s">
        <v>199</v>
      </c>
      <c r="D5095" s="50" t="s">
        <v>2178</v>
      </c>
      <c r="E5095" s="50" t="n">
        <v>6</v>
      </c>
      <c r="F5095" s="50" t="s">
        <v>2167</v>
      </c>
      <c r="G5095" s="54" t="n">
        <v>2875400</v>
      </c>
    </row>
    <row r="5096" customFormat="false" ht="15" hidden="false" customHeight="false" outlineLevel="0" collapsed="false">
      <c r="A5096" s="50" t="s">
        <v>1757</v>
      </c>
      <c r="B5096" s="51" t="n">
        <v>45966</v>
      </c>
      <c r="C5096" s="50" t="s">
        <v>199</v>
      </c>
      <c r="D5096" s="50" t="s">
        <v>2166</v>
      </c>
      <c r="E5096" s="50" t="n">
        <v>4</v>
      </c>
      <c r="F5096" s="50" t="s">
        <v>2167</v>
      </c>
      <c r="G5096" s="54" t="n">
        <v>2156700</v>
      </c>
    </row>
    <row r="5097" customFormat="false" ht="15" hidden="false" customHeight="false" outlineLevel="0" collapsed="false">
      <c r="A5097" s="50" t="s">
        <v>1758</v>
      </c>
      <c r="B5097" s="51" t="n">
        <v>45966</v>
      </c>
      <c r="C5097" s="50" t="s">
        <v>491</v>
      </c>
      <c r="D5097" s="50" t="s">
        <v>2177</v>
      </c>
      <c r="E5097" s="50" t="n">
        <v>8</v>
      </c>
      <c r="F5097" s="50" t="s">
        <v>2174</v>
      </c>
      <c r="G5097" s="54" t="n">
        <v>8997300</v>
      </c>
    </row>
    <row r="5098" customFormat="false" ht="15" hidden="false" customHeight="false" outlineLevel="0" collapsed="false">
      <c r="A5098" s="50" t="s">
        <v>1758</v>
      </c>
      <c r="B5098" s="51" t="n">
        <v>45966</v>
      </c>
      <c r="C5098" s="50" t="s">
        <v>491</v>
      </c>
      <c r="D5098" s="50" t="s">
        <v>2181</v>
      </c>
      <c r="E5098" s="50" t="n">
        <v>4</v>
      </c>
      <c r="F5098" s="50" t="s">
        <v>2167</v>
      </c>
      <c r="G5098" s="54" t="n">
        <v>4446400</v>
      </c>
    </row>
    <row r="5099" customFormat="false" ht="15" hidden="false" customHeight="false" outlineLevel="0" collapsed="false">
      <c r="A5099" s="50" t="s">
        <v>1758</v>
      </c>
      <c r="B5099" s="51" t="n">
        <v>45966</v>
      </c>
      <c r="C5099" s="50" t="s">
        <v>491</v>
      </c>
      <c r="D5099" s="50" t="s">
        <v>2186</v>
      </c>
      <c r="E5099" s="50" t="n">
        <v>6</v>
      </c>
      <c r="F5099" s="50" t="s">
        <v>2167</v>
      </c>
      <c r="G5099" s="54" t="n">
        <v>3445600</v>
      </c>
    </row>
    <row r="5100" customFormat="false" ht="15" hidden="false" customHeight="false" outlineLevel="0" collapsed="false">
      <c r="A5100" s="50" t="s">
        <v>1758</v>
      </c>
      <c r="B5100" s="51" t="n">
        <v>45966</v>
      </c>
      <c r="C5100" s="50" t="s">
        <v>491</v>
      </c>
      <c r="D5100" s="50" t="s">
        <v>2183</v>
      </c>
      <c r="E5100" s="50" t="n">
        <v>3</v>
      </c>
      <c r="F5100" s="50" t="s">
        <v>2167</v>
      </c>
      <c r="G5100" s="54" t="n">
        <v>1171600</v>
      </c>
    </row>
    <row r="5101" customFormat="false" ht="15" hidden="false" customHeight="false" outlineLevel="0" collapsed="false">
      <c r="A5101" s="50" t="s">
        <v>1758</v>
      </c>
      <c r="B5101" s="51" t="n">
        <v>45966</v>
      </c>
      <c r="C5101" s="50" t="s">
        <v>491</v>
      </c>
      <c r="D5101" s="50" t="s">
        <v>2178</v>
      </c>
      <c r="E5101" s="50" t="n">
        <v>1</v>
      </c>
      <c r="F5101" s="50" t="s">
        <v>2167</v>
      </c>
      <c r="G5101" s="54" t="n">
        <v>495900</v>
      </c>
    </row>
    <row r="5102" customFormat="false" ht="15" hidden="false" customHeight="false" outlineLevel="0" collapsed="false">
      <c r="A5102" s="50" t="s">
        <v>1759</v>
      </c>
      <c r="B5102" s="51" t="n">
        <v>45967</v>
      </c>
      <c r="C5102" s="50" t="s">
        <v>269</v>
      </c>
      <c r="D5102" s="50" t="s">
        <v>2179</v>
      </c>
      <c r="E5102" s="50" t="n">
        <v>7</v>
      </c>
      <c r="F5102" s="50" t="s">
        <v>2174</v>
      </c>
      <c r="G5102" s="54" t="n">
        <v>9039900</v>
      </c>
    </row>
    <row r="5103" customFormat="false" ht="15" hidden="false" customHeight="false" outlineLevel="0" collapsed="false">
      <c r="A5103" s="50" t="s">
        <v>1759</v>
      </c>
      <c r="B5103" s="51" t="n">
        <v>45967</v>
      </c>
      <c r="C5103" s="50" t="s">
        <v>269</v>
      </c>
      <c r="D5103" s="50" t="s">
        <v>2181</v>
      </c>
      <c r="E5103" s="50" t="n">
        <v>8</v>
      </c>
      <c r="F5103" s="50" t="s">
        <v>2167</v>
      </c>
      <c r="G5103" s="54" t="n">
        <v>9037300</v>
      </c>
    </row>
    <row r="5104" customFormat="false" ht="15" hidden="false" customHeight="false" outlineLevel="0" collapsed="false">
      <c r="A5104" s="50" t="s">
        <v>1760</v>
      </c>
      <c r="B5104" s="51" t="n">
        <v>45967</v>
      </c>
      <c r="C5104" s="50" t="s">
        <v>566</v>
      </c>
      <c r="D5104" s="50" t="s">
        <v>2166</v>
      </c>
      <c r="E5104" s="50" t="n">
        <v>8</v>
      </c>
      <c r="F5104" s="50" t="s">
        <v>2167</v>
      </c>
      <c r="G5104" s="54" t="n">
        <v>4297500</v>
      </c>
    </row>
    <row r="5105" customFormat="false" ht="15" hidden="false" customHeight="false" outlineLevel="0" collapsed="false">
      <c r="A5105" s="50" t="s">
        <v>1760</v>
      </c>
      <c r="B5105" s="51" t="n">
        <v>45967</v>
      </c>
      <c r="C5105" s="50" t="s">
        <v>566</v>
      </c>
      <c r="D5105" s="50" t="s">
        <v>2180</v>
      </c>
      <c r="E5105" s="50" t="n">
        <v>3</v>
      </c>
      <c r="F5105" s="50" t="s">
        <v>2167</v>
      </c>
      <c r="G5105" s="54" t="n">
        <v>1341400</v>
      </c>
    </row>
    <row r="5106" customFormat="false" ht="15" hidden="false" customHeight="false" outlineLevel="0" collapsed="false">
      <c r="A5106" s="50" t="s">
        <v>1760</v>
      </c>
      <c r="B5106" s="51" t="n">
        <v>45967</v>
      </c>
      <c r="C5106" s="50" t="s">
        <v>566</v>
      </c>
      <c r="D5106" s="50" t="s">
        <v>2176</v>
      </c>
      <c r="E5106" s="50" t="n">
        <v>1</v>
      </c>
      <c r="F5106" s="50" t="s">
        <v>2167</v>
      </c>
      <c r="G5106" s="54" t="n">
        <v>426300</v>
      </c>
    </row>
    <row r="5107" customFormat="false" ht="15" hidden="false" customHeight="false" outlineLevel="0" collapsed="false">
      <c r="A5107" s="50" t="s">
        <v>1761</v>
      </c>
      <c r="B5107" s="51" t="n">
        <v>45967</v>
      </c>
      <c r="C5107" s="50" t="s">
        <v>166</v>
      </c>
      <c r="D5107" s="50" t="s">
        <v>2178</v>
      </c>
      <c r="E5107" s="50" t="n">
        <v>1</v>
      </c>
      <c r="F5107" s="50" t="s">
        <v>2167</v>
      </c>
      <c r="G5107" s="54" t="n">
        <v>498100</v>
      </c>
    </row>
    <row r="5108" customFormat="false" ht="15" hidden="false" customHeight="false" outlineLevel="0" collapsed="false">
      <c r="A5108" s="50" t="s">
        <v>1761</v>
      </c>
      <c r="B5108" s="51" t="n">
        <v>45967</v>
      </c>
      <c r="C5108" s="50" t="s">
        <v>166</v>
      </c>
      <c r="D5108" s="50" t="s">
        <v>2176</v>
      </c>
      <c r="E5108" s="50" t="n">
        <v>5</v>
      </c>
      <c r="F5108" s="50" t="s">
        <v>2167</v>
      </c>
      <c r="G5108" s="54" t="n">
        <v>2054900</v>
      </c>
    </row>
    <row r="5109" customFormat="false" ht="15" hidden="false" customHeight="false" outlineLevel="0" collapsed="false">
      <c r="A5109" s="50" t="s">
        <v>1762</v>
      </c>
      <c r="B5109" s="51" t="n">
        <v>45967</v>
      </c>
      <c r="C5109" s="50" t="s">
        <v>469</v>
      </c>
      <c r="D5109" s="50" t="s">
        <v>2186</v>
      </c>
      <c r="E5109" s="50" t="n">
        <v>3</v>
      </c>
      <c r="F5109" s="50" t="s">
        <v>2167</v>
      </c>
      <c r="G5109" s="54" t="n">
        <v>1756500</v>
      </c>
    </row>
    <row r="5110" customFormat="false" ht="15" hidden="false" customHeight="false" outlineLevel="0" collapsed="false">
      <c r="A5110" s="50" t="s">
        <v>1762</v>
      </c>
      <c r="B5110" s="51" t="n">
        <v>45967</v>
      </c>
      <c r="C5110" s="50" t="s">
        <v>469</v>
      </c>
      <c r="D5110" s="50" t="s">
        <v>2176</v>
      </c>
      <c r="E5110" s="50" t="n">
        <v>2</v>
      </c>
      <c r="F5110" s="50" t="s">
        <v>2167</v>
      </c>
      <c r="G5110" s="54" t="n">
        <v>856900</v>
      </c>
    </row>
    <row r="5111" customFormat="false" ht="15" hidden="false" customHeight="false" outlineLevel="0" collapsed="false">
      <c r="A5111" s="50" t="s">
        <v>1762</v>
      </c>
      <c r="B5111" s="51" t="n">
        <v>45967</v>
      </c>
      <c r="C5111" s="50" t="s">
        <v>469</v>
      </c>
      <c r="D5111" s="50" t="s">
        <v>2182</v>
      </c>
      <c r="E5111" s="50" t="n">
        <v>1</v>
      </c>
      <c r="F5111" s="50" t="s">
        <v>2174</v>
      </c>
      <c r="G5111" s="54" t="n">
        <v>930300</v>
      </c>
    </row>
    <row r="5112" customFormat="false" ht="15" hidden="false" customHeight="false" outlineLevel="0" collapsed="false">
      <c r="A5112" s="50" t="s">
        <v>1762</v>
      </c>
      <c r="B5112" s="51" t="n">
        <v>45967</v>
      </c>
      <c r="C5112" s="50" t="s">
        <v>469</v>
      </c>
      <c r="D5112" s="50" t="s">
        <v>2188</v>
      </c>
      <c r="E5112" s="50" t="n">
        <v>8</v>
      </c>
      <c r="F5112" s="50" t="s">
        <v>2167</v>
      </c>
      <c r="G5112" s="54" t="n">
        <v>7614900</v>
      </c>
    </row>
    <row r="5113" customFormat="false" ht="15" hidden="false" customHeight="false" outlineLevel="0" collapsed="false">
      <c r="A5113" s="50" t="s">
        <v>1763</v>
      </c>
      <c r="B5113" s="51" t="n">
        <v>45967</v>
      </c>
      <c r="C5113" s="50" t="s">
        <v>369</v>
      </c>
      <c r="D5113" s="50" t="s">
        <v>2187</v>
      </c>
      <c r="E5113" s="50" t="n">
        <v>6</v>
      </c>
      <c r="F5113" s="50" t="s">
        <v>2167</v>
      </c>
      <c r="G5113" s="54" t="n">
        <v>2058000</v>
      </c>
    </row>
    <row r="5114" customFormat="false" ht="15" hidden="false" customHeight="false" outlineLevel="0" collapsed="false">
      <c r="A5114" s="50" t="s">
        <v>1763</v>
      </c>
      <c r="B5114" s="51" t="n">
        <v>45967</v>
      </c>
      <c r="C5114" s="50" t="s">
        <v>369</v>
      </c>
      <c r="D5114" s="50" t="s">
        <v>2185</v>
      </c>
      <c r="E5114" s="50" t="n">
        <v>1</v>
      </c>
      <c r="F5114" s="50" t="s">
        <v>2174</v>
      </c>
      <c r="G5114" s="54" t="n">
        <v>759600</v>
      </c>
    </row>
    <row r="5115" customFormat="false" ht="15" hidden="false" customHeight="false" outlineLevel="0" collapsed="false">
      <c r="A5115" s="50" t="s">
        <v>1763</v>
      </c>
      <c r="B5115" s="51" t="n">
        <v>45967</v>
      </c>
      <c r="C5115" s="50" t="s">
        <v>369</v>
      </c>
      <c r="D5115" s="50" t="s">
        <v>2179</v>
      </c>
      <c r="E5115" s="50" t="n">
        <v>7</v>
      </c>
      <c r="F5115" s="50" t="s">
        <v>2174</v>
      </c>
      <c r="G5115" s="54" t="n">
        <v>9003900</v>
      </c>
    </row>
    <row r="5116" customFormat="false" ht="15" hidden="false" customHeight="false" outlineLevel="0" collapsed="false">
      <c r="A5116" s="50" t="s">
        <v>1764</v>
      </c>
      <c r="B5116" s="51" t="n">
        <v>45967</v>
      </c>
      <c r="C5116" s="50" t="s">
        <v>216</v>
      </c>
      <c r="D5116" s="50" t="s">
        <v>2186</v>
      </c>
      <c r="E5116" s="50" t="n">
        <v>4</v>
      </c>
      <c r="F5116" s="50" t="s">
        <v>2167</v>
      </c>
      <c r="G5116" s="54" t="n">
        <v>2429200</v>
      </c>
    </row>
    <row r="5117" customFormat="false" ht="15" hidden="false" customHeight="false" outlineLevel="0" collapsed="false">
      <c r="A5117" s="50" t="s">
        <v>1765</v>
      </c>
      <c r="B5117" s="51" t="n">
        <v>45967</v>
      </c>
      <c r="C5117" s="50" t="s">
        <v>382</v>
      </c>
      <c r="D5117" s="50" t="s">
        <v>2179</v>
      </c>
      <c r="E5117" s="50" t="n">
        <v>4</v>
      </c>
      <c r="F5117" s="50" t="s">
        <v>2174</v>
      </c>
      <c r="G5117" s="54" t="n">
        <v>5189600</v>
      </c>
    </row>
    <row r="5118" customFormat="false" ht="15" hidden="false" customHeight="false" outlineLevel="0" collapsed="false">
      <c r="A5118" s="50" t="s">
        <v>1765</v>
      </c>
      <c r="B5118" s="51" t="n">
        <v>45967</v>
      </c>
      <c r="C5118" s="50" t="s">
        <v>382</v>
      </c>
      <c r="D5118" s="50" t="s">
        <v>2186</v>
      </c>
      <c r="E5118" s="50" t="n">
        <v>2</v>
      </c>
      <c r="F5118" s="50" t="s">
        <v>2167</v>
      </c>
      <c r="G5118" s="54" t="n">
        <v>1169700</v>
      </c>
    </row>
    <row r="5119" customFormat="false" ht="15" hidden="false" customHeight="false" outlineLevel="0" collapsed="false">
      <c r="A5119" s="50" t="s">
        <v>1765</v>
      </c>
      <c r="B5119" s="51" t="n">
        <v>45967</v>
      </c>
      <c r="C5119" s="50" t="s">
        <v>382</v>
      </c>
      <c r="D5119" s="50" t="s">
        <v>2175</v>
      </c>
      <c r="E5119" s="50" t="n">
        <v>3</v>
      </c>
      <c r="F5119" s="50" t="s">
        <v>2167</v>
      </c>
      <c r="G5119" s="54" t="n">
        <v>1895200</v>
      </c>
    </row>
    <row r="5120" customFormat="false" ht="15" hidden="false" customHeight="false" outlineLevel="0" collapsed="false">
      <c r="A5120" s="50" t="s">
        <v>1766</v>
      </c>
      <c r="B5120" s="51" t="n">
        <v>45967</v>
      </c>
      <c r="C5120" s="50" t="s">
        <v>416</v>
      </c>
      <c r="D5120" s="50" t="s">
        <v>2172</v>
      </c>
      <c r="E5120" s="50" t="n">
        <v>4</v>
      </c>
      <c r="F5120" s="50" t="s">
        <v>2167</v>
      </c>
      <c r="G5120" s="54" t="n">
        <v>2088000</v>
      </c>
    </row>
    <row r="5121" customFormat="false" ht="15" hidden="false" customHeight="false" outlineLevel="0" collapsed="false">
      <c r="A5121" s="50" t="s">
        <v>1766</v>
      </c>
      <c r="B5121" s="51" t="n">
        <v>45967</v>
      </c>
      <c r="C5121" s="50" t="s">
        <v>416</v>
      </c>
      <c r="D5121" s="50" t="s">
        <v>2178</v>
      </c>
      <c r="E5121" s="50" t="n">
        <v>2</v>
      </c>
      <c r="F5121" s="50" t="s">
        <v>2167</v>
      </c>
      <c r="G5121" s="54" t="n">
        <v>928200</v>
      </c>
    </row>
    <row r="5122" customFormat="false" ht="15" hidden="false" customHeight="false" outlineLevel="0" collapsed="false">
      <c r="A5122" s="50" t="s">
        <v>1766</v>
      </c>
      <c r="B5122" s="51" t="n">
        <v>45967</v>
      </c>
      <c r="C5122" s="50" t="s">
        <v>416</v>
      </c>
      <c r="D5122" s="50" t="s">
        <v>2181</v>
      </c>
      <c r="E5122" s="50" t="n">
        <v>5</v>
      </c>
      <c r="F5122" s="50" t="s">
        <v>2167</v>
      </c>
      <c r="G5122" s="54" t="n">
        <v>5644800</v>
      </c>
    </row>
    <row r="5123" customFormat="false" ht="15" hidden="false" customHeight="false" outlineLevel="0" collapsed="false">
      <c r="A5123" s="50" t="s">
        <v>1767</v>
      </c>
      <c r="B5123" s="51" t="n">
        <v>45968</v>
      </c>
      <c r="C5123" s="50" t="s">
        <v>289</v>
      </c>
      <c r="D5123" s="50" t="s">
        <v>2188</v>
      </c>
      <c r="E5123" s="50" t="n">
        <v>6</v>
      </c>
      <c r="F5123" s="50" t="s">
        <v>2167</v>
      </c>
      <c r="G5123" s="54" t="n">
        <v>5963000</v>
      </c>
    </row>
    <row r="5124" customFormat="false" ht="15" hidden="false" customHeight="false" outlineLevel="0" collapsed="false">
      <c r="A5124" s="50" t="s">
        <v>1767</v>
      </c>
      <c r="B5124" s="51" t="n">
        <v>45968</v>
      </c>
      <c r="C5124" s="50" t="s">
        <v>289</v>
      </c>
      <c r="D5124" s="50" t="s">
        <v>2178</v>
      </c>
      <c r="E5124" s="50" t="n">
        <v>4</v>
      </c>
      <c r="F5124" s="50" t="s">
        <v>2167</v>
      </c>
      <c r="G5124" s="54" t="n">
        <v>1983400</v>
      </c>
    </row>
    <row r="5125" customFormat="false" ht="15" hidden="false" customHeight="false" outlineLevel="0" collapsed="false">
      <c r="A5125" s="50" t="s">
        <v>1768</v>
      </c>
      <c r="B5125" s="51" t="n">
        <v>45968</v>
      </c>
      <c r="C5125" s="50" t="s">
        <v>168</v>
      </c>
      <c r="D5125" s="50" t="s">
        <v>2181</v>
      </c>
      <c r="E5125" s="50" t="n">
        <v>8</v>
      </c>
      <c r="F5125" s="50" t="s">
        <v>2167</v>
      </c>
      <c r="G5125" s="54" t="n">
        <v>8872600</v>
      </c>
    </row>
    <row r="5126" customFormat="false" ht="15" hidden="false" customHeight="false" outlineLevel="0" collapsed="false">
      <c r="A5126" s="50" t="s">
        <v>1768</v>
      </c>
      <c r="B5126" s="51" t="n">
        <v>45968</v>
      </c>
      <c r="C5126" s="50" t="s">
        <v>168</v>
      </c>
      <c r="D5126" s="50" t="s">
        <v>2180</v>
      </c>
      <c r="E5126" s="50" t="n">
        <v>5</v>
      </c>
      <c r="F5126" s="50" t="s">
        <v>2167</v>
      </c>
      <c r="G5126" s="54" t="n">
        <v>2303700</v>
      </c>
    </row>
    <row r="5127" customFormat="false" ht="15" hidden="false" customHeight="false" outlineLevel="0" collapsed="false">
      <c r="A5127" s="50" t="s">
        <v>1768</v>
      </c>
      <c r="B5127" s="51" t="n">
        <v>45968</v>
      </c>
      <c r="C5127" s="50" t="s">
        <v>168</v>
      </c>
      <c r="D5127" s="50" t="s">
        <v>2168</v>
      </c>
      <c r="E5127" s="50" t="n">
        <v>1</v>
      </c>
      <c r="F5127" s="50" t="s">
        <v>2167</v>
      </c>
      <c r="G5127" s="54" t="n">
        <v>423900</v>
      </c>
    </row>
    <row r="5128" customFormat="false" ht="15" hidden="false" customHeight="false" outlineLevel="0" collapsed="false">
      <c r="A5128" s="50" t="s">
        <v>1768</v>
      </c>
      <c r="B5128" s="51" t="n">
        <v>45968</v>
      </c>
      <c r="C5128" s="50" t="s">
        <v>168</v>
      </c>
      <c r="D5128" s="50" t="s">
        <v>2172</v>
      </c>
      <c r="E5128" s="50" t="n">
        <v>8</v>
      </c>
      <c r="F5128" s="50" t="s">
        <v>2167</v>
      </c>
      <c r="G5128" s="54" t="n">
        <v>4085000</v>
      </c>
    </row>
    <row r="5129" customFormat="false" ht="15" hidden="false" customHeight="false" outlineLevel="0" collapsed="false">
      <c r="A5129" s="50" t="s">
        <v>1768</v>
      </c>
      <c r="B5129" s="51" t="n">
        <v>45968</v>
      </c>
      <c r="C5129" s="50" t="s">
        <v>168</v>
      </c>
      <c r="D5129" s="50" t="s">
        <v>2186</v>
      </c>
      <c r="E5129" s="50" t="n">
        <v>3</v>
      </c>
      <c r="F5129" s="50" t="s">
        <v>2167</v>
      </c>
      <c r="G5129" s="54" t="n">
        <v>1830400</v>
      </c>
    </row>
    <row r="5130" customFormat="false" ht="15" hidden="false" customHeight="false" outlineLevel="0" collapsed="false">
      <c r="A5130" s="50" t="s">
        <v>1769</v>
      </c>
      <c r="B5130" s="51" t="n">
        <v>45969</v>
      </c>
      <c r="C5130" s="50" t="s">
        <v>177</v>
      </c>
      <c r="D5130" s="50" t="s">
        <v>2178</v>
      </c>
      <c r="E5130" s="50" t="n">
        <v>6</v>
      </c>
      <c r="F5130" s="50" t="s">
        <v>2167</v>
      </c>
      <c r="G5130" s="54" t="n">
        <v>2954300</v>
      </c>
    </row>
    <row r="5131" customFormat="false" ht="15" hidden="false" customHeight="false" outlineLevel="0" collapsed="false">
      <c r="A5131" s="50" t="s">
        <v>1769</v>
      </c>
      <c r="B5131" s="51" t="n">
        <v>45969</v>
      </c>
      <c r="C5131" s="50" t="s">
        <v>177</v>
      </c>
      <c r="D5131" s="50" t="s">
        <v>2181</v>
      </c>
      <c r="E5131" s="50" t="n">
        <v>5</v>
      </c>
      <c r="F5131" s="50" t="s">
        <v>2167</v>
      </c>
      <c r="G5131" s="54" t="n">
        <v>5845900</v>
      </c>
    </row>
    <row r="5132" customFormat="false" ht="15" hidden="false" customHeight="false" outlineLevel="0" collapsed="false">
      <c r="A5132" s="50" t="s">
        <v>1769</v>
      </c>
      <c r="B5132" s="51" t="n">
        <v>45969</v>
      </c>
      <c r="C5132" s="50" t="s">
        <v>177</v>
      </c>
      <c r="D5132" s="50" t="s">
        <v>2176</v>
      </c>
      <c r="E5132" s="50" t="n">
        <v>3</v>
      </c>
      <c r="F5132" s="50" t="s">
        <v>2167</v>
      </c>
      <c r="G5132" s="54" t="n">
        <v>1229600</v>
      </c>
    </row>
    <row r="5133" customFormat="false" ht="15" hidden="false" customHeight="false" outlineLevel="0" collapsed="false">
      <c r="A5133" s="50" t="s">
        <v>1769</v>
      </c>
      <c r="B5133" s="51" t="n">
        <v>45969</v>
      </c>
      <c r="C5133" s="50" t="s">
        <v>177</v>
      </c>
      <c r="D5133" s="50" t="s">
        <v>2169</v>
      </c>
      <c r="E5133" s="50" t="n">
        <v>8</v>
      </c>
      <c r="F5133" s="50" t="s">
        <v>2167</v>
      </c>
      <c r="G5133" s="54" t="n">
        <v>4826300</v>
      </c>
    </row>
    <row r="5134" customFormat="false" ht="15" hidden="false" customHeight="false" outlineLevel="0" collapsed="false">
      <c r="A5134" s="50" t="s">
        <v>1769</v>
      </c>
      <c r="B5134" s="51" t="n">
        <v>45969</v>
      </c>
      <c r="C5134" s="50" t="s">
        <v>177</v>
      </c>
      <c r="D5134" s="50" t="s">
        <v>2188</v>
      </c>
      <c r="E5134" s="50" t="n">
        <v>5</v>
      </c>
      <c r="F5134" s="50" t="s">
        <v>2167</v>
      </c>
      <c r="G5134" s="54" t="n">
        <v>4942000</v>
      </c>
    </row>
    <row r="5135" customFormat="false" ht="15" hidden="false" customHeight="false" outlineLevel="0" collapsed="false">
      <c r="A5135" s="50" t="s">
        <v>1769</v>
      </c>
      <c r="B5135" s="51" t="n">
        <v>45969</v>
      </c>
      <c r="C5135" s="50" t="s">
        <v>177</v>
      </c>
      <c r="D5135" s="50" t="s">
        <v>2182</v>
      </c>
      <c r="E5135" s="50" t="n">
        <v>4</v>
      </c>
      <c r="F5135" s="50" t="s">
        <v>2174</v>
      </c>
      <c r="G5135" s="54" t="n">
        <v>3745700</v>
      </c>
    </row>
    <row r="5136" customFormat="false" ht="15" hidden="false" customHeight="false" outlineLevel="0" collapsed="false">
      <c r="A5136" s="50" t="s">
        <v>1770</v>
      </c>
      <c r="B5136" s="51" t="n">
        <v>45969</v>
      </c>
      <c r="C5136" s="50" t="s">
        <v>188</v>
      </c>
      <c r="D5136" s="50" t="s">
        <v>2181</v>
      </c>
      <c r="E5136" s="50" t="n">
        <v>3</v>
      </c>
      <c r="F5136" s="50" t="s">
        <v>2167</v>
      </c>
      <c r="G5136" s="54" t="n">
        <v>3363600</v>
      </c>
    </row>
    <row r="5137" customFormat="false" ht="15" hidden="false" customHeight="false" outlineLevel="0" collapsed="false">
      <c r="A5137" s="50" t="s">
        <v>1770</v>
      </c>
      <c r="B5137" s="51" t="n">
        <v>45969</v>
      </c>
      <c r="C5137" s="50" t="s">
        <v>188</v>
      </c>
      <c r="D5137" s="50" t="s">
        <v>2185</v>
      </c>
      <c r="E5137" s="50" t="n">
        <v>8</v>
      </c>
      <c r="F5137" s="50" t="s">
        <v>2174</v>
      </c>
      <c r="G5137" s="54" t="n">
        <v>6428500</v>
      </c>
    </row>
    <row r="5138" customFormat="false" ht="15" hidden="false" customHeight="false" outlineLevel="0" collapsed="false">
      <c r="A5138" s="50" t="s">
        <v>1770</v>
      </c>
      <c r="B5138" s="51" t="n">
        <v>45969</v>
      </c>
      <c r="C5138" s="50" t="s">
        <v>188</v>
      </c>
      <c r="D5138" s="50" t="s">
        <v>2169</v>
      </c>
      <c r="E5138" s="50" t="n">
        <v>3</v>
      </c>
      <c r="F5138" s="50" t="s">
        <v>2167</v>
      </c>
      <c r="G5138" s="54" t="n">
        <v>1794600</v>
      </c>
    </row>
    <row r="5139" customFormat="false" ht="15" hidden="false" customHeight="false" outlineLevel="0" collapsed="false">
      <c r="A5139" s="50" t="s">
        <v>1770</v>
      </c>
      <c r="B5139" s="51" t="n">
        <v>45969</v>
      </c>
      <c r="C5139" s="50" t="s">
        <v>188</v>
      </c>
      <c r="D5139" s="50" t="s">
        <v>2173</v>
      </c>
      <c r="E5139" s="50" t="n">
        <v>4</v>
      </c>
      <c r="F5139" s="50" t="s">
        <v>2174</v>
      </c>
      <c r="G5139" s="54" t="n">
        <v>3250600</v>
      </c>
    </row>
    <row r="5140" customFormat="false" ht="15" hidden="false" customHeight="false" outlineLevel="0" collapsed="false">
      <c r="A5140" s="50" t="s">
        <v>1771</v>
      </c>
      <c r="B5140" s="51" t="n">
        <v>45969</v>
      </c>
      <c r="C5140" s="50" t="s">
        <v>962</v>
      </c>
      <c r="D5140" s="50" t="s">
        <v>2177</v>
      </c>
      <c r="E5140" s="50" t="n">
        <v>2</v>
      </c>
      <c r="F5140" s="50" t="s">
        <v>2174</v>
      </c>
      <c r="G5140" s="54" t="n">
        <v>2160200</v>
      </c>
    </row>
    <row r="5141" customFormat="false" ht="15" hidden="false" customHeight="false" outlineLevel="0" collapsed="false">
      <c r="A5141" s="50" t="s">
        <v>1771</v>
      </c>
      <c r="B5141" s="51" t="n">
        <v>45969</v>
      </c>
      <c r="C5141" s="50" t="s">
        <v>962</v>
      </c>
      <c r="D5141" s="50" t="s">
        <v>2166</v>
      </c>
      <c r="E5141" s="50" t="n">
        <v>2</v>
      </c>
      <c r="F5141" s="50" t="s">
        <v>2167</v>
      </c>
      <c r="G5141" s="54" t="n">
        <v>1116200</v>
      </c>
    </row>
    <row r="5142" customFormat="false" ht="15" hidden="false" customHeight="false" outlineLevel="0" collapsed="false">
      <c r="A5142" s="50" t="s">
        <v>1771</v>
      </c>
      <c r="B5142" s="51" t="n">
        <v>45969</v>
      </c>
      <c r="C5142" s="50" t="s">
        <v>962</v>
      </c>
      <c r="D5142" s="50" t="s">
        <v>2188</v>
      </c>
      <c r="E5142" s="50" t="n">
        <v>4</v>
      </c>
      <c r="F5142" s="50" t="s">
        <v>2167</v>
      </c>
      <c r="G5142" s="54" t="n">
        <v>3800600</v>
      </c>
    </row>
    <row r="5143" customFormat="false" ht="15" hidden="false" customHeight="false" outlineLevel="0" collapsed="false">
      <c r="A5143" s="50" t="s">
        <v>1771</v>
      </c>
      <c r="B5143" s="51" t="n">
        <v>45969</v>
      </c>
      <c r="C5143" s="50" t="s">
        <v>962</v>
      </c>
      <c r="D5143" s="50" t="s">
        <v>2185</v>
      </c>
      <c r="E5143" s="50" t="n">
        <v>8</v>
      </c>
      <c r="F5143" s="50" t="s">
        <v>2174</v>
      </c>
      <c r="G5143" s="54" t="n">
        <v>6264100</v>
      </c>
    </row>
    <row r="5144" customFormat="false" ht="15" hidden="false" customHeight="false" outlineLevel="0" collapsed="false">
      <c r="A5144" s="50" t="s">
        <v>1771</v>
      </c>
      <c r="B5144" s="51" t="n">
        <v>45969</v>
      </c>
      <c r="C5144" s="50" t="s">
        <v>962</v>
      </c>
      <c r="D5144" s="50" t="s">
        <v>2183</v>
      </c>
      <c r="E5144" s="50" t="n">
        <v>2</v>
      </c>
      <c r="F5144" s="50" t="s">
        <v>2167</v>
      </c>
      <c r="G5144" s="54" t="n">
        <v>763400</v>
      </c>
    </row>
    <row r="5145" customFormat="false" ht="15" hidden="false" customHeight="false" outlineLevel="0" collapsed="false">
      <c r="A5145" s="50" t="s">
        <v>155</v>
      </c>
      <c r="B5145" s="51" t="n">
        <v>45969</v>
      </c>
      <c r="C5145" s="50" t="s">
        <v>179</v>
      </c>
      <c r="D5145" s="50" t="s">
        <v>2186</v>
      </c>
      <c r="E5145" s="50" t="n">
        <v>2</v>
      </c>
      <c r="F5145" s="50" t="s">
        <v>2167</v>
      </c>
      <c r="G5145" s="54" t="n">
        <v>1162800</v>
      </c>
    </row>
    <row r="5146" customFormat="false" ht="15" hidden="false" customHeight="false" outlineLevel="0" collapsed="false">
      <c r="A5146" s="50" t="s">
        <v>155</v>
      </c>
      <c r="B5146" s="51" t="n">
        <v>45969</v>
      </c>
      <c r="C5146" s="50" t="s">
        <v>179</v>
      </c>
      <c r="D5146" s="50" t="s">
        <v>2168</v>
      </c>
      <c r="E5146" s="50" t="n">
        <v>1</v>
      </c>
      <c r="F5146" s="50" t="s">
        <v>2167</v>
      </c>
      <c r="G5146" s="54" t="n">
        <v>431600</v>
      </c>
    </row>
    <row r="5147" customFormat="false" ht="15" hidden="false" customHeight="false" outlineLevel="0" collapsed="false">
      <c r="A5147" s="50" t="s">
        <v>155</v>
      </c>
      <c r="B5147" s="51" t="n">
        <v>45969</v>
      </c>
      <c r="C5147" s="50" t="s">
        <v>179</v>
      </c>
      <c r="D5147" s="50" t="s">
        <v>2176</v>
      </c>
      <c r="E5147" s="50" t="n">
        <v>5</v>
      </c>
      <c r="F5147" s="50" t="s">
        <v>2167</v>
      </c>
      <c r="G5147" s="54" t="n">
        <v>2035800</v>
      </c>
    </row>
    <row r="5148" customFormat="false" ht="15" hidden="false" customHeight="false" outlineLevel="0" collapsed="false">
      <c r="A5148" s="50" t="s">
        <v>1772</v>
      </c>
      <c r="B5148" s="51" t="n">
        <v>45969</v>
      </c>
      <c r="C5148" s="50" t="s">
        <v>168</v>
      </c>
      <c r="D5148" s="50" t="s">
        <v>2186</v>
      </c>
      <c r="E5148" s="50" t="n">
        <v>5</v>
      </c>
      <c r="F5148" s="50" t="s">
        <v>2167</v>
      </c>
      <c r="G5148" s="54" t="n">
        <v>2855600</v>
      </c>
    </row>
    <row r="5149" customFormat="false" ht="15" hidden="false" customHeight="false" outlineLevel="0" collapsed="false">
      <c r="A5149" s="50" t="s">
        <v>1773</v>
      </c>
      <c r="B5149" s="51" t="n">
        <v>45971</v>
      </c>
      <c r="C5149" s="50" t="s">
        <v>195</v>
      </c>
      <c r="D5149" s="50" t="s">
        <v>2181</v>
      </c>
      <c r="E5149" s="50" t="n">
        <v>2</v>
      </c>
      <c r="F5149" s="50" t="s">
        <v>2167</v>
      </c>
      <c r="G5149" s="54" t="n">
        <v>2356900</v>
      </c>
    </row>
    <row r="5150" customFormat="false" ht="15" hidden="false" customHeight="false" outlineLevel="0" collapsed="false">
      <c r="A5150" s="50" t="s">
        <v>1774</v>
      </c>
      <c r="B5150" s="51" t="n">
        <v>45971</v>
      </c>
      <c r="C5150" s="50" t="s">
        <v>693</v>
      </c>
      <c r="D5150" s="50" t="s">
        <v>2169</v>
      </c>
      <c r="E5150" s="50" t="n">
        <v>2</v>
      </c>
      <c r="F5150" s="50" t="s">
        <v>2167</v>
      </c>
      <c r="G5150" s="54" t="n">
        <v>1191200</v>
      </c>
    </row>
    <row r="5151" customFormat="false" ht="15" hidden="false" customHeight="false" outlineLevel="0" collapsed="false">
      <c r="A5151" s="50" t="s">
        <v>1774</v>
      </c>
      <c r="B5151" s="51" t="n">
        <v>45971</v>
      </c>
      <c r="C5151" s="50" t="s">
        <v>693</v>
      </c>
      <c r="D5151" s="50" t="s">
        <v>2172</v>
      </c>
      <c r="E5151" s="50" t="n">
        <v>6</v>
      </c>
      <c r="F5151" s="50" t="s">
        <v>2167</v>
      </c>
      <c r="G5151" s="54" t="n">
        <v>3055200</v>
      </c>
    </row>
    <row r="5152" customFormat="false" ht="15" hidden="false" customHeight="false" outlineLevel="0" collapsed="false">
      <c r="A5152" s="50" t="s">
        <v>1774</v>
      </c>
      <c r="B5152" s="51" t="n">
        <v>45971</v>
      </c>
      <c r="C5152" s="50" t="s">
        <v>693</v>
      </c>
      <c r="D5152" s="50" t="s">
        <v>2185</v>
      </c>
      <c r="E5152" s="50" t="n">
        <v>5</v>
      </c>
      <c r="F5152" s="50" t="s">
        <v>2174</v>
      </c>
      <c r="G5152" s="54" t="n">
        <v>3770500</v>
      </c>
    </row>
    <row r="5153" customFormat="false" ht="15" hidden="false" customHeight="false" outlineLevel="0" collapsed="false">
      <c r="A5153" s="50" t="s">
        <v>1774</v>
      </c>
      <c r="B5153" s="51" t="n">
        <v>45971</v>
      </c>
      <c r="C5153" s="50" t="s">
        <v>693</v>
      </c>
      <c r="D5153" s="50" t="s">
        <v>2177</v>
      </c>
      <c r="E5153" s="50" t="n">
        <v>1</v>
      </c>
      <c r="F5153" s="50" t="s">
        <v>2174</v>
      </c>
      <c r="G5153" s="54" t="n">
        <v>1071200</v>
      </c>
    </row>
    <row r="5154" customFormat="false" ht="15" hidden="false" customHeight="false" outlineLevel="0" collapsed="false">
      <c r="A5154" s="50" t="s">
        <v>1775</v>
      </c>
      <c r="B5154" s="51" t="n">
        <v>45971</v>
      </c>
      <c r="C5154" s="50" t="s">
        <v>174</v>
      </c>
      <c r="D5154" s="50" t="s">
        <v>2181</v>
      </c>
      <c r="E5154" s="50" t="n">
        <v>7</v>
      </c>
      <c r="F5154" s="50" t="s">
        <v>2167</v>
      </c>
      <c r="G5154" s="54" t="n">
        <v>8181900</v>
      </c>
    </row>
    <row r="5155" customFormat="false" ht="15" hidden="false" customHeight="false" outlineLevel="0" collapsed="false">
      <c r="A5155" s="50" t="s">
        <v>1775</v>
      </c>
      <c r="B5155" s="51" t="n">
        <v>45971</v>
      </c>
      <c r="C5155" s="50" t="s">
        <v>174</v>
      </c>
      <c r="D5155" s="50" t="s">
        <v>2185</v>
      </c>
      <c r="E5155" s="50" t="n">
        <v>4</v>
      </c>
      <c r="F5155" s="50" t="s">
        <v>2174</v>
      </c>
      <c r="G5155" s="54" t="n">
        <v>3225300</v>
      </c>
    </row>
    <row r="5156" customFormat="false" ht="15" hidden="false" customHeight="false" outlineLevel="0" collapsed="false">
      <c r="A5156" s="50" t="s">
        <v>1776</v>
      </c>
      <c r="B5156" s="51" t="n">
        <v>45971</v>
      </c>
      <c r="C5156" s="50" t="s">
        <v>216</v>
      </c>
      <c r="D5156" s="50" t="s">
        <v>2176</v>
      </c>
      <c r="E5156" s="50" t="n">
        <v>1</v>
      </c>
      <c r="F5156" s="50" t="s">
        <v>2167</v>
      </c>
      <c r="G5156" s="54" t="n">
        <v>404300</v>
      </c>
    </row>
    <row r="5157" customFormat="false" ht="15" hidden="false" customHeight="false" outlineLevel="0" collapsed="false">
      <c r="A5157" s="50" t="s">
        <v>1776</v>
      </c>
      <c r="B5157" s="51" t="n">
        <v>45971</v>
      </c>
      <c r="C5157" s="50" t="s">
        <v>216</v>
      </c>
      <c r="D5157" s="50" t="s">
        <v>2183</v>
      </c>
      <c r="E5157" s="50" t="n">
        <v>1</v>
      </c>
      <c r="F5157" s="50" t="s">
        <v>2167</v>
      </c>
      <c r="G5157" s="54" t="n">
        <v>375500</v>
      </c>
    </row>
    <row r="5158" customFormat="false" ht="15" hidden="false" customHeight="false" outlineLevel="0" collapsed="false">
      <c r="A5158" s="50" t="s">
        <v>1776</v>
      </c>
      <c r="B5158" s="51" t="n">
        <v>45971</v>
      </c>
      <c r="C5158" s="50" t="s">
        <v>216</v>
      </c>
      <c r="D5158" s="50" t="s">
        <v>2169</v>
      </c>
      <c r="E5158" s="50" t="n">
        <v>2</v>
      </c>
      <c r="F5158" s="50" t="s">
        <v>2167</v>
      </c>
      <c r="G5158" s="54" t="n">
        <v>1194100</v>
      </c>
    </row>
    <row r="5159" customFormat="false" ht="15" hidden="false" customHeight="false" outlineLevel="0" collapsed="false">
      <c r="A5159" s="50" t="s">
        <v>1777</v>
      </c>
      <c r="B5159" s="51" t="n">
        <v>45971</v>
      </c>
      <c r="C5159" s="50" t="s">
        <v>234</v>
      </c>
      <c r="D5159" s="50" t="s">
        <v>2169</v>
      </c>
      <c r="E5159" s="50" t="n">
        <v>5</v>
      </c>
      <c r="F5159" s="50" t="s">
        <v>2167</v>
      </c>
      <c r="G5159" s="54" t="n">
        <v>3137000</v>
      </c>
    </row>
    <row r="5160" customFormat="false" ht="15" hidden="false" customHeight="false" outlineLevel="0" collapsed="false">
      <c r="A5160" s="50" t="s">
        <v>1777</v>
      </c>
      <c r="B5160" s="51" t="n">
        <v>45971</v>
      </c>
      <c r="C5160" s="50" t="s">
        <v>234</v>
      </c>
      <c r="D5160" s="50" t="s">
        <v>2172</v>
      </c>
      <c r="E5160" s="50" t="n">
        <v>1</v>
      </c>
      <c r="F5160" s="50" t="s">
        <v>2167</v>
      </c>
      <c r="G5160" s="54" t="n">
        <v>520400</v>
      </c>
    </row>
    <row r="5161" customFormat="false" ht="15" hidden="false" customHeight="false" outlineLevel="0" collapsed="false">
      <c r="A5161" s="50" t="s">
        <v>1777</v>
      </c>
      <c r="B5161" s="51" t="n">
        <v>45971</v>
      </c>
      <c r="C5161" s="50" t="s">
        <v>234</v>
      </c>
      <c r="D5161" s="50" t="s">
        <v>2183</v>
      </c>
      <c r="E5161" s="50" t="n">
        <v>2</v>
      </c>
      <c r="F5161" s="50" t="s">
        <v>2167</v>
      </c>
      <c r="G5161" s="54" t="n">
        <v>760600</v>
      </c>
    </row>
    <row r="5162" customFormat="false" ht="15" hidden="false" customHeight="false" outlineLevel="0" collapsed="false">
      <c r="A5162" s="50" t="s">
        <v>1777</v>
      </c>
      <c r="B5162" s="51" t="n">
        <v>45971</v>
      </c>
      <c r="C5162" s="50" t="s">
        <v>234</v>
      </c>
      <c r="D5162" s="50" t="s">
        <v>2185</v>
      </c>
      <c r="E5162" s="50" t="n">
        <v>5</v>
      </c>
      <c r="F5162" s="50" t="s">
        <v>2174</v>
      </c>
      <c r="G5162" s="54" t="n">
        <v>3882100</v>
      </c>
    </row>
    <row r="5163" customFormat="false" ht="15" hidden="false" customHeight="false" outlineLevel="0" collapsed="false">
      <c r="A5163" s="50" t="s">
        <v>1777</v>
      </c>
      <c r="B5163" s="51" t="n">
        <v>45971</v>
      </c>
      <c r="C5163" s="50" t="s">
        <v>234</v>
      </c>
      <c r="D5163" s="50" t="s">
        <v>2180</v>
      </c>
      <c r="E5163" s="50" t="n">
        <v>7</v>
      </c>
      <c r="F5163" s="50" t="s">
        <v>2167</v>
      </c>
      <c r="G5163" s="54" t="n">
        <v>3112200</v>
      </c>
    </row>
    <row r="5164" customFormat="false" ht="15" hidden="false" customHeight="false" outlineLevel="0" collapsed="false">
      <c r="A5164" s="50" t="s">
        <v>1777</v>
      </c>
      <c r="B5164" s="51" t="n">
        <v>45971</v>
      </c>
      <c r="C5164" s="50" t="s">
        <v>234</v>
      </c>
      <c r="D5164" s="50" t="s">
        <v>2178</v>
      </c>
      <c r="E5164" s="50" t="n">
        <v>8</v>
      </c>
      <c r="F5164" s="50" t="s">
        <v>2167</v>
      </c>
      <c r="G5164" s="54" t="n">
        <v>3851500</v>
      </c>
    </row>
    <row r="5165" customFormat="false" ht="15" hidden="false" customHeight="false" outlineLevel="0" collapsed="false">
      <c r="A5165" s="50" t="s">
        <v>1777</v>
      </c>
      <c r="B5165" s="51" t="n">
        <v>45971</v>
      </c>
      <c r="C5165" s="50" t="s">
        <v>234</v>
      </c>
      <c r="D5165" s="50" t="s">
        <v>2184</v>
      </c>
      <c r="E5165" s="50" t="n">
        <v>2</v>
      </c>
      <c r="F5165" s="50" t="s">
        <v>2167</v>
      </c>
      <c r="G5165" s="54" t="n">
        <v>1134800</v>
      </c>
    </row>
    <row r="5166" customFormat="false" ht="15" hidden="false" customHeight="false" outlineLevel="0" collapsed="false">
      <c r="A5166" s="50" t="s">
        <v>1778</v>
      </c>
      <c r="B5166" s="51" t="n">
        <v>45971</v>
      </c>
      <c r="C5166" s="50" t="s">
        <v>177</v>
      </c>
      <c r="D5166" s="50" t="s">
        <v>2173</v>
      </c>
      <c r="E5166" s="50" t="n">
        <v>3</v>
      </c>
      <c r="F5166" s="50" t="s">
        <v>2174</v>
      </c>
      <c r="G5166" s="54" t="n">
        <v>2330700</v>
      </c>
    </row>
    <row r="5167" customFormat="false" ht="15" hidden="false" customHeight="false" outlineLevel="0" collapsed="false">
      <c r="A5167" s="50" t="s">
        <v>1778</v>
      </c>
      <c r="B5167" s="51" t="n">
        <v>45971</v>
      </c>
      <c r="C5167" s="50" t="s">
        <v>177</v>
      </c>
      <c r="D5167" s="50" t="s">
        <v>2181</v>
      </c>
      <c r="E5167" s="50" t="n">
        <v>8</v>
      </c>
      <c r="F5167" s="50" t="s">
        <v>2167</v>
      </c>
      <c r="G5167" s="54" t="n">
        <v>9169500</v>
      </c>
    </row>
    <row r="5168" customFormat="false" ht="15" hidden="false" customHeight="false" outlineLevel="0" collapsed="false">
      <c r="A5168" s="50" t="s">
        <v>1778</v>
      </c>
      <c r="B5168" s="51" t="n">
        <v>45971</v>
      </c>
      <c r="C5168" s="50" t="s">
        <v>177</v>
      </c>
      <c r="D5168" s="50" t="s">
        <v>2182</v>
      </c>
      <c r="E5168" s="50" t="n">
        <v>5</v>
      </c>
      <c r="F5168" s="50" t="s">
        <v>2174</v>
      </c>
      <c r="G5168" s="54" t="n">
        <v>4609900</v>
      </c>
    </row>
    <row r="5169" customFormat="false" ht="15" hidden="false" customHeight="false" outlineLevel="0" collapsed="false">
      <c r="A5169" s="50" t="s">
        <v>1778</v>
      </c>
      <c r="B5169" s="51" t="n">
        <v>45971</v>
      </c>
      <c r="C5169" s="50" t="s">
        <v>177</v>
      </c>
      <c r="D5169" s="50" t="s">
        <v>2180</v>
      </c>
      <c r="E5169" s="50" t="n">
        <v>1</v>
      </c>
      <c r="F5169" s="50" t="s">
        <v>2167</v>
      </c>
      <c r="G5169" s="54" t="n">
        <v>454700</v>
      </c>
    </row>
    <row r="5170" customFormat="false" ht="15" hidden="false" customHeight="false" outlineLevel="0" collapsed="false">
      <c r="A5170" s="50" t="s">
        <v>1779</v>
      </c>
      <c r="B5170" s="51" t="n">
        <v>45972</v>
      </c>
      <c r="C5170" s="50" t="s">
        <v>195</v>
      </c>
      <c r="D5170" s="50" t="s">
        <v>2180</v>
      </c>
      <c r="E5170" s="50" t="n">
        <v>2</v>
      </c>
      <c r="F5170" s="50" t="s">
        <v>2167</v>
      </c>
      <c r="G5170" s="54" t="n">
        <v>899200</v>
      </c>
    </row>
    <row r="5171" customFormat="false" ht="15" hidden="false" customHeight="false" outlineLevel="0" collapsed="false">
      <c r="A5171" s="50" t="s">
        <v>1780</v>
      </c>
      <c r="B5171" s="51" t="n">
        <v>45972</v>
      </c>
      <c r="C5171" s="50" t="s">
        <v>491</v>
      </c>
      <c r="D5171" s="50" t="s">
        <v>2172</v>
      </c>
      <c r="E5171" s="50" t="n">
        <v>3</v>
      </c>
      <c r="F5171" s="50" t="s">
        <v>2167</v>
      </c>
      <c r="G5171" s="54" t="n">
        <v>1591100</v>
      </c>
    </row>
    <row r="5172" customFormat="false" ht="15" hidden="false" customHeight="false" outlineLevel="0" collapsed="false">
      <c r="A5172" s="50" t="s">
        <v>1780</v>
      </c>
      <c r="B5172" s="51" t="n">
        <v>45972</v>
      </c>
      <c r="C5172" s="50" t="s">
        <v>491</v>
      </c>
      <c r="D5172" s="50" t="s">
        <v>2169</v>
      </c>
      <c r="E5172" s="50" t="n">
        <v>6</v>
      </c>
      <c r="F5172" s="50" t="s">
        <v>2167</v>
      </c>
      <c r="G5172" s="54" t="n">
        <v>3633600</v>
      </c>
    </row>
    <row r="5173" customFormat="false" ht="15" hidden="false" customHeight="false" outlineLevel="0" collapsed="false">
      <c r="A5173" s="50" t="s">
        <v>1780</v>
      </c>
      <c r="B5173" s="51" t="n">
        <v>45972</v>
      </c>
      <c r="C5173" s="50" t="s">
        <v>491</v>
      </c>
      <c r="D5173" s="50" t="s">
        <v>2176</v>
      </c>
      <c r="E5173" s="50" t="n">
        <v>2</v>
      </c>
      <c r="F5173" s="50" t="s">
        <v>2167</v>
      </c>
      <c r="G5173" s="54" t="n">
        <v>834400</v>
      </c>
    </row>
    <row r="5174" customFormat="false" ht="15" hidden="false" customHeight="false" outlineLevel="0" collapsed="false">
      <c r="A5174" s="50" t="s">
        <v>1780</v>
      </c>
      <c r="B5174" s="51" t="n">
        <v>45972</v>
      </c>
      <c r="C5174" s="50" t="s">
        <v>491</v>
      </c>
      <c r="D5174" s="50" t="s">
        <v>2188</v>
      </c>
      <c r="E5174" s="50" t="n">
        <v>2</v>
      </c>
      <c r="F5174" s="50" t="s">
        <v>2167</v>
      </c>
      <c r="G5174" s="54" t="n">
        <v>1982800</v>
      </c>
    </row>
    <row r="5175" customFormat="false" ht="15" hidden="false" customHeight="false" outlineLevel="0" collapsed="false">
      <c r="A5175" s="50" t="s">
        <v>1781</v>
      </c>
      <c r="B5175" s="51" t="n">
        <v>45972</v>
      </c>
      <c r="C5175" s="50" t="s">
        <v>237</v>
      </c>
      <c r="D5175" s="50" t="s">
        <v>2176</v>
      </c>
      <c r="E5175" s="50" t="n">
        <v>8</v>
      </c>
      <c r="F5175" s="50" t="s">
        <v>2167</v>
      </c>
      <c r="G5175" s="54" t="n">
        <v>3228000</v>
      </c>
    </row>
    <row r="5176" customFormat="false" ht="15" hidden="false" customHeight="false" outlineLevel="0" collapsed="false">
      <c r="A5176" s="50" t="s">
        <v>1781</v>
      </c>
      <c r="B5176" s="51" t="n">
        <v>45972</v>
      </c>
      <c r="C5176" s="50" t="s">
        <v>237</v>
      </c>
      <c r="D5176" s="50" t="s">
        <v>2185</v>
      </c>
      <c r="E5176" s="50" t="n">
        <v>2</v>
      </c>
      <c r="F5176" s="50" t="s">
        <v>2174</v>
      </c>
      <c r="G5176" s="54" t="n">
        <v>1568800</v>
      </c>
    </row>
    <row r="5177" customFormat="false" ht="15" hidden="false" customHeight="false" outlineLevel="0" collapsed="false">
      <c r="A5177" s="50" t="s">
        <v>1781</v>
      </c>
      <c r="B5177" s="51" t="n">
        <v>45972</v>
      </c>
      <c r="C5177" s="50" t="s">
        <v>237</v>
      </c>
      <c r="D5177" s="50" t="s">
        <v>2169</v>
      </c>
      <c r="E5177" s="50" t="n">
        <v>6</v>
      </c>
      <c r="F5177" s="50" t="s">
        <v>2167</v>
      </c>
      <c r="G5177" s="54" t="n">
        <v>3573300</v>
      </c>
    </row>
    <row r="5178" customFormat="false" ht="15" hidden="false" customHeight="false" outlineLevel="0" collapsed="false">
      <c r="A5178" s="50" t="s">
        <v>1782</v>
      </c>
      <c r="B5178" s="51" t="n">
        <v>45972</v>
      </c>
      <c r="C5178" s="50" t="s">
        <v>205</v>
      </c>
      <c r="D5178" s="50" t="s">
        <v>2178</v>
      </c>
      <c r="E5178" s="50" t="n">
        <v>8</v>
      </c>
      <c r="F5178" s="50" t="s">
        <v>2167</v>
      </c>
      <c r="G5178" s="54" t="n">
        <v>3963800</v>
      </c>
    </row>
    <row r="5179" customFormat="false" ht="15" hidden="false" customHeight="false" outlineLevel="0" collapsed="false">
      <c r="A5179" s="50" t="s">
        <v>1782</v>
      </c>
      <c r="B5179" s="51" t="n">
        <v>45972</v>
      </c>
      <c r="C5179" s="50" t="s">
        <v>205</v>
      </c>
      <c r="D5179" s="50" t="s">
        <v>2186</v>
      </c>
      <c r="E5179" s="50" t="n">
        <v>6</v>
      </c>
      <c r="F5179" s="50" t="s">
        <v>2167</v>
      </c>
      <c r="G5179" s="54" t="n">
        <v>3625600</v>
      </c>
    </row>
    <row r="5180" customFormat="false" ht="15" hidden="false" customHeight="false" outlineLevel="0" collapsed="false">
      <c r="A5180" s="50" t="s">
        <v>1782</v>
      </c>
      <c r="B5180" s="51" t="n">
        <v>45972</v>
      </c>
      <c r="C5180" s="50" t="s">
        <v>205</v>
      </c>
      <c r="D5180" s="50" t="s">
        <v>2176</v>
      </c>
      <c r="E5180" s="50" t="n">
        <v>2</v>
      </c>
      <c r="F5180" s="50" t="s">
        <v>2167</v>
      </c>
      <c r="G5180" s="54" t="n">
        <v>853300</v>
      </c>
    </row>
    <row r="5181" customFormat="false" ht="15" hidden="false" customHeight="false" outlineLevel="0" collapsed="false">
      <c r="A5181" s="50" t="s">
        <v>1782</v>
      </c>
      <c r="B5181" s="51" t="n">
        <v>45972</v>
      </c>
      <c r="C5181" s="50" t="s">
        <v>205</v>
      </c>
      <c r="D5181" s="50" t="s">
        <v>2172</v>
      </c>
      <c r="E5181" s="50" t="n">
        <v>4</v>
      </c>
      <c r="F5181" s="50" t="s">
        <v>2167</v>
      </c>
      <c r="G5181" s="54" t="n">
        <v>2064000</v>
      </c>
    </row>
    <row r="5182" customFormat="false" ht="15" hidden="false" customHeight="false" outlineLevel="0" collapsed="false">
      <c r="A5182" s="50" t="s">
        <v>1783</v>
      </c>
      <c r="B5182" s="51" t="n">
        <v>45972</v>
      </c>
      <c r="C5182" s="50" t="s">
        <v>247</v>
      </c>
      <c r="D5182" s="50" t="s">
        <v>2188</v>
      </c>
      <c r="E5182" s="50" t="n">
        <v>3</v>
      </c>
      <c r="F5182" s="50" t="s">
        <v>2167</v>
      </c>
      <c r="G5182" s="54" t="n">
        <v>2904900</v>
      </c>
    </row>
    <row r="5183" customFormat="false" ht="15" hidden="false" customHeight="false" outlineLevel="0" collapsed="false">
      <c r="A5183" s="50" t="s">
        <v>1783</v>
      </c>
      <c r="B5183" s="51" t="n">
        <v>45972</v>
      </c>
      <c r="C5183" s="50" t="s">
        <v>247</v>
      </c>
      <c r="D5183" s="50" t="s">
        <v>2187</v>
      </c>
      <c r="E5183" s="50" t="n">
        <v>1</v>
      </c>
      <c r="F5183" s="50" t="s">
        <v>2167</v>
      </c>
      <c r="G5183" s="54" t="n">
        <v>338000</v>
      </c>
    </row>
    <row r="5184" customFormat="false" ht="15" hidden="false" customHeight="false" outlineLevel="0" collapsed="false">
      <c r="A5184" s="50" t="s">
        <v>1783</v>
      </c>
      <c r="B5184" s="51" t="n">
        <v>45972</v>
      </c>
      <c r="C5184" s="50" t="s">
        <v>247</v>
      </c>
      <c r="D5184" s="50" t="s">
        <v>2172</v>
      </c>
      <c r="E5184" s="50" t="n">
        <v>6</v>
      </c>
      <c r="F5184" s="50" t="s">
        <v>2167</v>
      </c>
      <c r="G5184" s="54" t="n">
        <v>3134100</v>
      </c>
    </row>
    <row r="5185" customFormat="false" ht="15" hidden="false" customHeight="false" outlineLevel="0" collapsed="false">
      <c r="A5185" s="50" t="s">
        <v>1784</v>
      </c>
      <c r="B5185" s="51" t="n">
        <v>45973</v>
      </c>
      <c r="C5185" s="50" t="s">
        <v>475</v>
      </c>
      <c r="D5185" s="50" t="s">
        <v>2186</v>
      </c>
      <c r="E5185" s="50" t="n">
        <v>8</v>
      </c>
      <c r="F5185" s="50" t="s">
        <v>2167</v>
      </c>
      <c r="G5185" s="54" t="n">
        <v>4655900</v>
      </c>
    </row>
    <row r="5186" customFormat="false" ht="15" hidden="false" customHeight="false" outlineLevel="0" collapsed="false">
      <c r="A5186" s="50" t="s">
        <v>1784</v>
      </c>
      <c r="B5186" s="51" t="n">
        <v>45973</v>
      </c>
      <c r="C5186" s="50" t="s">
        <v>475</v>
      </c>
      <c r="D5186" s="50" t="s">
        <v>2179</v>
      </c>
      <c r="E5186" s="50" t="n">
        <v>7</v>
      </c>
      <c r="F5186" s="50" t="s">
        <v>2174</v>
      </c>
      <c r="G5186" s="54" t="n">
        <v>8982200</v>
      </c>
    </row>
    <row r="5187" customFormat="false" ht="15" hidden="false" customHeight="false" outlineLevel="0" collapsed="false">
      <c r="A5187" s="50" t="s">
        <v>1784</v>
      </c>
      <c r="B5187" s="51" t="n">
        <v>45973</v>
      </c>
      <c r="C5187" s="50" t="s">
        <v>475</v>
      </c>
      <c r="D5187" s="50" t="s">
        <v>2175</v>
      </c>
      <c r="E5187" s="50" t="n">
        <v>1</v>
      </c>
      <c r="F5187" s="50" t="s">
        <v>2167</v>
      </c>
      <c r="G5187" s="54" t="n">
        <v>652300</v>
      </c>
    </row>
    <row r="5188" customFormat="false" ht="15" hidden="false" customHeight="false" outlineLevel="0" collapsed="false">
      <c r="A5188" s="50" t="s">
        <v>1785</v>
      </c>
      <c r="B5188" s="51" t="n">
        <v>45973</v>
      </c>
      <c r="C5188" s="50" t="s">
        <v>177</v>
      </c>
      <c r="D5188" s="50" t="s">
        <v>2183</v>
      </c>
      <c r="E5188" s="50" t="n">
        <v>6</v>
      </c>
      <c r="F5188" s="50" t="s">
        <v>2167</v>
      </c>
      <c r="G5188" s="54" t="n">
        <v>2255800</v>
      </c>
    </row>
    <row r="5189" customFormat="false" ht="15" hidden="false" customHeight="false" outlineLevel="0" collapsed="false">
      <c r="A5189" s="50" t="s">
        <v>1786</v>
      </c>
      <c r="B5189" s="51" t="n">
        <v>45973</v>
      </c>
      <c r="C5189" s="50" t="s">
        <v>838</v>
      </c>
      <c r="D5189" s="50" t="s">
        <v>2169</v>
      </c>
      <c r="E5189" s="50" t="n">
        <v>3</v>
      </c>
      <c r="F5189" s="50" t="s">
        <v>2167</v>
      </c>
      <c r="G5189" s="54" t="n">
        <v>1809000</v>
      </c>
    </row>
    <row r="5190" customFormat="false" ht="15" hidden="false" customHeight="false" outlineLevel="0" collapsed="false">
      <c r="A5190" s="50" t="s">
        <v>1786</v>
      </c>
      <c r="B5190" s="51" t="n">
        <v>45973</v>
      </c>
      <c r="C5190" s="50" t="s">
        <v>838</v>
      </c>
      <c r="D5190" s="50" t="s">
        <v>2176</v>
      </c>
      <c r="E5190" s="50" t="n">
        <v>2</v>
      </c>
      <c r="F5190" s="50" t="s">
        <v>2167</v>
      </c>
      <c r="G5190" s="54" t="n">
        <v>810400</v>
      </c>
    </row>
    <row r="5191" customFormat="false" ht="15" hidden="false" customHeight="false" outlineLevel="0" collapsed="false">
      <c r="A5191" s="50" t="s">
        <v>1786</v>
      </c>
      <c r="B5191" s="51" t="n">
        <v>45973</v>
      </c>
      <c r="C5191" s="50" t="s">
        <v>838</v>
      </c>
      <c r="D5191" s="50" t="s">
        <v>2181</v>
      </c>
      <c r="E5191" s="50" t="n">
        <v>2</v>
      </c>
      <c r="F5191" s="50" t="s">
        <v>2167</v>
      </c>
      <c r="G5191" s="54" t="n">
        <v>2351400</v>
      </c>
    </row>
    <row r="5192" customFormat="false" ht="15" hidden="false" customHeight="false" outlineLevel="0" collapsed="false">
      <c r="A5192" s="50" t="s">
        <v>1786</v>
      </c>
      <c r="B5192" s="51" t="n">
        <v>45973</v>
      </c>
      <c r="C5192" s="50" t="s">
        <v>838</v>
      </c>
      <c r="D5192" s="50" t="s">
        <v>2175</v>
      </c>
      <c r="E5192" s="50" t="n">
        <v>4</v>
      </c>
      <c r="F5192" s="50" t="s">
        <v>2167</v>
      </c>
      <c r="G5192" s="54" t="n">
        <v>2600800</v>
      </c>
    </row>
    <row r="5193" customFormat="false" ht="15" hidden="false" customHeight="false" outlineLevel="0" collapsed="false">
      <c r="A5193" s="50" t="s">
        <v>1787</v>
      </c>
      <c r="B5193" s="51" t="n">
        <v>45973</v>
      </c>
      <c r="C5193" s="50" t="s">
        <v>207</v>
      </c>
      <c r="D5193" s="50" t="s">
        <v>2176</v>
      </c>
      <c r="E5193" s="50" t="n">
        <v>6</v>
      </c>
      <c r="F5193" s="50" t="s">
        <v>2167</v>
      </c>
      <c r="G5193" s="54" t="n">
        <v>2498500</v>
      </c>
    </row>
    <row r="5194" customFormat="false" ht="15" hidden="false" customHeight="false" outlineLevel="0" collapsed="false">
      <c r="A5194" s="50" t="s">
        <v>1787</v>
      </c>
      <c r="B5194" s="51" t="n">
        <v>45973</v>
      </c>
      <c r="C5194" s="50" t="s">
        <v>207</v>
      </c>
      <c r="D5194" s="50" t="s">
        <v>2173</v>
      </c>
      <c r="E5194" s="50" t="n">
        <v>5</v>
      </c>
      <c r="F5194" s="50" t="s">
        <v>2174</v>
      </c>
      <c r="G5194" s="54" t="n">
        <v>3897200</v>
      </c>
    </row>
    <row r="5195" customFormat="false" ht="15" hidden="false" customHeight="false" outlineLevel="0" collapsed="false">
      <c r="A5195" s="50" t="s">
        <v>1787</v>
      </c>
      <c r="B5195" s="51" t="n">
        <v>45973</v>
      </c>
      <c r="C5195" s="50" t="s">
        <v>207</v>
      </c>
      <c r="D5195" s="50" t="s">
        <v>2180</v>
      </c>
      <c r="E5195" s="50" t="n">
        <v>3</v>
      </c>
      <c r="F5195" s="50" t="s">
        <v>2167</v>
      </c>
      <c r="G5195" s="54" t="n">
        <v>1352000</v>
      </c>
    </row>
    <row r="5196" customFormat="false" ht="15" hidden="false" customHeight="false" outlineLevel="0" collapsed="false">
      <c r="A5196" s="50" t="s">
        <v>1787</v>
      </c>
      <c r="B5196" s="51" t="n">
        <v>45973</v>
      </c>
      <c r="C5196" s="50" t="s">
        <v>207</v>
      </c>
      <c r="D5196" s="50" t="s">
        <v>2185</v>
      </c>
      <c r="E5196" s="50" t="n">
        <v>6</v>
      </c>
      <c r="F5196" s="50" t="s">
        <v>2174</v>
      </c>
      <c r="G5196" s="54" t="n">
        <v>4789700</v>
      </c>
    </row>
    <row r="5197" customFormat="false" ht="15" hidden="false" customHeight="false" outlineLevel="0" collapsed="false">
      <c r="A5197" s="50" t="s">
        <v>1788</v>
      </c>
      <c r="B5197" s="51" t="n">
        <v>45973</v>
      </c>
      <c r="C5197" s="50" t="s">
        <v>223</v>
      </c>
      <c r="D5197" s="50" t="s">
        <v>2177</v>
      </c>
      <c r="E5197" s="50" t="n">
        <v>7</v>
      </c>
      <c r="F5197" s="50" t="s">
        <v>2174</v>
      </c>
      <c r="G5197" s="54" t="n">
        <v>7683900</v>
      </c>
    </row>
    <row r="5198" customFormat="false" ht="15" hidden="false" customHeight="false" outlineLevel="0" collapsed="false">
      <c r="A5198" s="50" t="s">
        <v>1789</v>
      </c>
      <c r="B5198" s="51" t="n">
        <v>45973</v>
      </c>
      <c r="C5198" s="50" t="s">
        <v>177</v>
      </c>
      <c r="D5198" s="50" t="s">
        <v>2186</v>
      </c>
      <c r="E5198" s="50" t="n">
        <v>7</v>
      </c>
      <c r="F5198" s="50" t="s">
        <v>2167</v>
      </c>
      <c r="G5198" s="54" t="n">
        <v>4120300</v>
      </c>
    </row>
    <row r="5199" customFormat="false" ht="15" hidden="false" customHeight="false" outlineLevel="0" collapsed="false">
      <c r="A5199" s="50" t="s">
        <v>1789</v>
      </c>
      <c r="B5199" s="51" t="n">
        <v>45973</v>
      </c>
      <c r="C5199" s="50" t="s">
        <v>177</v>
      </c>
      <c r="D5199" s="50" t="s">
        <v>2166</v>
      </c>
      <c r="E5199" s="50" t="n">
        <v>2</v>
      </c>
      <c r="F5199" s="50" t="s">
        <v>2167</v>
      </c>
      <c r="G5199" s="54" t="n">
        <v>1108400</v>
      </c>
    </row>
    <row r="5200" customFormat="false" ht="15" hidden="false" customHeight="false" outlineLevel="0" collapsed="false">
      <c r="A5200" s="50" t="s">
        <v>1789</v>
      </c>
      <c r="B5200" s="51" t="n">
        <v>45973</v>
      </c>
      <c r="C5200" s="50" t="s">
        <v>177</v>
      </c>
      <c r="D5200" s="50" t="s">
        <v>2169</v>
      </c>
      <c r="E5200" s="50" t="n">
        <v>4</v>
      </c>
      <c r="F5200" s="50" t="s">
        <v>2167</v>
      </c>
      <c r="G5200" s="54" t="n">
        <v>2541000</v>
      </c>
    </row>
    <row r="5201" customFormat="false" ht="15" hidden="false" customHeight="false" outlineLevel="0" collapsed="false">
      <c r="A5201" s="50" t="s">
        <v>1790</v>
      </c>
      <c r="B5201" s="51" t="n">
        <v>45973</v>
      </c>
      <c r="C5201" s="50" t="s">
        <v>491</v>
      </c>
      <c r="D5201" s="50" t="s">
        <v>2181</v>
      </c>
      <c r="E5201" s="50" t="n">
        <v>2</v>
      </c>
      <c r="F5201" s="50" t="s">
        <v>2167</v>
      </c>
      <c r="G5201" s="54" t="n">
        <v>2318100</v>
      </c>
    </row>
    <row r="5202" customFormat="false" ht="15" hidden="false" customHeight="false" outlineLevel="0" collapsed="false">
      <c r="A5202" s="50" t="s">
        <v>1790</v>
      </c>
      <c r="B5202" s="51" t="n">
        <v>45973</v>
      </c>
      <c r="C5202" s="50" t="s">
        <v>491</v>
      </c>
      <c r="D5202" s="50" t="s">
        <v>2185</v>
      </c>
      <c r="E5202" s="50" t="n">
        <v>1</v>
      </c>
      <c r="F5202" s="50" t="s">
        <v>2174</v>
      </c>
      <c r="G5202" s="54" t="n">
        <v>792900</v>
      </c>
    </row>
    <row r="5203" customFormat="false" ht="15" hidden="false" customHeight="false" outlineLevel="0" collapsed="false">
      <c r="A5203" s="50" t="s">
        <v>1791</v>
      </c>
      <c r="B5203" s="51" t="n">
        <v>45973</v>
      </c>
      <c r="C5203" s="50" t="s">
        <v>195</v>
      </c>
      <c r="D5203" s="50" t="s">
        <v>2187</v>
      </c>
      <c r="E5203" s="50" t="n">
        <v>8</v>
      </c>
      <c r="F5203" s="50" t="s">
        <v>2167</v>
      </c>
      <c r="G5203" s="54" t="n">
        <v>2849500</v>
      </c>
    </row>
    <row r="5204" customFormat="false" ht="15" hidden="false" customHeight="false" outlineLevel="0" collapsed="false">
      <c r="A5204" s="50" t="s">
        <v>1791</v>
      </c>
      <c r="B5204" s="51" t="n">
        <v>45973</v>
      </c>
      <c r="C5204" s="50" t="s">
        <v>195</v>
      </c>
      <c r="D5204" s="50" t="s">
        <v>2184</v>
      </c>
      <c r="E5204" s="50" t="n">
        <v>2</v>
      </c>
      <c r="F5204" s="50" t="s">
        <v>2167</v>
      </c>
      <c r="G5204" s="54" t="n">
        <v>1086900</v>
      </c>
    </row>
    <row r="5205" customFormat="false" ht="15" hidden="false" customHeight="false" outlineLevel="0" collapsed="false">
      <c r="A5205" s="50" t="s">
        <v>1791</v>
      </c>
      <c r="B5205" s="51" t="n">
        <v>45973</v>
      </c>
      <c r="C5205" s="50" t="s">
        <v>195</v>
      </c>
      <c r="D5205" s="50" t="s">
        <v>2183</v>
      </c>
      <c r="E5205" s="50" t="n">
        <v>6</v>
      </c>
      <c r="F5205" s="50" t="s">
        <v>2167</v>
      </c>
      <c r="G5205" s="54" t="n">
        <v>2351700</v>
      </c>
    </row>
    <row r="5206" customFormat="false" ht="15" hidden="false" customHeight="false" outlineLevel="0" collapsed="false">
      <c r="A5206" s="50" t="s">
        <v>1791</v>
      </c>
      <c r="B5206" s="51" t="n">
        <v>45973</v>
      </c>
      <c r="C5206" s="50" t="s">
        <v>195</v>
      </c>
      <c r="D5206" s="50" t="s">
        <v>2168</v>
      </c>
      <c r="E5206" s="50" t="n">
        <v>4</v>
      </c>
      <c r="F5206" s="50" t="s">
        <v>2167</v>
      </c>
      <c r="G5206" s="54" t="n">
        <v>1764700</v>
      </c>
    </row>
    <row r="5207" customFormat="false" ht="15" hidden="false" customHeight="false" outlineLevel="0" collapsed="false">
      <c r="A5207" s="50" t="s">
        <v>1791</v>
      </c>
      <c r="B5207" s="51" t="n">
        <v>45973</v>
      </c>
      <c r="C5207" s="50" t="s">
        <v>195</v>
      </c>
      <c r="D5207" s="50" t="s">
        <v>2172</v>
      </c>
      <c r="E5207" s="50" t="n">
        <v>1</v>
      </c>
      <c r="F5207" s="50" t="s">
        <v>2167</v>
      </c>
      <c r="G5207" s="54" t="n">
        <v>505900</v>
      </c>
    </row>
    <row r="5208" customFormat="false" ht="15" hidden="false" customHeight="false" outlineLevel="0" collapsed="false">
      <c r="A5208" s="50" t="s">
        <v>1791</v>
      </c>
      <c r="B5208" s="51" t="n">
        <v>45973</v>
      </c>
      <c r="C5208" s="50" t="s">
        <v>195</v>
      </c>
      <c r="D5208" s="50" t="s">
        <v>2176</v>
      </c>
      <c r="E5208" s="50" t="n">
        <v>8</v>
      </c>
      <c r="F5208" s="50" t="s">
        <v>2167</v>
      </c>
      <c r="G5208" s="54" t="n">
        <v>3323600</v>
      </c>
    </row>
    <row r="5209" customFormat="false" ht="15" hidden="false" customHeight="false" outlineLevel="0" collapsed="false">
      <c r="A5209" s="50" t="s">
        <v>1792</v>
      </c>
      <c r="B5209" s="51" t="n">
        <v>45973</v>
      </c>
      <c r="C5209" s="50" t="s">
        <v>475</v>
      </c>
      <c r="D5209" s="50" t="s">
        <v>2181</v>
      </c>
      <c r="E5209" s="50" t="n">
        <v>6</v>
      </c>
      <c r="F5209" s="50" t="s">
        <v>2167</v>
      </c>
      <c r="G5209" s="54" t="n">
        <v>6792400</v>
      </c>
    </row>
    <row r="5210" customFormat="false" ht="15" hidden="false" customHeight="false" outlineLevel="0" collapsed="false">
      <c r="A5210" s="50" t="s">
        <v>1793</v>
      </c>
      <c r="B5210" s="51" t="n">
        <v>45974</v>
      </c>
      <c r="C5210" s="50" t="s">
        <v>560</v>
      </c>
      <c r="D5210" s="50" t="s">
        <v>2176</v>
      </c>
      <c r="E5210" s="50" t="n">
        <v>6</v>
      </c>
      <c r="F5210" s="50" t="s">
        <v>2167</v>
      </c>
      <c r="G5210" s="54" t="n">
        <v>2484700</v>
      </c>
    </row>
    <row r="5211" customFormat="false" ht="15" hidden="false" customHeight="false" outlineLevel="0" collapsed="false">
      <c r="A5211" s="50" t="s">
        <v>1793</v>
      </c>
      <c r="B5211" s="51" t="n">
        <v>45974</v>
      </c>
      <c r="C5211" s="50" t="s">
        <v>560</v>
      </c>
      <c r="D5211" s="50" t="s">
        <v>2173</v>
      </c>
      <c r="E5211" s="50" t="n">
        <v>2</v>
      </c>
      <c r="F5211" s="50" t="s">
        <v>2174</v>
      </c>
      <c r="G5211" s="54" t="n">
        <v>1598600</v>
      </c>
    </row>
    <row r="5212" customFormat="false" ht="15" hidden="false" customHeight="false" outlineLevel="0" collapsed="false">
      <c r="A5212" s="50" t="s">
        <v>1793</v>
      </c>
      <c r="B5212" s="51" t="n">
        <v>45974</v>
      </c>
      <c r="C5212" s="50" t="s">
        <v>560</v>
      </c>
      <c r="D5212" s="50" t="s">
        <v>2185</v>
      </c>
      <c r="E5212" s="50" t="n">
        <v>8</v>
      </c>
      <c r="F5212" s="50" t="s">
        <v>2174</v>
      </c>
      <c r="G5212" s="54" t="n">
        <v>6081500</v>
      </c>
    </row>
    <row r="5213" customFormat="false" ht="15" hidden="false" customHeight="false" outlineLevel="0" collapsed="false">
      <c r="A5213" s="50" t="s">
        <v>1793</v>
      </c>
      <c r="B5213" s="51" t="n">
        <v>45974</v>
      </c>
      <c r="C5213" s="50" t="s">
        <v>560</v>
      </c>
      <c r="D5213" s="50" t="s">
        <v>2177</v>
      </c>
      <c r="E5213" s="50" t="n">
        <v>2</v>
      </c>
      <c r="F5213" s="50" t="s">
        <v>2174</v>
      </c>
      <c r="G5213" s="54" t="n">
        <v>2228200</v>
      </c>
    </row>
    <row r="5214" customFormat="false" ht="15" hidden="false" customHeight="false" outlineLevel="0" collapsed="false">
      <c r="A5214" s="50" t="s">
        <v>1793</v>
      </c>
      <c r="B5214" s="51" t="n">
        <v>45974</v>
      </c>
      <c r="C5214" s="50" t="s">
        <v>560</v>
      </c>
      <c r="D5214" s="50" t="s">
        <v>2180</v>
      </c>
      <c r="E5214" s="50" t="n">
        <v>8</v>
      </c>
      <c r="F5214" s="50" t="s">
        <v>2167</v>
      </c>
      <c r="G5214" s="54" t="n">
        <v>3489200</v>
      </c>
    </row>
    <row r="5215" customFormat="false" ht="15" hidden="false" customHeight="false" outlineLevel="0" collapsed="false">
      <c r="A5215" s="50" t="s">
        <v>1793</v>
      </c>
      <c r="B5215" s="51" t="n">
        <v>45974</v>
      </c>
      <c r="C5215" s="50" t="s">
        <v>560</v>
      </c>
      <c r="D5215" s="50" t="s">
        <v>2178</v>
      </c>
      <c r="E5215" s="50" t="n">
        <v>1</v>
      </c>
      <c r="F5215" s="50" t="s">
        <v>2167</v>
      </c>
      <c r="G5215" s="54" t="n">
        <v>462200</v>
      </c>
    </row>
    <row r="5216" customFormat="false" ht="15" hidden="false" customHeight="false" outlineLevel="0" collapsed="false">
      <c r="A5216" s="50" t="s">
        <v>1794</v>
      </c>
      <c r="B5216" s="51" t="n">
        <v>45974</v>
      </c>
      <c r="C5216" s="50" t="s">
        <v>191</v>
      </c>
      <c r="D5216" s="50" t="s">
        <v>2180</v>
      </c>
      <c r="E5216" s="50" t="n">
        <v>8</v>
      </c>
      <c r="F5216" s="50" t="s">
        <v>2167</v>
      </c>
      <c r="G5216" s="54" t="n">
        <v>3625900</v>
      </c>
    </row>
    <row r="5217" customFormat="false" ht="15" hidden="false" customHeight="false" outlineLevel="0" collapsed="false">
      <c r="A5217" s="50" t="s">
        <v>1794</v>
      </c>
      <c r="B5217" s="51" t="n">
        <v>45974</v>
      </c>
      <c r="C5217" s="50" t="s">
        <v>191</v>
      </c>
      <c r="D5217" s="50" t="s">
        <v>2187</v>
      </c>
      <c r="E5217" s="50" t="n">
        <v>1</v>
      </c>
      <c r="F5217" s="50" t="s">
        <v>2167</v>
      </c>
      <c r="G5217" s="54" t="n">
        <v>350400</v>
      </c>
    </row>
    <row r="5218" customFormat="false" ht="15" hidden="false" customHeight="false" outlineLevel="0" collapsed="false">
      <c r="A5218" s="50" t="s">
        <v>1794</v>
      </c>
      <c r="B5218" s="51" t="n">
        <v>45974</v>
      </c>
      <c r="C5218" s="50" t="s">
        <v>191</v>
      </c>
      <c r="D5218" s="50" t="s">
        <v>2169</v>
      </c>
      <c r="E5218" s="50" t="n">
        <v>4</v>
      </c>
      <c r="F5218" s="50" t="s">
        <v>2167</v>
      </c>
      <c r="G5218" s="54" t="n">
        <v>2449300</v>
      </c>
    </row>
    <row r="5219" customFormat="false" ht="15" hidden="false" customHeight="false" outlineLevel="0" collapsed="false">
      <c r="A5219" s="50" t="s">
        <v>1794</v>
      </c>
      <c r="B5219" s="51" t="n">
        <v>45974</v>
      </c>
      <c r="C5219" s="50" t="s">
        <v>191</v>
      </c>
      <c r="D5219" s="50" t="s">
        <v>2173</v>
      </c>
      <c r="E5219" s="50" t="n">
        <v>5</v>
      </c>
      <c r="F5219" s="50" t="s">
        <v>2174</v>
      </c>
      <c r="G5219" s="54" t="n">
        <v>3902900</v>
      </c>
    </row>
    <row r="5220" customFormat="false" ht="15" hidden="false" customHeight="false" outlineLevel="0" collapsed="false">
      <c r="A5220" s="50" t="s">
        <v>1794</v>
      </c>
      <c r="B5220" s="51" t="n">
        <v>45974</v>
      </c>
      <c r="C5220" s="50" t="s">
        <v>191</v>
      </c>
      <c r="D5220" s="50" t="s">
        <v>2181</v>
      </c>
      <c r="E5220" s="50" t="n">
        <v>3</v>
      </c>
      <c r="F5220" s="50" t="s">
        <v>2167</v>
      </c>
      <c r="G5220" s="54" t="n">
        <v>3382400</v>
      </c>
    </row>
    <row r="5221" customFormat="false" ht="15" hidden="false" customHeight="false" outlineLevel="0" collapsed="false">
      <c r="A5221" s="50" t="s">
        <v>1794</v>
      </c>
      <c r="B5221" s="51" t="n">
        <v>45974</v>
      </c>
      <c r="C5221" s="50" t="s">
        <v>191</v>
      </c>
      <c r="D5221" s="50" t="s">
        <v>2176</v>
      </c>
      <c r="E5221" s="50" t="n">
        <v>5</v>
      </c>
      <c r="F5221" s="50" t="s">
        <v>2167</v>
      </c>
      <c r="G5221" s="54" t="n">
        <v>2079700</v>
      </c>
    </row>
    <row r="5222" customFormat="false" ht="15" hidden="false" customHeight="false" outlineLevel="0" collapsed="false">
      <c r="A5222" s="50" t="s">
        <v>1794</v>
      </c>
      <c r="B5222" s="51" t="n">
        <v>45974</v>
      </c>
      <c r="C5222" s="50" t="s">
        <v>191</v>
      </c>
      <c r="D5222" s="50" t="s">
        <v>2186</v>
      </c>
      <c r="E5222" s="50" t="n">
        <v>8</v>
      </c>
      <c r="F5222" s="50" t="s">
        <v>2167</v>
      </c>
      <c r="G5222" s="54" t="n">
        <v>4701200</v>
      </c>
    </row>
    <row r="5223" customFormat="false" ht="15" hidden="false" customHeight="false" outlineLevel="0" collapsed="false">
      <c r="A5223" s="50" t="s">
        <v>1794</v>
      </c>
      <c r="B5223" s="51" t="n">
        <v>45974</v>
      </c>
      <c r="C5223" s="50" t="s">
        <v>191</v>
      </c>
      <c r="D5223" s="50" t="s">
        <v>2184</v>
      </c>
      <c r="E5223" s="50" t="n">
        <v>1</v>
      </c>
      <c r="F5223" s="50" t="s">
        <v>2167</v>
      </c>
      <c r="G5223" s="54" t="n">
        <v>577100</v>
      </c>
    </row>
    <row r="5224" customFormat="false" ht="15" hidden="false" customHeight="false" outlineLevel="0" collapsed="false">
      <c r="A5224" s="50" t="s">
        <v>1795</v>
      </c>
      <c r="B5224" s="51" t="n">
        <v>45974</v>
      </c>
      <c r="C5224" s="50" t="s">
        <v>216</v>
      </c>
      <c r="D5224" s="50" t="s">
        <v>2176</v>
      </c>
      <c r="E5224" s="50" t="n">
        <v>5</v>
      </c>
      <c r="F5224" s="50" t="s">
        <v>2167</v>
      </c>
      <c r="G5224" s="54" t="n">
        <v>2084400</v>
      </c>
    </row>
    <row r="5225" customFormat="false" ht="15" hidden="false" customHeight="false" outlineLevel="0" collapsed="false">
      <c r="A5225" s="50" t="s">
        <v>1796</v>
      </c>
      <c r="B5225" s="51" t="n">
        <v>45974</v>
      </c>
      <c r="C5225" s="50" t="s">
        <v>467</v>
      </c>
      <c r="D5225" s="50" t="s">
        <v>2166</v>
      </c>
      <c r="E5225" s="50" t="n">
        <v>4</v>
      </c>
      <c r="F5225" s="50" t="s">
        <v>2167</v>
      </c>
      <c r="G5225" s="54" t="n">
        <v>2095700</v>
      </c>
    </row>
    <row r="5226" customFormat="false" ht="15" hidden="false" customHeight="false" outlineLevel="0" collapsed="false">
      <c r="A5226" s="50" t="s">
        <v>1796</v>
      </c>
      <c r="B5226" s="51" t="n">
        <v>45974</v>
      </c>
      <c r="C5226" s="50" t="s">
        <v>467</v>
      </c>
      <c r="D5226" s="50" t="s">
        <v>2185</v>
      </c>
      <c r="E5226" s="50" t="n">
        <v>7</v>
      </c>
      <c r="F5226" s="50" t="s">
        <v>2174</v>
      </c>
      <c r="G5226" s="54" t="n">
        <v>5610100</v>
      </c>
    </row>
    <row r="5227" customFormat="false" ht="15" hidden="false" customHeight="false" outlineLevel="0" collapsed="false">
      <c r="A5227" s="50" t="s">
        <v>1796</v>
      </c>
      <c r="B5227" s="51" t="n">
        <v>45974</v>
      </c>
      <c r="C5227" s="50" t="s">
        <v>467</v>
      </c>
      <c r="D5227" s="50" t="s">
        <v>2173</v>
      </c>
      <c r="E5227" s="50" t="n">
        <v>1</v>
      </c>
      <c r="F5227" s="50" t="s">
        <v>2174</v>
      </c>
      <c r="G5227" s="54" t="n">
        <v>794400</v>
      </c>
    </row>
    <row r="5228" customFormat="false" ht="15" hidden="false" customHeight="false" outlineLevel="0" collapsed="false">
      <c r="A5228" s="50" t="s">
        <v>1796</v>
      </c>
      <c r="B5228" s="51" t="n">
        <v>45974</v>
      </c>
      <c r="C5228" s="50" t="s">
        <v>467</v>
      </c>
      <c r="D5228" s="50" t="s">
        <v>2181</v>
      </c>
      <c r="E5228" s="50" t="n">
        <v>7</v>
      </c>
      <c r="F5228" s="50" t="s">
        <v>2167</v>
      </c>
      <c r="G5228" s="54" t="n">
        <v>8038200</v>
      </c>
    </row>
    <row r="5229" customFormat="false" ht="15" hidden="false" customHeight="false" outlineLevel="0" collapsed="false">
      <c r="A5229" s="50" t="s">
        <v>1798</v>
      </c>
      <c r="B5229" s="51" t="n">
        <v>45975</v>
      </c>
      <c r="C5229" s="50" t="s">
        <v>174</v>
      </c>
      <c r="D5229" s="50" t="s">
        <v>2180</v>
      </c>
      <c r="E5229" s="50" t="n">
        <v>4</v>
      </c>
      <c r="F5229" s="50" t="s">
        <v>2167</v>
      </c>
      <c r="G5229" s="54" t="n">
        <v>1792600</v>
      </c>
    </row>
    <row r="5230" customFormat="false" ht="15" hidden="false" customHeight="false" outlineLevel="0" collapsed="false">
      <c r="A5230" s="50" t="s">
        <v>1798</v>
      </c>
      <c r="B5230" s="51" t="n">
        <v>45975</v>
      </c>
      <c r="C5230" s="50" t="s">
        <v>174</v>
      </c>
      <c r="D5230" s="50" t="s">
        <v>2186</v>
      </c>
      <c r="E5230" s="50" t="n">
        <v>3</v>
      </c>
      <c r="F5230" s="50" t="s">
        <v>2167</v>
      </c>
      <c r="G5230" s="54" t="n">
        <v>1745600</v>
      </c>
    </row>
    <row r="5231" customFormat="false" ht="15" hidden="false" customHeight="false" outlineLevel="0" collapsed="false">
      <c r="A5231" s="50" t="s">
        <v>1799</v>
      </c>
      <c r="B5231" s="51" t="n">
        <v>45975</v>
      </c>
      <c r="C5231" s="50" t="s">
        <v>172</v>
      </c>
      <c r="D5231" s="50" t="s">
        <v>2169</v>
      </c>
      <c r="E5231" s="50" t="n">
        <v>3</v>
      </c>
      <c r="F5231" s="50" t="s">
        <v>2167</v>
      </c>
      <c r="G5231" s="54" t="n">
        <v>1843200</v>
      </c>
    </row>
    <row r="5232" customFormat="false" ht="15" hidden="false" customHeight="false" outlineLevel="0" collapsed="false">
      <c r="A5232" s="50" t="s">
        <v>1799</v>
      </c>
      <c r="B5232" s="51" t="n">
        <v>45975</v>
      </c>
      <c r="C5232" s="50" t="s">
        <v>172</v>
      </c>
      <c r="D5232" s="50" t="s">
        <v>2184</v>
      </c>
      <c r="E5232" s="50" t="n">
        <v>5</v>
      </c>
      <c r="F5232" s="50" t="s">
        <v>2167</v>
      </c>
      <c r="G5232" s="54" t="n">
        <v>2797900</v>
      </c>
    </row>
    <row r="5233" customFormat="false" ht="15" hidden="false" customHeight="false" outlineLevel="0" collapsed="false">
      <c r="A5233" s="50" t="s">
        <v>1799</v>
      </c>
      <c r="B5233" s="51" t="n">
        <v>45975</v>
      </c>
      <c r="C5233" s="50" t="s">
        <v>172</v>
      </c>
      <c r="D5233" s="50" t="s">
        <v>2180</v>
      </c>
      <c r="E5233" s="50" t="n">
        <v>5</v>
      </c>
      <c r="F5233" s="50" t="s">
        <v>2167</v>
      </c>
      <c r="G5233" s="54" t="n">
        <v>2237200</v>
      </c>
    </row>
    <row r="5234" customFormat="false" ht="15" hidden="false" customHeight="false" outlineLevel="0" collapsed="false">
      <c r="A5234" s="50" t="s">
        <v>1799</v>
      </c>
      <c r="B5234" s="51" t="n">
        <v>45975</v>
      </c>
      <c r="C5234" s="50" t="s">
        <v>172</v>
      </c>
      <c r="D5234" s="50" t="s">
        <v>2168</v>
      </c>
      <c r="E5234" s="50" t="n">
        <v>4</v>
      </c>
      <c r="F5234" s="50" t="s">
        <v>2167</v>
      </c>
      <c r="G5234" s="54" t="n">
        <v>1663500</v>
      </c>
    </row>
    <row r="5235" customFormat="false" ht="15" hidden="false" customHeight="false" outlineLevel="0" collapsed="false">
      <c r="A5235" s="50" t="s">
        <v>1800</v>
      </c>
      <c r="B5235" s="51" t="n">
        <v>45975</v>
      </c>
      <c r="C5235" s="50" t="s">
        <v>825</v>
      </c>
      <c r="D5235" s="50" t="s">
        <v>2177</v>
      </c>
      <c r="E5235" s="50" t="n">
        <v>4</v>
      </c>
      <c r="F5235" s="50" t="s">
        <v>2174</v>
      </c>
      <c r="G5235" s="54" t="n">
        <v>4409200</v>
      </c>
    </row>
    <row r="5236" customFormat="false" ht="15" hidden="false" customHeight="false" outlineLevel="0" collapsed="false">
      <c r="A5236" s="50" t="s">
        <v>1800</v>
      </c>
      <c r="B5236" s="51" t="n">
        <v>45975</v>
      </c>
      <c r="C5236" s="50" t="s">
        <v>825</v>
      </c>
      <c r="D5236" s="50" t="s">
        <v>2179</v>
      </c>
      <c r="E5236" s="50" t="n">
        <v>8</v>
      </c>
      <c r="F5236" s="50" t="s">
        <v>2174</v>
      </c>
      <c r="G5236" s="54" t="n">
        <v>10086800</v>
      </c>
    </row>
    <row r="5237" customFormat="false" ht="15" hidden="false" customHeight="false" outlineLevel="0" collapsed="false">
      <c r="A5237" s="50" t="s">
        <v>1800</v>
      </c>
      <c r="B5237" s="51" t="n">
        <v>45975</v>
      </c>
      <c r="C5237" s="50" t="s">
        <v>825</v>
      </c>
      <c r="D5237" s="50" t="s">
        <v>2168</v>
      </c>
      <c r="E5237" s="50" t="n">
        <v>4</v>
      </c>
      <c r="F5237" s="50" t="s">
        <v>2167</v>
      </c>
      <c r="G5237" s="54" t="n">
        <v>1785200</v>
      </c>
    </row>
    <row r="5238" customFormat="false" ht="15" hidden="false" customHeight="false" outlineLevel="0" collapsed="false">
      <c r="A5238" s="50" t="s">
        <v>1802</v>
      </c>
      <c r="B5238" s="51" t="n">
        <v>45975</v>
      </c>
      <c r="C5238" s="50" t="s">
        <v>1048</v>
      </c>
      <c r="D5238" s="50" t="s">
        <v>2178</v>
      </c>
      <c r="E5238" s="50" t="n">
        <v>8</v>
      </c>
      <c r="F5238" s="50" t="s">
        <v>2167</v>
      </c>
      <c r="G5238" s="54" t="n">
        <v>3732600</v>
      </c>
    </row>
    <row r="5239" customFormat="false" ht="15" hidden="false" customHeight="false" outlineLevel="0" collapsed="false">
      <c r="A5239" s="50" t="s">
        <v>1802</v>
      </c>
      <c r="B5239" s="51" t="n">
        <v>45975</v>
      </c>
      <c r="C5239" s="50" t="s">
        <v>1048</v>
      </c>
      <c r="D5239" s="50" t="s">
        <v>2176</v>
      </c>
      <c r="E5239" s="50" t="n">
        <v>8</v>
      </c>
      <c r="F5239" s="50" t="s">
        <v>2167</v>
      </c>
      <c r="G5239" s="54" t="n">
        <v>3482000</v>
      </c>
    </row>
    <row r="5240" customFormat="false" ht="15" hidden="false" customHeight="false" outlineLevel="0" collapsed="false">
      <c r="A5240" s="50" t="s">
        <v>1802</v>
      </c>
      <c r="B5240" s="51" t="n">
        <v>45975</v>
      </c>
      <c r="C5240" s="50" t="s">
        <v>1048</v>
      </c>
      <c r="D5240" s="50" t="s">
        <v>2168</v>
      </c>
      <c r="E5240" s="50" t="n">
        <v>3</v>
      </c>
      <c r="F5240" s="50" t="s">
        <v>2167</v>
      </c>
      <c r="G5240" s="54" t="n">
        <v>1250900</v>
      </c>
    </row>
    <row r="5241" customFormat="false" ht="15" hidden="false" customHeight="false" outlineLevel="0" collapsed="false">
      <c r="A5241" s="50" t="s">
        <v>1802</v>
      </c>
      <c r="B5241" s="51" t="n">
        <v>45975</v>
      </c>
      <c r="C5241" s="50" t="s">
        <v>1048</v>
      </c>
      <c r="D5241" s="50" t="s">
        <v>2180</v>
      </c>
      <c r="E5241" s="50" t="n">
        <v>3</v>
      </c>
      <c r="F5241" s="50" t="s">
        <v>2167</v>
      </c>
      <c r="G5241" s="54" t="n">
        <v>1335500</v>
      </c>
    </row>
    <row r="5242" customFormat="false" ht="15" hidden="false" customHeight="false" outlineLevel="0" collapsed="false">
      <c r="A5242" s="50" t="s">
        <v>1803</v>
      </c>
      <c r="B5242" s="51" t="n">
        <v>45975</v>
      </c>
      <c r="C5242" s="50" t="s">
        <v>170</v>
      </c>
      <c r="D5242" s="50" t="s">
        <v>2175</v>
      </c>
      <c r="E5242" s="50" t="n">
        <v>7</v>
      </c>
      <c r="F5242" s="50" t="s">
        <v>2167</v>
      </c>
      <c r="G5242" s="54" t="n">
        <v>4341900</v>
      </c>
    </row>
    <row r="5243" customFormat="false" ht="15" hidden="false" customHeight="false" outlineLevel="0" collapsed="false">
      <c r="A5243" s="50" t="s">
        <v>1804</v>
      </c>
      <c r="B5243" s="51" t="n">
        <v>45975</v>
      </c>
      <c r="C5243" s="50" t="s">
        <v>237</v>
      </c>
      <c r="D5243" s="50" t="s">
        <v>2180</v>
      </c>
      <c r="E5243" s="50" t="n">
        <v>7</v>
      </c>
      <c r="F5243" s="50" t="s">
        <v>2167</v>
      </c>
      <c r="G5243" s="54" t="n">
        <v>3127800</v>
      </c>
    </row>
    <row r="5244" customFormat="false" ht="15" hidden="false" customHeight="false" outlineLevel="0" collapsed="false">
      <c r="A5244" s="50" t="s">
        <v>1805</v>
      </c>
      <c r="B5244" s="51" t="n">
        <v>45976</v>
      </c>
      <c r="C5244" s="50" t="s">
        <v>179</v>
      </c>
      <c r="D5244" s="50" t="s">
        <v>2185</v>
      </c>
      <c r="E5244" s="50" t="n">
        <v>3</v>
      </c>
      <c r="F5244" s="50" t="s">
        <v>2174</v>
      </c>
      <c r="G5244" s="54" t="n">
        <v>2254800</v>
      </c>
    </row>
    <row r="5245" customFormat="false" ht="15" hidden="false" customHeight="false" outlineLevel="0" collapsed="false">
      <c r="A5245" s="50" t="s">
        <v>1805</v>
      </c>
      <c r="B5245" s="51" t="n">
        <v>45976</v>
      </c>
      <c r="C5245" s="50" t="s">
        <v>179</v>
      </c>
      <c r="D5245" s="50" t="s">
        <v>2187</v>
      </c>
      <c r="E5245" s="50" t="n">
        <v>3</v>
      </c>
      <c r="F5245" s="50" t="s">
        <v>2167</v>
      </c>
      <c r="G5245" s="54" t="n">
        <v>1024600</v>
      </c>
    </row>
    <row r="5246" customFormat="false" ht="15" hidden="false" customHeight="false" outlineLevel="0" collapsed="false">
      <c r="A5246" s="50" t="s">
        <v>1805</v>
      </c>
      <c r="B5246" s="51" t="n">
        <v>45976</v>
      </c>
      <c r="C5246" s="50" t="s">
        <v>179</v>
      </c>
      <c r="D5246" s="50" t="s">
        <v>2182</v>
      </c>
      <c r="E5246" s="50" t="n">
        <v>5</v>
      </c>
      <c r="F5246" s="50" t="s">
        <v>2174</v>
      </c>
      <c r="G5246" s="54" t="n">
        <v>4653500</v>
      </c>
    </row>
    <row r="5247" customFormat="false" ht="15" hidden="false" customHeight="false" outlineLevel="0" collapsed="false">
      <c r="A5247" s="50" t="s">
        <v>1805</v>
      </c>
      <c r="B5247" s="51" t="n">
        <v>45976</v>
      </c>
      <c r="C5247" s="50" t="s">
        <v>179</v>
      </c>
      <c r="D5247" s="50" t="s">
        <v>2172</v>
      </c>
      <c r="E5247" s="50" t="n">
        <v>6</v>
      </c>
      <c r="F5247" s="50" t="s">
        <v>2167</v>
      </c>
      <c r="G5247" s="54" t="n">
        <v>3009200</v>
      </c>
    </row>
    <row r="5248" customFormat="false" ht="15" hidden="false" customHeight="false" outlineLevel="0" collapsed="false">
      <c r="A5248" s="50" t="s">
        <v>1806</v>
      </c>
      <c r="B5248" s="51" t="n">
        <v>45976</v>
      </c>
      <c r="C5248" s="50" t="s">
        <v>199</v>
      </c>
      <c r="D5248" s="50" t="s">
        <v>2186</v>
      </c>
      <c r="E5248" s="50" t="n">
        <v>2</v>
      </c>
      <c r="F5248" s="50" t="s">
        <v>2167</v>
      </c>
      <c r="G5248" s="54" t="n">
        <v>1215900</v>
      </c>
    </row>
    <row r="5249" customFormat="false" ht="15" hidden="false" customHeight="false" outlineLevel="0" collapsed="false">
      <c r="A5249" s="50" t="s">
        <v>1807</v>
      </c>
      <c r="B5249" s="51" t="n">
        <v>45976</v>
      </c>
      <c r="C5249" s="50" t="s">
        <v>278</v>
      </c>
      <c r="D5249" s="50" t="s">
        <v>2188</v>
      </c>
      <c r="E5249" s="50" t="n">
        <v>2</v>
      </c>
      <c r="F5249" s="50" t="s">
        <v>2167</v>
      </c>
      <c r="G5249" s="54" t="n">
        <v>1948800</v>
      </c>
    </row>
    <row r="5250" customFormat="false" ht="15" hidden="false" customHeight="false" outlineLevel="0" collapsed="false">
      <c r="A5250" s="50" t="s">
        <v>1807</v>
      </c>
      <c r="B5250" s="51" t="n">
        <v>45976</v>
      </c>
      <c r="C5250" s="50" t="s">
        <v>278</v>
      </c>
      <c r="D5250" s="50" t="s">
        <v>2184</v>
      </c>
      <c r="E5250" s="50" t="n">
        <v>4</v>
      </c>
      <c r="F5250" s="50" t="s">
        <v>2167</v>
      </c>
      <c r="G5250" s="54" t="n">
        <v>2293400</v>
      </c>
    </row>
    <row r="5251" customFormat="false" ht="15" hidden="false" customHeight="false" outlineLevel="0" collapsed="false">
      <c r="A5251" s="50" t="s">
        <v>1807</v>
      </c>
      <c r="B5251" s="51" t="n">
        <v>45976</v>
      </c>
      <c r="C5251" s="50" t="s">
        <v>278</v>
      </c>
      <c r="D5251" s="50" t="s">
        <v>2178</v>
      </c>
      <c r="E5251" s="50" t="n">
        <v>7</v>
      </c>
      <c r="F5251" s="50" t="s">
        <v>2167</v>
      </c>
      <c r="G5251" s="54" t="n">
        <v>3278100</v>
      </c>
    </row>
    <row r="5252" customFormat="false" ht="15" hidden="false" customHeight="false" outlineLevel="0" collapsed="false">
      <c r="A5252" s="50" t="s">
        <v>1807</v>
      </c>
      <c r="B5252" s="51" t="n">
        <v>45976</v>
      </c>
      <c r="C5252" s="50" t="s">
        <v>278</v>
      </c>
      <c r="D5252" s="50" t="s">
        <v>2186</v>
      </c>
      <c r="E5252" s="50" t="n">
        <v>8</v>
      </c>
      <c r="F5252" s="50" t="s">
        <v>2167</v>
      </c>
      <c r="G5252" s="54" t="n">
        <v>4782200</v>
      </c>
    </row>
    <row r="5253" customFormat="false" ht="15" hidden="false" customHeight="false" outlineLevel="0" collapsed="false">
      <c r="A5253" s="50" t="s">
        <v>1807</v>
      </c>
      <c r="B5253" s="51" t="n">
        <v>45976</v>
      </c>
      <c r="C5253" s="50" t="s">
        <v>278</v>
      </c>
      <c r="D5253" s="50" t="s">
        <v>2176</v>
      </c>
      <c r="E5253" s="50" t="n">
        <v>2</v>
      </c>
      <c r="F5253" s="50" t="s">
        <v>2167</v>
      </c>
      <c r="G5253" s="54" t="n">
        <v>840400</v>
      </c>
    </row>
    <row r="5254" customFormat="false" ht="15" hidden="false" customHeight="false" outlineLevel="0" collapsed="false">
      <c r="A5254" s="50" t="s">
        <v>1808</v>
      </c>
      <c r="B5254" s="51" t="n">
        <v>45976</v>
      </c>
      <c r="C5254" s="50" t="s">
        <v>1399</v>
      </c>
      <c r="D5254" s="50" t="s">
        <v>2179</v>
      </c>
      <c r="E5254" s="50" t="n">
        <v>6</v>
      </c>
      <c r="F5254" s="50" t="s">
        <v>2174</v>
      </c>
      <c r="G5254" s="54" t="n">
        <v>7225800</v>
      </c>
    </row>
    <row r="5255" customFormat="false" ht="15" hidden="false" customHeight="false" outlineLevel="0" collapsed="false">
      <c r="A5255" s="50" t="s">
        <v>1808</v>
      </c>
      <c r="B5255" s="51" t="n">
        <v>45976</v>
      </c>
      <c r="C5255" s="50" t="s">
        <v>1399</v>
      </c>
      <c r="D5255" s="50" t="s">
        <v>2168</v>
      </c>
      <c r="E5255" s="50" t="n">
        <v>1</v>
      </c>
      <c r="F5255" s="50" t="s">
        <v>2167</v>
      </c>
      <c r="G5255" s="54" t="n">
        <v>433800</v>
      </c>
    </row>
    <row r="5256" customFormat="false" ht="15" hidden="false" customHeight="false" outlineLevel="0" collapsed="false">
      <c r="A5256" s="50" t="s">
        <v>1809</v>
      </c>
      <c r="B5256" s="51" t="n">
        <v>45978</v>
      </c>
      <c r="C5256" s="50" t="s">
        <v>505</v>
      </c>
      <c r="D5256" s="50" t="s">
        <v>2181</v>
      </c>
      <c r="E5256" s="50" t="n">
        <v>3</v>
      </c>
      <c r="F5256" s="50" t="s">
        <v>2167</v>
      </c>
      <c r="G5256" s="54" t="n">
        <v>3487100</v>
      </c>
    </row>
    <row r="5257" customFormat="false" ht="15" hidden="false" customHeight="false" outlineLevel="0" collapsed="false">
      <c r="A5257" s="50" t="s">
        <v>1809</v>
      </c>
      <c r="B5257" s="51" t="n">
        <v>45978</v>
      </c>
      <c r="C5257" s="50" t="s">
        <v>505</v>
      </c>
      <c r="D5257" s="50" t="s">
        <v>2187</v>
      </c>
      <c r="E5257" s="50" t="n">
        <v>3</v>
      </c>
      <c r="F5257" s="50" t="s">
        <v>2167</v>
      </c>
      <c r="G5257" s="54" t="n">
        <v>1013600</v>
      </c>
    </row>
    <row r="5258" customFormat="false" ht="15" hidden="false" customHeight="false" outlineLevel="0" collapsed="false">
      <c r="A5258" s="50" t="s">
        <v>1809</v>
      </c>
      <c r="B5258" s="51" t="n">
        <v>45978</v>
      </c>
      <c r="C5258" s="50" t="s">
        <v>505</v>
      </c>
      <c r="D5258" s="50" t="s">
        <v>2169</v>
      </c>
      <c r="E5258" s="50" t="n">
        <v>2</v>
      </c>
      <c r="F5258" s="50" t="s">
        <v>2167</v>
      </c>
      <c r="G5258" s="54" t="n">
        <v>1246300</v>
      </c>
    </row>
    <row r="5259" customFormat="false" ht="15" hidden="false" customHeight="false" outlineLevel="0" collapsed="false">
      <c r="A5259" s="50" t="s">
        <v>1810</v>
      </c>
      <c r="B5259" s="51" t="n">
        <v>45978</v>
      </c>
      <c r="C5259" s="50" t="s">
        <v>358</v>
      </c>
      <c r="D5259" s="50" t="s">
        <v>2169</v>
      </c>
      <c r="E5259" s="50" t="n">
        <v>7</v>
      </c>
      <c r="F5259" s="50" t="s">
        <v>2167</v>
      </c>
      <c r="G5259" s="54" t="n">
        <v>4223800</v>
      </c>
    </row>
    <row r="5260" customFormat="false" ht="15" hidden="false" customHeight="false" outlineLevel="0" collapsed="false">
      <c r="A5260" s="50" t="s">
        <v>1810</v>
      </c>
      <c r="B5260" s="51" t="n">
        <v>45978</v>
      </c>
      <c r="C5260" s="50" t="s">
        <v>358</v>
      </c>
      <c r="D5260" s="50" t="s">
        <v>2184</v>
      </c>
      <c r="E5260" s="50" t="n">
        <v>6</v>
      </c>
      <c r="F5260" s="50" t="s">
        <v>2167</v>
      </c>
      <c r="G5260" s="54" t="n">
        <v>3476100</v>
      </c>
    </row>
    <row r="5261" customFormat="false" ht="15" hidden="false" customHeight="false" outlineLevel="0" collapsed="false">
      <c r="A5261" s="50" t="s">
        <v>1810</v>
      </c>
      <c r="B5261" s="51" t="n">
        <v>45978</v>
      </c>
      <c r="C5261" s="50" t="s">
        <v>358</v>
      </c>
      <c r="D5261" s="50" t="s">
        <v>2179</v>
      </c>
      <c r="E5261" s="50" t="n">
        <v>4</v>
      </c>
      <c r="F5261" s="50" t="s">
        <v>2174</v>
      </c>
      <c r="G5261" s="54" t="n">
        <v>5165400</v>
      </c>
    </row>
    <row r="5262" customFormat="false" ht="15" hidden="false" customHeight="false" outlineLevel="0" collapsed="false">
      <c r="A5262" s="50" t="s">
        <v>1810</v>
      </c>
      <c r="B5262" s="51" t="n">
        <v>45978</v>
      </c>
      <c r="C5262" s="50" t="s">
        <v>358</v>
      </c>
      <c r="D5262" s="50" t="s">
        <v>2186</v>
      </c>
      <c r="E5262" s="50" t="n">
        <v>2</v>
      </c>
      <c r="F5262" s="50" t="s">
        <v>2167</v>
      </c>
      <c r="G5262" s="54" t="n">
        <v>1219800</v>
      </c>
    </row>
    <row r="5263" customFormat="false" ht="15" hidden="false" customHeight="false" outlineLevel="0" collapsed="false">
      <c r="A5263" s="50" t="s">
        <v>1811</v>
      </c>
      <c r="B5263" s="51" t="n">
        <v>45978</v>
      </c>
      <c r="C5263" s="50" t="s">
        <v>293</v>
      </c>
      <c r="D5263" s="50" t="s">
        <v>2177</v>
      </c>
      <c r="E5263" s="50" t="n">
        <v>5</v>
      </c>
      <c r="F5263" s="50" t="s">
        <v>2174</v>
      </c>
      <c r="G5263" s="54" t="n">
        <v>5710900</v>
      </c>
    </row>
    <row r="5264" customFormat="false" ht="15" hidden="false" customHeight="false" outlineLevel="0" collapsed="false">
      <c r="A5264" s="50" t="s">
        <v>1811</v>
      </c>
      <c r="B5264" s="51" t="n">
        <v>45978</v>
      </c>
      <c r="C5264" s="50" t="s">
        <v>293</v>
      </c>
      <c r="D5264" s="50" t="s">
        <v>2180</v>
      </c>
      <c r="E5264" s="50" t="n">
        <v>6</v>
      </c>
      <c r="F5264" s="50" t="s">
        <v>2167</v>
      </c>
      <c r="G5264" s="54" t="n">
        <v>2721300</v>
      </c>
    </row>
    <row r="5265" customFormat="false" ht="15" hidden="false" customHeight="false" outlineLevel="0" collapsed="false">
      <c r="A5265" s="50" t="s">
        <v>1811</v>
      </c>
      <c r="B5265" s="51" t="n">
        <v>45978</v>
      </c>
      <c r="C5265" s="50" t="s">
        <v>293</v>
      </c>
      <c r="D5265" s="50" t="s">
        <v>2176</v>
      </c>
      <c r="E5265" s="50" t="n">
        <v>1</v>
      </c>
      <c r="F5265" s="50" t="s">
        <v>2167</v>
      </c>
      <c r="G5265" s="54" t="n">
        <v>411000</v>
      </c>
    </row>
    <row r="5266" customFormat="false" ht="15" hidden="false" customHeight="false" outlineLevel="0" collapsed="false">
      <c r="A5266" s="50" t="s">
        <v>1812</v>
      </c>
      <c r="B5266" s="51" t="n">
        <v>45978</v>
      </c>
      <c r="C5266" s="50" t="s">
        <v>174</v>
      </c>
      <c r="D5266" s="50" t="s">
        <v>2166</v>
      </c>
      <c r="E5266" s="50" t="n">
        <v>7</v>
      </c>
      <c r="F5266" s="50" t="s">
        <v>2167</v>
      </c>
      <c r="G5266" s="54" t="n">
        <v>3780200</v>
      </c>
    </row>
    <row r="5267" customFormat="false" ht="15" hidden="false" customHeight="false" outlineLevel="0" collapsed="false">
      <c r="A5267" s="50" t="s">
        <v>1812</v>
      </c>
      <c r="B5267" s="51" t="n">
        <v>45978</v>
      </c>
      <c r="C5267" s="50" t="s">
        <v>174</v>
      </c>
      <c r="D5267" s="50" t="s">
        <v>2169</v>
      </c>
      <c r="E5267" s="50" t="n">
        <v>2</v>
      </c>
      <c r="F5267" s="50" t="s">
        <v>2167</v>
      </c>
      <c r="G5267" s="54" t="n">
        <v>1217300</v>
      </c>
    </row>
    <row r="5268" customFormat="false" ht="15" hidden="false" customHeight="false" outlineLevel="0" collapsed="false">
      <c r="A5268" s="50" t="s">
        <v>1812</v>
      </c>
      <c r="B5268" s="51" t="n">
        <v>45978</v>
      </c>
      <c r="C5268" s="50" t="s">
        <v>174</v>
      </c>
      <c r="D5268" s="50" t="s">
        <v>2178</v>
      </c>
      <c r="E5268" s="50" t="n">
        <v>6</v>
      </c>
      <c r="F5268" s="50" t="s">
        <v>2167</v>
      </c>
      <c r="G5268" s="54" t="n">
        <v>2964200</v>
      </c>
    </row>
    <row r="5269" customFormat="false" ht="15" hidden="false" customHeight="false" outlineLevel="0" collapsed="false">
      <c r="A5269" s="50" t="s">
        <v>1813</v>
      </c>
      <c r="B5269" s="51" t="n">
        <v>45978</v>
      </c>
      <c r="C5269" s="50" t="s">
        <v>177</v>
      </c>
      <c r="D5269" s="50" t="s">
        <v>2172</v>
      </c>
      <c r="E5269" s="50" t="n">
        <v>4</v>
      </c>
      <c r="F5269" s="50" t="s">
        <v>2167</v>
      </c>
      <c r="G5269" s="54" t="n">
        <v>2059900</v>
      </c>
    </row>
    <row r="5270" customFormat="false" ht="15" hidden="false" customHeight="false" outlineLevel="0" collapsed="false">
      <c r="A5270" s="50" t="s">
        <v>1813</v>
      </c>
      <c r="B5270" s="51" t="n">
        <v>45978</v>
      </c>
      <c r="C5270" s="50" t="s">
        <v>177</v>
      </c>
      <c r="D5270" s="50" t="s">
        <v>2169</v>
      </c>
      <c r="E5270" s="50" t="n">
        <v>1</v>
      </c>
      <c r="F5270" s="50" t="s">
        <v>2167</v>
      </c>
      <c r="G5270" s="54" t="n">
        <v>607200</v>
      </c>
    </row>
    <row r="5271" customFormat="false" ht="15" hidden="false" customHeight="false" outlineLevel="0" collapsed="false">
      <c r="A5271" s="50" t="s">
        <v>1814</v>
      </c>
      <c r="B5271" s="51" t="n">
        <v>45979</v>
      </c>
      <c r="C5271" s="50" t="s">
        <v>205</v>
      </c>
      <c r="D5271" s="50" t="s">
        <v>2178</v>
      </c>
      <c r="E5271" s="50" t="n">
        <v>5</v>
      </c>
      <c r="F5271" s="50" t="s">
        <v>2167</v>
      </c>
      <c r="G5271" s="54" t="n">
        <v>2374600</v>
      </c>
    </row>
    <row r="5272" customFormat="false" ht="15" hidden="false" customHeight="false" outlineLevel="0" collapsed="false">
      <c r="A5272" s="50" t="s">
        <v>1814</v>
      </c>
      <c r="B5272" s="51" t="n">
        <v>45979</v>
      </c>
      <c r="C5272" s="50" t="s">
        <v>205</v>
      </c>
      <c r="D5272" s="50" t="s">
        <v>2183</v>
      </c>
      <c r="E5272" s="50" t="n">
        <v>3</v>
      </c>
      <c r="F5272" s="50" t="s">
        <v>2167</v>
      </c>
      <c r="G5272" s="54" t="n">
        <v>1126200</v>
      </c>
    </row>
    <row r="5273" customFormat="false" ht="15" hidden="false" customHeight="false" outlineLevel="0" collapsed="false">
      <c r="A5273" s="50" t="s">
        <v>1814</v>
      </c>
      <c r="B5273" s="51" t="n">
        <v>45979</v>
      </c>
      <c r="C5273" s="50" t="s">
        <v>205</v>
      </c>
      <c r="D5273" s="50" t="s">
        <v>2179</v>
      </c>
      <c r="E5273" s="50" t="n">
        <v>1</v>
      </c>
      <c r="F5273" s="50" t="s">
        <v>2174</v>
      </c>
      <c r="G5273" s="54" t="n">
        <v>1278200</v>
      </c>
    </row>
    <row r="5274" customFormat="false" ht="15" hidden="false" customHeight="false" outlineLevel="0" collapsed="false">
      <c r="A5274" s="50" t="s">
        <v>1814</v>
      </c>
      <c r="B5274" s="51" t="n">
        <v>45979</v>
      </c>
      <c r="C5274" s="50" t="s">
        <v>205</v>
      </c>
      <c r="D5274" s="50" t="s">
        <v>2185</v>
      </c>
      <c r="E5274" s="50" t="n">
        <v>1</v>
      </c>
      <c r="F5274" s="50" t="s">
        <v>2174</v>
      </c>
      <c r="G5274" s="54" t="n">
        <v>800700</v>
      </c>
    </row>
    <row r="5275" customFormat="false" ht="15" hidden="false" customHeight="false" outlineLevel="0" collapsed="false">
      <c r="A5275" s="50" t="s">
        <v>1815</v>
      </c>
      <c r="B5275" s="51" t="n">
        <v>45979</v>
      </c>
      <c r="C5275" s="50" t="s">
        <v>188</v>
      </c>
      <c r="D5275" s="50" t="s">
        <v>2188</v>
      </c>
      <c r="E5275" s="50" t="n">
        <v>6</v>
      </c>
      <c r="F5275" s="50" t="s">
        <v>2167</v>
      </c>
      <c r="G5275" s="54" t="n">
        <v>5791000</v>
      </c>
    </row>
    <row r="5276" customFormat="false" ht="15" hidden="false" customHeight="false" outlineLevel="0" collapsed="false">
      <c r="A5276" s="50" t="s">
        <v>1815</v>
      </c>
      <c r="B5276" s="51" t="n">
        <v>45979</v>
      </c>
      <c r="C5276" s="50" t="s">
        <v>188</v>
      </c>
      <c r="D5276" s="50" t="s">
        <v>2172</v>
      </c>
      <c r="E5276" s="50" t="n">
        <v>4</v>
      </c>
      <c r="F5276" s="50" t="s">
        <v>2167</v>
      </c>
      <c r="G5276" s="54" t="n">
        <v>2135400</v>
      </c>
    </row>
    <row r="5277" customFormat="false" ht="15" hidden="false" customHeight="false" outlineLevel="0" collapsed="false">
      <c r="A5277" s="50" t="s">
        <v>1815</v>
      </c>
      <c r="B5277" s="51" t="n">
        <v>45979</v>
      </c>
      <c r="C5277" s="50" t="s">
        <v>188</v>
      </c>
      <c r="D5277" s="50" t="s">
        <v>2186</v>
      </c>
      <c r="E5277" s="50" t="n">
        <v>3</v>
      </c>
      <c r="F5277" s="50" t="s">
        <v>2167</v>
      </c>
      <c r="G5277" s="54" t="n">
        <v>1720900</v>
      </c>
    </row>
    <row r="5278" customFormat="false" ht="15" hidden="false" customHeight="false" outlineLevel="0" collapsed="false">
      <c r="A5278" s="50" t="s">
        <v>1816</v>
      </c>
      <c r="B5278" s="51" t="n">
        <v>45979</v>
      </c>
      <c r="C5278" s="50" t="s">
        <v>239</v>
      </c>
      <c r="D5278" s="50" t="s">
        <v>2166</v>
      </c>
      <c r="E5278" s="50" t="n">
        <v>7</v>
      </c>
      <c r="F5278" s="50" t="s">
        <v>2167</v>
      </c>
      <c r="G5278" s="54" t="n">
        <v>3773800</v>
      </c>
    </row>
    <row r="5279" customFormat="false" ht="15" hidden="false" customHeight="false" outlineLevel="0" collapsed="false">
      <c r="A5279" s="50" t="s">
        <v>1816</v>
      </c>
      <c r="B5279" s="51" t="n">
        <v>45979</v>
      </c>
      <c r="C5279" s="50" t="s">
        <v>239</v>
      </c>
      <c r="D5279" s="50" t="s">
        <v>2183</v>
      </c>
      <c r="E5279" s="50" t="n">
        <v>4</v>
      </c>
      <c r="F5279" s="50" t="s">
        <v>2167</v>
      </c>
      <c r="G5279" s="54" t="n">
        <v>1473900</v>
      </c>
    </row>
    <row r="5280" customFormat="false" ht="15" hidden="false" customHeight="false" outlineLevel="0" collapsed="false">
      <c r="A5280" s="50" t="s">
        <v>1817</v>
      </c>
      <c r="B5280" s="51" t="n">
        <v>45979</v>
      </c>
      <c r="C5280" s="50" t="s">
        <v>166</v>
      </c>
      <c r="D5280" s="50" t="s">
        <v>2188</v>
      </c>
      <c r="E5280" s="50" t="n">
        <v>2</v>
      </c>
      <c r="F5280" s="50" t="s">
        <v>2167</v>
      </c>
      <c r="G5280" s="54" t="n">
        <v>1985500</v>
      </c>
    </row>
    <row r="5281" customFormat="false" ht="15" hidden="false" customHeight="false" outlineLevel="0" collapsed="false">
      <c r="A5281" s="50" t="s">
        <v>1817</v>
      </c>
      <c r="B5281" s="51" t="n">
        <v>45979</v>
      </c>
      <c r="C5281" s="50" t="s">
        <v>166</v>
      </c>
      <c r="D5281" s="50" t="s">
        <v>2176</v>
      </c>
      <c r="E5281" s="50" t="n">
        <v>3</v>
      </c>
      <c r="F5281" s="50" t="s">
        <v>2167</v>
      </c>
      <c r="G5281" s="54" t="n">
        <v>1239700</v>
      </c>
    </row>
    <row r="5282" customFormat="false" ht="15" hidden="false" customHeight="false" outlineLevel="0" collapsed="false">
      <c r="A5282" s="50" t="s">
        <v>1818</v>
      </c>
      <c r="B5282" s="51" t="n">
        <v>45979</v>
      </c>
      <c r="C5282" s="50" t="s">
        <v>205</v>
      </c>
      <c r="D5282" s="50" t="s">
        <v>2170</v>
      </c>
      <c r="E5282" s="50" t="n">
        <v>2</v>
      </c>
      <c r="F5282" s="50" t="s">
        <v>2171</v>
      </c>
      <c r="G5282" s="54" t="n">
        <v>14873100</v>
      </c>
    </row>
    <row r="5283" customFormat="false" ht="15" hidden="false" customHeight="false" outlineLevel="0" collapsed="false">
      <c r="A5283" s="50" t="s">
        <v>1818</v>
      </c>
      <c r="B5283" s="51" t="n">
        <v>45979</v>
      </c>
      <c r="C5283" s="50" t="s">
        <v>205</v>
      </c>
      <c r="D5283" s="50" t="s">
        <v>2183</v>
      </c>
      <c r="E5283" s="50" t="n">
        <v>6</v>
      </c>
      <c r="F5283" s="50" t="s">
        <v>2167</v>
      </c>
      <c r="G5283" s="54" t="n">
        <v>2207800</v>
      </c>
    </row>
    <row r="5284" customFormat="false" ht="15" hidden="false" customHeight="false" outlineLevel="0" collapsed="false">
      <c r="A5284" s="50" t="s">
        <v>1818</v>
      </c>
      <c r="B5284" s="51" t="n">
        <v>45979</v>
      </c>
      <c r="C5284" s="50" t="s">
        <v>205</v>
      </c>
      <c r="D5284" s="50" t="s">
        <v>2173</v>
      </c>
      <c r="E5284" s="50" t="n">
        <v>6</v>
      </c>
      <c r="F5284" s="50" t="s">
        <v>2174</v>
      </c>
      <c r="G5284" s="54" t="n">
        <v>4916700</v>
      </c>
    </row>
    <row r="5285" customFormat="false" ht="15" hidden="false" customHeight="false" outlineLevel="0" collapsed="false">
      <c r="A5285" s="50" t="s">
        <v>1818</v>
      </c>
      <c r="B5285" s="51" t="n">
        <v>45979</v>
      </c>
      <c r="C5285" s="50" t="s">
        <v>205</v>
      </c>
      <c r="D5285" s="50" t="s">
        <v>2181</v>
      </c>
      <c r="E5285" s="50" t="n">
        <v>2</v>
      </c>
      <c r="F5285" s="50" t="s">
        <v>2167</v>
      </c>
      <c r="G5285" s="54" t="n">
        <v>2347200</v>
      </c>
    </row>
    <row r="5286" customFormat="false" ht="15" hidden="false" customHeight="false" outlineLevel="0" collapsed="false">
      <c r="A5286" s="50" t="s">
        <v>1819</v>
      </c>
      <c r="B5286" s="51" t="n">
        <v>45979</v>
      </c>
      <c r="C5286" s="50" t="s">
        <v>197</v>
      </c>
      <c r="D5286" s="50" t="s">
        <v>2181</v>
      </c>
      <c r="E5286" s="50" t="n">
        <v>1</v>
      </c>
      <c r="F5286" s="50" t="s">
        <v>2167</v>
      </c>
      <c r="G5286" s="54" t="n">
        <v>1130000</v>
      </c>
    </row>
    <row r="5287" customFormat="false" ht="15" hidden="false" customHeight="false" outlineLevel="0" collapsed="false">
      <c r="A5287" s="50" t="s">
        <v>1819</v>
      </c>
      <c r="B5287" s="51" t="n">
        <v>45979</v>
      </c>
      <c r="C5287" s="50" t="s">
        <v>197</v>
      </c>
      <c r="D5287" s="50" t="s">
        <v>2168</v>
      </c>
      <c r="E5287" s="50" t="n">
        <v>1</v>
      </c>
      <c r="F5287" s="50" t="s">
        <v>2167</v>
      </c>
      <c r="G5287" s="54" t="n">
        <v>427900</v>
      </c>
    </row>
    <row r="5288" customFormat="false" ht="15" hidden="false" customHeight="false" outlineLevel="0" collapsed="false">
      <c r="A5288" s="50" t="s">
        <v>1819</v>
      </c>
      <c r="B5288" s="51" t="n">
        <v>45979</v>
      </c>
      <c r="C5288" s="50" t="s">
        <v>197</v>
      </c>
      <c r="D5288" s="50" t="s">
        <v>2185</v>
      </c>
      <c r="E5288" s="50" t="n">
        <v>6</v>
      </c>
      <c r="F5288" s="50" t="s">
        <v>2174</v>
      </c>
      <c r="G5288" s="54" t="n">
        <v>4810000</v>
      </c>
    </row>
    <row r="5289" customFormat="false" ht="15" hidden="false" customHeight="false" outlineLevel="0" collapsed="false">
      <c r="A5289" s="50" t="s">
        <v>1819</v>
      </c>
      <c r="B5289" s="51" t="n">
        <v>45979</v>
      </c>
      <c r="C5289" s="50" t="s">
        <v>197</v>
      </c>
      <c r="D5289" s="50" t="s">
        <v>2176</v>
      </c>
      <c r="E5289" s="50" t="n">
        <v>8</v>
      </c>
      <c r="F5289" s="50" t="s">
        <v>2167</v>
      </c>
      <c r="G5289" s="54" t="n">
        <v>3253400</v>
      </c>
    </row>
    <row r="5290" customFormat="false" ht="15" hidden="false" customHeight="false" outlineLevel="0" collapsed="false">
      <c r="A5290" s="50" t="s">
        <v>1820</v>
      </c>
      <c r="B5290" s="51" t="n">
        <v>45979</v>
      </c>
      <c r="C5290" s="50" t="s">
        <v>241</v>
      </c>
      <c r="D5290" s="50" t="s">
        <v>2176</v>
      </c>
      <c r="E5290" s="50" t="n">
        <v>7</v>
      </c>
      <c r="F5290" s="50" t="s">
        <v>2167</v>
      </c>
      <c r="G5290" s="54" t="n">
        <v>2889100</v>
      </c>
    </row>
    <row r="5291" customFormat="false" ht="15" hidden="false" customHeight="false" outlineLevel="0" collapsed="false">
      <c r="A5291" s="50" t="s">
        <v>1820</v>
      </c>
      <c r="B5291" s="51" t="n">
        <v>45979</v>
      </c>
      <c r="C5291" s="50" t="s">
        <v>241</v>
      </c>
      <c r="D5291" s="50" t="s">
        <v>2184</v>
      </c>
      <c r="E5291" s="50" t="n">
        <v>7</v>
      </c>
      <c r="F5291" s="50" t="s">
        <v>2167</v>
      </c>
      <c r="G5291" s="54" t="n">
        <v>3814400</v>
      </c>
    </row>
    <row r="5292" customFormat="false" ht="15" hidden="false" customHeight="false" outlineLevel="0" collapsed="false">
      <c r="A5292" s="50" t="s">
        <v>1820</v>
      </c>
      <c r="B5292" s="51" t="n">
        <v>45979</v>
      </c>
      <c r="C5292" s="50" t="s">
        <v>241</v>
      </c>
      <c r="D5292" s="50" t="s">
        <v>2169</v>
      </c>
      <c r="E5292" s="50" t="n">
        <v>4</v>
      </c>
      <c r="F5292" s="50" t="s">
        <v>2167</v>
      </c>
      <c r="G5292" s="54" t="n">
        <v>2546500</v>
      </c>
    </row>
    <row r="5293" customFormat="false" ht="15" hidden="false" customHeight="false" outlineLevel="0" collapsed="false">
      <c r="A5293" s="50" t="s">
        <v>1820</v>
      </c>
      <c r="B5293" s="51" t="n">
        <v>45979</v>
      </c>
      <c r="C5293" s="50" t="s">
        <v>241</v>
      </c>
      <c r="D5293" s="50" t="s">
        <v>2178</v>
      </c>
      <c r="E5293" s="50" t="n">
        <v>5</v>
      </c>
      <c r="F5293" s="50" t="s">
        <v>2167</v>
      </c>
      <c r="G5293" s="54" t="n">
        <v>2469100</v>
      </c>
    </row>
    <row r="5294" customFormat="false" ht="15" hidden="false" customHeight="false" outlineLevel="0" collapsed="false">
      <c r="A5294" s="50" t="s">
        <v>1820</v>
      </c>
      <c r="B5294" s="51" t="n">
        <v>45979</v>
      </c>
      <c r="C5294" s="50" t="s">
        <v>241</v>
      </c>
      <c r="D5294" s="50" t="s">
        <v>2186</v>
      </c>
      <c r="E5294" s="50" t="n">
        <v>8</v>
      </c>
      <c r="F5294" s="50" t="s">
        <v>2167</v>
      </c>
      <c r="G5294" s="54" t="n">
        <v>4696500</v>
      </c>
    </row>
    <row r="5295" customFormat="false" ht="15" hidden="false" customHeight="false" outlineLevel="0" collapsed="false">
      <c r="A5295" s="50" t="s">
        <v>1821</v>
      </c>
      <c r="B5295" s="51" t="n">
        <v>45980</v>
      </c>
      <c r="C5295" s="50" t="s">
        <v>166</v>
      </c>
      <c r="D5295" s="50" t="s">
        <v>2172</v>
      </c>
      <c r="E5295" s="50" t="n">
        <v>1</v>
      </c>
      <c r="F5295" s="50" t="s">
        <v>2167</v>
      </c>
      <c r="G5295" s="54" t="n">
        <v>501700</v>
      </c>
    </row>
    <row r="5296" customFormat="false" ht="15" hidden="false" customHeight="false" outlineLevel="0" collapsed="false">
      <c r="A5296" s="50" t="s">
        <v>1821</v>
      </c>
      <c r="B5296" s="51" t="n">
        <v>45980</v>
      </c>
      <c r="C5296" s="50" t="s">
        <v>166</v>
      </c>
      <c r="D5296" s="50" t="s">
        <v>2180</v>
      </c>
      <c r="E5296" s="50" t="n">
        <v>8</v>
      </c>
      <c r="F5296" s="50" t="s">
        <v>2167</v>
      </c>
      <c r="G5296" s="54" t="n">
        <v>3642200</v>
      </c>
    </row>
    <row r="5297" customFormat="false" ht="15" hidden="false" customHeight="false" outlineLevel="0" collapsed="false">
      <c r="A5297" s="50" t="s">
        <v>1821</v>
      </c>
      <c r="B5297" s="51" t="n">
        <v>45980</v>
      </c>
      <c r="C5297" s="50" t="s">
        <v>166</v>
      </c>
      <c r="D5297" s="50" t="s">
        <v>2178</v>
      </c>
      <c r="E5297" s="50" t="n">
        <v>4</v>
      </c>
      <c r="F5297" s="50" t="s">
        <v>2167</v>
      </c>
      <c r="G5297" s="54" t="n">
        <v>1869700</v>
      </c>
    </row>
    <row r="5298" customFormat="false" ht="15" hidden="false" customHeight="false" outlineLevel="0" collapsed="false">
      <c r="A5298" s="50" t="s">
        <v>1821</v>
      </c>
      <c r="B5298" s="51" t="n">
        <v>45980</v>
      </c>
      <c r="C5298" s="50" t="s">
        <v>166</v>
      </c>
      <c r="D5298" s="50" t="s">
        <v>2185</v>
      </c>
      <c r="E5298" s="50" t="n">
        <v>7</v>
      </c>
      <c r="F5298" s="50" t="s">
        <v>2174</v>
      </c>
      <c r="G5298" s="54" t="n">
        <v>5398100</v>
      </c>
    </row>
    <row r="5299" customFormat="false" ht="15" hidden="false" customHeight="false" outlineLevel="0" collapsed="false">
      <c r="A5299" s="50" t="s">
        <v>1822</v>
      </c>
      <c r="B5299" s="51" t="n">
        <v>45980</v>
      </c>
      <c r="C5299" s="50" t="s">
        <v>296</v>
      </c>
      <c r="D5299" s="50" t="s">
        <v>2168</v>
      </c>
      <c r="E5299" s="50" t="n">
        <v>5</v>
      </c>
      <c r="F5299" s="50" t="s">
        <v>2167</v>
      </c>
      <c r="G5299" s="54" t="n">
        <v>2088000</v>
      </c>
    </row>
    <row r="5300" customFormat="false" ht="15" hidden="false" customHeight="false" outlineLevel="0" collapsed="false">
      <c r="A5300" s="50" t="s">
        <v>1822</v>
      </c>
      <c r="B5300" s="51" t="n">
        <v>45980</v>
      </c>
      <c r="C5300" s="50" t="s">
        <v>296</v>
      </c>
      <c r="D5300" s="50" t="s">
        <v>2181</v>
      </c>
      <c r="E5300" s="50" t="n">
        <v>4</v>
      </c>
      <c r="F5300" s="50" t="s">
        <v>2167</v>
      </c>
      <c r="G5300" s="54" t="n">
        <v>4453600</v>
      </c>
    </row>
    <row r="5301" customFormat="false" ht="15" hidden="false" customHeight="false" outlineLevel="0" collapsed="false">
      <c r="A5301" s="50" t="s">
        <v>1822</v>
      </c>
      <c r="B5301" s="51" t="n">
        <v>45980</v>
      </c>
      <c r="C5301" s="50" t="s">
        <v>296</v>
      </c>
      <c r="D5301" s="50" t="s">
        <v>2172</v>
      </c>
      <c r="E5301" s="50" t="n">
        <v>3</v>
      </c>
      <c r="F5301" s="50" t="s">
        <v>2167</v>
      </c>
      <c r="G5301" s="54" t="n">
        <v>1612500</v>
      </c>
    </row>
    <row r="5302" customFormat="false" ht="15" hidden="false" customHeight="false" outlineLevel="0" collapsed="false">
      <c r="A5302" s="50" t="s">
        <v>1822</v>
      </c>
      <c r="B5302" s="51" t="n">
        <v>45980</v>
      </c>
      <c r="C5302" s="50" t="s">
        <v>296</v>
      </c>
      <c r="D5302" s="50" t="s">
        <v>2173</v>
      </c>
      <c r="E5302" s="50" t="n">
        <v>2</v>
      </c>
      <c r="F5302" s="50" t="s">
        <v>2174</v>
      </c>
      <c r="G5302" s="54" t="n">
        <v>1621500</v>
      </c>
    </row>
    <row r="5303" customFormat="false" ht="15" hidden="false" customHeight="false" outlineLevel="0" collapsed="false">
      <c r="A5303" s="50" t="s">
        <v>1823</v>
      </c>
      <c r="B5303" s="51" t="n">
        <v>45980</v>
      </c>
      <c r="C5303" s="50" t="s">
        <v>467</v>
      </c>
      <c r="D5303" s="50" t="s">
        <v>2184</v>
      </c>
      <c r="E5303" s="50" t="n">
        <v>2</v>
      </c>
      <c r="F5303" s="50" t="s">
        <v>2167</v>
      </c>
      <c r="G5303" s="54" t="n">
        <v>1158000</v>
      </c>
    </row>
    <row r="5304" customFormat="false" ht="15" hidden="false" customHeight="false" outlineLevel="0" collapsed="false">
      <c r="A5304" s="50" t="s">
        <v>1823</v>
      </c>
      <c r="B5304" s="51" t="n">
        <v>45980</v>
      </c>
      <c r="C5304" s="50" t="s">
        <v>467</v>
      </c>
      <c r="D5304" s="50" t="s">
        <v>2169</v>
      </c>
      <c r="E5304" s="50" t="n">
        <v>4</v>
      </c>
      <c r="F5304" s="50" t="s">
        <v>2167</v>
      </c>
      <c r="G5304" s="54" t="n">
        <v>2418900</v>
      </c>
    </row>
    <row r="5305" customFormat="false" ht="15" hidden="false" customHeight="false" outlineLevel="0" collapsed="false">
      <c r="A5305" s="50" t="s">
        <v>1823</v>
      </c>
      <c r="B5305" s="51" t="n">
        <v>45980</v>
      </c>
      <c r="C5305" s="50" t="s">
        <v>467</v>
      </c>
      <c r="D5305" s="50" t="s">
        <v>2179</v>
      </c>
      <c r="E5305" s="50" t="n">
        <v>2</v>
      </c>
      <c r="F5305" s="50" t="s">
        <v>2174</v>
      </c>
      <c r="G5305" s="54" t="n">
        <v>2459000</v>
      </c>
    </row>
    <row r="5306" customFormat="false" ht="15" hidden="false" customHeight="false" outlineLevel="0" collapsed="false">
      <c r="A5306" s="50" t="s">
        <v>1823</v>
      </c>
      <c r="B5306" s="51" t="n">
        <v>45980</v>
      </c>
      <c r="C5306" s="50" t="s">
        <v>467</v>
      </c>
      <c r="D5306" s="50" t="s">
        <v>2181</v>
      </c>
      <c r="E5306" s="50" t="n">
        <v>7</v>
      </c>
      <c r="F5306" s="50" t="s">
        <v>2167</v>
      </c>
      <c r="G5306" s="54" t="n">
        <v>7877300</v>
      </c>
    </row>
    <row r="5307" customFormat="false" ht="15" hidden="false" customHeight="false" outlineLevel="0" collapsed="false">
      <c r="A5307" s="50" t="s">
        <v>1823</v>
      </c>
      <c r="B5307" s="51" t="n">
        <v>45980</v>
      </c>
      <c r="C5307" s="50" t="s">
        <v>467</v>
      </c>
      <c r="D5307" s="50" t="s">
        <v>2180</v>
      </c>
      <c r="E5307" s="50" t="n">
        <v>8</v>
      </c>
      <c r="F5307" s="50" t="s">
        <v>2167</v>
      </c>
      <c r="G5307" s="54" t="n">
        <v>3605900</v>
      </c>
    </row>
    <row r="5308" customFormat="false" ht="15" hidden="false" customHeight="false" outlineLevel="0" collapsed="false">
      <c r="A5308" s="50" t="s">
        <v>1824</v>
      </c>
      <c r="B5308" s="51" t="n">
        <v>45980</v>
      </c>
      <c r="C5308" s="50" t="s">
        <v>243</v>
      </c>
      <c r="D5308" s="50" t="s">
        <v>2166</v>
      </c>
      <c r="E5308" s="50" t="n">
        <v>5</v>
      </c>
      <c r="F5308" s="50" t="s">
        <v>2167</v>
      </c>
      <c r="G5308" s="54" t="n">
        <v>2769100</v>
      </c>
    </row>
    <row r="5309" customFormat="false" ht="15" hidden="false" customHeight="false" outlineLevel="0" collapsed="false">
      <c r="A5309" s="50" t="s">
        <v>1824</v>
      </c>
      <c r="B5309" s="51" t="n">
        <v>45980</v>
      </c>
      <c r="C5309" s="50" t="s">
        <v>243</v>
      </c>
      <c r="D5309" s="50" t="s">
        <v>2178</v>
      </c>
      <c r="E5309" s="50" t="n">
        <v>5</v>
      </c>
      <c r="F5309" s="50" t="s">
        <v>2167</v>
      </c>
      <c r="G5309" s="54" t="n">
        <v>2347800</v>
      </c>
    </row>
    <row r="5310" customFormat="false" ht="15" hidden="false" customHeight="false" outlineLevel="0" collapsed="false">
      <c r="A5310" s="50" t="s">
        <v>1824</v>
      </c>
      <c r="B5310" s="51" t="n">
        <v>45980</v>
      </c>
      <c r="C5310" s="50" t="s">
        <v>243</v>
      </c>
      <c r="D5310" s="50" t="s">
        <v>2186</v>
      </c>
      <c r="E5310" s="50" t="n">
        <v>7</v>
      </c>
      <c r="F5310" s="50" t="s">
        <v>2167</v>
      </c>
      <c r="G5310" s="54" t="n">
        <v>4245100</v>
      </c>
    </row>
    <row r="5311" customFormat="false" ht="15" hidden="false" customHeight="false" outlineLevel="0" collapsed="false">
      <c r="A5311" s="50" t="s">
        <v>1824</v>
      </c>
      <c r="B5311" s="51" t="n">
        <v>45980</v>
      </c>
      <c r="C5311" s="50" t="s">
        <v>243</v>
      </c>
      <c r="D5311" s="50" t="s">
        <v>2172</v>
      </c>
      <c r="E5311" s="50" t="n">
        <v>3</v>
      </c>
      <c r="F5311" s="50" t="s">
        <v>2167</v>
      </c>
      <c r="G5311" s="54" t="n">
        <v>1582000</v>
      </c>
    </row>
    <row r="5312" customFormat="false" ht="15" hidden="false" customHeight="false" outlineLevel="0" collapsed="false">
      <c r="A5312" s="50" t="s">
        <v>1825</v>
      </c>
      <c r="B5312" s="51" t="n">
        <v>45980</v>
      </c>
      <c r="C5312" s="50" t="s">
        <v>286</v>
      </c>
      <c r="D5312" s="50" t="s">
        <v>2175</v>
      </c>
      <c r="E5312" s="50" t="n">
        <v>4</v>
      </c>
      <c r="F5312" s="50" t="s">
        <v>2167</v>
      </c>
      <c r="G5312" s="54" t="n">
        <v>2568600</v>
      </c>
    </row>
    <row r="5313" customFormat="false" ht="15" hidden="false" customHeight="false" outlineLevel="0" collapsed="false">
      <c r="A5313" s="50" t="s">
        <v>1825</v>
      </c>
      <c r="B5313" s="51" t="n">
        <v>45980</v>
      </c>
      <c r="C5313" s="50" t="s">
        <v>286</v>
      </c>
      <c r="D5313" s="50" t="s">
        <v>2181</v>
      </c>
      <c r="E5313" s="50" t="n">
        <v>8</v>
      </c>
      <c r="F5313" s="50" t="s">
        <v>2167</v>
      </c>
      <c r="G5313" s="54" t="n">
        <v>9187900</v>
      </c>
    </row>
    <row r="5314" customFormat="false" ht="15" hidden="false" customHeight="false" outlineLevel="0" collapsed="false">
      <c r="A5314" s="50" t="s">
        <v>1825</v>
      </c>
      <c r="B5314" s="51" t="n">
        <v>45980</v>
      </c>
      <c r="C5314" s="50" t="s">
        <v>286</v>
      </c>
      <c r="D5314" s="50" t="s">
        <v>2186</v>
      </c>
      <c r="E5314" s="50" t="n">
        <v>3</v>
      </c>
      <c r="F5314" s="50" t="s">
        <v>2167</v>
      </c>
      <c r="G5314" s="54" t="n">
        <v>1805000</v>
      </c>
    </row>
    <row r="5315" customFormat="false" ht="15" hidden="false" customHeight="false" outlineLevel="0" collapsed="false">
      <c r="A5315" s="50" t="s">
        <v>1825</v>
      </c>
      <c r="B5315" s="51" t="n">
        <v>45980</v>
      </c>
      <c r="C5315" s="50" t="s">
        <v>286</v>
      </c>
      <c r="D5315" s="50" t="s">
        <v>2187</v>
      </c>
      <c r="E5315" s="50" t="n">
        <v>2</v>
      </c>
      <c r="F5315" s="50" t="s">
        <v>2167</v>
      </c>
      <c r="G5315" s="54" t="n">
        <v>678300</v>
      </c>
    </row>
    <row r="5316" customFormat="false" ht="15" hidden="false" customHeight="false" outlineLevel="0" collapsed="false">
      <c r="A5316" s="50" t="s">
        <v>1826</v>
      </c>
      <c r="B5316" s="51" t="n">
        <v>45980</v>
      </c>
      <c r="C5316" s="50" t="s">
        <v>170</v>
      </c>
      <c r="D5316" s="50" t="s">
        <v>2180</v>
      </c>
      <c r="E5316" s="50" t="n">
        <v>5</v>
      </c>
      <c r="F5316" s="50" t="s">
        <v>2167</v>
      </c>
      <c r="G5316" s="54" t="n">
        <v>2292000</v>
      </c>
    </row>
    <row r="5317" customFormat="false" ht="15" hidden="false" customHeight="false" outlineLevel="0" collapsed="false">
      <c r="A5317" s="50" t="s">
        <v>1827</v>
      </c>
      <c r="B5317" s="51" t="n">
        <v>45980</v>
      </c>
      <c r="C5317" s="50" t="s">
        <v>197</v>
      </c>
      <c r="D5317" s="50" t="s">
        <v>2176</v>
      </c>
      <c r="E5317" s="50" t="n">
        <v>8</v>
      </c>
      <c r="F5317" s="50" t="s">
        <v>2167</v>
      </c>
      <c r="G5317" s="54" t="n">
        <v>3411100</v>
      </c>
    </row>
    <row r="5318" customFormat="false" ht="15" hidden="false" customHeight="false" outlineLevel="0" collapsed="false">
      <c r="A5318" s="50" t="s">
        <v>1827</v>
      </c>
      <c r="B5318" s="51" t="n">
        <v>45980</v>
      </c>
      <c r="C5318" s="50" t="s">
        <v>197</v>
      </c>
      <c r="D5318" s="50" t="s">
        <v>2169</v>
      </c>
      <c r="E5318" s="50" t="n">
        <v>5</v>
      </c>
      <c r="F5318" s="50" t="s">
        <v>2167</v>
      </c>
      <c r="G5318" s="54" t="n">
        <v>3164100</v>
      </c>
    </row>
    <row r="5319" customFormat="false" ht="15" hidden="false" customHeight="false" outlineLevel="0" collapsed="false">
      <c r="A5319" s="50" t="s">
        <v>1827</v>
      </c>
      <c r="B5319" s="51" t="n">
        <v>45980</v>
      </c>
      <c r="C5319" s="50" t="s">
        <v>197</v>
      </c>
      <c r="D5319" s="50" t="s">
        <v>2179</v>
      </c>
      <c r="E5319" s="50" t="n">
        <v>8</v>
      </c>
      <c r="F5319" s="50" t="s">
        <v>2174</v>
      </c>
      <c r="G5319" s="54" t="n">
        <v>10210200</v>
      </c>
    </row>
    <row r="5320" customFormat="false" ht="15" hidden="false" customHeight="false" outlineLevel="0" collapsed="false">
      <c r="A5320" s="50" t="s">
        <v>1827</v>
      </c>
      <c r="B5320" s="51" t="n">
        <v>45980</v>
      </c>
      <c r="C5320" s="50" t="s">
        <v>197</v>
      </c>
      <c r="D5320" s="50" t="s">
        <v>2180</v>
      </c>
      <c r="E5320" s="50" t="n">
        <v>2</v>
      </c>
      <c r="F5320" s="50" t="s">
        <v>2167</v>
      </c>
      <c r="G5320" s="54" t="n">
        <v>924700</v>
      </c>
    </row>
    <row r="5321" customFormat="false" ht="15" hidden="false" customHeight="false" outlineLevel="0" collapsed="false">
      <c r="A5321" s="50" t="s">
        <v>1827</v>
      </c>
      <c r="B5321" s="51" t="n">
        <v>45980</v>
      </c>
      <c r="C5321" s="50" t="s">
        <v>197</v>
      </c>
      <c r="D5321" s="50" t="s">
        <v>2185</v>
      </c>
      <c r="E5321" s="50" t="n">
        <v>4</v>
      </c>
      <c r="F5321" s="50" t="s">
        <v>2174</v>
      </c>
      <c r="G5321" s="54" t="n">
        <v>3039800</v>
      </c>
    </row>
    <row r="5322" customFormat="false" ht="15" hidden="false" customHeight="false" outlineLevel="0" collapsed="false">
      <c r="A5322" s="50" t="s">
        <v>1827</v>
      </c>
      <c r="B5322" s="51" t="n">
        <v>45980</v>
      </c>
      <c r="C5322" s="50" t="s">
        <v>197</v>
      </c>
      <c r="D5322" s="50" t="s">
        <v>2182</v>
      </c>
      <c r="E5322" s="50" t="n">
        <v>3</v>
      </c>
      <c r="F5322" s="50" t="s">
        <v>2174</v>
      </c>
      <c r="G5322" s="54" t="n">
        <v>2794100</v>
      </c>
    </row>
    <row r="5323" customFormat="false" ht="15" hidden="false" customHeight="false" outlineLevel="0" collapsed="false">
      <c r="A5323" s="50" t="s">
        <v>1827</v>
      </c>
      <c r="B5323" s="51" t="n">
        <v>45980</v>
      </c>
      <c r="C5323" s="50" t="s">
        <v>197</v>
      </c>
      <c r="D5323" s="50" t="s">
        <v>2183</v>
      </c>
      <c r="E5323" s="50" t="n">
        <v>6</v>
      </c>
      <c r="F5323" s="50" t="s">
        <v>2167</v>
      </c>
      <c r="G5323" s="54" t="n">
        <v>2247700</v>
      </c>
    </row>
    <row r="5324" customFormat="false" ht="15" hidden="false" customHeight="false" outlineLevel="0" collapsed="false">
      <c r="A5324" s="50" t="s">
        <v>1827</v>
      </c>
      <c r="B5324" s="51" t="n">
        <v>45980</v>
      </c>
      <c r="C5324" s="50" t="s">
        <v>197</v>
      </c>
      <c r="D5324" s="50" t="s">
        <v>2172</v>
      </c>
      <c r="E5324" s="50" t="n">
        <v>2</v>
      </c>
      <c r="F5324" s="50" t="s">
        <v>2167</v>
      </c>
      <c r="G5324" s="54" t="n">
        <v>1037300</v>
      </c>
    </row>
    <row r="5325" customFormat="false" ht="15" hidden="false" customHeight="false" outlineLevel="0" collapsed="false">
      <c r="A5325" s="50" t="s">
        <v>1828</v>
      </c>
      <c r="B5325" s="51" t="n">
        <v>45980</v>
      </c>
      <c r="C5325" s="50" t="s">
        <v>293</v>
      </c>
      <c r="D5325" s="50" t="s">
        <v>2178</v>
      </c>
      <c r="E5325" s="50" t="n">
        <v>1</v>
      </c>
      <c r="F5325" s="50" t="s">
        <v>2167</v>
      </c>
      <c r="G5325" s="54" t="n">
        <v>480600</v>
      </c>
    </row>
    <row r="5326" customFormat="false" ht="15" hidden="false" customHeight="false" outlineLevel="0" collapsed="false">
      <c r="A5326" s="50" t="s">
        <v>1828</v>
      </c>
      <c r="B5326" s="51" t="n">
        <v>45980</v>
      </c>
      <c r="C5326" s="50" t="s">
        <v>293</v>
      </c>
      <c r="D5326" s="50" t="s">
        <v>2173</v>
      </c>
      <c r="E5326" s="50" t="n">
        <v>8</v>
      </c>
      <c r="F5326" s="50" t="s">
        <v>2174</v>
      </c>
      <c r="G5326" s="54" t="n">
        <v>6529500</v>
      </c>
    </row>
    <row r="5327" customFormat="false" ht="15" hidden="false" customHeight="false" outlineLevel="0" collapsed="false">
      <c r="A5327" s="50" t="s">
        <v>1828</v>
      </c>
      <c r="B5327" s="51" t="n">
        <v>45980</v>
      </c>
      <c r="C5327" s="50" t="s">
        <v>293</v>
      </c>
      <c r="D5327" s="50" t="s">
        <v>2183</v>
      </c>
      <c r="E5327" s="50" t="n">
        <v>8</v>
      </c>
      <c r="F5327" s="50" t="s">
        <v>2167</v>
      </c>
      <c r="G5327" s="54" t="n">
        <v>3133000</v>
      </c>
    </row>
    <row r="5328" customFormat="false" ht="15" hidden="false" customHeight="false" outlineLevel="0" collapsed="false">
      <c r="A5328" s="50" t="s">
        <v>154</v>
      </c>
      <c r="B5328" s="51" t="n">
        <v>45981</v>
      </c>
      <c r="C5328" s="50" t="s">
        <v>369</v>
      </c>
      <c r="D5328" s="50" t="s">
        <v>2178</v>
      </c>
      <c r="E5328" s="50" t="n">
        <v>6</v>
      </c>
      <c r="F5328" s="50" t="s">
        <v>2167</v>
      </c>
      <c r="G5328" s="54" t="n">
        <v>2908600</v>
      </c>
    </row>
    <row r="5329" customFormat="false" ht="15" hidden="false" customHeight="false" outlineLevel="0" collapsed="false">
      <c r="A5329" s="50" t="s">
        <v>154</v>
      </c>
      <c r="B5329" s="51" t="n">
        <v>45981</v>
      </c>
      <c r="C5329" s="50" t="s">
        <v>369</v>
      </c>
      <c r="D5329" s="50" t="s">
        <v>2173</v>
      </c>
      <c r="E5329" s="50" t="n">
        <v>7</v>
      </c>
      <c r="F5329" s="50" t="s">
        <v>2174</v>
      </c>
      <c r="G5329" s="54" t="n">
        <v>5719800</v>
      </c>
    </row>
    <row r="5330" customFormat="false" ht="15" hidden="false" customHeight="false" outlineLevel="0" collapsed="false">
      <c r="A5330" s="50" t="s">
        <v>1829</v>
      </c>
      <c r="B5330" s="51" t="n">
        <v>45981</v>
      </c>
      <c r="C5330" s="50" t="s">
        <v>205</v>
      </c>
      <c r="D5330" s="50" t="s">
        <v>2176</v>
      </c>
      <c r="E5330" s="50" t="n">
        <v>5</v>
      </c>
      <c r="F5330" s="50" t="s">
        <v>2167</v>
      </c>
      <c r="G5330" s="54" t="n">
        <v>2058900</v>
      </c>
    </row>
    <row r="5331" customFormat="false" ht="15" hidden="false" customHeight="false" outlineLevel="0" collapsed="false">
      <c r="A5331" s="50" t="s">
        <v>1830</v>
      </c>
      <c r="B5331" s="51" t="n">
        <v>45981</v>
      </c>
      <c r="C5331" s="50" t="s">
        <v>289</v>
      </c>
      <c r="D5331" s="50" t="s">
        <v>2173</v>
      </c>
      <c r="E5331" s="50" t="n">
        <v>7</v>
      </c>
      <c r="F5331" s="50" t="s">
        <v>2174</v>
      </c>
      <c r="G5331" s="54" t="n">
        <v>5599400</v>
      </c>
    </row>
    <row r="5332" customFormat="false" ht="15" hidden="false" customHeight="false" outlineLevel="0" collapsed="false">
      <c r="A5332" s="50" t="s">
        <v>1830</v>
      </c>
      <c r="B5332" s="51" t="n">
        <v>45981</v>
      </c>
      <c r="C5332" s="50" t="s">
        <v>289</v>
      </c>
      <c r="D5332" s="50" t="s">
        <v>2188</v>
      </c>
      <c r="E5332" s="50" t="n">
        <v>4</v>
      </c>
      <c r="F5332" s="50" t="s">
        <v>2167</v>
      </c>
      <c r="G5332" s="54" t="n">
        <v>3848800</v>
      </c>
    </row>
    <row r="5333" customFormat="false" ht="15" hidden="false" customHeight="false" outlineLevel="0" collapsed="false">
      <c r="A5333" s="50" t="s">
        <v>1831</v>
      </c>
      <c r="B5333" s="51" t="n">
        <v>45981</v>
      </c>
      <c r="C5333" s="50" t="s">
        <v>168</v>
      </c>
      <c r="D5333" s="50" t="s">
        <v>2187</v>
      </c>
      <c r="E5333" s="50" t="n">
        <v>2</v>
      </c>
      <c r="F5333" s="50" t="s">
        <v>2167</v>
      </c>
      <c r="G5333" s="54" t="n">
        <v>719600</v>
      </c>
    </row>
    <row r="5334" customFormat="false" ht="15" hidden="false" customHeight="false" outlineLevel="0" collapsed="false">
      <c r="A5334" s="50" t="s">
        <v>1831</v>
      </c>
      <c r="B5334" s="51" t="n">
        <v>45981</v>
      </c>
      <c r="C5334" s="50" t="s">
        <v>168</v>
      </c>
      <c r="D5334" s="50" t="s">
        <v>2181</v>
      </c>
      <c r="E5334" s="50" t="n">
        <v>2</v>
      </c>
      <c r="F5334" s="50" t="s">
        <v>2167</v>
      </c>
      <c r="G5334" s="54" t="n">
        <v>2360000</v>
      </c>
    </row>
    <row r="5335" customFormat="false" ht="15" hidden="false" customHeight="false" outlineLevel="0" collapsed="false">
      <c r="A5335" s="50" t="s">
        <v>1831</v>
      </c>
      <c r="B5335" s="51" t="n">
        <v>45981</v>
      </c>
      <c r="C5335" s="50" t="s">
        <v>168</v>
      </c>
      <c r="D5335" s="50" t="s">
        <v>2166</v>
      </c>
      <c r="E5335" s="50" t="n">
        <v>6</v>
      </c>
      <c r="F5335" s="50" t="s">
        <v>2167</v>
      </c>
      <c r="G5335" s="54" t="n">
        <v>3350400</v>
      </c>
    </row>
    <row r="5336" customFormat="false" ht="15" hidden="false" customHeight="false" outlineLevel="0" collapsed="false">
      <c r="A5336" s="50" t="s">
        <v>1832</v>
      </c>
      <c r="B5336" s="51" t="n">
        <v>45981</v>
      </c>
      <c r="C5336" s="50" t="s">
        <v>225</v>
      </c>
      <c r="D5336" s="50" t="s">
        <v>2178</v>
      </c>
      <c r="E5336" s="50" t="n">
        <v>7</v>
      </c>
      <c r="F5336" s="50" t="s">
        <v>2167</v>
      </c>
      <c r="G5336" s="54" t="n">
        <v>3438700</v>
      </c>
    </row>
    <row r="5337" customFormat="false" ht="15" hidden="false" customHeight="false" outlineLevel="0" collapsed="false">
      <c r="A5337" s="50" t="s">
        <v>1832</v>
      </c>
      <c r="B5337" s="51" t="n">
        <v>45981</v>
      </c>
      <c r="C5337" s="50" t="s">
        <v>225</v>
      </c>
      <c r="D5337" s="50" t="s">
        <v>2186</v>
      </c>
      <c r="E5337" s="50" t="n">
        <v>6</v>
      </c>
      <c r="F5337" s="50" t="s">
        <v>2167</v>
      </c>
      <c r="G5337" s="54" t="n">
        <v>3519200</v>
      </c>
    </row>
    <row r="5338" customFormat="false" ht="15" hidden="false" customHeight="false" outlineLevel="0" collapsed="false">
      <c r="A5338" s="50" t="s">
        <v>1832</v>
      </c>
      <c r="B5338" s="51" t="n">
        <v>45981</v>
      </c>
      <c r="C5338" s="50" t="s">
        <v>225</v>
      </c>
      <c r="D5338" s="50" t="s">
        <v>2184</v>
      </c>
      <c r="E5338" s="50" t="n">
        <v>4</v>
      </c>
      <c r="F5338" s="50" t="s">
        <v>2167</v>
      </c>
      <c r="G5338" s="54" t="n">
        <v>2171300</v>
      </c>
    </row>
    <row r="5339" customFormat="false" ht="15" hidden="false" customHeight="false" outlineLevel="0" collapsed="false">
      <c r="A5339" s="50" t="s">
        <v>151</v>
      </c>
      <c r="B5339" s="51" t="n">
        <v>45981</v>
      </c>
      <c r="C5339" s="50" t="s">
        <v>191</v>
      </c>
      <c r="D5339" s="50" t="s">
        <v>2179</v>
      </c>
      <c r="E5339" s="50" t="n">
        <v>1</v>
      </c>
      <c r="F5339" s="50" t="s">
        <v>2174</v>
      </c>
      <c r="G5339" s="54" t="n">
        <v>1205900</v>
      </c>
    </row>
    <row r="5340" customFormat="false" ht="15" hidden="false" customHeight="false" outlineLevel="0" collapsed="false">
      <c r="A5340" s="50" t="s">
        <v>151</v>
      </c>
      <c r="B5340" s="51" t="n">
        <v>45981</v>
      </c>
      <c r="C5340" s="50" t="s">
        <v>191</v>
      </c>
      <c r="D5340" s="50" t="s">
        <v>2184</v>
      </c>
      <c r="E5340" s="50" t="n">
        <v>7</v>
      </c>
      <c r="F5340" s="50" t="s">
        <v>2167</v>
      </c>
      <c r="G5340" s="54" t="n">
        <v>4057300</v>
      </c>
    </row>
    <row r="5341" customFormat="false" ht="15" hidden="false" customHeight="false" outlineLevel="0" collapsed="false">
      <c r="A5341" s="50" t="s">
        <v>151</v>
      </c>
      <c r="B5341" s="51" t="n">
        <v>45981</v>
      </c>
      <c r="C5341" s="50" t="s">
        <v>191</v>
      </c>
      <c r="D5341" s="50" t="s">
        <v>2180</v>
      </c>
      <c r="E5341" s="50" t="n">
        <v>2</v>
      </c>
      <c r="F5341" s="50" t="s">
        <v>2167</v>
      </c>
      <c r="G5341" s="54" t="n">
        <v>889100</v>
      </c>
    </row>
    <row r="5342" customFormat="false" ht="15" hidden="false" customHeight="false" outlineLevel="0" collapsed="false">
      <c r="A5342" s="50" t="s">
        <v>151</v>
      </c>
      <c r="B5342" s="51" t="n">
        <v>45981</v>
      </c>
      <c r="C5342" s="50" t="s">
        <v>191</v>
      </c>
      <c r="D5342" s="50" t="s">
        <v>2175</v>
      </c>
      <c r="E5342" s="50" t="n">
        <v>1</v>
      </c>
      <c r="F5342" s="50" t="s">
        <v>2167</v>
      </c>
      <c r="G5342" s="54" t="n">
        <v>632800</v>
      </c>
    </row>
    <row r="5343" customFormat="false" ht="15" hidden="false" customHeight="false" outlineLevel="0" collapsed="false">
      <c r="A5343" s="50" t="s">
        <v>1833</v>
      </c>
      <c r="B5343" s="51" t="n">
        <v>45982</v>
      </c>
      <c r="C5343" s="50" t="s">
        <v>1487</v>
      </c>
      <c r="D5343" s="50" t="s">
        <v>2169</v>
      </c>
      <c r="E5343" s="50" t="n">
        <v>5</v>
      </c>
      <c r="F5343" s="50" t="s">
        <v>2167</v>
      </c>
      <c r="G5343" s="54" t="n">
        <v>3177800</v>
      </c>
    </row>
    <row r="5344" customFormat="false" ht="15" hidden="false" customHeight="false" outlineLevel="0" collapsed="false">
      <c r="A5344" s="50" t="s">
        <v>1833</v>
      </c>
      <c r="B5344" s="51" t="n">
        <v>45982</v>
      </c>
      <c r="C5344" s="50" t="s">
        <v>1487</v>
      </c>
      <c r="D5344" s="50" t="s">
        <v>2185</v>
      </c>
      <c r="E5344" s="50" t="n">
        <v>8</v>
      </c>
      <c r="F5344" s="50" t="s">
        <v>2174</v>
      </c>
      <c r="G5344" s="54" t="n">
        <v>6113400</v>
      </c>
    </row>
    <row r="5345" customFormat="false" ht="15" hidden="false" customHeight="false" outlineLevel="0" collapsed="false">
      <c r="A5345" s="50" t="s">
        <v>1834</v>
      </c>
      <c r="B5345" s="51" t="n">
        <v>45982</v>
      </c>
      <c r="C5345" s="50" t="s">
        <v>408</v>
      </c>
      <c r="D5345" s="50" t="s">
        <v>2169</v>
      </c>
      <c r="E5345" s="50" t="n">
        <v>6</v>
      </c>
      <c r="F5345" s="50" t="s">
        <v>2167</v>
      </c>
      <c r="G5345" s="54" t="n">
        <v>3784900</v>
      </c>
    </row>
    <row r="5346" customFormat="false" ht="15" hidden="false" customHeight="false" outlineLevel="0" collapsed="false">
      <c r="A5346" s="50" t="s">
        <v>1834</v>
      </c>
      <c r="B5346" s="51" t="n">
        <v>45982</v>
      </c>
      <c r="C5346" s="50" t="s">
        <v>408</v>
      </c>
      <c r="D5346" s="50" t="s">
        <v>2176</v>
      </c>
      <c r="E5346" s="50" t="n">
        <v>6</v>
      </c>
      <c r="F5346" s="50" t="s">
        <v>2167</v>
      </c>
      <c r="G5346" s="54" t="n">
        <v>2510600</v>
      </c>
    </row>
    <row r="5347" customFormat="false" ht="15" hidden="false" customHeight="false" outlineLevel="0" collapsed="false">
      <c r="A5347" s="50" t="s">
        <v>1834</v>
      </c>
      <c r="B5347" s="51" t="n">
        <v>45982</v>
      </c>
      <c r="C5347" s="50" t="s">
        <v>408</v>
      </c>
      <c r="D5347" s="50" t="s">
        <v>2178</v>
      </c>
      <c r="E5347" s="50" t="n">
        <v>1</v>
      </c>
      <c r="F5347" s="50" t="s">
        <v>2167</v>
      </c>
      <c r="G5347" s="54" t="n">
        <v>486900</v>
      </c>
    </row>
    <row r="5348" customFormat="false" ht="15" hidden="false" customHeight="false" outlineLevel="0" collapsed="false">
      <c r="A5348" s="50" t="s">
        <v>1835</v>
      </c>
      <c r="B5348" s="51" t="n">
        <v>45982</v>
      </c>
      <c r="C5348" s="50" t="s">
        <v>203</v>
      </c>
      <c r="D5348" s="50" t="s">
        <v>2184</v>
      </c>
      <c r="E5348" s="50" t="n">
        <v>4</v>
      </c>
      <c r="F5348" s="50" t="s">
        <v>2167</v>
      </c>
      <c r="G5348" s="54" t="n">
        <v>2270900</v>
      </c>
    </row>
    <row r="5349" customFormat="false" ht="15" hidden="false" customHeight="false" outlineLevel="0" collapsed="false">
      <c r="A5349" s="50" t="s">
        <v>1835</v>
      </c>
      <c r="B5349" s="51" t="n">
        <v>45982</v>
      </c>
      <c r="C5349" s="50" t="s">
        <v>203</v>
      </c>
      <c r="D5349" s="50" t="s">
        <v>2169</v>
      </c>
      <c r="E5349" s="50" t="n">
        <v>8</v>
      </c>
      <c r="F5349" s="50" t="s">
        <v>2167</v>
      </c>
      <c r="G5349" s="54" t="n">
        <v>5152200</v>
      </c>
    </row>
    <row r="5350" customFormat="false" ht="15" hidden="false" customHeight="false" outlineLevel="0" collapsed="false">
      <c r="A5350" s="50" t="s">
        <v>1836</v>
      </c>
      <c r="B5350" s="51" t="n">
        <v>45982</v>
      </c>
      <c r="C5350" s="50" t="s">
        <v>199</v>
      </c>
      <c r="D5350" s="50" t="s">
        <v>2176</v>
      </c>
      <c r="E5350" s="50" t="n">
        <v>4</v>
      </c>
      <c r="F5350" s="50" t="s">
        <v>2167</v>
      </c>
      <c r="G5350" s="54" t="n">
        <v>1680000</v>
      </c>
    </row>
    <row r="5351" customFormat="false" ht="15" hidden="false" customHeight="false" outlineLevel="0" collapsed="false">
      <c r="A5351" s="50" t="s">
        <v>1837</v>
      </c>
      <c r="B5351" s="51" t="n">
        <v>45982</v>
      </c>
      <c r="C5351" s="50" t="s">
        <v>243</v>
      </c>
      <c r="D5351" s="50" t="s">
        <v>2186</v>
      </c>
      <c r="E5351" s="50" t="n">
        <v>8</v>
      </c>
      <c r="F5351" s="50" t="s">
        <v>2167</v>
      </c>
      <c r="G5351" s="54" t="n">
        <v>4860400</v>
      </c>
    </row>
    <row r="5352" customFormat="false" ht="15" hidden="false" customHeight="false" outlineLevel="0" collapsed="false">
      <c r="A5352" s="50" t="s">
        <v>1837</v>
      </c>
      <c r="B5352" s="51" t="n">
        <v>45982</v>
      </c>
      <c r="C5352" s="50" t="s">
        <v>243</v>
      </c>
      <c r="D5352" s="50" t="s">
        <v>2178</v>
      </c>
      <c r="E5352" s="50" t="n">
        <v>2</v>
      </c>
      <c r="F5352" s="50" t="s">
        <v>2167</v>
      </c>
      <c r="G5352" s="54" t="n">
        <v>995000</v>
      </c>
    </row>
    <row r="5353" customFormat="false" ht="15" hidden="false" customHeight="false" outlineLevel="0" collapsed="false">
      <c r="A5353" s="50" t="s">
        <v>1837</v>
      </c>
      <c r="B5353" s="51" t="n">
        <v>45982</v>
      </c>
      <c r="C5353" s="50" t="s">
        <v>243</v>
      </c>
      <c r="D5353" s="50" t="s">
        <v>2168</v>
      </c>
      <c r="E5353" s="50" t="n">
        <v>5</v>
      </c>
      <c r="F5353" s="50" t="s">
        <v>2167</v>
      </c>
      <c r="G5353" s="54" t="n">
        <v>2136400</v>
      </c>
    </row>
    <row r="5354" customFormat="false" ht="15" hidden="false" customHeight="false" outlineLevel="0" collapsed="false">
      <c r="A5354" s="50" t="s">
        <v>1837</v>
      </c>
      <c r="B5354" s="51" t="n">
        <v>45982</v>
      </c>
      <c r="C5354" s="50" t="s">
        <v>243</v>
      </c>
      <c r="D5354" s="50" t="s">
        <v>2166</v>
      </c>
      <c r="E5354" s="50" t="n">
        <v>1</v>
      </c>
      <c r="F5354" s="50" t="s">
        <v>2167</v>
      </c>
      <c r="G5354" s="54" t="n">
        <v>537400</v>
      </c>
    </row>
    <row r="5355" customFormat="false" ht="15" hidden="false" customHeight="false" outlineLevel="0" collapsed="false">
      <c r="A5355" s="50" t="s">
        <v>1837</v>
      </c>
      <c r="B5355" s="51" t="n">
        <v>45982</v>
      </c>
      <c r="C5355" s="50" t="s">
        <v>243</v>
      </c>
      <c r="D5355" s="50" t="s">
        <v>2175</v>
      </c>
      <c r="E5355" s="50" t="n">
        <v>2</v>
      </c>
      <c r="F5355" s="50" t="s">
        <v>2167</v>
      </c>
      <c r="G5355" s="54" t="n">
        <v>1288700</v>
      </c>
    </row>
    <row r="5356" customFormat="false" ht="15" hidden="false" customHeight="false" outlineLevel="0" collapsed="false">
      <c r="A5356" s="50" t="s">
        <v>1838</v>
      </c>
      <c r="B5356" s="51" t="n">
        <v>45983</v>
      </c>
      <c r="C5356" s="50" t="s">
        <v>205</v>
      </c>
      <c r="D5356" s="50" t="s">
        <v>2185</v>
      </c>
      <c r="E5356" s="50" t="n">
        <v>7</v>
      </c>
      <c r="F5356" s="50" t="s">
        <v>2174</v>
      </c>
      <c r="G5356" s="54" t="n">
        <v>5445400</v>
      </c>
    </row>
    <row r="5357" customFormat="false" ht="15" hidden="false" customHeight="false" outlineLevel="0" collapsed="false">
      <c r="A5357" s="50" t="s">
        <v>1838</v>
      </c>
      <c r="B5357" s="51" t="n">
        <v>45983</v>
      </c>
      <c r="C5357" s="50" t="s">
        <v>205</v>
      </c>
      <c r="D5357" s="50" t="s">
        <v>2180</v>
      </c>
      <c r="E5357" s="50" t="n">
        <v>5</v>
      </c>
      <c r="F5357" s="50" t="s">
        <v>2167</v>
      </c>
      <c r="G5357" s="54" t="n">
        <v>2324200</v>
      </c>
    </row>
    <row r="5358" customFormat="false" ht="15" hidden="false" customHeight="false" outlineLevel="0" collapsed="false">
      <c r="A5358" s="50" t="s">
        <v>1838</v>
      </c>
      <c r="B5358" s="51" t="n">
        <v>45983</v>
      </c>
      <c r="C5358" s="50" t="s">
        <v>205</v>
      </c>
      <c r="D5358" s="50" t="s">
        <v>2172</v>
      </c>
      <c r="E5358" s="50" t="n">
        <v>6</v>
      </c>
      <c r="F5358" s="50" t="s">
        <v>2167</v>
      </c>
      <c r="G5358" s="54" t="n">
        <v>3242900</v>
      </c>
    </row>
    <row r="5359" customFormat="false" ht="15" hidden="false" customHeight="false" outlineLevel="0" collapsed="false">
      <c r="A5359" s="50" t="s">
        <v>1838</v>
      </c>
      <c r="B5359" s="51" t="n">
        <v>45983</v>
      </c>
      <c r="C5359" s="50" t="s">
        <v>205</v>
      </c>
      <c r="D5359" s="50" t="s">
        <v>2169</v>
      </c>
      <c r="E5359" s="50" t="n">
        <v>4</v>
      </c>
      <c r="F5359" s="50" t="s">
        <v>2167</v>
      </c>
      <c r="G5359" s="54" t="n">
        <v>2411700</v>
      </c>
    </row>
    <row r="5360" customFormat="false" ht="15" hidden="false" customHeight="false" outlineLevel="0" collapsed="false">
      <c r="A5360" s="50" t="s">
        <v>1838</v>
      </c>
      <c r="B5360" s="51" t="n">
        <v>45983</v>
      </c>
      <c r="C5360" s="50" t="s">
        <v>205</v>
      </c>
      <c r="D5360" s="50" t="s">
        <v>2178</v>
      </c>
      <c r="E5360" s="50" t="n">
        <v>5</v>
      </c>
      <c r="F5360" s="50" t="s">
        <v>2167</v>
      </c>
      <c r="G5360" s="54" t="n">
        <v>2391900</v>
      </c>
    </row>
    <row r="5361" customFormat="false" ht="15" hidden="false" customHeight="false" outlineLevel="0" collapsed="false">
      <c r="A5361" s="50" t="s">
        <v>1839</v>
      </c>
      <c r="B5361" s="51" t="n">
        <v>45983</v>
      </c>
      <c r="C5361" s="50" t="s">
        <v>505</v>
      </c>
      <c r="D5361" s="50" t="s">
        <v>2183</v>
      </c>
      <c r="E5361" s="50" t="n">
        <v>8</v>
      </c>
      <c r="F5361" s="50" t="s">
        <v>2167</v>
      </c>
      <c r="G5361" s="54" t="n">
        <v>3141200</v>
      </c>
    </row>
    <row r="5362" customFormat="false" ht="15" hidden="false" customHeight="false" outlineLevel="0" collapsed="false">
      <c r="A5362" s="50" t="s">
        <v>1839</v>
      </c>
      <c r="B5362" s="51" t="n">
        <v>45983</v>
      </c>
      <c r="C5362" s="50" t="s">
        <v>505</v>
      </c>
      <c r="D5362" s="50" t="s">
        <v>2180</v>
      </c>
      <c r="E5362" s="50" t="n">
        <v>1</v>
      </c>
      <c r="F5362" s="50" t="s">
        <v>2167</v>
      </c>
      <c r="G5362" s="54" t="n">
        <v>445300</v>
      </c>
    </row>
    <row r="5363" customFormat="false" ht="15" hidden="false" customHeight="false" outlineLevel="0" collapsed="false">
      <c r="A5363" s="50" t="s">
        <v>1839</v>
      </c>
      <c r="B5363" s="51" t="n">
        <v>45983</v>
      </c>
      <c r="C5363" s="50" t="s">
        <v>505</v>
      </c>
      <c r="D5363" s="50" t="s">
        <v>2173</v>
      </c>
      <c r="E5363" s="50" t="n">
        <v>2</v>
      </c>
      <c r="F5363" s="50" t="s">
        <v>2174</v>
      </c>
      <c r="G5363" s="54" t="n">
        <v>1555600</v>
      </c>
    </row>
    <row r="5364" customFormat="false" ht="15" hidden="false" customHeight="false" outlineLevel="0" collapsed="false">
      <c r="A5364" s="50" t="s">
        <v>1840</v>
      </c>
      <c r="B5364" s="51" t="n">
        <v>45983</v>
      </c>
      <c r="C5364" s="50" t="s">
        <v>967</v>
      </c>
      <c r="D5364" s="50" t="s">
        <v>2188</v>
      </c>
      <c r="E5364" s="50" t="n">
        <v>8</v>
      </c>
      <c r="F5364" s="50" t="s">
        <v>2167</v>
      </c>
      <c r="G5364" s="54" t="n">
        <v>7927800</v>
      </c>
    </row>
    <row r="5365" customFormat="false" ht="15" hidden="false" customHeight="false" outlineLevel="0" collapsed="false">
      <c r="A5365" s="50" t="s">
        <v>1840</v>
      </c>
      <c r="B5365" s="51" t="n">
        <v>45983</v>
      </c>
      <c r="C5365" s="50" t="s">
        <v>967</v>
      </c>
      <c r="D5365" s="50" t="s">
        <v>2183</v>
      </c>
      <c r="E5365" s="50" t="n">
        <v>1</v>
      </c>
      <c r="F5365" s="50" t="s">
        <v>2167</v>
      </c>
      <c r="G5365" s="54" t="n">
        <v>367800</v>
      </c>
    </row>
    <row r="5366" customFormat="false" ht="15" hidden="false" customHeight="false" outlineLevel="0" collapsed="false">
      <c r="A5366" s="50" t="s">
        <v>1841</v>
      </c>
      <c r="B5366" s="51" t="n">
        <v>45983</v>
      </c>
      <c r="C5366" s="50" t="s">
        <v>967</v>
      </c>
      <c r="D5366" s="50" t="s">
        <v>2175</v>
      </c>
      <c r="E5366" s="50" t="n">
        <v>7</v>
      </c>
      <c r="F5366" s="50" t="s">
        <v>2167</v>
      </c>
      <c r="G5366" s="54" t="n">
        <v>4491000</v>
      </c>
    </row>
    <row r="5367" customFormat="false" ht="15" hidden="false" customHeight="false" outlineLevel="0" collapsed="false">
      <c r="A5367" s="50" t="s">
        <v>1841</v>
      </c>
      <c r="B5367" s="51" t="n">
        <v>45983</v>
      </c>
      <c r="C5367" s="50" t="s">
        <v>967</v>
      </c>
      <c r="D5367" s="50" t="s">
        <v>2186</v>
      </c>
      <c r="E5367" s="50" t="n">
        <v>1</v>
      </c>
      <c r="F5367" s="50" t="s">
        <v>2167</v>
      </c>
      <c r="G5367" s="54" t="n">
        <v>578400</v>
      </c>
    </row>
    <row r="5368" customFormat="false" ht="15" hidden="false" customHeight="false" outlineLevel="0" collapsed="false">
      <c r="A5368" s="50" t="s">
        <v>1841</v>
      </c>
      <c r="B5368" s="51" t="n">
        <v>45983</v>
      </c>
      <c r="C5368" s="50" t="s">
        <v>967</v>
      </c>
      <c r="D5368" s="50" t="s">
        <v>2181</v>
      </c>
      <c r="E5368" s="50" t="n">
        <v>2</v>
      </c>
      <c r="F5368" s="50" t="s">
        <v>2167</v>
      </c>
      <c r="G5368" s="54" t="n">
        <v>2270600</v>
      </c>
    </row>
    <row r="5369" customFormat="false" ht="15" hidden="false" customHeight="false" outlineLevel="0" collapsed="false">
      <c r="A5369" s="50" t="s">
        <v>1842</v>
      </c>
      <c r="B5369" s="51" t="n">
        <v>45983</v>
      </c>
      <c r="C5369" s="50" t="s">
        <v>296</v>
      </c>
      <c r="D5369" s="50" t="s">
        <v>2166</v>
      </c>
      <c r="E5369" s="50" t="n">
        <v>2</v>
      </c>
      <c r="F5369" s="50" t="s">
        <v>2167</v>
      </c>
      <c r="G5369" s="54" t="n">
        <v>1107100</v>
      </c>
    </row>
    <row r="5370" customFormat="false" ht="15" hidden="false" customHeight="false" outlineLevel="0" collapsed="false">
      <c r="A5370" s="50" t="s">
        <v>1843</v>
      </c>
      <c r="B5370" s="51" t="n">
        <v>45983</v>
      </c>
      <c r="C5370" s="50" t="s">
        <v>170</v>
      </c>
      <c r="D5370" s="50" t="s">
        <v>2178</v>
      </c>
      <c r="E5370" s="50" t="n">
        <v>1</v>
      </c>
      <c r="F5370" s="50" t="s">
        <v>2167</v>
      </c>
      <c r="G5370" s="54" t="n">
        <v>483700</v>
      </c>
    </row>
    <row r="5371" customFormat="false" ht="15" hidden="false" customHeight="false" outlineLevel="0" collapsed="false">
      <c r="A5371" s="50" t="s">
        <v>1843</v>
      </c>
      <c r="B5371" s="51" t="n">
        <v>45983</v>
      </c>
      <c r="C5371" s="50" t="s">
        <v>170</v>
      </c>
      <c r="D5371" s="50" t="s">
        <v>2169</v>
      </c>
      <c r="E5371" s="50" t="n">
        <v>6</v>
      </c>
      <c r="F5371" s="50" t="s">
        <v>2167</v>
      </c>
      <c r="G5371" s="54" t="n">
        <v>3629700</v>
      </c>
    </row>
    <row r="5372" customFormat="false" ht="15" hidden="false" customHeight="false" outlineLevel="0" collapsed="false">
      <c r="A5372" s="50" t="s">
        <v>1843</v>
      </c>
      <c r="B5372" s="51" t="n">
        <v>45983</v>
      </c>
      <c r="C5372" s="50" t="s">
        <v>170</v>
      </c>
      <c r="D5372" s="50" t="s">
        <v>2176</v>
      </c>
      <c r="E5372" s="50" t="n">
        <v>5</v>
      </c>
      <c r="F5372" s="50" t="s">
        <v>2167</v>
      </c>
      <c r="G5372" s="54" t="n">
        <v>2056900</v>
      </c>
    </row>
    <row r="5373" customFormat="false" ht="15" hidden="false" customHeight="false" outlineLevel="0" collapsed="false">
      <c r="A5373" s="50" t="s">
        <v>1843</v>
      </c>
      <c r="B5373" s="51" t="n">
        <v>45983</v>
      </c>
      <c r="C5373" s="50" t="s">
        <v>170</v>
      </c>
      <c r="D5373" s="50" t="s">
        <v>2172</v>
      </c>
      <c r="E5373" s="50" t="n">
        <v>4</v>
      </c>
      <c r="F5373" s="50" t="s">
        <v>2167</v>
      </c>
      <c r="G5373" s="54" t="n">
        <v>2020300</v>
      </c>
    </row>
    <row r="5374" customFormat="false" ht="15" hidden="false" customHeight="false" outlineLevel="0" collapsed="false">
      <c r="A5374" s="50" t="s">
        <v>1843</v>
      </c>
      <c r="B5374" s="51" t="n">
        <v>45983</v>
      </c>
      <c r="C5374" s="50" t="s">
        <v>170</v>
      </c>
      <c r="D5374" s="50" t="s">
        <v>2182</v>
      </c>
      <c r="E5374" s="50" t="n">
        <v>5</v>
      </c>
      <c r="F5374" s="50" t="s">
        <v>2174</v>
      </c>
      <c r="G5374" s="54" t="n">
        <v>4642100</v>
      </c>
    </row>
    <row r="5375" customFormat="false" ht="15" hidden="false" customHeight="false" outlineLevel="0" collapsed="false">
      <c r="A5375" s="50" t="s">
        <v>1843</v>
      </c>
      <c r="B5375" s="51" t="n">
        <v>45983</v>
      </c>
      <c r="C5375" s="50" t="s">
        <v>170</v>
      </c>
      <c r="D5375" s="50" t="s">
        <v>2185</v>
      </c>
      <c r="E5375" s="50" t="n">
        <v>6</v>
      </c>
      <c r="F5375" s="50" t="s">
        <v>2174</v>
      </c>
      <c r="G5375" s="54" t="n">
        <v>4781100</v>
      </c>
    </row>
    <row r="5376" customFormat="false" ht="15" hidden="false" customHeight="false" outlineLevel="0" collapsed="false">
      <c r="A5376" s="50" t="s">
        <v>1843</v>
      </c>
      <c r="B5376" s="51" t="n">
        <v>45983</v>
      </c>
      <c r="C5376" s="50" t="s">
        <v>170</v>
      </c>
      <c r="D5376" s="50" t="s">
        <v>2177</v>
      </c>
      <c r="E5376" s="50" t="n">
        <v>5</v>
      </c>
      <c r="F5376" s="50" t="s">
        <v>2174</v>
      </c>
      <c r="G5376" s="54" t="n">
        <v>5286300</v>
      </c>
    </row>
    <row r="5377" customFormat="false" ht="15" hidden="false" customHeight="false" outlineLevel="0" collapsed="false">
      <c r="A5377" s="50" t="s">
        <v>1844</v>
      </c>
      <c r="B5377" s="51" t="n">
        <v>45983</v>
      </c>
      <c r="C5377" s="50" t="s">
        <v>286</v>
      </c>
      <c r="D5377" s="50" t="s">
        <v>2178</v>
      </c>
      <c r="E5377" s="50" t="n">
        <v>4</v>
      </c>
      <c r="F5377" s="50" t="s">
        <v>2167</v>
      </c>
      <c r="G5377" s="54" t="n">
        <v>1880700</v>
      </c>
    </row>
    <row r="5378" customFormat="false" ht="15" hidden="false" customHeight="false" outlineLevel="0" collapsed="false">
      <c r="A5378" s="50" t="s">
        <v>1844</v>
      </c>
      <c r="B5378" s="51" t="n">
        <v>45983</v>
      </c>
      <c r="C5378" s="50" t="s">
        <v>286</v>
      </c>
      <c r="D5378" s="50" t="s">
        <v>2175</v>
      </c>
      <c r="E5378" s="50" t="n">
        <v>8</v>
      </c>
      <c r="F5378" s="50" t="s">
        <v>2167</v>
      </c>
      <c r="G5378" s="54" t="n">
        <v>4935100</v>
      </c>
    </row>
    <row r="5379" customFormat="false" ht="15" hidden="false" customHeight="false" outlineLevel="0" collapsed="false">
      <c r="A5379" s="50" t="s">
        <v>1844</v>
      </c>
      <c r="B5379" s="51" t="n">
        <v>45983</v>
      </c>
      <c r="C5379" s="50" t="s">
        <v>286</v>
      </c>
      <c r="D5379" s="50" t="s">
        <v>2177</v>
      </c>
      <c r="E5379" s="50" t="n">
        <v>1</v>
      </c>
      <c r="F5379" s="50" t="s">
        <v>2174</v>
      </c>
      <c r="G5379" s="54" t="n">
        <v>1123300</v>
      </c>
    </row>
    <row r="5380" customFormat="false" ht="15" hidden="false" customHeight="false" outlineLevel="0" collapsed="false">
      <c r="A5380" s="50" t="s">
        <v>1844</v>
      </c>
      <c r="B5380" s="51" t="n">
        <v>45983</v>
      </c>
      <c r="C5380" s="50" t="s">
        <v>286</v>
      </c>
      <c r="D5380" s="50" t="s">
        <v>2186</v>
      </c>
      <c r="E5380" s="50" t="n">
        <v>6</v>
      </c>
      <c r="F5380" s="50" t="s">
        <v>2167</v>
      </c>
      <c r="G5380" s="54" t="n">
        <v>3608600</v>
      </c>
    </row>
    <row r="5381" customFormat="false" ht="15" hidden="false" customHeight="false" outlineLevel="0" collapsed="false">
      <c r="A5381" s="50" t="s">
        <v>1844</v>
      </c>
      <c r="B5381" s="51" t="n">
        <v>45983</v>
      </c>
      <c r="C5381" s="50" t="s">
        <v>286</v>
      </c>
      <c r="D5381" s="50" t="s">
        <v>2176</v>
      </c>
      <c r="E5381" s="50" t="n">
        <v>2</v>
      </c>
      <c r="F5381" s="50" t="s">
        <v>2167</v>
      </c>
      <c r="G5381" s="54" t="n">
        <v>811600</v>
      </c>
    </row>
    <row r="5382" customFormat="false" ht="15" hidden="false" customHeight="false" outlineLevel="0" collapsed="false">
      <c r="A5382" s="50" t="s">
        <v>1844</v>
      </c>
      <c r="B5382" s="51" t="n">
        <v>45983</v>
      </c>
      <c r="C5382" s="50" t="s">
        <v>286</v>
      </c>
      <c r="D5382" s="50" t="s">
        <v>2166</v>
      </c>
      <c r="E5382" s="50" t="n">
        <v>7</v>
      </c>
      <c r="F5382" s="50" t="s">
        <v>2167</v>
      </c>
      <c r="G5382" s="54" t="n">
        <v>3810900</v>
      </c>
    </row>
    <row r="5383" customFormat="false" ht="15" hidden="false" customHeight="false" outlineLevel="0" collapsed="false">
      <c r="A5383" s="50" t="s">
        <v>1844</v>
      </c>
      <c r="B5383" s="51" t="n">
        <v>45983</v>
      </c>
      <c r="C5383" s="50" t="s">
        <v>286</v>
      </c>
      <c r="D5383" s="50" t="s">
        <v>2179</v>
      </c>
      <c r="E5383" s="50" t="n">
        <v>4</v>
      </c>
      <c r="F5383" s="50" t="s">
        <v>2174</v>
      </c>
      <c r="G5383" s="54" t="n">
        <v>4987900</v>
      </c>
    </row>
    <row r="5384" customFormat="false" ht="15" hidden="false" customHeight="false" outlineLevel="0" collapsed="false">
      <c r="A5384" s="50" t="s">
        <v>1845</v>
      </c>
      <c r="B5384" s="51" t="n">
        <v>45985</v>
      </c>
      <c r="C5384" s="50" t="s">
        <v>223</v>
      </c>
      <c r="D5384" s="50" t="s">
        <v>2184</v>
      </c>
      <c r="E5384" s="50" t="n">
        <v>5</v>
      </c>
      <c r="F5384" s="50" t="s">
        <v>2167</v>
      </c>
      <c r="G5384" s="54" t="n">
        <v>2707100</v>
      </c>
    </row>
    <row r="5385" customFormat="false" ht="15" hidden="false" customHeight="false" outlineLevel="0" collapsed="false">
      <c r="A5385" s="50" t="s">
        <v>1845</v>
      </c>
      <c r="B5385" s="51" t="n">
        <v>45985</v>
      </c>
      <c r="C5385" s="50" t="s">
        <v>223</v>
      </c>
      <c r="D5385" s="50" t="s">
        <v>2179</v>
      </c>
      <c r="E5385" s="50" t="n">
        <v>7</v>
      </c>
      <c r="F5385" s="50" t="s">
        <v>2174</v>
      </c>
      <c r="G5385" s="54" t="n">
        <v>8491800</v>
      </c>
    </row>
    <row r="5386" customFormat="false" ht="15" hidden="false" customHeight="false" outlineLevel="0" collapsed="false">
      <c r="A5386" s="50" t="s">
        <v>1846</v>
      </c>
      <c r="B5386" s="51" t="n">
        <v>45985</v>
      </c>
      <c r="C5386" s="50" t="s">
        <v>166</v>
      </c>
      <c r="D5386" s="50" t="s">
        <v>2176</v>
      </c>
      <c r="E5386" s="50" t="n">
        <v>3</v>
      </c>
      <c r="F5386" s="50" t="s">
        <v>2167</v>
      </c>
      <c r="G5386" s="54" t="n">
        <v>1289100</v>
      </c>
    </row>
    <row r="5387" customFormat="false" ht="15" hidden="false" customHeight="false" outlineLevel="0" collapsed="false">
      <c r="A5387" s="50" t="s">
        <v>1846</v>
      </c>
      <c r="B5387" s="51" t="n">
        <v>45985</v>
      </c>
      <c r="C5387" s="50" t="s">
        <v>166</v>
      </c>
      <c r="D5387" s="50" t="s">
        <v>2180</v>
      </c>
      <c r="E5387" s="50" t="n">
        <v>2</v>
      </c>
      <c r="F5387" s="50" t="s">
        <v>2167</v>
      </c>
      <c r="G5387" s="54" t="n">
        <v>900800</v>
      </c>
    </row>
    <row r="5388" customFormat="false" ht="15" hidden="false" customHeight="false" outlineLevel="0" collapsed="false">
      <c r="A5388" s="50" t="s">
        <v>1847</v>
      </c>
      <c r="B5388" s="51" t="n">
        <v>45985</v>
      </c>
      <c r="C5388" s="50" t="s">
        <v>174</v>
      </c>
      <c r="D5388" s="50" t="s">
        <v>2176</v>
      </c>
      <c r="E5388" s="50" t="n">
        <v>7</v>
      </c>
      <c r="F5388" s="50" t="s">
        <v>2167</v>
      </c>
      <c r="G5388" s="54" t="n">
        <v>2896900</v>
      </c>
    </row>
    <row r="5389" customFormat="false" ht="15" hidden="false" customHeight="false" outlineLevel="0" collapsed="false">
      <c r="A5389" s="50" t="s">
        <v>1847</v>
      </c>
      <c r="B5389" s="51" t="n">
        <v>45985</v>
      </c>
      <c r="C5389" s="50" t="s">
        <v>174</v>
      </c>
      <c r="D5389" s="50" t="s">
        <v>2181</v>
      </c>
      <c r="E5389" s="50" t="n">
        <v>1</v>
      </c>
      <c r="F5389" s="50" t="s">
        <v>2167</v>
      </c>
      <c r="G5389" s="54" t="n">
        <v>1172000</v>
      </c>
    </row>
    <row r="5390" customFormat="false" ht="15" hidden="false" customHeight="false" outlineLevel="0" collapsed="false">
      <c r="A5390" s="50" t="s">
        <v>1847</v>
      </c>
      <c r="B5390" s="51" t="n">
        <v>45985</v>
      </c>
      <c r="C5390" s="50" t="s">
        <v>174</v>
      </c>
      <c r="D5390" s="50" t="s">
        <v>2188</v>
      </c>
      <c r="E5390" s="50" t="n">
        <v>1</v>
      </c>
      <c r="F5390" s="50" t="s">
        <v>2167</v>
      </c>
      <c r="G5390" s="54" t="n">
        <v>1011100</v>
      </c>
    </row>
    <row r="5391" customFormat="false" ht="15" hidden="false" customHeight="false" outlineLevel="0" collapsed="false">
      <c r="A5391" s="50" t="s">
        <v>1848</v>
      </c>
      <c r="B5391" s="51" t="n">
        <v>45985</v>
      </c>
      <c r="C5391" s="50" t="s">
        <v>197</v>
      </c>
      <c r="D5391" s="50" t="s">
        <v>2176</v>
      </c>
      <c r="E5391" s="50" t="n">
        <v>8</v>
      </c>
      <c r="F5391" s="50" t="s">
        <v>2167</v>
      </c>
      <c r="G5391" s="54" t="n">
        <v>3299900</v>
      </c>
    </row>
    <row r="5392" customFormat="false" ht="15" hidden="false" customHeight="false" outlineLevel="0" collapsed="false">
      <c r="A5392" s="50" t="s">
        <v>1848</v>
      </c>
      <c r="B5392" s="51" t="n">
        <v>45985</v>
      </c>
      <c r="C5392" s="50" t="s">
        <v>197</v>
      </c>
      <c r="D5392" s="50" t="s">
        <v>2181</v>
      </c>
      <c r="E5392" s="50" t="n">
        <v>5</v>
      </c>
      <c r="F5392" s="50" t="s">
        <v>2167</v>
      </c>
      <c r="G5392" s="54" t="n">
        <v>5706800</v>
      </c>
    </row>
    <row r="5393" customFormat="false" ht="15" hidden="false" customHeight="false" outlineLevel="0" collapsed="false">
      <c r="A5393" s="50" t="s">
        <v>1849</v>
      </c>
      <c r="B5393" s="51" t="n">
        <v>45986</v>
      </c>
      <c r="C5393" s="50" t="s">
        <v>469</v>
      </c>
      <c r="D5393" s="50" t="s">
        <v>2176</v>
      </c>
      <c r="E5393" s="50" t="n">
        <v>4</v>
      </c>
      <c r="F5393" s="50" t="s">
        <v>2167</v>
      </c>
      <c r="G5393" s="54" t="n">
        <v>1645600</v>
      </c>
    </row>
    <row r="5394" customFormat="false" ht="15" hidden="false" customHeight="false" outlineLevel="0" collapsed="false">
      <c r="A5394" s="50" t="s">
        <v>1849</v>
      </c>
      <c r="B5394" s="51" t="n">
        <v>45986</v>
      </c>
      <c r="C5394" s="50" t="s">
        <v>469</v>
      </c>
      <c r="D5394" s="50" t="s">
        <v>2183</v>
      </c>
      <c r="E5394" s="50" t="n">
        <v>8</v>
      </c>
      <c r="F5394" s="50" t="s">
        <v>2167</v>
      </c>
      <c r="G5394" s="54" t="n">
        <v>3063800</v>
      </c>
    </row>
    <row r="5395" customFormat="false" ht="15" hidden="false" customHeight="false" outlineLevel="0" collapsed="false">
      <c r="A5395" s="50" t="s">
        <v>1849</v>
      </c>
      <c r="B5395" s="51" t="n">
        <v>45986</v>
      </c>
      <c r="C5395" s="50" t="s">
        <v>469</v>
      </c>
      <c r="D5395" s="50" t="s">
        <v>2173</v>
      </c>
      <c r="E5395" s="50" t="n">
        <v>2</v>
      </c>
      <c r="F5395" s="50" t="s">
        <v>2174</v>
      </c>
      <c r="G5395" s="54" t="n">
        <v>1618000</v>
      </c>
    </row>
    <row r="5396" customFormat="false" ht="15" hidden="false" customHeight="false" outlineLevel="0" collapsed="false">
      <c r="A5396" s="50" t="s">
        <v>1850</v>
      </c>
      <c r="B5396" s="51" t="n">
        <v>45986</v>
      </c>
      <c r="C5396" s="50" t="s">
        <v>479</v>
      </c>
      <c r="D5396" s="50" t="s">
        <v>2186</v>
      </c>
      <c r="E5396" s="50" t="n">
        <v>4</v>
      </c>
      <c r="F5396" s="50" t="s">
        <v>2167</v>
      </c>
      <c r="G5396" s="54" t="n">
        <v>2315600</v>
      </c>
    </row>
    <row r="5397" customFormat="false" ht="15" hidden="false" customHeight="false" outlineLevel="0" collapsed="false">
      <c r="A5397" s="50" t="s">
        <v>1850</v>
      </c>
      <c r="B5397" s="51" t="n">
        <v>45986</v>
      </c>
      <c r="C5397" s="50" t="s">
        <v>479</v>
      </c>
      <c r="D5397" s="50" t="s">
        <v>2177</v>
      </c>
      <c r="E5397" s="50" t="n">
        <v>7</v>
      </c>
      <c r="F5397" s="50" t="s">
        <v>2174</v>
      </c>
      <c r="G5397" s="54" t="n">
        <v>7490300</v>
      </c>
    </row>
    <row r="5398" customFormat="false" ht="15" hidden="false" customHeight="false" outlineLevel="0" collapsed="false">
      <c r="A5398" s="50" t="s">
        <v>1850</v>
      </c>
      <c r="B5398" s="51" t="n">
        <v>45986</v>
      </c>
      <c r="C5398" s="50" t="s">
        <v>479</v>
      </c>
      <c r="D5398" s="50" t="s">
        <v>2181</v>
      </c>
      <c r="E5398" s="50" t="n">
        <v>7</v>
      </c>
      <c r="F5398" s="50" t="s">
        <v>2167</v>
      </c>
      <c r="G5398" s="54" t="n">
        <v>8191500</v>
      </c>
    </row>
    <row r="5399" customFormat="false" ht="15" hidden="false" customHeight="false" outlineLevel="0" collapsed="false">
      <c r="A5399" s="50" t="s">
        <v>1850</v>
      </c>
      <c r="B5399" s="51" t="n">
        <v>45986</v>
      </c>
      <c r="C5399" s="50" t="s">
        <v>479</v>
      </c>
      <c r="D5399" s="50" t="s">
        <v>2182</v>
      </c>
      <c r="E5399" s="50" t="n">
        <v>1</v>
      </c>
      <c r="F5399" s="50" t="s">
        <v>2174</v>
      </c>
      <c r="G5399" s="54" t="n">
        <v>924900</v>
      </c>
    </row>
    <row r="5400" customFormat="false" ht="15" hidden="false" customHeight="false" outlineLevel="0" collapsed="false">
      <c r="A5400" s="50" t="s">
        <v>1851</v>
      </c>
      <c r="B5400" s="51" t="n">
        <v>45986</v>
      </c>
      <c r="C5400" s="50" t="s">
        <v>430</v>
      </c>
      <c r="D5400" s="50" t="s">
        <v>2178</v>
      </c>
      <c r="E5400" s="50" t="n">
        <v>3</v>
      </c>
      <c r="F5400" s="50" t="s">
        <v>2167</v>
      </c>
      <c r="G5400" s="54" t="n">
        <v>1428200</v>
      </c>
    </row>
    <row r="5401" customFormat="false" ht="15" hidden="false" customHeight="false" outlineLevel="0" collapsed="false">
      <c r="A5401" s="50" t="s">
        <v>1851</v>
      </c>
      <c r="B5401" s="51" t="n">
        <v>45986</v>
      </c>
      <c r="C5401" s="50" t="s">
        <v>430</v>
      </c>
      <c r="D5401" s="50" t="s">
        <v>2183</v>
      </c>
      <c r="E5401" s="50" t="n">
        <v>6</v>
      </c>
      <c r="F5401" s="50" t="s">
        <v>2167</v>
      </c>
      <c r="G5401" s="54" t="n">
        <v>2235800</v>
      </c>
    </row>
    <row r="5402" customFormat="false" ht="15" hidden="false" customHeight="false" outlineLevel="0" collapsed="false">
      <c r="A5402" s="50" t="s">
        <v>1852</v>
      </c>
      <c r="B5402" s="51" t="n">
        <v>45986</v>
      </c>
      <c r="C5402" s="50" t="s">
        <v>430</v>
      </c>
      <c r="D5402" s="50" t="s">
        <v>2188</v>
      </c>
      <c r="E5402" s="50" t="n">
        <v>2</v>
      </c>
      <c r="F5402" s="50" t="s">
        <v>2167</v>
      </c>
      <c r="G5402" s="54" t="n">
        <v>1913900</v>
      </c>
    </row>
    <row r="5403" customFormat="false" ht="15" hidden="false" customHeight="false" outlineLevel="0" collapsed="false">
      <c r="A5403" s="50" t="s">
        <v>1852</v>
      </c>
      <c r="B5403" s="51" t="n">
        <v>45986</v>
      </c>
      <c r="C5403" s="50" t="s">
        <v>430</v>
      </c>
      <c r="D5403" s="50" t="s">
        <v>2186</v>
      </c>
      <c r="E5403" s="50" t="n">
        <v>4</v>
      </c>
      <c r="F5403" s="50" t="s">
        <v>2167</v>
      </c>
      <c r="G5403" s="54" t="n">
        <v>2389900</v>
      </c>
    </row>
    <row r="5404" customFormat="false" ht="15" hidden="false" customHeight="false" outlineLevel="0" collapsed="false">
      <c r="A5404" s="50" t="s">
        <v>1852</v>
      </c>
      <c r="B5404" s="51" t="n">
        <v>45986</v>
      </c>
      <c r="C5404" s="50" t="s">
        <v>430</v>
      </c>
      <c r="D5404" s="50" t="s">
        <v>2179</v>
      </c>
      <c r="E5404" s="50" t="n">
        <v>5</v>
      </c>
      <c r="F5404" s="50" t="s">
        <v>2174</v>
      </c>
      <c r="G5404" s="54" t="n">
        <v>6058300</v>
      </c>
    </row>
    <row r="5405" customFormat="false" ht="15" hidden="false" customHeight="false" outlineLevel="0" collapsed="false">
      <c r="A5405" s="50" t="s">
        <v>1853</v>
      </c>
      <c r="B5405" s="51" t="n">
        <v>45987</v>
      </c>
      <c r="C5405" s="50" t="s">
        <v>223</v>
      </c>
      <c r="D5405" s="50" t="s">
        <v>2176</v>
      </c>
      <c r="E5405" s="50" t="n">
        <v>1</v>
      </c>
      <c r="F5405" s="50" t="s">
        <v>2167</v>
      </c>
      <c r="G5405" s="54" t="n">
        <v>421900</v>
      </c>
    </row>
    <row r="5406" customFormat="false" ht="15" hidden="false" customHeight="false" outlineLevel="0" collapsed="false">
      <c r="A5406" s="50" t="s">
        <v>1853</v>
      </c>
      <c r="B5406" s="51" t="n">
        <v>45987</v>
      </c>
      <c r="C5406" s="50" t="s">
        <v>223</v>
      </c>
      <c r="D5406" s="50" t="s">
        <v>2183</v>
      </c>
      <c r="E5406" s="50" t="n">
        <v>7</v>
      </c>
      <c r="F5406" s="50" t="s">
        <v>2167</v>
      </c>
      <c r="G5406" s="54" t="n">
        <v>2615900</v>
      </c>
    </row>
    <row r="5407" customFormat="false" ht="15" hidden="false" customHeight="false" outlineLevel="0" collapsed="false">
      <c r="A5407" s="50" t="s">
        <v>1853</v>
      </c>
      <c r="B5407" s="51" t="n">
        <v>45987</v>
      </c>
      <c r="C5407" s="50" t="s">
        <v>223</v>
      </c>
      <c r="D5407" s="50" t="s">
        <v>2175</v>
      </c>
      <c r="E5407" s="50" t="n">
        <v>5</v>
      </c>
      <c r="F5407" s="50" t="s">
        <v>2167</v>
      </c>
      <c r="G5407" s="54" t="n">
        <v>3216400</v>
      </c>
    </row>
    <row r="5408" customFormat="false" ht="15" hidden="false" customHeight="false" outlineLevel="0" collapsed="false">
      <c r="A5408" s="50" t="s">
        <v>1854</v>
      </c>
      <c r="B5408" s="51" t="n">
        <v>45987</v>
      </c>
      <c r="C5408" s="50" t="s">
        <v>203</v>
      </c>
      <c r="D5408" s="50" t="s">
        <v>2169</v>
      </c>
      <c r="E5408" s="50" t="n">
        <v>6</v>
      </c>
      <c r="F5408" s="50" t="s">
        <v>2167</v>
      </c>
      <c r="G5408" s="54" t="n">
        <v>3630200</v>
      </c>
    </row>
    <row r="5409" customFormat="false" ht="15" hidden="false" customHeight="false" outlineLevel="0" collapsed="false">
      <c r="A5409" s="50" t="s">
        <v>1854</v>
      </c>
      <c r="B5409" s="51" t="n">
        <v>45987</v>
      </c>
      <c r="C5409" s="50" t="s">
        <v>203</v>
      </c>
      <c r="D5409" s="50" t="s">
        <v>2184</v>
      </c>
      <c r="E5409" s="50" t="n">
        <v>4</v>
      </c>
      <c r="F5409" s="50" t="s">
        <v>2167</v>
      </c>
      <c r="G5409" s="54" t="n">
        <v>2203500</v>
      </c>
    </row>
    <row r="5410" customFormat="false" ht="15" hidden="false" customHeight="false" outlineLevel="0" collapsed="false">
      <c r="A5410" s="50" t="s">
        <v>1855</v>
      </c>
      <c r="B5410" s="51" t="n">
        <v>45987</v>
      </c>
      <c r="C5410" s="50" t="s">
        <v>505</v>
      </c>
      <c r="D5410" s="50" t="s">
        <v>2180</v>
      </c>
      <c r="E5410" s="50" t="n">
        <v>3</v>
      </c>
      <c r="F5410" s="50" t="s">
        <v>2167</v>
      </c>
      <c r="G5410" s="54" t="n">
        <v>1301100</v>
      </c>
    </row>
    <row r="5411" customFormat="false" ht="15" hidden="false" customHeight="false" outlineLevel="0" collapsed="false">
      <c r="A5411" s="50" t="s">
        <v>1855</v>
      </c>
      <c r="B5411" s="51" t="n">
        <v>45987</v>
      </c>
      <c r="C5411" s="50" t="s">
        <v>505</v>
      </c>
      <c r="D5411" s="50" t="s">
        <v>2183</v>
      </c>
      <c r="E5411" s="50" t="n">
        <v>1</v>
      </c>
      <c r="F5411" s="50" t="s">
        <v>2167</v>
      </c>
      <c r="G5411" s="54" t="n">
        <v>373000</v>
      </c>
    </row>
    <row r="5412" customFormat="false" ht="15" hidden="false" customHeight="false" outlineLevel="0" collapsed="false">
      <c r="A5412" s="50" t="s">
        <v>1855</v>
      </c>
      <c r="B5412" s="51" t="n">
        <v>45987</v>
      </c>
      <c r="C5412" s="50" t="s">
        <v>505</v>
      </c>
      <c r="D5412" s="50" t="s">
        <v>2173</v>
      </c>
      <c r="E5412" s="50" t="n">
        <v>7</v>
      </c>
      <c r="F5412" s="50" t="s">
        <v>2174</v>
      </c>
      <c r="G5412" s="54" t="n">
        <v>5394600</v>
      </c>
    </row>
    <row r="5413" customFormat="false" ht="15" hidden="false" customHeight="false" outlineLevel="0" collapsed="false">
      <c r="A5413" s="50" t="s">
        <v>86</v>
      </c>
      <c r="B5413" s="51" t="n">
        <v>45987</v>
      </c>
      <c r="C5413" s="50" t="s">
        <v>320</v>
      </c>
      <c r="D5413" s="50" t="s">
        <v>2186</v>
      </c>
      <c r="E5413" s="50" t="n">
        <v>7</v>
      </c>
      <c r="F5413" s="50" t="s">
        <v>2167</v>
      </c>
      <c r="G5413" s="54" t="n">
        <v>4268300</v>
      </c>
    </row>
    <row r="5414" customFormat="false" ht="15" hidden="false" customHeight="false" outlineLevel="0" collapsed="false">
      <c r="A5414" s="50" t="s">
        <v>86</v>
      </c>
      <c r="B5414" s="51" t="n">
        <v>45987</v>
      </c>
      <c r="C5414" s="50" t="s">
        <v>320</v>
      </c>
      <c r="D5414" s="50" t="s">
        <v>2173</v>
      </c>
      <c r="E5414" s="50" t="n">
        <v>3</v>
      </c>
      <c r="F5414" s="50" t="s">
        <v>2174</v>
      </c>
      <c r="G5414" s="54" t="n">
        <v>2371100</v>
      </c>
    </row>
    <row r="5415" customFormat="false" ht="15" hidden="false" customHeight="false" outlineLevel="0" collapsed="false">
      <c r="A5415" s="50" t="s">
        <v>86</v>
      </c>
      <c r="B5415" s="51" t="n">
        <v>45987</v>
      </c>
      <c r="C5415" s="50" t="s">
        <v>320</v>
      </c>
      <c r="D5415" s="50" t="s">
        <v>2168</v>
      </c>
      <c r="E5415" s="50" t="n">
        <v>4</v>
      </c>
      <c r="F5415" s="50" t="s">
        <v>2167</v>
      </c>
      <c r="G5415" s="54" t="n">
        <v>1761700</v>
      </c>
    </row>
    <row r="5416" customFormat="false" ht="15" hidden="false" customHeight="false" outlineLevel="0" collapsed="false">
      <c r="A5416" s="50" t="s">
        <v>86</v>
      </c>
      <c r="B5416" s="51" t="n">
        <v>45987</v>
      </c>
      <c r="C5416" s="50" t="s">
        <v>320</v>
      </c>
      <c r="D5416" s="50" t="s">
        <v>2169</v>
      </c>
      <c r="E5416" s="50" t="n">
        <v>4</v>
      </c>
      <c r="F5416" s="50" t="s">
        <v>2167</v>
      </c>
      <c r="G5416" s="54" t="n">
        <v>2494100</v>
      </c>
    </row>
    <row r="5417" customFormat="false" ht="15" hidden="false" customHeight="false" outlineLevel="0" collapsed="false">
      <c r="A5417" s="50" t="s">
        <v>86</v>
      </c>
      <c r="B5417" s="51" t="n">
        <v>45987</v>
      </c>
      <c r="C5417" s="50" t="s">
        <v>320</v>
      </c>
      <c r="D5417" s="50" t="s">
        <v>2184</v>
      </c>
      <c r="E5417" s="50" t="n">
        <v>5</v>
      </c>
      <c r="F5417" s="50" t="s">
        <v>2167</v>
      </c>
      <c r="G5417" s="54" t="n">
        <v>2880000</v>
      </c>
    </row>
    <row r="5418" customFormat="false" ht="15" hidden="false" customHeight="false" outlineLevel="0" collapsed="false">
      <c r="A5418" s="50" t="s">
        <v>86</v>
      </c>
      <c r="B5418" s="51" t="n">
        <v>45987</v>
      </c>
      <c r="C5418" s="50" t="s">
        <v>320</v>
      </c>
      <c r="D5418" s="50" t="s">
        <v>2183</v>
      </c>
      <c r="E5418" s="50" t="n">
        <v>5</v>
      </c>
      <c r="F5418" s="50" t="s">
        <v>2167</v>
      </c>
      <c r="G5418" s="54" t="n">
        <v>1853500</v>
      </c>
    </row>
    <row r="5419" customFormat="false" ht="15" hidden="false" customHeight="false" outlineLevel="0" collapsed="false">
      <c r="A5419" s="50" t="s">
        <v>86</v>
      </c>
      <c r="B5419" s="51" t="n">
        <v>45987</v>
      </c>
      <c r="C5419" s="50" t="s">
        <v>320</v>
      </c>
      <c r="D5419" s="50" t="s">
        <v>2182</v>
      </c>
      <c r="E5419" s="50" t="n">
        <v>6</v>
      </c>
      <c r="F5419" s="50" t="s">
        <v>2174</v>
      </c>
      <c r="G5419" s="54" t="n">
        <v>5752300</v>
      </c>
    </row>
    <row r="5420" customFormat="false" ht="15" hidden="false" customHeight="false" outlineLevel="0" collapsed="false">
      <c r="A5420" s="50" t="s">
        <v>1856</v>
      </c>
      <c r="B5420" s="51" t="n">
        <v>45988</v>
      </c>
      <c r="C5420" s="50" t="s">
        <v>225</v>
      </c>
      <c r="D5420" s="50" t="s">
        <v>2176</v>
      </c>
      <c r="E5420" s="50" t="n">
        <v>1</v>
      </c>
      <c r="F5420" s="50" t="s">
        <v>2167</v>
      </c>
      <c r="G5420" s="54" t="n">
        <v>408300</v>
      </c>
    </row>
    <row r="5421" customFormat="false" ht="15" hidden="false" customHeight="false" outlineLevel="0" collapsed="false">
      <c r="A5421" s="50" t="s">
        <v>1856</v>
      </c>
      <c r="B5421" s="51" t="n">
        <v>45988</v>
      </c>
      <c r="C5421" s="50" t="s">
        <v>225</v>
      </c>
      <c r="D5421" s="50" t="s">
        <v>2185</v>
      </c>
      <c r="E5421" s="50" t="n">
        <v>1</v>
      </c>
      <c r="F5421" s="50" t="s">
        <v>2174</v>
      </c>
      <c r="G5421" s="54" t="n">
        <v>787500</v>
      </c>
    </row>
    <row r="5422" customFormat="false" ht="15" hidden="false" customHeight="false" outlineLevel="0" collapsed="false">
      <c r="A5422" s="50" t="s">
        <v>1856</v>
      </c>
      <c r="B5422" s="51" t="n">
        <v>45988</v>
      </c>
      <c r="C5422" s="50" t="s">
        <v>225</v>
      </c>
      <c r="D5422" s="50" t="s">
        <v>2169</v>
      </c>
      <c r="E5422" s="50" t="n">
        <v>5</v>
      </c>
      <c r="F5422" s="50" t="s">
        <v>2167</v>
      </c>
      <c r="G5422" s="54" t="n">
        <v>3183300</v>
      </c>
    </row>
    <row r="5423" customFormat="false" ht="15" hidden="false" customHeight="false" outlineLevel="0" collapsed="false">
      <c r="A5423" s="50" t="s">
        <v>1856</v>
      </c>
      <c r="B5423" s="51" t="n">
        <v>45988</v>
      </c>
      <c r="C5423" s="50" t="s">
        <v>225</v>
      </c>
      <c r="D5423" s="50" t="s">
        <v>2183</v>
      </c>
      <c r="E5423" s="50" t="n">
        <v>7</v>
      </c>
      <c r="F5423" s="50" t="s">
        <v>2167</v>
      </c>
      <c r="G5423" s="54" t="n">
        <v>2673400</v>
      </c>
    </row>
    <row r="5424" customFormat="false" ht="15" hidden="false" customHeight="false" outlineLevel="0" collapsed="false">
      <c r="A5424" s="50" t="s">
        <v>1856</v>
      </c>
      <c r="B5424" s="51" t="n">
        <v>45988</v>
      </c>
      <c r="C5424" s="50" t="s">
        <v>225</v>
      </c>
      <c r="D5424" s="50" t="s">
        <v>2168</v>
      </c>
      <c r="E5424" s="50" t="n">
        <v>3</v>
      </c>
      <c r="F5424" s="50" t="s">
        <v>2167</v>
      </c>
      <c r="G5424" s="54" t="n">
        <v>1327100</v>
      </c>
    </row>
    <row r="5425" customFormat="false" ht="15" hidden="false" customHeight="false" outlineLevel="0" collapsed="false">
      <c r="A5425" s="50" t="s">
        <v>1857</v>
      </c>
      <c r="B5425" s="51" t="n">
        <v>45988</v>
      </c>
      <c r="C5425" s="50" t="s">
        <v>479</v>
      </c>
      <c r="D5425" s="50" t="s">
        <v>2186</v>
      </c>
      <c r="E5425" s="50" t="n">
        <v>7</v>
      </c>
      <c r="F5425" s="50" t="s">
        <v>2167</v>
      </c>
      <c r="G5425" s="54" t="n">
        <v>4170100</v>
      </c>
    </row>
    <row r="5426" customFormat="false" ht="15" hidden="false" customHeight="false" outlineLevel="0" collapsed="false">
      <c r="A5426" s="50" t="s">
        <v>1857</v>
      </c>
      <c r="B5426" s="51" t="n">
        <v>45988</v>
      </c>
      <c r="C5426" s="50" t="s">
        <v>479</v>
      </c>
      <c r="D5426" s="50" t="s">
        <v>2170</v>
      </c>
      <c r="E5426" s="50" t="n">
        <v>2</v>
      </c>
      <c r="F5426" s="50" t="s">
        <v>2171</v>
      </c>
      <c r="G5426" s="54" t="n">
        <v>14774500</v>
      </c>
    </row>
    <row r="5427" customFormat="false" ht="15" hidden="false" customHeight="false" outlineLevel="0" collapsed="false">
      <c r="A5427" s="50" t="s">
        <v>1857</v>
      </c>
      <c r="B5427" s="51" t="n">
        <v>45988</v>
      </c>
      <c r="C5427" s="50" t="s">
        <v>479</v>
      </c>
      <c r="D5427" s="50" t="s">
        <v>2178</v>
      </c>
      <c r="E5427" s="50" t="n">
        <v>5</v>
      </c>
      <c r="F5427" s="50" t="s">
        <v>2167</v>
      </c>
      <c r="G5427" s="54" t="n">
        <v>2476100</v>
      </c>
    </row>
    <row r="5428" customFormat="false" ht="15" hidden="false" customHeight="false" outlineLevel="0" collapsed="false">
      <c r="A5428" s="50" t="s">
        <v>1857</v>
      </c>
      <c r="B5428" s="51" t="n">
        <v>45988</v>
      </c>
      <c r="C5428" s="50" t="s">
        <v>479</v>
      </c>
      <c r="D5428" s="50" t="s">
        <v>2169</v>
      </c>
      <c r="E5428" s="50" t="n">
        <v>1</v>
      </c>
      <c r="F5428" s="50" t="s">
        <v>2167</v>
      </c>
      <c r="G5428" s="54" t="n">
        <v>621200</v>
      </c>
    </row>
    <row r="5429" customFormat="false" ht="15" hidden="false" customHeight="false" outlineLevel="0" collapsed="false">
      <c r="A5429" s="50" t="s">
        <v>1857</v>
      </c>
      <c r="B5429" s="51" t="n">
        <v>45988</v>
      </c>
      <c r="C5429" s="50" t="s">
        <v>479</v>
      </c>
      <c r="D5429" s="50" t="s">
        <v>2185</v>
      </c>
      <c r="E5429" s="50" t="n">
        <v>6</v>
      </c>
      <c r="F5429" s="50" t="s">
        <v>2174</v>
      </c>
      <c r="G5429" s="54" t="n">
        <v>4802000</v>
      </c>
    </row>
    <row r="5430" customFormat="false" ht="15" hidden="false" customHeight="false" outlineLevel="0" collapsed="false">
      <c r="A5430" s="50" t="s">
        <v>1857</v>
      </c>
      <c r="B5430" s="51" t="n">
        <v>45988</v>
      </c>
      <c r="C5430" s="50" t="s">
        <v>479</v>
      </c>
      <c r="D5430" s="50" t="s">
        <v>2177</v>
      </c>
      <c r="E5430" s="50" t="n">
        <v>2</v>
      </c>
      <c r="F5430" s="50" t="s">
        <v>2174</v>
      </c>
      <c r="G5430" s="54" t="n">
        <v>2155600</v>
      </c>
    </row>
    <row r="5431" customFormat="false" ht="15" hidden="false" customHeight="false" outlineLevel="0" collapsed="false">
      <c r="A5431" s="50" t="s">
        <v>1857</v>
      </c>
      <c r="B5431" s="51" t="n">
        <v>45988</v>
      </c>
      <c r="C5431" s="50" t="s">
        <v>479</v>
      </c>
      <c r="D5431" s="50" t="s">
        <v>2183</v>
      </c>
      <c r="E5431" s="50" t="n">
        <v>8</v>
      </c>
      <c r="F5431" s="50" t="s">
        <v>2167</v>
      </c>
      <c r="G5431" s="54" t="n">
        <v>2988700</v>
      </c>
    </row>
    <row r="5432" customFormat="false" ht="15" hidden="false" customHeight="false" outlineLevel="0" collapsed="false">
      <c r="A5432" s="50" t="s">
        <v>1858</v>
      </c>
      <c r="B5432" s="51" t="n">
        <v>45988</v>
      </c>
      <c r="C5432" s="50" t="s">
        <v>174</v>
      </c>
      <c r="D5432" s="50" t="s">
        <v>2169</v>
      </c>
      <c r="E5432" s="50" t="n">
        <v>5</v>
      </c>
      <c r="F5432" s="50" t="s">
        <v>2167</v>
      </c>
      <c r="G5432" s="54" t="n">
        <v>3183700</v>
      </c>
    </row>
    <row r="5433" customFormat="false" ht="15" hidden="false" customHeight="false" outlineLevel="0" collapsed="false">
      <c r="A5433" s="50" t="s">
        <v>1858</v>
      </c>
      <c r="B5433" s="51" t="n">
        <v>45988</v>
      </c>
      <c r="C5433" s="50" t="s">
        <v>174</v>
      </c>
      <c r="D5433" s="50" t="s">
        <v>2184</v>
      </c>
      <c r="E5433" s="50" t="n">
        <v>5</v>
      </c>
      <c r="F5433" s="50" t="s">
        <v>2167</v>
      </c>
      <c r="G5433" s="54" t="n">
        <v>2893800</v>
      </c>
    </row>
    <row r="5434" customFormat="false" ht="15" hidden="false" customHeight="false" outlineLevel="0" collapsed="false">
      <c r="A5434" s="50" t="s">
        <v>1859</v>
      </c>
      <c r="B5434" s="51" t="n">
        <v>45988</v>
      </c>
      <c r="C5434" s="50" t="s">
        <v>195</v>
      </c>
      <c r="D5434" s="50" t="s">
        <v>2181</v>
      </c>
      <c r="E5434" s="50" t="n">
        <v>2</v>
      </c>
      <c r="F5434" s="50" t="s">
        <v>2167</v>
      </c>
      <c r="G5434" s="54" t="n">
        <v>2283700</v>
      </c>
    </row>
    <row r="5435" customFormat="false" ht="15" hidden="false" customHeight="false" outlineLevel="0" collapsed="false">
      <c r="A5435" s="50" t="s">
        <v>1859</v>
      </c>
      <c r="B5435" s="51" t="n">
        <v>45988</v>
      </c>
      <c r="C5435" s="50" t="s">
        <v>195</v>
      </c>
      <c r="D5435" s="50" t="s">
        <v>2168</v>
      </c>
      <c r="E5435" s="50" t="n">
        <v>7</v>
      </c>
      <c r="F5435" s="50" t="s">
        <v>2167</v>
      </c>
      <c r="G5435" s="54" t="n">
        <v>3028600</v>
      </c>
    </row>
    <row r="5436" customFormat="false" ht="15" hidden="false" customHeight="false" outlineLevel="0" collapsed="false">
      <c r="A5436" s="50" t="s">
        <v>1860</v>
      </c>
      <c r="B5436" s="51" t="n">
        <v>45988</v>
      </c>
      <c r="C5436" s="50" t="s">
        <v>562</v>
      </c>
      <c r="D5436" s="50" t="s">
        <v>2177</v>
      </c>
      <c r="E5436" s="50" t="n">
        <v>7</v>
      </c>
      <c r="F5436" s="50" t="s">
        <v>2174</v>
      </c>
      <c r="G5436" s="54" t="n">
        <v>7664700</v>
      </c>
    </row>
    <row r="5437" customFormat="false" ht="15" hidden="false" customHeight="false" outlineLevel="0" collapsed="false">
      <c r="A5437" s="50" t="s">
        <v>1860</v>
      </c>
      <c r="B5437" s="51" t="n">
        <v>45988</v>
      </c>
      <c r="C5437" s="50" t="s">
        <v>562</v>
      </c>
      <c r="D5437" s="50" t="s">
        <v>2181</v>
      </c>
      <c r="E5437" s="50" t="n">
        <v>3</v>
      </c>
      <c r="F5437" s="50" t="s">
        <v>2167</v>
      </c>
      <c r="G5437" s="54" t="n">
        <v>3506000</v>
      </c>
    </row>
    <row r="5438" customFormat="false" ht="15" hidden="false" customHeight="false" outlineLevel="0" collapsed="false">
      <c r="A5438" s="50" t="s">
        <v>1860</v>
      </c>
      <c r="B5438" s="51" t="n">
        <v>45988</v>
      </c>
      <c r="C5438" s="50" t="s">
        <v>562</v>
      </c>
      <c r="D5438" s="50" t="s">
        <v>2186</v>
      </c>
      <c r="E5438" s="50" t="n">
        <v>6</v>
      </c>
      <c r="F5438" s="50" t="s">
        <v>2167</v>
      </c>
      <c r="G5438" s="54" t="n">
        <v>3607900</v>
      </c>
    </row>
    <row r="5439" customFormat="false" ht="15" hidden="false" customHeight="false" outlineLevel="0" collapsed="false">
      <c r="A5439" s="50" t="s">
        <v>1861</v>
      </c>
      <c r="B5439" s="51" t="n">
        <v>45988</v>
      </c>
      <c r="C5439" s="50" t="s">
        <v>205</v>
      </c>
      <c r="D5439" s="50" t="s">
        <v>2185</v>
      </c>
      <c r="E5439" s="50" t="n">
        <v>6</v>
      </c>
      <c r="F5439" s="50" t="s">
        <v>2174</v>
      </c>
      <c r="G5439" s="54" t="n">
        <v>4719400</v>
      </c>
    </row>
    <row r="5440" customFormat="false" ht="15" hidden="false" customHeight="false" outlineLevel="0" collapsed="false">
      <c r="A5440" s="50" t="s">
        <v>1861</v>
      </c>
      <c r="B5440" s="51" t="n">
        <v>45988</v>
      </c>
      <c r="C5440" s="50" t="s">
        <v>205</v>
      </c>
      <c r="D5440" s="50" t="s">
        <v>2183</v>
      </c>
      <c r="E5440" s="50" t="n">
        <v>4</v>
      </c>
      <c r="F5440" s="50" t="s">
        <v>2167</v>
      </c>
      <c r="G5440" s="54" t="n">
        <v>1562500</v>
      </c>
    </row>
    <row r="5441" customFormat="false" ht="15" hidden="false" customHeight="false" outlineLevel="0" collapsed="false">
      <c r="A5441" s="50" t="s">
        <v>1861</v>
      </c>
      <c r="B5441" s="51" t="n">
        <v>45988</v>
      </c>
      <c r="C5441" s="50" t="s">
        <v>205</v>
      </c>
      <c r="D5441" s="50" t="s">
        <v>2182</v>
      </c>
      <c r="E5441" s="50" t="n">
        <v>4</v>
      </c>
      <c r="F5441" s="50" t="s">
        <v>2174</v>
      </c>
      <c r="G5441" s="54" t="n">
        <v>3759200</v>
      </c>
    </row>
    <row r="5442" customFormat="false" ht="15" hidden="false" customHeight="false" outlineLevel="0" collapsed="false">
      <c r="A5442" s="50" t="s">
        <v>1861</v>
      </c>
      <c r="B5442" s="51" t="n">
        <v>45988</v>
      </c>
      <c r="C5442" s="50" t="s">
        <v>205</v>
      </c>
      <c r="D5442" s="50" t="s">
        <v>2188</v>
      </c>
      <c r="E5442" s="50" t="n">
        <v>8</v>
      </c>
      <c r="F5442" s="50" t="s">
        <v>2167</v>
      </c>
      <c r="G5442" s="54" t="n">
        <v>7599700</v>
      </c>
    </row>
    <row r="5443" customFormat="false" ht="15" hidden="false" customHeight="false" outlineLevel="0" collapsed="false">
      <c r="A5443" s="50" t="s">
        <v>1861</v>
      </c>
      <c r="B5443" s="51" t="n">
        <v>45988</v>
      </c>
      <c r="C5443" s="50" t="s">
        <v>205</v>
      </c>
      <c r="D5443" s="50" t="s">
        <v>2175</v>
      </c>
      <c r="E5443" s="50" t="n">
        <v>1</v>
      </c>
      <c r="F5443" s="50" t="s">
        <v>2167</v>
      </c>
      <c r="G5443" s="54" t="n">
        <v>654800</v>
      </c>
    </row>
    <row r="5444" customFormat="false" ht="15" hidden="false" customHeight="false" outlineLevel="0" collapsed="false">
      <c r="A5444" s="50" t="s">
        <v>1862</v>
      </c>
      <c r="B5444" s="51" t="n">
        <v>45989</v>
      </c>
      <c r="C5444" s="50" t="s">
        <v>349</v>
      </c>
      <c r="D5444" s="50" t="s">
        <v>2175</v>
      </c>
      <c r="E5444" s="50" t="n">
        <v>1</v>
      </c>
      <c r="F5444" s="50" t="s">
        <v>2167</v>
      </c>
      <c r="G5444" s="54" t="n">
        <v>641800</v>
      </c>
    </row>
    <row r="5445" customFormat="false" ht="15" hidden="false" customHeight="false" outlineLevel="0" collapsed="false">
      <c r="A5445" s="50" t="s">
        <v>1862</v>
      </c>
      <c r="B5445" s="51" t="n">
        <v>45989</v>
      </c>
      <c r="C5445" s="50" t="s">
        <v>349</v>
      </c>
      <c r="D5445" s="50" t="s">
        <v>2181</v>
      </c>
      <c r="E5445" s="50" t="n">
        <v>4</v>
      </c>
      <c r="F5445" s="50" t="s">
        <v>2167</v>
      </c>
      <c r="G5445" s="54" t="n">
        <v>4593900</v>
      </c>
    </row>
    <row r="5446" customFormat="false" ht="15" hidden="false" customHeight="false" outlineLevel="0" collapsed="false">
      <c r="A5446" s="50" t="s">
        <v>1862</v>
      </c>
      <c r="B5446" s="51" t="n">
        <v>45989</v>
      </c>
      <c r="C5446" s="50" t="s">
        <v>349</v>
      </c>
      <c r="D5446" s="50" t="s">
        <v>2179</v>
      </c>
      <c r="E5446" s="50" t="n">
        <v>7</v>
      </c>
      <c r="F5446" s="50" t="s">
        <v>2174</v>
      </c>
      <c r="G5446" s="54" t="n">
        <v>8576200</v>
      </c>
    </row>
    <row r="5447" customFormat="false" ht="15" hidden="false" customHeight="false" outlineLevel="0" collapsed="false">
      <c r="A5447" s="50" t="s">
        <v>1862</v>
      </c>
      <c r="B5447" s="51" t="n">
        <v>45989</v>
      </c>
      <c r="C5447" s="50" t="s">
        <v>349</v>
      </c>
      <c r="D5447" s="50" t="s">
        <v>2184</v>
      </c>
      <c r="E5447" s="50" t="n">
        <v>7</v>
      </c>
      <c r="F5447" s="50" t="s">
        <v>2167</v>
      </c>
      <c r="G5447" s="54" t="n">
        <v>3794600</v>
      </c>
    </row>
    <row r="5448" customFormat="false" ht="15" hidden="false" customHeight="false" outlineLevel="0" collapsed="false">
      <c r="A5448" s="50" t="s">
        <v>1863</v>
      </c>
      <c r="B5448" s="51" t="n">
        <v>45989</v>
      </c>
      <c r="C5448" s="50" t="s">
        <v>293</v>
      </c>
      <c r="D5448" s="50" t="s">
        <v>2169</v>
      </c>
      <c r="E5448" s="50" t="n">
        <v>5</v>
      </c>
      <c r="F5448" s="50" t="s">
        <v>2167</v>
      </c>
      <c r="G5448" s="54" t="n">
        <v>2997800</v>
      </c>
    </row>
    <row r="5449" customFormat="false" ht="15" hidden="false" customHeight="false" outlineLevel="0" collapsed="false">
      <c r="A5449" s="50" t="s">
        <v>1863</v>
      </c>
      <c r="B5449" s="51" t="n">
        <v>45989</v>
      </c>
      <c r="C5449" s="50" t="s">
        <v>293</v>
      </c>
      <c r="D5449" s="50" t="s">
        <v>2178</v>
      </c>
      <c r="E5449" s="50" t="n">
        <v>3</v>
      </c>
      <c r="F5449" s="50" t="s">
        <v>2167</v>
      </c>
      <c r="G5449" s="54" t="n">
        <v>1429400</v>
      </c>
    </row>
    <row r="5450" customFormat="false" ht="15" hidden="false" customHeight="false" outlineLevel="0" collapsed="false">
      <c r="A5450" s="50" t="s">
        <v>1863</v>
      </c>
      <c r="B5450" s="51" t="n">
        <v>45989</v>
      </c>
      <c r="C5450" s="50" t="s">
        <v>293</v>
      </c>
      <c r="D5450" s="50" t="s">
        <v>2185</v>
      </c>
      <c r="E5450" s="50" t="n">
        <v>8</v>
      </c>
      <c r="F5450" s="50" t="s">
        <v>2174</v>
      </c>
      <c r="G5450" s="54" t="n">
        <v>6110300</v>
      </c>
    </row>
    <row r="5451" customFormat="false" ht="15" hidden="false" customHeight="false" outlineLevel="0" collapsed="false">
      <c r="A5451" s="50" t="s">
        <v>1864</v>
      </c>
      <c r="B5451" s="51" t="n">
        <v>45989</v>
      </c>
      <c r="C5451" s="50" t="s">
        <v>174</v>
      </c>
      <c r="D5451" s="50" t="s">
        <v>2173</v>
      </c>
      <c r="E5451" s="50" t="n">
        <v>4</v>
      </c>
      <c r="F5451" s="50" t="s">
        <v>2174</v>
      </c>
      <c r="G5451" s="54" t="n">
        <v>3198300</v>
      </c>
    </row>
    <row r="5452" customFormat="false" ht="15" hidden="false" customHeight="false" outlineLevel="0" collapsed="false">
      <c r="A5452" s="50" t="s">
        <v>1864</v>
      </c>
      <c r="B5452" s="51" t="n">
        <v>45989</v>
      </c>
      <c r="C5452" s="50" t="s">
        <v>174</v>
      </c>
      <c r="D5452" s="50" t="s">
        <v>2176</v>
      </c>
      <c r="E5452" s="50" t="n">
        <v>1</v>
      </c>
      <c r="F5452" s="50" t="s">
        <v>2167</v>
      </c>
      <c r="G5452" s="54" t="n">
        <v>424700</v>
      </c>
    </row>
    <row r="5453" customFormat="false" ht="15" hidden="false" customHeight="false" outlineLevel="0" collapsed="false">
      <c r="A5453" s="50" t="s">
        <v>1865</v>
      </c>
      <c r="B5453" s="51" t="n">
        <v>45989</v>
      </c>
      <c r="C5453" s="50" t="s">
        <v>207</v>
      </c>
      <c r="D5453" s="50" t="s">
        <v>2175</v>
      </c>
      <c r="E5453" s="50" t="n">
        <v>2</v>
      </c>
      <c r="F5453" s="50" t="s">
        <v>2167</v>
      </c>
      <c r="G5453" s="54" t="n">
        <v>1268400</v>
      </c>
    </row>
    <row r="5454" customFormat="false" ht="15" hidden="false" customHeight="false" outlineLevel="0" collapsed="false">
      <c r="A5454" s="50" t="s">
        <v>1865</v>
      </c>
      <c r="B5454" s="51" t="n">
        <v>45989</v>
      </c>
      <c r="C5454" s="50" t="s">
        <v>207</v>
      </c>
      <c r="D5454" s="50" t="s">
        <v>2185</v>
      </c>
      <c r="E5454" s="50" t="n">
        <v>8</v>
      </c>
      <c r="F5454" s="50" t="s">
        <v>2174</v>
      </c>
      <c r="G5454" s="54" t="n">
        <v>6069800</v>
      </c>
    </row>
    <row r="5455" customFormat="false" ht="15" hidden="false" customHeight="false" outlineLevel="0" collapsed="false">
      <c r="A5455" s="50" t="s">
        <v>1865</v>
      </c>
      <c r="B5455" s="51" t="n">
        <v>45989</v>
      </c>
      <c r="C5455" s="50" t="s">
        <v>207</v>
      </c>
      <c r="D5455" s="50" t="s">
        <v>2183</v>
      </c>
      <c r="E5455" s="50" t="n">
        <v>4</v>
      </c>
      <c r="F5455" s="50" t="s">
        <v>2167</v>
      </c>
      <c r="G5455" s="54" t="n">
        <v>1467500</v>
      </c>
    </row>
    <row r="5456" customFormat="false" ht="15" hidden="false" customHeight="false" outlineLevel="0" collapsed="false">
      <c r="A5456" s="50" t="s">
        <v>1866</v>
      </c>
      <c r="B5456" s="51" t="n">
        <v>45989</v>
      </c>
      <c r="C5456" s="50" t="s">
        <v>430</v>
      </c>
      <c r="D5456" s="50" t="s">
        <v>2181</v>
      </c>
      <c r="E5456" s="50" t="n">
        <v>1</v>
      </c>
      <c r="F5456" s="50" t="s">
        <v>2167</v>
      </c>
      <c r="G5456" s="54" t="n">
        <v>1104400</v>
      </c>
    </row>
    <row r="5457" customFormat="false" ht="15" hidden="false" customHeight="false" outlineLevel="0" collapsed="false">
      <c r="A5457" s="50" t="s">
        <v>1866</v>
      </c>
      <c r="B5457" s="51" t="n">
        <v>45989</v>
      </c>
      <c r="C5457" s="50" t="s">
        <v>430</v>
      </c>
      <c r="D5457" s="50" t="s">
        <v>2177</v>
      </c>
      <c r="E5457" s="50" t="n">
        <v>4</v>
      </c>
      <c r="F5457" s="50" t="s">
        <v>2174</v>
      </c>
      <c r="G5457" s="54" t="n">
        <v>4506000</v>
      </c>
    </row>
    <row r="5458" customFormat="false" ht="15" hidden="false" customHeight="false" outlineLevel="0" collapsed="false">
      <c r="A5458" s="50" t="s">
        <v>1867</v>
      </c>
      <c r="B5458" s="51" t="n">
        <v>45989</v>
      </c>
      <c r="C5458" s="50" t="s">
        <v>199</v>
      </c>
      <c r="D5458" s="50" t="s">
        <v>2180</v>
      </c>
      <c r="E5458" s="50" t="n">
        <v>1</v>
      </c>
      <c r="F5458" s="50" t="s">
        <v>2167</v>
      </c>
      <c r="G5458" s="54" t="n">
        <v>442800</v>
      </c>
    </row>
    <row r="5459" customFormat="false" ht="15" hidden="false" customHeight="false" outlineLevel="0" collapsed="false">
      <c r="A5459" s="50" t="s">
        <v>1867</v>
      </c>
      <c r="B5459" s="51" t="n">
        <v>45989</v>
      </c>
      <c r="C5459" s="50" t="s">
        <v>199</v>
      </c>
      <c r="D5459" s="50" t="s">
        <v>2182</v>
      </c>
      <c r="E5459" s="50" t="n">
        <v>3</v>
      </c>
      <c r="F5459" s="50" t="s">
        <v>2174</v>
      </c>
      <c r="G5459" s="54" t="n">
        <v>2945500</v>
      </c>
    </row>
    <row r="5460" customFormat="false" ht="15" hidden="false" customHeight="false" outlineLevel="0" collapsed="false">
      <c r="A5460" s="50" t="s">
        <v>1867</v>
      </c>
      <c r="B5460" s="51" t="n">
        <v>45989</v>
      </c>
      <c r="C5460" s="50" t="s">
        <v>199</v>
      </c>
      <c r="D5460" s="50" t="s">
        <v>2179</v>
      </c>
      <c r="E5460" s="50" t="n">
        <v>8</v>
      </c>
      <c r="F5460" s="50" t="s">
        <v>2174</v>
      </c>
      <c r="G5460" s="54" t="n">
        <v>10131800</v>
      </c>
    </row>
    <row r="5461" customFormat="false" ht="15" hidden="false" customHeight="false" outlineLevel="0" collapsed="false">
      <c r="A5461" s="50" t="s">
        <v>1868</v>
      </c>
      <c r="B5461" s="51" t="n">
        <v>45990</v>
      </c>
      <c r="C5461" s="50" t="s">
        <v>174</v>
      </c>
      <c r="D5461" s="50" t="s">
        <v>2181</v>
      </c>
      <c r="E5461" s="50" t="n">
        <v>8</v>
      </c>
      <c r="F5461" s="50" t="s">
        <v>2167</v>
      </c>
      <c r="G5461" s="54" t="n">
        <v>9553200</v>
      </c>
    </row>
    <row r="5462" customFormat="false" ht="15" hidden="false" customHeight="false" outlineLevel="0" collapsed="false">
      <c r="A5462" s="50" t="s">
        <v>1868</v>
      </c>
      <c r="B5462" s="51" t="n">
        <v>45990</v>
      </c>
      <c r="C5462" s="50" t="s">
        <v>174</v>
      </c>
      <c r="D5462" s="50" t="s">
        <v>2183</v>
      </c>
      <c r="E5462" s="50" t="n">
        <v>4</v>
      </c>
      <c r="F5462" s="50" t="s">
        <v>2167</v>
      </c>
      <c r="G5462" s="54" t="n">
        <v>1573500</v>
      </c>
    </row>
    <row r="5463" customFormat="false" ht="15" hidden="false" customHeight="false" outlineLevel="0" collapsed="false">
      <c r="A5463" s="50" t="s">
        <v>1868</v>
      </c>
      <c r="B5463" s="51" t="n">
        <v>45990</v>
      </c>
      <c r="C5463" s="50" t="s">
        <v>174</v>
      </c>
      <c r="D5463" s="50" t="s">
        <v>2184</v>
      </c>
      <c r="E5463" s="50" t="n">
        <v>5</v>
      </c>
      <c r="F5463" s="50" t="s">
        <v>2167</v>
      </c>
      <c r="G5463" s="54" t="n">
        <v>2786500</v>
      </c>
    </row>
    <row r="5464" customFormat="false" ht="15" hidden="false" customHeight="false" outlineLevel="0" collapsed="false">
      <c r="A5464" s="50" t="s">
        <v>1868</v>
      </c>
      <c r="B5464" s="51" t="n">
        <v>45990</v>
      </c>
      <c r="C5464" s="50" t="s">
        <v>174</v>
      </c>
      <c r="D5464" s="50" t="s">
        <v>2186</v>
      </c>
      <c r="E5464" s="50" t="n">
        <v>5</v>
      </c>
      <c r="F5464" s="50" t="s">
        <v>2167</v>
      </c>
      <c r="G5464" s="54" t="n">
        <v>2909700</v>
      </c>
    </row>
    <row r="5465" customFormat="false" ht="15" hidden="false" customHeight="false" outlineLevel="0" collapsed="false">
      <c r="A5465" s="50" t="s">
        <v>1868</v>
      </c>
      <c r="B5465" s="51" t="n">
        <v>45990</v>
      </c>
      <c r="C5465" s="50" t="s">
        <v>174</v>
      </c>
      <c r="D5465" s="50" t="s">
        <v>2178</v>
      </c>
      <c r="E5465" s="50" t="n">
        <v>7</v>
      </c>
      <c r="F5465" s="50" t="s">
        <v>2167</v>
      </c>
      <c r="G5465" s="54" t="n">
        <v>3368900</v>
      </c>
    </row>
    <row r="5466" customFormat="false" ht="15" hidden="false" customHeight="false" outlineLevel="0" collapsed="false">
      <c r="A5466" s="50" t="s">
        <v>1868</v>
      </c>
      <c r="B5466" s="51" t="n">
        <v>45990</v>
      </c>
      <c r="C5466" s="50" t="s">
        <v>174</v>
      </c>
      <c r="D5466" s="50" t="s">
        <v>2182</v>
      </c>
      <c r="E5466" s="50" t="n">
        <v>7</v>
      </c>
      <c r="F5466" s="50" t="s">
        <v>2174</v>
      </c>
      <c r="G5466" s="54" t="n">
        <v>6626800</v>
      </c>
    </row>
    <row r="5467" customFormat="false" ht="15" hidden="false" customHeight="false" outlineLevel="0" collapsed="false">
      <c r="A5467" s="50" t="s">
        <v>1868</v>
      </c>
      <c r="B5467" s="51" t="n">
        <v>45990</v>
      </c>
      <c r="C5467" s="50" t="s">
        <v>174</v>
      </c>
      <c r="D5467" s="50" t="s">
        <v>2176</v>
      </c>
      <c r="E5467" s="50" t="n">
        <v>3</v>
      </c>
      <c r="F5467" s="50" t="s">
        <v>2167</v>
      </c>
      <c r="G5467" s="54" t="n">
        <v>1269400</v>
      </c>
    </row>
    <row r="5468" customFormat="false" ht="15" hidden="false" customHeight="false" outlineLevel="0" collapsed="false">
      <c r="A5468" s="50" t="s">
        <v>1869</v>
      </c>
      <c r="B5468" s="51" t="n">
        <v>45990</v>
      </c>
      <c r="C5468" s="50" t="s">
        <v>271</v>
      </c>
      <c r="D5468" s="50" t="s">
        <v>2169</v>
      </c>
      <c r="E5468" s="50" t="n">
        <v>5</v>
      </c>
      <c r="F5468" s="50" t="s">
        <v>2167</v>
      </c>
      <c r="G5468" s="54" t="n">
        <v>3057800</v>
      </c>
    </row>
    <row r="5469" customFormat="false" ht="15" hidden="false" customHeight="false" outlineLevel="0" collapsed="false">
      <c r="A5469" s="50" t="s">
        <v>1869</v>
      </c>
      <c r="B5469" s="51" t="n">
        <v>45990</v>
      </c>
      <c r="C5469" s="50" t="s">
        <v>271</v>
      </c>
      <c r="D5469" s="50" t="s">
        <v>2184</v>
      </c>
      <c r="E5469" s="50" t="n">
        <v>8</v>
      </c>
      <c r="F5469" s="50" t="s">
        <v>2167</v>
      </c>
      <c r="G5469" s="54" t="n">
        <v>4531200</v>
      </c>
    </row>
    <row r="5470" customFormat="false" ht="15" hidden="false" customHeight="false" outlineLevel="0" collapsed="false">
      <c r="A5470" s="50" t="s">
        <v>1869</v>
      </c>
      <c r="B5470" s="51" t="n">
        <v>45990</v>
      </c>
      <c r="C5470" s="50" t="s">
        <v>271</v>
      </c>
      <c r="D5470" s="50" t="s">
        <v>2179</v>
      </c>
      <c r="E5470" s="50" t="n">
        <v>2</v>
      </c>
      <c r="F5470" s="50" t="s">
        <v>2174</v>
      </c>
      <c r="G5470" s="54" t="n">
        <v>2483100</v>
      </c>
    </row>
    <row r="5471" customFormat="false" ht="15" hidden="false" customHeight="false" outlineLevel="0" collapsed="false">
      <c r="A5471" s="50" t="s">
        <v>1870</v>
      </c>
      <c r="B5471" s="51" t="n">
        <v>45990</v>
      </c>
      <c r="C5471" s="50" t="s">
        <v>574</v>
      </c>
      <c r="D5471" s="50" t="s">
        <v>2168</v>
      </c>
      <c r="E5471" s="50" t="n">
        <v>7</v>
      </c>
      <c r="F5471" s="50" t="s">
        <v>2167</v>
      </c>
      <c r="G5471" s="54" t="n">
        <v>2944300</v>
      </c>
    </row>
    <row r="5472" customFormat="false" ht="15" hidden="false" customHeight="false" outlineLevel="0" collapsed="false">
      <c r="A5472" s="50" t="s">
        <v>1870</v>
      </c>
      <c r="B5472" s="51" t="n">
        <v>45990</v>
      </c>
      <c r="C5472" s="50" t="s">
        <v>574</v>
      </c>
      <c r="D5472" s="50" t="s">
        <v>2172</v>
      </c>
      <c r="E5472" s="50" t="n">
        <v>7</v>
      </c>
      <c r="F5472" s="50" t="s">
        <v>2167</v>
      </c>
      <c r="G5472" s="54" t="n">
        <v>3558800</v>
      </c>
    </row>
    <row r="5473" customFormat="false" ht="15" hidden="false" customHeight="false" outlineLevel="0" collapsed="false">
      <c r="A5473" s="50" t="s">
        <v>1871</v>
      </c>
      <c r="B5473" s="51" t="n">
        <v>45990</v>
      </c>
      <c r="C5473" s="50" t="s">
        <v>325</v>
      </c>
      <c r="D5473" s="50" t="s">
        <v>2186</v>
      </c>
      <c r="E5473" s="50" t="n">
        <v>8</v>
      </c>
      <c r="F5473" s="50" t="s">
        <v>2167</v>
      </c>
      <c r="G5473" s="54" t="n">
        <v>4623000</v>
      </c>
    </row>
    <row r="5474" customFormat="false" ht="15" hidden="false" customHeight="false" outlineLevel="0" collapsed="false">
      <c r="A5474" s="50" t="s">
        <v>1871</v>
      </c>
      <c r="B5474" s="51" t="n">
        <v>45990</v>
      </c>
      <c r="C5474" s="50" t="s">
        <v>325</v>
      </c>
      <c r="D5474" s="50" t="s">
        <v>2184</v>
      </c>
      <c r="E5474" s="50" t="n">
        <v>8</v>
      </c>
      <c r="F5474" s="50" t="s">
        <v>2167</v>
      </c>
      <c r="G5474" s="54" t="n">
        <v>4510500</v>
      </c>
    </row>
    <row r="5475" customFormat="false" ht="15" hidden="false" customHeight="false" outlineLevel="0" collapsed="false">
      <c r="A5475" s="50" t="s">
        <v>1871</v>
      </c>
      <c r="B5475" s="51" t="n">
        <v>45990</v>
      </c>
      <c r="C5475" s="50" t="s">
        <v>325</v>
      </c>
      <c r="D5475" s="50" t="s">
        <v>2177</v>
      </c>
      <c r="E5475" s="50" t="n">
        <v>1</v>
      </c>
      <c r="F5475" s="50" t="s">
        <v>2174</v>
      </c>
      <c r="G5475" s="54" t="n">
        <v>1140700</v>
      </c>
    </row>
    <row r="5476" customFormat="false" ht="15" hidden="false" customHeight="false" outlineLevel="0" collapsed="false">
      <c r="A5476" s="50" t="s">
        <v>1872</v>
      </c>
      <c r="B5476" s="51" t="n">
        <v>45990</v>
      </c>
      <c r="C5476" s="50" t="s">
        <v>177</v>
      </c>
      <c r="D5476" s="50" t="s">
        <v>2178</v>
      </c>
      <c r="E5476" s="50" t="n">
        <v>4</v>
      </c>
      <c r="F5476" s="50" t="s">
        <v>2167</v>
      </c>
      <c r="G5476" s="54" t="n">
        <v>1919400</v>
      </c>
    </row>
    <row r="5477" customFormat="false" ht="15" hidden="false" customHeight="false" outlineLevel="0" collapsed="false">
      <c r="A5477" s="50" t="s">
        <v>1872</v>
      </c>
      <c r="B5477" s="51" t="n">
        <v>45990</v>
      </c>
      <c r="C5477" s="50" t="s">
        <v>177</v>
      </c>
      <c r="D5477" s="50" t="s">
        <v>2169</v>
      </c>
      <c r="E5477" s="50" t="n">
        <v>3</v>
      </c>
      <c r="F5477" s="50" t="s">
        <v>2167</v>
      </c>
      <c r="G5477" s="54" t="n">
        <v>1800800</v>
      </c>
    </row>
    <row r="5478" customFormat="false" ht="15" hidden="false" customHeight="false" outlineLevel="0" collapsed="false">
      <c r="A5478" s="50" t="s">
        <v>1872</v>
      </c>
      <c r="B5478" s="51" t="n">
        <v>45990</v>
      </c>
      <c r="C5478" s="50" t="s">
        <v>177</v>
      </c>
      <c r="D5478" s="50" t="s">
        <v>2183</v>
      </c>
      <c r="E5478" s="50" t="n">
        <v>1</v>
      </c>
      <c r="F5478" s="50" t="s">
        <v>2167</v>
      </c>
      <c r="G5478" s="54" t="n">
        <v>389000</v>
      </c>
    </row>
    <row r="5479" customFormat="false" ht="15" hidden="false" customHeight="false" outlineLevel="0" collapsed="false">
      <c r="A5479" s="50" t="s">
        <v>1872</v>
      </c>
      <c r="B5479" s="51" t="n">
        <v>45990</v>
      </c>
      <c r="C5479" s="50" t="s">
        <v>177</v>
      </c>
      <c r="D5479" s="50" t="s">
        <v>2184</v>
      </c>
      <c r="E5479" s="50" t="n">
        <v>2</v>
      </c>
      <c r="F5479" s="50" t="s">
        <v>2167</v>
      </c>
      <c r="G5479" s="54" t="n">
        <v>1154800</v>
      </c>
    </row>
    <row r="5480" customFormat="false" ht="15" hidden="false" customHeight="false" outlineLevel="0" collapsed="false">
      <c r="A5480" s="50" t="s">
        <v>1873</v>
      </c>
      <c r="B5480" s="51" t="n">
        <v>45990</v>
      </c>
      <c r="C5480" s="50" t="s">
        <v>259</v>
      </c>
      <c r="D5480" s="50" t="s">
        <v>2176</v>
      </c>
      <c r="E5480" s="50" t="n">
        <v>8</v>
      </c>
      <c r="F5480" s="50" t="s">
        <v>2167</v>
      </c>
      <c r="G5480" s="54" t="n">
        <v>3258800</v>
      </c>
    </row>
    <row r="5481" customFormat="false" ht="15" hidden="false" customHeight="false" outlineLevel="0" collapsed="false">
      <c r="A5481" s="50" t="s">
        <v>1873</v>
      </c>
      <c r="B5481" s="51" t="n">
        <v>45990</v>
      </c>
      <c r="C5481" s="50" t="s">
        <v>259</v>
      </c>
      <c r="D5481" s="50" t="s">
        <v>2178</v>
      </c>
      <c r="E5481" s="50" t="n">
        <v>4</v>
      </c>
      <c r="F5481" s="50" t="s">
        <v>2167</v>
      </c>
      <c r="G5481" s="54" t="n">
        <v>1966300</v>
      </c>
    </row>
    <row r="5482" customFormat="false" ht="15" hidden="false" customHeight="false" outlineLevel="0" collapsed="false">
      <c r="A5482" s="50" t="s">
        <v>1873</v>
      </c>
      <c r="B5482" s="51" t="n">
        <v>45990</v>
      </c>
      <c r="C5482" s="50" t="s">
        <v>259</v>
      </c>
      <c r="D5482" s="50" t="s">
        <v>2184</v>
      </c>
      <c r="E5482" s="50" t="n">
        <v>2</v>
      </c>
      <c r="F5482" s="50" t="s">
        <v>2167</v>
      </c>
      <c r="G5482" s="54" t="n">
        <v>1162800</v>
      </c>
    </row>
    <row r="5483" customFormat="false" ht="15" hidden="false" customHeight="false" outlineLevel="0" collapsed="false">
      <c r="A5483" s="50" t="s">
        <v>1874</v>
      </c>
      <c r="B5483" s="51" t="n">
        <v>45992</v>
      </c>
      <c r="C5483" s="50" t="s">
        <v>1200</v>
      </c>
      <c r="D5483" s="50" t="s">
        <v>2186</v>
      </c>
      <c r="E5483" s="50" t="n">
        <v>4</v>
      </c>
      <c r="F5483" s="50" t="s">
        <v>2167</v>
      </c>
      <c r="G5483" s="54" t="n">
        <v>2364100</v>
      </c>
    </row>
    <row r="5484" customFormat="false" ht="15" hidden="false" customHeight="false" outlineLevel="0" collapsed="false">
      <c r="A5484" s="50" t="s">
        <v>1875</v>
      </c>
      <c r="B5484" s="51" t="n">
        <v>45992</v>
      </c>
      <c r="C5484" s="50" t="s">
        <v>284</v>
      </c>
      <c r="D5484" s="50" t="s">
        <v>2178</v>
      </c>
      <c r="E5484" s="50" t="n">
        <v>6</v>
      </c>
      <c r="F5484" s="50" t="s">
        <v>2167</v>
      </c>
      <c r="G5484" s="54" t="n">
        <v>2804300</v>
      </c>
    </row>
    <row r="5485" customFormat="false" ht="15" hidden="false" customHeight="false" outlineLevel="0" collapsed="false">
      <c r="A5485" s="50" t="s">
        <v>1875</v>
      </c>
      <c r="B5485" s="51" t="n">
        <v>45992</v>
      </c>
      <c r="C5485" s="50" t="s">
        <v>284</v>
      </c>
      <c r="D5485" s="50" t="s">
        <v>2183</v>
      </c>
      <c r="E5485" s="50" t="n">
        <v>5</v>
      </c>
      <c r="F5485" s="50" t="s">
        <v>2167</v>
      </c>
      <c r="G5485" s="54" t="n">
        <v>1835600</v>
      </c>
    </row>
    <row r="5486" customFormat="false" ht="15" hidden="false" customHeight="false" outlineLevel="0" collapsed="false">
      <c r="A5486" s="50" t="s">
        <v>1875</v>
      </c>
      <c r="B5486" s="51" t="n">
        <v>45992</v>
      </c>
      <c r="C5486" s="50" t="s">
        <v>284</v>
      </c>
      <c r="D5486" s="50" t="s">
        <v>2188</v>
      </c>
      <c r="E5486" s="50" t="n">
        <v>6</v>
      </c>
      <c r="F5486" s="50" t="s">
        <v>2167</v>
      </c>
      <c r="G5486" s="54" t="n">
        <v>5835800</v>
      </c>
    </row>
    <row r="5487" customFormat="false" ht="15" hidden="false" customHeight="false" outlineLevel="0" collapsed="false">
      <c r="A5487" s="50" t="s">
        <v>1875</v>
      </c>
      <c r="B5487" s="51" t="n">
        <v>45992</v>
      </c>
      <c r="C5487" s="50" t="s">
        <v>284</v>
      </c>
      <c r="D5487" s="50" t="s">
        <v>2184</v>
      </c>
      <c r="E5487" s="50" t="n">
        <v>5</v>
      </c>
      <c r="F5487" s="50" t="s">
        <v>2167</v>
      </c>
      <c r="G5487" s="54" t="n">
        <v>2886700</v>
      </c>
    </row>
    <row r="5488" customFormat="false" ht="15" hidden="false" customHeight="false" outlineLevel="0" collapsed="false">
      <c r="A5488" s="50" t="s">
        <v>1876</v>
      </c>
      <c r="B5488" s="51" t="n">
        <v>45992</v>
      </c>
      <c r="C5488" s="50" t="s">
        <v>395</v>
      </c>
      <c r="D5488" s="50" t="s">
        <v>2188</v>
      </c>
      <c r="E5488" s="50" t="n">
        <v>7</v>
      </c>
      <c r="F5488" s="50" t="s">
        <v>2167</v>
      </c>
      <c r="G5488" s="54" t="n">
        <v>6601900</v>
      </c>
    </row>
    <row r="5489" customFormat="false" ht="15" hidden="false" customHeight="false" outlineLevel="0" collapsed="false">
      <c r="A5489" s="50" t="s">
        <v>1876</v>
      </c>
      <c r="B5489" s="51" t="n">
        <v>45992</v>
      </c>
      <c r="C5489" s="50" t="s">
        <v>395</v>
      </c>
      <c r="D5489" s="50" t="s">
        <v>2184</v>
      </c>
      <c r="E5489" s="50" t="n">
        <v>2</v>
      </c>
      <c r="F5489" s="50" t="s">
        <v>2167</v>
      </c>
      <c r="G5489" s="54" t="n">
        <v>1155300</v>
      </c>
    </row>
    <row r="5490" customFormat="false" ht="15" hidden="false" customHeight="false" outlineLevel="0" collapsed="false">
      <c r="A5490" s="50" t="s">
        <v>1876</v>
      </c>
      <c r="B5490" s="51" t="n">
        <v>45992</v>
      </c>
      <c r="C5490" s="50" t="s">
        <v>395</v>
      </c>
      <c r="D5490" s="50" t="s">
        <v>2168</v>
      </c>
      <c r="E5490" s="50" t="n">
        <v>7</v>
      </c>
      <c r="F5490" s="50" t="s">
        <v>2167</v>
      </c>
      <c r="G5490" s="54" t="n">
        <v>2962900</v>
      </c>
    </row>
    <row r="5491" customFormat="false" ht="15" hidden="false" customHeight="false" outlineLevel="0" collapsed="false">
      <c r="A5491" s="50" t="s">
        <v>1876</v>
      </c>
      <c r="B5491" s="51" t="n">
        <v>45992</v>
      </c>
      <c r="C5491" s="50" t="s">
        <v>395</v>
      </c>
      <c r="D5491" s="50" t="s">
        <v>2180</v>
      </c>
      <c r="E5491" s="50" t="n">
        <v>4</v>
      </c>
      <c r="F5491" s="50" t="s">
        <v>2167</v>
      </c>
      <c r="G5491" s="54" t="n">
        <v>1796800</v>
      </c>
    </row>
    <row r="5492" customFormat="false" ht="15" hidden="false" customHeight="false" outlineLevel="0" collapsed="false">
      <c r="A5492" s="50" t="s">
        <v>1877</v>
      </c>
      <c r="B5492" s="51" t="n">
        <v>45992</v>
      </c>
      <c r="C5492" s="50" t="s">
        <v>207</v>
      </c>
      <c r="D5492" s="50" t="s">
        <v>2181</v>
      </c>
      <c r="E5492" s="50" t="n">
        <v>6</v>
      </c>
      <c r="F5492" s="50" t="s">
        <v>2167</v>
      </c>
      <c r="G5492" s="54" t="n">
        <v>6639400</v>
      </c>
    </row>
    <row r="5493" customFormat="false" ht="15" hidden="false" customHeight="false" outlineLevel="0" collapsed="false">
      <c r="A5493" s="50" t="s">
        <v>1877</v>
      </c>
      <c r="B5493" s="51" t="n">
        <v>45992</v>
      </c>
      <c r="C5493" s="50" t="s">
        <v>207</v>
      </c>
      <c r="D5493" s="50" t="s">
        <v>2168</v>
      </c>
      <c r="E5493" s="50" t="n">
        <v>1</v>
      </c>
      <c r="F5493" s="50" t="s">
        <v>2167</v>
      </c>
      <c r="G5493" s="54" t="n">
        <v>434500</v>
      </c>
    </row>
    <row r="5494" customFormat="false" ht="15" hidden="false" customHeight="false" outlineLevel="0" collapsed="false">
      <c r="A5494" s="50" t="s">
        <v>1877</v>
      </c>
      <c r="B5494" s="51" t="n">
        <v>45992</v>
      </c>
      <c r="C5494" s="50" t="s">
        <v>207</v>
      </c>
      <c r="D5494" s="50" t="s">
        <v>2180</v>
      </c>
      <c r="E5494" s="50" t="n">
        <v>5</v>
      </c>
      <c r="F5494" s="50" t="s">
        <v>2167</v>
      </c>
      <c r="G5494" s="54" t="n">
        <v>2211500</v>
      </c>
    </row>
    <row r="5495" customFormat="false" ht="15" hidden="false" customHeight="false" outlineLevel="0" collapsed="false">
      <c r="A5495" s="50" t="s">
        <v>1877</v>
      </c>
      <c r="B5495" s="51" t="n">
        <v>45992</v>
      </c>
      <c r="C5495" s="50" t="s">
        <v>207</v>
      </c>
      <c r="D5495" s="50" t="s">
        <v>2186</v>
      </c>
      <c r="E5495" s="50" t="n">
        <v>4</v>
      </c>
      <c r="F5495" s="50" t="s">
        <v>2167</v>
      </c>
      <c r="G5495" s="54" t="n">
        <v>2402000</v>
      </c>
    </row>
    <row r="5496" customFormat="false" ht="15" hidden="false" customHeight="false" outlineLevel="0" collapsed="false">
      <c r="A5496" s="50" t="s">
        <v>1877</v>
      </c>
      <c r="B5496" s="51" t="n">
        <v>45992</v>
      </c>
      <c r="C5496" s="50" t="s">
        <v>207</v>
      </c>
      <c r="D5496" s="50" t="s">
        <v>2185</v>
      </c>
      <c r="E5496" s="50" t="n">
        <v>4</v>
      </c>
      <c r="F5496" s="50" t="s">
        <v>2174</v>
      </c>
      <c r="G5496" s="54" t="n">
        <v>3178500</v>
      </c>
    </row>
    <row r="5497" customFormat="false" ht="15" hidden="false" customHeight="false" outlineLevel="0" collapsed="false">
      <c r="A5497" s="50" t="s">
        <v>1878</v>
      </c>
      <c r="B5497" s="51" t="n">
        <v>45992</v>
      </c>
      <c r="C5497" s="50" t="s">
        <v>251</v>
      </c>
      <c r="D5497" s="50" t="s">
        <v>2179</v>
      </c>
      <c r="E5497" s="50" t="n">
        <v>8</v>
      </c>
      <c r="F5497" s="50" t="s">
        <v>2174</v>
      </c>
      <c r="G5497" s="54" t="n">
        <v>9820000</v>
      </c>
    </row>
    <row r="5498" customFormat="false" ht="15" hidden="false" customHeight="false" outlineLevel="0" collapsed="false">
      <c r="A5498" s="50" t="s">
        <v>1878</v>
      </c>
      <c r="B5498" s="51" t="n">
        <v>45992</v>
      </c>
      <c r="C5498" s="50" t="s">
        <v>251</v>
      </c>
      <c r="D5498" s="50" t="s">
        <v>2188</v>
      </c>
      <c r="E5498" s="50" t="n">
        <v>6</v>
      </c>
      <c r="F5498" s="50" t="s">
        <v>2167</v>
      </c>
      <c r="G5498" s="54" t="n">
        <v>5846200</v>
      </c>
    </row>
    <row r="5499" customFormat="false" ht="15" hidden="false" customHeight="false" outlineLevel="0" collapsed="false">
      <c r="A5499" s="50" t="s">
        <v>1878</v>
      </c>
      <c r="B5499" s="51" t="n">
        <v>45992</v>
      </c>
      <c r="C5499" s="50" t="s">
        <v>251</v>
      </c>
      <c r="D5499" s="50" t="s">
        <v>2185</v>
      </c>
      <c r="E5499" s="50" t="n">
        <v>8</v>
      </c>
      <c r="F5499" s="50" t="s">
        <v>2174</v>
      </c>
      <c r="G5499" s="54" t="n">
        <v>6379700</v>
      </c>
    </row>
    <row r="5500" customFormat="false" ht="15" hidden="false" customHeight="false" outlineLevel="0" collapsed="false">
      <c r="A5500" s="50" t="s">
        <v>1879</v>
      </c>
      <c r="B5500" s="51" t="n">
        <v>45992</v>
      </c>
      <c r="C5500" s="50" t="s">
        <v>419</v>
      </c>
      <c r="D5500" s="50" t="s">
        <v>2181</v>
      </c>
      <c r="E5500" s="50" t="n">
        <v>5</v>
      </c>
      <c r="F5500" s="50" t="s">
        <v>2167</v>
      </c>
      <c r="G5500" s="54" t="n">
        <v>5629100</v>
      </c>
    </row>
    <row r="5501" customFormat="false" ht="15" hidden="false" customHeight="false" outlineLevel="0" collapsed="false">
      <c r="A5501" s="50" t="s">
        <v>1879</v>
      </c>
      <c r="B5501" s="51" t="n">
        <v>45992</v>
      </c>
      <c r="C5501" s="50" t="s">
        <v>419</v>
      </c>
      <c r="D5501" s="50" t="s">
        <v>2173</v>
      </c>
      <c r="E5501" s="50" t="n">
        <v>2</v>
      </c>
      <c r="F5501" s="50" t="s">
        <v>2174</v>
      </c>
      <c r="G5501" s="54" t="n">
        <v>1660100</v>
      </c>
    </row>
    <row r="5502" customFormat="false" ht="15" hidden="false" customHeight="false" outlineLevel="0" collapsed="false">
      <c r="A5502" s="50" t="s">
        <v>1879</v>
      </c>
      <c r="B5502" s="51" t="n">
        <v>45992</v>
      </c>
      <c r="C5502" s="50" t="s">
        <v>419</v>
      </c>
      <c r="D5502" s="50" t="s">
        <v>2180</v>
      </c>
      <c r="E5502" s="50" t="n">
        <v>4</v>
      </c>
      <c r="F5502" s="50" t="s">
        <v>2167</v>
      </c>
      <c r="G5502" s="54" t="n">
        <v>1829100</v>
      </c>
    </row>
    <row r="5503" customFormat="false" ht="15" hidden="false" customHeight="false" outlineLevel="0" collapsed="false">
      <c r="A5503" s="50" t="s">
        <v>1880</v>
      </c>
      <c r="B5503" s="51" t="n">
        <v>45992</v>
      </c>
      <c r="C5503" s="50" t="s">
        <v>714</v>
      </c>
      <c r="D5503" s="50" t="s">
        <v>2175</v>
      </c>
      <c r="E5503" s="50" t="n">
        <v>8</v>
      </c>
      <c r="F5503" s="50" t="s">
        <v>2167</v>
      </c>
      <c r="G5503" s="54" t="n">
        <v>5226300</v>
      </c>
    </row>
    <row r="5504" customFormat="false" ht="15" hidden="false" customHeight="false" outlineLevel="0" collapsed="false">
      <c r="A5504" s="50" t="s">
        <v>1880</v>
      </c>
      <c r="B5504" s="51" t="n">
        <v>45992</v>
      </c>
      <c r="C5504" s="50" t="s">
        <v>714</v>
      </c>
      <c r="D5504" s="50" t="s">
        <v>2176</v>
      </c>
      <c r="E5504" s="50" t="n">
        <v>4</v>
      </c>
      <c r="F5504" s="50" t="s">
        <v>2167</v>
      </c>
      <c r="G5504" s="54" t="n">
        <v>1661800</v>
      </c>
    </row>
    <row r="5505" customFormat="false" ht="15" hidden="false" customHeight="false" outlineLevel="0" collapsed="false">
      <c r="A5505" s="50" t="s">
        <v>1880</v>
      </c>
      <c r="B5505" s="51" t="n">
        <v>45992</v>
      </c>
      <c r="C5505" s="50" t="s">
        <v>714</v>
      </c>
      <c r="D5505" s="50" t="s">
        <v>2168</v>
      </c>
      <c r="E5505" s="50" t="n">
        <v>5</v>
      </c>
      <c r="F5505" s="50" t="s">
        <v>2167</v>
      </c>
      <c r="G5505" s="54" t="n">
        <v>2159100</v>
      </c>
    </row>
    <row r="5506" customFormat="false" ht="15" hidden="false" customHeight="false" outlineLevel="0" collapsed="false">
      <c r="A5506" s="50" t="s">
        <v>1881</v>
      </c>
      <c r="B5506" s="51" t="n">
        <v>45992</v>
      </c>
      <c r="C5506" s="50" t="s">
        <v>168</v>
      </c>
      <c r="D5506" s="50" t="s">
        <v>2185</v>
      </c>
      <c r="E5506" s="50" t="n">
        <v>3</v>
      </c>
      <c r="F5506" s="50" t="s">
        <v>2174</v>
      </c>
      <c r="G5506" s="54" t="n">
        <v>2424700</v>
      </c>
    </row>
    <row r="5507" customFormat="false" ht="15" hidden="false" customHeight="false" outlineLevel="0" collapsed="false">
      <c r="A5507" s="50" t="s">
        <v>1881</v>
      </c>
      <c r="B5507" s="51" t="n">
        <v>45992</v>
      </c>
      <c r="C5507" s="50" t="s">
        <v>168</v>
      </c>
      <c r="D5507" s="50" t="s">
        <v>2177</v>
      </c>
      <c r="E5507" s="50" t="n">
        <v>6</v>
      </c>
      <c r="F5507" s="50" t="s">
        <v>2174</v>
      </c>
      <c r="G5507" s="54" t="n">
        <v>6622200</v>
      </c>
    </row>
    <row r="5508" customFormat="false" ht="15" hidden="false" customHeight="false" outlineLevel="0" collapsed="false">
      <c r="A5508" s="50" t="s">
        <v>1881</v>
      </c>
      <c r="B5508" s="51" t="n">
        <v>45992</v>
      </c>
      <c r="C5508" s="50" t="s">
        <v>168</v>
      </c>
      <c r="D5508" s="50" t="s">
        <v>2166</v>
      </c>
      <c r="E5508" s="50" t="n">
        <v>2</v>
      </c>
      <c r="F5508" s="50" t="s">
        <v>2167</v>
      </c>
      <c r="G5508" s="54" t="n">
        <v>1047200</v>
      </c>
    </row>
    <row r="5509" customFormat="false" ht="15" hidden="false" customHeight="false" outlineLevel="0" collapsed="false">
      <c r="A5509" s="50" t="s">
        <v>1881</v>
      </c>
      <c r="B5509" s="51" t="n">
        <v>45992</v>
      </c>
      <c r="C5509" s="50" t="s">
        <v>168</v>
      </c>
      <c r="D5509" s="50" t="s">
        <v>2176</v>
      </c>
      <c r="E5509" s="50" t="n">
        <v>7</v>
      </c>
      <c r="F5509" s="50" t="s">
        <v>2167</v>
      </c>
      <c r="G5509" s="54" t="n">
        <v>3038200</v>
      </c>
    </row>
    <row r="5510" customFormat="false" ht="15" hidden="false" customHeight="false" outlineLevel="0" collapsed="false">
      <c r="A5510" s="50" t="s">
        <v>1881</v>
      </c>
      <c r="B5510" s="51" t="n">
        <v>45992</v>
      </c>
      <c r="C5510" s="50" t="s">
        <v>168</v>
      </c>
      <c r="D5510" s="50" t="s">
        <v>2181</v>
      </c>
      <c r="E5510" s="50" t="n">
        <v>7</v>
      </c>
      <c r="F5510" s="50" t="s">
        <v>2167</v>
      </c>
      <c r="G5510" s="54" t="n">
        <v>7829100</v>
      </c>
    </row>
    <row r="5511" customFormat="false" ht="15" hidden="false" customHeight="false" outlineLevel="0" collapsed="false">
      <c r="A5511" s="50" t="s">
        <v>1881</v>
      </c>
      <c r="B5511" s="51" t="n">
        <v>45992</v>
      </c>
      <c r="C5511" s="50" t="s">
        <v>168</v>
      </c>
      <c r="D5511" s="50" t="s">
        <v>2179</v>
      </c>
      <c r="E5511" s="50" t="n">
        <v>7</v>
      </c>
      <c r="F5511" s="50" t="s">
        <v>2174</v>
      </c>
      <c r="G5511" s="54" t="n">
        <v>8446800</v>
      </c>
    </row>
    <row r="5512" customFormat="false" ht="15" hidden="false" customHeight="false" outlineLevel="0" collapsed="false">
      <c r="A5512" s="50" t="s">
        <v>1881</v>
      </c>
      <c r="B5512" s="51" t="n">
        <v>45992</v>
      </c>
      <c r="C5512" s="50" t="s">
        <v>168</v>
      </c>
      <c r="D5512" s="50" t="s">
        <v>2182</v>
      </c>
      <c r="E5512" s="50" t="n">
        <v>5</v>
      </c>
      <c r="F5512" s="50" t="s">
        <v>2174</v>
      </c>
      <c r="G5512" s="54" t="n">
        <v>4572400</v>
      </c>
    </row>
    <row r="5513" customFormat="false" ht="15" hidden="false" customHeight="false" outlineLevel="0" collapsed="false">
      <c r="A5513" s="50" t="s">
        <v>1881</v>
      </c>
      <c r="B5513" s="51" t="n">
        <v>45992</v>
      </c>
      <c r="C5513" s="50" t="s">
        <v>168</v>
      </c>
      <c r="D5513" s="50" t="s">
        <v>2168</v>
      </c>
      <c r="E5513" s="50" t="n">
        <v>2</v>
      </c>
      <c r="F5513" s="50" t="s">
        <v>2167</v>
      </c>
      <c r="G5513" s="54" t="n">
        <v>845200</v>
      </c>
    </row>
    <row r="5514" customFormat="false" ht="15" hidden="false" customHeight="false" outlineLevel="0" collapsed="false">
      <c r="A5514" s="50" t="s">
        <v>1882</v>
      </c>
      <c r="B5514" s="51" t="n">
        <v>45993</v>
      </c>
      <c r="C5514" s="50" t="s">
        <v>218</v>
      </c>
      <c r="D5514" s="50" t="s">
        <v>2187</v>
      </c>
      <c r="E5514" s="50" t="n">
        <v>6</v>
      </c>
      <c r="F5514" s="50" t="s">
        <v>2167</v>
      </c>
      <c r="G5514" s="54" t="n">
        <v>2058000</v>
      </c>
    </row>
    <row r="5515" customFormat="false" ht="15" hidden="false" customHeight="false" outlineLevel="0" collapsed="false">
      <c r="A5515" s="50" t="s">
        <v>1882</v>
      </c>
      <c r="B5515" s="51" t="n">
        <v>45993</v>
      </c>
      <c r="C5515" s="50" t="s">
        <v>218</v>
      </c>
      <c r="D5515" s="50" t="s">
        <v>2183</v>
      </c>
      <c r="E5515" s="50" t="n">
        <v>7</v>
      </c>
      <c r="F5515" s="50" t="s">
        <v>2167</v>
      </c>
      <c r="G5515" s="54" t="n">
        <v>2698000</v>
      </c>
    </row>
    <row r="5516" customFormat="false" ht="15" hidden="false" customHeight="false" outlineLevel="0" collapsed="false">
      <c r="A5516" s="50" t="s">
        <v>1883</v>
      </c>
      <c r="B5516" s="51" t="n">
        <v>45993</v>
      </c>
      <c r="C5516" s="50" t="s">
        <v>251</v>
      </c>
      <c r="D5516" s="50" t="s">
        <v>2181</v>
      </c>
      <c r="E5516" s="50" t="n">
        <v>8</v>
      </c>
      <c r="F5516" s="50" t="s">
        <v>2167</v>
      </c>
      <c r="G5516" s="54" t="n">
        <v>9463200</v>
      </c>
    </row>
    <row r="5517" customFormat="false" ht="15" hidden="false" customHeight="false" outlineLevel="0" collapsed="false">
      <c r="A5517" s="50" t="s">
        <v>1883</v>
      </c>
      <c r="B5517" s="51" t="n">
        <v>45993</v>
      </c>
      <c r="C5517" s="50" t="s">
        <v>251</v>
      </c>
      <c r="D5517" s="50" t="s">
        <v>2180</v>
      </c>
      <c r="E5517" s="50" t="n">
        <v>4</v>
      </c>
      <c r="F5517" s="50" t="s">
        <v>2167</v>
      </c>
      <c r="G5517" s="54" t="n">
        <v>1792300</v>
      </c>
    </row>
    <row r="5518" customFormat="false" ht="15" hidden="false" customHeight="false" outlineLevel="0" collapsed="false">
      <c r="A5518" s="50" t="s">
        <v>1884</v>
      </c>
      <c r="B5518" s="51" t="n">
        <v>45993</v>
      </c>
      <c r="C5518" s="50" t="s">
        <v>562</v>
      </c>
      <c r="D5518" s="50" t="s">
        <v>2169</v>
      </c>
      <c r="E5518" s="50" t="n">
        <v>5</v>
      </c>
      <c r="F5518" s="50" t="s">
        <v>2167</v>
      </c>
      <c r="G5518" s="54" t="n">
        <v>3138300</v>
      </c>
    </row>
    <row r="5519" customFormat="false" ht="15" hidden="false" customHeight="false" outlineLevel="0" collapsed="false">
      <c r="A5519" s="50" t="s">
        <v>1884</v>
      </c>
      <c r="B5519" s="51" t="n">
        <v>45993</v>
      </c>
      <c r="C5519" s="50" t="s">
        <v>562</v>
      </c>
      <c r="D5519" s="50" t="s">
        <v>2188</v>
      </c>
      <c r="E5519" s="50" t="n">
        <v>8</v>
      </c>
      <c r="F5519" s="50" t="s">
        <v>2167</v>
      </c>
      <c r="G5519" s="54" t="n">
        <v>7652000</v>
      </c>
    </row>
    <row r="5520" customFormat="false" ht="15" hidden="false" customHeight="false" outlineLevel="0" collapsed="false">
      <c r="A5520" s="50" t="s">
        <v>1884</v>
      </c>
      <c r="B5520" s="51" t="n">
        <v>45993</v>
      </c>
      <c r="C5520" s="50" t="s">
        <v>562</v>
      </c>
      <c r="D5520" s="50" t="s">
        <v>2166</v>
      </c>
      <c r="E5520" s="50" t="n">
        <v>2</v>
      </c>
      <c r="F5520" s="50" t="s">
        <v>2167</v>
      </c>
      <c r="G5520" s="54" t="n">
        <v>1042300</v>
      </c>
    </row>
    <row r="5521" customFormat="false" ht="15" hidden="false" customHeight="false" outlineLevel="0" collapsed="false">
      <c r="A5521" s="50" t="s">
        <v>1884</v>
      </c>
      <c r="B5521" s="51" t="n">
        <v>45993</v>
      </c>
      <c r="C5521" s="50" t="s">
        <v>562</v>
      </c>
      <c r="D5521" s="50" t="s">
        <v>2180</v>
      </c>
      <c r="E5521" s="50" t="n">
        <v>7</v>
      </c>
      <c r="F5521" s="50" t="s">
        <v>2167</v>
      </c>
      <c r="G5521" s="54" t="n">
        <v>3087300</v>
      </c>
    </row>
    <row r="5522" customFormat="false" ht="15" hidden="false" customHeight="false" outlineLevel="0" collapsed="false">
      <c r="A5522" s="50" t="s">
        <v>1885</v>
      </c>
      <c r="B5522" s="51" t="n">
        <v>45993</v>
      </c>
      <c r="C5522" s="50" t="s">
        <v>191</v>
      </c>
      <c r="D5522" s="50" t="s">
        <v>2169</v>
      </c>
      <c r="E5522" s="50" t="n">
        <v>3</v>
      </c>
      <c r="F5522" s="50" t="s">
        <v>2167</v>
      </c>
      <c r="G5522" s="54" t="n">
        <v>1886500</v>
      </c>
    </row>
    <row r="5523" customFormat="false" ht="15" hidden="false" customHeight="false" outlineLevel="0" collapsed="false">
      <c r="A5523" s="50" t="s">
        <v>1885</v>
      </c>
      <c r="B5523" s="51" t="n">
        <v>45993</v>
      </c>
      <c r="C5523" s="50" t="s">
        <v>191</v>
      </c>
      <c r="D5523" s="50" t="s">
        <v>2172</v>
      </c>
      <c r="E5523" s="50" t="n">
        <v>5</v>
      </c>
      <c r="F5523" s="50" t="s">
        <v>2167</v>
      </c>
      <c r="G5523" s="54" t="n">
        <v>2591200</v>
      </c>
    </row>
    <row r="5524" customFormat="false" ht="15" hidden="false" customHeight="false" outlineLevel="0" collapsed="false">
      <c r="A5524" s="50" t="s">
        <v>1886</v>
      </c>
      <c r="B5524" s="51" t="n">
        <v>45993</v>
      </c>
      <c r="C5524" s="50" t="s">
        <v>286</v>
      </c>
      <c r="D5524" s="50" t="s">
        <v>2169</v>
      </c>
      <c r="E5524" s="50" t="n">
        <v>5</v>
      </c>
      <c r="F5524" s="50" t="s">
        <v>2167</v>
      </c>
      <c r="G5524" s="54" t="n">
        <v>3087200</v>
      </c>
    </row>
    <row r="5525" customFormat="false" ht="15" hidden="false" customHeight="false" outlineLevel="0" collapsed="false">
      <c r="A5525" s="50" t="s">
        <v>1887</v>
      </c>
      <c r="B5525" s="51" t="n">
        <v>45993</v>
      </c>
      <c r="C5525" s="50" t="s">
        <v>199</v>
      </c>
      <c r="D5525" s="50" t="s">
        <v>2169</v>
      </c>
      <c r="E5525" s="50" t="n">
        <v>7</v>
      </c>
      <c r="F5525" s="50" t="s">
        <v>2167</v>
      </c>
      <c r="G5525" s="54" t="n">
        <v>4508700</v>
      </c>
    </row>
    <row r="5526" customFormat="false" ht="15" hidden="false" customHeight="false" outlineLevel="0" collapsed="false">
      <c r="A5526" s="50" t="s">
        <v>1887</v>
      </c>
      <c r="B5526" s="51" t="n">
        <v>45993</v>
      </c>
      <c r="C5526" s="50" t="s">
        <v>199</v>
      </c>
      <c r="D5526" s="50" t="s">
        <v>2186</v>
      </c>
      <c r="E5526" s="50" t="n">
        <v>8</v>
      </c>
      <c r="F5526" s="50" t="s">
        <v>2167</v>
      </c>
      <c r="G5526" s="54" t="n">
        <v>4772000</v>
      </c>
    </row>
    <row r="5527" customFormat="false" ht="15" hidden="false" customHeight="false" outlineLevel="0" collapsed="false">
      <c r="A5527" s="50" t="s">
        <v>1887</v>
      </c>
      <c r="B5527" s="51" t="n">
        <v>45993</v>
      </c>
      <c r="C5527" s="50" t="s">
        <v>199</v>
      </c>
      <c r="D5527" s="50" t="s">
        <v>2188</v>
      </c>
      <c r="E5527" s="50" t="n">
        <v>8</v>
      </c>
      <c r="F5527" s="50" t="s">
        <v>2167</v>
      </c>
      <c r="G5527" s="54" t="n">
        <v>7784000</v>
      </c>
    </row>
    <row r="5528" customFormat="false" ht="15" hidden="false" customHeight="false" outlineLevel="0" collapsed="false">
      <c r="A5528" s="50" t="s">
        <v>1888</v>
      </c>
      <c r="B5528" s="51" t="n">
        <v>45993</v>
      </c>
      <c r="C5528" s="50" t="s">
        <v>574</v>
      </c>
      <c r="D5528" s="50" t="s">
        <v>2166</v>
      </c>
      <c r="E5528" s="50" t="n">
        <v>7</v>
      </c>
      <c r="F5528" s="50" t="s">
        <v>2167</v>
      </c>
      <c r="G5528" s="54" t="n">
        <v>3674600</v>
      </c>
    </row>
    <row r="5529" customFormat="false" ht="15" hidden="false" customHeight="false" outlineLevel="0" collapsed="false">
      <c r="A5529" s="50" t="s">
        <v>1888</v>
      </c>
      <c r="B5529" s="51" t="n">
        <v>45993</v>
      </c>
      <c r="C5529" s="50" t="s">
        <v>574</v>
      </c>
      <c r="D5529" s="50" t="s">
        <v>2172</v>
      </c>
      <c r="E5529" s="50" t="n">
        <v>6</v>
      </c>
      <c r="F5529" s="50" t="s">
        <v>2167</v>
      </c>
      <c r="G5529" s="54" t="n">
        <v>3151100</v>
      </c>
    </row>
    <row r="5530" customFormat="false" ht="15" hidden="false" customHeight="false" outlineLevel="0" collapsed="false">
      <c r="A5530" s="50" t="s">
        <v>1888</v>
      </c>
      <c r="B5530" s="51" t="n">
        <v>45993</v>
      </c>
      <c r="C5530" s="50" t="s">
        <v>574</v>
      </c>
      <c r="D5530" s="50" t="s">
        <v>2179</v>
      </c>
      <c r="E5530" s="50" t="n">
        <v>6</v>
      </c>
      <c r="F5530" s="50" t="s">
        <v>2174</v>
      </c>
      <c r="G5530" s="54" t="n">
        <v>7423400</v>
      </c>
    </row>
    <row r="5531" customFormat="false" ht="15" hidden="false" customHeight="false" outlineLevel="0" collapsed="false">
      <c r="A5531" s="50" t="s">
        <v>1888</v>
      </c>
      <c r="B5531" s="51" t="n">
        <v>45993</v>
      </c>
      <c r="C5531" s="50" t="s">
        <v>574</v>
      </c>
      <c r="D5531" s="50" t="s">
        <v>2169</v>
      </c>
      <c r="E5531" s="50" t="n">
        <v>5</v>
      </c>
      <c r="F5531" s="50" t="s">
        <v>2167</v>
      </c>
      <c r="G5531" s="54" t="n">
        <v>3113900</v>
      </c>
    </row>
    <row r="5532" customFormat="false" ht="15" hidden="false" customHeight="false" outlineLevel="0" collapsed="false">
      <c r="A5532" s="50" t="s">
        <v>1888</v>
      </c>
      <c r="B5532" s="51" t="n">
        <v>45993</v>
      </c>
      <c r="C5532" s="50" t="s">
        <v>574</v>
      </c>
      <c r="D5532" s="50" t="s">
        <v>2184</v>
      </c>
      <c r="E5532" s="50" t="n">
        <v>5</v>
      </c>
      <c r="F5532" s="50" t="s">
        <v>2167</v>
      </c>
      <c r="G5532" s="54" t="n">
        <v>2695400</v>
      </c>
    </row>
    <row r="5533" customFormat="false" ht="15" hidden="false" customHeight="false" outlineLevel="0" collapsed="false">
      <c r="A5533" s="50" t="s">
        <v>1889</v>
      </c>
      <c r="B5533" s="51" t="n">
        <v>45993</v>
      </c>
      <c r="C5533" s="50" t="s">
        <v>207</v>
      </c>
      <c r="D5533" s="50" t="s">
        <v>2178</v>
      </c>
      <c r="E5533" s="50" t="n">
        <v>7</v>
      </c>
      <c r="F5533" s="50" t="s">
        <v>2167</v>
      </c>
      <c r="G5533" s="54" t="n">
        <v>3373000</v>
      </c>
    </row>
    <row r="5534" customFormat="false" ht="15" hidden="false" customHeight="false" outlineLevel="0" collapsed="false">
      <c r="A5534" s="50" t="s">
        <v>1889</v>
      </c>
      <c r="B5534" s="51" t="n">
        <v>45993</v>
      </c>
      <c r="C5534" s="50" t="s">
        <v>207</v>
      </c>
      <c r="D5534" s="50" t="s">
        <v>2169</v>
      </c>
      <c r="E5534" s="50" t="n">
        <v>7</v>
      </c>
      <c r="F5534" s="50" t="s">
        <v>2167</v>
      </c>
      <c r="G5534" s="54" t="n">
        <v>4307800</v>
      </c>
    </row>
    <row r="5535" customFormat="false" ht="15" hidden="false" customHeight="false" outlineLevel="0" collapsed="false">
      <c r="A5535" s="50" t="s">
        <v>1890</v>
      </c>
      <c r="B5535" s="51" t="n">
        <v>45993</v>
      </c>
      <c r="C5535" s="50" t="s">
        <v>228</v>
      </c>
      <c r="D5535" s="50" t="s">
        <v>2179</v>
      </c>
      <c r="E5535" s="50" t="n">
        <v>6</v>
      </c>
      <c r="F5535" s="50" t="s">
        <v>2174</v>
      </c>
      <c r="G5535" s="54" t="n">
        <v>7617900</v>
      </c>
    </row>
    <row r="5536" customFormat="false" ht="15" hidden="false" customHeight="false" outlineLevel="0" collapsed="false">
      <c r="A5536" s="50" t="s">
        <v>1891</v>
      </c>
      <c r="B5536" s="51" t="n">
        <v>45994</v>
      </c>
      <c r="C5536" s="50" t="s">
        <v>205</v>
      </c>
      <c r="D5536" s="50" t="s">
        <v>2178</v>
      </c>
      <c r="E5536" s="50" t="n">
        <v>6</v>
      </c>
      <c r="F5536" s="50" t="s">
        <v>2167</v>
      </c>
      <c r="G5536" s="54" t="n">
        <v>2786200</v>
      </c>
    </row>
    <row r="5537" customFormat="false" ht="15" hidden="false" customHeight="false" outlineLevel="0" collapsed="false">
      <c r="A5537" s="50" t="s">
        <v>1891</v>
      </c>
      <c r="B5537" s="51" t="n">
        <v>45994</v>
      </c>
      <c r="C5537" s="50" t="s">
        <v>205</v>
      </c>
      <c r="D5537" s="50" t="s">
        <v>2186</v>
      </c>
      <c r="E5537" s="50" t="n">
        <v>6</v>
      </c>
      <c r="F5537" s="50" t="s">
        <v>2167</v>
      </c>
      <c r="G5537" s="54" t="n">
        <v>3424200</v>
      </c>
    </row>
    <row r="5538" customFormat="false" ht="15" hidden="false" customHeight="false" outlineLevel="0" collapsed="false">
      <c r="A5538" s="50" t="s">
        <v>1891</v>
      </c>
      <c r="B5538" s="51" t="n">
        <v>45994</v>
      </c>
      <c r="C5538" s="50" t="s">
        <v>205</v>
      </c>
      <c r="D5538" s="50" t="s">
        <v>2185</v>
      </c>
      <c r="E5538" s="50" t="n">
        <v>4</v>
      </c>
      <c r="F5538" s="50" t="s">
        <v>2174</v>
      </c>
      <c r="G5538" s="54" t="n">
        <v>3001500</v>
      </c>
    </row>
    <row r="5539" customFormat="false" ht="15" hidden="false" customHeight="false" outlineLevel="0" collapsed="false">
      <c r="A5539" s="50" t="s">
        <v>1891</v>
      </c>
      <c r="B5539" s="51" t="n">
        <v>45994</v>
      </c>
      <c r="C5539" s="50" t="s">
        <v>205</v>
      </c>
      <c r="D5539" s="50" t="s">
        <v>2168</v>
      </c>
      <c r="E5539" s="50" t="n">
        <v>8</v>
      </c>
      <c r="F5539" s="50" t="s">
        <v>2167</v>
      </c>
      <c r="G5539" s="54" t="n">
        <v>3325000</v>
      </c>
    </row>
    <row r="5540" customFormat="false" ht="15" hidden="false" customHeight="false" outlineLevel="0" collapsed="false">
      <c r="A5540" s="50" t="s">
        <v>1892</v>
      </c>
      <c r="B5540" s="51" t="n">
        <v>45994</v>
      </c>
      <c r="C5540" s="50" t="s">
        <v>527</v>
      </c>
      <c r="D5540" s="50" t="s">
        <v>2176</v>
      </c>
      <c r="E5540" s="50" t="n">
        <v>2</v>
      </c>
      <c r="F5540" s="50" t="s">
        <v>2167</v>
      </c>
      <c r="G5540" s="54" t="n">
        <v>808200</v>
      </c>
    </row>
    <row r="5541" customFormat="false" ht="15" hidden="false" customHeight="false" outlineLevel="0" collapsed="false">
      <c r="A5541" s="50" t="s">
        <v>1892</v>
      </c>
      <c r="B5541" s="51" t="n">
        <v>45994</v>
      </c>
      <c r="C5541" s="50" t="s">
        <v>527</v>
      </c>
      <c r="D5541" s="50" t="s">
        <v>2169</v>
      </c>
      <c r="E5541" s="50" t="n">
        <v>4</v>
      </c>
      <c r="F5541" s="50" t="s">
        <v>2167</v>
      </c>
      <c r="G5541" s="54" t="n">
        <v>2411900</v>
      </c>
    </row>
    <row r="5542" customFormat="false" ht="15" hidden="false" customHeight="false" outlineLevel="0" collapsed="false">
      <c r="A5542" s="50" t="s">
        <v>1892</v>
      </c>
      <c r="B5542" s="51" t="n">
        <v>45994</v>
      </c>
      <c r="C5542" s="50" t="s">
        <v>527</v>
      </c>
      <c r="D5542" s="50" t="s">
        <v>2188</v>
      </c>
      <c r="E5542" s="50" t="n">
        <v>8</v>
      </c>
      <c r="F5542" s="50" t="s">
        <v>2167</v>
      </c>
      <c r="G5542" s="54" t="n">
        <v>7583900</v>
      </c>
    </row>
    <row r="5543" customFormat="false" ht="15" hidden="false" customHeight="false" outlineLevel="0" collapsed="false">
      <c r="A5543" s="50" t="s">
        <v>1892</v>
      </c>
      <c r="B5543" s="51" t="n">
        <v>45994</v>
      </c>
      <c r="C5543" s="50" t="s">
        <v>527</v>
      </c>
      <c r="D5543" s="50" t="s">
        <v>2180</v>
      </c>
      <c r="E5543" s="50" t="n">
        <v>6</v>
      </c>
      <c r="F5543" s="50" t="s">
        <v>2167</v>
      </c>
      <c r="G5543" s="54" t="n">
        <v>2677500</v>
      </c>
    </row>
    <row r="5544" customFormat="false" ht="15" hidden="false" customHeight="false" outlineLevel="0" collapsed="false">
      <c r="A5544" s="50" t="s">
        <v>1892</v>
      </c>
      <c r="B5544" s="51" t="n">
        <v>45994</v>
      </c>
      <c r="C5544" s="50" t="s">
        <v>527</v>
      </c>
      <c r="D5544" s="50" t="s">
        <v>2173</v>
      </c>
      <c r="E5544" s="50" t="n">
        <v>8</v>
      </c>
      <c r="F5544" s="50" t="s">
        <v>2174</v>
      </c>
      <c r="G5544" s="54" t="n">
        <v>6390700</v>
      </c>
    </row>
    <row r="5545" customFormat="false" ht="15" hidden="false" customHeight="false" outlineLevel="0" collapsed="false">
      <c r="A5545" s="50" t="s">
        <v>1892</v>
      </c>
      <c r="B5545" s="51" t="n">
        <v>45994</v>
      </c>
      <c r="C5545" s="50" t="s">
        <v>527</v>
      </c>
      <c r="D5545" s="50" t="s">
        <v>2177</v>
      </c>
      <c r="E5545" s="50" t="n">
        <v>6</v>
      </c>
      <c r="F5545" s="50" t="s">
        <v>2174</v>
      </c>
      <c r="G5545" s="54" t="n">
        <v>6590900</v>
      </c>
    </row>
    <row r="5546" customFormat="false" ht="15" hidden="false" customHeight="false" outlineLevel="0" collapsed="false">
      <c r="A5546" s="50" t="s">
        <v>1893</v>
      </c>
      <c r="B5546" s="51" t="n">
        <v>45994</v>
      </c>
      <c r="C5546" s="50" t="s">
        <v>174</v>
      </c>
      <c r="D5546" s="50" t="s">
        <v>2169</v>
      </c>
      <c r="E5546" s="50" t="n">
        <v>4</v>
      </c>
      <c r="F5546" s="50" t="s">
        <v>2167</v>
      </c>
      <c r="G5546" s="54" t="n">
        <v>2406900</v>
      </c>
    </row>
    <row r="5547" customFormat="false" ht="15" hidden="false" customHeight="false" outlineLevel="0" collapsed="false">
      <c r="A5547" s="50" t="s">
        <v>1894</v>
      </c>
      <c r="B5547" s="51" t="n">
        <v>45994</v>
      </c>
      <c r="C5547" s="50" t="s">
        <v>271</v>
      </c>
      <c r="D5547" s="50" t="s">
        <v>2180</v>
      </c>
      <c r="E5547" s="50" t="n">
        <v>5</v>
      </c>
      <c r="F5547" s="50" t="s">
        <v>2167</v>
      </c>
      <c r="G5547" s="54" t="n">
        <v>2287900</v>
      </c>
    </row>
    <row r="5548" customFormat="false" ht="15" hidden="false" customHeight="false" outlineLevel="0" collapsed="false">
      <c r="A5548" s="50" t="s">
        <v>1894</v>
      </c>
      <c r="B5548" s="51" t="n">
        <v>45994</v>
      </c>
      <c r="C5548" s="50" t="s">
        <v>271</v>
      </c>
      <c r="D5548" s="50" t="s">
        <v>2173</v>
      </c>
      <c r="E5548" s="50" t="n">
        <v>7</v>
      </c>
      <c r="F5548" s="50" t="s">
        <v>2174</v>
      </c>
      <c r="G5548" s="54" t="n">
        <v>5504900</v>
      </c>
    </row>
    <row r="5549" customFormat="false" ht="15" hidden="false" customHeight="false" outlineLevel="0" collapsed="false">
      <c r="A5549" s="50" t="s">
        <v>1894</v>
      </c>
      <c r="B5549" s="51" t="n">
        <v>45994</v>
      </c>
      <c r="C5549" s="50" t="s">
        <v>271</v>
      </c>
      <c r="D5549" s="50" t="s">
        <v>2186</v>
      </c>
      <c r="E5549" s="50" t="n">
        <v>2</v>
      </c>
      <c r="F5549" s="50" t="s">
        <v>2167</v>
      </c>
      <c r="G5549" s="54" t="n">
        <v>1142400</v>
      </c>
    </row>
    <row r="5550" customFormat="false" ht="15" hidden="false" customHeight="false" outlineLevel="0" collapsed="false">
      <c r="A5550" s="50" t="s">
        <v>1895</v>
      </c>
      <c r="B5550" s="51" t="n">
        <v>45995</v>
      </c>
      <c r="C5550" s="50" t="s">
        <v>205</v>
      </c>
      <c r="D5550" s="50" t="s">
        <v>2173</v>
      </c>
      <c r="E5550" s="50" t="n">
        <v>5</v>
      </c>
      <c r="F5550" s="50" t="s">
        <v>2174</v>
      </c>
      <c r="G5550" s="54" t="n">
        <v>4064700</v>
      </c>
    </row>
    <row r="5551" customFormat="false" ht="15" hidden="false" customHeight="false" outlineLevel="0" collapsed="false">
      <c r="A5551" s="50" t="s">
        <v>1895</v>
      </c>
      <c r="B5551" s="51" t="n">
        <v>45995</v>
      </c>
      <c r="C5551" s="50" t="s">
        <v>205</v>
      </c>
      <c r="D5551" s="50" t="s">
        <v>2177</v>
      </c>
      <c r="E5551" s="50" t="n">
        <v>1</v>
      </c>
      <c r="F5551" s="50" t="s">
        <v>2174</v>
      </c>
      <c r="G5551" s="54" t="n">
        <v>1063100</v>
      </c>
    </row>
    <row r="5552" customFormat="false" ht="15" hidden="false" customHeight="false" outlineLevel="0" collapsed="false">
      <c r="A5552" s="50" t="s">
        <v>1895</v>
      </c>
      <c r="B5552" s="51" t="n">
        <v>45995</v>
      </c>
      <c r="C5552" s="50" t="s">
        <v>205</v>
      </c>
      <c r="D5552" s="50" t="s">
        <v>2176</v>
      </c>
      <c r="E5552" s="50" t="n">
        <v>1</v>
      </c>
      <c r="F5552" s="50" t="s">
        <v>2167</v>
      </c>
      <c r="G5552" s="54" t="n">
        <v>412400</v>
      </c>
    </row>
    <row r="5553" customFormat="false" ht="15" hidden="false" customHeight="false" outlineLevel="0" collapsed="false">
      <c r="A5553" s="50" t="s">
        <v>1895</v>
      </c>
      <c r="B5553" s="51" t="n">
        <v>45995</v>
      </c>
      <c r="C5553" s="50" t="s">
        <v>205</v>
      </c>
      <c r="D5553" s="50" t="s">
        <v>2178</v>
      </c>
      <c r="E5553" s="50" t="n">
        <v>4</v>
      </c>
      <c r="F5553" s="50" t="s">
        <v>2167</v>
      </c>
      <c r="G5553" s="54" t="n">
        <v>1864400</v>
      </c>
    </row>
    <row r="5554" customFormat="false" ht="15" hidden="false" customHeight="false" outlineLevel="0" collapsed="false">
      <c r="A5554" s="50" t="s">
        <v>1895</v>
      </c>
      <c r="B5554" s="51" t="n">
        <v>45995</v>
      </c>
      <c r="C5554" s="50" t="s">
        <v>205</v>
      </c>
      <c r="D5554" s="50" t="s">
        <v>2169</v>
      </c>
      <c r="E5554" s="50" t="n">
        <v>8</v>
      </c>
      <c r="F5554" s="50" t="s">
        <v>2167</v>
      </c>
      <c r="G5554" s="54" t="n">
        <v>4907600</v>
      </c>
    </row>
    <row r="5555" customFormat="false" ht="15" hidden="false" customHeight="false" outlineLevel="0" collapsed="false">
      <c r="A5555" s="50" t="s">
        <v>1896</v>
      </c>
      <c r="B5555" s="51" t="n">
        <v>45995</v>
      </c>
      <c r="C5555" s="50" t="s">
        <v>168</v>
      </c>
      <c r="D5555" s="50" t="s">
        <v>2166</v>
      </c>
      <c r="E5555" s="50" t="n">
        <v>3</v>
      </c>
      <c r="F5555" s="50" t="s">
        <v>2167</v>
      </c>
      <c r="G5555" s="54" t="n">
        <v>1559600</v>
      </c>
    </row>
    <row r="5556" customFormat="false" ht="15" hidden="false" customHeight="false" outlineLevel="0" collapsed="false">
      <c r="A5556" s="50" t="s">
        <v>1896</v>
      </c>
      <c r="B5556" s="51" t="n">
        <v>45995</v>
      </c>
      <c r="C5556" s="50" t="s">
        <v>168</v>
      </c>
      <c r="D5556" s="50" t="s">
        <v>2168</v>
      </c>
      <c r="E5556" s="50" t="n">
        <v>4</v>
      </c>
      <c r="F5556" s="50" t="s">
        <v>2167</v>
      </c>
      <c r="G5556" s="54" t="n">
        <v>1715500</v>
      </c>
    </row>
    <row r="5557" customFormat="false" ht="15" hidden="false" customHeight="false" outlineLevel="0" collapsed="false">
      <c r="A5557" s="50" t="s">
        <v>1896</v>
      </c>
      <c r="B5557" s="51" t="n">
        <v>45995</v>
      </c>
      <c r="C5557" s="50" t="s">
        <v>168</v>
      </c>
      <c r="D5557" s="50" t="s">
        <v>2176</v>
      </c>
      <c r="E5557" s="50" t="n">
        <v>7</v>
      </c>
      <c r="F5557" s="50" t="s">
        <v>2167</v>
      </c>
      <c r="G5557" s="54" t="n">
        <v>2879900</v>
      </c>
    </row>
    <row r="5558" customFormat="false" ht="15" hidden="false" customHeight="false" outlineLevel="0" collapsed="false">
      <c r="A5558" s="50" t="s">
        <v>1897</v>
      </c>
      <c r="B5558" s="51" t="n">
        <v>45995</v>
      </c>
      <c r="C5558" s="50" t="s">
        <v>168</v>
      </c>
      <c r="D5558" s="50" t="s">
        <v>2185</v>
      </c>
      <c r="E5558" s="50" t="n">
        <v>1</v>
      </c>
      <c r="F5558" s="50" t="s">
        <v>2174</v>
      </c>
      <c r="G5558" s="54" t="n">
        <v>764500</v>
      </c>
    </row>
    <row r="5559" customFormat="false" ht="15" hidden="false" customHeight="false" outlineLevel="0" collapsed="false">
      <c r="A5559" s="50" t="s">
        <v>1897</v>
      </c>
      <c r="B5559" s="51" t="n">
        <v>45995</v>
      </c>
      <c r="C5559" s="50" t="s">
        <v>168</v>
      </c>
      <c r="D5559" s="50" t="s">
        <v>2175</v>
      </c>
      <c r="E5559" s="50" t="n">
        <v>8</v>
      </c>
      <c r="F5559" s="50" t="s">
        <v>2167</v>
      </c>
      <c r="G5559" s="54" t="n">
        <v>5218000</v>
      </c>
    </row>
    <row r="5560" customFormat="false" ht="15" hidden="false" customHeight="false" outlineLevel="0" collapsed="false">
      <c r="A5560" s="50" t="s">
        <v>1898</v>
      </c>
      <c r="B5560" s="51" t="n">
        <v>45995</v>
      </c>
      <c r="C5560" s="50" t="s">
        <v>419</v>
      </c>
      <c r="D5560" s="50" t="s">
        <v>2180</v>
      </c>
      <c r="E5560" s="50" t="n">
        <v>4</v>
      </c>
      <c r="F5560" s="50" t="s">
        <v>2167</v>
      </c>
      <c r="G5560" s="54" t="n">
        <v>1729900</v>
      </c>
    </row>
    <row r="5561" customFormat="false" ht="15" hidden="false" customHeight="false" outlineLevel="0" collapsed="false">
      <c r="A5561" s="50" t="s">
        <v>1898</v>
      </c>
      <c r="B5561" s="51" t="n">
        <v>45995</v>
      </c>
      <c r="C5561" s="50" t="s">
        <v>419</v>
      </c>
      <c r="D5561" s="50" t="s">
        <v>2176</v>
      </c>
      <c r="E5561" s="50" t="n">
        <v>6</v>
      </c>
      <c r="F5561" s="50" t="s">
        <v>2167</v>
      </c>
      <c r="G5561" s="54" t="n">
        <v>2449500</v>
      </c>
    </row>
    <row r="5562" customFormat="false" ht="15" hidden="false" customHeight="false" outlineLevel="0" collapsed="false">
      <c r="A5562" s="50" t="s">
        <v>1898</v>
      </c>
      <c r="B5562" s="51" t="n">
        <v>45995</v>
      </c>
      <c r="C5562" s="50" t="s">
        <v>419</v>
      </c>
      <c r="D5562" s="50" t="s">
        <v>2173</v>
      </c>
      <c r="E5562" s="50" t="n">
        <v>7</v>
      </c>
      <c r="F5562" s="50" t="s">
        <v>2174</v>
      </c>
      <c r="G5562" s="54" t="n">
        <v>5437100</v>
      </c>
    </row>
    <row r="5563" customFormat="false" ht="15" hidden="false" customHeight="false" outlineLevel="0" collapsed="false">
      <c r="A5563" s="50" t="s">
        <v>1898</v>
      </c>
      <c r="B5563" s="51" t="n">
        <v>45995</v>
      </c>
      <c r="C5563" s="50" t="s">
        <v>419</v>
      </c>
      <c r="D5563" s="50" t="s">
        <v>2177</v>
      </c>
      <c r="E5563" s="50" t="n">
        <v>8</v>
      </c>
      <c r="F5563" s="50" t="s">
        <v>2174</v>
      </c>
      <c r="G5563" s="54" t="n">
        <v>8936200</v>
      </c>
    </row>
    <row r="5564" customFormat="false" ht="15" hidden="false" customHeight="false" outlineLevel="0" collapsed="false">
      <c r="A5564" s="50" t="s">
        <v>1899</v>
      </c>
      <c r="B5564" s="51" t="n">
        <v>45996</v>
      </c>
      <c r="C5564" s="50" t="s">
        <v>199</v>
      </c>
      <c r="D5564" s="50" t="s">
        <v>2184</v>
      </c>
      <c r="E5564" s="50" t="n">
        <v>8</v>
      </c>
      <c r="F5564" s="50" t="s">
        <v>2167</v>
      </c>
      <c r="G5564" s="54" t="n">
        <v>4630800</v>
      </c>
    </row>
    <row r="5565" customFormat="false" ht="15" hidden="false" customHeight="false" outlineLevel="0" collapsed="false">
      <c r="A5565" s="50" t="s">
        <v>1899</v>
      </c>
      <c r="B5565" s="51" t="n">
        <v>45996</v>
      </c>
      <c r="C5565" s="50" t="s">
        <v>199</v>
      </c>
      <c r="D5565" s="50" t="s">
        <v>2179</v>
      </c>
      <c r="E5565" s="50" t="n">
        <v>6</v>
      </c>
      <c r="F5565" s="50" t="s">
        <v>2174</v>
      </c>
      <c r="G5565" s="54" t="n">
        <v>7688500</v>
      </c>
    </row>
    <row r="5566" customFormat="false" ht="15" hidden="false" customHeight="false" outlineLevel="0" collapsed="false">
      <c r="A5566" s="50" t="s">
        <v>1899</v>
      </c>
      <c r="B5566" s="51" t="n">
        <v>45996</v>
      </c>
      <c r="C5566" s="50" t="s">
        <v>199</v>
      </c>
      <c r="D5566" s="50" t="s">
        <v>2188</v>
      </c>
      <c r="E5566" s="50" t="n">
        <v>5</v>
      </c>
      <c r="F5566" s="50" t="s">
        <v>2167</v>
      </c>
      <c r="G5566" s="54" t="n">
        <v>5016500</v>
      </c>
    </row>
    <row r="5567" customFormat="false" ht="15" hidden="false" customHeight="false" outlineLevel="0" collapsed="false">
      <c r="A5567" s="50" t="s">
        <v>150</v>
      </c>
      <c r="B5567" s="51" t="n">
        <v>45996</v>
      </c>
      <c r="C5567" s="50" t="s">
        <v>232</v>
      </c>
      <c r="D5567" s="50" t="s">
        <v>2178</v>
      </c>
      <c r="E5567" s="50" t="n">
        <v>2</v>
      </c>
      <c r="F5567" s="50" t="s">
        <v>2167</v>
      </c>
      <c r="G5567" s="54" t="n">
        <v>993300</v>
      </c>
    </row>
    <row r="5568" customFormat="false" ht="15" hidden="false" customHeight="false" outlineLevel="0" collapsed="false">
      <c r="A5568" s="50" t="s">
        <v>150</v>
      </c>
      <c r="B5568" s="51" t="n">
        <v>45996</v>
      </c>
      <c r="C5568" s="50" t="s">
        <v>232</v>
      </c>
      <c r="D5568" s="50" t="s">
        <v>2169</v>
      </c>
      <c r="E5568" s="50" t="n">
        <v>7</v>
      </c>
      <c r="F5568" s="50" t="s">
        <v>2167</v>
      </c>
      <c r="G5568" s="54" t="n">
        <v>4258600</v>
      </c>
    </row>
    <row r="5569" customFormat="false" ht="15" hidden="false" customHeight="false" outlineLevel="0" collapsed="false">
      <c r="A5569" s="50" t="s">
        <v>1900</v>
      </c>
      <c r="B5569" s="51" t="n">
        <v>45996</v>
      </c>
      <c r="C5569" s="50" t="s">
        <v>358</v>
      </c>
      <c r="D5569" s="50" t="s">
        <v>2176</v>
      </c>
      <c r="E5569" s="50" t="n">
        <v>3</v>
      </c>
      <c r="F5569" s="50" t="s">
        <v>2167</v>
      </c>
      <c r="G5569" s="54" t="n">
        <v>1298400</v>
      </c>
    </row>
    <row r="5570" customFormat="false" ht="15" hidden="false" customHeight="false" outlineLevel="0" collapsed="false">
      <c r="A5570" s="50" t="s">
        <v>1900</v>
      </c>
      <c r="B5570" s="51" t="n">
        <v>45996</v>
      </c>
      <c r="C5570" s="50" t="s">
        <v>358</v>
      </c>
      <c r="D5570" s="50" t="s">
        <v>2181</v>
      </c>
      <c r="E5570" s="50" t="n">
        <v>5</v>
      </c>
      <c r="F5570" s="50" t="s">
        <v>2167</v>
      </c>
      <c r="G5570" s="54" t="n">
        <v>5892200</v>
      </c>
    </row>
    <row r="5571" customFormat="false" ht="15" hidden="false" customHeight="false" outlineLevel="0" collapsed="false">
      <c r="A5571" s="50" t="s">
        <v>1900</v>
      </c>
      <c r="B5571" s="51" t="n">
        <v>45996</v>
      </c>
      <c r="C5571" s="50" t="s">
        <v>358</v>
      </c>
      <c r="D5571" s="50" t="s">
        <v>2178</v>
      </c>
      <c r="E5571" s="50" t="n">
        <v>8</v>
      </c>
      <c r="F5571" s="50" t="s">
        <v>2167</v>
      </c>
      <c r="G5571" s="54" t="n">
        <v>3993200</v>
      </c>
    </row>
    <row r="5572" customFormat="false" ht="15" hidden="false" customHeight="false" outlineLevel="0" collapsed="false">
      <c r="A5572" s="50" t="s">
        <v>1901</v>
      </c>
      <c r="B5572" s="51" t="n">
        <v>45996</v>
      </c>
      <c r="C5572" s="50" t="s">
        <v>166</v>
      </c>
      <c r="D5572" s="50" t="s">
        <v>2184</v>
      </c>
      <c r="E5572" s="50" t="n">
        <v>3</v>
      </c>
      <c r="F5572" s="50" t="s">
        <v>2167</v>
      </c>
      <c r="G5572" s="54" t="n">
        <v>1717700</v>
      </c>
    </row>
    <row r="5573" customFormat="false" ht="15" hidden="false" customHeight="false" outlineLevel="0" collapsed="false">
      <c r="A5573" s="50" t="s">
        <v>1902</v>
      </c>
      <c r="B5573" s="51" t="n">
        <v>45996</v>
      </c>
      <c r="C5573" s="50" t="s">
        <v>205</v>
      </c>
      <c r="D5573" s="50" t="s">
        <v>2187</v>
      </c>
      <c r="E5573" s="50" t="n">
        <v>4</v>
      </c>
      <c r="F5573" s="50" t="s">
        <v>2167</v>
      </c>
      <c r="G5573" s="54" t="n">
        <v>1407600</v>
      </c>
    </row>
    <row r="5574" customFormat="false" ht="15" hidden="false" customHeight="false" outlineLevel="0" collapsed="false">
      <c r="A5574" s="50" t="s">
        <v>1902</v>
      </c>
      <c r="B5574" s="51" t="n">
        <v>45996</v>
      </c>
      <c r="C5574" s="50" t="s">
        <v>205</v>
      </c>
      <c r="D5574" s="50" t="s">
        <v>2169</v>
      </c>
      <c r="E5574" s="50" t="n">
        <v>3</v>
      </c>
      <c r="F5574" s="50" t="s">
        <v>2167</v>
      </c>
      <c r="G5574" s="54" t="n">
        <v>1899100</v>
      </c>
    </row>
    <row r="5575" customFormat="false" ht="15" hidden="false" customHeight="false" outlineLevel="0" collapsed="false">
      <c r="A5575" s="50" t="s">
        <v>1903</v>
      </c>
      <c r="B5575" s="51" t="n">
        <v>45996</v>
      </c>
      <c r="C5575" s="50" t="s">
        <v>408</v>
      </c>
      <c r="D5575" s="50" t="s">
        <v>2180</v>
      </c>
      <c r="E5575" s="50" t="n">
        <v>5</v>
      </c>
      <c r="F5575" s="50" t="s">
        <v>2167</v>
      </c>
      <c r="G5575" s="54" t="n">
        <v>2316900</v>
      </c>
    </row>
    <row r="5576" customFormat="false" ht="15" hidden="false" customHeight="false" outlineLevel="0" collapsed="false">
      <c r="A5576" s="50" t="s">
        <v>1903</v>
      </c>
      <c r="B5576" s="51" t="n">
        <v>45996</v>
      </c>
      <c r="C5576" s="50" t="s">
        <v>408</v>
      </c>
      <c r="D5576" s="50" t="s">
        <v>2176</v>
      </c>
      <c r="E5576" s="50" t="n">
        <v>1</v>
      </c>
      <c r="F5576" s="50" t="s">
        <v>2167</v>
      </c>
      <c r="G5576" s="54" t="n">
        <v>406200</v>
      </c>
    </row>
    <row r="5577" customFormat="false" ht="15" hidden="false" customHeight="false" outlineLevel="0" collapsed="false">
      <c r="A5577" s="50" t="s">
        <v>1903</v>
      </c>
      <c r="B5577" s="51" t="n">
        <v>45996</v>
      </c>
      <c r="C5577" s="50" t="s">
        <v>408</v>
      </c>
      <c r="D5577" s="50" t="s">
        <v>2173</v>
      </c>
      <c r="E5577" s="50" t="n">
        <v>2</v>
      </c>
      <c r="F5577" s="50" t="s">
        <v>2174</v>
      </c>
      <c r="G5577" s="54" t="n">
        <v>1609800</v>
      </c>
    </row>
    <row r="5578" customFormat="false" ht="15" hidden="false" customHeight="false" outlineLevel="0" collapsed="false">
      <c r="A5578" s="50" t="s">
        <v>1904</v>
      </c>
      <c r="B5578" s="51" t="n">
        <v>45996</v>
      </c>
      <c r="C5578" s="50" t="s">
        <v>188</v>
      </c>
      <c r="D5578" s="50" t="s">
        <v>2186</v>
      </c>
      <c r="E5578" s="50" t="n">
        <v>5</v>
      </c>
      <c r="F5578" s="50" t="s">
        <v>2167</v>
      </c>
      <c r="G5578" s="54" t="n">
        <v>2964700</v>
      </c>
    </row>
    <row r="5579" customFormat="false" ht="15" hidden="false" customHeight="false" outlineLevel="0" collapsed="false">
      <c r="A5579" s="50" t="s">
        <v>1905</v>
      </c>
      <c r="B5579" s="51" t="n">
        <v>45996</v>
      </c>
      <c r="C5579" s="50" t="s">
        <v>271</v>
      </c>
      <c r="D5579" s="50" t="s">
        <v>2169</v>
      </c>
      <c r="E5579" s="50" t="n">
        <v>7</v>
      </c>
      <c r="F5579" s="50" t="s">
        <v>2167</v>
      </c>
      <c r="G5579" s="54" t="n">
        <v>4386700</v>
      </c>
    </row>
    <row r="5580" customFormat="false" ht="15" hidden="false" customHeight="false" outlineLevel="0" collapsed="false">
      <c r="A5580" s="50" t="s">
        <v>1905</v>
      </c>
      <c r="B5580" s="51" t="n">
        <v>45996</v>
      </c>
      <c r="C5580" s="50" t="s">
        <v>271</v>
      </c>
      <c r="D5580" s="50" t="s">
        <v>2179</v>
      </c>
      <c r="E5580" s="50" t="n">
        <v>8</v>
      </c>
      <c r="F5580" s="50" t="s">
        <v>2174</v>
      </c>
      <c r="G5580" s="54" t="n">
        <v>9676600</v>
      </c>
    </row>
    <row r="5581" customFormat="false" ht="15" hidden="false" customHeight="false" outlineLevel="0" collapsed="false">
      <c r="A5581" s="50" t="s">
        <v>1906</v>
      </c>
      <c r="B5581" s="51" t="n">
        <v>45996</v>
      </c>
      <c r="C5581" s="50" t="s">
        <v>249</v>
      </c>
      <c r="D5581" s="50" t="s">
        <v>2183</v>
      </c>
      <c r="E5581" s="50" t="n">
        <v>8</v>
      </c>
      <c r="F5581" s="50" t="s">
        <v>2167</v>
      </c>
      <c r="G5581" s="54" t="n">
        <v>3098500</v>
      </c>
    </row>
    <row r="5582" customFormat="false" ht="15" hidden="false" customHeight="false" outlineLevel="0" collapsed="false">
      <c r="A5582" s="50" t="s">
        <v>1906</v>
      </c>
      <c r="B5582" s="51" t="n">
        <v>45996</v>
      </c>
      <c r="C5582" s="50" t="s">
        <v>249</v>
      </c>
      <c r="D5582" s="50" t="s">
        <v>2187</v>
      </c>
      <c r="E5582" s="50" t="n">
        <v>4</v>
      </c>
      <c r="F5582" s="50" t="s">
        <v>2167</v>
      </c>
      <c r="G5582" s="54" t="n">
        <v>1374200</v>
      </c>
    </row>
    <row r="5583" customFormat="false" ht="15" hidden="false" customHeight="false" outlineLevel="0" collapsed="false">
      <c r="A5583" s="50" t="s">
        <v>1907</v>
      </c>
      <c r="B5583" s="51" t="n">
        <v>45996</v>
      </c>
      <c r="C5583" s="50" t="s">
        <v>237</v>
      </c>
      <c r="D5583" s="50" t="s">
        <v>2187</v>
      </c>
      <c r="E5583" s="50" t="n">
        <v>3</v>
      </c>
      <c r="F5583" s="50" t="s">
        <v>2167</v>
      </c>
      <c r="G5583" s="54" t="n">
        <v>1078300</v>
      </c>
    </row>
    <row r="5584" customFormat="false" ht="15" hidden="false" customHeight="false" outlineLevel="0" collapsed="false">
      <c r="A5584" s="50" t="s">
        <v>1907</v>
      </c>
      <c r="B5584" s="51" t="n">
        <v>45996</v>
      </c>
      <c r="C5584" s="50" t="s">
        <v>237</v>
      </c>
      <c r="D5584" s="50" t="s">
        <v>2186</v>
      </c>
      <c r="E5584" s="50" t="n">
        <v>6</v>
      </c>
      <c r="F5584" s="50" t="s">
        <v>2167</v>
      </c>
      <c r="G5584" s="54" t="n">
        <v>3512800</v>
      </c>
    </row>
    <row r="5585" customFormat="false" ht="15" hidden="false" customHeight="false" outlineLevel="0" collapsed="false">
      <c r="A5585" s="50" t="s">
        <v>1907</v>
      </c>
      <c r="B5585" s="51" t="n">
        <v>45996</v>
      </c>
      <c r="C5585" s="50" t="s">
        <v>237</v>
      </c>
      <c r="D5585" s="50" t="s">
        <v>2176</v>
      </c>
      <c r="E5585" s="50" t="n">
        <v>5</v>
      </c>
      <c r="F5585" s="50" t="s">
        <v>2167</v>
      </c>
      <c r="G5585" s="54" t="n">
        <v>2069700</v>
      </c>
    </row>
    <row r="5586" customFormat="false" ht="15" hidden="false" customHeight="false" outlineLevel="0" collapsed="false">
      <c r="A5586" s="50" t="s">
        <v>1908</v>
      </c>
      <c r="B5586" s="51" t="n">
        <v>45996</v>
      </c>
      <c r="C5586" s="50" t="s">
        <v>320</v>
      </c>
      <c r="D5586" s="50" t="s">
        <v>2180</v>
      </c>
      <c r="E5586" s="50" t="n">
        <v>1</v>
      </c>
      <c r="F5586" s="50" t="s">
        <v>2167</v>
      </c>
      <c r="G5586" s="54" t="n">
        <v>465200</v>
      </c>
    </row>
    <row r="5587" customFormat="false" ht="15" hidden="false" customHeight="false" outlineLevel="0" collapsed="false">
      <c r="A5587" s="50" t="s">
        <v>1908</v>
      </c>
      <c r="B5587" s="51" t="n">
        <v>45996</v>
      </c>
      <c r="C5587" s="50" t="s">
        <v>320</v>
      </c>
      <c r="D5587" s="50" t="s">
        <v>2179</v>
      </c>
      <c r="E5587" s="50" t="n">
        <v>2</v>
      </c>
      <c r="F5587" s="50" t="s">
        <v>2174</v>
      </c>
      <c r="G5587" s="54" t="n">
        <v>2568900</v>
      </c>
    </row>
    <row r="5588" customFormat="false" ht="15" hidden="false" customHeight="false" outlineLevel="0" collapsed="false">
      <c r="A5588" s="50" t="s">
        <v>1908</v>
      </c>
      <c r="B5588" s="51" t="n">
        <v>45996</v>
      </c>
      <c r="C5588" s="50" t="s">
        <v>320</v>
      </c>
      <c r="D5588" s="50" t="s">
        <v>2173</v>
      </c>
      <c r="E5588" s="50" t="n">
        <v>7</v>
      </c>
      <c r="F5588" s="50" t="s">
        <v>2174</v>
      </c>
      <c r="G5588" s="54" t="n">
        <v>5822500</v>
      </c>
    </row>
    <row r="5589" customFormat="false" ht="15" hidden="false" customHeight="false" outlineLevel="0" collapsed="false">
      <c r="A5589" s="50" t="s">
        <v>1909</v>
      </c>
      <c r="B5589" s="51" t="n">
        <v>45997</v>
      </c>
      <c r="C5589" s="50" t="s">
        <v>562</v>
      </c>
      <c r="D5589" s="50" t="s">
        <v>2169</v>
      </c>
      <c r="E5589" s="50" t="n">
        <v>3</v>
      </c>
      <c r="F5589" s="50" t="s">
        <v>2167</v>
      </c>
      <c r="G5589" s="54" t="n">
        <v>1864100</v>
      </c>
    </row>
    <row r="5590" customFormat="false" ht="15" hidden="false" customHeight="false" outlineLevel="0" collapsed="false">
      <c r="A5590" s="50" t="s">
        <v>1909</v>
      </c>
      <c r="B5590" s="51" t="n">
        <v>45997</v>
      </c>
      <c r="C5590" s="50" t="s">
        <v>562</v>
      </c>
      <c r="D5590" s="50" t="s">
        <v>2166</v>
      </c>
      <c r="E5590" s="50" t="n">
        <v>7</v>
      </c>
      <c r="F5590" s="50" t="s">
        <v>2167</v>
      </c>
      <c r="G5590" s="54" t="n">
        <v>3927200</v>
      </c>
    </row>
    <row r="5591" customFormat="false" ht="15" hidden="false" customHeight="false" outlineLevel="0" collapsed="false">
      <c r="A5591" s="50" t="s">
        <v>1909</v>
      </c>
      <c r="B5591" s="51" t="n">
        <v>45997</v>
      </c>
      <c r="C5591" s="50" t="s">
        <v>562</v>
      </c>
      <c r="D5591" s="50" t="s">
        <v>2179</v>
      </c>
      <c r="E5591" s="50" t="n">
        <v>2</v>
      </c>
      <c r="F5591" s="50" t="s">
        <v>2174</v>
      </c>
      <c r="G5591" s="54" t="n">
        <v>2512200</v>
      </c>
    </row>
    <row r="5592" customFormat="false" ht="15" hidden="false" customHeight="false" outlineLevel="0" collapsed="false">
      <c r="A5592" s="50" t="s">
        <v>1910</v>
      </c>
      <c r="B5592" s="51" t="n">
        <v>45997</v>
      </c>
      <c r="C5592" s="50" t="s">
        <v>505</v>
      </c>
      <c r="D5592" s="50" t="s">
        <v>2177</v>
      </c>
      <c r="E5592" s="50" t="n">
        <v>4</v>
      </c>
      <c r="F5592" s="50" t="s">
        <v>2174</v>
      </c>
      <c r="G5592" s="54" t="n">
        <v>4281900</v>
      </c>
    </row>
    <row r="5593" customFormat="false" ht="15" hidden="false" customHeight="false" outlineLevel="0" collapsed="false">
      <c r="A5593" s="50" t="s">
        <v>1910</v>
      </c>
      <c r="B5593" s="51" t="n">
        <v>45997</v>
      </c>
      <c r="C5593" s="50" t="s">
        <v>505</v>
      </c>
      <c r="D5593" s="50" t="s">
        <v>2186</v>
      </c>
      <c r="E5593" s="50" t="n">
        <v>2</v>
      </c>
      <c r="F5593" s="50" t="s">
        <v>2167</v>
      </c>
      <c r="G5593" s="54" t="n">
        <v>1166500</v>
      </c>
    </row>
    <row r="5594" customFormat="false" ht="15" hidden="false" customHeight="false" outlineLevel="0" collapsed="false">
      <c r="A5594" s="50" t="s">
        <v>1910</v>
      </c>
      <c r="B5594" s="51" t="n">
        <v>45997</v>
      </c>
      <c r="C5594" s="50" t="s">
        <v>505</v>
      </c>
      <c r="D5594" s="50" t="s">
        <v>2169</v>
      </c>
      <c r="E5594" s="50" t="n">
        <v>7</v>
      </c>
      <c r="F5594" s="50" t="s">
        <v>2167</v>
      </c>
      <c r="G5594" s="54" t="n">
        <v>4450600</v>
      </c>
    </row>
    <row r="5595" customFormat="false" ht="15" hidden="false" customHeight="false" outlineLevel="0" collapsed="false">
      <c r="A5595" s="50" t="s">
        <v>1911</v>
      </c>
      <c r="B5595" s="51" t="n">
        <v>45997</v>
      </c>
      <c r="C5595" s="50" t="s">
        <v>168</v>
      </c>
      <c r="D5595" s="50" t="s">
        <v>2183</v>
      </c>
      <c r="E5595" s="50" t="n">
        <v>7</v>
      </c>
      <c r="F5595" s="50" t="s">
        <v>2167</v>
      </c>
      <c r="G5595" s="54" t="n">
        <v>2736900</v>
      </c>
    </row>
    <row r="5596" customFormat="false" ht="15" hidden="false" customHeight="false" outlineLevel="0" collapsed="false">
      <c r="A5596" s="50" t="s">
        <v>1911</v>
      </c>
      <c r="B5596" s="51" t="n">
        <v>45997</v>
      </c>
      <c r="C5596" s="50" t="s">
        <v>168</v>
      </c>
      <c r="D5596" s="50" t="s">
        <v>2184</v>
      </c>
      <c r="E5596" s="50" t="n">
        <v>7</v>
      </c>
      <c r="F5596" s="50" t="s">
        <v>2167</v>
      </c>
      <c r="G5596" s="54" t="n">
        <v>4046100</v>
      </c>
    </row>
    <row r="5597" customFormat="false" ht="15" hidden="false" customHeight="false" outlineLevel="0" collapsed="false">
      <c r="A5597" s="50" t="s">
        <v>1911</v>
      </c>
      <c r="B5597" s="51" t="n">
        <v>45997</v>
      </c>
      <c r="C5597" s="50" t="s">
        <v>168</v>
      </c>
      <c r="D5597" s="50" t="s">
        <v>2181</v>
      </c>
      <c r="E5597" s="50" t="n">
        <v>3</v>
      </c>
      <c r="F5597" s="50" t="s">
        <v>2167</v>
      </c>
      <c r="G5597" s="54" t="n">
        <v>3381400</v>
      </c>
    </row>
    <row r="5598" customFormat="false" ht="15" hidden="false" customHeight="false" outlineLevel="0" collapsed="false">
      <c r="A5598" s="50" t="s">
        <v>1912</v>
      </c>
      <c r="B5598" s="51" t="n">
        <v>45997</v>
      </c>
      <c r="C5598" s="50" t="s">
        <v>193</v>
      </c>
      <c r="D5598" s="50" t="s">
        <v>2170</v>
      </c>
      <c r="E5598" s="50" t="n">
        <v>2</v>
      </c>
      <c r="F5598" s="50" t="s">
        <v>2171</v>
      </c>
      <c r="G5598" s="54" t="n">
        <v>15496200</v>
      </c>
    </row>
    <row r="5599" customFormat="false" ht="15" hidden="false" customHeight="false" outlineLevel="0" collapsed="false">
      <c r="A5599" s="50" t="s">
        <v>1912</v>
      </c>
      <c r="B5599" s="51" t="n">
        <v>45997</v>
      </c>
      <c r="C5599" s="50" t="s">
        <v>193</v>
      </c>
      <c r="D5599" s="50" t="s">
        <v>2184</v>
      </c>
      <c r="E5599" s="50" t="n">
        <v>2</v>
      </c>
      <c r="F5599" s="50" t="s">
        <v>2167</v>
      </c>
      <c r="G5599" s="54" t="n">
        <v>1102300</v>
      </c>
    </row>
    <row r="5600" customFormat="false" ht="15" hidden="false" customHeight="false" outlineLevel="0" collapsed="false">
      <c r="A5600" s="50" t="s">
        <v>1913</v>
      </c>
      <c r="B5600" s="51" t="n">
        <v>45997</v>
      </c>
      <c r="C5600" s="50" t="s">
        <v>174</v>
      </c>
      <c r="D5600" s="50" t="s">
        <v>2177</v>
      </c>
      <c r="E5600" s="50" t="n">
        <v>2</v>
      </c>
      <c r="F5600" s="50" t="s">
        <v>2174</v>
      </c>
      <c r="G5600" s="54" t="n">
        <v>2206000</v>
      </c>
    </row>
    <row r="5601" customFormat="false" ht="15" hidden="false" customHeight="false" outlineLevel="0" collapsed="false">
      <c r="A5601" s="50" t="s">
        <v>1913</v>
      </c>
      <c r="B5601" s="51" t="n">
        <v>45997</v>
      </c>
      <c r="C5601" s="50" t="s">
        <v>174</v>
      </c>
      <c r="D5601" s="50" t="s">
        <v>2178</v>
      </c>
      <c r="E5601" s="50" t="n">
        <v>4</v>
      </c>
      <c r="F5601" s="50" t="s">
        <v>2167</v>
      </c>
      <c r="G5601" s="54" t="n">
        <v>1880700</v>
      </c>
    </row>
    <row r="5602" customFormat="false" ht="15" hidden="false" customHeight="false" outlineLevel="0" collapsed="false">
      <c r="A5602" s="50" t="s">
        <v>1913</v>
      </c>
      <c r="B5602" s="51" t="n">
        <v>45997</v>
      </c>
      <c r="C5602" s="50" t="s">
        <v>174</v>
      </c>
      <c r="D5602" s="50" t="s">
        <v>2185</v>
      </c>
      <c r="E5602" s="50" t="n">
        <v>6</v>
      </c>
      <c r="F5602" s="50" t="s">
        <v>2174</v>
      </c>
      <c r="G5602" s="54" t="n">
        <v>4804600</v>
      </c>
    </row>
    <row r="5603" customFormat="false" ht="15" hidden="false" customHeight="false" outlineLevel="0" collapsed="false">
      <c r="A5603" s="50" t="s">
        <v>1913</v>
      </c>
      <c r="B5603" s="51" t="n">
        <v>45997</v>
      </c>
      <c r="C5603" s="50" t="s">
        <v>174</v>
      </c>
      <c r="D5603" s="50" t="s">
        <v>2168</v>
      </c>
      <c r="E5603" s="50" t="n">
        <v>3</v>
      </c>
      <c r="F5603" s="50" t="s">
        <v>2167</v>
      </c>
      <c r="G5603" s="54" t="n">
        <v>1259400</v>
      </c>
    </row>
    <row r="5604" customFormat="false" ht="15" hidden="false" customHeight="false" outlineLevel="0" collapsed="false">
      <c r="A5604" s="50" t="s">
        <v>1914</v>
      </c>
      <c r="B5604" s="51" t="n">
        <v>45997</v>
      </c>
      <c r="C5604" s="50" t="s">
        <v>170</v>
      </c>
      <c r="D5604" s="50" t="s">
        <v>2181</v>
      </c>
      <c r="E5604" s="50" t="n">
        <v>2</v>
      </c>
      <c r="F5604" s="50" t="s">
        <v>2167</v>
      </c>
      <c r="G5604" s="54" t="n">
        <v>2301800</v>
      </c>
    </row>
    <row r="5605" customFormat="false" ht="15" hidden="false" customHeight="false" outlineLevel="0" collapsed="false">
      <c r="A5605" s="50" t="s">
        <v>1914</v>
      </c>
      <c r="B5605" s="51" t="n">
        <v>45997</v>
      </c>
      <c r="C5605" s="50" t="s">
        <v>170</v>
      </c>
      <c r="D5605" s="50" t="s">
        <v>2183</v>
      </c>
      <c r="E5605" s="50" t="n">
        <v>2</v>
      </c>
      <c r="F5605" s="50" t="s">
        <v>2167</v>
      </c>
      <c r="G5605" s="54" t="n">
        <v>742900</v>
      </c>
    </row>
    <row r="5606" customFormat="false" ht="15" hidden="false" customHeight="false" outlineLevel="0" collapsed="false">
      <c r="A5606" s="50" t="s">
        <v>1915</v>
      </c>
      <c r="B5606" s="51" t="n">
        <v>45999</v>
      </c>
      <c r="C5606" s="50" t="s">
        <v>358</v>
      </c>
      <c r="D5606" s="50" t="s">
        <v>2183</v>
      </c>
      <c r="E5606" s="50" t="n">
        <v>2</v>
      </c>
      <c r="F5606" s="50" t="s">
        <v>2167</v>
      </c>
      <c r="G5606" s="54" t="n">
        <v>778700</v>
      </c>
    </row>
    <row r="5607" customFormat="false" ht="15" hidden="false" customHeight="false" outlineLevel="0" collapsed="false">
      <c r="A5607" s="50" t="s">
        <v>1915</v>
      </c>
      <c r="B5607" s="51" t="n">
        <v>45999</v>
      </c>
      <c r="C5607" s="50" t="s">
        <v>358</v>
      </c>
      <c r="D5607" s="50" t="s">
        <v>2184</v>
      </c>
      <c r="E5607" s="50" t="n">
        <v>1</v>
      </c>
      <c r="F5607" s="50" t="s">
        <v>2167</v>
      </c>
      <c r="G5607" s="54" t="n">
        <v>565700</v>
      </c>
    </row>
    <row r="5608" customFormat="false" ht="15" hidden="false" customHeight="false" outlineLevel="0" collapsed="false">
      <c r="A5608" s="50" t="s">
        <v>1916</v>
      </c>
      <c r="B5608" s="51" t="n">
        <v>45999</v>
      </c>
      <c r="C5608" s="50" t="s">
        <v>223</v>
      </c>
      <c r="D5608" s="50" t="s">
        <v>2180</v>
      </c>
      <c r="E5608" s="50" t="n">
        <v>3</v>
      </c>
      <c r="F5608" s="50" t="s">
        <v>2167</v>
      </c>
      <c r="G5608" s="54" t="n">
        <v>1363900</v>
      </c>
    </row>
    <row r="5609" customFormat="false" ht="15" hidden="false" customHeight="false" outlineLevel="0" collapsed="false">
      <c r="A5609" s="50" t="s">
        <v>1916</v>
      </c>
      <c r="B5609" s="51" t="n">
        <v>45999</v>
      </c>
      <c r="C5609" s="50" t="s">
        <v>223</v>
      </c>
      <c r="D5609" s="50" t="s">
        <v>2184</v>
      </c>
      <c r="E5609" s="50" t="n">
        <v>5</v>
      </c>
      <c r="F5609" s="50" t="s">
        <v>2167</v>
      </c>
      <c r="G5609" s="54" t="n">
        <v>2691600</v>
      </c>
    </row>
    <row r="5610" customFormat="false" ht="15" hidden="false" customHeight="false" outlineLevel="0" collapsed="false">
      <c r="A5610" s="50" t="s">
        <v>1916</v>
      </c>
      <c r="B5610" s="51" t="n">
        <v>45999</v>
      </c>
      <c r="C5610" s="50" t="s">
        <v>223</v>
      </c>
      <c r="D5610" s="50" t="s">
        <v>2188</v>
      </c>
      <c r="E5610" s="50" t="n">
        <v>5</v>
      </c>
      <c r="F5610" s="50" t="s">
        <v>2167</v>
      </c>
      <c r="G5610" s="54" t="n">
        <v>5012900</v>
      </c>
    </row>
    <row r="5611" customFormat="false" ht="15" hidden="false" customHeight="false" outlineLevel="0" collapsed="false">
      <c r="A5611" s="50" t="s">
        <v>1917</v>
      </c>
      <c r="B5611" s="51" t="n">
        <v>45999</v>
      </c>
      <c r="C5611" s="50" t="s">
        <v>174</v>
      </c>
      <c r="D5611" s="50" t="s">
        <v>2169</v>
      </c>
      <c r="E5611" s="50" t="n">
        <v>2</v>
      </c>
      <c r="F5611" s="50" t="s">
        <v>2167</v>
      </c>
      <c r="G5611" s="54" t="n">
        <v>1219700</v>
      </c>
    </row>
    <row r="5612" customFormat="false" ht="15" hidden="false" customHeight="false" outlineLevel="0" collapsed="false">
      <c r="A5612" s="50" t="s">
        <v>1917</v>
      </c>
      <c r="B5612" s="51" t="n">
        <v>45999</v>
      </c>
      <c r="C5612" s="50" t="s">
        <v>174</v>
      </c>
      <c r="D5612" s="50" t="s">
        <v>2178</v>
      </c>
      <c r="E5612" s="50" t="n">
        <v>1</v>
      </c>
      <c r="F5612" s="50" t="s">
        <v>2167</v>
      </c>
      <c r="G5612" s="54" t="n">
        <v>493300</v>
      </c>
    </row>
    <row r="5613" customFormat="false" ht="15" hidden="false" customHeight="false" outlineLevel="0" collapsed="false">
      <c r="A5613" s="50" t="s">
        <v>1918</v>
      </c>
      <c r="B5613" s="51" t="n">
        <v>45999</v>
      </c>
      <c r="C5613" s="50" t="s">
        <v>562</v>
      </c>
      <c r="D5613" s="50" t="s">
        <v>2176</v>
      </c>
      <c r="E5613" s="50" t="n">
        <v>8</v>
      </c>
      <c r="F5613" s="50" t="s">
        <v>2167</v>
      </c>
      <c r="G5613" s="54" t="n">
        <v>3403800</v>
      </c>
    </row>
    <row r="5614" customFormat="false" ht="15" hidden="false" customHeight="false" outlineLevel="0" collapsed="false">
      <c r="A5614" s="50" t="s">
        <v>1918</v>
      </c>
      <c r="B5614" s="51" t="n">
        <v>45999</v>
      </c>
      <c r="C5614" s="50" t="s">
        <v>562</v>
      </c>
      <c r="D5614" s="50" t="s">
        <v>2183</v>
      </c>
      <c r="E5614" s="50" t="n">
        <v>4</v>
      </c>
      <c r="F5614" s="50" t="s">
        <v>2167</v>
      </c>
      <c r="G5614" s="54" t="n">
        <v>1548800</v>
      </c>
    </row>
    <row r="5615" customFormat="false" ht="15" hidden="false" customHeight="false" outlineLevel="0" collapsed="false">
      <c r="A5615" s="50" t="s">
        <v>1918</v>
      </c>
      <c r="B5615" s="51" t="n">
        <v>45999</v>
      </c>
      <c r="C5615" s="50" t="s">
        <v>562</v>
      </c>
      <c r="D5615" s="50" t="s">
        <v>2186</v>
      </c>
      <c r="E5615" s="50" t="n">
        <v>8</v>
      </c>
      <c r="F5615" s="50" t="s">
        <v>2167</v>
      </c>
      <c r="G5615" s="54" t="n">
        <v>4544500</v>
      </c>
    </row>
    <row r="5616" customFormat="false" ht="15" hidden="false" customHeight="false" outlineLevel="0" collapsed="false">
      <c r="A5616" s="50" t="s">
        <v>1918</v>
      </c>
      <c r="B5616" s="51" t="n">
        <v>45999</v>
      </c>
      <c r="C5616" s="50" t="s">
        <v>562</v>
      </c>
      <c r="D5616" s="50" t="s">
        <v>2179</v>
      </c>
      <c r="E5616" s="50" t="n">
        <v>7</v>
      </c>
      <c r="F5616" s="50" t="s">
        <v>2174</v>
      </c>
      <c r="G5616" s="54" t="n">
        <v>9003100</v>
      </c>
    </row>
    <row r="5617" customFormat="false" ht="15" hidden="false" customHeight="false" outlineLevel="0" collapsed="false">
      <c r="A5617" s="50" t="s">
        <v>1918</v>
      </c>
      <c r="B5617" s="51" t="n">
        <v>45999</v>
      </c>
      <c r="C5617" s="50" t="s">
        <v>562</v>
      </c>
      <c r="D5617" s="50" t="s">
        <v>2166</v>
      </c>
      <c r="E5617" s="50" t="n">
        <v>6</v>
      </c>
      <c r="F5617" s="50" t="s">
        <v>2167</v>
      </c>
      <c r="G5617" s="54" t="n">
        <v>3209400</v>
      </c>
    </row>
    <row r="5618" customFormat="false" ht="15" hidden="false" customHeight="false" outlineLevel="0" collapsed="false">
      <c r="A5618" s="50" t="s">
        <v>1919</v>
      </c>
      <c r="B5618" s="51" t="n">
        <v>45999</v>
      </c>
      <c r="C5618" s="50" t="s">
        <v>197</v>
      </c>
      <c r="D5618" s="50" t="s">
        <v>2179</v>
      </c>
      <c r="E5618" s="50" t="n">
        <v>1</v>
      </c>
      <c r="F5618" s="50" t="s">
        <v>2174</v>
      </c>
      <c r="G5618" s="54" t="n">
        <v>1285700</v>
      </c>
    </row>
    <row r="5619" customFormat="false" ht="15" hidden="false" customHeight="false" outlineLevel="0" collapsed="false">
      <c r="A5619" s="50" t="s">
        <v>1919</v>
      </c>
      <c r="B5619" s="51" t="n">
        <v>45999</v>
      </c>
      <c r="C5619" s="50" t="s">
        <v>197</v>
      </c>
      <c r="D5619" s="50" t="s">
        <v>2176</v>
      </c>
      <c r="E5619" s="50" t="n">
        <v>8</v>
      </c>
      <c r="F5619" s="50" t="s">
        <v>2167</v>
      </c>
      <c r="G5619" s="54" t="n">
        <v>3364100</v>
      </c>
    </row>
    <row r="5620" customFormat="false" ht="15" hidden="false" customHeight="false" outlineLevel="0" collapsed="false">
      <c r="A5620" s="50" t="s">
        <v>1919</v>
      </c>
      <c r="B5620" s="51" t="n">
        <v>45999</v>
      </c>
      <c r="C5620" s="50" t="s">
        <v>197</v>
      </c>
      <c r="D5620" s="50" t="s">
        <v>2183</v>
      </c>
      <c r="E5620" s="50" t="n">
        <v>4</v>
      </c>
      <c r="F5620" s="50" t="s">
        <v>2167</v>
      </c>
      <c r="G5620" s="54" t="n">
        <v>1538000</v>
      </c>
    </row>
    <row r="5621" customFormat="false" ht="15" hidden="false" customHeight="false" outlineLevel="0" collapsed="false">
      <c r="A5621" s="50" t="s">
        <v>1920</v>
      </c>
      <c r="B5621" s="51" t="n">
        <v>45999</v>
      </c>
      <c r="C5621" s="50" t="s">
        <v>562</v>
      </c>
      <c r="D5621" s="50" t="s">
        <v>2176</v>
      </c>
      <c r="E5621" s="50" t="n">
        <v>3</v>
      </c>
      <c r="F5621" s="50" t="s">
        <v>2167</v>
      </c>
      <c r="G5621" s="54" t="n">
        <v>1257400</v>
      </c>
    </row>
    <row r="5622" customFormat="false" ht="15" hidden="false" customHeight="false" outlineLevel="0" collapsed="false">
      <c r="A5622" s="50" t="s">
        <v>1920</v>
      </c>
      <c r="B5622" s="51" t="n">
        <v>45999</v>
      </c>
      <c r="C5622" s="50" t="s">
        <v>562</v>
      </c>
      <c r="D5622" s="50" t="s">
        <v>2178</v>
      </c>
      <c r="E5622" s="50" t="n">
        <v>3</v>
      </c>
      <c r="F5622" s="50" t="s">
        <v>2167</v>
      </c>
      <c r="G5622" s="54" t="n">
        <v>1402600</v>
      </c>
    </row>
    <row r="5623" customFormat="false" ht="15" hidden="false" customHeight="false" outlineLevel="0" collapsed="false">
      <c r="A5623" s="50" t="s">
        <v>1920</v>
      </c>
      <c r="B5623" s="51" t="n">
        <v>45999</v>
      </c>
      <c r="C5623" s="50" t="s">
        <v>562</v>
      </c>
      <c r="D5623" s="50" t="s">
        <v>2184</v>
      </c>
      <c r="E5623" s="50" t="n">
        <v>8</v>
      </c>
      <c r="F5623" s="50" t="s">
        <v>2167</v>
      </c>
      <c r="G5623" s="54" t="n">
        <v>4607900</v>
      </c>
    </row>
    <row r="5624" customFormat="false" ht="15" hidden="false" customHeight="false" outlineLevel="0" collapsed="false">
      <c r="A5624" s="50" t="s">
        <v>1921</v>
      </c>
      <c r="B5624" s="51" t="n">
        <v>45999</v>
      </c>
      <c r="C5624" s="50" t="s">
        <v>280</v>
      </c>
      <c r="D5624" s="50" t="s">
        <v>2176</v>
      </c>
      <c r="E5624" s="50" t="n">
        <v>5</v>
      </c>
      <c r="F5624" s="50" t="s">
        <v>2167</v>
      </c>
      <c r="G5624" s="54" t="n">
        <v>2143700</v>
      </c>
    </row>
    <row r="5625" customFormat="false" ht="15" hidden="false" customHeight="false" outlineLevel="0" collapsed="false">
      <c r="A5625" s="50" t="s">
        <v>1921</v>
      </c>
      <c r="B5625" s="51" t="n">
        <v>45999</v>
      </c>
      <c r="C5625" s="50" t="s">
        <v>280</v>
      </c>
      <c r="D5625" s="50" t="s">
        <v>2175</v>
      </c>
      <c r="E5625" s="50" t="n">
        <v>2</v>
      </c>
      <c r="F5625" s="50" t="s">
        <v>2167</v>
      </c>
      <c r="G5625" s="54" t="n">
        <v>1230700</v>
      </c>
    </row>
    <row r="5626" customFormat="false" ht="15" hidden="false" customHeight="false" outlineLevel="0" collapsed="false">
      <c r="A5626" s="50" t="s">
        <v>1921</v>
      </c>
      <c r="B5626" s="51" t="n">
        <v>45999</v>
      </c>
      <c r="C5626" s="50" t="s">
        <v>280</v>
      </c>
      <c r="D5626" s="50" t="s">
        <v>2186</v>
      </c>
      <c r="E5626" s="50" t="n">
        <v>8</v>
      </c>
      <c r="F5626" s="50" t="s">
        <v>2167</v>
      </c>
      <c r="G5626" s="54" t="n">
        <v>4702000</v>
      </c>
    </row>
    <row r="5627" customFormat="false" ht="15" hidden="false" customHeight="false" outlineLevel="0" collapsed="false">
      <c r="A5627" s="50" t="s">
        <v>1921</v>
      </c>
      <c r="B5627" s="51" t="n">
        <v>45999</v>
      </c>
      <c r="C5627" s="50" t="s">
        <v>280</v>
      </c>
      <c r="D5627" s="50" t="s">
        <v>2180</v>
      </c>
      <c r="E5627" s="50" t="n">
        <v>4</v>
      </c>
      <c r="F5627" s="50" t="s">
        <v>2167</v>
      </c>
      <c r="G5627" s="54" t="n">
        <v>1850700</v>
      </c>
    </row>
    <row r="5628" customFormat="false" ht="15" hidden="false" customHeight="false" outlineLevel="0" collapsed="false">
      <c r="A5628" s="50" t="s">
        <v>1922</v>
      </c>
      <c r="B5628" s="51" t="n">
        <v>46000</v>
      </c>
      <c r="C5628" s="50" t="s">
        <v>278</v>
      </c>
      <c r="D5628" s="50" t="s">
        <v>2169</v>
      </c>
      <c r="E5628" s="50" t="n">
        <v>1</v>
      </c>
      <c r="F5628" s="50" t="s">
        <v>2167</v>
      </c>
      <c r="G5628" s="54" t="n">
        <v>603100</v>
      </c>
    </row>
    <row r="5629" customFormat="false" ht="15" hidden="false" customHeight="false" outlineLevel="0" collapsed="false">
      <c r="A5629" s="50" t="s">
        <v>1923</v>
      </c>
      <c r="B5629" s="51" t="n">
        <v>46000</v>
      </c>
      <c r="C5629" s="50" t="s">
        <v>188</v>
      </c>
      <c r="D5629" s="50" t="s">
        <v>2168</v>
      </c>
      <c r="E5629" s="50" t="n">
        <v>4</v>
      </c>
      <c r="F5629" s="50" t="s">
        <v>2167</v>
      </c>
      <c r="G5629" s="54" t="n">
        <v>1697200</v>
      </c>
    </row>
    <row r="5630" customFormat="false" ht="15" hidden="false" customHeight="false" outlineLevel="0" collapsed="false">
      <c r="A5630" s="50" t="s">
        <v>1923</v>
      </c>
      <c r="B5630" s="51" t="n">
        <v>46000</v>
      </c>
      <c r="C5630" s="50" t="s">
        <v>188</v>
      </c>
      <c r="D5630" s="50" t="s">
        <v>2180</v>
      </c>
      <c r="E5630" s="50" t="n">
        <v>5</v>
      </c>
      <c r="F5630" s="50" t="s">
        <v>2167</v>
      </c>
      <c r="G5630" s="54" t="n">
        <v>2265500</v>
      </c>
    </row>
    <row r="5631" customFormat="false" ht="15" hidden="false" customHeight="false" outlineLevel="0" collapsed="false">
      <c r="A5631" s="50" t="s">
        <v>1924</v>
      </c>
      <c r="B5631" s="51" t="n">
        <v>46000</v>
      </c>
      <c r="C5631" s="50" t="s">
        <v>349</v>
      </c>
      <c r="D5631" s="50" t="s">
        <v>2176</v>
      </c>
      <c r="E5631" s="50" t="n">
        <v>2</v>
      </c>
      <c r="F5631" s="50" t="s">
        <v>2167</v>
      </c>
      <c r="G5631" s="54" t="n">
        <v>837500</v>
      </c>
    </row>
    <row r="5632" customFormat="false" ht="15" hidden="false" customHeight="false" outlineLevel="0" collapsed="false">
      <c r="A5632" s="50" t="s">
        <v>1925</v>
      </c>
      <c r="B5632" s="51" t="n">
        <v>46000</v>
      </c>
      <c r="C5632" s="50" t="s">
        <v>329</v>
      </c>
      <c r="D5632" s="50" t="s">
        <v>2181</v>
      </c>
      <c r="E5632" s="50" t="n">
        <v>6</v>
      </c>
      <c r="F5632" s="50" t="s">
        <v>2167</v>
      </c>
      <c r="G5632" s="54" t="n">
        <v>7175500</v>
      </c>
    </row>
    <row r="5633" customFormat="false" ht="15" hidden="false" customHeight="false" outlineLevel="0" collapsed="false">
      <c r="A5633" s="50" t="s">
        <v>1925</v>
      </c>
      <c r="B5633" s="51" t="n">
        <v>46000</v>
      </c>
      <c r="C5633" s="50" t="s">
        <v>329</v>
      </c>
      <c r="D5633" s="50" t="s">
        <v>2176</v>
      </c>
      <c r="E5633" s="50" t="n">
        <v>1</v>
      </c>
      <c r="F5633" s="50" t="s">
        <v>2167</v>
      </c>
      <c r="G5633" s="54" t="n">
        <v>420800</v>
      </c>
    </row>
    <row r="5634" customFormat="false" ht="15" hidden="false" customHeight="false" outlineLevel="0" collapsed="false">
      <c r="A5634" s="50" t="s">
        <v>1925</v>
      </c>
      <c r="B5634" s="51" t="n">
        <v>46000</v>
      </c>
      <c r="C5634" s="50" t="s">
        <v>329</v>
      </c>
      <c r="D5634" s="50" t="s">
        <v>2180</v>
      </c>
      <c r="E5634" s="50" t="n">
        <v>5</v>
      </c>
      <c r="F5634" s="50" t="s">
        <v>2167</v>
      </c>
      <c r="G5634" s="54" t="n">
        <v>2270400</v>
      </c>
    </row>
    <row r="5635" customFormat="false" ht="15" hidden="false" customHeight="false" outlineLevel="0" collapsed="false">
      <c r="A5635" s="50" t="s">
        <v>1925</v>
      </c>
      <c r="B5635" s="51" t="n">
        <v>46000</v>
      </c>
      <c r="C5635" s="50" t="s">
        <v>329</v>
      </c>
      <c r="D5635" s="50" t="s">
        <v>2187</v>
      </c>
      <c r="E5635" s="50" t="n">
        <v>2</v>
      </c>
      <c r="F5635" s="50" t="s">
        <v>2167</v>
      </c>
      <c r="G5635" s="54" t="n">
        <v>709800</v>
      </c>
    </row>
    <row r="5636" customFormat="false" ht="15" hidden="false" customHeight="false" outlineLevel="0" collapsed="false">
      <c r="A5636" s="50" t="s">
        <v>1926</v>
      </c>
      <c r="B5636" s="51" t="n">
        <v>46000</v>
      </c>
      <c r="C5636" s="50" t="s">
        <v>168</v>
      </c>
      <c r="D5636" s="50" t="s">
        <v>2180</v>
      </c>
      <c r="E5636" s="50" t="n">
        <v>6</v>
      </c>
      <c r="F5636" s="50" t="s">
        <v>2167</v>
      </c>
      <c r="G5636" s="54" t="n">
        <v>2606100</v>
      </c>
    </row>
    <row r="5637" customFormat="false" ht="15" hidden="false" customHeight="false" outlineLevel="0" collapsed="false">
      <c r="A5637" s="50" t="s">
        <v>1926</v>
      </c>
      <c r="B5637" s="51" t="n">
        <v>46000</v>
      </c>
      <c r="C5637" s="50" t="s">
        <v>168</v>
      </c>
      <c r="D5637" s="50" t="s">
        <v>2183</v>
      </c>
      <c r="E5637" s="50" t="n">
        <v>8</v>
      </c>
      <c r="F5637" s="50" t="s">
        <v>2167</v>
      </c>
      <c r="G5637" s="54" t="n">
        <v>2990900</v>
      </c>
    </row>
    <row r="5638" customFormat="false" ht="15" hidden="false" customHeight="false" outlineLevel="0" collapsed="false">
      <c r="A5638" s="50" t="s">
        <v>1927</v>
      </c>
      <c r="B5638" s="51" t="n">
        <v>46000</v>
      </c>
      <c r="C5638" s="50" t="s">
        <v>174</v>
      </c>
      <c r="D5638" s="50" t="s">
        <v>2187</v>
      </c>
      <c r="E5638" s="50" t="n">
        <v>6</v>
      </c>
      <c r="F5638" s="50" t="s">
        <v>2167</v>
      </c>
      <c r="G5638" s="54" t="n">
        <v>2087900</v>
      </c>
    </row>
    <row r="5639" customFormat="false" ht="15" hidden="false" customHeight="false" outlineLevel="0" collapsed="false">
      <c r="A5639" s="50" t="s">
        <v>1927</v>
      </c>
      <c r="B5639" s="51" t="n">
        <v>46000</v>
      </c>
      <c r="C5639" s="50" t="s">
        <v>174</v>
      </c>
      <c r="D5639" s="50" t="s">
        <v>2181</v>
      </c>
      <c r="E5639" s="50" t="n">
        <v>5</v>
      </c>
      <c r="F5639" s="50" t="s">
        <v>2167</v>
      </c>
      <c r="G5639" s="54" t="n">
        <v>5807300</v>
      </c>
    </row>
    <row r="5640" customFormat="false" ht="15" hidden="false" customHeight="false" outlineLevel="0" collapsed="false">
      <c r="A5640" s="50" t="s">
        <v>1927</v>
      </c>
      <c r="B5640" s="51" t="n">
        <v>46000</v>
      </c>
      <c r="C5640" s="50" t="s">
        <v>174</v>
      </c>
      <c r="D5640" s="50" t="s">
        <v>2169</v>
      </c>
      <c r="E5640" s="50" t="n">
        <v>5</v>
      </c>
      <c r="F5640" s="50" t="s">
        <v>2167</v>
      </c>
      <c r="G5640" s="54" t="n">
        <v>3068600</v>
      </c>
    </row>
    <row r="5641" customFormat="false" ht="15" hidden="false" customHeight="false" outlineLevel="0" collapsed="false">
      <c r="A5641" s="50" t="s">
        <v>1927</v>
      </c>
      <c r="B5641" s="51" t="n">
        <v>46000</v>
      </c>
      <c r="C5641" s="50" t="s">
        <v>174</v>
      </c>
      <c r="D5641" s="50" t="s">
        <v>2175</v>
      </c>
      <c r="E5641" s="50" t="n">
        <v>5</v>
      </c>
      <c r="F5641" s="50" t="s">
        <v>2167</v>
      </c>
      <c r="G5641" s="54" t="n">
        <v>3224300</v>
      </c>
    </row>
    <row r="5642" customFormat="false" ht="15" hidden="false" customHeight="false" outlineLevel="0" collapsed="false">
      <c r="A5642" s="50" t="s">
        <v>1928</v>
      </c>
      <c r="B5642" s="51" t="n">
        <v>46000</v>
      </c>
      <c r="C5642" s="50" t="s">
        <v>223</v>
      </c>
      <c r="D5642" s="50" t="s">
        <v>2169</v>
      </c>
      <c r="E5642" s="50" t="n">
        <v>4</v>
      </c>
      <c r="F5642" s="50" t="s">
        <v>2167</v>
      </c>
      <c r="G5642" s="54" t="n">
        <v>2495400</v>
      </c>
    </row>
    <row r="5643" customFormat="false" ht="15" hidden="false" customHeight="false" outlineLevel="0" collapsed="false">
      <c r="A5643" s="50" t="s">
        <v>1928</v>
      </c>
      <c r="B5643" s="51" t="n">
        <v>46000</v>
      </c>
      <c r="C5643" s="50" t="s">
        <v>223</v>
      </c>
      <c r="D5643" s="50" t="s">
        <v>2172</v>
      </c>
      <c r="E5643" s="50" t="n">
        <v>5</v>
      </c>
      <c r="F5643" s="50" t="s">
        <v>2167</v>
      </c>
      <c r="G5643" s="54" t="n">
        <v>2659500</v>
      </c>
    </row>
    <row r="5644" customFormat="false" ht="15" hidden="false" customHeight="false" outlineLevel="0" collapsed="false">
      <c r="A5644" s="50" t="s">
        <v>1928</v>
      </c>
      <c r="B5644" s="51" t="n">
        <v>46000</v>
      </c>
      <c r="C5644" s="50" t="s">
        <v>223</v>
      </c>
      <c r="D5644" s="50" t="s">
        <v>2181</v>
      </c>
      <c r="E5644" s="50" t="n">
        <v>6</v>
      </c>
      <c r="F5644" s="50" t="s">
        <v>2167</v>
      </c>
      <c r="G5644" s="54" t="n">
        <v>6887300</v>
      </c>
    </row>
    <row r="5645" customFormat="false" ht="15" hidden="false" customHeight="false" outlineLevel="0" collapsed="false">
      <c r="A5645" s="50" t="s">
        <v>1929</v>
      </c>
      <c r="B5645" s="51" t="n">
        <v>46001</v>
      </c>
      <c r="C5645" s="50" t="s">
        <v>174</v>
      </c>
      <c r="D5645" s="50" t="s">
        <v>2166</v>
      </c>
      <c r="E5645" s="50" t="n">
        <v>1</v>
      </c>
      <c r="F5645" s="50" t="s">
        <v>2167</v>
      </c>
      <c r="G5645" s="54" t="n">
        <v>527400</v>
      </c>
    </row>
    <row r="5646" customFormat="false" ht="15" hidden="false" customHeight="false" outlineLevel="0" collapsed="false">
      <c r="A5646" s="50" t="s">
        <v>1929</v>
      </c>
      <c r="B5646" s="51" t="n">
        <v>46001</v>
      </c>
      <c r="C5646" s="50" t="s">
        <v>174</v>
      </c>
      <c r="D5646" s="50" t="s">
        <v>2179</v>
      </c>
      <c r="E5646" s="50" t="n">
        <v>4</v>
      </c>
      <c r="F5646" s="50" t="s">
        <v>2174</v>
      </c>
      <c r="G5646" s="54" t="n">
        <v>4968400</v>
      </c>
    </row>
    <row r="5647" customFormat="false" ht="15" hidden="false" customHeight="false" outlineLevel="0" collapsed="false">
      <c r="A5647" s="50" t="s">
        <v>1929</v>
      </c>
      <c r="B5647" s="51" t="n">
        <v>46001</v>
      </c>
      <c r="C5647" s="50" t="s">
        <v>174</v>
      </c>
      <c r="D5647" s="50" t="s">
        <v>2178</v>
      </c>
      <c r="E5647" s="50" t="n">
        <v>3</v>
      </c>
      <c r="F5647" s="50" t="s">
        <v>2167</v>
      </c>
      <c r="G5647" s="54" t="n">
        <v>1413000</v>
      </c>
    </row>
    <row r="5648" customFormat="false" ht="15" hidden="false" customHeight="false" outlineLevel="0" collapsed="false">
      <c r="A5648" s="50" t="s">
        <v>1930</v>
      </c>
      <c r="B5648" s="51" t="n">
        <v>46001</v>
      </c>
      <c r="C5648" s="50" t="s">
        <v>681</v>
      </c>
      <c r="D5648" s="50" t="s">
        <v>2169</v>
      </c>
      <c r="E5648" s="50" t="n">
        <v>6</v>
      </c>
      <c r="F5648" s="50" t="s">
        <v>2167</v>
      </c>
      <c r="G5648" s="54" t="n">
        <v>3758000</v>
      </c>
    </row>
    <row r="5649" customFormat="false" ht="15" hidden="false" customHeight="false" outlineLevel="0" collapsed="false">
      <c r="A5649" s="50" t="s">
        <v>1930</v>
      </c>
      <c r="B5649" s="51" t="n">
        <v>46001</v>
      </c>
      <c r="C5649" s="50" t="s">
        <v>681</v>
      </c>
      <c r="D5649" s="50" t="s">
        <v>2175</v>
      </c>
      <c r="E5649" s="50" t="n">
        <v>4</v>
      </c>
      <c r="F5649" s="50" t="s">
        <v>2167</v>
      </c>
      <c r="G5649" s="54" t="n">
        <v>2462300</v>
      </c>
    </row>
    <row r="5650" customFormat="false" ht="15" hidden="false" customHeight="false" outlineLevel="0" collapsed="false">
      <c r="A5650" s="50" t="s">
        <v>1931</v>
      </c>
      <c r="B5650" s="51" t="n">
        <v>46001</v>
      </c>
      <c r="C5650" s="50" t="s">
        <v>205</v>
      </c>
      <c r="D5650" s="50" t="s">
        <v>2166</v>
      </c>
      <c r="E5650" s="50" t="n">
        <v>1</v>
      </c>
      <c r="F5650" s="50" t="s">
        <v>2167</v>
      </c>
      <c r="G5650" s="54" t="n">
        <v>520600</v>
      </c>
    </row>
    <row r="5651" customFormat="false" ht="15" hidden="false" customHeight="false" outlineLevel="0" collapsed="false">
      <c r="A5651" s="50" t="s">
        <v>1931</v>
      </c>
      <c r="B5651" s="51" t="n">
        <v>46001</v>
      </c>
      <c r="C5651" s="50" t="s">
        <v>205</v>
      </c>
      <c r="D5651" s="50" t="s">
        <v>2176</v>
      </c>
      <c r="E5651" s="50" t="n">
        <v>5</v>
      </c>
      <c r="F5651" s="50" t="s">
        <v>2167</v>
      </c>
      <c r="G5651" s="54" t="n">
        <v>2169700</v>
      </c>
    </row>
    <row r="5652" customFormat="false" ht="15" hidden="false" customHeight="false" outlineLevel="0" collapsed="false">
      <c r="A5652" s="50" t="s">
        <v>1932</v>
      </c>
      <c r="B5652" s="51" t="n">
        <v>46001</v>
      </c>
      <c r="C5652" s="50" t="s">
        <v>814</v>
      </c>
      <c r="D5652" s="50" t="s">
        <v>2176</v>
      </c>
      <c r="E5652" s="50" t="n">
        <v>8</v>
      </c>
      <c r="F5652" s="50" t="s">
        <v>2167</v>
      </c>
      <c r="G5652" s="54" t="n">
        <v>3321600</v>
      </c>
    </row>
    <row r="5653" customFormat="false" ht="15" hidden="false" customHeight="false" outlineLevel="0" collapsed="false">
      <c r="A5653" s="50" t="s">
        <v>1932</v>
      </c>
      <c r="B5653" s="51" t="n">
        <v>46001</v>
      </c>
      <c r="C5653" s="50" t="s">
        <v>814</v>
      </c>
      <c r="D5653" s="50" t="s">
        <v>2166</v>
      </c>
      <c r="E5653" s="50" t="n">
        <v>4</v>
      </c>
      <c r="F5653" s="50" t="s">
        <v>2167</v>
      </c>
      <c r="G5653" s="54" t="n">
        <v>2240700</v>
      </c>
    </row>
    <row r="5654" customFormat="false" ht="15" hidden="false" customHeight="false" outlineLevel="0" collapsed="false">
      <c r="A5654" s="50" t="s">
        <v>1932</v>
      </c>
      <c r="B5654" s="51" t="n">
        <v>46001</v>
      </c>
      <c r="C5654" s="50" t="s">
        <v>814</v>
      </c>
      <c r="D5654" s="50" t="s">
        <v>2169</v>
      </c>
      <c r="E5654" s="50" t="n">
        <v>2</v>
      </c>
      <c r="F5654" s="50" t="s">
        <v>2167</v>
      </c>
      <c r="G5654" s="54" t="n">
        <v>1238400</v>
      </c>
    </row>
    <row r="5655" customFormat="false" ht="15" hidden="false" customHeight="false" outlineLevel="0" collapsed="false">
      <c r="A5655" s="50" t="s">
        <v>1932</v>
      </c>
      <c r="B5655" s="51" t="n">
        <v>46001</v>
      </c>
      <c r="C5655" s="50" t="s">
        <v>814</v>
      </c>
      <c r="D5655" s="50" t="s">
        <v>2172</v>
      </c>
      <c r="E5655" s="50" t="n">
        <v>8</v>
      </c>
      <c r="F5655" s="50" t="s">
        <v>2167</v>
      </c>
      <c r="G5655" s="54" t="n">
        <v>4011300</v>
      </c>
    </row>
    <row r="5656" customFormat="false" ht="15" hidden="false" customHeight="false" outlineLevel="0" collapsed="false">
      <c r="A5656" s="50" t="s">
        <v>1933</v>
      </c>
      <c r="B5656" s="51" t="n">
        <v>46001</v>
      </c>
      <c r="C5656" s="50" t="s">
        <v>286</v>
      </c>
      <c r="D5656" s="50" t="s">
        <v>2185</v>
      </c>
      <c r="E5656" s="50" t="n">
        <v>7</v>
      </c>
      <c r="F5656" s="50" t="s">
        <v>2174</v>
      </c>
      <c r="G5656" s="54" t="n">
        <v>5514400</v>
      </c>
    </row>
    <row r="5657" customFormat="false" ht="15" hidden="false" customHeight="false" outlineLevel="0" collapsed="false">
      <c r="A5657" s="50" t="s">
        <v>1933</v>
      </c>
      <c r="B5657" s="51" t="n">
        <v>46001</v>
      </c>
      <c r="C5657" s="50" t="s">
        <v>286</v>
      </c>
      <c r="D5657" s="50" t="s">
        <v>2172</v>
      </c>
      <c r="E5657" s="50" t="n">
        <v>2</v>
      </c>
      <c r="F5657" s="50" t="s">
        <v>2167</v>
      </c>
      <c r="G5657" s="54" t="n">
        <v>1036100</v>
      </c>
    </row>
    <row r="5658" customFormat="false" ht="15" hidden="false" customHeight="false" outlineLevel="0" collapsed="false">
      <c r="A5658" s="50" t="s">
        <v>1934</v>
      </c>
      <c r="B5658" s="51" t="n">
        <v>46001</v>
      </c>
      <c r="C5658" s="50" t="s">
        <v>218</v>
      </c>
      <c r="D5658" s="50" t="s">
        <v>2178</v>
      </c>
      <c r="E5658" s="50" t="n">
        <v>3</v>
      </c>
      <c r="F5658" s="50" t="s">
        <v>2167</v>
      </c>
      <c r="G5658" s="54" t="n">
        <v>1410000</v>
      </c>
    </row>
    <row r="5659" customFormat="false" ht="15" hidden="false" customHeight="false" outlineLevel="0" collapsed="false">
      <c r="A5659" s="50" t="s">
        <v>1934</v>
      </c>
      <c r="B5659" s="51" t="n">
        <v>46001</v>
      </c>
      <c r="C5659" s="50" t="s">
        <v>218</v>
      </c>
      <c r="D5659" s="50" t="s">
        <v>2184</v>
      </c>
      <c r="E5659" s="50" t="n">
        <v>5</v>
      </c>
      <c r="F5659" s="50" t="s">
        <v>2167</v>
      </c>
      <c r="G5659" s="54" t="n">
        <v>2751100</v>
      </c>
    </row>
    <row r="5660" customFormat="false" ht="15" hidden="false" customHeight="false" outlineLevel="0" collapsed="false">
      <c r="A5660" s="50" t="s">
        <v>1935</v>
      </c>
      <c r="B5660" s="51" t="n">
        <v>46002</v>
      </c>
      <c r="C5660" s="50" t="s">
        <v>286</v>
      </c>
      <c r="D5660" s="50" t="s">
        <v>2168</v>
      </c>
      <c r="E5660" s="50" t="n">
        <v>8</v>
      </c>
      <c r="F5660" s="50" t="s">
        <v>2167</v>
      </c>
      <c r="G5660" s="54" t="n">
        <v>3405300</v>
      </c>
    </row>
    <row r="5661" customFormat="false" ht="15" hidden="false" customHeight="false" outlineLevel="0" collapsed="false">
      <c r="A5661" s="50" t="s">
        <v>1935</v>
      </c>
      <c r="B5661" s="51" t="n">
        <v>46002</v>
      </c>
      <c r="C5661" s="50" t="s">
        <v>286</v>
      </c>
      <c r="D5661" s="50" t="s">
        <v>2180</v>
      </c>
      <c r="E5661" s="50" t="n">
        <v>4</v>
      </c>
      <c r="F5661" s="50" t="s">
        <v>2167</v>
      </c>
      <c r="G5661" s="54" t="n">
        <v>1862000</v>
      </c>
    </row>
    <row r="5662" customFormat="false" ht="15" hidden="false" customHeight="false" outlineLevel="0" collapsed="false">
      <c r="A5662" s="50" t="s">
        <v>1935</v>
      </c>
      <c r="B5662" s="51" t="n">
        <v>46002</v>
      </c>
      <c r="C5662" s="50" t="s">
        <v>286</v>
      </c>
      <c r="D5662" s="50" t="s">
        <v>2169</v>
      </c>
      <c r="E5662" s="50" t="n">
        <v>2</v>
      </c>
      <c r="F5662" s="50" t="s">
        <v>2167</v>
      </c>
      <c r="G5662" s="54" t="n">
        <v>1236300</v>
      </c>
    </row>
    <row r="5663" customFormat="false" ht="15" hidden="false" customHeight="false" outlineLevel="0" collapsed="false">
      <c r="A5663" s="50" t="s">
        <v>1935</v>
      </c>
      <c r="B5663" s="51" t="n">
        <v>46002</v>
      </c>
      <c r="C5663" s="50" t="s">
        <v>286</v>
      </c>
      <c r="D5663" s="50" t="s">
        <v>2166</v>
      </c>
      <c r="E5663" s="50" t="n">
        <v>6</v>
      </c>
      <c r="F5663" s="50" t="s">
        <v>2167</v>
      </c>
      <c r="G5663" s="54" t="n">
        <v>3348200</v>
      </c>
    </row>
    <row r="5664" customFormat="false" ht="15" hidden="false" customHeight="false" outlineLevel="0" collapsed="false">
      <c r="A5664" s="50" t="s">
        <v>1936</v>
      </c>
      <c r="B5664" s="51" t="n">
        <v>46002</v>
      </c>
      <c r="C5664" s="50" t="s">
        <v>168</v>
      </c>
      <c r="D5664" s="50" t="s">
        <v>2169</v>
      </c>
      <c r="E5664" s="50" t="n">
        <v>3</v>
      </c>
      <c r="F5664" s="50" t="s">
        <v>2167</v>
      </c>
      <c r="G5664" s="54" t="n">
        <v>1869100</v>
      </c>
    </row>
    <row r="5665" customFormat="false" ht="15" hidden="false" customHeight="false" outlineLevel="0" collapsed="false">
      <c r="A5665" s="50" t="s">
        <v>1936</v>
      </c>
      <c r="B5665" s="51" t="n">
        <v>46002</v>
      </c>
      <c r="C5665" s="50" t="s">
        <v>168</v>
      </c>
      <c r="D5665" s="50" t="s">
        <v>2172</v>
      </c>
      <c r="E5665" s="50" t="n">
        <v>2</v>
      </c>
      <c r="F5665" s="50" t="s">
        <v>2167</v>
      </c>
      <c r="G5665" s="54" t="n">
        <v>1081100</v>
      </c>
    </row>
    <row r="5666" customFormat="false" ht="15" hidden="false" customHeight="false" outlineLevel="0" collapsed="false">
      <c r="A5666" s="50" t="s">
        <v>1936</v>
      </c>
      <c r="B5666" s="51" t="n">
        <v>46002</v>
      </c>
      <c r="C5666" s="50" t="s">
        <v>168</v>
      </c>
      <c r="D5666" s="50" t="s">
        <v>2181</v>
      </c>
      <c r="E5666" s="50" t="n">
        <v>3</v>
      </c>
      <c r="F5666" s="50" t="s">
        <v>2167</v>
      </c>
      <c r="G5666" s="54" t="n">
        <v>3458300</v>
      </c>
    </row>
    <row r="5667" customFormat="false" ht="15" hidden="false" customHeight="false" outlineLevel="0" collapsed="false">
      <c r="A5667" s="50" t="s">
        <v>1936</v>
      </c>
      <c r="B5667" s="51" t="n">
        <v>46002</v>
      </c>
      <c r="C5667" s="50" t="s">
        <v>168</v>
      </c>
      <c r="D5667" s="50" t="s">
        <v>2186</v>
      </c>
      <c r="E5667" s="50" t="n">
        <v>4</v>
      </c>
      <c r="F5667" s="50" t="s">
        <v>2167</v>
      </c>
      <c r="G5667" s="54" t="n">
        <v>2419800</v>
      </c>
    </row>
    <row r="5668" customFormat="false" ht="15" hidden="false" customHeight="false" outlineLevel="0" collapsed="false">
      <c r="A5668" s="50" t="s">
        <v>1936</v>
      </c>
      <c r="B5668" s="51" t="n">
        <v>46002</v>
      </c>
      <c r="C5668" s="50" t="s">
        <v>168</v>
      </c>
      <c r="D5668" s="50" t="s">
        <v>2188</v>
      </c>
      <c r="E5668" s="50" t="n">
        <v>2</v>
      </c>
      <c r="F5668" s="50" t="s">
        <v>2167</v>
      </c>
      <c r="G5668" s="54" t="n">
        <v>1997400</v>
      </c>
    </row>
    <row r="5669" customFormat="false" ht="15" hidden="false" customHeight="false" outlineLevel="0" collapsed="false">
      <c r="A5669" s="50" t="s">
        <v>1937</v>
      </c>
      <c r="B5669" s="51" t="n">
        <v>46003</v>
      </c>
      <c r="C5669" s="50" t="s">
        <v>289</v>
      </c>
      <c r="D5669" s="50" t="s">
        <v>2178</v>
      </c>
      <c r="E5669" s="50" t="n">
        <v>7</v>
      </c>
      <c r="F5669" s="50" t="s">
        <v>2167</v>
      </c>
      <c r="G5669" s="54" t="n">
        <v>3389800</v>
      </c>
    </row>
    <row r="5670" customFormat="false" ht="15" hidden="false" customHeight="false" outlineLevel="0" collapsed="false">
      <c r="A5670" s="50" t="s">
        <v>1937</v>
      </c>
      <c r="B5670" s="51" t="n">
        <v>46003</v>
      </c>
      <c r="C5670" s="50" t="s">
        <v>289</v>
      </c>
      <c r="D5670" s="50" t="s">
        <v>2170</v>
      </c>
      <c r="E5670" s="50" t="n">
        <v>2</v>
      </c>
      <c r="F5670" s="50" t="s">
        <v>2171</v>
      </c>
      <c r="G5670" s="54" t="n">
        <v>15163700</v>
      </c>
    </row>
    <row r="5671" customFormat="false" ht="15" hidden="false" customHeight="false" outlineLevel="0" collapsed="false">
      <c r="A5671" s="50" t="s">
        <v>1937</v>
      </c>
      <c r="B5671" s="51" t="n">
        <v>46003</v>
      </c>
      <c r="C5671" s="50" t="s">
        <v>289</v>
      </c>
      <c r="D5671" s="50" t="s">
        <v>2180</v>
      </c>
      <c r="E5671" s="50" t="n">
        <v>3</v>
      </c>
      <c r="F5671" s="50" t="s">
        <v>2167</v>
      </c>
      <c r="G5671" s="54" t="n">
        <v>1320200</v>
      </c>
    </row>
    <row r="5672" customFormat="false" ht="15" hidden="false" customHeight="false" outlineLevel="0" collapsed="false">
      <c r="A5672" s="50" t="s">
        <v>1938</v>
      </c>
      <c r="B5672" s="51" t="n">
        <v>46003</v>
      </c>
      <c r="C5672" s="50" t="s">
        <v>382</v>
      </c>
      <c r="D5672" s="50" t="s">
        <v>2186</v>
      </c>
      <c r="E5672" s="50" t="n">
        <v>5</v>
      </c>
      <c r="F5672" s="50" t="s">
        <v>2167</v>
      </c>
      <c r="G5672" s="54" t="n">
        <v>2942800</v>
      </c>
    </row>
    <row r="5673" customFormat="false" ht="15" hidden="false" customHeight="false" outlineLevel="0" collapsed="false">
      <c r="A5673" s="50" t="s">
        <v>1938</v>
      </c>
      <c r="B5673" s="51" t="n">
        <v>46003</v>
      </c>
      <c r="C5673" s="50" t="s">
        <v>382</v>
      </c>
      <c r="D5673" s="50" t="s">
        <v>2178</v>
      </c>
      <c r="E5673" s="50" t="n">
        <v>8</v>
      </c>
      <c r="F5673" s="50" t="s">
        <v>2167</v>
      </c>
      <c r="G5673" s="54" t="n">
        <v>3719400</v>
      </c>
    </row>
    <row r="5674" customFormat="false" ht="15" hidden="false" customHeight="false" outlineLevel="0" collapsed="false">
      <c r="A5674" s="50" t="s">
        <v>1938</v>
      </c>
      <c r="B5674" s="51" t="n">
        <v>46003</v>
      </c>
      <c r="C5674" s="50" t="s">
        <v>382</v>
      </c>
      <c r="D5674" s="50" t="s">
        <v>2176</v>
      </c>
      <c r="E5674" s="50" t="n">
        <v>3</v>
      </c>
      <c r="F5674" s="50" t="s">
        <v>2167</v>
      </c>
      <c r="G5674" s="54" t="n">
        <v>1249000</v>
      </c>
    </row>
    <row r="5675" customFormat="false" ht="15" hidden="false" customHeight="false" outlineLevel="0" collapsed="false">
      <c r="A5675" s="50" t="s">
        <v>1939</v>
      </c>
      <c r="B5675" s="51" t="n">
        <v>46003</v>
      </c>
      <c r="C5675" s="50" t="s">
        <v>376</v>
      </c>
      <c r="D5675" s="50" t="s">
        <v>2178</v>
      </c>
      <c r="E5675" s="50" t="n">
        <v>1</v>
      </c>
      <c r="F5675" s="50" t="s">
        <v>2167</v>
      </c>
      <c r="G5675" s="54" t="n">
        <v>471100</v>
      </c>
    </row>
    <row r="5676" customFormat="false" ht="15" hidden="false" customHeight="false" outlineLevel="0" collapsed="false">
      <c r="A5676" s="50" t="s">
        <v>1940</v>
      </c>
      <c r="B5676" s="51" t="n">
        <v>46003</v>
      </c>
      <c r="C5676" s="50" t="s">
        <v>234</v>
      </c>
      <c r="D5676" s="50" t="s">
        <v>2166</v>
      </c>
      <c r="E5676" s="50" t="n">
        <v>8</v>
      </c>
      <c r="F5676" s="50" t="s">
        <v>2167</v>
      </c>
      <c r="G5676" s="54" t="n">
        <v>4422600</v>
      </c>
    </row>
    <row r="5677" customFormat="false" ht="15" hidden="false" customHeight="false" outlineLevel="0" collapsed="false">
      <c r="A5677" s="50" t="s">
        <v>1940</v>
      </c>
      <c r="B5677" s="51" t="n">
        <v>46003</v>
      </c>
      <c r="C5677" s="50" t="s">
        <v>234</v>
      </c>
      <c r="D5677" s="50" t="s">
        <v>2176</v>
      </c>
      <c r="E5677" s="50" t="n">
        <v>5</v>
      </c>
      <c r="F5677" s="50" t="s">
        <v>2167</v>
      </c>
      <c r="G5677" s="54" t="n">
        <v>2168400</v>
      </c>
    </row>
    <row r="5678" customFormat="false" ht="15" hidden="false" customHeight="false" outlineLevel="0" collapsed="false">
      <c r="A5678" s="50" t="s">
        <v>1941</v>
      </c>
      <c r="B5678" s="51" t="n">
        <v>46003</v>
      </c>
      <c r="C5678" s="50" t="s">
        <v>209</v>
      </c>
      <c r="D5678" s="50" t="s">
        <v>2181</v>
      </c>
      <c r="E5678" s="50" t="n">
        <v>1</v>
      </c>
      <c r="F5678" s="50" t="s">
        <v>2167</v>
      </c>
      <c r="G5678" s="54" t="n">
        <v>1161000</v>
      </c>
    </row>
    <row r="5679" customFormat="false" ht="15" hidden="false" customHeight="false" outlineLevel="0" collapsed="false">
      <c r="A5679" s="50" t="s">
        <v>1941</v>
      </c>
      <c r="B5679" s="51" t="n">
        <v>46003</v>
      </c>
      <c r="C5679" s="50" t="s">
        <v>209</v>
      </c>
      <c r="D5679" s="50" t="s">
        <v>2176</v>
      </c>
      <c r="E5679" s="50" t="n">
        <v>4</v>
      </c>
      <c r="F5679" s="50" t="s">
        <v>2167</v>
      </c>
      <c r="G5679" s="54" t="n">
        <v>1669400</v>
      </c>
    </row>
    <row r="5680" customFormat="false" ht="15" hidden="false" customHeight="false" outlineLevel="0" collapsed="false">
      <c r="A5680" s="50" t="s">
        <v>1941</v>
      </c>
      <c r="B5680" s="51" t="n">
        <v>46003</v>
      </c>
      <c r="C5680" s="50" t="s">
        <v>209</v>
      </c>
      <c r="D5680" s="50" t="s">
        <v>2186</v>
      </c>
      <c r="E5680" s="50" t="n">
        <v>1</v>
      </c>
      <c r="F5680" s="50" t="s">
        <v>2167</v>
      </c>
      <c r="G5680" s="54" t="n">
        <v>570300</v>
      </c>
    </row>
    <row r="5681" customFormat="false" ht="15" hidden="false" customHeight="false" outlineLevel="0" collapsed="false">
      <c r="A5681" s="50" t="s">
        <v>1941</v>
      </c>
      <c r="B5681" s="51" t="n">
        <v>46003</v>
      </c>
      <c r="C5681" s="50" t="s">
        <v>209</v>
      </c>
      <c r="D5681" s="50" t="s">
        <v>2172</v>
      </c>
      <c r="E5681" s="50" t="n">
        <v>1</v>
      </c>
      <c r="F5681" s="50" t="s">
        <v>2167</v>
      </c>
      <c r="G5681" s="54" t="n">
        <v>519700</v>
      </c>
    </row>
    <row r="5682" customFormat="false" ht="15" hidden="false" customHeight="false" outlineLevel="0" collapsed="false">
      <c r="A5682" s="50" t="s">
        <v>1942</v>
      </c>
      <c r="B5682" s="51" t="n">
        <v>46003</v>
      </c>
      <c r="C5682" s="50" t="s">
        <v>358</v>
      </c>
      <c r="D5682" s="50" t="s">
        <v>2168</v>
      </c>
      <c r="E5682" s="50" t="n">
        <v>4</v>
      </c>
      <c r="F5682" s="50" t="s">
        <v>2167</v>
      </c>
      <c r="G5682" s="54" t="n">
        <v>1701300</v>
      </c>
    </row>
    <row r="5683" customFormat="false" ht="15" hidden="false" customHeight="false" outlineLevel="0" collapsed="false">
      <c r="A5683" s="50" t="s">
        <v>1942</v>
      </c>
      <c r="B5683" s="51" t="n">
        <v>46003</v>
      </c>
      <c r="C5683" s="50" t="s">
        <v>358</v>
      </c>
      <c r="D5683" s="50" t="s">
        <v>2176</v>
      </c>
      <c r="E5683" s="50" t="n">
        <v>4</v>
      </c>
      <c r="F5683" s="50" t="s">
        <v>2167</v>
      </c>
      <c r="G5683" s="54" t="n">
        <v>1639300</v>
      </c>
    </row>
    <row r="5684" customFormat="false" ht="15" hidden="false" customHeight="false" outlineLevel="0" collapsed="false">
      <c r="A5684" s="50" t="s">
        <v>1943</v>
      </c>
      <c r="B5684" s="51" t="n">
        <v>46004</v>
      </c>
      <c r="C5684" s="50" t="s">
        <v>166</v>
      </c>
      <c r="D5684" s="50" t="s">
        <v>2186</v>
      </c>
      <c r="E5684" s="50" t="n">
        <v>4</v>
      </c>
      <c r="F5684" s="50" t="s">
        <v>2167</v>
      </c>
      <c r="G5684" s="54" t="n">
        <v>2275400</v>
      </c>
    </row>
    <row r="5685" customFormat="false" ht="15" hidden="false" customHeight="false" outlineLevel="0" collapsed="false">
      <c r="A5685" s="50" t="s">
        <v>1943</v>
      </c>
      <c r="B5685" s="51" t="n">
        <v>46004</v>
      </c>
      <c r="C5685" s="50" t="s">
        <v>166</v>
      </c>
      <c r="D5685" s="50" t="s">
        <v>2175</v>
      </c>
      <c r="E5685" s="50" t="n">
        <v>3</v>
      </c>
      <c r="F5685" s="50" t="s">
        <v>2167</v>
      </c>
      <c r="G5685" s="54" t="n">
        <v>1980000</v>
      </c>
    </row>
    <row r="5686" customFormat="false" ht="15" hidden="false" customHeight="false" outlineLevel="0" collapsed="false">
      <c r="A5686" s="50" t="s">
        <v>1943</v>
      </c>
      <c r="B5686" s="51" t="n">
        <v>46004</v>
      </c>
      <c r="C5686" s="50" t="s">
        <v>166</v>
      </c>
      <c r="D5686" s="50" t="s">
        <v>2178</v>
      </c>
      <c r="E5686" s="50" t="n">
        <v>3</v>
      </c>
      <c r="F5686" s="50" t="s">
        <v>2167</v>
      </c>
      <c r="G5686" s="54" t="n">
        <v>1472800</v>
      </c>
    </row>
    <row r="5687" customFormat="false" ht="15" hidden="false" customHeight="false" outlineLevel="0" collapsed="false">
      <c r="A5687" s="50" t="s">
        <v>1944</v>
      </c>
      <c r="B5687" s="51" t="n">
        <v>46004</v>
      </c>
      <c r="C5687" s="50" t="s">
        <v>367</v>
      </c>
      <c r="D5687" s="50" t="s">
        <v>2177</v>
      </c>
      <c r="E5687" s="50" t="n">
        <v>8</v>
      </c>
      <c r="F5687" s="50" t="s">
        <v>2174</v>
      </c>
      <c r="G5687" s="54" t="n">
        <v>8824400</v>
      </c>
    </row>
    <row r="5688" customFormat="false" ht="15" hidden="false" customHeight="false" outlineLevel="0" collapsed="false">
      <c r="A5688" s="50" t="s">
        <v>1944</v>
      </c>
      <c r="B5688" s="51" t="n">
        <v>46004</v>
      </c>
      <c r="C5688" s="50" t="s">
        <v>367</v>
      </c>
      <c r="D5688" s="50" t="s">
        <v>2178</v>
      </c>
      <c r="E5688" s="50" t="n">
        <v>1</v>
      </c>
      <c r="F5688" s="50" t="s">
        <v>2167</v>
      </c>
      <c r="G5688" s="54" t="n">
        <v>471800</v>
      </c>
    </row>
    <row r="5689" customFormat="false" ht="15" hidden="false" customHeight="false" outlineLevel="0" collapsed="false">
      <c r="A5689" s="50" t="s">
        <v>1944</v>
      </c>
      <c r="B5689" s="51" t="n">
        <v>46004</v>
      </c>
      <c r="C5689" s="50" t="s">
        <v>367</v>
      </c>
      <c r="D5689" s="50" t="s">
        <v>2183</v>
      </c>
      <c r="E5689" s="50" t="n">
        <v>2</v>
      </c>
      <c r="F5689" s="50" t="s">
        <v>2167</v>
      </c>
      <c r="G5689" s="54" t="n">
        <v>763200</v>
      </c>
    </row>
    <row r="5690" customFormat="false" ht="15" hidden="false" customHeight="false" outlineLevel="0" collapsed="false">
      <c r="A5690" s="50" t="s">
        <v>1944</v>
      </c>
      <c r="B5690" s="51" t="n">
        <v>46004</v>
      </c>
      <c r="C5690" s="50" t="s">
        <v>367</v>
      </c>
      <c r="D5690" s="50" t="s">
        <v>2184</v>
      </c>
      <c r="E5690" s="50" t="n">
        <v>2</v>
      </c>
      <c r="F5690" s="50" t="s">
        <v>2167</v>
      </c>
      <c r="G5690" s="54" t="n">
        <v>1139200</v>
      </c>
    </row>
    <row r="5691" customFormat="false" ht="15" hidden="false" customHeight="false" outlineLevel="0" collapsed="false">
      <c r="A5691" s="50" t="s">
        <v>1944</v>
      </c>
      <c r="B5691" s="51" t="n">
        <v>46004</v>
      </c>
      <c r="C5691" s="50" t="s">
        <v>367</v>
      </c>
      <c r="D5691" s="50" t="s">
        <v>2173</v>
      </c>
      <c r="E5691" s="50" t="n">
        <v>3</v>
      </c>
      <c r="F5691" s="50" t="s">
        <v>2174</v>
      </c>
      <c r="G5691" s="54" t="n">
        <v>2317500</v>
      </c>
    </row>
    <row r="5692" customFormat="false" ht="15" hidden="false" customHeight="false" outlineLevel="0" collapsed="false">
      <c r="A5692" s="50" t="s">
        <v>1944</v>
      </c>
      <c r="B5692" s="51" t="n">
        <v>46004</v>
      </c>
      <c r="C5692" s="50" t="s">
        <v>367</v>
      </c>
      <c r="D5692" s="50" t="s">
        <v>2170</v>
      </c>
      <c r="E5692" s="50" t="n">
        <v>2</v>
      </c>
      <c r="F5692" s="50" t="s">
        <v>2171</v>
      </c>
      <c r="G5692" s="54" t="n">
        <v>15570900</v>
      </c>
    </row>
    <row r="5693" customFormat="false" ht="15" hidden="false" customHeight="false" outlineLevel="0" collapsed="false">
      <c r="A5693" s="50" t="s">
        <v>1945</v>
      </c>
      <c r="B5693" s="51" t="n">
        <v>46004</v>
      </c>
      <c r="C5693" s="50" t="s">
        <v>1147</v>
      </c>
      <c r="D5693" s="50" t="s">
        <v>2180</v>
      </c>
      <c r="E5693" s="50" t="n">
        <v>6</v>
      </c>
      <c r="F5693" s="50" t="s">
        <v>2167</v>
      </c>
      <c r="G5693" s="54" t="n">
        <v>2652300</v>
      </c>
    </row>
    <row r="5694" customFormat="false" ht="15" hidden="false" customHeight="false" outlineLevel="0" collapsed="false">
      <c r="A5694" s="50" t="s">
        <v>1945</v>
      </c>
      <c r="B5694" s="51" t="n">
        <v>46004</v>
      </c>
      <c r="C5694" s="50" t="s">
        <v>1147</v>
      </c>
      <c r="D5694" s="50" t="s">
        <v>2186</v>
      </c>
      <c r="E5694" s="50" t="n">
        <v>3</v>
      </c>
      <c r="F5694" s="50" t="s">
        <v>2167</v>
      </c>
      <c r="G5694" s="54" t="n">
        <v>1816400</v>
      </c>
    </row>
    <row r="5695" customFormat="false" ht="15" hidden="false" customHeight="false" outlineLevel="0" collapsed="false">
      <c r="A5695" s="50" t="s">
        <v>1945</v>
      </c>
      <c r="B5695" s="51" t="n">
        <v>46004</v>
      </c>
      <c r="C5695" s="50" t="s">
        <v>1147</v>
      </c>
      <c r="D5695" s="50" t="s">
        <v>2172</v>
      </c>
      <c r="E5695" s="50" t="n">
        <v>7</v>
      </c>
      <c r="F5695" s="50" t="s">
        <v>2167</v>
      </c>
      <c r="G5695" s="54" t="n">
        <v>3739800</v>
      </c>
    </row>
    <row r="5696" customFormat="false" ht="15" hidden="false" customHeight="false" outlineLevel="0" collapsed="false">
      <c r="A5696" s="50" t="s">
        <v>1946</v>
      </c>
      <c r="B5696" s="51" t="n">
        <v>46004</v>
      </c>
      <c r="C5696" s="50" t="s">
        <v>188</v>
      </c>
      <c r="D5696" s="50" t="s">
        <v>2183</v>
      </c>
      <c r="E5696" s="50" t="n">
        <v>3</v>
      </c>
      <c r="F5696" s="50" t="s">
        <v>2167</v>
      </c>
      <c r="G5696" s="54" t="n">
        <v>1117600</v>
      </c>
    </row>
    <row r="5697" customFormat="false" ht="15" hidden="false" customHeight="false" outlineLevel="0" collapsed="false">
      <c r="A5697" s="50" t="s">
        <v>1946</v>
      </c>
      <c r="B5697" s="51" t="n">
        <v>46004</v>
      </c>
      <c r="C5697" s="50" t="s">
        <v>188</v>
      </c>
      <c r="D5697" s="50" t="s">
        <v>2179</v>
      </c>
      <c r="E5697" s="50" t="n">
        <v>8</v>
      </c>
      <c r="F5697" s="50" t="s">
        <v>2174</v>
      </c>
      <c r="G5697" s="54" t="n">
        <v>10145100</v>
      </c>
    </row>
    <row r="5698" customFormat="false" ht="15" hidden="false" customHeight="false" outlineLevel="0" collapsed="false">
      <c r="A5698" s="50" t="s">
        <v>1946</v>
      </c>
      <c r="B5698" s="51" t="n">
        <v>46004</v>
      </c>
      <c r="C5698" s="50" t="s">
        <v>188</v>
      </c>
      <c r="D5698" s="50" t="s">
        <v>2170</v>
      </c>
      <c r="E5698" s="50" t="n">
        <v>2</v>
      </c>
      <c r="F5698" s="50" t="s">
        <v>2171</v>
      </c>
      <c r="G5698" s="54" t="n">
        <v>15483900</v>
      </c>
    </row>
    <row r="5699" customFormat="false" ht="15" hidden="false" customHeight="false" outlineLevel="0" collapsed="false">
      <c r="A5699" s="50" t="s">
        <v>1946</v>
      </c>
      <c r="B5699" s="51" t="n">
        <v>46004</v>
      </c>
      <c r="C5699" s="50" t="s">
        <v>188</v>
      </c>
      <c r="D5699" s="50" t="s">
        <v>2187</v>
      </c>
      <c r="E5699" s="50" t="n">
        <v>2</v>
      </c>
      <c r="F5699" s="50" t="s">
        <v>2167</v>
      </c>
      <c r="G5699" s="54" t="n">
        <v>678500</v>
      </c>
    </row>
    <row r="5700" customFormat="false" ht="15" hidden="false" customHeight="false" outlineLevel="0" collapsed="false">
      <c r="A5700" s="50" t="s">
        <v>1946</v>
      </c>
      <c r="B5700" s="51" t="n">
        <v>46004</v>
      </c>
      <c r="C5700" s="50" t="s">
        <v>188</v>
      </c>
      <c r="D5700" s="50" t="s">
        <v>2184</v>
      </c>
      <c r="E5700" s="50" t="n">
        <v>4</v>
      </c>
      <c r="F5700" s="50" t="s">
        <v>2167</v>
      </c>
      <c r="G5700" s="54" t="n">
        <v>2305600</v>
      </c>
    </row>
    <row r="5701" customFormat="false" ht="15" hidden="false" customHeight="false" outlineLevel="0" collapsed="false">
      <c r="A5701" s="50" t="s">
        <v>1946</v>
      </c>
      <c r="B5701" s="51" t="n">
        <v>46004</v>
      </c>
      <c r="C5701" s="50" t="s">
        <v>188</v>
      </c>
      <c r="D5701" s="50" t="s">
        <v>2181</v>
      </c>
      <c r="E5701" s="50" t="n">
        <v>7</v>
      </c>
      <c r="F5701" s="50" t="s">
        <v>2167</v>
      </c>
      <c r="G5701" s="54" t="n">
        <v>8144900</v>
      </c>
    </row>
    <row r="5702" customFormat="false" ht="15" hidden="false" customHeight="false" outlineLevel="0" collapsed="false">
      <c r="A5702" s="50" t="s">
        <v>1947</v>
      </c>
      <c r="B5702" s="51" t="n">
        <v>46004</v>
      </c>
      <c r="C5702" s="50" t="s">
        <v>293</v>
      </c>
      <c r="D5702" s="50" t="s">
        <v>2176</v>
      </c>
      <c r="E5702" s="50" t="n">
        <v>4</v>
      </c>
      <c r="F5702" s="50" t="s">
        <v>2167</v>
      </c>
      <c r="G5702" s="54" t="n">
        <v>1639900</v>
      </c>
    </row>
    <row r="5703" customFormat="false" ht="15" hidden="false" customHeight="false" outlineLevel="0" collapsed="false">
      <c r="A5703" s="50" t="s">
        <v>1947</v>
      </c>
      <c r="B5703" s="51" t="n">
        <v>46004</v>
      </c>
      <c r="C5703" s="50" t="s">
        <v>293</v>
      </c>
      <c r="D5703" s="50" t="s">
        <v>2169</v>
      </c>
      <c r="E5703" s="50" t="n">
        <v>1</v>
      </c>
      <c r="F5703" s="50" t="s">
        <v>2167</v>
      </c>
      <c r="G5703" s="54" t="n">
        <v>628000</v>
      </c>
    </row>
    <row r="5704" customFormat="false" ht="15" hidden="false" customHeight="false" outlineLevel="0" collapsed="false">
      <c r="A5704" s="50" t="s">
        <v>1947</v>
      </c>
      <c r="B5704" s="51" t="n">
        <v>46004</v>
      </c>
      <c r="C5704" s="50" t="s">
        <v>293</v>
      </c>
      <c r="D5704" s="50" t="s">
        <v>2184</v>
      </c>
      <c r="E5704" s="50" t="n">
        <v>5</v>
      </c>
      <c r="F5704" s="50" t="s">
        <v>2167</v>
      </c>
      <c r="G5704" s="54" t="n">
        <v>2905600</v>
      </c>
    </row>
    <row r="5705" customFormat="false" ht="15" hidden="false" customHeight="false" outlineLevel="0" collapsed="false">
      <c r="A5705" s="50" t="s">
        <v>1947</v>
      </c>
      <c r="B5705" s="51" t="n">
        <v>46004</v>
      </c>
      <c r="C5705" s="50" t="s">
        <v>293</v>
      </c>
      <c r="D5705" s="50" t="s">
        <v>2166</v>
      </c>
      <c r="E5705" s="50" t="n">
        <v>4</v>
      </c>
      <c r="F5705" s="50" t="s">
        <v>2167</v>
      </c>
      <c r="G5705" s="54" t="n">
        <v>2174500</v>
      </c>
    </row>
    <row r="5706" customFormat="false" ht="15" hidden="false" customHeight="false" outlineLevel="0" collapsed="false">
      <c r="A5706" s="50" t="s">
        <v>1948</v>
      </c>
      <c r="B5706" s="51" t="n">
        <v>46006</v>
      </c>
      <c r="C5706" s="50" t="s">
        <v>271</v>
      </c>
      <c r="D5706" s="50" t="s">
        <v>2168</v>
      </c>
      <c r="E5706" s="50" t="n">
        <v>4</v>
      </c>
      <c r="F5706" s="50" t="s">
        <v>2167</v>
      </c>
      <c r="G5706" s="54" t="n">
        <v>1651300</v>
      </c>
    </row>
    <row r="5707" customFormat="false" ht="15" hidden="false" customHeight="false" outlineLevel="0" collapsed="false">
      <c r="A5707" s="50" t="s">
        <v>1948</v>
      </c>
      <c r="B5707" s="51" t="n">
        <v>46006</v>
      </c>
      <c r="C5707" s="50" t="s">
        <v>271</v>
      </c>
      <c r="D5707" s="50" t="s">
        <v>2176</v>
      </c>
      <c r="E5707" s="50" t="n">
        <v>2</v>
      </c>
      <c r="F5707" s="50" t="s">
        <v>2167</v>
      </c>
      <c r="G5707" s="54" t="n">
        <v>865600</v>
      </c>
    </row>
    <row r="5708" customFormat="false" ht="15" hidden="false" customHeight="false" outlineLevel="0" collapsed="false">
      <c r="A5708" s="50" t="s">
        <v>1948</v>
      </c>
      <c r="B5708" s="51" t="n">
        <v>46006</v>
      </c>
      <c r="C5708" s="50" t="s">
        <v>271</v>
      </c>
      <c r="D5708" s="50" t="s">
        <v>2182</v>
      </c>
      <c r="E5708" s="50" t="n">
        <v>2</v>
      </c>
      <c r="F5708" s="50" t="s">
        <v>2174</v>
      </c>
      <c r="G5708" s="54" t="n">
        <v>1826700</v>
      </c>
    </row>
    <row r="5709" customFormat="false" ht="15" hidden="false" customHeight="false" outlineLevel="0" collapsed="false">
      <c r="A5709" s="50" t="s">
        <v>1949</v>
      </c>
      <c r="B5709" s="51" t="n">
        <v>46006</v>
      </c>
      <c r="C5709" s="50" t="s">
        <v>174</v>
      </c>
      <c r="D5709" s="50" t="s">
        <v>2182</v>
      </c>
      <c r="E5709" s="50" t="n">
        <v>8</v>
      </c>
      <c r="F5709" s="50" t="s">
        <v>2174</v>
      </c>
      <c r="G5709" s="54" t="n">
        <v>7335500</v>
      </c>
    </row>
    <row r="5710" customFormat="false" ht="15" hidden="false" customHeight="false" outlineLevel="0" collapsed="false">
      <c r="A5710" s="50" t="s">
        <v>1950</v>
      </c>
      <c r="B5710" s="51" t="n">
        <v>46006</v>
      </c>
      <c r="C5710" s="50" t="s">
        <v>174</v>
      </c>
      <c r="D5710" s="50" t="s">
        <v>2175</v>
      </c>
      <c r="E5710" s="50" t="n">
        <v>2</v>
      </c>
      <c r="F5710" s="50" t="s">
        <v>2167</v>
      </c>
      <c r="G5710" s="54" t="n">
        <v>1285300</v>
      </c>
    </row>
    <row r="5711" customFormat="false" ht="15" hidden="false" customHeight="false" outlineLevel="0" collapsed="false">
      <c r="A5711" s="50" t="s">
        <v>1951</v>
      </c>
      <c r="B5711" s="51" t="n">
        <v>46006</v>
      </c>
      <c r="C5711" s="50" t="s">
        <v>289</v>
      </c>
      <c r="D5711" s="50" t="s">
        <v>2186</v>
      </c>
      <c r="E5711" s="50" t="n">
        <v>1</v>
      </c>
      <c r="F5711" s="50" t="s">
        <v>2167</v>
      </c>
      <c r="G5711" s="54" t="n">
        <v>612800</v>
      </c>
    </row>
    <row r="5712" customFormat="false" ht="15" hidden="false" customHeight="false" outlineLevel="0" collapsed="false">
      <c r="A5712" s="50" t="s">
        <v>1951</v>
      </c>
      <c r="B5712" s="51" t="n">
        <v>46006</v>
      </c>
      <c r="C5712" s="50" t="s">
        <v>289</v>
      </c>
      <c r="D5712" s="50" t="s">
        <v>2184</v>
      </c>
      <c r="E5712" s="50" t="n">
        <v>4</v>
      </c>
      <c r="F5712" s="50" t="s">
        <v>2167</v>
      </c>
      <c r="G5712" s="54" t="n">
        <v>2151500</v>
      </c>
    </row>
    <row r="5713" customFormat="false" ht="15" hidden="false" customHeight="false" outlineLevel="0" collapsed="false">
      <c r="A5713" s="50" t="s">
        <v>1951</v>
      </c>
      <c r="B5713" s="51" t="n">
        <v>46006</v>
      </c>
      <c r="C5713" s="50" t="s">
        <v>289</v>
      </c>
      <c r="D5713" s="50" t="s">
        <v>2183</v>
      </c>
      <c r="E5713" s="50" t="n">
        <v>3</v>
      </c>
      <c r="F5713" s="50" t="s">
        <v>2167</v>
      </c>
      <c r="G5713" s="54" t="n">
        <v>1124500</v>
      </c>
    </row>
    <row r="5714" customFormat="false" ht="15" hidden="false" customHeight="false" outlineLevel="0" collapsed="false">
      <c r="A5714" s="50" t="s">
        <v>1952</v>
      </c>
      <c r="B5714" s="51" t="n">
        <v>46006</v>
      </c>
      <c r="C5714" s="50" t="s">
        <v>166</v>
      </c>
      <c r="D5714" s="50" t="s">
        <v>2181</v>
      </c>
      <c r="E5714" s="50" t="n">
        <v>4</v>
      </c>
      <c r="F5714" s="50" t="s">
        <v>2167</v>
      </c>
      <c r="G5714" s="54" t="n">
        <v>4700200</v>
      </c>
    </row>
    <row r="5715" customFormat="false" ht="15" hidden="false" customHeight="false" outlineLevel="0" collapsed="false">
      <c r="A5715" s="50" t="s">
        <v>1952</v>
      </c>
      <c r="B5715" s="51" t="n">
        <v>46006</v>
      </c>
      <c r="C5715" s="50" t="s">
        <v>166</v>
      </c>
      <c r="D5715" s="50" t="s">
        <v>2169</v>
      </c>
      <c r="E5715" s="50" t="n">
        <v>2</v>
      </c>
      <c r="F5715" s="50" t="s">
        <v>2167</v>
      </c>
      <c r="G5715" s="54" t="n">
        <v>1251100</v>
      </c>
    </row>
    <row r="5716" customFormat="false" ht="15" hidden="false" customHeight="false" outlineLevel="0" collapsed="false">
      <c r="A5716" s="50" t="s">
        <v>1952</v>
      </c>
      <c r="B5716" s="51" t="n">
        <v>46006</v>
      </c>
      <c r="C5716" s="50" t="s">
        <v>166</v>
      </c>
      <c r="D5716" s="50" t="s">
        <v>2176</v>
      </c>
      <c r="E5716" s="50" t="n">
        <v>2</v>
      </c>
      <c r="F5716" s="50" t="s">
        <v>2167</v>
      </c>
      <c r="G5716" s="54" t="n">
        <v>806700</v>
      </c>
    </row>
    <row r="5717" customFormat="false" ht="15" hidden="false" customHeight="false" outlineLevel="0" collapsed="false">
      <c r="A5717" s="50" t="s">
        <v>1953</v>
      </c>
      <c r="B5717" s="51" t="n">
        <v>46006</v>
      </c>
      <c r="C5717" s="50" t="s">
        <v>174</v>
      </c>
      <c r="D5717" s="50" t="s">
        <v>2179</v>
      </c>
      <c r="E5717" s="50" t="n">
        <v>1</v>
      </c>
      <c r="F5717" s="50" t="s">
        <v>2174</v>
      </c>
      <c r="G5717" s="54" t="n">
        <v>1224600</v>
      </c>
    </row>
    <row r="5718" customFormat="false" ht="15" hidden="false" customHeight="false" outlineLevel="0" collapsed="false">
      <c r="A5718" s="50" t="s">
        <v>1953</v>
      </c>
      <c r="B5718" s="51" t="n">
        <v>46006</v>
      </c>
      <c r="C5718" s="50" t="s">
        <v>174</v>
      </c>
      <c r="D5718" s="50" t="s">
        <v>2187</v>
      </c>
      <c r="E5718" s="50" t="n">
        <v>1</v>
      </c>
      <c r="F5718" s="50" t="s">
        <v>2167</v>
      </c>
      <c r="G5718" s="54" t="n">
        <v>347600</v>
      </c>
    </row>
    <row r="5719" customFormat="false" ht="15" hidden="false" customHeight="false" outlineLevel="0" collapsed="false">
      <c r="A5719" s="50" t="s">
        <v>1953</v>
      </c>
      <c r="B5719" s="51" t="n">
        <v>46006</v>
      </c>
      <c r="C5719" s="50" t="s">
        <v>174</v>
      </c>
      <c r="D5719" s="50" t="s">
        <v>2173</v>
      </c>
      <c r="E5719" s="50" t="n">
        <v>4</v>
      </c>
      <c r="F5719" s="50" t="s">
        <v>2174</v>
      </c>
      <c r="G5719" s="54" t="n">
        <v>3120100</v>
      </c>
    </row>
    <row r="5720" customFormat="false" ht="15" hidden="false" customHeight="false" outlineLevel="0" collapsed="false">
      <c r="A5720" s="50" t="s">
        <v>1953</v>
      </c>
      <c r="B5720" s="51" t="n">
        <v>46006</v>
      </c>
      <c r="C5720" s="50" t="s">
        <v>174</v>
      </c>
      <c r="D5720" s="50" t="s">
        <v>2170</v>
      </c>
      <c r="E5720" s="50" t="n">
        <v>2</v>
      </c>
      <c r="F5720" s="50" t="s">
        <v>2171</v>
      </c>
      <c r="G5720" s="54" t="n">
        <v>14783800</v>
      </c>
    </row>
    <row r="5721" customFormat="false" ht="15" hidden="false" customHeight="false" outlineLevel="0" collapsed="false">
      <c r="A5721" s="50" t="s">
        <v>1953</v>
      </c>
      <c r="B5721" s="51" t="n">
        <v>46006</v>
      </c>
      <c r="C5721" s="50" t="s">
        <v>174</v>
      </c>
      <c r="D5721" s="50" t="s">
        <v>2178</v>
      </c>
      <c r="E5721" s="50" t="n">
        <v>6</v>
      </c>
      <c r="F5721" s="50" t="s">
        <v>2167</v>
      </c>
      <c r="G5721" s="54" t="n">
        <v>2835900</v>
      </c>
    </row>
    <row r="5722" customFormat="false" ht="15" hidden="false" customHeight="false" outlineLevel="0" collapsed="false">
      <c r="A5722" s="50" t="s">
        <v>1954</v>
      </c>
      <c r="B5722" s="51" t="n">
        <v>46006</v>
      </c>
      <c r="C5722" s="50" t="s">
        <v>191</v>
      </c>
      <c r="D5722" s="50" t="s">
        <v>2185</v>
      </c>
      <c r="E5722" s="50" t="n">
        <v>5</v>
      </c>
      <c r="F5722" s="50" t="s">
        <v>2174</v>
      </c>
      <c r="G5722" s="54" t="n">
        <v>3945300</v>
      </c>
    </row>
    <row r="5723" customFormat="false" ht="15" hidden="false" customHeight="false" outlineLevel="0" collapsed="false">
      <c r="A5723" s="50" t="s">
        <v>1954</v>
      </c>
      <c r="B5723" s="51" t="n">
        <v>46006</v>
      </c>
      <c r="C5723" s="50" t="s">
        <v>191</v>
      </c>
      <c r="D5723" s="50" t="s">
        <v>2173</v>
      </c>
      <c r="E5723" s="50" t="n">
        <v>6</v>
      </c>
      <c r="F5723" s="50" t="s">
        <v>2174</v>
      </c>
      <c r="G5723" s="54" t="n">
        <v>4701700</v>
      </c>
    </row>
    <row r="5724" customFormat="false" ht="15" hidden="false" customHeight="false" outlineLevel="0" collapsed="false">
      <c r="A5724" s="50" t="s">
        <v>1955</v>
      </c>
      <c r="B5724" s="51" t="n">
        <v>46007</v>
      </c>
      <c r="C5724" s="50" t="s">
        <v>211</v>
      </c>
      <c r="D5724" s="50" t="s">
        <v>2186</v>
      </c>
      <c r="E5724" s="50" t="n">
        <v>2</v>
      </c>
      <c r="F5724" s="50" t="s">
        <v>2167</v>
      </c>
      <c r="G5724" s="54" t="n">
        <v>1149700</v>
      </c>
    </row>
    <row r="5725" customFormat="false" ht="15" hidden="false" customHeight="false" outlineLevel="0" collapsed="false">
      <c r="A5725" s="50" t="s">
        <v>1955</v>
      </c>
      <c r="B5725" s="51" t="n">
        <v>46007</v>
      </c>
      <c r="C5725" s="50" t="s">
        <v>211</v>
      </c>
      <c r="D5725" s="50" t="s">
        <v>2178</v>
      </c>
      <c r="E5725" s="50" t="n">
        <v>5</v>
      </c>
      <c r="F5725" s="50" t="s">
        <v>2167</v>
      </c>
      <c r="G5725" s="54" t="n">
        <v>2363400</v>
      </c>
    </row>
    <row r="5726" customFormat="false" ht="15" hidden="false" customHeight="false" outlineLevel="0" collapsed="false">
      <c r="A5726" s="50" t="s">
        <v>1955</v>
      </c>
      <c r="B5726" s="51" t="n">
        <v>46007</v>
      </c>
      <c r="C5726" s="50" t="s">
        <v>211</v>
      </c>
      <c r="D5726" s="50" t="s">
        <v>2179</v>
      </c>
      <c r="E5726" s="50" t="n">
        <v>6</v>
      </c>
      <c r="F5726" s="50" t="s">
        <v>2174</v>
      </c>
      <c r="G5726" s="54" t="n">
        <v>7357300</v>
      </c>
    </row>
    <row r="5727" customFormat="false" ht="15" hidden="false" customHeight="false" outlineLevel="0" collapsed="false">
      <c r="A5727" s="50" t="s">
        <v>1956</v>
      </c>
      <c r="B5727" s="51" t="n">
        <v>46007</v>
      </c>
      <c r="C5727" s="50" t="s">
        <v>197</v>
      </c>
      <c r="D5727" s="50" t="s">
        <v>2172</v>
      </c>
      <c r="E5727" s="50" t="n">
        <v>6</v>
      </c>
      <c r="F5727" s="50" t="s">
        <v>2167</v>
      </c>
      <c r="G5727" s="54" t="n">
        <v>3065700</v>
      </c>
    </row>
    <row r="5728" customFormat="false" ht="15" hidden="false" customHeight="false" outlineLevel="0" collapsed="false">
      <c r="A5728" s="50" t="s">
        <v>1956</v>
      </c>
      <c r="B5728" s="51" t="n">
        <v>46007</v>
      </c>
      <c r="C5728" s="50" t="s">
        <v>197</v>
      </c>
      <c r="D5728" s="50" t="s">
        <v>2168</v>
      </c>
      <c r="E5728" s="50" t="n">
        <v>6</v>
      </c>
      <c r="F5728" s="50" t="s">
        <v>2167</v>
      </c>
      <c r="G5728" s="54" t="n">
        <v>2533400</v>
      </c>
    </row>
    <row r="5729" customFormat="false" ht="15" hidden="false" customHeight="false" outlineLevel="0" collapsed="false">
      <c r="A5729" s="50" t="s">
        <v>1957</v>
      </c>
      <c r="B5729" s="51" t="n">
        <v>46007</v>
      </c>
      <c r="C5729" s="50" t="s">
        <v>199</v>
      </c>
      <c r="D5729" s="50" t="s">
        <v>2176</v>
      </c>
      <c r="E5729" s="50" t="n">
        <v>3</v>
      </c>
      <c r="F5729" s="50" t="s">
        <v>2167</v>
      </c>
      <c r="G5729" s="54" t="n">
        <v>1280500</v>
      </c>
    </row>
    <row r="5730" customFormat="false" ht="15" hidden="false" customHeight="false" outlineLevel="0" collapsed="false">
      <c r="A5730" s="50" t="s">
        <v>1957</v>
      </c>
      <c r="B5730" s="51" t="n">
        <v>46007</v>
      </c>
      <c r="C5730" s="50" t="s">
        <v>199</v>
      </c>
      <c r="D5730" s="50" t="s">
        <v>2182</v>
      </c>
      <c r="E5730" s="50" t="n">
        <v>2</v>
      </c>
      <c r="F5730" s="50" t="s">
        <v>2174</v>
      </c>
      <c r="G5730" s="54" t="n">
        <v>1861200</v>
      </c>
    </row>
    <row r="5731" customFormat="false" ht="15" hidden="false" customHeight="false" outlineLevel="0" collapsed="false">
      <c r="A5731" s="50" t="s">
        <v>1958</v>
      </c>
      <c r="B5731" s="51" t="n">
        <v>46007</v>
      </c>
      <c r="C5731" s="50" t="s">
        <v>205</v>
      </c>
      <c r="D5731" s="50" t="s">
        <v>2166</v>
      </c>
      <c r="E5731" s="50" t="n">
        <v>6</v>
      </c>
      <c r="F5731" s="50" t="s">
        <v>2167</v>
      </c>
      <c r="G5731" s="54" t="n">
        <v>3150300</v>
      </c>
    </row>
    <row r="5732" customFormat="false" ht="15" hidden="false" customHeight="false" outlineLevel="0" collapsed="false">
      <c r="A5732" s="50" t="s">
        <v>1958</v>
      </c>
      <c r="B5732" s="51" t="n">
        <v>46007</v>
      </c>
      <c r="C5732" s="50" t="s">
        <v>205</v>
      </c>
      <c r="D5732" s="50" t="s">
        <v>2183</v>
      </c>
      <c r="E5732" s="50" t="n">
        <v>4</v>
      </c>
      <c r="F5732" s="50" t="s">
        <v>2167</v>
      </c>
      <c r="G5732" s="54" t="n">
        <v>1545000</v>
      </c>
    </row>
    <row r="5733" customFormat="false" ht="15" hidden="false" customHeight="false" outlineLevel="0" collapsed="false">
      <c r="A5733" s="50" t="s">
        <v>1958</v>
      </c>
      <c r="B5733" s="51" t="n">
        <v>46007</v>
      </c>
      <c r="C5733" s="50" t="s">
        <v>205</v>
      </c>
      <c r="D5733" s="50" t="s">
        <v>2180</v>
      </c>
      <c r="E5733" s="50" t="n">
        <v>2</v>
      </c>
      <c r="F5733" s="50" t="s">
        <v>2167</v>
      </c>
      <c r="G5733" s="54" t="n">
        <v>925200</v>
      </c>
    </row>
    <row r="5734" customFormat="false" ht="15" hidden="false" customHeight="false" outlineLevel="0" collapsed="false">
      <c r="A5734" s="50" t="s">
        <v>1958</v>
      </c>
      <c r="B5734" s="51" t="n">
        <v>46007</v>
      </c>
      <c r="C5734" s="50" t="s">
        <v>205</v>
      </c>
      <c r="D5734" s="50" t="s">
        <v>2178</v>
      </c>
      <c r="E5734" s="50" t="n">
        <v>5</v>
      </c>
      <c r="F5734" s="50" t="s">
        <v>2167</v>
      </c>
      <c r="G5734" s="54" t="n">
        <v>2448300</v>
      </c>
    </row>
    <row r="5735" customFormat="false" ht="15" hidden="false" customHeight="false" outlineLevel="0" collapsed="false">
      <c r="A5735" s="50" t="s">
        <v>1958</v>
      </c>
      <c r="B5735" s="51" t="n">
        <v>46007</v>
      </c>
      <c r="C5735" s="50" t="s">
        <v>205</v>
      </c>
      <c r="D5735" s="50" t="s">
        <v>2188</v>
      </c>
      <c r="E5735" s="50" t="n">
        <v>4</v>
      </c>
      <c r="F5735" s="50" t="s">
        <v>2167</v>
      </c>
      <c r="G5735" s="54" t="n">
        <v>3845500</v>
      </c>
    </row>
    <row r="5736" customFormat="false" ht="15" hidden="false" customHeight="false" outlineLevel="0" collapsed="false">
      <c r="A5736" s="50" t="s">
        <v>1959</v>
      </c>
      <c r="B5736" s="51" t="n">
        <v>46008</v>
      </c>
      <c r="C5736" s="50" t="s">
        <v>174</v>
      </c>
      <c r="D5736" s="50" t="s">
        <v>2183</v>
      </c>
      <c r="E5736" s="50" t="n">
        <v>8</v>
      </c>
      <c r="F5736" s="50" t="s">
        <v>2167</v>
      </c>
      <c r="G5736" s="54" t="n">
        <v>3126300</v>
      </c>
    </row>
    <row r="5737" customFormat="false" ht="15" hidden="false" customHeight="false" outlineLevel="0" collapsed="false">
      <c r="A5737" s="50" t="s">
        <v>1960</v>
      </c>
      <c r="B5737" s="51" t="n">
        <v>46008</v>
      </c>
      <c r="C5737" s="50" t="s">
        <v>174</v>
      </c>
      <c r="D5737" s="50" t="s">
        <v>2188</v>
      </c>
      <c r="E5737" s="50" t="n">
        <v>5</v>
      </c>
      <c r="F5737" s="50" t="s">
        <v>2167</v>
      </c>
      <c r="G5737" s="54" t="n">
        <v>4732300</v>
      </c>
    </row>
    <row r="5738" customFormat="false" ht="15" hidden="false" customHeight="false" outlineLevel="0" collapsed="false">
      <c r="A5738" s="50" t="s">
        <v>1960</v>
      </c>
      <c r="B5738" s="51" t="n">
        <v>46008</v>
      </c>
      <c r="C5738" s="50" t="s">
        <v>174</v>
      </c>
      <c r="D5738" s="50" t="s">
        <v>2178</v>
      </c>
      <c r="E5738" s="50" t="n">
        <v>4</v>
      </c>
      <c r="F5738" s="50" t="s">
        <v>2167</v>
      </c>
      <c r="G5738" s="54" t="n">
        <v>1955900</v>
      </c>
    </row>
    <row r="5739" customFormat="false" ht="15" hidden="false" customHeight="false" outlineLevel="0" collapsed="false">
      <c r="A5739" s="50" t="s">
        <v>1960</v>
      </c>
      <c r="B5739" s="51" t="n">
        <v>46008</v>
      </c>
      <c r="C5739" s="50" t="s">
        <v>174</v>
      </c>
      <c r="D5739" s="50" t="s">
        <v>2184</v>
      </c>
      <c r="E5739" s="50" t="n">
        <v>6</v>
      </c>
      <c r="F5739" s="50" t="s">
        <v>2167</v>
      </c>
      <c r="G5739" s="54" t="n">
        <v>3415700</v>
      </c>
    </row>
    <row r="5740" customFormat="false" ht="15" hidden="false" customHeight="false" outlineLevel="0" collapsed="false">
      <c r="A5740" s="50" t="s">
        <v>1960</v>
      </c>
      <c r="B5740" s="51" t="n">
        <v>46008</v>
      </c>
      <c r="C5740" s="50" t="s">
        <v>174</v>
      </c>
      <c r="D5740" s="50" t="s">
        <v>2186</v>
      </c>
      <c r="E5740" s="50" t="n">
        <v>4</v>
      </c>
      <c r="F5740" s="50" t="s">
        <v>2167</v>
      </c>
      <c r="G5740" s="54" t="n">
        <v>2316900</v>
      </c>
    </row>
    <row r="5741" customFormat="false" ht="15" hidden="false" customHeight="false" outlineLevel="0" collapsed="false">
      <c r="A5741" s="50" t="s">
        <v>1960</v>
      </c>
      <c r="B5741" s="51" t="n">
        <v>46008</v>
      </c>
      <c r="C5741" s="50" t="s">
        <v>174</v>
      </c>
      <c r="D5741" s="50" t="s">
        <v>2169</v>
      </c>
      <c r="E5741" s="50" t="n">
        <v>1</v>
      </c>
      <c r="F5741" s="50" t="s">
        <v>2167</v>
      </c>
      <c r="G5741" s="54" t="n">
        <v>626500</v>
      </c>
    </row>
    <row r="5742" customFormat="false" ht="15" hidden="false" customHeight="false" outlineLevel="0" collapsed="false">
      <c r="A5742" s="50" t="s">
        <v>1960</v>
      </c>
      <c r="B5742" s="51" t="n">
        <v>46008</v>
      </c>
      <c r="C5742" s="50" t="s">
        <v>174</v>
      </c>
      <c r="D5742" s="50" t="s">
        <v>2175</v>
      </c>
      <c r="E5742" s="50" t="n">
        <v>5</v>
      </c>
      <c r="F5742" s="50" t="s">
        <v>2167</v>
      </c>
      <c r="G5742" s="54" t="n">
        <v>3108100</v>
      </c>
    </row>
    <row r="5743" customFormat="false" ht="15" hidden="false" customHeight="false" outlineLevel="0" collapsed="false">
      <c r="A5743" s="50" t="s">
        <v>1960</v>
      </c>
      <c r="B5743" s="51" t="n">
        <v>46008</v>
      </c>
      <c r="C5743" s="50" t="s">
        <v>174</v>
      </c>
      <c r="D5743" s="50" t="s">
        <v>2179</v>
      </c>
      <c r="E5743" s="50" t="n">
        <v>2</v>
      </c>
      <c r="F5743" s="50" t="s">
        <v>2174</v>
      </c>
      <c r="G5743" s="54" t="n">
        <v>2590500</v>
      </c>
    </row>
    <row r="5744" customFormat="false" ht="15" hidden="false" customHeight="false" outlineLevel="0" collapsed="false">
      <c r="A5744" s="50" t="s">
        <v>1961</v>
      </c>
      <c r="B5744" s="51" t="n">
        <v>46008</v>
      </c>
      <c r="C5744" s="50" t="s">
        <v>179</v>
      </c>
      <c r="D5744" s="50" t="s">
        <v>2179</v>
      </c>
      <c r="E5744" s="50" t="n">
        <v>5</v>
      </c>
      <c r="F5744" s="50" t="s">
        <v>2174</v>
      </c>
      <c r="G5744" s="54" t="n">
        <v>6230300</v>
      </c>
    </row>
    <row r="5745" customFormat="false" ht="15" hidden="false" customHeight="false" outlineLevel="0" collapsed="false">
      <c r="A5745" s="50" t="s">
        <v>1961</v>
      </c>
      <c r="B5745" s="51" t="n">
        <v>46008</v>
      </c>
      <c r="C5745" s="50" t="s">
        <v>179</v>
      </c>
      <c r="D5745" s="50" t="s">
        <v>2183</v>
      </c>
      <c r="E5745" s="50" t="n">
        <v>3</v>
      </c>
      <c r="F5745" s="50" t="s">
        <v>2167</v>
      </c>
      <c r="G5745" s="54" t="n">
        <v>1129800</v>
      </c>
    </row>
    <row r="5746" customFormat="false" ht="15" hidden="false" customHeight="false" outlineLevel="0" collapsed="false">
      <c r="A5746" s="50" t="s">
        <v>1962</v>
      </c>
      <c r="B5746" s="51" t="n">
        <v>46008</v>
      </c>
      <c r="C5746" s="50" t="s">
        <v>179</v>
      </c>
      <c r="D5746" s="50" t="s">
        <v>2169</v>
      </c>
      <c r="E5746" s="50" t="n">
        <v>1</v>
      </c>
      <c r="F5746" s="50" t="s">
        <v>2167</v>
      </c>
      <c r="G5746" s="54" t="n">
        <v>596100</v>
      </c>
    </row>
    <row r="5747" customFormat="false" ht="15" hidden="false" customHeight="false" outlineLevel="0" collapsed="false">
      <c r="A5747" s="50" t="s">
        <v>1962</v>
      </c>
      <c r="B5747" s="51" t="n">
        <v>46008</v>
      </c>
      <c r="C5747" s="50" t="s">
        <v>179</v>
      </c>
      <c r="D5747" s="50" t="s">
        <v>2176</v>
      </c>
      <c r="E5747" s="50" t="n">
        <v>1</v>
      </c>
      <c r="F5747" s="50" t="s">
        <v>2167</v>
      </c>
      <c r="G5747" s="54" t="n">
        <v>417600</v>
      </c>
    </row>
    <row r="5748" customFormat="false" ht="15" hidden="false" customHeight="false" outlineLevel="0" collapsed="false">
      <c r="A5748" s="50" t="s">
        <v>1962</v>
      </c>
      <c r="B5748" s="51" t="n">
        <v>46008</v>
      </c>
      <c r="C5748" s="50" t="s">
        <v>179</v>
      </c>
      <c r="D5748" s="50" t="s">
        <v>2184</v>
      </c>
      <c r="E5748" s="50" t="n">
        <v>8</v>
      </c>
      <c r="F5748" s="50" t="s">
        <v>2167</v>
      </c>
      <c r="G5748" s="54" t="n">
        <v>4439600</v>
      </c>
    </row>
    <row r="5749" customFormat="false" ht="15" hidden="false" customHeight="false" outlineLevel="0" collapsed="false">
      <c r="A5749" s="50" t="s">
        <v>1963</v>
      </c>
      <c r="B5749" s="51" t="n">
        <v>46008</v>
      </c>
      <c r="C5749" s="50" t="s">
        <v>197</v>
      </c>
      <c r="D5749" s="50" t="s">
        <v>2178</v>
      </c>
      <c r="E5749" s="50" t="n">
        <v>6</v>
      </c>
      <c r="F5749" s="50" t="s">
        <v>2167</v>
      </c>
      <c r="G5749" s="54" t="n">
        <v>2784400</v>
      </c>
    </row>
    <row r="5750" customFormat="false" ht="15" hidden="false" customHeight="false" outlineLevel="0" collapsed="false">
      <c r="A5750" s="50" t="s">
        <v>1963</v>
      </c>
      <c r="B5750" s="51" t="n">
        <v>46008</v>
      </c>
      <c r="C5750" s="50" t="s">
        <v>197</v>
      </c>
      <c r="D5750" s="50" t="s">
        <v>2175</v>
      </c>
      <c r="E5750" s="50" t="n">
        <v>6</v>
      </c>
      <c r="F5750" s="50" t="s">
        <v>2167</v>
      </c>
      <c r="G5750" s="54" t="n">
        <v>3866100</v>
      </c>
    </row>
    <row r="5751" customFormat="false" ht="15" hidden="false" customHeight="false" outlineLevel="0" collapsed="false">
      <c r="A5751" s="50" t="s">
        <v>1963</v>
      </c>
      <c r="B5751" s="51" t="n">
        <v>46008</v>
      </c>
      <c r="C5751" s="50" t="s">
        <v>197</v>
      </c>
      <c r="D5751" s="50" t="s">
        <v>2184</v>
      </c>
      <c r="E5751" s="50" t="n">
        <v>3</v>
      </c>
      <c r="F5751" s="50" t="s">
        <v>2167</v>
      </c>
      <c r="G5751" s="54" t="n">
        <v>1732200</v>
      </c>
    </row>
    <row r="5752" customFormat="false" ht="15" hidden="false" customHeight="false" outlineLevel="0" collapsed="false">
      <c r="A5752" s="50" t="s">
        <v>1963</v>
      </c>
      <c r="B5752" s="51" t="n">
        <v>46008</v>
      </c>
      <c r="C5752" s="50" t="s">
        <v>197</v>
      </c>
      <c r="D5752" s="50" t="s">
        <v>2181</v>
      </c>
      <c r="E5752" s="50" t="n">
        <v>6</v>
      </c>
      <c r="F5752" s="50" t="s">
        <v>2167</v>
      </c>
      <c r="G5752" s="54" t="n">
        <v>6923700</v>
      </c>
    </row>
    <row r="5753" customFormat="false" ht="15" hidden="false" customHeight="false" outlineLevel="0" collapsed="false">
      <c r="A5753" s="50" t="s">
        <v>1964</v>
      </c>
      <c r="B5753" s="51" t="n">
        <v>46008</v>
      </c>
      <c r="C5753" s="50" t="s">
        <v>166</v>
      </c>
      <c r="D5753" s="50" t="s">
        <v>2169</v>
      </c>
      <c r="E5753" s="50" t="n">
        <v>2</v>
      </c>
      <c r="F5753" s="50" t="s">
        <v>2167</v>
      </c>
      <c r="G5753" s="54" t="n">
        <v>1206200</v>
      </c>
    </row>
    <row r="5754" customFormat="false" ht="15" hidden="false" customHeight="false" outlineLevel="0" collapsed="false">
      <c r="A5754" s="50" t="s">
        <v>1964</v>
      </c>
      <c r="B5754" s="51" t="n">
        <v>46008</v>
      </c>
      <c r="C5754" s="50" t="s">
        <v>166</v>
      </c>
      <c r="D5754" s="50" t="s">
        <v>2188</v>
      </c>
      <c r="E5754" s="50" t="n">
        <v>5</v>
      </c>
      <c r="F5754" s="50" t="s">
        <v>2167</v>
      </c>
      <c r="G5754" s="54" t="n">
        <v>4855100</v>
      </c>
    </row>
    <row r="5755" customFormat="false" ht="15" hidden="false" customHeight="false" outlineLevel="0" collapsed="false">
      <c r="A5755" s="50" t="s">
        <v>1964</v>
      </c>
      <c r="B5755" s="51" t="n">
        <v>46008</v>
      </c>
      <c r="C5755" s="50" t="s">
        <v>166</v>
      </c>
      <c r="D5755" s="50" t="s">
        <v>2176</v>
      </c>
      <c r="E5755" s="50" t="n">
        <v>4</v>
      </c>
      <c r="F5755" s="50" t="s">
        <v>2167</v>
      </c>
      <c r="G5755" s="54" t="n">
        <v>1690900</v>
      </c>
    </row>
    <row r="5756" customFormat="false" ht="15" hidden="false" customHeight="false" outlineLevel="0" collapsed="false">
      <c r="A5756" s="50" t="s">
        <v>1964</v>
      </c>
      <c r="B5756" s="51" t="n">
        <v>46008</v>
      </c>
      <c r="C5756" s="50" t="s">
        <v>166</v>
      </c>
      <c r="D5756" s="50" t="s">
        <v>2178</v>
      </c>
      <c r="E5756" s="50" t="n">
        <v>6</v>
      </c>
      <c r="F5756" s="50" t="s">
        <v>2167</v>
      </c>
      <c r="G5756" s="54" t="n">
        <v>2989000</v>
      </c>
    </row>
    <row r="5757" customFormat="false" ht="15" hidden="false" customHeight="false" outlineLevel="0" collapsed="false">
      <c r="A5757" s="50" t="s">
        <v>1964</v>
      </c>
      <c r="B5757" s="51" t="n">
        <v>46008</v>
      </c>
      <c r="C5757" s="50" t="s">
        <v>166</v>
      </c>
      <c r="D5757" s="50" t="s">
        <v>2187</v>
      </c>
      <c r="E5757" s="50" t="n">
        <v>4</v>
      </c>
      <c r="F5757" s="50" t="s">
        <v>2167</v>
      </c>
      <c r="G5757" s="54" t="n">
        <v>1450500</v>
      </c>
    </row>
    <row r="5758" customFormat="false" ht="15" hidden="false" customHeight="false" outlineLevel="0" collapsed="false">
      <c r="A5758" s="50" t="s">
        <v>1964</v>
      </c>
      <c r="B5758" s="51" t="n">
        <v>46008</v>
      </c>
      <c r="C5758" s="50" t="s">
        <v>166</v>
      </c>
      <c r="D5758" s="50" t="s">
        <v>2179</v>
      </c>
      <c r="E5758" s="50" t="n">
        <v>6</v>
      </c>
      <c r="F5758" s="50" t="s">
        <v>2174</v>
      </c>
      <c r="G5758" s="54" t="n">
        <v>7783000</v>
      </c>
    </row>
    <row r="5759" customFormat="false" ht="15" hidden="false" customHeight="false" outlineLevel="0" collapsed="false">
      <c r="A5759" s="50" t="s">
        <v>1964</v>
      </c>
      <c r="B5759" s="51" t="n">
        <v>46008</v>
      </c>
      <c r="C5759" s="50" t="s">
        <v>166</v>
      </c>
      <c r="D5759" s="50" t="s">
        <v>2172</v>
      </c>
      <c r="E5759" s="50" t="n">
        <v>8</v>
      </c>
      <c r="F5759" s="50" t="s">
        <v>2167</v>
      </c>
      <c r="G5759" s="54" t="n">
        <v>4090000</v>
      </c>
    </row>
    <row r="5760" customFormat="false" ht="15" hidden="false" customHeight="false" outlineLevel="0" collapsed="false">
      <c r="A5760" s="50" t="s">
        <v>1965</v>
      </c>
      <c r="B5760" s="51" t="n">
        <v>46009</v>
      </c>
      <c r="C5760" s="50" t="s">
        <v>278</v>
      </c>
      <c r="D5760" s="50" t="s">
        <v>2172</v>
      </c>
      <c r="E5760" s="50" t="n">
        <v>1</v>
      </c>
      <c r="F5760" s="50" t="s">
        <v>2167</v>
      </c>
      <c r="G5760" s="54" t="n">
        <v>539500</v>
      </c>
    </row>
    <row r="5761" customFormat="false" ht="15" hidden="false" customHeight="false" outlineLevel="0" collapsed="false">
      <c r="A5761" s="50" t="s">
        <v>1965</v>
      </c>
      <c r="B5761" s="51" t="n">
        <v>46009</v>
      </c>
      <c r="C5761" s="50" t="s">
        <v>278</v>
      </c>
      <c r="D5761" s="50" t="s">
        <v>2178</v>
      </c>
      <c r="E5761" s="50" t="n">
        <v>4</v>
      </c>
      <c r="F5761" s="50" t="s">
        <v>2167</v>
      </c>
      <c r="G5761" s="54" t="n">
        <v>1852500</v>
      </c>
    </row>
    <row r="5762" customFormat="false" ht="15" hidden="false" customHeight="false" outlineLevel="0" collapsed="false">
      <c r="A5762" s="50" t="s">
        <v>1965</v>
      </c>
      <c r="B5762" s="51" t="n">
        <v>46009</v>
      </c>
      <c r="C5762" s="50" t="s">
        <v>278</v>
      </c>
      <c r="D5762" s="50" t="s">
        <v>2179</v>
      </c>
      <c r="E5762" s="50" t="n">
        <v>4</v>
      </c>
      <c r="F5762" s="50" t="s">
        <v>2174</v>
      </c>
      <c r="G5762" s="54" t="n">
        <v>5083000</v>
      </c>
    </row>
    <row r="5763" customFormat="false" ht="15" hidden="false" customHeight="false" outlineLevel="0" collapsed="false">
      <c r="A5763" s="50" t="s">
        <v>1966</v>
      </c>
      <c r="B5763" s="51" t="n">
        <v>46009</v>
      </c>
      <c r="C5763" s="50" t="s">
        <v>179</v>
      </c>
      <c r="D5763" s="50" t="s">
        <v>2176</v>
      </c>
      <c r="E5763" s="50" t="n">
        <v>3</v>
      </c>
      <c r="F5763" s="50" t="s">
        <v>2167</v>
      </c>
      <c r="G5763" s="54" t="n">
        <v>1237600</v>
      </c>
    </row>
    <row r="5764" customFormat="false" ht="15" hidden="false" customHeight="false" outlineLevel="0" collapsed="false">
      <c r="A5764" s="50" t="s">
        <v>1966</v>
      </c>
      <c r="B5764" s="51" t="n">
        <v>46009</v>
      </c>
      <c r="C5764" s="50" t="s">
        <v>179</v>
      </c>
      <c r="D5764" s="50" t="s">
        <v>2172</v>
      </c>
      <c r="E5764" s="50" t="n">
        <v>1</v>
      </c>
      <c r="F5764" s="50" t="s">
        <v>2167</v>
      </c>
      <c r="G5764" s="54" t="n">
        <v>521700</v>
      </c>
    </row>
    <row r="5765" customFormat="false" ht="15" hidden="false" customHeight="false" outlineLevel="0" collapsed="false">
      <c r="A5765" s="50" t="s">
        <v>1966</v>
      </c>
      <c r="B5765" s="51" t="n">
        <v>46009</v>
      </c>
      <c r="C5765" s="50" t="s">
        <v>179</v>
      </c>
      <c r="D5765" s="50" t="s">
        <v>2179</v>
      </c>
      <c r="E5765" s="50" t="n">
        <v>1</v>
      </c>
      <c r="F5765" s="50" t="s">
        <v>2174</v>
      </c>
      <c r="G5765" s="54" t="n">
        <v>1229100</v>
      </c>
    </row>
    <row r="5766" customFormat="false" ht="15" hidden="false" customHeight="false" outlineLevel="0" collapsed="false">
      <c r="A5766" s="50" t="s">
        <v>1966</v>
      </c>
      <c r="B5766" s="51" t="n">
        <v>46009</v>
      </c>
      <c r="C5766" s="50" t="s">
        <v>179</v>
      </c>
      <c r="D5766" s="50" t="s">
        <v>2185</v>
      </c>
      <c r="E5766" s="50" t="n">
        <v>2</v>
      </c>
      <c r="F5766" s="50" t="s">
        <v>2174</v>
      </c>
      <c r="G5766" s="54" t="n">
        <v>1527600</v>
      </c>
    </row>
    <row r="5767" customFormat="false" ht="15" hidden="false" customHeight="false" outlineLevel="0" collapsed="false">
      <c r="A5767" s="50" t="s">
        <v>1967</v>
      </c>
      <c r="B5767" s="51" t="n">
        <v>46009</v>
      </c>
      <c r="C5767" s="50" t="s">
        <v>218</v>
      </c>
      <c r="D5767" s="50" t="s">
        <v>2166</v>
      </c>
      <c r="E5767" s="50" t="n">
        <v>3</v>
      </c>
      <c r="F5767" s="50" t="s">
        <v>2167</v>
      </c>
      <c r="G5767" s="54" t="n">
        <v>1619000</v>
      </c>
    </row>
    <row r="5768" customFormat="false" ht="15" hidden="false" customHeight="false" outlineLevel="0" collapsed="false">
      <c r="A5768" s="50" t="s">
        <v>1967</v>
      </c>
      <c r="B5768" s="51" t="n">
        <v>46009</v>
      </c>
      <c r="C5768" s="50" t="s">
        <v>218</v>
      </c>
      <c r="D5768" s="50" t="s">
        <v>2181</v>
      </c>
      <c r="E5768" s="50" t="n">
        <v>7</v>
      </c>
      <c r="F5768" s="50" t="s">
        <v>2167</v>
      </c>
      <c r="G5768" s="54" t="n">
        <v>8242800</v>
      </c>
    </row>
    <row r="5769" customFormat="false" ht="15" hidden="false" customHeight="false" outlineLevel="0" collapsed="false">
      <c r="A5769" s="50" t="s">
        <v>1967</v>
      </c>
      <c r="B5769" s="51" t="n">
        <v>46009</v>
      </c>
      <c r="C5769" s="50" t="s">
        <v>218</v>
      </c>
      <c r="D5769" s="50" t="s">
        <v>2180</v>
      </c>
      <c r="E5769" s="50" t="n">
        <v>7</v>
      </c>
      <c r="F5769" s="50" t="s">
        <v>2167</v>
      </c>
      <c r="G5769" s="54" t="n">
        <v>3274600</v>
      </c>
    </row>
    <row r="5770" customFormat="false" ht="15" hidden="false" customHeight="false" outlineLevel="0" collapsed="false">
      <c r="A5770" s="50" t="s">
        <v>1967</v>
      </c>
      <c r="B5770" s="51" t="n">
        <v>46009</v>
      </c>
      <c r="C5770" s="50" t="s">
        <v>218</v>
      </c>
      <c r="D5770" s="50" t="s">
        <v>2168</v>
      </c>
      <c r="E5770" s="50" t="n">
        <v>5</v>
      </c>
      <c r="F5770" s="50" t="s">
        <v>2167</v>
      </c>
      <c r="G5770" s="54" t="n">
        <v>2201100</v>
      </c>
    </row>
    <row r="5771" customFormat="false" ht="15" hidden="false" customHeight="false" outlineLevel="0" collapsed="false">
      <c r="A5771" s="50" t="s">
        <v>1967</v>
      </c>
      <c r="B5771" s="51" t="n">
        <v>46009</v>
      </c>
      <c r="C5771" s="50" t="s">
        <v>218</v>
      </c>
      <c r="D5771" s="50" t="s">
        <v>2184</v>
      </c>
      <c r="E5771" s="50" t="n">
        <v>3</v>
      </c>
      <c r="F5771" s="50" t="s">
        <v>2167</v>
      </c>
      <c r="G5771" s="54" t="n">
        <v>1675800</v>
      </c>
    </row>
    <row r="5772" customFormat="false" ht="15" hidden="false" customHeight="false" outlineLevel="0" collapsed="false">
      <c r="A5772" s="50" t="s">
        <v>1967</v>
      </c>
      <c r="B5772" s="51" t="n">
        <v>46009</v>
      </c>
      <c r="C5772" s="50" t="s">
        <v>218</v>
      </c>
      <c r="D5772" s="50" t="s">
        <v>2185</v>
      </c>
      <c r="E5772" s="50" t="n">
        <v>8</v>
      </c>
      <c r="F5772" s="50" t="s">
        <v>2174</v>
      </c>
      <c r="G5772" s="54" t="n">
        <v>6044400</v>
      </c>
    </row>
    <row r="5773" customFormat="false" ht="15" hidden="false" customHeight="false" outlineLevel="0" collapsed="false">
      <c r="A5773" s="50" t="s">
        <v>1968</v>
      </c>
      <c r="B5773" s="51" t="n">
        <v>46009</v>
      </c>
      <c r="C5773" s="50" t="s">
        <v>382</v>
      </c>
      <c r="D5773" s="50" t="s">
        <v>2184</v>
      </c>
      <c r="E5773" s="50" t="n">
        <v>4</v>
      </c>
      <c r="F5773" s="50" t="s">
        <v>2167</v>
      </c>
      <c r="G5773" s="54" t="n">
        <v>2214000</v>
      </c>
    </row>
    <row r="5774" customFormat="false" ht="15" hidden="false" customHeight="false" outlineLevel="0" collapsed="false">
      <c r="A5774" s="50" t="s">
        <v>1969</v>
      </c>
      <c r="B5774" s="51" t="n">
        <v>46009</v>
      </c>
      <c r="C5774" s="50" t="s">
        <v>408</v>
      </c>
      <c r="D5774" s="50" t="s">
        <v>2184</v>
      </c>
      <c r="E5774" s="50" t="n">
        <v>8</v>
      </c>
      <c r="F5774" s="50" t="s">
        <v>2167</v>
      </c>
      <c r="G5774" s="54" t="n">
        <v>4434200</v>
      </c>
    </row>
    <row r="5775" customFormat="false" ht="15" hidden="false" customHeight="false" outlineLevel="0" collapsed="false">
      <c r="A5775" s="50" t="s">
        <v>1969</v>
      </c>
      <c r="B5775" s="51" t="n">
        <v>46009</v>
      </c>
      <c r="C5775" s="50" t="s">
        <v>408</v>
      </c>
      <c r="D5775" s="50" t="s">
        <v>2180</v>
      </c>
      <c r="E5775" s="50" t="n">
        <v>2</v>
      </c>
      <c r="F5775" s="50" t="s">
        <v>2167</v>
      </c>
      <c r="G5775" s="54" t="n">
        <v>907000</v>
      </c>
    </row>
    <row r="5776" customFormat="false" ht="15" hidden="false" customHeight="false" outlineLevel="0" collapsed="false">
      <c r="A5776" s="50" t="s">
        <v>1969</v>
      </c>
      <c r="B5776" s="51" t="n">
        <v>46009</v>
      </c>
      <c r="C5776" s="50" t="s">
        <v>408</v>
      </c>
      <c r="D5776" s="50" t="s">
        <v>2178</v>
      </c>
      <c r="E5776" s="50" t="n">
        <v>7</v>
      </c>
      <c r="F5776" s="50" t="s">
        <v>2167</v>
      </c>
      <c r="G5776" s="54" t="n">
        <v>3285200</v>
      </c>
    </row>
    <row r="5777" customFormat="false" ht="15" hidden="false" customHeight="false" outlineLevel="0" collapsed="false">
      <c r="A5777" s="50" t="s">
        <v>149</v>
      </c>
      <c r="B5777" s="51" t="n">
        <v>46009</v>
      </c>
      <c r="C5777" s="50" t="s">
        <v>416</v>
      </c>
      <c r="D5777" s="50" t="s">
        <v>2185</v>
      </c>
      <c r="E5777" s="50" t="n">
        <v>3</v>
      </c>
      <c r="F5777" s="50" t="s">
        <v>2174</v>
      </c>
      <c r="G5777" s="54" t="n">
        <v>2303100</v>
      </c>
    </row>
    <row r="5778" customFormat="false" ht="15" hidden="false" customHeight="false" outlineLevel="0" collapsed="false">
      <c r="A5778" s="50" t="s">
        <v>149</v>
      </c>
      <c r="B5778" s="51" t="n">
        <v>46009</v>
      </c>
      <c r="C5778" s="50" t="s">
        <v>416</v>
      </c>
      <c r="D5778" s="50" t="s">
        <v>2184</v>
      </c>
      <c r="E5778" s="50" t="n">
        <v>3</v>
      </c>
      <c r="F5778" s="50" t="s">
        <v>2167</v>
      </c>
      <c r="G5778" s="54" t="n">
        <v>1719500</v>
      </c>
    </row>
    <row r="5779" customFormat="false" ht="15" hidden="false" customHeight="false" outlineLevel="0" collapsed="false">
      <c r="A5779" s="50" t="s">
        <v>149</v>
      </c>
      <c r="B5779" s="51" t="n">
        <v>46009</v>
      </c>
      <c r="C5779" s="50" t="s">
        <v>416</v>
      </c>
      <c r="D5779" s="50" t="s">
        <v>2168</v>
      </c>
      <c r="E5779" s="50" t="n">
        <v>5</v>
      </c>
      <c r="F5779" s="50" t="s">
        <v>2167</v>
      </c>
      <c r="G5779" s="54" t="n">
        <v>2231300</v>
      </c>
    </row>
    <row r="5780" customFormat="false" ht="15" hidden="false" customHeight="false" outlineLevel="0" collapsed="false">
      <c r="A5780" s="50" t="s">
        <v>1970</v>
      </c>
      <c r="B5780" s="51" t="n">
        <v>46009</v>
      </c>
      <c r="C5780" s="50" t="s">
        <v>188</v>
      </c>
      <c r="D5780" s="50" t="s">
        <v>2168</v>
      </c>
      <c r="E5780" s="50" t="n">
        <v>1</v>
      </c>
      <c r="F5780" s="50" t="s">
        <v>2167</v>
      </c>
      <c r="G5780" s="54" t="n">
        <v>426400</v>
      </c>
    </row>
    <row r="5781" customFormat="false" ht="15" hidden="false" customHeight="false" outlineLevel="0" collapsed="false">
      <c r="A5781" s="50" t="s">
        <v>1970</v>
      </c>
      <c r="B5781" s="51" t="n">
        <v>46009</v>
      </c>
      <c r="C5781" s="50" t="s">
        <v>188</v>
      </c>
      <c r="D5781" s="50" t="s">
        <v>2169</v>
      </c>
      <c r="E5781" s="50" t="n">
        <v>7</v>
      </c>
      <c r="F5781" s="50" t="s">
        <v>2167</v>
      </c>
      <c r="G5781" s="54" t="n">
        <v>4434800</v>
      </c>
    </row>
    <row r="5782" customFormat="false" ht="15" hidden="false" customHeight="false" outlineLevel="0" collapsed="false">
      <c r="A5782" s="50" t="s">
        <v>1971</v>
      </c>
      <c r="B5782" s="51" t="n">
        <v>46009</v>
      </c>
      <c r="C5782" s="50" t="s">
        <v>234</v>
      </c>
      <c r="D5782" s="50" t="s">
        <v>2188</v>
      </c>
      <c r="E5782" s="50" t="n">
        <v>6</v>
      </c>
      <c r="F5782" s="50" t="s">
        <v>2167</v>
      </c>
      <c r="G5782" s="54" t="n">
        <v>5991600</v>
      </c>
    </row>
    <row r="5783" customFormat="false" ht="15" hidden="false" customHeight="false" outlineLevel="0" collapsed="false">
      <c r="A5783" s="50" t="s">
        <v>1971</v>
      </c>
      <c r="B5783" s="51" t="n">
        <v>46009</v>
      </c>
      <c r="C5783" s="50" t="s">
        <v>234</v>
      </c>
      <c r="D5783" s="50" t="s">
        <v>2181</v>
      </c>
      <c r="E5783" s="50" t="n">
        <v>7</v>
      </c>
      <c r="F5783" s="50" t="s">
        <v>2167</v>
      </c>
      <c r="G5783" s="54" t="n">
        <v>8219100</v>
      </c>
    </row>
    <row r="5784" customFormat="false" ht="15" hidden="false" customHeight="false" outlineLevel="0" collapsed="false">
      <c r="A5784" s="50" t="s">
        <v>1971</v>
      </c>
      <c r="B5784" s="51" t="n">
        <v>46009</v>
      </c>
      <c r="C5784" s="50" t="s">
        <v>234</v>
      </c>
      <c r="D5784" s="50" t="s">
        <v>2185</v>
      </c>
      <c r="E5784" s="50" t="n">
        <v>5</v>
      </c>
      <c r="F5784" s="50" t="s">
        <v>2174</v>
      </c>
      <c r="G5784" s="54" t="n">
        <v>3981300</v>
      </c>
    </row>
    <row r="5785" customFormat="false" ht="15" hidden="false" customHeight="false" outlineLevel="0" collapsed="false">
      <c r="A5785" s="50" t="s">
        <v>1971</v>
      </c>
      <c r="B5785" s="51" t="n">
        <v>46009</v>
      </c>
      <c r="C5785" s="50" t="s">
        <v>234</v>
      </c>
      <c r="D5785" s="50" t="s">
        <v>2166</v>
      </c>
      <c r="E5785" s="50" t="n">
        <v>5</v>
      </c>
      <c r="F5785" s="50" t="s">
        <v>2167</v>
      </c>
      <c r="G5785" s="54" t="n">
        <v>2774300</v>
      </c>
    </row>
    <row r="5786" customFormat="false" ht="15" hidden="false" customHeight="false" outlineLevel="0" collapsed="false">
      <c r="A5786" s="50" t="s">
        <v>1972</v>
      </c>
      <c r="B5786" s="51" t="n">
        <v>46009</v>
      </c>
      <c r="C5786" s="50" t="s">
        <v>693</v>
      </c>
      <c r="D5786" s="50" t="s">
        <v>2177</v>
      </c>
      <c r="E5786" s="50" t="n">
        <v>8</v>
      </c>
      <c r="F5786" s="50" t="s">
        <v>2174</v>
      </c>
      <c r="G5786" s="54" t="n">
        <v>9131900</v>
      </c>
    </row>
    <row r="5787" customFormat="false" ht="15" hidden="false" customHeight="false" outlineLevel="0" collapsed="false">
      <c r="A5787" s="50" t="s">
        <v>1972</v>
      </c>
      <c r="B5787" s="51" t="n">
        <v>46009</v>
      </c>
      <c r="C5787" s="50" t="s">
        <v>693</v>
      </c>
      <c r="D5787" s="50" t="s">
        <v>2173</v>
      </c>
      <c r="E5787" s="50" t="n">
        <v>6</v>
      </c>
      <c r="F5787" s="50" t="s">
        <v>2174</v>
      </c>
      <c r="G5787" s="54" t="n">
        <v>4896800</v>
      </c>
    </row>
    <row r="5788" customFormat="false" ht="15" hidden="false" customHeight="false" outlineLevel="0" collapsed="false">
      <c r="A5788" s="50" t="s">
        <v>1972</v>
      </c>
      <c r="B5788" s="51" t="n">
        <v>46009</v>
      </c>
      <c r="C5788" s="50" t="s">
        <v>693</v>
      </c>
      <c r="D5788" s="50" t="s">
        <v>2186</v>
      </c>
      <c r="E5788" s="50" t="n">
        <v>3</v>
      </c>
      <c r="F5788" s="50" t="s">
        <v>2167</v>
      </c>
      <c r="G5788" s="54" t="n">
        <v>1749500</v>
      </c>
    </row>
    <row r="5789" customFormat="false" ht="15" hidden="false" customHeight="false" outlineLevel="0" collapsed="false">
      <c r="A5789" s="50" t="s">
        <v>1972</v>
      </c>
      <c r="B5789" s="51" t="n">
        <v>46009</v>
      </c>
      <c r="C5789" s="50" t="s">
        <v>693</v>
      </c>
      <c r="D5789" s="50" t="s">
        <v>2184</v>
      </c>
      <c r="E5789" s="50" t="n">
        <v>7</v>
      </c>
      <c r="F5789" s="50" t="s">
        <v>2167</v>
      </c>
      <c r="G5789" s="54" t="n">
        <v>4063400</v>
      </c>
    </row>
    <row r="5790" customFormat="false" ht="15" hidden="false" customHeight="false" outlineLevel="0" collapsed="false">
      <c r="A5790" s="50" t="s">
        <v>1972</v>
      </c>
      <c r="B5790" s="51" t="n">
        <v>46009</v>
      </c>
      <c r="C5790" s="50" t="s">
        <v>693</v>
      </c>
      <c r="D5790" s="50" t="s">
        <v>2188</v>
      </c>
      <c r="E5790" s="50" t="n">
        <v>4</v>
      </c>
      <c r="F5790" s="50" t="s">
        <v>2167</v>
      </c>
      <c r="G5790" s="54" t="n">
        <v>4013100</v>
      </c>
    </row>
    <row r="5791" customFormat="false" ht="15" hidden="false" customHeight="false" outlineLevel="0" collapsed="false">
      <c r="A5791" s="50" t="s">
        <v>1972</v>
      </c>
      <c r="B5791" s="51" t="n">
        <v>46009</v>
      </c>
      <c r="C5791" s="50" t="s">
        <v>693</v>
      </c>
      <c r="D5791" s="50" t="s">
        <v>2175</v>
      </c>
      <c r="E5791" s="50" t="n">
        <v>6</v>
      </c>
      <c r="F5791" s="50" t="s">
        <v>2167</v>
      </c>
      <c r="G5791" s="54" t="n">
        <v>3782400</v>
      </c>
    </row>
    <row r="5792" customFormat="false" ht="15" hidden="false" customHeight="false" outlineLevel="0" collapsed="false">
      <c r="A5792" s="50" t="s">
        <v>1972</v>
      </c>
      <c r="B5792" s="51" t="n">
        <v>46009</v>
      </c>
      <c r="C5792" s="50" t="s">
        <v>693</v>
      </c>
      <c r="D5792" s="50" t="s">
        <v>2180</v>
      </c>
      <c r="E5792" s="50" t="n">
        <v>2</v>
      </c>
      <c r="F5792" s="50" t="s">
        <v>2167</v>
      </c>
      <c r="G5792" s="54" t="n">
        <v>929300</v>
      </c>
    </row>
    <row r="5793" customFormat="false" ht="15" hidden="false" customHeight="false" outlineLevel="0" collapsed="false">
      <c r="A5793" s="50" t="s">
        <v>1973</v>
      </c>
      <c r="B5793" s="51" t="n">
        <v>46009</v>
      </c>
      <c r="C5793" s="50" t="s">
        <v>523</v>
      </c>
      <c r="D5793" s="50" t="s">
        <v>2181</v>
      </c>
      <c r="E5793" s="50" t="n">
        <v>3</v>
      </c>
      <c r="F5793" s="50" t="s">
        <v>2167</v>
      </c>
      <c r="G5793" s="54" t="n">
        <v>3452600</v>
      </c>
    </row>
    <row r="5794" customFormat="false" ht="15" hidden="false" customHeight="false" outlineLevel="0" collapsed="false">
      <c r="A5794" s="50" t="s">
        <v>1973</v>
      </c>
      <c r="B5794" s="51" t="n">
        <v>46009</v>
      </c>
      <c r="C5794" s="50" t="s">
        <v>523</v>
      </c>
      <c r="D5794" s="50" t="s">
        <v>2186</v>
      </c>
      <c r="E5794" s="50" t="n">
        <v>5</v>
      </c>
      <c r="F5794" s="50" t="s">
        <v>2167</v>
      </c>
      <c r="G5794" s="54" t="n">
        <v>3004500</v>
      </c>
    </row>
    <row r="5795" customFormat="false" ht="15" hidden="false" customHeight="false" outlineLevel="0" collapsed="false">
      <c r="A5795" s="50" t="s">
        <v>1973</v>
      </c>
      <c r="B5795" s="51" t="n">
        <v>46009</v>
      </c>
      <c r="C5795" s="50" t="s">
        <v>523</v>
      </c>
      <c r="D5795" s="50" t="s">
        <v>2187</v>
      </c>
      <c r="E5795" s="50" t="n">
        <v>8</v>
      </c>
      <c r="F5795" s="50" t="s">
        <v>2167</v>
      </c>
      <c r="G5795" s="54" t="n">
        <v>2897000</v>
      </c>
    </row>
    <row r="5796" customFormat="false" ht="15" hidden="false" customHeight="false" outlineLevel="0" collapsed="false">
      <c r="A5796" s="50" t="s">
        <v>1973</v>
      </c>
      <c r="B5796" s="51" t="n">
        <v>46009</v>
      </c>
      <c r="C5796" s="50" t="s">
        <v>523</v>
      </c>
      <c r="D5796" s="50" t="s">
        <v>2173</v>
      </c>
      <c r="E5796" s="50" t="n">
        <v>1</v>
      </c>
      <c r="F5796" s="50" t="s">
        <v>2174</v>
      </c>
      <c r="G5796" s="54" t="n">
        <v>797100</v>
      </c>
    </row>
    <row r="5797" customFormat="false" ht="15" hidden="false" customHeight="false" outlineLevel="0" collapsed="false">
      <c r="A5797" s="50" t="s">
        <v>1973</v>
      </c>
      <c r="B5797" s="51" t="n">
        <v>46009</v>
      </c>
      <c r="C5797" s="50" t="s">
        <v>523</v>
      </c>
      <c r="D5797" s="50" t="s">
        <v>2175</v>
      </c>
      <c r="E5797" s="50" t="n">
        <v>3</v>
      </c>
      <c r="F5797" s="50" t="s">
        <v>2167</v>
      </c>
      <c r="G5797" s="54" t="n">
        <v>1923800</v>
      </c>
    </row>
    <row r="5798" customFormat="false" ht="15" hidden="false" customHeight="false" outlineLevel="0" collapsed="false">
      <c r="A5798" s="50" t="s">
        <v>1974</v>
      </c>
      <c r="B5798" s="51" t="n">
        <v>46010</v>
      </c>
      <c r="C5798" s="50" t="s">
        <v>174</v>
      </c>
      <c r="D5798" s="50" t="s">
        <v>2169</v>
      </c>
      <c r="E5798" s="50" t="n">
        <v>5</v>
      </c>
      <c r="F5798" s="50" t="s">
        <v>2167</v>
      </c>
      <c r="G5798" s="54" t="n">
        <v>3172800</v>
      </c>
    </row>
    <row r="5799" customFormat="false" ht="15" hidden="false" customHeight="false" outlineLevel="0" collapsed="false">
      <c r="A5799" s="50" t="s">
        <v>1974</v>
      </c>
      <c r="B5799" s="51" t="n">
        <v>46010</v>
      </c>
      <c r="C5799" s="50" t="s">
        <v>174</v>
      </c>
      <c r="D5799" s="50" t="s">
        <v>2168</v>
      </c>
      <c r="E5799" s="50" t="n">
        <v>7</v>
      </c>
      <c r="F5799" s="50" t="s">
        <v>2167</v>
      </c>
      <c r="G5799" s="54" t="n">
        <v>3085900</v>
      </c>
    </row>
    <row r="5800" customFormat="false" ht="15" hidden="false" customHeight="false" outlineLevel="0" collapsed="false">
      <c r="A5800" s="50" t="s">
        <v>1975</v>
      </c>
      <c r="B5800" s="51" t="n">
        <v>46010</v>
      </c>
      <c r="C5800" s="50" t="s">
        <v>358</v>
      </c>
      <c r="D5800" s="50" t="s">
        <v>2178</v>
      </c>
      <c r="E5800" s="50" t="n">
        <v>3</v>
      </c>
      <c r="F5800" s="50" t="s">
        <v>2167</v>
      </c>
      <c r="G5800" s="54" t="n">
        <v>1455300</v>
      </c>
    </row>
    <row r="5801" customFormat="false" ht="15" hidden="false" customHeight="false" outlineLevel="0" collapsed="false">
      <c r="A5801" s="50" t="s">
        <v>1975</v>
      </c>
      <c r="B5801" s="51" t="n">
        <v>46010</v>
      </c>
      <c r="C5801" s="50" t="s">
        <v>358</v>
      </c>
      <c r="D5801" s="50" t="s">
        <v>2179</v>
      </c>
      <c r="E5801" s="50" t="n">
        <v>1</v>
      </c>
      <c r="F5801" s="50" t="s">
        <v>2174</v>
      </c>
      <c r="G5801" s="54" t="n">
        <v>1287400</v>
      </c>
    </row>
    <row r="5802" customFormat="false" ht="15" hidden="false" customHeight="false" outlineLevel="0" collapsed="false">
      <c r="A5802" s="50" t="s">
        <v>1975</v>
      </c>
      <c r="B5802" s="51" t="n">
        <v>46010</v>
      </c>
      <c r="C5802" s="50" t="s">
        <v>358</v>
      </c>
      <c r="D5802" s="50" t="s">
        <v>2187</v>
      </c>
      <c r="E5802" s="50" t="n">
        <v>6</v>
      </c>
      <c r="F5802" s="50" t="s">
        <v>2167</v>
      </c>
      <c r="G5802" s="54" t="n">
        <v>2142800</v>
      </c>
    </row>
    <row r="5803" customFormat="false" ht="15" hidden="false" customHeight="false" outlineLevel="0" collapsed="false">
      <c r="A5803" s="50" t="s">
        <v>1975</v>
      </c>
      <c r="B5803" s="51" t="n">
        <v>46010</v>
      </c>
      <c r="C5803" s="50" t="s">
        <v>358</v>
      </c>
      <c r="D5803" s="50" t="s">
        <v>2176</v>
      </c>
      <c r="E5803" s="50" t="n">
        <v>7</v>
      </c>
      <c r="F5803" s="50" t="s">
        <v>2167</v>
      </c>
      <c r="G5803" s="54" t="n">
        <v>2906000</v>
      </c>
    </row>
    <row r="5804" customFormat="false" ht="15" hidden="false" customHeight="false" outlineLevel="0" collapsed="false">
      <c r="A5804" s="50" t="s">
        <v>1976</v>
      </c>
      <c r="B5804" s="51" t="n">
        <v>46010</v>
      </c>
      <c r="C5804" s="50" t="s">
        <v>278</v>
      </c>
      <c r="D5804" s="50" t="s">
        <v>2172</v>
      </c>
      <c r="E5804" s="50" t="n">
        <v>3</v>
      </c>
      <c r="F5804" s="50" t="s">
        <v>2167</v>
      </c>
      <c r="G5804" s="54" t="n">
        <v>1543300</v>
      </c>
    </row>
    <row r="5805" customFormat="false" ht="15" hidden="false" customHeight="false" outlineLevel="0" collapsed="false">
      <c r="A5805" s="50" t="s">
        <v>1976</v>
      </c>
      <c r="B5805" s="51" t="n">
        <v>46010</v>
      </c>
      <c r="C5805" s="50" t="s">
        <v>278</v>
      </c>
      <c r="D5805" s="50" t="s">
        <v>2179</v>
      </c>
      <c r="E5805" s="50" t="n">
        <v>6</v>
      </c>
      <c r="F5805" s="50" t="s">
        <v>2174</v>
      </c>
      <c r="G5805" s="54" t="n">
        <v>7753300</v>
      </c>
    </row>
    <row r="5806" customFormat="false" ht="15" hidden="false" customHeight="false" outlineLevel="0" collapsed="false">
      <c r="A5806" s="50" t="s">
        <v>1976</v>
      </c>
      <c r="B5806" s="51" t="n">
        <v>46010</v>
      </c>
      <c r="C5806" s="50" t="s">
        <v>278</v>
      </c>
      <c r="D5806" s="50" t="s">
        <v>2169</v>
      </c>
      <c r="E5806" s="50" t="n">
        <v>4</v>
      </c>
      <c r="F5806" s="50" t="s">
        <v>2167</v>
      </c>
      <c r="G5806" s="54" t="n">
        <v>2428600</v>
      </c>
    </row>
    <row r="5807" customFormat="false" ht="15" hidden="false" customHeight="false" outlineLevel="0" collapsed="false">
      <c r="A5807" s="50" t="s">
        <v>1976</v>
      </c>
      <c r="B5807" s="51" t="n">
        <v>46010</v>
      </c>
      <c r="C5807" s="50" t="s">
        <v>278</v>
      </c>
      <c r="D5807" s="50" t="s">
        <v>2176</v>
      </c>
      <c r="E5807" s="50" t="n">
        <v>3</v>
      </c>
      <c r="F5807" s="50" t="s">
        <v>2167</v>
      </c>
      <c r="G5807" s="54" t="n">
        <v>1283600</v>
      </c>
    </row>
    <row r="5808" customFormat="false" ht="15" hidden="false" customHeight="false" outlineLevel="0" collapsed="false">
      <c r="A5808" s="50" t="s">
        <v>1976</v>
      </c>
      <c r="B5808" s="51" t="n">
        <v>46010</v>
      </c>
      <c r="C5808" s="50" t="s">
        <v>278</v>
      </c>
      <c r="D5808" s="50" t="s">
        <v>2183</v>
      </c>
      <c r="E5808" s="50" t="n">
        <v>7</v>
      </c>
      <c r="F5808" s="50" t="s">
        <v>2167</v>
      </c>
      <c r="G5808" s="54" t="n">
        <v>2643800</v>
      </c>
    </row>
    <row r="5809" customFormat="false" ht="15" hidden="false" customHeight="false" outlineLevel="0" collapsed="false">
      <c r="A5809" s="50" t="s">
        <v>1977</v>
      </c>
      <c r="B5809" s="51" t="n">
        <v>46010</v>
      </c>
      <c r="C5809" s="50" t="s">
        <v>354</v>
      </c>
      <c r="D5809" s="50" t="s">
        <v>2180</v>
      </c>
      <c r="E5809" s="50" t="n">
        <v>1</v>
      </c>
      <c r="F5809" s="50" t="s">
        <v>2167</v>
      </c>
      <c r="G5809" s="54" t="n">
        <v>435600</v>
      </c>
    </row>
    <row r="5810" customFormat="false" ht="15" hidden="false" customHeight="false" outlineLevel="0" collapsed="false">
      <c r="A5810" s="50" t="s">
        <v>1977</v>
      </c>
      <c r="B5810" s="51" t="n">
        <v>46010</v>
      </c>
      <c r="C5810" s="50" t="s">
        <v>354</v>
      </c>
      <c r="D5810" s="50" t="s">
        <v>2175</v>
      </c>
      <c r="E5810" s="50" t="n">
        <v>5</v>
      </c>
      <c r="F5810" s="50" t="s">
        <v>2167</v>
      </c>
      <c r="G5810" s="54" t="n">
        <v>3260700</v>
      </c>
    </row>
    <row r="5811" customFormat="false" ht="15" hidden="false" customHeight="false" outlineLevel="0" collapsed="false">
      <c r="A5811" s="50" t="s">
        <v>1977</v>
      </c>
      <c r="B5811" s="51" t="n">
        <v>46010</v>
      </c>
      <c r="C5811" s="50" t="s">
        <v>354</v>
      </c>
      <c r="D5811" s="50" t="s">
        <v>2176</v>
      </c>
      <c r="E5811" s="50" t="n">
        <v>4</v>
      </c>
      <c r="F5811" s="50" t="s">
        <v>2167</v>
      </c>
      <c r="G5811" s="54" t="n">
        <v>1654600</v>
      </c>
    </row>
    <row r="5812" customFormat="false" ht="15" hidden="false" customHeight="false" outlineLevel="0" collapsed="false">
      <c r="A5812" s="50" t="s">
        <v>1977</v>
      </c>
      <c r="B5812" s="51" t="n">
        <v>46010</v>
      </c>
      <c r="C5812" s="50" t="s">
        <v>354</v>
      </c>
      <c r="D5812" s="50" t="s">
        <v>2183</v>
      </c>
      <c r="E5812" s="50" t="n">
        <v>2</v>
      </c>
      <c r="F5812" s="50" t="s">
        <v>2167</v>
      </c>
      <c r="G5812" s="54" t="n">
        <v>739600</v>
      </c>
    </row>
    <row r="5813" customFormat="false" ht="15" hidden="false" customHeight="false" outlineLevel="0" collapsed="false">
      <c r="A5813" s="50" t="s">
        <v>1978</v>
      </c>
      <c r="B5813" s="51" t="n">
        <v>46010</v>
      </c>
      <c r="C5813" s="50" t="s">
        <v>249</v>
      </c>
      <c r="D5813" s="50" t="s">
        <v>2185</v>
      </c>
      <c r="E5813" s="50" t="n">
        <v>6</v>
      </c>
      <c r="F5813" s="50" t="s">
        <v>2174</v>
      </c>
      <c r="G5813" s="54" t="n">
        <v>4839700</v>
      </c>
    </row>
    <row r="5814" customFormat="false" ht="15" hidden="false" customHeight="false" outlineLevel="0" collapsed="false">
      <c r="A5814" s="50" t="s">
        <v>1978</v>
      </c>
      <c r="B5814" s="51" t="n">
        <v>46010</v>
      </c>
      <c r="C5814" s="50" t="s">
        <v>249</v>
      </c>
      <c r="D5814" s="50" t="s">
        <v>2186</v>
      </c>
      <c r="E5814" s="50" t="n">
        <v>1</v>
      </c>
      <c r="F5814" s="50" t="s">
        <v>2167</v>
      </c>
      <c r="G5814" s="54" t="n">
        <v>604600</v>
      </c>
    </row>
    <row r="5815" customFormat="false" ht="15" hidden="false" customHeight="false" outlineLevel="0" collapsed="false">
      <c r="A5815" s="50" t="s">
        <v>1978</v>
      </c>
      <c r="B5815" s="51" t="n">
        <v>46010</v>
      </c>
      <c r="C5815" s="50" t="s">
        <v>249</v>
      </c>
      <c r="D5815" s="50" t="s">
        <v>2173</v>
      </c>
      <c r="E5815" s="50" t="n">
        <v>8</v>
      </c>
      <c r="F5815" s="50" t="s">
        <v>2174</v>
      </c>
      <c r="G5815" s="54" t="n">
        <v>6186100</v>
      </c>
    </row>
    <row r="5816" customFormat="false" ht="15" hidden="false" customHeight="false" outlineLevel="0" collapsed="false">
      <c r="A5816" s="50" t="s">
        <v>1979</v>
      </c>
      <c r="B5816" s="51" t="n">
        <v>46011</v>
      </c>
      <c r="C5816" s="50" t="s">
        <v>166</v>
      </c>
      <c r="D5816" s="50" t="s">
        <v>2168</v>
      </c>
      <c r="E5816" s="50" t="n">
        <v>5</v>
      </c>
      <c r="F5816" s="50" t="s">
        <v>2167</v>
      </c>
      <c r="G5816" s="54" t="n">
        <v>2079400</v>
      </c>
    </row>
    <row r="5817" customFormat="false" ht="15" hidden="false" customHeight="false" outlineLevel="0" collapsed="false">
      <c r="A5817" s="50" t="s">
        <v>1979</v>
      </c>
      <c r="B5817" s="51" t="n">
        <v>46011</v>
      </c>
      <c r="C5817" s="50" t="s">
        <v>166</v>
      </c>
      <c r="D5817" s="50" t="s">
        <v>2184</v>
      </c>
      <c r="E5817" s="50" t="n">
        <v>4</v>
      </c>
      <c r="F5817" s="50" t="s">
        <v>2167</v>
      </c>
      <c r="G5817" s="54" t="n">
        <v>2255300</v>
      </c>
    </row>
    <row r="5818" customFormat="false" ht="15" hidden="false" customHeight="false" outlineLevel="0" collapsed="false">
      <c r="A5818" s="50" t="s">
        <v>1980</v>
      </c>
      <c r="B5818" s="51" t="n">
        <v>46011</v>
      </c>
      <c r="C5818" s="50" t="s">
        <v>195</v>
      </c>
      <c r="D5818" s="50" t="s">
        <v>2178</v>
      </c>
      <c r="E5818" s="50" t="n">
        <v>3</v>
      </c>
      <c r="F5818" s="50" t="s">
        <v>2167</v>
      </c>
      <c r="G5818" s="54" t="n">
        <v>1436000</v>
      </c>
    </row>
    <row r="5819" customFormat="false" ht="15" hidden="false" customHeight="false" outlineLevel="0" collapsed="false">
      <c r="A5819" s="50" t="s">
        <v>1981</v>
      </c>
      <c r="B5819" s="51" t="n">
        <v>46011</v>
      </c>
      <c r="C5819" s="50" t="s">
        <v>681</v>
      </c>
      <c r="D5819" s="50" t="s">
        <v>2186</v>
      </c>
      <c r="E5819" s="50" t="n">
        <v>4</v>
      </c>
      <c r="F5819" s="50" t="s">
        <v>2167</v>
      </c>
      <c r="G5819" s="54" t="n">
        <v>2400100</v>
      </c>
    </row>
    <row r="5820" customFormat="false" ht="15" hidden="false" customHeight="false" outlineLevel="0" collapsed="false">
      <c r="A5820" s="50" t="s">
        <v>1981</v>
      </c>
      <c r="B5820" s="51" t="n">
        <v>46011</v>
      </c>
      <c r="C5820" s="50" t="s">
        <v>681</v>
      </c>
      <c r="D5820" s="50" t="s">
        <v>2169</v>
      </c>
      <c r="E5820" s="50" t="n">
        <v>8</v>
      </c>
      <c r="F5820" s="50" t="s">
        <v>2167</v>
      </c>
      <c r="G5820" s="54" t="n">
        <v>5093700</v>
      </c>
    </row>
    <row r="5821" customFormat="false" ht="15" hidden="false" customHeight="false" outlineLevel="0" collapsed="false">
      <c r="A5821" s="50" t="s">
        <v>1981</v>
      </c>
      <c r="B5821" s="51" t="n">
        <v>46011</v>
      </c>
      <c r="C5821" s="50" t="s">
        <v>681</v>
      </c>
      <c r="D5821" s="50" t="s">
        <v>2177</v>
      </c>
      <c r="E5821" s="50" t="n">
        <v>3</v>
      </c>
      <c r="F5821" s="50" t="s">
        <v>2174</v>
      </c>
      <c r="G5821" s="54" t="n">
        <v>3426000</v>
      </c>
    </row>
    <row r="5822" customFormat="false" ht="15" hidden="false" customHeight="false" outlineLevel="0" collapsed="false">
      <c r="A5822" s="50" t="s">
        <v>1981</v>
      </c>
      <c r="B5822" s="51" t="n">
        <v>46011</v>
      </c>
      <c r="C5822" s="50" t="s">
        <v>681</v>
      </c>
      <c r="D5822" s="50" t="s">
        <v>2175</v>
      </c>
      <c r="E5822" s="50" t="n">
        <v>8</v>
      </c>
      <c r="F5822" s="50" t="s">
        <v>2167</v>
      </c>
      <c r="G5822" s="54" t="n">
        <v>5159100</v>
      </c>
    </row>
    <row r="5823" customFormat="false" ht="15" hidden="false" customHeight="false" outlineLevel="0" collapsed="false">
      <c r="A5823" s="50" t="s">
        <v>1981</v>
      </c>
      <c r="B5823" s="51" t="n">
        <v>46011</v>
      </c>
      <c r="C5823" s="50" t="s">
        <v>681</v>
      </c>
      <c r="D5823" s="50" t="s">
        <v>2184</v>
      </c>
      <c r="E5823" s="50" t="n">
        <v>8</v>
      </c>
      <c r="F5823" s="50" t="s">
        <v>2167</v>
      </c>
      <c r="G5823" s="54" t="n">
        <v>4341900</v>
      </c>
    </row>
    <row r="5824" customFormat="false" ht="15" hidden="false" customHeight="false" outlineLevel="0" collapsed="false">
      <c r="A5824" s="50" t="s">
        <v>1982</v>
      </c>
      <c r="B5824" s="51" t="n">
        <v>46011</v>
      </c>
      <c r="C5824" s="50" t="s">
        <v>199</v>
      </c>
      <c r="D5824" s="50" t="s">
        <v>2168</v>
      </c>
      <c r="E5824" s="50" t="n">
        <v>6</v>
      </c>
      <c r="F5824" s="50" t="s">
        <v>2167</v>
      </c>
      <c r="G5824" s="54" t="n">
        <v>2493600</v>
      </c>
    </row>
    <row r="5825" customFormat="false" ht="15" hidden="false" customHeight="false" outlineLevel="0" collapsed="false">
      <c r="A5825" s="50" t="s">
        <v>1982</v>
      </c>
      <c r="B5825" s="51" t="n">
        <v>46011</v>
      </c>
      <c r="C5825" s="50" t="s">
        <v>199</v>
      </c>
      <c r="D5825" s="50" t="s">
        <v>2178</v>
      </c>
      <c r="E5825" s="50" t="n">
        <v>1</v>
      </c>
      <c r="F5825" s="50" t="s">
        <v>2167</v>
      </c>
      <c r="G5825" s="54" t="n">
        <v>467200</v>
      </c>
    </row>
    <row r="5826" customFormat="false" ht="15" hidden="false" customHeight="false" outlineLevel="0" collapsed="false">
      <c r="A5826" s="50" t="s">
        <v>1982</v>
      </c>
      <c r="B5826" s="51" t="n">
        <v>46011</v>
      </c>
      <c r="C5826" s="50" t="s">
        <v>199</v>
      </c>
      <c r="D5826" s="50" t="s">
        <v>2188</v>
      </c>
      <c r="E5826" s="50" t="n">
        <v>7</v>
      </c>
      <c r="F5826" s="50" t="s">
        <v>2167</v>
      </c>
      <c r="G5826" s="54" t="n">
        <v>7116700</v>
      </c>
    </row>
    <row r="5827" customFormat="false" ht="15" hidden="false" customHeight="false" outlineLevel="0" collapsed="false">
      <c r="A5827" s="50" t="s">
        <v>1983</v>
      </c>
      <c r="B5827" s="51" t="n">
        <v>46013</v>
      </c>
      <c r="C5827" s="50" t="s">
        <v>846</v>
      </c>
      <c r="D5827" s="50" t="s">
        <v>2183</v>
      </c>
      <c r="E5827" s="50" t="n">
        <v>2</v>
      </c>
      <c r="F5827" s="50" t="s">
        <v>2167</v>
      </c>
      <c r="G5827" s="54" t="n">
        <v>767500</v>
      </c>
    </row>
    <row r="5828" customFormat="false" ht="15" hidden="false" customHeight="false" outlineLevel="0" collapsed="false">
      <c r="A5828" s="50" t="s">
        <v>1983</v>
      </c>
      <c r="B5828" s="51" t="n">
        <v>46013</v>
      </c>
      <c r="C5828" s="50" t="s">
        <v>846</v>
      </c>
      <c r="D5828" s="50" t="s">
        <v>2179</v>
      </c>
      <c r="E5828" s="50" t="n">
        <v>6</v>
      </c>
      <c r="F5828" s="50" t="s">
        <v>2174</v>
      </c>
      <c r="G5828" s="54" t="n">
        <v>7721300</v>
      </c>
    </row>
    <row r="5829" customFormat="false" ht="15" hidden="false" customHeight="false" outlineLevel="0" collapsed="false">
      <c r="A5829" s="50" t="s">
        <v>1983</v>
      </c>
      <c r="B5829" s="51" t="n">
        <v>46013</v>
      </c>
      <c r="C5829" s="50" t="s">
        <v>846</v>
      </c>
      <c r="D5829" s="50" t="s">
        <v>2176</v>
      </c>
      <c r="E5829" s="50" t="n">
        <v>2</v>
      </c>
      <c r="F5829" s="50" t="s">
        <v>2167</v>
      </c>
      <c r="G5829" s="54" t="n">
        <v>809100</v>
      </c>
    </row>
    <row r="5830" customFormat="false" ht="15" hidden="false" customHeight="false" outlineLevel="0" collapsed="false">
      <c r="A5830" s="50" t="s">
        <v>1983</v>
      </c>
      <c r="B5830" s="51" t="n">
        <v>46013</v>
      </c>
      <c r="C5830" s="50" t="s">
        <v>846</v>
      </c>
      <c r="D5830" s="50" t="s">
        <v>2168</v>
      </c>
      <c r="E5830" s="50" t="n">
        <v>6</v>
      </c>
      <c r="F5830" s="50" t="s">
        <v>2167</v>
      </c>
      <c r="G5830" s="54" t="n">
        <v>2611400</v>
      </c>
    </row>
    <row r="5831" customFormat="false" ht="15" hidden="false" customHeight="false" outlineLevel="0" collapsed="false">
      <c r="A5831" s="50" t="s">
        <v>1984</v>
      </c>
      <c r="B5831" s="51" t="n">
        <v>46014</v>
      </c>
      <c r="C5831" s="50" t="s">
        <v>315</v>
      </c>
      <c r="D5831" s="50" t="s">
        <v>2178</v>
      </c>
      <c r="E5831" s="50" t="n">
        <v>5</v>
      </c>
      <c r="F5831" s="50" t="s">
        <v>2167</v>
      </c>
      <c r="G5831" s="54" t="n">
        <v>2450300</v>
      </c>
    </row>
    <row r="5832" customFormat="false" ht="15" hidden="false" customHeight="false" outlineLevel="0" collapsed="false">
      <c r="A5832" s="50" t="s">
        <v>1984</v>
      </c>
      <c r="B5832" s="51" t="n">
        <v>46014</v>
      </c>
      <c r="C5832" s="50" t="s">
        <v>315</v>
      </c>
      <c r="D5832" s="50" t="s">
        <v>2176</v>
      </c>
      <c r="E5832" s="50" t="n">
        <v>8</v>
      </c>
      <c r="F5832" s="50" t="s">
        <v>2167</v>
      </c>
      <c r="G5832" s="54" t="n">
        <v>3491900</v>
      </c>
    </row>
    <row r="5833" customFormat="false" ht="15" hidden="false" customHeight="false" outlineLevel="0" collapsed="false">
      <c r="A5833" s="50" t="s">
        <v>1985</v>
      </c>
      <c r="B5833" s="51" t="n">
        <v>46014</v>
      </c>
      <c r="C5833" s="50" t="s">
        <v>693</v>
      </c>
      <c r="D5833" s="50" t="s">
        <v>2186</v>
      </c>
      <c r="E5833" s="50" t="n">
        <v>5</v>
      </c>
      <c r="F5833" s="50" t="s">
        <v>2167</v>
      </c>
      <c r="G5833" s="54" t="n">
        <v>3057300</v>
      </c>
    </row>
    <row r="5834" customFormat="false" ht="15" hidden="false" customHeight="false" outlineLevel="0" collapsed="false">
      <c r="A5834" s="50" t="s">
        <v>1985</v>
      </c>
      <c r="B5834" s="51" t="n">
        <v>46014</v>
      </c>
      <c r="C5834" s="50" t="s">
        <v>693</v>
      </c>
      <c r="D5834" s="50" t="s">
        <v>2178</v>
      </c>
      <c r="E5834" s="50" t="n">
        <v>3</v>
      </c>
      <c r="F5834" s="50" t="s">
        <v>2167</v>
      </c>
      <c r="G5834" s="54" t="n">
        <v>1403600</v>
      </c>
    </row>
    <row r="5835" customFormat="false" ht="15" hidden="false" customHeight="false" outlineLevel="0" collapsed="false">
      <c r="A5835" s="50" t="s">
        <v>1986</v>
      </c>
      <c r="B5835" s="51" t="n">
        <v>46014</v>
      </c>
      <c r="C5835" s="50" t="s">
        <v>436</v>
      </c>
      <c r="D5835" s="50" t="s">
        <v>2183</v>
      </c>
      <c r="E5835" s="50" t="n">
        <v>8</v>
      </c>
      <c r="F5835" s="50" t="s">
        <v>2167</v>
      </c>
      <c r="G5835" s="54" t="n">
        <v>3010300</v>
      </c>
    </row>
    <row r="5836" customFormat="false" ht="15" hidden="false" customHeight="false" outlineLevel="0" collapsed="false">
      <c r="A5836" s="50" t="s">
        <v>1987</v>
      </c>
      <c r="B5836" s="51" t="n">
        <v>46014</v>
      </c>
      <c r="C5836" s="50" t="s">
        <v>174</v>
      </c>
      <c r="D5836" s="50" t="s">
        <v>2175</v>
      </c>
      <c r="E5836" s="50" t="n">
        <v>6</v>
      </c>
      <c r="F5836" s="50" t="s">
        <v>2167</v>
      </c>
      <c r="G5836" s="54" t="n">
        <v>3767800</v>
      </c>
    </row>
    <row r="5837" customFormat="false" ht="15" hidden="false" customHeight="false" outlineLevel="0" collapsed="false">
      <c r="A5837" s="50" t="s">
        <v>1987</v>
      </c>
      <c r="B5837" s="51" t="n">
        <v>46014</v>
      </c>
      <c r="C5837" s="50" t="s">
        <v>174</v>
      </c>
      <c r="D5837" s="50" t="s">
        <v>2186</v>
      </c>
      <c r="E5837" s="50" t="n">
        <v>1</v>
      </c>
      <c r="F5837" s="50" t="s">
        <v>2167</v>
      </c>
      <c r="G5837" s="54" t="n">
        <v>593200</v>
      </c>
    </row>
    <row r="5838" customFormat="false" ht="15" hidden="false" customHeight="false" outlineLevel="0" collapsed="false">
      <c r="A5838" s="50" t="s">
        <v>1987</v>
      </c>
      <c r="B5838" s="51" t="n">
        <v>46014</v>
      </c>
      <c r="C5838" s="50" t="s">
        <v>174</v>
      </c>
      <c r="D5838" s="50" t="s">
        <v>2181</v>
      </c>
      <c r="E5838" s="50" t="n">
        <v>6</v>
      </c>
      <c r="F5838" s="50" t="s">
        <v>2167</v>
      </c>
      <c r="G5838" s="54" t="n">
        <v>6683500</v>
      </c>
    </row>
    <row r="5839" customFormat="false" ht="15" hidden="false" customHeight="false" outlineLevel="0" collapsed="false">
      <c r="A5839" s="50" t="s">
        <v>1987</v>
      </c>
      <c r="B5839" s="51" t="n">
        <v>46014</v>
      </c>
      <c r="C5839" s="50" t="s">
        <v>174</v>
      </c>
      <c r="D5839" s="50" t="s">
        <v>2169</v>
      </c>
      <c r="E5839" s="50" t="n">
        <v>7</v>
      </c>
      <c r="F5839" s="50" t="s">
        <v>2167</v>
      </c>
      <c r="G5839" s="54" t="n">
        <v>4272000</v>
      </c>
    </row>
    <row r="5840" customFormat="false" ht="15" hidden="false" customHeight="false" outlineLevel="0" collapsed="false">
      <c r="A5840" s="50" t="s">
        <v>1988</v>
      </c>
      <c r="B5840" s="51" t="n">
        <v>46015</v>
      </c>
      <c r="C5840" s="50" t="s">
        <v>693</v>
      </c>
      <c r="D5840" s="50" t="s">
        <v>2183</v>
      </c>
      <c r="E5840" s="50" t="n">
        <v>7</v>
      </c>
      <c r="F5840" s="50" t="s">
        <v>2167</v>
      </c>
      <c r="G5840" s="54" t="n">
        <v>2680000</v>
      </c>
    </row>
    <row r="5841" customFormat="false" ht="15" hidden="false" customHeight="false" outlineLevel="0" collapsed="false">
      <c r="A5841" s="50" t="s">
        <v>1988</v>
      </c>
      <c r="B5841" s="51" t="n">
        <v>46015</v>
      </c>
      <c r="C5841" s="50" t="s">
        <v>693</v>
      </c>
      <c r="D5841" s="50" t="s">
        <v>2170</v>
      </c>
      <c r="E5841" s="50" t="n">
        <v>2</v>
      </c>
      <c r="F5841" s="50" t="s">
        <v>2171</v>
      </c>
      <c r="G5841" s="54" t="n">
        <v>15193700</v>
      </c>
    </row>
    <row r="5842" customFormat="false" ht="15" hidden="false" customHeight="false" outlineLevel="0" collapsed="false">
      <c r="A5842" s="50" t="s">
        <v>1988</v>
      </c>
      <c r="B5842" s="51" t="n">
        <v>46015</v>
      </c>
      <c r="C5842" s="50" t="s">
        <v>693</v>
      </c>
      <c r="D5842" s="50" t="s">
        <v>2176</v>
      </c>
      <c r="E5842" s="50" t="n">
        <v>2</v>
      </c>
      <c r="F5842" s="50" t="s">
        <v>2167</v>
      </c>
      <c r="G5842" s="54" t="n">
        <v>869600</v>
      </c>
    </row>
    <row r="5843" customFormat="false" ht="15" hidden="false" customHeight="false" outlineLevel="0" collapsed="false">
      <c r="A5843" s="50" t="s">
        <v>1989</v>
      </c>
      <c r="B5843" s="51" t="n">
        <v>46015</v>
      </c>
      <c r="C5843" s="50" t="s">
        <v>562</v>
      </c>
      <c r="D5843" s="50" t="s">
        <v>2186</v>
      </c>
      <c r="E5843" s="50" t="n">
        <v>3</v>
      </c>
      <c r="F5843" s="50" t="s">
        <v>2167</v>
      </c>
      <c r="G5843" s="54" t="n">
        <v>1700200</v>
      </c>
    </row>
    <row r="5844" customFormat="false" ht="15" hidden="false" customHeight="false" outlineLevel="0" collapsed="false">
      <c r="A5844" s="50" t="s">
        <v>1989</v>
      </c>
      <c r="B5844" s="51" t="n">
        <v>46015</v>
      </c>
      <c r="C5844" s="50" t="s">
        <v>562</v>
      </c>
      <c r="D5844" s="50" t="s">
        <v>2169</v>
      </c>
      <c r="E5844" s="50" t="n">
        <v>8</v>
      </c>
      <c r="F5844" s="50" t="s">
        <v>2167</v>
      </c>
      <c r="G5844" s="54" t="n">
        <v>4900200</v>
      </c>
    </row>
    <row r="5845" customFormat="false" ht="15" hidden="false" customHeight="false" outlineLevel="0" collapsed="false">
      <c r="A5845" s="50" t="s">
        <v>1989</v>
      </c>
      <c r="B5845" s="51" t="n">
        <v>46015</v>
      </c>
      <c r="C5845" s="50" t="s">
        <v>562</v>
      </c>
      <c r="D5845" s="50" t="s">
        <v>2172</v>
      </c>
      <c r="E5845" s="50" t="n">
        <v>3</v>
      </c>
      <c r="F5845" s="50" t="s">
        <v>2167</v>
      </c>
      <c r="G5845" s="54" t="n">
        <v>1512100</v>
      </c>
    </row>
    <row r="5846" customFormat="false" ht="15" hidden="false" customHeight="false" outlineLevel="0" collapsed="false">
      <c r="A5846" s="50" t="s">
        <v>1989</v>
      </c>
      <c r="B5846" s="51" t="n">
        <v>46015</v>
      </c>
      <c r="C5846" s="50" t="s">
        <v>562</v>
      </c>
      <c r="D5846" s="50" t="s">
        <v>2185</v>
      </c>
      <c r="E5846" s="50" t="n">
        <v>7</v>
      </c>
      <c r="F5846" s="50" t="s">
        <v>2174</v>
      </c>
      <c r="G5846" s="54" t="n">
        <v>5273000</v>
      </c>
    </row>
    <row r="5847" customFormat="false" ht="15" hidden="false" customHeight="false" outlineLevel="0" collapsed="false">
      <c r="A5847" s="50" t="s">
        <v>1989</v>
      </c>
      <c r="B5847" s="51" t="n">
        <v>46015</v>
      </c>
      <c r="C5847" s="50" t="s">
        <v>562</v>
      </c>
      <c r="D5847" s="50" t="s">
        <v>2173</v>
      </c>
      <c r="E5847" s="50" t="n">
        <v>2</v>
      </c>
      <c r="F5847" s="50" t="s">
        <v>2174</v>
      </c>
      <c r="G5847" s="54" t="n">
        <v>1650300</v>
      </c>
    </row>
    <row r="5848" customFormat="false" ht="15" hidden="false" customHeight="false" outlineLevel="0" collapsed="false">
      <c r="A5848" s="50" t="s">
        <v>1990</v>
      </c>
      <c r="B5848" s="51" t="n">
        <v>46015</v>
      </c>
      <c r="C5848" s="50" t="s">
        <v>168</v>
      </c>
      <c r="D5848" s="50" t="s">
        <v>2183</v>
      </c>
      <c r="E5848" s="50" t="n">
        <v>1</v>
      </c>
      <c r="F5848" s="50" t="s">
        <v>2167</v>
      </c>
      <c r="G5848" s="54" t="n">
        <v>365000</v>
      </c>
    </row>
    <row r="5849" customFormat="false" ht="15" hidden="false" customHeight="false" outlineLevel="0" collapsed="false">
      <c r="A5849" s="50" t="s">
        <v>1990</v>
      </c>
      <c r="B5849" s="51" t="n">
        <v>46015</v>
      </c>
      <c r="C5849" s="50" t="s">
        <v>168</v>
      </c>
      <c r="D5849" s="50" t="s">
        <v>2168</v>
      </c>
      <c r="E5849" s="50" t="n">
        <v>3</v>
      </c>
      <c r="F5849" s="50" t="s">
        <v>2167</v>
      </c>
      <c r="G5849" s="54" t="n">
        <v>1256200</v>
      </c>
    </row>
    <row r="5850" customFormat="false" ht="15" hidden="false" customHeight="false" outlineLevel="0" collapsed="false">
      <c r="A5850" s="50" t="s">
        <v>1990</v>
      </c>
      <c r="B5850" s="51" t="n">
        <v>46015</v>
      </c>
      <c r="C5850" s="50" t="s">
        <v>168</v>
      </c>
      <c r="D5850" s="50" t="s">
        <v>2169</v>
      </c>
      <c r="E5850" s="50" t="n">
        <v>5</v>
      </c>
      <c r="F5850" s="50" t="s">
        <v>2167</v>
      </c>
      <c r="G5850" s="54" t="n">
        <v>3030500</v>
      </c>
    </row>
    <row r="5851" customFormat="false" ht="15" hidden="false" customHeight="false" outlineLevel="0" collapsed="false">
      <c r="A5851" s="50" t="s">
        <v>1991</v>
      </c>
      <c r="B5851" s="51" t="n">
        <v>46015</v>
      </c>
      <c r="C5851" s="50" t="s">
        <v>766</v>
      </c>
      <c r="D5851" s="50" t="s">
        <v>2186</v>
      </c>
      <c r="E5851" s="50" t="n">
        <v>8</v>
      </c>
      <c r="F5851" s="50" t="s">
        <v>2167</v>
      </c>
      <c r="G5851" s="54" t="n">
        <v>4906900</v>
      </c>
    </row>
    <row r="5852" customFormat="false" ht="15" hidden="false" customHeight="false" outlineLevel="0" collapsed="false">
      <c r="A5852" s="50" t="s">
        <v>1991</v>
      </c>
      <c r="B5852" s="51" t="n">
        <v>46015</v>
      </c>
      <c r="C5852" s="50" t="s">
        <v>766</v>
      </c>
      <c r="D5852" s="50" t="s">
        <v>2183</v>
      </c>
      <c r="E5852" s="50" t="n">
        <v>1</v>
      </c>
      <c r="F5852" s="50" t="s">
        <v>2167</v>
      </c>
      <c r="G5852" s="54" t="n">
        <v>390100</v>
      </c>
    </row>
    <row r="5853" customFormat="false" ht="15" hidden="false" customHeight="false" outlineLevel="0" collapsed="false">
      <c r="A5853" s="50" t="s">
        <v>1991</v>
      </c>
      <c r="B5853" s="51" t="n">
        <v>46015</v>
      </c>
      <c r="C5853" s="50" t="s">
        <v>766</v>
      </c>
      <c r="D5853" s="50" t="s">
        <v>2176</v>
      </c>
      <c r="E5853" s="50" t="n">
        <v>6</v>
      </c>
      <c r="F5853" s="50" t="s">
        <v>2167</v>
      </c>
      <c r="G5853" s="54" t="n">
        <v>2510700</v>
      </c>
    </row>
    <row r="5854" customFormat="false" ht="15" hidden="false" customHeight="false" outlineLevel="0" collapsed="false">
      <c r="A5854" s="50" t="s">
        <v>1991</v>
      </c>
      <c r="B5854" s="51" t="n">
        <v>46015</v>
      </c>
      <c r="C5854" s="50" t="s">
        <v>766</v>
      </c>
      <c r="D5854" s="50" t="s">
        <v>2181</v>
      </c>
      <c r="E5854" s="50" t="n">
        <v>3</v>
      </c>
      <c r="F5854" s="50" t="s">
        <v>2167</v>
      </c>
      <c r="G5854" s="54" t="n">
        <v>3396000</v>
      </c>
    </row>
    <row r="5855" customFormat="false" ht="15" hidden="false" customHeight="false" outlineLevel="0" collapsed="false">
      <c r="A5855" s="50" t="s">
        <v>1991</v>
      </c>
      <c r="B5855" s="51" t="n">
        <v>46015</v>
      </c>
      <c r="C5855" s="50" t="s">
        <v>766</v>
      </c>
      <c r="D5855" s="50" t="s">
        <v>2185</v>
      </c>
      <c r="E5855" s="50" t="n">
        <v>4</v>
      </c>
      <c r="F5855" s="50" t="s">
        <v>2174</v>
      </c>
      <c r="G5855" s="54" t="n">
        <v>3048900</v>
      </c>
    </row>
    <row r="5856" customFormat="false" ht="15" hidden="false" customHeight="false" outlineLevel="0" collapsed="false">
      <c r="A5856" s="50" t="s">
        <v>1991</v>
      </c>
      <c r="B5856" s="51" t="n">
        <v>46015</v>
      </c>
      <c r="C5856" s="50" t="s">
        <v>766</v>
      </c>
      <c r="D5856" s="50" t="s">
        <v>2187</v>
      </c>
      <c r="E5856" s="50" t="n">
        <v>1</v>
      </c>
      <c r="F5856" s="50" t="s">
        <v>2167</v>
      </c>
      <c r="G5856" s="54" t="n">
        <v>357700</v>
      </c>
    </row>
    <row r="5857" customFormat="false" ht="15" hidden="false" customHeight="false" outlineLevel="0" collapsed="false">
      <c r="A5857" s="50" t="s">
        <v>1991</v>
      </c>
      <c r="B5857" s="51" t="n">
        <v>46015</v>
      </c>
      <c r="C5857" s="50" t="s">
        <v>766</v>
      </c>
      <c r="D5857" s="50" t="s">
        <v>2178</v>
      </c>
      <c r="E5857" s="50" t="n">
        <v>7</v>
      </c>
      <c r="F5857" s="50" t="s">
        <v>2167</v>
      </c>
      <c r="G5857" s="54" t="n">
        <v>3366300</v>
      </c>
    </row>
    <row r="5858" customFormat="false" ht="15" hidden="false" customHeight="false" outlineLevel="0" collapsed="false">
      <c r="A5858" s="50" t="s">
        <v>1991</v>
      </c>
      <c r="B5858" s="51" t="n">
        <v>46015</v>
      </c>
      <c r="C5858" s="50" t="s">
        <v>766</v>
      </c>
      <c r="D5858" s="50" t="s">
        <v>2188</v>
      </c>
      <c r="E5858" s="50" t="n">
        <v>4</v>
      </c>
      <c r="F5858" s="50" t="s">
        <v>2167</v>
      </c>
      <c r="G5858" s="54" t="n">
        <v>3946300</v>
      </c>
    </row>
    <row r="5859" customFormat="false" ht="15" hidden="false" customHeight="false" outlineLevel="0" collapsed="false">
      <c r="A5859" s="50" t="s">
        <v>1992</v>
      </c>
      <c r="B5859" s="51" t="n">
        <v>46015</v>
      </c>
      <c r="C5859" s="50" t="s">
        <v>967</v>
      </c>
      <c r="D5859" s="50" t="s">
        <v>2184</v>
      </c>
      <c r="E5859" s="50" t="n">
        <v>6</v>
      </c>
      <c r="F5859" s="50" t="s">
        <v>2167</v>
      </c>
      <c r="G5859" s="54" t="n">
        <v>3454800</v>
      </c>
    </row>
    <row r="5860" customFormat="false" ht="15" hidden="false" customHeight="false" outlineLevel="0" collapsed="false">
      <c r="A5860" s="50" t="s">
        <v>1993</v>
      </c>
      <c r="B5860" s="51" t="n">
        <v>46015</v>
      </c>
      <c r="C5860" s="50" t="s">
        <v>199</v>
      </c>
      <c r="D5860" s="50" t="s">
        <v>2181</v>
      </c>
      <c r="E5860" s="50" t="n">
        <v>4</v>
      </c>
      <c r="F5860" s="50" t="s">
        <v>2167</v>
      </c>
      <c r="G5860" s="54" t="n">
        <v>4594400</v>
      </c>
    </row>
    <row r="5861" customFormat="false" ht="15" hidden="false" customHeight="false" outlineLevel="0" collapsed="false">
      <c r="A5861" s="50" t="s">
        <v>1993</v>
      </c>
      <c r="B5861" s="51" t="n">
        <v>46015</v>
      </c>
      <c r="C5861" s="50" t="s">
        <v>199</v>
      </c>
      <c r="D5861" s="50" t="s">
        <v>2175</v>
      </c>
      <c r="E5861" s="50" t="n">
        <v>2</v>
      </c>
      <c r="F5861" s="50" t="s">
        <v>2167</v>
      </c>
      <c r="G5861" s="54" t="n">
        <v>1325500</v>
      </c>
    </row>
    <row r="5862" customFormat="false" ht="15" hidden="false" customHeight="false" outlineLevel="0" collapsed="false">
      <c r="A5862" s="50" t="s">
        <v>1993</v>
      </c>
      <c r="B5862" s="51" t="n">
        <v>46015</v>
      </c>
      <c r="C5862" s="50" t="s">
        <v>199</v>
      </c>
      <c r="D5862" s="50" t="s">
        <v>2186</v>
      </c>
      <c r="E5862" s="50" t="n">
        <v>1</v>
      </c>
      <c r="F5862" s="50" t="s">
        <v>2167</v>
      </c>
      <c r="G5862" s="54" t="n">
        <v>574500</v>
      </c>
    </row>
    <row r="5863" customFormat="false" ht="15" hidden="false" customHeight="false" outlineLevel="0" collapsed="false">
      <c r="A5863" s="50" t="s">
        <v>1993</v>
      </c>
      <c r="B5863" s="51" t="n">
        <v>46015</v>
      </c>
      <c r="C5863" s="50" t="s">
        <v>199</v>
      </c>
      <c r="D5863" s="50" t="s">
        <v>2172</v>
      </c>
      <c r="E5863" s="50" t="n">
        <v>3</v>
      </c>
      <c r="F5863" s="50" t="s">
        <v>2167</v>
      </c>
      <c r="G5863" s="54" t="n">
        <v>1522000</v>
      </c>
    </row>
    <row r="5864" customFormat="false" ht="15" hidden="false" customHeight="false" outlineLevel="0" collapsed="false">
      <c r="A5864" s="50" t="s">
        <v>1994</v>
      </c>
      <c r="B5864" s="51" t="n">
        <v>46015</v>
      </c>
      <c r="C5864" s="50" t="s">
        <v>174</v>
      </c>
      <c r="D5864" s="50" t="s">
        <v>2187</v>
      </c>
      <c r="E5864" s="50" t="n">
        <v>8</v>
      </c>
      <c r="F5864" s="50" t="s">
        <v>2167</v>
      </c>
      <c r="G5864" s="54" t="n">
        <v>2828000</v>
      </c>
    </row>
    <row r="5865" customFormat="false" ht="15" hidden="false" customHeight="false" outlineLevel="0" collapsed="false">
      <c r="A5865" s="50" t="s">
        <v>1994</v>
      </c>
      <c r="B5865" s="51" t="n">
        <v>46015</v>
      </c>
      <c r="C5865" s="50" t="s">
        <v>174</v>
      </c>
      <c r="D5865" s="50" t="s">
        <v>2183</v>
      </c>
      <c r="E5865" s="50" t="n">
        <v>8</v>
      </c>
      <c r="F5865" s="50" t="s">
        <v>2167</v>
      </c>
      <c r="G5865" s="54" t="n">
        <v>3026800</v>
      </c>
    </row>
    <row r="5866" customFormat="false" ht="15" hidden="false" customHeight="false" outlineLevel="0" collapsed="false">
      <c r="A5866" s="50" t="s">
        <v>1994</v>
      </c>
      <c r="B5866" s="51" t="n">
        <v>46015</v>
      </c>
      <c r="C5866" s="50" t="s">
        <v>174</v>
      </c>
      <c r="D5866" s="50" t="s">
        <v>2179</v>
      </c>
      <c r="E5866" s="50" t="n">
        <v>2</v>
      </c>
      <c r="F5866" s="50" t="s">
        <v>2174</v>
      </c>
      <c r="G5866" s="54" t="n">
        <v>2430000</v>
      </c>
    </row>
    <row r="5867" customFormat="false" ht="15" hidden="false" customHeight="false" outlineLevel="0" collapsed="false">
      <c r="A5867" s="50" t="s">
        <v>1994</v>
      </c>
      <c r="B5867" s="51" t="n">
        <v>46015</v>
      </c>
      <c r="C5867" s="50" t="s">
        <v>174</v>
      </c>
      <c r="D5867" s="50" t="s">
        <v>2186</v>
      </c>
      <c r="E5867" s="50" t="n">
        <v>2</v>
      </c>
      <c r="F5867" s="50" t="s">
        <v>2167</v>
      </c>
      <c r="G5867" s="54" t="n">
        <v>1225600</v>
      </c>
    </row>
    <row r="5868" customFormat="false" ht="15" hidden="false" customHeight="false" outlineLevel="0" collapsed="false">
      <c r="A5868" s="50" t="s">
        <v>1995</v>
      </c>
      <c r="B5868" s="51" t="n">
        <v>46015</v>
      </c>
      <c r="C5868" s="50" t="s">
        <v>1200</v>
      </c>
      <c r="D5868" s="50" t="s">
        <v>2186</v>
      </c>
      <c r="E5868" s="50" t="n">
        <v>6</v>
      </c>
      <c r="F5868" s="50" t="s">
        <v>2167</v>
      </c>
      <c r="G5868" s="54" t="n">
        <v>3659100</v>
      </c>
    </row>
    <row r="5869" customFormat="false" ht="15" hidden="false" customHeight="false" outlineLevel="0" collapsed="false">
      <c r="A5869" s="50" t="s">
        <v>1995</v>
      </c>
      <c r="B5869" s="51" t="n">
        <v>46015</v>
      </c>
      <c r="C5869" s="50" t="s">
        <v>1200</v>
      </c>
      <c r="D5869" s="50" t="s">
        <v>2184</v>
      </c>
      <c r="E5869" s="50" t="n">
        <v>4</v>
      </c>
      <c r="F5869" s="50" t="s">
        <v>2167</v>
      </c>
      <c r="G5869" s="54" t="n">
        <v>2156900</v>
      </c>
    </row>
    <row r="5870" customFormat="false" ht="15" hidden="false" customHeight="false" outlineLevel="0" collapsed="false">
      <c r="A5870" s="50" t="s">
        <v>1995</v>
      </c>
      <c r="B5870" s="51" t="n">
        <v>46015</v>
      </c>
      <c r="C5870" s="50" t="s">
        <v>1200</v>
      </c>
      <c r="D5870" s="50" t="s">
        <v>2181</v>
      </c>
      <c r="E5870" s="50" t="n">
        <v>8</v>
      </c>
      <c r="F5870" s="50" t="s">
        <v>2167</v>
      </c>
      <c r="G5870" s="54" t="n">
        <v>9504400</v>
      </c>
    </row>
    <row r="5871" customFormat="false" ht="15" hidden="false" customHeight="false" outlineLevel="0" collapsed="false">
      <c r="A5871" s="50" t="s">
        <v>1996</v>
      </c>
      <c r="B5871" s="51" t="n">
        <v>46015</v>
      </c>
      <c r="C5871" s="50" t="s">
        <v>329</v>
      </c>
      <c r="D5871" s="50" t="s">
        <v>2166</v>
      </c>
      <c r="E5871" s="50" t="n">
        <v>7</v>
      </c>
      <c r="F5871" s="50" t="s">
        <v>2167</v>
      </c>
      <c r="G5871" s="54" t="n">
        <v>3661700</v>
      </c>
    </row>
    <row r="5872" customFormat="false" ht="15" hidden="false" customHeight="false" outlineLevel="0" collapsed="false">
      <c r="A5872" s="50" t="s">
        <v>1996</v>
      </c>
      <c r="B5872" s="51" t="n">
        <v>46015</v>
      </c>
      <c r="C5872" s="50" t="s">
        <v>329</v>
      </c>
      <c r="D5872" s="50" t="s">
        <v>2188</v>
      </c>
      <c r="E5872" s="50" t="n">
        <v>7</v>
      </c>
      <c r="F5872" s="50" t="s">
        <v>2167</v>
      </c>
      <c r="G5872" s="54" t="n">
        <v>6682900</v>
      </c>
    </row>
    <row r="5873" customFormat="false" ht="15" hidden="false" customHeight="false" outlineLevel="0" collapsed="false">
      <c r="A5873" s="50" t="s">
        <v>1996</v>
      </c>
      <c r="B5873" s="51" t="n">
        <v>46015</v>
      </c>
      <c r="C5873" s="50" t="s">
        <v>329</v>
      </c>
      <c r="D5873" s="50" t="s">
        <v>2186</v>
      </c>
      <c r="E5873" s="50" t="n">
        <v>2</v>
      </c>
      <c r="F5873" s="50" t="s">
        <v>2167</v>
      </c>
      <c r="G5873" s="54" t="n">
        <v>1188000</v>
      </c>
    </row>
    <row r="5874" customFormat="false" ht="15" hidden="false" customHeight="false" outlineLevel="0" collapsed="false">
      <c r="A5874" s="50" t="s">
        <v>1996</v>
      </c>
      <c r="B5874" s="51" t="n">
        <v>46015</v>
      </c>
      <c r="C5874" s="50" t="s">
        <v>329</v>
      </c>
      <c r="D5874" s="50" t="s">
        <v>2184</v>
      </c>
      <c r="E5874" s="50" t="n">
        <v>2</v>
      </c>
      <c r="F5874" s="50" t="s">
        <v>2167</v>
      </c>
      <c r="G5874" s="54" t="n">
        <v>1133400</v>
      </c>
    </row>
    <row r="5875" customFormat="false" ht="15" hidden="false" customHeight="false" outlineLevel="0" collapsed="false">
      <c r="A5875" s="50" t="s">
        <v>1997</v>
      </c>
      <c r="B5875" s="51" t="n">
        <v>46016</v>
      </c>
      <c r="C5875" s="50" t="s">
        <v>251</v>
      </c>
      <c r="D5875" s="50" t="s">
        <v>2185</v>
      </c>
      <c r="E5875" s="50" t="n">
        <v>6</v>
      </c>
      <c r="F5875" s="50" t="s">
        <v>2174</v>
      </c>
      <c r="G5875" s="54" t="n">
        <v>4522600</v>
      </c>
    </row>
    <row r="5876" customFormat="false" ht="15" hidden="false" customHeight="false" outlineLevel="0" collapsed="false">
      <c r="A5876" s="50" t="s">
        <v>1997</v>
      </c>
      <c r="B5876" s="51" t="n">
        <v>46016</v>
      </c>
      <c r="C5876" s="50" t="s">
        <v>251</v>
      </c>
      <c r="D5876" s="50" t="s">
        <v>2188</v>
      </c>
      <c r="E5876" s="50" t="n">
        <v>4</v>
      </c>
      <c r="F5876" s="50" t="s">
        <v>2167</v>
      </c>
      <c r="G5876" s="54" t="n">
        <v>4059100</v>
      </c>
    </row>
    <row r="5877" customFormat="false" ht="15" hidden="false" customHeight="false" outlineLevel="0" collapsed="false">
      <c r="A5877" s="50" t="s">
        <v>1998</v>
      </c>
      <c r="B5877" s="51" t="n">
        <v>46016</v>
      </c>
      <c r="C5877" s="50" t="s">
        <v>166</v>
      </c>
      <c r="D5877" s="50" t="s">
        <v>2172</v>
      </c>
      <c r="E5877" s="50" t="n">
        <v>8</v>
      </c>
      <c r="F5877" s="50" t="s">
        <v>2167</v>
      </c>
      <c r="G5877" s="54" t="n">
        <v>4262500</v>
      </c>
    </row>
    <row r="5878" customFormat="false" ht="15" hidden="false" customHeight="false" outlineLevel="0" collapsed="false">
      <c r="A5878" s="50" t="s">
        <v>1998</v>
      </c>
      <c r="B5878" s="51" t="n">
        <v>46016</v>
      </c>
      <c r="C5878" s="50" t="s">
        <v>166</v>
      </c>
      <c r="D5878" s="50" t="s">
        <v>2181</v>
      </c>
      <c r="E5878" s="50" t="n">
        <v>2</v>
      </c>
      <c r="F5878" s="50" t="s">
        <v>2167</v>
      </c>
      <c r="G5878" s="54" t="n">
        <v>2388900</v>
      </c>
    </row>
    <row r="5879" customFormat="false" ht="15" hidden="false" customHeight="false" outlineLevel="0" collapsed="false">
      <c r="A5879" s="50" t="s">
        <v>1998</v>
      </c>
      <c r="B5879" s="51" t="n">
        <v>46016</v>
      </c>
      <c r="C5879" s="50" t="s">
        <v>166</v>
      </c>
      <c r="D5879" s="50" t="s">
        <v>2178</v>
      </c>
      <c r="E5879" s="50" t="n">
        <v>2</v>
      </c>
      <c r="F5879" s="50" t="s">
        <v>2167</v>
      </c>
      <c r="G5879" s="54" t="n">
        <v>955800</v>
      </c>
    </row>
    <row r="5880" customFormat="false" ht="15" hidden="false" customHeight="false" outlineLevel="0" collapsed="false">
      <c r="A5880" s="50" t="s">
        <v>1998</v>
      </c>
      <c r="B5880" s="51" t="n">
        <v>46016</v>
      </c>
      <c r="C5880" s="50" t="s">
        <v>166</v>
      </c>
      <c r="D5880" s="50" t="s">
        <v>2180</v>
      </c>
      <c r="E5880" s="50" t="n">
        <v>7</v>
      </c>
      <c r="F5880" s="50" t="s">
        <v>2167</v>
      </c>
      <c r="G5880" s="54" t="n">
        <v>3056300</v>
      </c>
    </row>
    <row r="5881" customFormat="false" ht="15" hidden="false" customHeight="false" outlineLevel="0" collapsed="false">
      <c r="A5881" s="50" t="s">
        <v>1998</v>
      </c>
      <c r="B5881" s="51" t="n">
        <v>46016</v>
      </c>
      <c r="C5881" s="50" t="s">
        <v>166</v>
      </c>
      <c r="D5881" s="50" t="s">
        <v>2168</v>
      </c>
      <c r="E5881" s="50" t="n">
        <v>7</v>
      </c>
      <c r="F5881" s="50" t="s">
        <v>2167</v>
      </c>
      <c r="G5881" s="54" t="n">
        <v>2923400</v>
      </c>
    </row>
    <row r="5882" customFormat="false" ht="15" hidden="false" customHeight="false" outlineLevel="0" collapsed="false">
      <c r="A5882" s="50" t="s">
        <v>1998</v>
      </c>
      <c r="B5882" s="51" t="n">
        <v>46016</v>
      </c>
      <c r="C5882" s="50" t="s">
        <v>166</v>
      </c>
      <c r="D5882" s="50" t="s">
        <v>2176</v>
      </c>
      <c r="E5882" s="50" t="n">
        <v>8</v>
      </c>
      <c r="F5882" s="50" t="s">
        <v>2167</v>
      </c>
      <c r="G5882" s="54" t="n">
        <v>3278500</v>
      </c>
    </row>
    <row r="5883" customFormat="false" ht="15" hidden="false" customHeight="false" outlineLevel="0" collapsed="false">
      <c r="A5883" s="50" t="s">
        <v>1998</v>
      </c>
      <c r="B5883" s="51" t="n">
        <v>46016</v>
      </c>
      <c r="C5883" s="50" t="s">
        <v>166</v>
      </c>
      <c r="D5883" s="50" t="s">
        <v>2186</v>
      </c>
      <c r="E5883" s="50" t="n">
        <v>2</v>
      </c>
      <c r="F5883" s="50" t="s">
        <v>2167</v>
      </c>
      <c r="G5883" s="54" t="n">
        <v>1192500</v>
      </c>
    </row>
    <row r="5884" customFormat="false" ht="15" hidden="false" customHeight="false" outlineLevel="0" collapsed="false">
      <c r="A5884" s="50" t="s">
        <v>1999</v>
      </c>
      <c r="B5884" s="51" t="n">
        <v>46016</v>
      </c>
      <c r="C5884" s="50" t="s">
        <v>465</v>
      </c>
      <c r="D5884" s="50" t="s">
        <v>2180</v>
      </c>
      <c r="E5884" s="50" t="n">
        <v>3</v>
      </c>
      <c r="F5884" s="50" t="s">
        <v>2167</v>
      </c>
      <c r="G5884" s="54" t="n">
        <v>1361900</v>
      </c>
    </row>
    <row r="5885" customFormat="false" ht="15" hidden="false" customHeight="false" outlineLevel="0" collapsed="false">
      <c r="A5885" s="50" t="s">
        <v>1999</v>
      </c>
      <c r="B5885" s="51" t="n">
        <v>46016</v>
      </c>
      <c r="C5885" s="50" t="s">
        <v>465</v>
      </c>
      <c r="D5885" s="50" t="s">
        <v>2187</v>
      </c>
      <c r="E5885" s="50" t="n">
        <v>5</v>
      </c>
      <c r="F5885" s="50" t="s">
        <v>2167</v>
      </c>
      <c r="G5885" s="54" t="n">
        <v>1700400</v>
      </c>
    </row>
    <row r="5886" customFormat="false" ht="15" hidden="false" customHeight="false" outlineLevel="0" collapsed="false">
      <c r="A5886" s="50" t="s">
        <v>1999</v>
      </c>
      <c r="B5886" s="51" t="n">
        <v>46016</v>
      </c>
      <c r="C5886" s="50" t="s">
        <v>465</v>
      </c>
      <c r="D5886" s="50" t="s">
        <v>2175</v>
      </c>
      <c r="E5886" s="50" t="n">
        <v>3</v>
      </c>
      <c r="F5886" s="50" t="s">
        <v>2167</v>
      </c>
      <c r="G5886" s="54" t="n">
        <v>1951400</v>
      </c>
    </row>
    <row r="5887" customFormat="false" ht="15" hidden="false" customHeight="false" outlineLevel="0" collapsed="false">
      <c r="A5887" s="50" t="s">
        <v>1999</v>
      </c>
      <c r="B5887" s="51" t="n">
        <v>46016</v>
      </c>
      <c r="C5887" s="50" t="s">
        <v>465</v>
      </c>
      <c r="D5887" s="50" t="s">
        <v>2185</v>
      </c>
      <c r="E5887" s="50" t="n">
        <v>4</v>
      </c>
      <c r="F5887" s="50" t="s">
        <v>2174</v>
      </c>
      <c r="G5887" s="54" t="n">
        <v>3177400</v>
      </c>
    </row>
    <row r="5888" customFormat="false" ht="15" hidden="false" customHeight="false" outlineLevel="0" collapsed="false">
      <c r="A5888" s="50" t="s">
        <v>2000</v>
      </c>
      <c r="B5888" s="51" t="n">
        <v>46016</v>
      </c>
      <c r="C5888" s="50" t="s">
        <v>365</v>
      </c>
      <c r="D5888" s="50" t="s">
        <v>2169</v>
      </c>
      <c r="E5888" s="50" t="n">
        <v>5</v>
      </c>
      <c r="F5888" s="50" t="s">
        <v>2167</v>
      </c>
      <c r="G5888" s="54" t="n">
        <v>3219400</v>
      </c>
    </row>
    <row r="5889" customFormat="false" ht="15" hidden="false" customHeight="false" outlineLevel="0" collapsed="false">
      <c r="A5889" s="50" t="s">
        <v>2000</v>
      </c>
      <c r="B5889" s="51" t="n">
        <v>46016</v>
      </c>
      <c r="C5889" s="50" t="s">
        <v>365</v>
      </c>
      <c r="D5889" s="50" t="s">
        <v>2187</v>
      </c>
      <c r="E5889" s="50" t="n">
        <v>7</v>
      </c>
      <c r="F5889" s="50" t="s">
        <v>2167</v>
      </c>
      <c r="G5889" s="54" t="n">
        <v>2418000</v>
      </c>
    </row>
    <row r="5890" customFormat="false" ht="15" hidden="false" customHeight="false" outlineLevel="0" collapsed="false">
      <c r="A5890" s="50" t="s">
        <v>2000</v>
      </c>
      <c r="B5890" s="51" t="n">
        <v>46016</v>
      </c>
      <c r="C5890" s="50" t="s">
        <v>365</v>
      </c>
      <c r="D5890" s="50" t="s">
        <v>2183</v>
      </c>
      <c r="E5890" s="50" t="n">
        <v>7</v>
      </c>
      <c r="F5890" s="50" t="s">
        <v>2167</v>
      </c>
      <c r="G5890" s="54" t="n">
        <v>2654100</v>
      </c>
    </row>
    <row r="5891" customFormat="false" ht="15" hidden="false" customHeight="false" outlineLevel="0" collapsed="false">
      <c r="A5891" s="50" t="s">
        <v>2000</v>
      </c>
      <c r="B5891" s="51" t="n">
        <v>46016</v>
      </c>
      <c r="C5891" s="50" t="s">
        <v>365</v>
      </c>
      <c r="D5891" s="50" t="s">
        <v>2180</v>
      </c>
      <c r="E5891" s="50" t="n">
        <v>5</v>
      </c>
      <c r="F5891" s="50" t="s">
        <v>2167</v>
      </c>
      <c r="G5891" s="54" t="n">
        <v>2239800</v>
      </c>
    </row>
    <row r="5892" customFormat="false" ht="15" hidden="false" customHeight="false" outlineLevel="0" collapsed="false">
      <c r="A5892" s="50" t="s">
        <v>2001</v>
      </c>
      <c r="B5892" s="51" t="n">
        <v>46016</v>
      </c>
      <c r="C5892" s="50" t="s">
        <v>286</v>
      </c>
      <c r="D5892" s="50" t="s">
        <v>2172</v>
      </c>
      <c r="E5892" s="50" t="n">
        <v>2</v>
      </c>
      <c r="F5892" s="50" t="s">
        <v>2167</v>
      </c>
      <c r="G5892" s="54" t="n">
        <v>1025600</v>
      </c>
    </row>
    <row r="5893" customFormat="false" ht="15" hidden="false" customHeight="false" outlineLevel="0" collapsed="false">
      <c r="A5893" s="50" t="s">
        <v>2001</v>
      </c>
      <c r="B5893" s="51" t="n">
        <v>46016</v>
      </c>
      <c r="C5893" s="50" t="s">
        <v>286</v>
      </c>
      <c r="D5893" s="50" t="s">
        <v>2185</v>
      </c>
      <c r="E5893" s="50" t="n">
        <v>5</v>
      </c>
      <c r="F5893" s="50" t="s">
        <v>2174</v>
      </c>
      <c r="G5893" s="54" t="n">
        <v>3767300</v>
      </c>
    </row>
    <row r="5894" customFormat="false" ht="15" hidden="false" customHeight="false" outlineLevel="0" collapsed="false">
      <c r="A5894" s="50" t="s">
        <v>2001</v>
      </c>
      <c r="B5894" s="51" t="n">
        <v>46016</v>
      </c>
      <c r="C5894" s="50" t="s">
        <v>286</v>
      </c>
      <c r="D5894" s="50" t="s">
        <v>2166</v>
      </c>
      <c r="E5894" s="50" t="n">
        <v>6</v>
      </c>
      <c r="F5894" s="50" t="s">
        <v>2167</v>
      </c>
      <c r="G5894" s="54" t="n">
        <v>3196000</v>
      </c>
    </row>
    <row r="5895" customFormat="false" ht="15" hidden="false" customHeight="false" outlineLevel="0" collapsed="false">
      <c r="A5895" s="50" t="s">
        <v>2001</v>
      </c>
      <c r="B5895" s="51" t="n">
        <v>46016</v>
      </c>
      <c r="C5895" s="50" t="s">
        <v>286</v>
      </c>
      <c r="D5895" s="50" t="s">
        <v>2177</v>
      </c>
      <c r="E5895" s="50" t="n">
        <v>1</v>
      </c>
      <c r="F5895" s="50" t="s">
        <v>2174</v>
      </c>
      <c r="G5895" s="54" t="n">
        <v>1116700</v>
      </c>
    </row>
    <row r="5896" customFormat="false" ht="15" hidden="false" customHeight="false" outlineLevel="0" collapsed="false">
      <c r="A5896" s="50" t="s">
        <v>2001</v>
      </c>
      <c r="B5896" s="51" t="n">
        <v>46016</v>
      </c>
      <c r="C5896" s="50" t="s">
        <v>286</v>
      </c>
      <c r="D5896" s="50" t="s">
        <v>2184</v>
      </c>
      <c r="E5896" s="50" t="n">
        <v>3</v>
      </c>
      <c r="F5896" s="50" t="s">
        <v>2167</v>
      </c>
      <c r="G5896" s="54" t="n">
        <v>1720500</v>
      </c>
    </row>
    <row r="5897" customFormat="false" ht="15" hidden="false" customHeight="false" outlineLevel="0" collapsed="false">
      <c r="A5897" s="50" t="s">
        <v>2001</v>
      </c>
      <c r="B5897" s="51" t="n">
        <v>46016</v>
      </c>
      <c r="C5897" s="50" t="s">
        <v>286</v>
      </c>
      <c r="D5897" s="50" t="s">
        <v>2182</v>
      </c>
      <c r="E5897" s="50" t="n">
        <v>5</v>
      </c>
      <c r="F5897" s="50" t="s">
        <v>2174</v>
      </c>
      <c r="G5897" s="54" t="n">
        <v>4730000</v>
      </c>
    </row>
    <row r="5898" customFormat="false" ht="15" hidden="false" customHeight="false" outlineLevel="0" collapsed="false">
      <c r="A5898" s="50" t="s">
        <v>2002</v>
      </c>
      <c r="B5898" s="51" t="n">
        <v>46016</v>
      </c>
      <c r="C5898" s="50" t="s">
        <v>177</v>
      </c>
      <c r="D5898" s="50" t="s">
        <v>2173</v>
      </c>
      <c r="E5898" s="50" t="n">
        <v>3</v>
      </c>
      <c r="F5898" s="50" t="s">
        <v>2174</v>
      </c>
      <c r="G5898" s="54" t="n">
        <v>2478900</v>
      </c>
    </row>
    <row r="5899" customFormat="false" ht="15" hidden="false" customHeight="false" outlineLevel="0" collapsed="false">
      <c r="A5899" s="50" t="s">
        <v>2002</v>
      </c>
      <c r="B5899" s="51" t="n">
        <v>46016</v>
      </c>
      <c r="C5899" s="50" t="s">
        <v>177</v>
      </c>
      <c r="D5899" s="50" t="s">
        <v>2172</v>
      </c>
      <c r="E5899" s="50" t="n">
        <v>4</v>
      </c>
      <c r="F5899" s="50" t="s">
        <v>2167</v>
      </c>
      <c r="G5899" s="54" t="n">
        <v>2006400</v>
      </c>
    </row>
    <row r="5900" customFormat="false" ht="15" hidden="false" customHeight="false" outlineLevel="0" collapsed="false">
      <c r="A5900" s="50" t="s">
        <v>2002</v>
      </c>
      <c r="B5900" s="51" t="n">
        <v>46016</v>
      </c>
      <c r="C5900" s="50" t="s">
        <v>177</v>
      </c>
      <c r="D5900" s="50" t="s">
        <v>2184</v>
      </c>
      <c r="E5900" s="50" t="n">
        <v>6</v>
      </c>
      <c r="F5900" s="50" t="s">
        <v>2167</v>
      </c>
      <c r="G5900" s="54" t="n">
        <v>3384900</v>
      </c>
    </row>
    <row r="5901" customFormat="false" ht="15" hidden="false" customHeight="false" outlineLevel="0" collapsed="false">
      <c r="A5901" s="50" t="s">
        <v>2002</v>
      </c>
      <c r="B5901" s="51" t="n">
        <v>46016</v>
      </c>
      <c r="C5901" s="50" t="s">
        <v>177</v>
      </c>
      <c r="D5901" s="50" t="s">
        <v>2169</v>
      </c>
      <c r="E5901" s="50" t="n">
        <v>3</v>
      </c>
      <c r="F5901" s="50" t="s">
        <v>2167</v>
      </c>
      <c r="G5901" s="54" t="n">
        <v>1844100</v>
      </c>
    </row>
    <row r="5902" customFormat="false" ht="15" hidden="false" customHeight="false" outlineLevel="0" collapsed="false">
      <c r="A5902" s="50" t="s">
        <v>2002</v>
      </c>
      <c r="B5902" s="51" t="n">
        <v>46016</v>
      </c>
      <c r="C5902" s="50" t="s">
        <v>177</v>
      </c>
      <c r="D5902" s="50" t="s">
        <v>2187</v>
      </c>
      <c r="E5902" s="50" t="n">
        <v>2</v>
      </c>
      <c r="F5902" s="50" t="s">
        <v>2167</v>
      </c>
      <c r="G5902" s="54" t="n">
        <v>721500</v>
      </c>
    </row>
    <row r="5903" customFormat="false" ht="15" hidden="false" customHeight="false" outlineLevel="0" collapsed="false">
      <c r="A5903" s="50" t="s">
        <v>2003</v>
      </c>
      <c r="B5903" s="51" t="n">
        <v>46016</v>
      </c>
      <c r="C5903" s="50" t="s">
        <v>177</v>
      </c>
      <c r="D5903" s="50" t="s">
        <v>2169</v>
      </c>
      <c r="E5903" s="50" t="n">
        <v>6</v>
      </c>
      <c r="F5903" s="50" t="s">
        <v>2167</v>
      </c>
      <c r="G5903" s="54" t="n">
        <v>3699500</v>
      </c>
    </row>
    <row r="5904" customFormat="false" ht="15" hidden="false" customHeight="false" outlineLevel="0" collapsed="false">
      <c r="A5904" s="50" t="s">
        <v>2004</v>
      </c>
      <c r="B5904" s="51" t="n">
        <v>46017</v>
      </c>
      <c r="C5904" s="50" t="s">
        <v>179</v>
      </c>
      <c r="D5904" s="50" t="s">
        <v>2172</v>
      </c>
      <c r="E5904" s="50" t="n">
        <v>3</v>
      </c>
      <c r="F5904" s="50" t="s">
        <v>2167</v>
      </c>
      <c r="G5904" s="54" t="n">
        <v>1580200</v>
      </c>
    </row>
    <row r="5905" customFormat="false" ht="15" hidden="false" customHeight="false" outlineLevel="0" collapsed="false">
      <c r="A5905" s="50" t="s">
        <v>2004</v>
      </c>
      <c r="B5905" s="51" t="n">
        <v>46017</v>
      </c>
      <c r="C5905" s="50" t="s">
        <v>179</v>
      </c>
      <c r="D5905" s="50" t="s">
        <v>2181</v>
      </c>
      <c r="E5905" s="50" t="n">
        <v>5</v>
      </c>
      <c r="F5905" s="50" t="s">
        <v>2167</v>
      </c>
      <c r="G5905" s="54" t="n">
        <v>5570800</v>
      </c>
    </row>
    <row r="5906" customFormat="false" ht="15" hidden="false" customHeight="false" outlineLevel="0" collapsed="false">
      <c r="A5906" s="50" t="s">
        <v>2005</v>
      </c>
      <c r="B5906" s="51" t="n">
        <v>46017</v>
      </c>
      <c r="C5906" s="50" t="s">
        <v>714</v>
      </c>
      <c r="D5906" s="50" t="s">
        <v>2186</v>
      </c>
      <c r="E5906" s="50" t="n">
        <v>6</v>
      </c>
      <c r="F5906" s="50" t="s">
        <v>2167</v>
      </c>
      <c r="G5906" s="54" t="n">
        <v>3431200</v>
      </c>
    </row>
    <row r="5907" customFormat="false" ht="15" hidden="false" customHeight="false" outlineLevel="0" collapsed="false">
      <c r="A5907" s="50" t="s">
        <v>2005</v>
      </c>
      <c r="B5907" s="51" t="n">
        <v>46017</v>
      </c>
      <c r="C5907" s="50" t="s">
        <v>714</v>
      </c>
      <c r="D5907" s="50" t="s">
        <v>2176</v>
      </c>
      <c r="E5907" s="50" t="n">
        <v>4</v>
      </c>
      <c r="F5907" s="50" t="s">
        <v>2167</v>
      </c>
      <c r="G5907" s="54" t="n">
        <v>1745600</v>
      </c>
    </row>
    <row r="5908" customFormat="false" ht="15" hidden="false" customHeight="false" outlineLevel="0" collapsed="false">
      <c r="A5908" s="50" t="s">
        <v>2005</v>
      </c>
      <c r="B5908" s="51" t="n">
        <v>46017</v>
      </c>
      <c r="C5908" s="50" t="s">
        <v>714</v>
      </c>
      <c r="D5908" s="50" t="s">
        <v>2169</v>
      </c>
      <c r="E5908" s="50" t="n">
        <v>5</v>
      </c>
      <c r="F5908" s="50" t="s">
        <v>2167</v>
      </c>
      <c r="G5908" s="54" t="n">
        <v>3223300</v>
      </c>
    </row>
    <row r="5909" customFormat="false" ht="15" hidden="false" customHeight="false" outlineLevel="0" collapsed="false">
      <c r="A5909" s="50" t="s">
        <v>2006</v>
      </c>
      <c r="B5909" s="51" t="n">
        <v>46017</v>
      </c>
      <c r="C5909" s="50" t="s">
        <v>286</v>
      </c>
      <c r="D5909" s="50" t="s">
        <v>2178</v>
      </c>
      <c r="E5909" s="50" t="n">
        <v>2</v>
      </c>
      <c r="F5909" s="50" t="s">
        <v>2167</v>
      </c>
      <c r="G5909" s="54" t="n">
        <v>990700</v>
      </c>
    </row>
    <row r="5910" customFormat="false" ht="15" hidden="false" customHeight="false" outlineLevel="0" collapsed="false">
      <c r="A5910" s="50" t="s">
        <v>2006</v>
      </c>
      <c r="B5910" s="51" t="n">
        <v>46017</v>
      </c>
      <c r="C5910" s="50" t="s">
        <v>286</v>
      </c>
      <c r="D5910" s="50" t="s">
        <v>2179</v>
      </c>
      <c r="E5910" s="50" t="n">
        <v>5</v>
      </c>
      <c r="F5910" s="50" t="s">
        <v>2174</v>
      </c>
      <c r="G5910" s="54" t="n">
        <v>6010100</v>
      </c>
    </row>
    <row r="5911" customFormat="false" ht="15" hidden="false" customHeight="false" outlineLevel="0" collapsed="false">
      <c r="A5911" s="50" t="s">
        <v>2006</v>
      </c>
      <c r="B5911" s="51" t="n">
        <v>46017</v>
      </c>
      <c r="C5911" s="50" t="s">
        <v>286</v>
      </c>
      <c r="D5911" s="50" t="s">
        <v>2172</v>
      </c>
      <c r="E5911" s="50" t="n">
        <v>5</v>
      </c>
      <c r="F5911" s="50" t="s">
        <v>2167</v>
      </c>
      <c r="G5911" s="54" t="n">
        <v>2547000</v>
      </c>
    </row>
    <row r="5912" customFormat="false" ht="15" hidden="false" customHeight="false" outlineLevel="0" collapsed="false">
      <c r="A5912" s="50" t="s">
        <v>2006</v>
      </c>
      <c r="B5912" s="51" t="n">
        <v>46017</v>
      </c>
      <c r="C5912" s="50" t="s">
        <v>286</v>
      </c>
      <c r="D5912" s="50" t="s">
        <v>2177</v>
      </c>
      <c r="E5912" s="50" t="n">
        <v>8</v>
      </c>
      <c r="F5912" s="50" t="s">
        <v>2174</v>
      </c>
      <c r="G5912" s="54" t="n">
        <v>8619000</v>
      </c>
    </row>
    <row r="5913" customFormat="false" ht="15" hidden="false" customHeight="false" outlineLevel="0" collapsed="false">
      <c r="A5913" s="50" t="s">
        <v>2007</v>
      </c>
      <c r="B5913" s="51" t="n">
        <v>46017</v>
      </c>
      <c r="C5913" s="50" t="s">
        <v>174</v>
      </c>
      <c r="D5913" s="50" t="s">
        <v>2169</v>
      </c>
      <c r="E5913" s="50" t="n">
        <v>8</v>
      </c>
      <c r="F5913" s="50" t="s">
        <v>2167</v>
      </c>
      <c r="G5913" s="54" t="n">
        <v>5112500</v>
      </c>
    </row>
    <row r="5914" customFormat="false" ht="15" hidden="false" customHeight="false" outlineLevel="0" collapsed="false">
      <c r="A5914" s="50" t="s">
        <v>2007</v>
      </c>
      <c r="B5914" s="51" t="n">
        <v>46017</v>
      </c>
      <c r="C5914" s="50" t="s">
        <v>174</v>
      </c>
      <c r="D5914" s="50" t="s">
        <v>2181</v>
      </c>
      <c r="E5914" s="50" t="n">
        <v>1</v>
      </c>
      <c r="F5914" s="50" t="s">
        <v>2167</v>
      </c>
      <c r="G5914" s="54" t="n">
        <v>1121600</v>
      </c>
    </row>
    <row r="5915" customFormat="false" ht="15" hidden="false" customHeight="false" outlineLevel="0" collapsed="false">
      <c r="A5915" s="50" t="s">
        <v>2007</v>
      </c>
      <c r="B5915" s="51" t="n">
        <v>46017</v>
      </c>
      <c r="C5915" s="50" t="s">
        <v>174</v>
      </c>
      <c r="D5915" s="50" t="s">
        <v>2184</v>
      </c>
      <c r="E5915" s="50" t="n">
        <v>8</v>
      </c>
      <c r="F5915" s="50" t="s">
        <v>2167</v>
      </c>
      <c r="G5915" s="54" t="n">
        <v>4311800</v>
      </c>
    </row>
    <row r="5916" customFormat="false" ht="15" hidden="false" customHeight="false" outlineLevel="0" collapsed="false">
      <c r="A5916" s="50" t="s">
        <v>2007</v>
      </c>
      <c r="B5916" s="51" t="n">
        <v>46017</v>
      </c>
      <c r="C5916" s="50" t="s">
        <v>174</v>
      </c>
      <c r="D5916" s="50" t="s">
        <v>2186</v>
      </c>
      <c r="E5916" s="50" t="n">
        <v>8</v>
      </c>
      <c r="F5916" s="50" t="s">
        <v>2167</v>
      </c>
      <c r="G5916" s="54" t="n">
        <v>4632300</v>
      </c>
    </row>
    <row r="5917" customFormat="false" ht="15" hidden="false" customHeight="false" outlineLevel="0" collapsed="false">
      <c r="A5917" s="50" t="s">
        <v>2008</v>
      </c>
      <c r="B5917" s="51" t="n">
        <v>46017</v>
      </c>
      <c r="C5917" s="50" t="s">
        <v>286</v>
      </c>
      <c r="D5917" s="50" t="s">
        <v>2177</v>
      </c>
      <c r="E5917" s="50" t="n">
        <v>3</v>
      </c>
      <c r="F5917" s="50" t="s">
        <v>2174</v>
      </c>
      <c r="G5917" s="54" t="n">
        <v>3389400</v>
      </c>
    </row>
    <row r="5918" customFormat="false" ht="15" hidden="false" customHeight="false" outlineLevel="0" collapsed="false">
      <c r="A5918" s="50" t="s">
        <v>2008</v>
      </c>
      <c r="B5918" s="51" t="n">
        <v>46017</v>
      </c>
      <c r="C5918" s="50" t="s">
        <v>286</v>
      </c>
      <c r="D5918" s="50" t="s">
        <v>2169</v>
      </c>
      <c r="E5918" s="50" t="n">
        <v>3</v>
      </c>
      <c r="F5918" s="50" t="s">
        <v>2167</v>
      </c>
      <c r="G5918" s="54" t="n">
        <v>1857400</v>
      </c>
    </row>
    <row r="5919" customFormat="false" ht="15" hidden="false" customHeight="false" outlineLevel="0" collapsed="false">
      <c r="A5919" s="50" t="s">
        <v>2009</v>
      </c>
      <c r="B5919" s="51" t="n">
        <v>46017</v>
      </c>
      <c r="C5919" s="50" t="s">
        <v>174</v>
      </c>
      <c r="D5919" s="50" t="s">
        <v>2178</v>
      </c>
      <c r="E5919" s="50" t="n">
        <v>4</v>
      </c>
      <c r="F5919" s="50" t="s">
        <v>2167</v>
      </c>
      <c r="G5919" s="54" t="n">
        <v>1875200</v>
      </c>
    </row>
    <row r="5920" customFormat="false" ht="15" hidden="false" customHeight="false" outlineLevel="0" collapsed="false">
      <c r="A5920" s="50" t="s">
        <v>2009</v>
      </c>
      <c r="B5920" s="51" t="n">
        <v>46017</v>
      </c>
      <c r="C5920" s="50" t="s">
        <v>174</v>
      </c>
      <c r="D5920" s="50" t="s">
        <v>2172</v>
      </c>
      <c r="E5920" s="50" t="n">
        <v>8</v>
      </c>
      <c r="F5920" s="50" t="s">
        <v>2167</v>
      </c>
      <c r="G5920" s="54" t="n">
        <v>4320000</v>
      </c>
    </row>
    <row r="5921" customFormat="false" ht="15" hidden="false" customHeight="false" outlineLevel="0" collapsed="false">
      <c r="A5921" s="50" t="s">
        <v>2009</v>
      </c>
      <c r="B5921" s="51" t="n">
        <v>46017</v>
      </c>
      <c r="C5921" s="50" t="s">
        <v>174</v>
      </c>
      <c r="D5921" s="50" t="s">
        <v>2184</v>
      </c>
      <c r="E5921" s="50" t="n">
        <v>8</v>
      </c>
      <c r="F5921" s="50" t="s">
        <v>2167</v>
      </c>
      <c r="G5921" s="54" t="n">
        <v>4408800</v>
      </c>
    </row>
    <row r="5922" customFormat="false" ht="15" hidden="false" customHeight="false" outlineLevel="0" collapsed="false">
      <c r="A5922" s="50" t="s">
        <v>2010</v>
      </c>
      <c r="B5922" s="51" t="n">
        <v>46017</v>
      </c>
      <c r="C5922" s="50" t="s">
        <v>177</v>
      </c>
      <c r="D5922" s="50" t="s">
        <v>2188</v>
      </c>
      <c r="E5922" s="50" t="n">
        <v>7</v>
      </c>
      <c r="F5922" s="50" t="s">
        <v>2167</v>
      </c>
      <c r="G5922" s="54" t="n">
        <v>6883200</v>
      </c>
    </row>
    <row r="5923" customFormat="false" ht="15" hidden="false" customHeight="false" outlineLevel="0" collapsed="false">
      <c r="A5923" s="50" t="s">
        <v>2011</v>
      </c>
      <c r="B5923" s="51" t="n">
        <v>46018</v>
      </c>
      <c r="C5923" s="50" t="s">
        <v>166</v>
      </c>
      <c r="D5923" s="50" t="s">
        <v>2169</v>
      </c>
      <c r="E5923" s="50" t="n">
        <v>5</v>
      </c>
      <c r="F5923" s="50" t="s">
        <v>2167</v>
      </c>
      <c r="G5923" s="54" t="n">
        <v>3133500</v>
      </c>
    </row>
    <row r="5924" customFormat="false" ht="15" hidden="false" customHeight="false" outlineLevel="0" collapsed="false">
      <c r="A5924" s="50" t="s">
        <v>2011</v>
      </c>
      <c r="B5924" s="51" t="n">
        <v>46018</v>
      </c>
      <c r="C5924" s="50" t="s">
        <v>166</v>
      </c>
      <c r="D5924" s="50" t="s">
        <v>2178</v>
      </c>
      <c r="E5924" s="50" t="n">
        <v>8</v>
      </c>
      <c r="F5924" s="50" t="s">
        <v>2167</v>
      </c>
      <c r="G5924" s="54" t="n">
        <v>3710800</v>
      </c>
    </row>
    <row r="5925" customFormat="false" ht="15" hidden="false" customHeight="false" outlineLevel="0" collapsed="false">
      <c r="A5925" s="50" t="s">
        <v>2011</v>
      </c>
      <c r="B5925" s="51" t="n">
        <v>46018</v>
      </c>
      <c r="C5925" s="50" t="s">
        <v>166</v>
      </c>
      <c r="D5925" s="50" t="s">
        <v>2181</v>
      </c>
      <c r="E5925" s="50" t="n">
        <v>1</v>
      </c>
      <c r="F5925" s="50" t="s">
        <v>2167</v>
      </c>
      <c r="G5925" s="54" t="n">
        <v>1149100</v>
      </c>
    </row>
    <row r="5926" customFormat="false" ht="15" hidden="false" customHeight="false" outlineLevel="0" collapsed="false">
      <c r="A5926" s="50" t="s">
        <v>2011</v>
      </c>
      <c r="B5926" s="51" t="n">
        <v>46018</v>
      </c>
      <c r="C5926" s="50" t="s">
        <v>166</v>
      </c>
      <c r="D5926" s="50" t="s">
        <v>2185</v>
      </c>
      <c r="E5926" s="50" t="n">
        <v>8</v>
      </c>
      <c r="F5926" s="50" t="s">
        <v>2174</v>
      </c>
      <c r="G5926" s="54" t="n">
        <v>6174700</v>
      </c>
    </row>
    <row r="5927" customFormat="false" ht="15" hidden="false" customHeight="false" outlineLevel="0" collapsed="false">
      <c r="A5927" s="50" t="s">
        <v>2012</v>
      </c>
      <c r="B5927" s="51" t="n">
        <v>46018</v>
      </c>
      <c r="C5927" s="50" t="s">
        <v>286</v>
      </c>
      <c r="D5927" s="50" t="s">
        <v>2183</v>
      </c>
      <c r="E5927" s="50" t="n">
        <v>1</v>
      </c>
      <c r="F5927" s="50" t="s">
        <v>2167</v>
      </c>
      <c r="G5927" s="54" t="n">
        <v>378300</v>
      </c>
    </row>
    <row r="5928" customFormat="false" ht="15" hidden="false" customHeight="false" outlineLevel="0" collapsed="false">
      <c r="A5928" s="50" t="s">
        <v>2012</v>
      </c>
      <c r="B5928" s="51" t="n">
        <v>46018</v>
      </c>
      <c r="C5928" s="50" t="s">
        <v>286</v>
      </c>
      <c r="D5928" s="50" t="s">
        <v>2180</v>
      </c>
      <c r="E5928" s="50" t="n">
        <v>7</v>
      </c>
      <c r="F5928" s="50" t="s">
        <v>2167</v>
      </c>
      <c r="G5928" s="54" t="n">
        <v>3181400</v>
      </c>
    </row>
    <row r="5929" customFormat="false" ht="15" hidden="false" customHeight="false" outlineLevel="0" collapsed="false">
      <c r="A5929" s="50" t="s">
        <v>2012</v>
      </c>
      <c r="B5929" s="51" t="n">
        <v>46018</v>
      </c>
      <c r="C5929" s="50" t="s">
        <v>286</v>
      </c>
      <c r="D5929" s="50" t="s">
        <v>2173</v>
      </c>
      <c r="E5929" s="50" t="n">
        <v>6</v>
      </c>
      <c r="F5929" s="50" t="s">
        <v>2174</v>
      </c>
      <c r="G5929" s="54" t="n">
        <v>4817800</v>
      </c>
    </row>
    <row r="5930" customFormat="false" ht="15" hidden="false" customHeight="false" outlineLevel="0" collapsed="false">
      <c r="A5930" s="50" t="s">
        <v>2012</v>
      </c>
      <c r="B5930" s="51" t="n">
        <v>46018</v>
      </c>
      <c r="C5930" s="50" t="s">
        <v>286</v>
      </c>
      <c r="D5930" s="50" t="s">
        <v>2166</v>
      </c>
      <c r="E5930" s="50" t="n">
        <v>2</v>
      </c>
      <c r="F5930" s="50" t="s">
        <v>2167</v>
      </c>
      <c r="G5930" s="54" t="n">
        <v>1037400</v>
      </c>
    </row>
    <row r="5931" customFormat="false" ht="15" hidden="false" customHeight="false" outlineLevel="0" collapsed="false">
      <c r="A5931" s="50" t="s">
        <v>2012</v>
      </c>
      <c r="B5931" s="51" t="n">
        <v>46018</v>
      </c>
      <c r="C5931" s="50" t="s">
        <v>286</v>
      </c>
      <c r="D5931" s="50" t="s">
        <v>2169</v>
      </c>
      <c r="E5931" s="50" t="n">
        <v>8</v>
      </c>
      <c r="F5931" s="50" t="s">
        <v>2167</v>
      </c>
      <c r="G5931" s="54" t="n">
        <v>4828900</v>
      </c>
    </row>
    <row r="5932" customFormat="false" ht="15" hidden="false" customHeight="false" outlineLevel="0" collapsed="false">
      <c r="A5932" s="50" t="s">
        <v>2013</v>
      </c>
      <c r="B5932" s="51" t="n">
        <v>46018</v>
      </c>
      <c r="C5932" s="50" t="s">
        <v>505</v>
      </c>
      <c r="D5932" s="50" t="s">
        <v>2183</v>
      </c>
      <c r="E5932" s="50" t="n">
        <v>5</v>
      </c>
      <c r="F5932" s="50" t="s">
        <v>2167</v>
      </c>
      <c r="G5932" s="54" t="n">
        <v>1867600</v>
      </c>
    </row>
    <row r="5933" customFormat="false" ht="15" hidden="false" customHeight="false" outlineLevel="0" collapsed="false">
      <c r="A5933" s="50" t="s">
        <v>2013</v>
      </c>
      <c r="B5933" s="51" t="n">
        <v>46018</v>
      </c>
      <c r="C5933" s="50" t="s">
        <v>505</v>
      </c>
      <c r="D5933" s="50" t="s">
        <v>2188</v>
      </c>
      <c r="E5933" s="50" t="n">
        <v>8</v>
      </c>
      <c r="F5933" s="50" t="s">
        <v>2167</v>
      </c>
      <c r="G5933" s="54" t="n">
        <v>7675500</v>
      </c>
    </row>
    <row r="5934" customFormat="false" ht="15" hidden="false" customHeight="false" outlineLevel="0" collapsed="false">
      <c r="A5934" s="50" t="s">
        <v>2013</v>
      </c>
      <c r="B5934" s="51" t="n">
        <v>46018</v>
      </c>
      <c r="C5934" s="50" t="s">
        <v>505</v>
      </c>
      <c r="D5934" s="50" t="s">
        <v>2169</v>
      </c>
      <c r="E5934" s="50" t="n">
        <v>7</v>
      </c>
      <c r="F5934" s="50" t="s">
        <v>2167</v>
      </c>
      <c r="G5934" s="54" t="n">
        <v>4392300</v>
      </c>
    </row>
    <row r="5935" customFormat="false" ht="15" hidden="false" customHeight="false" outlineLevel="0" collapsed="false">
      <c r="A5935" s="50" t="s">
        <v>2013</v>
      </c>
      <c r="B5935" s="51" t="n">
        <v>46018</v>
      </c>
      <c r="C5935" s="50" t="s">
        <v>505</v>
      </c>
      <c r="D5935" s="50" t="s">
        <v>2185</v>
      </c>
      <c r="E5935" s="50" t="n">
        <v>2</v>
      </c>
      <c r="F5935" s="50" t="s">
        <v>2174</v>
      </c>
      <c r="G5935" s="54" t="n">
        <v>1613700</v>
      </c>
    </row>
    <row r="5936" customFormat="false" ht="15" hidden="false" customHeight="false" outlineLevel="0" collapsed="false">
      <c r="A5936" s="50" t="s">
        <v>2013</v>
      </c>
      <c r="B5936" s="51" t="n">
        <v>46018</v>
      </c>
      <c r="C5936" s="50" t="s">
        <v>505</v>
      </c>
      <c r="D5936" s="50" t="s">
        <v>2180</v>
      </c>
      <c r="E5936" s="50" t="n">
        <v>8</v>
      </c>
      <c r="F5936" s="50" t="s">
        <v>2167</v>
      </c>
      <c r="G5936" s="54" t="n">
        <v>3517400</v>
      </c>
    </row>
    <row r="5937" customFormat="false" ht="15" hidden="false" customHeight="false" outlineLevel="0" collapsed="false">
      <c r="A5937" s="50" t="s">
        <v>2014</v>
      </c>
      <c r="B5937" s="51" t="n">
        <v>46018</v>
      </c>
      <c r="C5937" s="50" t="s">
        <v>223</v>
      </c>
      <c r="D5937" s="50" t="s">
        <v>2188</v>
      </c>
      <c r="E5937" s="50" t="n">
        <v>6</v>
      </c>
      <c r="F5937" s="50" t="s">
        <v>2167</v>
      </c>
      <c r="G5937" s="54" t="n">
        <v>5777200</v>
      </c>
    </row>
    <row r="5938" customFormat="false" ht="15" hidden="false" customHeight="false" outlineLevel="0" collapsed="false">
      <c r="A5938" s="50" t="s">
        <v>2015</v>
      </c>
      <c r="B5938" s="51" t="n">
        <v>46020</v>
      </c>
      <c r="C5938" s="50" t="s">
        <v>203</v>
      </c>
      <c r="D5938" s="50" t="s">
        <v>2176</v>
      </c>
      <c r="E5938" s="50" t="n">
        <v>5</v>
      </c>
      <c r="F5938" s="50" t="s">
        <v>2167</v>
      </c>
      <c r="G5938" s="54" t="n">
        <v>2035600</v>
      </c>
    </row>
    <row r="5939" customFormat="false" ht="15" hidden="false" customHeight="false" outlineLevel="0" collapsed="false">
      <c r="A5939" s="50" t="s">
        <v>2015</v>
      </c>
      <c r="B5939" s="51" t="n">
        <v>46020</v>
      </c>
      <c r="C5939" s="50" t="s">
        <v>203</v>
      </c>
      <c r="D5939" s="50" t="s">
        <v>2185</v>
      </c>
      <c r="E5939" s="50" t="n">
        <v>3</v>
      </c>
      <c r="F5939" s="50" t="s">
        <v>2174</v>
      </c>
      <c r="G5939" s="54" t="n">
        <v>2265500</v>
      </c>
    </row>
    <row r="5940" customFormat="false" ht="15" hidden="false" customHeight="false" outlineLevel="0" collapsed="false">
      <c r="A5940" s="50" t="s">
        <v>2015</v>
      </c>
      <c r="B5940" s="51" t="n">
        <v>46020</v>
      </c>
      <c r="C5940" s="50" t="s">
        <v>203</v>
      </c>
      <c r="D5940" s="50" t="s">
        <v>2177</v>
      </c>
      <c r="E5940" s="50" t="n">
        <v>7</v>
      </c>
      <c r="F5940" s="50" t="s">
        <v>2174</v>
      </c>
      <c r="G5940" s="54" t="n">
        <v>7734300</v>
      </c>
    </row>
    <row r="5941" customFormat="false" ht="15" hidden="false" customHeight="false" outlineLevel="0" collapsed="false">
      <c r="A5941" s="50" t="s">
        <v>2016</v>
      </c>
      <c r="B5941" s="51" t="n">
        <v>46020</v>
      </c>
      <c r="C5941" s="50" t="s">
        <v>467</v>
      </c>
      <c r="D5941" s="50" t="s">
        <v>2182</v>
      </c>
      <c r="E5941" s="50" t="n">
        <v>7</v>
      </c>
      <c r="F5941" s="50" t="s">
        <v>2174</v>
      </c>
      <c r="G5941" s="54" t="n">
        <v>6857200</v>
      </c>
    </row>
    <row r="5942" customFormat="false" ht="15" hidden="false" customHeight="false" outlineLevel="0" collapsed="false">
      <c r="A5942" s="50" t="s">
        <v>2017</v>
      </c>
      <c r="B5942" s="51" t="n">
        <v>46020</v>
      </c>
      <c r="C5942" s="50" t="s">
        <v>419</v>
      </c>
      <c r="D5942" s="50" t="s">
        <v>2183</v>
      </c>
      <c r="E5942" s="50" t="n">
        <v>1</v>
      </c>
      <c r="F5942" s="50" t="s">
        <v>2167</v>
      </c>
      <c r="G5942" s="54" t="n">
        <v>375700</v>
      </c>
    </row>
    <row r="5943" customFormat="false" ht="15" hidden="false" customHeight="false" outlineLevel="0" collapsed="false">
      <c r="A5943" s="50" t="s">
        <v>2018</v>
      </c>
      <c r="B5943" s="51" t="n">
        <v>46020</v>
      </c>
      <c r="C5943" s="50" t="s">
        <v>271</v>
      </c>
      <c r="D5943" s="50" t="s">
        <v>2182</v>
      </c>
      <c r="E5943" s="50" t="n">
        <v>1</v>
      </c>
      <c r="F5943" s="50" t="s">
        <v>2174</v>
      </c>
      <c r="G5943" s="54" t="n">
        <v>979500</v>
      </c>
    </row>
    <row r="5944" customFormat="false" ht="15" hidden="false" customHeight="false" outlineLevel="0" collapsed="false">
      <c r="A5944" s="50" t="s">
        <v>2018</v>
      </c>
      <c r="B5944" s="51" t="n">
        <v>46020</v>
      </c>
      <c r="C5944" s="50" t="s">
        <v>271</v>
      </c>
      <c r="D5944" s="50" t="s">
        <v>2184</v>
      </c>
      <c r="E5944" s="50" t="n">
        <v>4</v>
      </c>
      <c r="F5944" s="50" t="s">
        <v>2167</v>
      </c>
      <c r="G5944" s="54" t="n">
        <v>2220100</v>
      </c>
    </row>
    <row r="5945" customFormat="false" ht="15" hidden="false" customHeight="false" outlineLevel="0" collapsed="false">
      <c r="A5945" s="50" t="s">
        <v>2018</v>
      </c>
      <c r="B5945" s="51" t="n">
        <v>46020</v>
      </c>
      <c r="C5945" s="50" t="s">
        <v>271</v>
      </c>
      <c r="D5945" s="50" t="s">
        <v>2180</v>
      </c>
      <c r="E5945" s="50" t="n">
        <v>5</v>
      </c>
      <c r="F5945" s="50" t="s">
        <v>2167</v>
      </c>
      <c r="G5945" s="54" t="n">
        <v>2232000</v>
      </c>
    </row>
    <row r="5946" customFormat="false" ht="15" hidden="false" customHeight="false" outlineLevel="0" collapsed="false">
      <c r="A5946" s="50" t="s">
        <v>2019</v>
      </c>
      <c r="B5946" s="51" t="n">
        <v>46020</v>
      </c>
      <c r="C5946" s="50" t="s">
        <v>207</v>
      </c>
      <c r="D5946" s="50" t="s">
        <v>2175</v>
      </c>
      <c r="E5946" s="50" t="n">
        <v>5</v>
      </c>
      <c r="F5946" s="50" t="s">
        <v>2167</v>
      </c>
      <c r="G5946" s="54" t="n">
        <v>3317300</v>
      </c>
    </row>
    <row r="5947" customFormat="false" ht="15" hidden="false" customHeight="false" outlineLevel="0" collapsed="false">
      <c r="A5947" s="50" t="s">
        <v>2019</v>
      </c>
      <c r="B5947" s="51" t="n">
        <v>46020</v>
      </c>
      <c r="C5947" s="50" t="s">
        <v>207</v>
      </c>
      <c r="D5947" s="50" t="s">
        <v>2181</v>
      </c>
      <c r="E5947" s="50" t="n">
        <v>8</v>
      </c>
      <c r="F5947" s="50" t="s">
        <v>2167</v>
      </c>
      <c r="G5947" s="54" t="n">
        <v>9551200</v>
      </c>
    </row>
    <row r="5948" customFormat="false" ht="15" hidden="false" customHeight="false" outlineLevel="0" collapsed="false">
      <c r="A5948" s="50" t="s">
        <v>2019</v>
      </c>
      <c r="B5948" s="51" t="n">
        <v>46020</v>
      </c>
      <c r="C5948" s="50" t="s">
        <v>207</v>
      </c>
      <c r="D5948" s="50" t="s">
        <v>2172</v>
      </c>
      <c r="E5948" s="50" t="n">
        <v>6</v>
      </c>
      <c r="F5948" s="50" t="s">
        <v>2167</v>
      </c>
      <c r="G5948" s="54" t="n">
        <v>3202800</v>
      </c>
    </row>
    <row r="5949" customFormat="false" ht="15" hidden="false" customHeight="false" outlineLevel="0" collapsed="false">
      <c r="A5949" s="50" t="s">
        <v>2019</v>
      </c>
      <c r="B5949" s="51" t="n">
        <v>46020</v>
      </c>
      <c r="C5949" s="50" t="s">
        <v>207</v>
      </c>
      <c r="D5949" s="50" t="s">
        <v>2188</v>
      </c>
      <c r="E5949" s="50" t="n">
        <v>1</v>
      </c>
      <c r="F5949" s="50" t="s">
        <v>2167</v>
      </c>
      <c r="G5949" s="54" t="n">
        <v>1014000</v>
      </c>
    </row>
    <row r="5950" customFormat="false" ht="15" hidden="false" customHeight="false" outlineLevel="0" collapsed="false">
      <c r="A5950" s="50" t="s">
        <v>2019</v>
      </c>
      <c r="B5950" s="51" t="n">
        <v>46020</v>
      </c>
      <c r="C5950" s="50" t="s">
        <v>207</v>
      </c>
      <c r="D5950" s="50" t="s">
        <v>2176</v>
      </c>
      <c r="E5950" s="50" t="n">
        <v>1</v>
      </c>
      <c r="F5950" s="50" t="s">
        <v>2167</v>
      </c>
      <c r="G5950" s="54" t="n">
        <v>435000</v>
      </c>
    </row>
    <row r="5951" customFormat="false" ht="15" hidden="false" customHeight="false" outlineLevel="0" collapsed="false">
      <c r="A5951" s="50" t="s">
        <v>2019</v>
      </c>
      <c r="B5951" s="51" t="n">
        <v>46020</v>
      </c>
      <c r="C5951" s="50" t="s">
        <v>207</v>
      </c>
      <c r="D5951" s="50" t="s">
        <v>2170</v>
      </c>
      <c r="E5951" s="50" t="n">
        <v>2</v>
      </c>
      <c r="F5951" s="50" t="s">
        <v>2171</v>
      </c>
      <c r="G5951" s="54" t="n">
        <v>15302100</v>
      </c>
    </row>
    <row r="5952" customFormat="false" ht="15" hidden="false" customHeight="false" outlineLevel="0" collapsed="false">
      <c r="A5952" s="50" t="s">
        <v>2020</v>
      </c>
      <c r="B5952" s="51" t="n">
        <v>46020</v>
      </c>
      <c r="C5952" s="50" t="s">
        <v>168</v>
      </c>
      <c r="D5952" s="50" t="s">
        <v>2173</v>
      </c>
      <c r="E5952" s="50" t="n">
        <v>3</v>
      </c>
      <c r="F5952" s="50" t="s">
        <v>2174</v>
      </c>
      <c r="G5952" s="54" t="n">
        <v>2456800</v>
      </c>
    </row>
    <row r="5953" customFormat="false" ht="15" hidden="false" customHeight="false" outlineLevel="0" collapsed="false">
      <c r="A5953" s="50" t="s">
        <v>2020</v>
      </c>
      <c r="B5953" s="51" t="n">
        <v>46020</v>
      </c>
      <c r="C5953" s="50" t="s">
        <v>168</v>
      </c>
      <c r="D5953" s="50" t="s">
        <v>2183</v>
      </c>
      <c r="E5953" s="50" t="n">
        <v>1</v>
      </c>
      <c r="F5953" s="50" t="s">
        <v>2167</v>
      </c>
      <c r="G5953" s="54" t="n">
        <v>368400</v>
      </c>
    </row>
    <row r="5954" customFormat="false" ht="15" hidden="false" customHeight="false" outlineLevel="0" collapsed="false">
      <c r="A5954" s="50" t="s">
        <v>2021</v>
      </c>
      <c r="B5954" s="51" t="n">
        <v>46020</v>
      </c>
      <c r="C5954" s="50" t="s">
        <v>199</v>
      </c>
      <c r="D5954" s="50" t="s">
        <v>2168</v>
      </c>
      <c r="E5954" s="50" t="n">
        <v>8</v>
      </c>
      <c r="F5954" s="50" t="s">
        <v>2167</v>
      </c>
      <c r="G5954" s="54" t="n">
        <v>3440800</v>
      </c>
    </row>
    <row r="5955" customFormat="false" ht="15" hidden="false" customHeight="false" outlineLevel="0" collapsed="false">
      <c r="A5955" s="50" t="s">
        <v>2021</v>
      </c>
      <c r="B5955" s="51" t="n">
        <v>46020</v>
      </c>
      <c r="C5955" s="50" t="s">
        <v>199</v>
      </c>
      <c r="D5955" s="50" t="s">
        <v>2180</v>
      </c>
      <c r="E5955" s="50" t="n">
        <v>4</v>
      </c>
      <c r="F5955" s="50" t="s">
        <v>2167</v>
      </c>
      <c r="G5955" s="54" t="n">
        <v>1810700</v>
      </c>
    </row>
    <row r="5956" customFormat="false" ht="15" hidden="false" customHeight="false" outlineLevel="0" collapsed="false">
      <c r="A5956" s="50" t="s">
        <v>2021</v>
      </c>
      <c r="B5956" s="51" t="n">
        <v>46020</v>
      </c>
      <c r="C5956" s="50" t="s">
        <v>199</v>
      </c>
      <c r="D5956" s="50" t="s">
        <v>2181</v>
      </c>
      <c r="E5956" s="50" t="n">
        <v>3</v>
      </c>
      <c r="F5956" s="50" t="s">
        <v>2167</v>
      </c>
      <c r="G5956" s="54" t="n">
        <v>3374700</v>
      </c>
    </row>
    <row r="5957" customFormat="false" ht="15" hidden="false" customHeight="false" outlineLevel="0" collapsed="false">
      <c r="A5957" s="50" t="s">
        <v>2022</v>
      </c>
      <c r="B5957" s="51" t="n">
        <v>46020</v>
      </c>
      <c r="C5957" s="50" t="s">
        <v>256</v>
      </c>
      <c r="D5957" s="50" t="s">
        <v>2188</v>
      </c>
      <c r="E5957" s="50" t="n">
        <v>1</v>
      </c>
      <c r="F5957" s="50" t="s">
        <v>2167</v>
      </c>
      <c r="G5957" s="54" t="n">
        <v>1003600</v>
      </c>
    </row>
    <row r="5958" customFormat="false" ht="15" hidden="false" customHeight="false" outlineLevel="0" collapsed="false">
      <c r="A5958" s="50" t="s">
        <v>2022</v>
      </c>
      <c r="B5958" s="51" t="n">
        <v>46020</v>
      </c>
      <c r="C5958" s="50" t="s">
        <v>256</v>
      </c>
      <c r="D5958" s="50" t="s">
        <v>2172</v>
      </c>
      <c r="E5958" s="50" t="n">
        <v>5</v>
      </c>
      <c r="F5958" s="50" t="s">
        <v>2167</v>
      </c>
      <c r="G5958" s="54" t="n">
        <v>2631400</v>
      </c>
    </row>
    <row r="5959" customFormat="false" ht="15" hidden="false" customHeight="false" outlineLevel="0" collapsed="false">
      <c r="A5959" s="50" t="s">
        <v>2022</v>
      </c>
      <c r="B5959" s="51" t="n">
        <v>46020</v>
      </c>
      <c r="C5959" s="50" t="s">
        <v>256</v>
      </c>
      <c r="D5959" s="50" t="s">
        <v>2173</v>
      </c>
      <c r="E5959" s="50" t="n">
        <v>2</v>
      </c>
      <c r="F5959" s="50" t="s">
        <v>2174</v>
      </c>
      <c r="G5959" s="54" t="n">
        <v>1551000</v>
      </c>
    </row>
    <row r="5960" customFormat="false" ht="15" hidden="false" customHeight="false" outlineLevel="0" collapsed="false">
      <c r="A5960" s="50" t="s">
        <v>2022</v>
      </c>
      <c r="B5960" s="51" t="n">
        <v>46020</v>
      </c>
      <c r="C5960" s="50" t="s">
        <v>256</v>
      </c>
      <c r="D5960" s="50" t="s">
        <v>2180</v>
      </c>
      <c r="E5960" s="50" t="n">
        <v>4</v>
      </c>
      <c r="F5960" s="50" t="s">
        <v>2167</v>
      </c>
      <c r="G5960" s="54" t="n">
        <v>1772600</v>
      </c>
    </row>
    <row r="5961" customFormat="false" ht="15" hidden="false" customHeight="false" outlineLevel="0" collapsed="false">
      <c r="A5961" s="50" t="s">
        <v>2023</v>
      </c>
      <c r="B5961" s="51" t="n">
        <v>46020</v>
      </c>
      <c r="C5961" s="50" t="s">
        <v>320</v>
      </c>
      <c r="D5961" s="50" t="s">
        <v>2170</v>
      </c>
      <c r="E5961" s="50" t="n">
        <v>2</v>
      </c>
      <c r="F5961" s="50" t="s">
        <v>2171</v>
      </c>
      <c r="G5961" s="54" t="n">
        <v>14915000</v>
      </c>
    </row>
    <row r="5962" customFormat="false" ht="15" hidden="false" customHeight="false" outlineLevel="0" collapsed="false">
      <c r="A5962" s="50" t="s">
        <v>2023</v>
      </c>
      <c r="B5962" s="51" t="n">
        <v>46020</v>
      </c>
      <c r="C5962" s="50" t="s">
        <v>320</v>
      </c>
      <c r="D5962" s="50" t="s">
        <v>2176</v>
      </c>
      <c r="E5962" s="50" t="n">
        <v>2</v>
      </c>
      <c r="F5962" s="50" t="s">
        <v>2167</v>
      </c>
      <c r="G5962" s="54" t="n">
        <v>854500</v>
      </c>
    </row>
    <row r="5963" customFormat="false" ht="15" hidden="false" customHeight="false" outlineLevel="0" collapsed="false">
      <c r="A5963" s="50" t="s">
        <v>2023</v>
      </c>
      <c r="B5963" s="51" t="n">
        <v>46020</v>
      </c>
      <c r="C5963" s="50" t="s">
        <v>320</v>
      </c>
      <c r="D5963" s="50" t="s">
        <v>2169</v>
      </c>
      <c r="E5963" s="50" t="n">
        <v>3</v>
      </c>
      <c r="F5963" s="50" t="s">
        <v>2167</v>
      </c>
      <c r="G5963" s="54" t="n">
        <v>1858000</v>
      </c>
    </row>
    <row r="5964" customFormat="false" ht="15" hidden="false" customHeight="false" outlineLevel="0" collapsed="false">
      <c r="A5964" s="50" t="s">
        <v>2023</v>
      </c>
      <c r="B5964" s="51" t="n">
        <v>46020</v>
      </c>
      <c r="C5964" s="50" t="s">
        <v>320</v>
      </c>
      <c r="D5964" s="50" t="s">
        <v>2186</v>
      </c>
      <c r="E5964" s="50" t="n">
        <v>7</v>
      </c>
      <c r="F5964" s="50" t="s">
        <v>2167</v>
      </c>
      <c r="G5964" s="54" t="n">
        <v>4167600</v>
      </c>
    </row>
    <row r="5965" customFormat="false" ht="15" hidden="false" customHeight="false" outlineLevel="0" collapsed="false">
      <c r="A5965" s="50" t="s">
        <v>2023</v>
      </c>
      <c r="B5965" s="51" t="n">
        <v>46020</v>
      </c>
      <c r="C5965" s="50" t="s">
        <v>320</v>
      </c>
      <c r="D5965" s="50" t="s">
        <v>2168</v>
      </c>
      <c r="E5965" s="50" t="n">
        <v>1</v>
      </c>
      <c r="F5965" s="50" t="s">
        <v>2167</v>
      </c>
      <c r="G5965" s="54" t="n">
        <v>432900</v>
      </c>
    </row>
    <row r="5966" customFormat="false" ht="15" hidden="false" customHeight="false" outlineLevel="0" collapsed="false">
      <c r="A5966" s="50" t="s">
        <v>2024</v>
      </c>
      <c r="B5966" s="51" t="n">
        <v>46021</v>
      </c>
      <c r="C5966" s="50" t="s">
        <v>256</v>
      </c>
      <c r="D5966" s="50" t="s">
        <v>2178</v>
      </c>
      <c r="E5966" s="50" t="n">
        <v>1</v>
      </c>
      <c r="F5966" s="50" t="s">
        <v>2167</v>
      </c>
      <c r="G5966" s="54" t="n">
        <v>491300</v>
      </c>
    </row>
    <row r="5967" customFormat="false" ht="15" hidden="false" customHeight="false" outlineLevel="0" collapsed="false">
      <c r="A5967" s="50" t="s">
        <v>2024</v>
      </c>
      <c r="B5967" s="51" t="n">
        <v>46021</v>
      </c>
      <c r="C5967" s="50" t="s">
        <v>256</v>
      </c>
      <c r="D5967" s="50" t="s">
        <v>2168</v>
      </c>
      <c r="E5967" s="50" t="n">
        <v>2</v>
      </c>
      <c r="F5967" s="50" t="s">
        <v>2167</v>
      </c>
      <c r="G5967" s="54" t="n">
        <v>851100</v>
      </c>
    </row>
    <row r="5968" customFormat="false" ht="15" hidden="false" customHeight="false" outlineLevel="0" collapsed="false">
      <c r="A5968" s="50" t="s">
        <v>2025</v>
      </c>
      <c r="B5968" s="51" t="n">
        <v>46021</v>
      </c>
      <c r="C5968" s="50" t="s">
        <v>174</v>
      </c>
      <c r="D5968" s="50" t="s">
        <v>2172</v>
      </c>
      <c r="E5968" s="50" t="n">
        <v>8</v>
      </c>
      <c r="F5968" s="50" t="s">
        <v>2167</v>
      </c>
      <c r="G5968" s="54" t="n">
        <v>4027900</v>
      </c>
    </row>
    <row r="5969" customFormat="false" ht="15" hidden="false" customHeight="false" outlineLevel="0" collapsed="false">
      <c r="A5969" s="50" t="s">
        <v>2025</v>
      </c>
      <c r="B5969" s="51" t="n">
        <v>46021</v>
      </c>
      <c r="C5969" s="50" t="s">
        <v>174</v>
      </c>
      <c r="D5969" s="50" t="s">
        <v>2183</v>
      </c>
      <c r="E5969" s="50" t="n">
        <v>3</v>
      </c>
      <c r="F5969" s="50" t="s">
        <v>2167</v>
      </c>
      <c r="G5969" s="54" t="n">
        <v>1172900</v>
      </c>
    </row>
    <row r="5970" customFormat="false" ht="15" hidden="false" customHeight="false" outlineLevel="0" collapsed="false">
      <c r="A5970" s="50" t="s">
        <v>2025</v>
      </c>
      <c r="B5970" s="51" t="n">
        <v>46021</v>
      </c>
      <c r="C5970" s="50" t="s">
        <v>174</v>
      </c>
      <c r="D5970" s="50" t="s">
        <v>2169</v>
      </c>
      <c r="E5970" s="50" t="n">
        <v>6</v>
      </c>
      <c r="F5970" s="50" t="s">
        <v>2167</v>
      </c>
      <c r="G5970" s="54" t="n">
        <v>3597500</v>
      </c>
    </row>
    <row r="5971" customFormat="false" ht="15" hidden="false" customHeight="false" outlineLevel="0" collapsed="false">
      <c r="A5971" s="50" t="s">
        <v>2025</v>
      </c>
      <c r="B5971" s="51" t="n">
        <v>46021</v>
      </c>
      <c r="C5971" s="50" t="s">
        <v>174</v>
      </c>
      <c r="D5971" s="50" t="s">
        <v>2179</v>
      </c>
      <c r="E5971" s="50" t="n">
        <v>5</v>
      </c>
      <c r="F5971" s="50" t="s">
        <v>2174</v>
      </c>
      <c r="G5971" s="54" t="n">
        <v>6296200</v>
      </c>
    </row>
    <row r="5972" customFormat="false" ht="15" hidden="false" customHeight="false" outlineLevel="0" collapsed="false">
      <c r="A5972" s="50" t="s">
        <v>2026</v>
      </c>
      <c r="B5972" s="51" t="n">
        <v>46021</v>
      </c>
      <c r="C5972" s="50" t="s">
        <v>714</v>
      </c>
      <c r="D5972" s="50" t="s">
        <v>2172</v>
      </c>
      <c r="E5972" s="50" t="n">
        <v>6</v>
      </c>
      <c r="F5972" s="50" t="s">
        <v>2167</v>
      </c>
      <c r="G5972" s="54" t="n">
        <v>3136400</v>
      </c>
    </row>
    <row r="5973" customFormat="false" ht="15" hidden="false" customHeight="false" outlineLevel="0" collapsed="false">
      <c r="A5973" s="50" t="s">
        <v>2026</v>
      </c>
      <c r="B5973" s="51" t="n">
        <v>46021</v>
      </c>
      <c r="C5973" s="50" t="s">
        <v>714</v>
      </c>
      <c r="D5973" s="50" t="s">
        <v>2170</v>
      </c>
      <c r="E5973" s="50" t="n">
        <v>1</v>
      </c>
      <c r="F5973" s="50" t="s">
        <v>2171</v>
      </c>
      <c r="G5973" s="54" t="n">
        <v>7373000</v>
      </c>
    </row>
    <row r="5974" customFormat="false" ht="15" hidden="false" customHeight="false" outlineLevel="0" collapsed="false">
      <c r="A5974" s="50" t="s">
        <v>2026</v>
      </c>
      <c r="B5974" s="51" t="n">
        <v>46021</v>
      </c>
      <c r="C5974" s="50" t="s">
        <v>714</v>
      </c>
      <c r="D5974" s="50" t="s">
        <v>2178</v>
      </c>
      <c r="E5974" s="50" t="n">
        <v>1</v>
      </c>
      <c r="F5974" s="50" t="s">
        <v>2167</v>
      </c>
      <c r="G5974" s="54" t="n">
        <v>477800</v>
      </c>
    </row>
    <row r="5975" customFormat="false" ht="15" hidden="false" customHeight="false" outlineLevel="0" collapsed="false">
      <c r="A5975" s="50" t="s">
        <v>2027</v>
      </c>
      <c r="B5975" s="51" t="n">
        <v>46021</v>
      </c>
      <c r="C5975" s="50" t="s">
        <v>571</v>
      </c>
      <c r="D5975" s="50" t="s">
        <v>2182</v>
      </c>
      <c r="E5975" s="50" t="n">
        <v>3</v>
      </c>
      <c r="F5975" s="50" t="s">
        <v>2174</v>
      </c>
      <c r="G5975" s="54" t="n">
        <v>2781500</v>
      </c>
    </row>
    <row r="5976" customFormat="false" ht="15" hidden="false" customHeight="false" outlineLevel="0" collapsed="false">
      <c r="A5976" s="50" t="s">
        <v>2028</v>
      </c>
      <c r="B5976" s="51" t="n">
        <v>46021</v>
      </c>
      <c r="C5976" s="50" t="s">
        <v>174</v>
      </c>
      <c r="D5976" s="50" t="s">
        <v>2168</v>
      </c>
      <c r="E5976" s="50" t="n">
        <v>1</v>
      </c>
      <c r="F5976" s="50" t="s">
        <v>2167</v>
      </c>
      <c r="G5976" s="54" t="n">
        <v>445600</v>
      </c>
    </row>
    <row r="5977" customFormat="false" ht="15" hidden="false" customHeight="false" outlineLevel="0" collapsed="false">
      <c r="A5977" s="50" t="s">
        <v>2028</v>
      </c>
      <c r="B5977" s="51" t="n">
        <v>46021</v>
      </c>
      <c r="C5977" s="50" t="s">
        <v>174</v>
      </c>
      <c r="D5977" s="50" t="s">
        <v>2179</v>
      </c>
      <c r="E5977" s="50" t="n">
        <v>2</v>
      </c>
      <c r="F5977" s="50" t="s">
        <v>2174</v>
      </c>
      <c r="G5977" s="54" t="n">
        <v>2558600</v>
      </c>
    </row>
    <row r="5978" customFormat="false" ht="15" hidden="false" customHeight="false" outlineLevel="0" collapsed="false">
      <c r="A5978" s="50" t="s">
        <v>2028</v>
      </c>
      <c r="B5978" s="51" t="n">
        <v>46021</v>
      </c>
      <c r="C5978" s="50" t="s">
        <v>174</v>
      </c>
      <c r="D5978" s="50" t="s">
        <v>2183</v>
      </c>
      <c r="E5978" s="50" t="n">
        <v>6</v>
      </c>
      <c r="F5978" s="50" t="s">
        <v>2167</v>
      </c>
      <c r="G5978" s="54" t="n">
        <v>2302200</v>
      </c>
    </row>
    <row r="5979" customFormat="false" ht="15" hidden="false" customHeight="false" outlineLevel="0" collapsed="false">
      <c r="A5979" s="50" t="s">
        <v>2029</v>
      </c>
      <c r="B5979" s="51" t="n">
        <v>46022</v>
      </c>
      <c r="C5979" s="50" t="s">
        <v>199</v>
      </c>
      <c r="D5979" s="50" t="s">
        <v>2186</v>
      </c>
      <c r="E5979" s="50" t="n">
        <v>5</v>
      </c>
      <c r="F5979" s="50" t="s">
        <v>2167</v>
      </c>
      <c r="G5979" s="54" t="n">
        <v>2944300</v>
      </c>
    </row>
    <row r="5980" customFormat="false" ht="15" hidden="false" customHeight="false" outlineLevel="0" collapsed="false">
      <c r="A5980" s="50" t="s">
        <v>2029</v>
      </c>
      <c r="B5980" s="51" t="n">
        <v>46022</v>
      </c>
      <c r="C5980" s="50" t="s">
        <v>199</v>
      </c>
      <c r="D5980" s="50" t="s">
        <v>2176</v>
      </c>
      <c r="E5980" s="50" t="n">
        <v>3</v>
      </c>
      <c r="F5980" s="50" t="s">
        <v>2167</v>
      </c>
      <c r="G5980" s="54" t="n">
        <v>1231000</v>
      </c>
    </row>
    <row r="5981" customFormat="false" ht="15" hidden="false" customHeight="false" outlineLevel="0" collapsed="false">
      <c r="A5981" s="50" t="s">
        <v>2029</v>
      </c>
      <c r="B5981" s="51" t="n">
        <v>46022</v>
      </c>
      <c r="C5981" s="50" t="s">
        <v>199</v>
      </c>
      <c r="D5981" s="50" t="s">
        <v>2188</v>
      </c>
      <c r="E5981" s="50" t="n">
        <v>2</v>
      </c>
      <c r="F5981" s="50" t="s">
        <v>2167</v>
      </c>
      <c r="G5981" s="54" t="n">
        <v>1893700</v>
      </c>
    </row>
    <row r="5982" customFormat="false" ht="15" hidden="false" customHeight="false" outlineLevel="0" collapsed="false">
      <c r="A5982" s="50" t="s">
        <v>2029</v>
      </c>
      <c r="B5982" s="51" t="n">
        <v>46022</v>
      </c>
      <c r="C5982" s="50" t="s">
        <v>199</v>
      </c>
      <c r="D5982" s="50" t="s">
        <v>2183</v>
      </c>
      <c r="E5982" s="50" t="n">
        <v>7</v>
      </c>
      <c r="F5982" s="50" t="s">
        <v>2167</v>
      </c>
      <c r="G5982" s="54" t="n">
        <v>2560700</v>
      </c>
    </row>
    <row r="5983" customFormat="false" ht="15" hidden="false" customHeight="false" outlineLevel="0" collapsed="false">
      <c r="A5983" s="50" t="s">
        <v>2029</v>
      </c>
      <c r="B5983" s="51" t="n">
        <v>46022</v>
      </c>
      <c r="C5983" s="50" t="s">
        <v>199</v>
      </c>
      <c r="D5983" s="50" t="s">
        <v>2173</v>
      </c>
      <c r="E5983" s="50" t="n">
        <v>4</v>
      </c>
      <c r="F5983" s="50" t="s">
        <v>2174</v>
      </c>
      <c r="G5983" s="54" t="n">
        <v>3325600</v>
      </c>
    </row>
    <row r="5984" customFormat="false" ht="15" hidden="false" customHeight="false" outlineLevel="0" collapsed="false">
      <c r="A5984" s="50" t="s">
        <v>2029</v>
      </c>
      <c r="B5984" s="51" t="n">
        <v>46022</v>
      </c>
      <c r="C5984" s="50" t="s">
        <v>199</v>
      </c>
      <c r="D5984" s="50" t="s">
        <v>2169</v>
      </c>
      <c r="E5984" s="50" t="n">
        <v>8</v>
      </c>
      <c r="F5984" s="50" t="s">
        <v>2167</v>
      </c>
      <c r="G5984" s="54" t="n">
        <v>4827000</v>
      </c>
    </row>
    <row r="5985" customFormat="false" ht="15" hidden="false" customHeight="false" outlineLevel="0" collapsed="false">
      <c r="A5985" s="50" t="s">
        <v>2030</v>
      </c>
      <c r="B5985" s="51" t="n">
        <v>46022</v>
      </c>
      <c r="C5985" s="50" t="s">
        <v>166</v>
      </c>
      <c r="D5985" s="50" t="s">
        <v>2186</v>
      </c>
      <c r="E5985" s="50" t="n">
        <v>5</v>
      </c>
      <c r="F5985" s="50" t="s">
        <v>2167</v>
      </c>
      <c r="G5985" s="54" t="n">
        <v>2858300</v>
      </c>
    </row>
    <row r="5986" customFormat="false" ht="15" hidden="false" customHeight="false" outlineLevel="0" collapsed="false">
      <c r="A5986" s="50" t="s">
        <v>2031</v>
      </c>
      <c r="B5986" s="51" t="n">
        <v>46022</v>
      </c>
      <c r="C5986" s="50" t="s">
        <v>174</v>
      </c>
      <c r="D5986" s="50" t="s">
        <v>2184</v>
      </c>
      <c r="E5986" s="50" t="n">
        <v>5</v>
      </c>
      <c r="F5986" s="50" t="s">
        <v>2167</v>
      </c>
      <c r="G5986" s="54" t="n">
        <v>2834600</v>
      </c>
    </row>
    <row r="5987" customFormat="false" ht="15" hidden="false" customHeight="false" outlineLevel="0" collapsed="false">
      <c r="A5987" s="50" t="s">
        <v>2031</v>
      </c>
      <c r="B5987" s="51" t="n">
        <v>46022</v>
      </c>
      <c r="C5987" s="50" t="s">
        <v>174</v>
      </c>
      <c r="D5987" s="50" t="s">
        <v>2175</v>
      </c>
      <c r="E5987" s="50" t="n">
        <v>5</v>
      </c>
      <c r="F5987" s="50" t="s">
        <v>2167</v>
      </c>
      <c r="G5987" s="54" t="n">
        <v>3293000</v>
      </c>
    </row>
    <row r="5988" customFormat="false" ht="15" hidden="false" customHeight="false" outlineLevel="0" collapsed="false">
      <c r="A5988" s="50" t="s">
        <v>2031</v>
      </c>
      <c r="B5988" s="51" t="n">
        <v>46022</v>
      </c>
      <c r="C5988" s="50" t="s">
        <v>174</v>
      </c>
      <c r="D5988" s="50" t="s">
        <v>2179</v>
      </c>
      <c r="E5988" s="50" t="n">
        <v>2</v>
      </c>
      <c r="F5988" s="50" t="s">
        <v>2174</v>
      </c>
      <c r="G5988" s="54" t="n">
        <v>2437900</v>
      </c>
    </row>
    <row r="5989" customFormat="false" ht="15" hidden="false" customHeight="false" outlineLevel="0" collapsed="false">
      <c r="A5989" s="50" t="s">
        <v>2032</v>
      </c>
      <c r="B5989" s="51" t="n">
        <v>46022</v>
      </c>
      <c r="C5989" s="50" t="s">
        <v>527</v>
      </c>
      <c r="D5989" s="50" t="s">
        <v>2180</v>
      </c>
      <c r="E5989" s="50" t="n">
        <v>8</v>
      </c>
      <c r="F5989" s="50" t="s">
        <v>2167</v>
      </c>
      <c r="G5989" s="54" t="n">
        <v>3630600</v>
      </c>
    </row>
    <row r="5990" customFormat="false" ht="15" hidden="false" customHeight="false" outlineLevel="0" collapsed="false">
      <c r="A5990" s="50" t="s">
        <v>2032</v>
      </c>
      <c r="B5990" s="51" t="n">
        <v>46022</v>
      </c>
      <c r="C5990" s="50" t="s">
        <v>527</v>
      </c>
      <c r="D5990" s="50" t="s">
        <v>2175</v>
      </c>
      <c r="E5990" s="50" t="n">
        <v>8</v>
      </c>
      <c r="F5990" s="50" t="s">
        <v>2167</v>
      </c>
      <c r="G5990" s="54" t="n">
        <v>5057900</v>
      </c>
    </row>
    <row r="5991" customFormat="false" ht="15" hidden="false" customHeight="false" outlineLevel="0" collapsed="false">
      <c r="A5991" s="50" t="s">
        <v>2033</v>
      </c>
      <c r="B5991" s="51" t="n">
        <v>46022</v>
      </c>
      <c r="C5991" s="50" t="s">
        <v>166</v>
      </c>
      <c r="D5991" s="50" t="s">
        <v>2186</v>
      </c>
      <c r="E5991" s="50" t="n">
        <v>4</v>
      </c>
      <c r="F5991" s="50" t="s">
        <v>2167</v>
      </c>
      <c r="G5991" s="54" t="n">
        <v>2409500</v>
      </c>
    </row>
    <row r="5992" customFormat="false" ht="15" hidden="false" customHeight="false" outlineLevel="0" collapsed="false">
      <c r="A5992" s="50" t="s">
        <v>2033</v>
      </c>
      <c r="B5992" s="51" t="n">
        <v>46022</v>
      </c>
      <c r="C5992" s="50" t="s">
        <v>166</v>
      </c>
      <c r="D5992" s="50" t="s">
        <v>2172</v>
      </c>
      <c r="E5992" s="50" t="n">
        <v>8</v>
      </c>
      <c r="F5992" s="50" t="s">
        <v>2167</v>
      </c>
      <c r="G5992" s="54" t="n">
        <v>4250400</v>
      </c>
    </row>
    <row r="5993" customFormat="false" ht="15" hidden="false" customHeight="false" outlineLevel="0" collapsed="false">
      <c r="A5993" s="50" t="s">
        <v>2033</v>
      </c>
      <c r="B5993" s="51" t="n">
        <v>46022</v>
      </c>
      <c r="C5993" s="50" t="s">
        <v>166</v>
      </c>
      <c r="D5993" s="50" t="s">
        <v>2177</v>
      </c>
      <c r="E5993" s="50" t="n">
        <v>6</v>
      </c>
      <c r="F5993" s="50" t="s">
        <v>2174</v>
      </c>
      <c r="G5993" s="54" t="n">
        <v>6600300</v>
      </c>
    </row>
    <row r="5994" customFormat="false" ht="15" hidden="false" customHeight="false" outlineLevel="0" collapsed="false">
      <c r="A5994" s="50" t="s">
        <v>2034</v>
      </c>
      <c r="B5994" s="51" t="n">
        <v>46022</v>
      </c>
      <c r="C5994" s="50" t="s">
        <v>234</v>
      </c>
      <c r="D5994" s="50" t="s">
        <v>2169</v>
      </c>
      <c r="E5994" s="50" t="n">
        <v>4</v>
      </c>
      <c r="F5994" s="50" t="s">
        <v>2167</v>
      </c>
      <c r="G5994" s="54" t="n">
        <v>2441400</v>
      </c>
    </row>
    <row r="5995" customFormat="false" ht="15" hidden="false" customHeight="false" outlineLevel="0" collapsed="false">
      <c r="A5995" s="50" t="s">
        <v>2034</v>
      </c>
      <c r="B5995" s="51" t="n">
        <v>46022</v>
      </c>
      <c r="C5995" s="50" t="s">
        <v>234</v>
      </c>
      <c r="D5995" s="50" t="s">
        <v>2186</v>
      </c>
      <c r="E5995" s="50" t="n">
        <v>5</v>
      </c>
      <c r="F5995" s="50" t="s">
        <v>2167</v>
      </c>
      <c r="G5995" s="54" t="n">
        <v>2987300</v>
      </c>
    </row>
    <row r="5996" customFormat="false" ht="15" hidden="false" customHeight="false" outlineLevel="0" collapsed="false">
      <c r="A5996" s="50" t="s">
        <v>2035</v>
      </c>
      <c r="B5996" s="51" t="n">
        <v>46022</v>
      </c>
      <c r="C5996" s="50" t="s">
        <v>205</v>
      </c>
      <c r="D5996" s="50" t="s">
        <v>2170</v>
      </c>
      <c r="E5996" s="50" t="n">
        <v>1</v>
      </c>
      <c r="F5996" s="50" t="s">
        <v>2171</v>
      </c>
      <c r="G5996" s="54" t="n">
        <v>7488500</v>
      </c>
    </row>
    <row r="5997" customFormat="false" ht="15" hidden="false" customHeight="false" outlineLevel="0" collapsed="false">
      <c r="A5997" s="50" t="s">
        <v>2035</v>
      </c>
      <c r="B5997" s="51" t="n">
        <v>46022</v>
      </c>
      <c r="C5997" s="50" t="s">
        <v>205</v>
      </c>
      <c r="D5997" s="50" t="s">
        <v>2168</v>
      </c>
      <c r="E5997" s="50" t="n">
        <v>3</v>
      </c>
      <c r="F5997" s="50" t="s">
        <v>2167</v>
      </c>
      <c r="G5997" s="54" t="n">
        <v>1243300</v>
      </c>
    </row>
    <row r="5998" customFormat="false" ht="15" hidden="false" customHeight="false" outlineLevel="0" collapsed="false">
      <c r="A5998" s="50" t="s">
        <v>2035</v>
      </c>
      <c r="B5998" s="51" t="n">
        <v>46022</v>
      </c>
      <c r="C5998" s="50" t="s">
        <v>205</v>
      </c>
      <c r="D5998" s="50" t="s">
        <v>2173</v>
      </c>
      <c r="E5998" s="50" t="n">
        <v>5</v>
      </c>
      <c r="F5998" s="50" t="s">
        <v>2174</v>
      </c>
      <c r="G5998" s="54" t="n">
        <v>3921100</v>
      </c>
    </row>
  </sheetData>
  <autoFilter ref="A1:G5998"/>
  <printOptions headings="false" gridLines="false" gridLinesSet="true" horizontalCentered="false" verticalCentered="false"/>
  <pageMargins left="0.5" right="0.5" top="0.6" bottom="0.6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&amp;L&amp;8 Data sintetis - portofolio&amp;C&amp;8 Halaman &amp;P dari &amp;N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  <col collapsed="false" customWidth="true" hidden="false" outlineLevel="0" max="2" min="2" style="0" width="14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57" t="s">
        <v>2189</v>
      </c>
    </row>
    <row r="3" customFormat="false" ht="15" hidden="false" customHeight="false" outlineLevel="0" collapsed="false">
      <c r="A3" s="19" t="s">
        <v>2190</v>
      </c>
      <c r="B3" s="58" t="n">
        <v>46022</v>
      </c>
      <c r="C3" s="42" t="s">
        <v>2191</v>
      </c>
    </row>
    <row r="5" customFormat="false" ht="15" hidden="false" customHeight="false" outlineLevel="0" collapsed="false">
      <c r="A5" s="59" t="s">
        <v>2192</v>
      </c>
    </row>
    <row r="6" customFormat="false" ht="23.85" hidden="false" customHeight="false" outlineLevel="0" collapsed="false">
      <c r="A6" s="60" t="s">
        <v>2193</v>
      </c>
    </row>
    <row r="7" customFormat="false" ht="23.85" hidden="false" customHeight="false" outlineLevel="0" collapsed="false">
      <c r="A7" s="60" t="s">
        <v>2194</v>
      </c>
    </row>
    <row r="8" customFormat="false" ht="15" hidden="false" customHeight="false" outlineLevel="0" collapsed="false">
      <c r="A8" s="60"/>
    </row>
    <row r="9" customFormat="false" ht="15" hidden="false" customHeight="false" outlineLevel="0" collapsed="false">
      <c r="A9" s="59" t="s">
        <v>2195</v>
      </c>
    </row>
    <row r="10" customFormat="false" ht="23.85" hidden="false" customHeight="false" outlineLevel="0" collapsed="false">
      <c r="A10" s="60" t="s">
        <v>2196</v>
      </c>
    </row>
    <row r="11" customFormat="false" ht="15" hidden="false" customHeight="false" outlineLevel="0" collapsed="false">
      <c r="A11" s="60" t="s">
        <v>2197</v>
      </c>
    </row>
    <row r="12" customFormat="false" ht="15" hidden="false" customHeight="false" outlineLevel="0" collapsed="false">
      <c r="A12" s="60" t="s">
        <v>2198</v>
      </c>
    </row>
    <row r="13" customFormat="false" ht="15" hidden="false" customHeight="false" outlineLevel="0" collapsed="false">
      <c r="A13" s="60"/>
    </row>
    <row r="14" customFormat="false" ht="15" hidden="false" customHeight="false" outlineLevel="0" collapsed="false">
      <c r="A14" s="59" t="s">
        <v>2199</v>
      </c>
    </row>
    <row r="15" customFormat="false" ht="23.85" hidden="false" customHeight="false" outlineLevel="0" collapsed="false">
      <c r="A15" s="60" t="s">
        <v>2200</v>
      </c>
    </row>
    <row r="16" customFormat="false" ht="15" hidden="false" customHeight="false" outlineLevel="0" collapsed="false">
      <c r="A16" s="60"/>
    </row>
    <row r="17" customFormat="false" ht="15" hidden="false" customHeight="false" outlineLevel="0" collapsed="false">
      <c r="A17" s="59" t="s">
        <v>2201</v>
      </c>
    </row>
    <row r="18" customFormat="false" ht="23.85" hidden="false" customHeight="false" outlineLevel="0" collapsed="false">
      <c r="A18" s="60" t="s">
        <v>2202</v>
      </c>
    </row>
    <row r="19" customFormat="false" ht="15" hidden="false" customHeight="false" outlineLevel="0" collapsed="false">
      <c r="A19" s="60" t="s">
        <v>2203</v>
      </c>
    </row>
    <row r="20" customFormat="false" ht="15" hidden="false" customHeight="false" outlineLevel="0" collapsed="false">
      <c r="A20" s="60"/>
    </row>
    <row r="21" customFormat="false" ht="15" hidden="false" customHeight="false" outlineLevel="0" collapsed="false">
      <c r="A21" s="59" t="s">
        <v>2204</v>
      </c>
    </row>
    <row r="22" customFormat="false" ht="23.85" hidden="false" customHeight="false" outlineLevel="0" collapsed="false">
      <c r="A22" s="61" t="s">
        <v>2205</v>
      </c>
    </row>
    <row r="23" customFormat="false" ht="15" hidden="false" customHeight="false" outlineLevel="0" collapsed="false">
      <c r="A23" s="19" t="s">
        <v>2206</v>
      </c>
    </row>
    <row r="24" customFormat="false" ht="23.85" hidden="false" customHeight="false" outlineLevel="0" collapsed="false">
      <c r="A24" s="61" t="s">
        <v>2207</v>
      </c>
    </row>
  </sheetData>
  <printOptions headings="false" gridLines="false" gridLinesSet="true" horizontalCentered="false" verticalCentered="false"/>
  <pageMargins left="0.5" right="0.5" top="0.6" bottom="0.6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&amp;L&amp;8 Data sintetis - portofolio&amp;C&amp;8 Halaman &amp;P dari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2026-10-06T01:21:52Z</dcterms:created>
  <dc:creator>openpyxl</dc:creator>
  <dc:description/>
  <dc:language>en-US</dc:language>
  <cp:lastModifiedBy/>
  <dcterms:modified xsi:type="dcterms:W3CDTF">2026-10-06T01:21:57Z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